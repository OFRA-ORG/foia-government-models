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ternalSSD\Folder 15\FY25\Revised Submission\"/>
    </mc:Choice>
  </mc:AlternateContent>
  <xr:revisionPtr revIDLastSave="0" documentId="13_ncr:1_{B03715DB-F090-485C-8E16-95037CE5C822}" xr6:coauthVersionLast="47" xr6:coauthVersionMax="47" xr10:uidLastSave="{00000000-0000-0000-0000-000000000000}"/>
  <bookViews>
    <workbookView xWindow="16995" yWindow="1065" windowWidth="18660" windowHeight="16860" tabRatio="910" xr2:uid="{00000000-000D-0000-FFFF-FFFF00000000}"/>
  </bookViews>
  <sheets>
    <sheet name="Summary" sheetId="27" r:id="rId1"/>
    <sheet name="Productivities" sheetId="3" r:id="rId2"/>
    <sheet name="Arrival - Dispatch Profile" sheetId="23" r:id="rId3"/>
    <sheet name="Other Inputs" sheetId="24" r:id="rId4"/>
    <sheet name="Conversion Factors" sheetId="4" r:id="rId5"/>
    <sheet name="DNDC" sheetId="12" r:id="rId6"/>
    <sheet name="DSCF" sheetId="25" r:id="rId7"/>
    <sheet name="DB_1" sheetId="32" r:id="rId8"/>
    <sheet name="DB_2" sheetId="29" r:id="rId9"/>
    <sheet name="Carrier Route" sheetId="30" r:id="rId10"/>
    <sheet name="Flat - Parcel" sheetId="33" r:id="rId11"/>
    <sheet name="Barcode Savings" sheetId="34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xlnm.Print_Area" localSheetId="2">'Arrival - Dispatch Profile'!$B$1:$E$37</definedName>
    <definedName name="_xlnm.Print_Area" localSheetId="4">'Conversion Factors'!$A:$M</definedName>
    <definedName name="_xlnm.Print_Area" localSheetId="7">DB_1!$B$1:$H$46</definedName>
    <definedName name="_xlnm.Print_Area" localSheetId="8">DB_2!$B$1:$E$33</definedName>
    <definedName name="_xlnm.Print_Area" localSheetId="5">DNDC!$A$2:$G$58</definedName>
    <definedName name="_xlnm.Print_Area" localSheetId="6">DSCF!$A$2:$G$43</definedName>
    <definedName name="_xlnm.Print_Area" localSheetId="10">'Flat - Parcel'!$A$1:$G$21</definedName>
    <definedName name="_xlnm.Print_Area" localSheetId="3">'Other Inputs'!$B$1:$E$35</definedName>
    <definedName name="_xlnm.Print_Area" localSheetId="1">Productivities!$B$1:$E$57</definedName>
    <definedName name="_xlnm.Print_Area" localSheetId="0">Summary!$A$1:$D$19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24" l="1"/>
  <c r="D18" i="24"/>
  <c r="D17" i="24"/>
  <c r="D16" i="24"/>
  <c r="D15" i="24"/>
  <c r="D14" i="24"/>
  <c r="D13" i="24"/>
  <c r="D12" i="24"/>
  <c r="D11" i="24"/>
  <c r="D10" i="24"/>
  <c r="D9" i="24"/>
  <c r="D9" i="29"/>
  <c r="D8" i="29"/>
  <c r="D7" i="29"/>
  <c r="E26" i="4"/>
  <c r="E20" i="4" s="1"/>
  <c r="D39" i="3"/>
  <c r="D5" i="33"/>
  <c r="C5" i="33"/>
  <c r="D6" i="24"/>
  <c r="D48" i="3"/>
  <c r="D34" i="3" s="1"/>
  <c r="D47" i="3"/>
  <c r="D35" i="3" s="1"/>
  <c r="D46" i="3"/>
  <c r="D45" i="3"/>
  <c r="D21" i="3" s="1"/>
  <c r="D44" i="3"/>
  <c r="D43" i="3"/>
  <c r="D20" i="3" s="1"/>
  <c r="D42" i="3"/>
  <c r="D13" i="3" s="1"/>
  <c r="C10" i="12" s="1"/>
  <c r="D41" i="3"/>
  <c r="D17" i="3" s="1"/>
  <c r="C12" i="12" s="1"/>
  <c r="D40" i="3"/>
  <c r="D16" i="3" l="1"/>
  <c r="C11" i="12" s="1"/>
  <c r="D6" i="33"/>
  <c r="C6" i="33"/>
  <c r="D12" i="29" l="1"/>
  <c r="E6" i="33"/>
  <c r="E33" i="25"/>
  <c r="E11" i="25"/>
  <c r="E30" i="12"/>
  <c r="E8" i="34"/>
  <c r="E7" i="25"/>
  <c r="E8" i="25" s="1"/>
  <c r="E9" i="25" s="1"/>
  <c r="D36" i="3"/>
  <c r="F12" i="30" s="1"/>
  <c r="D26" i="3"/>
  <c r="C30" i="12"/>
  <c r="D29" i="3"/>
  <c r="D12" i="3"/>
  <c r="C31" i="25" s="1"/>
  <c r="E5" i="33"/>
  <c r="D29" i="23" s="1"/>
  <c r="D6" i="3"/>
  <c r="C30" i="25" s="1"/>
  <c r="B8" i="34"/>
  <c r="D11" i="3"/>
  <c r="C9" i="12" s="1"/>
  <c r="D30" i="3"/>
  <c r="C14" i="12" s="1"/>
  <c r="E27" i="25"/>
  <c r="D26" i="23"/>
  <c r="B12" i="25"/>
  <c r="B14" i="25" s="1"/>
  <c r="D21" i="23"/>
  <c r="B15" i="25" s="1"/>
  <c r="D16" i="23"/>
  <c r="E28" i="25"/>
  <c r="D17" i="23"/>
  <c r="E29" i="25"/>
  <c r="D8" i="3"/>
  <c r="C29" i="25" s="1"/>
  <c r="G7" i="4"/>
  <c r="B7" i="25"/>
  <c r="B11" i="25" s="1"/>
  <c r="E30" i="25"/>
  <c r="D15" i="23"/>
  <c r="E31" i="25"/>
  <c r="E32" i="25"/>
  <c r="C33" i="25"/>
  <c r="E34" i="25"/>
  <c r="E12" i="25"/>
  <c r="G9" i="4"/>
  <c r="E15" i="25"/>
  <c r="E19" i="25"/>
  <c r="E22" i="25"/>
  <c r="E23" i="25"/>
  <c r="E25" i="25"/>
  <c r="E38" i="12"/>
  <c r="B13" i="12"/>
  <c r="B18" i="12" s="1"/>
  <c r="D24" i="24"/>
  <c r="B14" i="12"/>
  <c r="B27" i="12" s="1"/>
  <c r="B15" i="12"/>
  <c r="B20" i="12" s="1"/>
  <c r="B16" i="12"/>
  <c r="B25" i="12" s="1"/>
  <c r="E39" i="12"/>
  <c r="E40" i="12"/>
  <c r="E41" i="12"/>
  <c r="E42" i="12"/>
  <c r="E43" i="12"/>
  <c r="E45" i="12"/>
  <c r="E18" i="12"/>
  <c r="E20" i="12"/>
  <c r="E21" i="12"/>
  <c r="E24" i="12"/>
  <c r="E25" i="12"/>
  <c r="E28" i="12"/>
  <c r="E29" i="12"/>
  <c r="E32" i="12"/>
  <c r="E33" i="12"/>
  <c r="E36" i="12"/>
  <c r="E7" i="12"/>
  <c r="E8" i="12" s="1"/>
  <c r="E9" i="12" s="1"/>
  <c r="G8" i="4"/>
  <c r="B7" i="12"/>
  <c r="B9" i="12" s="1"/>
  <c r="D6" i="23"/>
  <c r="B8" i="12" s="1"/>
  <c r="B10" i="12" s="1"/>
  <c r="E10" i="12"/>
  <c r="E11" i="12"/>
  <c r="B11" i="12"/>
  <c r="E12" i="12"/>
  <c r="B12" i="12"/>
  <c r="E16" i="12"/>
  <c r="F5" i="32"/>
  <c r="C16" i="32" s="1"/>
  <c r="F9" i="32"/>
  <c r="D11" i="29"/>
  <c r="F15" i="30"/>
  <c r="D24" i="3"/>
  <c r="D16" i="32"/>
  <c r="E16" i="32"/>
  <c r="F16" i="32" s="1"/>
  <c r="B26" i="12"/>
  <c r="D5" i="24" l="1"/>
  <c r="D21" i="24"/>
  <c r="B13" i="25"/>
  <c r="B24" i="25" s="1"/>
  <c r="B28" i="12"/>
  <c r="D13" i="29"/>
  <c r="B21" i="12"/>
  <c r="B39" i="12"/>
  <c r="C15" i="12"/>
  <c r="C35" i="12"/>
  <c r="B16" i="25"/>
  <c r="B17" i="25" s="1"/>
  <c r="F12" i="32"/>
  <c r="D17" i="32" s="1"/>
  <c r="B24" i="12"/>
  <c r="B29" i="12"/>
  <c r="D14" i="29"/>
  <c r="B18" i="25"/>
  <c r="B21" i="25" s="1"/>
  <c r="B23" i="25" s="1"/>
  <c r="B28" i="25" s="1"/>
  <c r="B22" i="12"/>
  <c r="C7" i="25"/>
  <c r="C36" i="12"/>
  <c r="C44" i="12"/>
  <c r="F17" i="32"/>
  <c r="C17" i="32"/>
  <c r="E17" i="32"/>
  <c r="B8" i="25"/>
  <c r="B9" i="25" s="1"/>
  <c r="E22" i="32"/>
  <c r="C38" i="12"/>
  <c r="C12" i="25"/>
  <c r="B19" i="12"/>
  <c r="B23" i="12"/>
  <c r="C42" i="12"/>
  <c r="C18" i="25"/>
  <c r="C17" i="25"/>
  <c r="C43" i="12"/>
  <c r="C32" i="25"/>
  <c r="C34" i="12"/>
  <c r="C25" i="25"/>
  <c r="C13" i="12"/>
  <c r="E15" i="12"/>
  <c r="E18" i="25"/>
  <c r="C23" i="25"/>
  <c r="C16" i="12"/>
  <c r="C7" i="12"/>
  <c r="E14" i="12"/>
  <c r="D5" i="3"/>
  <c r="C8" i="12" s="1"/>
  <c r="E35" i="12"/>
  <c r="E31" i="12"/>
  <c r="E27" i="12"/>
  <c r="E23" i="12"/>
  <c r="E19" i="12"/>
  <c r="D31" i="3"/>
  <c r="E21" i="25"/>
  <c r="E17" i="25"/>
  <c r="E14" i="25"/>
  <c r="E44" i="12"/>
  <c r="C22" i="25"/>
  <c r="C11" i="25"/>
  <c r="E13" i="12"/>
  <c r="E34" i="12"/>
  <c r="E26" i="12"/>
  <c r="E22" i="12"/>
  <c r="C18" i="12"/>
  <c r="E24" i="25"/>
  <c r="E20" i="25"/>
  <c r="E16" i="25"/>
  <c r="E13" i="25"/>
  <c r="D7" i="3"/>
  <c r="D25" i="3"/>
  <c r="B29" i="25" l="1"/>
  <c r="B30" i="12"/>
  <c r="D16" i="29"/>
  <c r="D4" i="24"/>
  <c r="F18" i="25" s="1"/>
  <c r="G18" i="25" s="1"/>
  <c r="B33" i="25"/>
  <c r="B45" i="12"/>
  <c r="B34" i="25"/>
  <c r="B44" i="12"/>
  <c r="B33" i="12"/>
  <c r="B36" i="12" s="1"/>
  <c r="B41" i="12" s="1"/>
  <c r="B31" i="12"/>
  <c r="B32" i="12"/>
  <c r="B35" i="12" s="1"/>
  <c r="B40" i="12" s="1"/>
  <c r="B34" i="12"/>
  <c r="B38" i="12" s="1"/>
  <c r="B42" i="12" s="1"/>
  <c r="B20" i="25"/>
  <c r="B22" i="25" s="1"/>
  <c r="B27" i="25" s="1"/>
  <c r="B19" i="25"/>
  <c r="B25" i="25" s="1"/>
  <c r="B30" i="25" s="1"/>
  <c r="B31" i="25" s="1"/>
  <c r="E23" i="32"/>
  <c r="E24" i="32" s="1"/>
  <c r="F22" i="32"/>
  <c r="F23" i="32" s="1"/>
  <c r="D18" i="32"/>
  <c r="C28" i="12"/>
  <c r="C22" i="12"/>
  <c r="C31" i="12"/>
  <c r="C20" i="25"/>
  <c r="C15" i="25"/>
  <c r="C23" i="12"/>
  <c r="C16" i="25"/>
  <c r="C14" i="25"/>
  <c r="C8" i="25"/>
  <c r="C29" i="12"/>
  <c r="C25" i="12"/>
  <c r="C26" i="12"/>
  <c r="C27" i="12"/>
  <c r="C24" i="12"/>
  <c r="C13" i="25"/>
  <c r="C19" i="25"/>
  <c r="C32" i="12"/>
  <c r="C21" i="25"/>
  <c r="C33" i="12"/>
  <c r="C45" i="12"/>
  <c r="C34" i="25"/>
  <c r="F8" i="30"/>
  <c r="C9" i="25"/>
  <c r="C24" i="25"/>
  <c r="C40" i="12"/>
  <c r="C41" i="12"/>
  <c r="C28" i="25"/>
  <c r="C20" i="12"/>
  <c r="C27" i="25"/>
  <c r="C21" i="12"/>
  <c r="C39" i="12"/>
  <c r="C19" i="12"/>
  <c r="F34" i="25" l="1"/>
  <c r="G34" i="25" s="1"/>
  <c r="F45" i="12"/>
  <c r="G45" i="12" s="1"/>
  <c r="F44" i="12"/>
  <c r="G44" i="12" s="1"/>
  <c r="F30" i="12"/>
  <c r="G30" i="12" s="1"/>
  <c r="F33" i="25"/>
  <c r="G33" i="25" s="1"/>
  <c r="F7" i="30"/>
  <c r="F13" i="30" s="1"/>
  <c r="C8" i="34"/>
  <c r="D8" i="34" s="1"/>
  <c r="F8" i="34" s="1"/>
  <c r="C7" i="33"/>
  <c r="C8" i="33" s="1"/>
  <c r="C9" i="33" s="1"/>
  <c r="D7" i="33"/>
  <c r="D8" i="33" s="1"/>
  <c r="D9" i="33" s="1"/>
  <c r="F11" i="12"/>
  <c r="G11" i="12" s="1"/>
  <c r="F12" i="12"/>
  <c r="G12" i="12" s="1"/>
  <c r="C18" i="32"/>
  <c r="F28" i="32" s="1"/>
  <c r="D6" i="29" s="1"/>
  <c r="D15" i="29" s="1"/>
  <c r="D19" i="29" s="1"/>
  <c r="C5" i="27" s="1"/>
  <c r="F12" i="33" l="1"/>
  <c r="C9" i="27" s="1"/>
  <c r="C10" i="27"/>
  <c r="G8" i="34"/>
  <c r="F9" i="30"/>
  <c r="F17" i="30" s="1"/>
  <c r="C8" i="27" s="1"/>
  <c r="I8" i="4" l="1"/>
  <c r="K8" i="4" s="1"/>
  <c r="E17" i="4"/>
  <c r="I9" i="4"/>
  <c r="K9" i="4" s="1"/>
  <c r="E16" i="4"/>
  <c r="I7" i="4"/>
  <c r="K7" i="4" s="1"/>
  <c r="E18" i="4"/>
  <c r="E19" i="4"/>
  <c r="D28" i="25" l="1"/>
  <c r="F28" i="25" s="1"/>
  <c r="G28" i="25" s="1"/>
  <c r="D26" i="12"/>
  <c r="F26" i="12" s="1"/>
  <c r="G26" i="12" s="1"/>
  <c r="D22" i="12"/>
  <c r="F22" i="12" s="1"/>
  <c r="G22" i="12" s="1"/>
  <c r="D31" i="12"/>
  <c r="F31" i="12" s="1"/>
  <c r="G31" i="12" s="1"/>
  <c r="D23" i="25"/>
  <c r="F23" i="25" s="1"/>
  <c r="G23" i="25" s="1"/>
  <c r="D33" i="12"/>
  <c r="F33" i="12" s="1"/>
  <c r="G33" i="12" s="1"/>
  <c r="D21" i="12"/>
  <c r="F21" i="12" s="1"/>
  <c r="G21" i="12" s="1"/>
  <c r="D16" i="12"/>
  <c r="F16" i="12" s="1"/>
  <c r="G16" i="12" s="1"/>
  <c r="D36" i="12"/>
  <c r="F36" i="12" s="1"/>
  <c r="G36" i="12" s="1"/>
  <c r="D29" i="12"/>
  <c r="F29" i="12" s="1"/>
  <c r="G29" i="12" s="1"/>
  <c r="D21" i="25"/>
  <c r="F21" i="25" s="1"/>
  <c r="G21" i="25" s="1"/>
  <c r="D25" i="12"/>
  <c r="F25" i="12" s="1"/>
  <c r="G25" i="12" s="1"/>
  <c r="D41" i="12"/>
  <c r="F41" i="12" s="1"/>
  <c r="G41" i="12" s="1"/>
  <c r="D35" i="12"/>
  <c r="F35" i="12" s="1"/>
  <c r="G35" i="12" s="1"/>
  <c r="D28" i="12"/>
  <c r="F28" i="12" s="1"/>
  <c r="G28" i="12" s="1"/>
  <c r="D24" i="12"/>
  <c r="F24" i="12" s="1"/>
  <c r="G24" i="12" s="1"/>
  <c r="D20" i="25"/>
  <c r="F20" i="25" s="1"/>
  <c r="G20" i="25" s="1"/>
  <c r="D22" i="25"/>
  <c r="F22" i="25" s="1"/>
  <c r="G22" i="25" s="1"/>
  <c r="D32" i="12"/>
  <c r="F32" i="12" s="1"/>
  <c r="G32" i="12" s="1"/>
  <c r="D27" i="25"/>
  <c r="D40" i="12"/>
  <c r="F40" i="12" s="1"/>
  <c r="G40" i="12" s="1"/>
  <c r="D15" i="12"/>
  <c r="F15" i="12" s="1"/>
  <c r="G15" i="12" s="1"/>
  <c r="D20" i="12"/>
  <c r="F20" i="12" s="1"/>
  <c r="G20" i="12" s="1"/>
  <c r="D15" i="25"/>
  <c r="F15" i="25" s="1"/>
  <c r="G15" i="25" s="1"/>
  <c r="D19" i="25"/>
  <c r="F19" i="25" s="1"/>
  <c r="G19" i="25" s="1"/>
  <c r="D24" i="25"/>
  <c r="F24" i="25" s="1"/>
  <c r="G24" i="25" s="1"/>
  <c r="D9" i="25"/>
  <c r="F9" i="25" s="1"/>
  <c r="G9" i="25" s="1"/>
  <c r="D7" i="25"/>
  <c r="F7" i="25" s="1"/>
  <c r="G7" i="25" s="1"/>
  <c r="D29" i="25"/>
  <c r="F29" i="25" s="1"/>
  <c r="G29" i="25" s="1"/>
  <c r="D7" i="12"/>
  <c r="F7" i="12" s="1"/>
  <c r="G7" i="12" s="1"/>
  <c r="D9" i="12"/>
  <c r="F9" i="12" s="1"/>
  <c r="G9" i="12" s="1"/>
  <c r="D8" i="25"/>
  <c r="F8" i="25" s="1"/>
  <c r="G8" i="25" s="1"/>
  <c r="D13" i="25"/>
  <c r="F13" i="25" s="1"/>
  <c r="G13" i="25" s="1"/>
  <c r="D11" i="25"/>
  <c r="F11" i="25" s="1"/>
  <c r="G11" i="25" s="1"/>
  <c r="D13" i="12"/>
  <c r="F13" i="12" s="1"/>
  <c r="G13" i="12" s="1"/>
  <c r="K10" i="4"/>
  <c r="D18" i="12"/>
  <c r="F18" i="12" s="1"/>
  <c r="G18" i="12" s="1"/>
  <c r="D34" i="12"/>
  <c r="F34" i="12" s="1"/>
  <c r="G34" i="12" s="1"/>
  <c r="D38" i="12"/>
  <c r="D42" i="12"/>
  <c r="F42" i="12" s="1"/>
  <c r="G42" i="12" s="1"/>
  <c r="D27" i="12"/>
  <c r="F27" i="12" s="1"/>
  <c r="G27" i="12" s="1"/>
  <c r="D14" i="12"/>
  <c r="F14" i="12" s="1"/>
  <c r="G14" i="12" s="1"/>
  <c r="D19" i="12"/>
  <c r="F19" i="12" s="1"/>
  <c r="G19" i="12" s="1"/>
  <c r="D39" i="12"/>
  <c r="F39" i="12" s="1"/>
  <c r="G39" i="12" s="1"/>
  <c r="D23" i="12"/>
  <c r="F23" i="12" s="1"/>
  <c r="G23" i="12" s="1"/>
  <c r="G26" i="4" l="1"/>
  <c r="D16" i="25" s="1"/>
  <c r="F16" i="25" s="1"/>
  <c r="G16" i="25" s="1"/>
  <c r="D12" i="25"/>
  <c r="F12" i="25" s="1"/>
  <c r="G12" i="25" s="1"/>
  <c r="D8" i="12"/>
  <c r="D17" i="25"/>
  <c r="F17" i="25" s="1"/>
  <c r="G17" i="25" s="1"/>
  <c r="D31" i="25"/>
  <c r="F31" i="25" s="1"/>
  <c r="G31" i="25" s="1"/>
  <c r="D30" i="25"/>
  <c r="F30" i="25" s="1"/>
  <c r="G30" i="25" s="1"/>
  <c r="D25" i="25"/>
  <c r="F25" i="25" s="1"/>
  <c r="G25" i="25" s="1"/>
  <c r="F27" i="25"/>
  <c r="G27" i="25" s="1"/>
  <c r="D32" i="25"/>
  <c r="F32" i="25" s="1"/>
  <c r="G32" i="25" s="1"/>
  <c r="G26" i="25" s="1"/>
  <c r="D43" i="12"/>
  <c r="F43" i="12" s="1"/>
  <c r="G43" i="12" s="1"/>
  <c r="F38" i="12"/>
  <c r="G38" i="12" s="1"/>
  <c r="G17" i="12"/>
  <c r="G6" i="25"/>
  <c r="G37" i="12" l="1"/>
  <c r="D14" i="25"/>
  <c r="F14" i="25" s="1"/>
  <c r="G14" i="25" s="1"/>
  <c r="G10" i="25" s="1"/>
  <c r="G36" i="25" s="1"/>
  <c r="C7" i="27" s="1"/>
  <c r="D10" i="12"/>
  <c r="F10" i="12" s="1"/>
  <c r="G10" i="12" s="1"/>
  <c r="F8" i="12"/>
  <c r="G8" i="12" s="1"/>
  <c r="G6" i="12" l="1"/>
  <c r="G47" i="12" s="1"/>
  <c r="C6" i="27" s="1"/>
</calcChain>
</file>

<file path=xl/sharedStrings.xml><?xml version="1.0" encoding="utf-8"?>
<sst xmlns="http://schemas.openxmlformats.org/spreadsheetml/2006/main" count="545" uniqueCount="361">
  <si>
    <t xml:space="preserve">Summary of BPM Cost Savings Estimates </t>
  </si>
  <si>
    <t>Cost Savings of DNDC (compared to non-dropship)</t>
  </si>
  <si>
    <t>1/</t>
  </si>
  <si>
    <t>Cost Savings of DSCF (compared to DNDC)</t>
  </si>
  <si>
    <t>2/</t>
  </si>
  <si>
    <t>Cost Savings of DDU (compared to DSCF)</t>
  </si>
  <si>
    <t>3/</t>
  </si>
  <si>
    <t>Cost Savings of carrier route presort (compared to Basic Presort)</t>
  </si>
  <si>
    <t>4/</t>
  </si>
  <si>
    <t>Cost difference of parcels compared to flats</t>
  </si>
  <si>
    <t>5/</t>
  </si>
  <si>
    <t>Barcode Savings Estimate</t>
  </si>
  <si>
    <t>6/</t>
  </si>
  <si>
    <t>Row 1/:  Page 9</t>
  </si>
  <si>
    <t xml:space="preserve">Row 2/:  DNDC model cost (page 6) - DSCF model cost (page 7). </t>
  </si>
  <si>
    <t>Row 3/:  DSCF total model cost (page 7) - DSCF delivery unit model cost (page 7)</t>
  </si>
  <si>
    <t>Row 4/:  Page 10</t>
  </si>
  <si>
    <t>Row 5/:  Page 11</t>
  </si>
  <si>
    <t>Row 6/:  Page 12</t>
  </si>
  <si>
    <t>Productivities and Variability Factors for Direct Labor Operations</t>
  </si>
  <si>
    <t>Marginal</t>
  </si>
  <si>
    <t>UNLOADING</t>
  </si>
  <si>
    <t>Units/Wkhr</t>
  </si>
  <si>
    <t>Unload sacked machinable parcels to extended conveyor</t>
  </si>
  <si>
    <t>Unload non-machinable parcels to IHC only (proxy for sacks)</t>
  </si>
  <si>
    <t>Unload wheeled containers</t>
  </si>
  <si>
    <t>Unload pallet/pallet box</t>
  </si>
  <si>
    <t>DUMPING &amp; SACK HANDLING</t>
  </si>
  <si>
    <t>Dump Containers</t>
  </si>
  <si>
    <t>Manually dump sacks</t>
  </si>
  <si>
    <t>SSM</t>
  </si>
  <si>
    <t>PARCEL SORTING MACHINE DISTRIBUTION</t>
  </si>
  <si>
    <t>PPSM</t>
  </si>
  <si>
    <t>SPSM</t>
  </si>
  <si>
    <t>NONMACHINABLE OUTSIDES DISTRIBUTION</t>
  </si>
  <si>
    <t>NMO Distribution</t>
  </si>
  <si>
    <t xml:space="preserve">NMO Distribution at SCFs </t>
  </si>
  <si>
    <t>OTHER OPERATIONS</t>
  </si>
  <si>
    <t>Tend container loader/sweep runouts (Destinating NDC - OTR)</t>
  </si>
  <si>
    <t>Crossdock</t>
  </si>
  <si>
    <t>Move containers from DU dock to parcel sorting area</t>
  </si>
  <si>
    <t>7/</t>
  </si>
  <si>
    <t>LOADING</t>
  </si>
  <si>
    <t>Bedload Sacked Machinables</t>
  </si>
  <si>
    <t>Load wheeled containers</t>
  </si>
  <si>
    <t>Load Pallet/Pallet boxes</t>
  </si>
  <si>
    <t>For Carrier Route</t>
  </si>
  <si>
    <t>Sorting BPM flats to carrier route</t>
  </si>
  <si>
    <t>Sorting BPM parcels to carrier route</t>
  </si>
  <si>
    <t>Sorting at carrier station</t>
  </si>
  <si>
    <t>Variability Factors</t>
  </si>
  <si>
    <t>NDC Platform</t>
  </si>
  <si>
    <t>NDC Other</t>
  </si>
  <si>
    <t>PSM</t>
  </si>
  <si>
    <t>NMO Distribution at NDCs</t>
  </si>
  <si>
    <t>Platform Non-NDC MODS</t>
  </si>
  <si>
    <t>Non-NDC MODS Manual Parcel Sort</t>
  </si>
  <si>
    <t>Non-NDC Non-MODS Platform</t>
  </si>
  <si>
    <t>Non-NDC Non-MODS Manual Parcel Sort</t>
  </si>
  <si>
    <t>Non-NDC Non-MODS Manual Flat Sort</t>
  </si>
  <si>
    <t>Sources</t>
  </si>
  <si>
    <t>1/:  Docket RM2025-4 Order No. 8713 (February 21, 2025)</t>
  </si>
  <si>
    <t>2/:  Docket No R2000-1, LR- I- 88 - Bundle Study (Manprod.xls/scheme - All Manual productivity).</t>
  </si>
  <si>
    <t>3/:  USPS-FY25-23</t>
  </si>
  <si>
    <t>4/:  Docket RM2025-4 Order No. 8713 (February 21, 2025)</t>
  </si>
  <si>
    <t>5/:  Docket No. R2000-1, USPS-LR-I-90, Page 32 of 46 (Assumes 409 pieces with 10 pieces per bundle).</t>
  </si>
  <si>
    <t>6/:  USPS-FY25-7, Part 6</t>
  </si>
  <si>
    <t>7/:  MTM-4M analysis based on DU Study Data (USPS-FY08-15)</t>
  </si>
  <si>
    <t>Arrival and Dispatch Profiles</t>
  </si>
  <si>
    <t>Mail Flow Arrival at Destinating NDCs for BPM</t>
  </si>
  <si>
    <t>Machinable Parcels Arriving on Pallets/Pallet Boxes at DNDC</t>
  </si>
  <si>
    <t>Machinable Parcels Arriving in Sacks at DNDC</t>
  </si>
  <si>
    <t>Mail Flow Dispatch Profiles From NDCs to Service Area</t>
  </si>
  <si>
    <t>Machinable Parcels Dispatched in Bedloaded Sacks to Service Area</t>
  </si>
  <si>
    <t>Machinable Parcels Dispatched loose in OTRs to Service Area</t>
  </si>
  <si>
    <t>Machinable Parcels Dispatched sacked in OTRs to Service Area</t>
  </si>
  <si>
    <t>Machinable Parcels Dispatched in Hampers/APC/OWC (OWC) to Service Area</t>
  </si>
  <si>
    <t>Mail Flow Dispatch Profiles to Delivery Unit</t>
  </si>
  <si>
    <t>Machinable Parcels Dispatched in Bedloaded Sacks to Delivery Unit</t>
  </si>
  <si>
    <t>Machinable Parcels Dispatched loose in OTRs to Service Area to Delivery Unit</t>
  </si>
  <si>
    <t>Machinable Parcels Dispatched in OWC to Delivery Unit</t>
  </si>
  <si>
    <t>DSCF</t>
  </si>
  <si>
    <t>Machinable Parcels</t>
  </si>
  <si>
    <t>Flats/IPPS</t>
  </si>
  <si>
    <t>Proportion of DSCF dropped at NDCs</t>
  </si>
  <si>
    <t>Proportion of DSCF using requirements</t>
  </si>
  <si>
    <t>Sacks</t>
  </si>
  <si>
    <t>Pallet and Pallet Boxes</t>
  </si>
  <si>
    <t>Percent Flats</t>
  </si>
  <si>
    <t>1/:  Docket R2000-1, USPS LR-I-109, BPM Mail Characteristics Study.</t>
  </si>
  <si>
    <t xml:space="preserve">2/:  Docket No. R97-1, USPS LR-H-131, Table 1. </t>
  </si>
  <si>
    <t>3/:  Docket No. R2000-1, LR-I-109, BPM Mail Characteristics Study - BPM Profile (Mach parcels/ all BPM).</t>
  </si>
  <si>
    <t>4/:  USPS LR-PCR-40, page 64.</t>
  </si>
  <si>
    <t>5/:  Docket No. R2000-1, USPS LR-I-109, BPM Mail Characteristics Study - DSCF Presort Profile.</t>
  </si>
  <si>
    <t xml:space="preserve">     (Bedloaded Bundles excluded because assumed they will not be allowed in Test Year.)</t>
  </si>
  <si>
    <t>6/: Page 11</t>
  </si>
  <si>
    <t>Other Inputs</t>
  </si>
  <si>
    <t>Wage Rate with Premium Pay Factor Applied</t>
  </si>
  <si>
    <t>Premium Pay Factor</t>
  </si>
  <si>
    <t>Other Mail Processing Wage Rate</t>
  </si>
  <si>
    <t>Mail Processing Operation Specific Piggyback Factors</t>
  </si>
  <si>
    <t>NMO Sorting at NDC</t>
  </si>
  <si>
    <t>Other Operations at NDCs</t>
  </si>
  <si>
    <t>Platform NDC</t>
  </si>
  <si>
    <t>Primary Parcel Sorting Machine</t>
  </si>
  <si>
    <t>Secondary Parcel Sorting Machine</t>
  </si>
  <si>
    <t>Sack Sorting Machine - NDC</t>
  </si>
  <si>
    <t>Manual Parcel Sort at MODS Plant</t>
  </si>
  <si>
    <t>Platform MODS Plant</t>
  </si>
  <si>
    <t>Platform Non-MODS Facility</t>
  </si>
  <si>
    <t>Manual Parcel Sort at Non-MODS Facility</t>
  </si>
  <si>
    <t>Manual Flats Sort at Non-MODS Facility</t>
  </si>
  <si>
    <t>City carrier (BPM) piggyback factor</t>
  </si>
  <si>
    <t>Mail Flow Operating Assumptions</t>
  </si>
  <si>
    <t>Percent with direct transportation to destinating delivery unit from NDC</t>
  </si>
  <si>
    <t>Probability of Intra-NDC and DNDC parcels going to PPSM</t>
  </si>
  <si>
    <t>Probability of Intra-NDC and DNDC parcels going to the SPSM</t>
  </si>
  <si>
    <t>1/:  2/ * 3/</t>
  </si>
  <si>
    <t>2/:  USPS-FY25-7, Part 5 (weighted average of flats and parcels factors)</t>
  </si>
  <si>
    <t>3/:  USPS-FY25-7, Part 8</t>
  </si>
  <si>
    <t>4/:  USPS-FY25-25</t>
  </si>
  <si>
    <t>5/:  USPS-FY25-24 (weighted average of flats and parcels factors)</t>
  </si>
  <si>
    <t>6/:  Page 5</t>
  </si>
  <si>
    <t>Conversion Factor Calculations</t>
  </si>
  <si>
    <t>[1]</t>
  </si>
  <si>
    <t>[2]</t>
  </si>
  <si>
    <t>[3]</t>
  </si>
  <si>
    <t>[4]</t>
  </si>
  <si>
    <t>[5]</t>
  </si>
  <si>
    <t>[6]</t>
  </si>
  <si>
    <t>Outside Dim.</t>
  </si>
  <si>
    <t>Inside Dim.</t>
  </si>
  <si>
    <t>Cubic Feet</t>
  </si>
  <si>
    <t xml:space="preserve">Effective </t>
  </si>
  <si>
    <t>Capacity at</t>
  </si>
  <si>
    <t>Average</t>
  </si>
  <si>
    <t>Container Type</t>
  </si>
  <si>
    <t>Per Container</t>
  </si>
  <si>
    <t>Parcel Capacity</t>
  </si>
  <si>
    <t>Average Fullness</t>
  </si>
  <si>
    <t>% FULL</t>
  </si>
  <si>
    <t>Machinable</t>
  </si>
  <si>
    <t>Pallet</t>
  </si>
  <si>
    <t>48x40x48</t>
  </si>
  <si>
    <t>Pallet Box</t>
  </si>
  <si>
    <t>48x40x69</t>
  </si>
  <si>
    <t>46.5x38.5x69</t>
  </si>
  <si>
    <t>Sacks on In-house Container</t>
  </si>
  <si>
    <t>65x41.5x36</t>
  </si>
  <si>
    <t>Presorted pieces per sack</t>
  </si>
  <si>
    <t>[7]</t>
  </si>
  <si>
    <t>[8]</t>
  </si>
  <si>
    <t>Pieces Per</t>
  </si>
  <si>
    <t>Parcel Post</t>
  </si>
  <si>
    <t>BPM</t>
  </si>
  <si>
    <t>Container</t>
  </si>
  <si>
    <t>FY82</t>
  </si>
  <si>
    <t>ACR Fiscal Year</t>
  </si>
  <si>
    <t>Sack</t>
  </si>
  <si>
    <t>Sack in OTR</t>
  </si>
  <si>
    <t>OTR</t>
  </si>
  <si>
    <t>APC</t>
  </si>
  <si>
    <t>Hamper</t>
  </si>
  <si>
    <t>[9]</t>
  </si>
  <si>
    <t>[10]</t>
  </si>
  <si>
    <t>[11]</t>
  </si>
  <si>
    <t>Cubic feet/piece</t>
  </si>
  <si>
    <t>Form 22 (PP)</t>
  </si>
  <si>
    <t>CRA</t>
  </si>
  <si>
    <t>No. of Sacks</t>
  </si>
  <si>
    <t>on IHC</t>
  </si>
  <si>
    <t xml:space="preserve">  </t>
  </si>
  <si>
    <t>Column [1]:  Container Methods, Handbook PO-502 (September 1992) USPS LR-H-133/R97-1.</t>
  </si>
  <si>
    <t>Column [2]:  Container Methods, Handbook PO-502 (September 1992) USPS LR-H-133/R97-1.</t>
  </si>
  <si>
    <t>Column [3]:  (Length * width * height) / (12*12*12).</t>
  </si>
  <si>
    <t xml:space="preserve">Column [4]:  (Column [3]) / ((column [10]) * air factor), to account for "effective cube." </t>
  </si>
  <si>
    <t xml:space="preserve">                         Air factor =1 for pallets, and 1.1 for all else.</t>
  </si>
  <si>
    <t>Column [5]:  Effective cubic capacity (column [4]) * average % fullness (column [6]).</t>
  </si>
  <si>
    <t xml:space="preserve">Column [6]:  Pallets, postal paks and IHCs should be as full as practicable before dispatch so it is reasonable to assume these containers will be at least 85% full. </t>
  </si>
  <si>
    <t>Column [7]:  Docket No. R84-1, Exhibit USPS-14I.</t>
  </si>
  <si>
    <t>Column [8]:  Pieces per container in Docket No. R84-1 (column [7]) * FY82 cubic feet per piece (column [9]) / cubic feet per piece for BPM (column [10]).</t>
  </si>
  <si>
    <t>Column [9]:  FY82  cubic feet per piece (consistent with column [7]).</t>
  </si>
  <si>
    <t>Column [10]: USPS-FY25-1 and USPS-FY25-36</t>
  </si>
  <si>
    <t xml:space="preserve">Column [11]: # of sacks = (# of pieces in IHC) / (# of presorted pieces per sack).  </t>
  </si>
  <si>
    <t>Bound Printed Matter DNDC Model Cost Summary</t>
  </si>
  <si>
    <t># handlings</t>
  </si>
  <si>
    <t>units/hr</t>
  </si>
  <si>
    <t>conversion</t>
  </si>
  <si>
    <t>piggyback</t>
  </si>
  <si>
    <t>$ per oper.</t>
  </si>
  <si>
    <t>$ per facility</t>
  </si>
  <si>
    <t>Destination NDC</t>
  </si>
  <si>
    <t>Unload Pallets/Pallet Boxes</t>
  </si>
  <si>
    <t>Unload Bedload Sacks</t>
  </si>
  <si>
    <t>Dump Pallets/Pallet Boxes</t>
  </si>
  <si>
    <t>Bedload Sacks</t>
  </si>
  <si>
    <t>Load OTRs w/ sacks</t>
  </si>
  <si>
    <t>Load OTRs w/ loose</t>
  </si>
  <si>
    <t>Load Hampers/OWC</t>
  </si>
  <si>
    <t>Destination SCF</t>
  </si>
  <si>
    <t>Unload Sacks in OTR</t>
  </si>
  <si>
    <t>Unload loose in OTR</t>
  </si>
  <si>
    <t>Unload OWC</t>
  </si>
  <si>
    <t>Crossdock Bedload Sacks</t>
  </si>
  <si>
    <t>Crossdock Sacks in OTR</t>
  </si>
  <si>
    <t>Crossdock loose in OTR</t>
  </si>
  <si>
    <t>Crossdock OWC</t>
  </si>
  <si>
    <t>Move IHC with sacks</t>
  </si>
  <si>
    <t>Move Sacks in OTR</t>
  </si>
  <si>
    <t>Move loose in OTR</t>
  </si>
  <si>
    <t>Move OWC</t>
  </si>
  <si>
    <t>Manual Sort</t>
  </si>
  <si>
    <t>Move IHCs with sacks</t>
  </si>
  <si>
    <t>Move OTRs</t>
  </si>
  <si>
    <t>Move OWCs</t>
  </si>
  <si>
    <t>Destination Delivery Unit</t>
  </si>
  <si>
    <t>Unload Bedload Sack</t>
  </si>
  <si>
    <t>Unload OTR w/ sacks</t>
  </si>
  <si>
    <t>Dump Sacks</t>
  </si>
  <si>
    <t>Move Containers From Dock</t>
  </si>
  <si>
    <t>Sort Flats</t>
  </si>
  <si>
    <t>Sort Parcels</t>
  </si>
  <si>
    <t>Model Cost</t>
  </si>
  <si>
    <t>[1]:  Pages 3 and 4</t>
  </si>
  <si>
    <t>[2]:  Page 2</t>
  </si>
  <si>
    <t xml:space="preserve"> [3]:  Page 5</t>
  </si>
  <si>
    <t>[4]:  Page 4</t>
  </si>
  <si>
    <t>[5]: ( wage rate * [4] ) / ( [2] * [3] )</t>
  </si>
  <si>
    <t>[6]: [1] * [5]</t>
  </si>
  <si>
    <t>Bound Printed Matter DSCF Model Cost Summary</t>
  </si>
  <si>
    <t>Unload Pallets</t>
  </si>
  <si>
    <t>Cross dock pallets</t>
  </si>
  <si>
    <t>Load Pallets</t>
  </si>
  <si>
    <t>Unload Pallet</t>
  </si>
  <si>
    <t>Unload Bedloaded Sacks to IHC</t>
  </si>
  <si>
    <t>Crossdock Pallets</t>
  </si>
  <si>
    <t>Crossdock bedloaded sacks</t>
  </si>
  <si>
    <t>Move Pallet</t>
  </si>
  <si>
    <t>Move IHC</t>
  </si>
  <si>
    <t>Sort to 5-digit</t>
  </si>
  <si>
    <t>Load OTRs</t>
  </si>
  <si>
    <t>Load OWCs</t>
  </si>
  <si>
    <t>Unload OTRs</t>
  </si>
  <si>
    <t>Unload OWCs</t>
  </si>
  <si>
    <t>Unload Bedloaded Sacks</t>
  </si>
  <si>
    <t>Move containers from dock</t>
  </si>
  <si>
    <t>Modeled Cost</t>
  </si>
  <si>
    <t>Calculation of the Percent of outgoing costs DNDC Parcels Avoid</t>
  </si>
  <si>
    <t>Total BPM pieces going through Origin NDC</t>
  </si>
  <si>
    <t>origin AO</t>
  </si>
  <si>
    <t>Origin SCF</t>
  </si>
  <si>
    <t>Origin NDC/ASF</t>
  </si>
  <si>
    <t>Total Pieces through destinating NDC (not origin NDC)</t>
  </si>
  <si>
    <t>BPM entered at the destination NDC/ASF</t>
  </si>
  <si>
    <t>Entered at the NDC Service Area</t>
  </si>
  <si>
    <t>Total Pieces going through one or more NDCS</t>
  </si>
  <si>
    <t>8/</t>
  </si>
  <si>
    <t>Inter-NDC [1]</t>
  </si>
  <si>
    <t>Origin NDC</t>
  </si>
  <si>
    <t>out</t>
  </si>
  <si>
    <t>in</t>
  </si>
  <si>
    <t>Percent of total volume</t>
  </si>
  <si>
    <t>9/</t>
  </si>
  <si>
    <t>Percent of volume that goes through one or more NDCS</t>
  </si>
  <si>
    <t>10/</t>
  </si>
  <si>
    <t>Percent of outgoing costs</t>
  </si>
  <si>
    <t>n/a</t>
  </si>
  <si>
    <t>11/</t>
  </si>
  <si>
    <t>Intra-NDC/DNDC [2]</t>
  </si>
  <si>
    <t>12/</t>
  </si>
  <si>
    <t>13/</t>
  </si>
  <si>
    <t>14/</t>
  </si>
  <si>
    <t>Percent of NDC- outgoing Costs avoided by DNDC</t>
  </si>
  <si>
    <t>15/</t>
  </si>
  <si>
    <t>1/:  2/ + 3/ + 4/</t>
  </si>
  <si>
    <t>2/, 3/, 4/, 6/ &amp; 7/:  Docket No. R2000-1, USPS-T-27, Attachment H, revised 4/14/00.</t>
  </si>
  <si>
    <t>5/:  6/ + 7/</t>
  </si>
  <si>
    <t>8/:  1/ + 5/</t>
  </si>
  <si>
    <t>9/:  1/</t>
  </si>
  <si>
    <t>10/:  9/ divided by 8/</t>
  </si>
  <si>
    <t>11/:  Percent of outgoing costs in each column of 10/ divided by total percent of outgoing costs [38.6 / (38.6+ 38.6 + 61.4)].</t>
  </si>
  <si>
    <t>12/:  5/</t>
  </si>
  <si>
    <t>13/:  12/ divided by 8/</t>
  </si>
  <si>
    <t>14/:  Percent of outgoing costs in each column of 13/ divided by total percent of outgoing costs [61.4 / (38.6 + 38.6 + 61.4)].</t>
  </si>
  <si>
    <t>15/:  Percent of outgoing costs that DNDC avoids (27.8 + 27.8).</t>
  </si>
  <si>
    <t>Both [1] &amp; [2]:  Handbook F-45, Appendix B, page 2.  Assumes break down costs at NDCs into two "legs".</t>
  </si>
  <si>
    <t>[1]:  For inter-NDC both legs at the origin NDC are outgoing and both legs at destination NDC are incoming.</t>
  </si>
  <si>
    <t>[2]:  For intra-NDC and DNDC the first leg at destination NDC is outgoing and second leg is incoming.</t>
  </si>
  <si>
    <t>Calculation of Bound Printed Matter DNDC Cost Savings</t>
  </si>
  <si>
    <t>Proportion of outgoing NDC costs avoided by DNDC</t>
  </si>
  <si>
    <t>NDC Outgoing costs (excluding platform acceptance)</t>
  </si>
  <si>
    <t>Non-NDC Outgoing costs not including ASFs (excluding platform acceptance)</t>
  </si>
  <si>
    <t xml:space="preserve">ASF Outgoing Costs </t>
  </si>
  <si>
    <t>Percent of Volume ASF acts like NDC</t>
  </si>
  <si>
    <t>NDC Outgoing costs (including percent of ASF)</t>
  </si>
  <si>
    <t>Non-NDC Outgoing costs (including percent of ASFs)</t>
  </si>
  <si>
    <t>BPM volume (000)</t>
  </si>
  <si>
    <t>Proportion of volume deposited upstream of the DNDC</t>
  </si>
  <si>
    <t>Total costs avoided by DNDC entered BPM</t>
  </si>
  <si>
    <t>Total volume of pieces deposited upstream of DNDC</t>
  </si>
  <si>
    <t>Total estimated DNDC cost savings</t>
  </si>
  <si>
    <t>1/:  Page 8</t>
  </si>
  <si>
    <t>2/:  USPS-FY25-22</t>
  </si>
  <si>
    <t>3/:  USPS-FY25-22</t>
  </si>
  <si>
    <t>4/:  USPS-FY25-22</t>
  </si>
  <si>
    <t>5/:  Docket No. R2000-1, USPS-T-26, Attachment Y, page 2.</t>
  </si>
  <si>
    <t>6/:  2/ + 4/ * 5/</t>
  </si>
  <si>
    <t>7/:  3/ + ( 1 - 4/ )* 5/</t>
  </si>
  <si>
    <t>8/:  Page 11</t>
  </si>
  <si>
    <t>9/:  Page 8</t>
  </si>
  <si>
    <t>10/:  1/  * 6/  + 7/</t>
  </si>
  <si>
    <t>11/:  8/ * 9/</t>
  </si>
  <si>
    <t>12/:  10/ divided by 11/</t>
  </si>
  <si>
    <t>Mail Processing Costs Avoided By Carrier Route</t>
  </si>
  <si>
    <t>Presorted Bound Printed Matter</t>
  </si>
  <si>
    <t>Non-Carrier Route</t>
  </si>
  <si>
    <t>Wage Rate</t>
  </si>
  <si>
    <t>Productivity</t>
  </si>
  <si>
    <t>Unit Cost</t>
  </si>
  <si>
    <t>Carrier Route</t>
  </si>
  <si>
    <t>Piggyback Factor</t>
  </si>
  <si>
    <t>Total carrier route presort savings</t>
  </si>
  <si>
    <t>1/:  Page 4</t>
  </si>
  <si>
    <t>2/:  Page 2</t>
  </si>
  <si>
    <t>3/:  1/ divided by 2/</t>
  </si>
  <si>
    <t>4/:  Page 2</t>
  </si>
  <si>
    <t>5/:  1/ divided by 4/</t>
  </si>
  <si>
    <t>6/:  Page 4</t>
  </si>
  <si>
    <t>7/: ( 3/ - 5/ ) * 6/</t>
  </si>
  <si>
    <t>Calculation of Bound Printed Matter Flat/Parcel Delivery Cost Differential</t>
  </si>
  <si>
    <t>Flats</t>
  </si>
  <si>
    <t>Parcels</t>
  </si>
  <si>
    <t>Total</t>
  </si>
  <si>
    <t>Volumes (000s)</t>
  </si>
  <si>
    <t>Delivery Activities Costs</t>
  </si>
  <si>
    <t>Allocated Costs</t>
  </si>
  <si>
    <t>Unit Costs</t>
  </si>
  <si>
    <t>Unit Cost Difference Between Flats and Parcels</t>
  </si>
  <si>
    <t>1/:  USPS-FY25-1</t>
  </si>
  <si>
    <t>2/:  USPS-FY25-2, CS 7.2</t>
  </si>
  <si>
    <t>3/:  Page 4</t>
  </si>
  <si>
    <t xml:space="preserve">7/:  2/ * 3/  </t>
  </si>
  <si>
    <t>8/:  4/ divided by 1/</t>
  </si>
  <si>
    <t>9/:  Unit cost of parcels in 5/  - unit cost of flats in 5/</t>
  </si>
  <si>
    <t>Bound Printed Matter Barcode Savings Estimate</t>
  </si>
  <si>
    <t>Time</t>
  </si>
  <si>
    <t>Vol Var</t>
  </si>
  <si>
    <t>Wage</t>
  </si>
  <si>
    <t>Direct</t>
  </si>
  <si>
    <t>Piggyback</t>
  </si>
  <si>
    <t>(Hours)</t>
  </si>
  <si>
    <t>Factor</t>
  </si>
  <si>
    <t>Rate</t>
  </si>
  <si>
    <t>Cost</t>
  </si>
  <si>
    <t>Cost (Cents)</t>
  </si>
  <si>
    <t>[1]:  MTM-4M time estimate for keying 5-digit ZIP Code (USPS-FY08-15)</t>
  </si>
  <si>
    <t>[3]:  Page 4</t>
  </si>
  <si>
    <t>[4]:  [1] * [2] * [3]</t>
  </si>
  <si>
    <t>[5]:  Page 4</t>
  </si>
  <si>
    <t>[6]:  [4] * [5]</t>
  </si>
  <si>
    <t>[7]:  [6] * 100 cents/dollar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</si>
</sst>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0"/>
    <numFmt numFmtId="167" formatCode="0.000"/>
    <numFmt numFmtId="168" formatCode="0.000000"/>
    <numFmt numFmtId="169" formatCode="0.0_)"/>
    <numFmt numFmtId="170" formatCode="_(* #,##0_);_(* \(#,##0\);_(* &quot;-&quot;??_);_(@_)"/>
    <numFmt numFmtId="171" formatCode="#,##0.000_);\(#,##0.000\)"/>
    <numFmt numFmtId="172" formatCode="0.000%"/>
    <numFmt numFmtId="173" formatCode="&quot;$&quot;#,##0.000_);\(&quot;$&quot;#,##0.000\)"/>
    <numFmt numFmtId="174" formatCode="0.00000%"/>
    <numFmt numFmtId="175" formatCode="&quot;$&quot;#,##0.000"/>
    <numFmt numFmtId="176" formatCode="&quot;$&quot;#,##0.0000"/>
    <numFmt numFmtId="177" formatCode="&quot;$&quot;#,##0.000_);[Red]\(&quot;$&quot;#,##0.000\)"/>
    <numFmt numFmtId="178" formatCode="_(&quot;$&quot;* #,##0.0000_);_(&quot;$&quot;* \(#,##0.0000\);_(&quot;$&quot;* &quot;-&quot;??_);_(@_)"/>
    <numFmt numFmtId="179" formatCode="#,##0.000"/>
    <numFmt numFmtId="180" formatCode="&quot;$&quot;#,##0"/>
  </numFmts>
  <fonts count="22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1"/>
      <color indexed="12"/>
      <name val="Arial"/>
      <family val="2"/>
    </font>
    <font>
      <b/>
      <u/>
      <sz val="9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6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98">
    <xf numFmtId="0" fontId="0" fillId="0" borderId="0" xfId="0"/>
    <xf numFmtId="0" fontId="3" fillId="0" borderId="0" xfId="0" applyFont="1"/>
    <xf numFmtId="0" fontId="7" fillId="0" borderId="0" xfId="0" applyFont="1"/>
    <xf numFmtId="0" fontId="8" fillId="0" borderId="0" xfId="0" applyFont="1"/>
    <xf numFmtId="10" fontId="0" fillId="0" borderId="0" xfId="3" applyNumberFormat="1" applyFont="1" applyFill="1"/>
    <xf numFmtId="166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Continuous"/>
    </xf>
    <xf numFmtId="9" fontId="7" fillId="0" borderId="0" xfId="3" applyFont="1" applyFill="1"/>
    <xf numFmtId="9" fontId="7" fillId="0" borderId="0" xfId="3" applyFont="1" applyFill="1" applyBorder="1"/>
    <xf numFmtId="164" fontId="7" fillId="0" borderId="0" xfId="0" applyNumberFormat="1" applyFont="1"/>
    <xf numFmtId="164" fontId="0" fillId="0" borderId="0" xfId="0" applyNumberFormat="1"/>
    <xf numFmtId="167" fontId="7" fillId="0" borderId="0" xfId="0" applyNumberFormat="1" applyFont="1"/>
    <xf numFmtId="9" fontId="7" fillId="0" borderId="0" xfId="0" applyNumberFormat="1" applyFont="1"/>
    <xf numFmtId="7" fontId="7" fillId="0" borderId="0" xfId="0" applyNumberFormat="1" applyFont="1"/>
    <xf numFmtId="9" fontId="7" fillId="0" borderId="0" xfId="3" applyFont="1" applyFill="1" applyBorder="1" applyAlignment="1">
      <alignment horizontal="centerContinuous"/>
    </xf>
    <xf numFmtId="0" fontId="4" fillId="0" borderId="0" xfId="0" applyFont="1" applyAlignment="1">
      <alignment horizontal="centerContinuous"/>
    </xf>
    <xf numFmtId="0" fontId="9" fillId="0" borderId="0" xfId="0" applyFont="1"/>
    <xf numFmtId="10" fontId="0" fillId="0" borderId="0" xfId="3" applyNumberFormat="1" applyFont="1" applyFill="1" applyBorder="1"/>
    <xf numFmtId="9" fontId="0" fillId="0" borderId="0" xfId="3" applyFont="1" applyFill="1" applyBorder="1"/>
    <xf numFmtId="0" fontId="7" fillId="0" borderId="0" xfId="0" quotePrefix="1" applyFont="1" applyAlignment="1">
      <alignment horizontal="left"/>
    </xf>
    <xf numFmtId="0" fontId="11" fillId="0" borderId="0" xfId="0" applyFont="1"/>
    <xf numFmtId="173" fontId="0" fillId="0" borderId="0" xfId="0" applyNumberFormat="1"/>
    <xf numFmtId="0" fontId="0" fillId="0" borderId="0" xfId="0" applyAlignment="1">
      <alignment horizontal="center"/>
    </xf>
    <xf numFmtId="176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4" fontId="11" fillId="0" borderId="0" xfId="0" applyNumberFormat="1" applyFont="1"/>
    <xf numFmtId="175" fontId="0" fillId="0" borderId="0" xfId="0" applyNumberFormat="1"/>
    <xf numFmtId="0" fontId="9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2" fontId="9" fillId="0" borderId="0" xfId="3" applyNumberFormat="1" applyFont="1" applyFill="1" applyBorder="1" applyAlignment="1">
      <alignment horizontal="center"/>
    </xf>
    <xf numFmtId="0" fontId="5" fillId="0" borderId="0" xfId="0" applyFont="1" applyAlignment="1">
      <alignment horizontal="centerContinuous"/>
    </xf>
    <xf numFmtId="0" fontId="5" fillId="0" borderId="0" xfId="0" applyFont="1"/>
    <xf numFmtId="0" fontId="17" fillId="0" borderId="0" xfId="0" applyFont="1"/>
    <xf numFmtId="178" fontId="0" fillId="0" borderId="0" xfId="2" applyNumberFormat="1" applyFont="1"/>
    <xf numFmtId="0" fontId="1" fillId="0" borderId="2" xfId="0" applyFont="1" applyBorder="1"/>
    <xf numFmtId="0" fontId="17" fillId="0" borderId="3" xfId="0" applyFont="1" applyBorder="1"/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0" fillId="0" borderId="4" xfId="0" applyBorder="1"/>
    <xf numFmtId="0" fontId="0" fillId="2" borderId="8" xfId="0" applyFill="1" applyBorder="1" applyAlignment="1">
      <alignment horizontal="centerContinuous"/>
    </xf>
    <xf numFmtId="164" fontId="0" fillId="2" borderId="8" xfId="0" applyNumberFormat="1" applyFill="1" applyBorder="1" applyAlignment="1">
      <alignment horizontal="centerContinuous"/>
    </xf>
    <xf numFmtId="0" fontId="0" fillId="0" borderId="3" xfId="0" applyBorder="1"/>
    <xf numFmtId="0" fontId="0" fillId="2" borderId="9" xfId="0" applyFill="1" applyBorder="1" applyAlignment="1">
      <alignment horizontal="centerContinuous"/>
    </xf>
    <xf numFmtId="0" fontId="0" fillId="0" borderId="6" xfId="0" applyBorder="1"/>
    <xf numFmtId="2" fontId="0" fillId="0" borderId="3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5" fillId="0" borderId="12" xfId="0" applyFont="1" applyBorder="1"/>
    <xf numFmtId="0" fontId="5" fillId="0" borderId="1" xfId="0" applyFont="1" applyBorder="1"/>
    <xf numFmtId="0" fontId="5" fillId="0" borderId="13" xfId="0" applyFont="1" applyBorder="1"/>
    <xf numFmtId="0" fontId="0" fillId="0" borderId="14" xfId="0" applyBorder="1"/>
    <xf numFmtId="10" fontId="0" fillId="0" borderId="0" xfId="0" applyNumberFormat="1"/>
    <xf numFmtId="164" fontId="0" fillId="0" borderId="0" xfId="0" applyNumberFormat="1" applyAlignment="1">
      <alignment horizontal="centerContinuous"/>
    </xf>
    <xf numFmtId="0" fontId="0" fillId="0" borderId="0" xfId="0" applyAlignment="1">
      <alignment horizontal="centerContinuous"/>
    </xf>
    <xf numFmtId="165" fontId="0" fillId="0" borderId="4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0" fontId="18" fillId="0" borderId="0" xfId="0" applyFont="1" applyAlignment="1">
      <alignment horizontal="centerContinuous"/>
    </xf>
    <xf numFmtId="165" fontId="5" fillId="0" borderId="0" xfId="0" applyNumberFormat="1" applyFont="1"/>
    <xf numFmtId="0" fontId="0" fillId="0" borderId="0" xfId="0" quotePrefix="1" applyAlignment="1">
      <alignment horizontal="left"/>
    </xf>
    <xf numFmtId="0" fontId="20" fillId="0" borderId="0" xfId="0" applyFont="1"/>
    <xf numFmtId="0" fontId="19" fillId="0" borderId="0" xfId="0" applyFont="1"/>
    <xf numFmtId="167" fontId="0" fillId="0" borderId="0" xfId="0" applyNumberFormat="1" applyAlignment="1">
      <alignment horizontal="center"/>
    </xf>
    <xf numFmtId="167" fontId="14" fillId="0" borderId="0" xfId="0" applyNumberFormat="1" applyFont="1"/>
    <xf numFmtId="167" fontId="7" fillId="0" borderId="0" xfId="0" applyNumberFormat="1" applyFont="1" applyAlignment="1">
      <alignment horizontal="centerContinuous"/>
    </xf>
    <xf numFmtId="164" fontId="4" fillId="0" borderId="0" xfId="0" applyNumberFormat="1" applyFont="1"/>
    <xf numFmtId="164" fontId="14" fillId="0" borderId="0" xfId="0" applyNumberFormat="1" applyFont="1"/>
    <xf numFmtId="164" fontId="7" fillId="0" borderId="0" xfId="0" applyNumberFormat="1" applyFont="1" applyAlignment="1">
      <alignment horizontal="right"/>
    </xf>
    <xf numFmtId="167" fontId="1" fillId="0" borderId="0" xfId="0" applyNumberFormat="1" applyFont="1"/>
    <xf numFmtId="175" fontId="7" fillId="0" borderId="0" xfId="0" applyNumberFormat="1" applyFont="1"/>
    <xf numFmtId="175" fontId="7" fillId="0" borderId="0" xfId="0" applyNumberFormat="1" applyFont="1" applyAlignment="1">
      <alignment horizontal="center"/>
    </xf>
    <xf numFmtId="175" fontId="7" fillId="0" borderId="0" xfId="0" applyNumberFormat="1" applyFont="1" applyAlignment="1">
      <alignment horizontal="centerContinuous"/>
    </xf>
    <xf numFmtId="175" fontId="1" fillId="0" borderId="0" xfId="0" applyNumberFormat="1" applyFont="1" applyAlignment="1">
      <alignment horizontal="center"/>
    </xf>
    <xf numFmtId="167" fontId="0" fillId="0" borderId="0" xfId="0" applyNumberFormat="1"/>
    <xf numFmtId="167" fontId="0" fillId="0" borderId="0" xfId="0" applyNumberFormat="1" applyAlignment="1">
      <alignment horizontal="centerContinuous"/>
    </xf>
    <xf numFmtId="167" fontId="0" fillId="0" borderId="1" xfId="0" applyNumberFormat="1" applyBorder="1" applyAlignment="1">
      <alignment horizontal="center"/>
    </xf>
    <xf numFmtId="167" fontId="12" fillId="0" borderId="0" xfId="0" applyNumberFormat="1" applyFont="1"/>
    <xf numFmtId="167" fontId="12" fillId="0" borderId="0" xfId="0" applyNumberFormat="1" applyFont="1" applyAlignment="1">
      <alignment horizontal="center"/>
    </xf>
    <xf numFmtId="167" fontId="0" fillId="0" borderId="0" xfId="0" applyNumberFormat="1" applyAlignment="1">
      <alignment horizontal="right"/>
    </xf>
    <xf numFmtId="175" fontId="0" fillId="0" borderId="0" xfId="0" applyNumberFormat="1" applyAlignment="1">
      <alignment horizontal="centerContinuous"/>
    </xf>
    <xf numFmtId="175" fontId="0" fillId="0" borderId="0" xfId="0" applyNumberFormat="1" applyAlignment="1">
      <alignment horizontal="center"/>
    </xf>
    <xf numFmtId="175" fontId="0" fillId="0" borderId="1" xfId="0" applyNumberFormat="1" applyBorder="1" applyAlignment="1">
      <alignment horizontal="center"/>
    </xf>
    <xf numFmtId="0" fontId="7" fillId="0" borderId="0" xfId="0" applyFont="1" applyAlignment="1">
      <alignment horizontal="left"/>
    </xf>
    <xf numFmtId="175" fontId="5" fillId="0" borderId="0" xfId="0" applyNumberFormat="1" applyFont="1" applyAlignment="1">
      <alignment horizontal="center"/>
    </xf>
    <xf numFmtId="175" fontId="4" fillId="0" borderId="0" xfId="0" applyNumberFormat="1" applyFont="1" applyAlignment="1">
      <alignment horizontal="center"/>
    </xf>
    <xf numFmtId="175" fontId="4" fillId="0" borderId="25" xfId="0" applyNumberFormat="1" applyFont="1" applyBorder="1" applyAlignment="1">
      <alignment horizontal="center"/>
    </xf>
    <xf numFmtId="0" fontId="4" fillId="0" borderId="0" xfId="0" quotePrefix="1" applyFont="1" applyAlignment="1">
      <alignment horizontal="centerContinuous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centerContinuous"/>
    </xf>
    <xf numFmtId="0" fontId="6" fillId="0" borderId="0" xfId="0" applyFont="1"/>
    <xf numFmtId="0" fontId="15" fillId="0" borderId="0" xfId="0" applyFont="1"/>
    <xf numFmtId="0" fontId="2" fillId="0" borderId="0" xfId="0" applyFont="1" applyAlignment="1">
      <alignment horizontal="left"/>
    </xf>
    <xf numFmtId="0" fontId="12" fillId="0" borderId="0" xfId="0" quotePrefix="1" applyFont="1" applyAlignment="1">
      <alignment horizontal="left"/>
    </xf>
    <xf numFmtId="2" fontId="2" fillId="0" borderId="0" xfId="3" applyNumberFormat="1" applyFill="1" applyBorder="1"/>
    <xf numFmtId="9" fontId="2" fillId="0" borderId="0" xfId="3" applyFill="1" applyBorder="1"/>
    <xf numFmtId="9" fontId="2" fillId="0" borderId="0" xfId="3" applyFill="1" applyBorder="1" applyAlignment="1">
      <alignment horizontal="center"/>
    </xf>
    <xf numFmtId="0" fontId="4" fillId="0" borderId="0" xfId="0" quotePrefix="1" applyFont="1" applyAlignment="1">
      <alignment horizontal="left"/>
    </xf>
    <xf numFmtId="10" fontId="2" fillId="0" borderId="0" xfId="3" applyNumberFormat="1" applyFill="1"/>
    <xf numFmtId="180" fontId="2" fillId="0" borderId="0" xfId="3" applyNumberFormat="1" applyFill="1"/>
    <xf numFmtId="175" fontId="2" fillId="0" borderId="1" xfId="3" applyNumberFormat="1" applyFill="1" applyBorder="1"/>
    <xf numFmtId="167" fontId="2" fillId="0" borderId="0" xfId="3" applyNumberFormat="1" applyFill="1"/>
    <xf numFmtId="0" fontId="15" fillId="0" borderId="0" xfId="0" applyFont="1" applyAlignment="1">
      <alignment horizontal="center"/>
    </xf>
    <xf numFmtId="172" fontId="0" fillId="0" borderId="0" xfId="0" applyNumberFormat="1"/>
    <xf numFmtId="174" fontId="0" fillId="0" borderId="0" xfId="0" applyNumberFormat="1"/>
    <xf numFmtId="10" fontId="0" fillId="0" borderId="0" xfId="0" applyNumberFormat="1" applyAlignment="1">
      <alignment horizontal="right"/>
    </xf>
    <xf numFmtId="10" fontId="16" fillId="0" borderId="0" xfId="0" applyNumberFormat="1" applyFont="1" applyAlignment="1">
      <alignment horizontal="right"/>
    </xf>
    <xf numFmtId="0" fontId="16" fillId="0" borderId="0" xfId="0" applyFont="1" applyAlignment="1">
      <alignment horizontal="center"/>
    </xf>
    <xf numFmtId="10" fontId="12" fillId="0" borderId="0" xfId="0" applyNumberFormat="1" applyFont="1" applyAlignment="1">
      <alignment horizontal="right"/>
    </xf>
    <xf numFmtId="172" fontId="5" fillId="0" borderId="0" xfId="0" applyNumberFormat="1" applyFont="1"/>
    <xf numFmtId="175" fontId="5" fillId="0" borderId="0" xfId="0" applyNumberFormat="1" applyFont="1"/>
    <xf numFmtId="0" fontId="2" fillId="0" borderId="0" xfId="0" quotePrefix="1" applyFont="1" applyAlignment="1">
      <alignment horizontal="left"/>
    </xf>
    <xf numFmtId="0" fontId="2" fillId="0" borderId="0" xfId="0" applyFont="1"/>
    <xf numFmtId="167" fontId="1" fillId="0" borderId="2" xfId="0" applyNumberFormat="1" applyFont="1" applyBorder="1"/>
    <xf numFmtId="164" fontId="12" fillId="0" borderId="1" xfId="0" applyNumberFormat="1" applyFont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175" fontId="0" fillId="0" borderId="3" xfId="0" applyNumberFormat="1" applyBorder="1"/>
    <xf numFmtId="179" fontId="0" fillId="0" borderId="0" xfId="0" applyNumberFormat="1"/>
    <xf numFmtId="10" fontId="9" fillId="0" borderId="0" xfId="0" applyNumberFormat="1" applyFont="1"/>
    <xf numFmtId="167" fontId="9" fillId="0" borderId="0" xfId="0" applyNumberFormat="1" applyFont="1"/>
    <xf numFmtId="0" fontId="1" fillId="0" borderId="0" xfId="0" applyFont="1"/>
    <xf numFmtId="0" fontId="12" fillId="0" borderId="0" xfId="0" applyFont="1"/>
    <xf numFmtId="0" fontId="9" fillId="0" borderId="0" xfId="0" quotePrefix="1" applyFont="1" applyAlignment="1">
      <alignment horizontal="left"/>
    </xf>
    <xf numFmtId="0" fontId="6" fillId="0" borderId="0" xfId="0" quotePrefix="1" applyFont="1" applyAlignment="1">
      <alignment horizontal="left"/>
    </xf>
    <xf numFmtId="167" fontId="2" fillId="0" borderId="0" xfId="0" applyNumberFormat="1" applyFont="1"/>
    <xf numFmtId="167" fontId="2" fillId="0" borderId="0" xfId="0" applyNumberFormat="1" applyFont="1" applyAlignment="1">
      <alignment horizontal="right"/>
    </xf>
    <xf numFmtId="175" fontId="4" fillId="0" borderId="24" xfId="0" applyNumberFormat="1" applyFont="1" applyBorder="1" applyAlignment="1">
      <alignment horizontal="center"/>
    </xf>
    <xf numFmtId="175" fontId="4" fillId="3" borderId="25" xfId="0" applyNumberFormat="1" applyFont="1" applyFill="1" applyBorder="1" applyAlignment="1">
      <alignment horizontal="center"/>
    </xf>
    <xf numFmtId="175" fontId="1" fillId="3" borderId="0" xfId="0" applyNumberFormat="1" applyFont="1" applyFill="1" applyAlignment="1">
      <alignment horizontal="center"/>
    </xf>
    <xf numFmtId="175" fontId="1" fillId="3" borderId="6" xfId="0" applyNumberFormat="1" applyFont="1" applyFill="1" applyBorder="1" applyAlignment="1">
      <alignment horizontal="center"/>
    </xf>
    <xf numFmtId="175" fontId="0" fillId="3" borderId="0" xfId="0" applyNumberFormat="1" applyFill="1" applyAlignment="1">
      <alignment horizontal="center"/>
    </xf>
    <xf numFmtId="0" fontId="4" fillId="0" borderId="0" xfId="0" applyFont="1"/>
    <xf numFmtId="0" fontId="0" fillId="0" borderId="1" xfId="0" applyBorder="1"/>
    <xf numFmtId="0" fontId="4" fillId="0" borderId="0" xfId="0" applyFont="1" applyFill="1" applyAlignment="1">
      <alignment horizontal="centerContinuous"/>
    </xf>
    <xf numFmtId="0" fontId="1" fillId="0" borderId="0" xfId="0" applyFont="1" applyFill="1" applyAlignment="1">
      <alignment horizontal="centerContinuous"/>
    </xf>
    <xf numFmtId="0" fontId="0" fillId="0" borderId="0" xfId="0" applyFill="1"/>
    <xf numFmtId="9" fontId="0" fillId="0" borderId="0" xfId="0" applyNumberFormat="1" applyFill="1"/>
    <xf numFmtId="0" fontId="0" fillId="0" borderId="9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0" fontId="0" fillId="0" borderId="0" xfId="0" quotePrefix="1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left" wrapText="1"/>
    </xf>
    <xf numFmtId="0" fontId="0" fillId="0" borderId="21" xfId="0" applyFill="1" applyBorder="1" applyAlignment="1">
      <alignment horizontal="left"/>
    </xf>
    <xf numFmtId="0" fontId="0" fillId="0" borderId="21" xfId="0" applyFill="1" applyBorder="1" applyAlignment="1">
      <alignment horizontal="center"/>
    </xf>
    <xf numFmtId="0" fontId="0" fillId="0" borderId="21" xfId="0" applyFill="1" applyBorder="1"/>
    <xf numFmtId="164" fontId="0" fillId="0" borderId="21" xfId="0" applyNumberFormat="1" applyFill="1" applyBorder="1" applyAlignment="1">
      <alignment horizontal="center"/>
    </xf>
    <xf numFmtId="9" fontId="0" fillId="0" borderId="21" xfId="0" applyNumberFormat="1" applyFill="1" applyBorder="1" applyAlignment="1">
      <alignment horizontal="center"/>
    </xf>
    <xf numFmtId="2" fontId="0" fillId="0" borderId="0" xfId="0" applyNumberFormat="1" applyFill="1"/>
    <xf numFmtId="9" fontId="0" fillId="0" borderId="0" xfId="0" applyNumberFormat="1" applyFill="1" applyAlignment="1">
      <alignment horizontal="center"/>
    </xf>
    <xf numFmtId="0" fontId="0" fillId="0" borderId="9" xfId="0" applyFill="1" applyBorder="1" applyAlignment="1">
      <alignment horizontal="left"/>
    </xf>
    <xf numFmtId="0" fontId="0" fillId="0" borderId="9" xfId="0" applyFill="1" applyBorder="1"/>
    <xf numFmtId="0" fontId="10" fillId="0" borderId="0" xfId="0" applyFont="1" applyFill="1" applyAlignment="1">
      <alignment horizontal="center"/>
    </xf>
    <xf numFmtId="0" fontId="10" fillId="0" borderId="0" xfId="0" quotePrefix="1" applyFont="1" applyFill="1" applyAlignment="1">
      <alignment horizontal="center"/>
    </xf>
    <xf numFmtId="0" fontId="10" fillId="0" borderId="0" xfId="0" applyFont="1" applyFill="1"/>
    <xf numFmtId="0" fontId="9" fillId="0" borderId="0" xfId="0" applyFont="1" applyFill="1"/>
    <xf numFmtId="164" fontId="0" fillId="0" borderId="0" xfId="0" applyNumberFormat="1" applyFill="1"/>
    <xf numFmtId="0" fontId="10" fillId="0" borderId="21" xfId="0" applyFont="1" applyFill="1" applyBorder="1" applyAlignment="1">
      <alignment horizontal="center"/>
    </xf>
    <xf numFmtId="0" fontId="1" fillId="0" borderId="21" xfId="0" applyFont="1" applyFill="1" applyBorder="1" applyAlignment="1">
      <alignment horizontal="center"/>
    </xf>
    <xf numFmtId="164" fontId="0" fillId="0" borderId="0" xfId="0" applyNumberFormat="1" applyFill="1" applyAlignment="1">
      <alignment horizontal="centerContinuous"/>
    </xf>
    <xf numFmtId="0" fontId="0" fillId="0" borderId="27" xfId="0" applyFill="1" applyBorder="1" applyAlignment="1">
      <alignment horizontal="centerContinuous"/>
    </xf>
    <xf numFmtId="0" fontId="0" fillId="0" borderId="0" xfId="0" applyFill="1" applyAlignment="1">
      <alignment horizontal="centerContinuous"/>
    </xf>
    <xf numFmtId="0" fontId="13" fillId="0" borderId="0" xfId="0" applyFont="1" applyFill="1" applyAlignment="1">
      <alignment horizontal="center"/>
    </xf>
    <xf numFmtId="0" fontId="10" fillId="0" borderId="21" xfId="0" applyFont="1" applyFill="1" applyBorder="1"/>
    <xf numFmtId="0" fontId="13" fillId="0" borderId="21" xfId="0" applyFont="1" applyFill="1" applyBorder="1" applyAlignment="1">
      <alignment horizontal="center"/>
    </xf>
    <xf numFmtId="0" fontId="2" fillId="0" borderId="0" xfId="0" applyFont="1" applyFill="1" applyAlignment="1">
      <alignment horizontal="right"/>
    </xf>
    <xf numFmtId="0" fontId="3" fillId="0" borderId="0" xfId="0" applyFont="1" applyFill="1"/>
    <xf numFmtId="167" fontId="0" fillId="0" borderId="0" xfId="0" applyNumberFormat="1" applyFill="1" applyAlignment="1">
      <alignment horizontal="center"/>
    </xf>
    <xf numFmtId="2" fontId="0" fillId="0" borderId="0" xfId="0" applyNumberFormat="1" applyFill="1" applyAlignment="1">
      <alignment horizontal="center"/>
    </xf>
    <xf numFmtId="0" fontId="0" fillId="0" borderId="0" xfId="0" applyFill="1" applyAlignment="1">
      <alignment horizontal="right"/>
    </xf>
    <xf numFmtId="0" fontId="15" fillId="0" borderId="0" xfId="0" quotePrefix="1" applyFont="1" applyFill="1" applyAlignment="1">
      <alignment horizontal="left"/>
    </xf>
    <xf numFmtId="0" fontId="12" fillId="0" borderId="0" xfId="0" quotePrefix="1" applyFont="1" applyFill="1" applyAlignment="1">
      <alignment horizontal="left"/>
    </xf>
    <xf numFmtId="0" fontId="12" fillId="0" borderId="0" xfId="0" applyFont="1" applyFill="1" applyAlignment="1">
      <alignment horizontal="center"/>
    </xf>
    <xf numFmtId="0" fontId="2" fillId="0" borderId="0" xfId="0" quotePrefix="1" applyFont="1" applyFill="1" applyAlignment="1">
      <alignment horizontal="left"/>
    </xf>
    <xf numFmtId="0" fontId="3" fillId="0" borderId="0" xfId="0" applyFont="1" applyFill="1" applyAlignment="1">
      <alignment horizontal="center"/>
    </xf>
    <xf numFmtId="0" fontId="0" fillId="0" borderId="0" xfId="0" quotePrefix="1" applyFill="1" applyAlignment="1">
      <alignment horizontal="left"/>
    </xf>
    <xf numFmtId="0" fontId="4" fillId="0" borderId="0" xfId="0" quotePrefix="1" applyFont="1" applyFill="1" applyAlignment="1">
      <alignment horizontal="left"/>
    </xf>
    <xf numFmtId="0" fontId="0" fillId="0" borderId="1" xfId="0" applyFill="1" applyBorder="1"/>
    <xf numFmtId="0" fontId="0" fillId="0" borderId="14" xfId="0" applyFill="1" applyBorder="1"/>
    <xf numFmtId="0" fontId="20" fillId="0" borderId="0" xfId="0" applyFont="1" applyFill="1"/>
    <xf numFmtId="0" fontId="2" fillId="0" borderId="0" xfId="0" applyFont="1" applyFill="1" applyAlignment="1">
      <alignment horizontal="left"/>
    </xf>
    <xf numFmtId="167" fontId="0" fillId="3" borderId="0" xfId="0" applyNumberFormat="1" applyFill="1" applyAlignment="1">
      <alignment horizontal="center"/>
    </xf>
    <xf numFmtId="179" fontId="0" fillId="3" borderId="0" xfId="0" applyNumberFormat="1" applyFill="1" applyAlignment="1">
      <alignment horizontal="center"/>
    </xf>
    <xf numFmtId="175" fontId="4" fillId="3" borderId="26" xfId="0" applyNumberFormat="1" applyFont="1" applyFill="1" applyBorder="1" applyAlignment="1">
      <alignment horizontal="center"/>
    </xf>
    <xf numFmtId="0" fontId="15" fillId="0" borderId="0" xfId="0" applyFont="1" applyFill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" fillId="0" borderId="0" xfId="0" quotePrefix="1" applyFont="1" applyAlignment="1">
      <alignment horizontal="right"/>
    </xf>
    <xf numFmtId="9" fontId="2" fillId="0" borderId="0" xfId="3" applyFont="1" applyFill="1"/>
    <xf numFmtId="164" fontId="2" fillId="0" borderId="0" xfId="0" applyNumberFormat="1" applyFont="1"/>
    <xf numFmtId="164" fontId="2" fillId="0" borderId="0" xfId="0" applyNumberFormat="1" applyFont="1" applyAlignment="1">
      <alignment horizontal="right"/>
    </xf>
    <xf numFmtId="169" fontId="2" fillId="0" borderId="0" xfId="0" applyNumberFormat="1" applyFont="1"/>
    <xf numFmtId="164" fontId="2" fillId="3" borderId="0" xfId="0" applyNumberFormat="1" applyFont="1" applyFill="1"/>
    <xf numFmtId="164" fontId="2" fillId="3" borderId="0" xfId="0" applyNumberFormat="1" applyFont="1" applyFill="1" applyAlignment="1">
      <alignment horizontal="right"/>
    </xf>
    <xf numFmtId="2" fontId="2" fillId="0" borderId="0" xfId="0" applyNumberFormat="1" applyFont="1"/>
    <xf numFmtId="1" fontId="2" fillId="0" borderId="0" xfId="0" applyNumberFormat="1" applyFont="1"/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0" fontId="2" fillId="0" borderId="0" xfId="0" applyNumberFormat="1" applyFont="1"/>
    <xf numFmtId="166" fontId="2" fillId="0" borderId="0" xfId="0" applyNumberFormat="1" applyFont="1"/>
    <xf numFmtId="10" fontId="2" fillId="0" borderId="0" xfId="3" applyNumberFormat="1" applyFont="1" applyFill="1"/>
    <xf numFmtId="10" fontId="2" fillId="0" borderId="0" xfId="0" applyNumberFormat="1" applyFont="1" applyAlignment="1">
      <alignment horizontal="right"/>
    </xf>
    <xf numFmtId="173" fontId="2" fillId="0" borderId="0" xfId="0" applyNumberFormat="1" applyFont="1"/>
    <xf numFmtId="171" fontId="2" fillId="0" borderId="0" xfId="0" applyNumberFormat="1" applyFont="1"/>
    <xf numFmtId="168" fontId="2" fillId="0" borderId="0" xfId="0" applyNumberFormat="1" applyFont="1"/>
    <xf numFmtId="0" fontId="2" fillId="0" borderId="0" xfId="0" quotePrefix="1" applyFont="1" applyAlignment="1">
      <alignment horizontal="center"/>
    </xf>
    <xf numFmtId="165" fontId="2" fillId="0" borderId="0" xfId="0" applyNumberFormat="1" applyFont="1"/>
    <xf numFmtId="165" fontId="2" fillId="0" borderId="0" xfId="3" applyNumberFormat="1" applyFont="1" applyFill="1"/>
    <xf numFmtId="166" fontId="2" fillId="0" borderId="0" xfId="3" applyNumberFormat="1" applyFont="1" applyFill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164" fontId="2" fillId="0" borderId="21" xfId="0" applyNumberFormat="1" applyFont="1" applyFill="1" applyBorder="1" applyAlignment="1">
      <alignment horizontal="center"/>
    </xf>
    <xf numFmtId="0" fontId="1" fillId="0" borderId="27" xfId="0" applyFont="1" applyFill="1" applyBorder="1" applyAlignment="1">
      <alignment horizontal="centerContinuous"/>
    </xf>
    <xf numFmtId="0" fontId="1" fillId="0" borderId="1" xfId="0" applyFont="1" applyFill="1" applyBorder="1" applyAlignment="1">
      <alignment horizontal="centerContinuous"/>
    </xf>
    <xf numFmtId="0" fontId="1" fillId="0" borderId="1" xfId="0" applyFont="1" applyFill="1" applyBorder="1"/>
    <xf numFmtId="0" fontId="1" fillId="0" borderId="0" xfId="0" quotePrefix="1" applyFont="1" applyFill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2" fillId="0" borderId="0" xfId="0" applyFont="1" applyFill="1"/>
    <xf numFmtId="167" fontId="2" fillId="0" borderId="0" xfId="0" applyNumberFormat="1" applyFont="1" applyFill="1" applyAlignment="1">
      <alignment horizontal="center"/>
    </xf>
    <xf numFmtId="0" fontId="2" fillId="0" borderId="21" xfId="0" applyFont="1" applyFill="1" applyBorder="1" applyAlignment="1">
      <alignment horizontal="right"/>
    </xf>
    <xf numFmtId="0" fontId="2" fillId="0" borderId="21" xfId="0" applyFont="1" applyFill="1" applyBorder="1" applyAlignment="1">
      <alignment horizontal="center"/>
    </xf>
    <xf numFmtId="167" fontId="2" fillId="0" borderId="21" xfId="0" applyNumberFormat="1" applyFont="1" applyFill="1" applyBorder="1" applyAlignment="1">
      <alignment horizontal="center"/>
    </xf>
    <xf numFmtId="2" fontId="2" fillId="0" borderId="21" xfId="0" applyNumberFormat="1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167" fontId="2" fillId="0" borderId="0" xfId="0" applyNumberFormat="1" applyFont="1" applyAlignment="1">
      <alignment horizontal="centerContinuous"/>
    </xf>
    <xf numFmtId="164" fontId="2" fillId="0" borderId="0" xfId="0" applyNumberFormat="1" applyFont="1" applyAlignment="1">
      <alignment horizontal="centerContinuous"/>
    </xf>
    <xf numFmtId="175" fontId="2" fillId="0" borderId="0" xfId="0" applyNumberFormat="1" applyFont="1" applyAlignment="1">
      <alignment horizontal="centerContinuous"/>
    </xf>
    <xf numFmtId="167" fontId="2" fillId="0" borderId="0" xfId="0" applyNumberFormat="1" applyFont="1" applyAlignment="1">
      <alignment horizontal="center"/>
    </xf>
    <xf numFmtId="175" fontId="2" fillId="0" borderId="0" xfId="0" applyNumberFormat="1" applyFont="1" applyAlignment="1">
      <alignment horizontal="center"/>
    </xf>
    <xf numFmtId="7" fontId="2" fillId="0" borderId="1" xfId="0" applyNumberFormat="1" applyFont="1" applyBorder="1"/>
    <xf numFmtId="167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75" fontId="2" fillId="0" borderId="1" xfId="0" applyNumberFormat="1" applyFont="1" applyBorder="1" applyAlignment="1">
      <alignment horizontal="center"/>
    </xf>
    <xf numFmtId="7" fontId="1" fillId="0" borderId="0" xfId="0" applyNumberFormat="1" applyFont="1"/>
    <xf numFmtId="164" fontId="2" fillId="3" borderId="0" xfId="0" applyNumberFormat="1" applyFont="1" applyFill="1" applyAlignment="1">
      <alignment horizontal="center"/>
    </xf>
    <xf numFmtId="175" fontId="2" fillId="3" borderId="0" xfId="0" applyNumberFormat="1" applyFont="1" applyFill="1" applyAlignment="1">
      <alignment horizontal="center"/>
    </xf>
    <xf numFmtId="0" fontId="2" fillId="0" borderId="1" xfId="0" applyFont="1" applyBorder="1"/>
    <xf numFmtId="175" fontId="2" fillId="0" borderId="0" xfId="0" applyNumberFormat="1" applyFont="1"/>
    <xf numFmtId="175" fontId="2" fillId="0" borderId="0" xfId="0" applyNumberFormat="1" applyFont="1" applyAlignment="1">
      <alignment horizontal="right"/>
    </xf>
    <xf numFmtId="175" fontId="2" fillId="0" borderId="3" xfId="0" applyNumberFormat="1" applyFont="1" applyBorder="1"/>
    <xf numFmtId="175" fontId="1" fillId="0" borderId="0" xfId="3" applyNumberFormat="1" applyFont="1" applyFill="1" applyBorder="1" applyAlignment="1">
      <alignment horizontal="center"/>
    </xf>
    <xf numFmtId="167" fontId="1" fillId="0" borderId="2" xfId="0" applyNumberFormat="1" applyFont="1" applyBorder="1" applyAlignment="1">
      <alignment horizontal="left"/>
    </xf>
    <xf numFmtId="175" fontId="1" fillId="0" borderId="0" xfId="0" applyNumberFormat="1" applyFont="1"/>
    <xf numFmtId="165" fontId="1" fillId="0" borderId="0" xfId="0" applyNumberFormat="1" applyFont="1"/>
    <xf numFmtId="0" fontId="1" fillId="0" borderId="0" xfId="0" quotePrefix="1" applyFont="1" applyAlignment="1">
      <alignment horizontal="left"/>
    </xf>
    <xf numFmtId="0" fontId="4" fillId="0" borderId="12" xfId="0" applyFont="1" applyBorder="1" applyAlignment="1"/>
    <xf numFmtId="0" fontId="1" fillId="2" borderId="7" xfId="0" applyFont="1" applyFill="1" applyBorder="1" applyAlignment="1">
      <alignment horizontal="centerContinuous"/>
    </xf>
    <xf numFmtId="0" fontId="1" fillId="2" borderId="10" xfId="0" applyFont="1" applyFill="1" applyBorder="1" applyAlignment="1">
      <alignment horizontal="centerContinuous"/>
    </xf>
    <xf numFmtId="0" fontId="0" fillId="0" borderId="13" xfId="0" applyBorder="1" applyAlignment="1"/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0" borderId="0" xfId="0" applyFont="1" applyAlignment="1"/>
    <xf numFmtId="164" fontId="1" fillId="2" borderId="2" xfId="0" applyNumberFormat="1" applyFont="1" applyFill="1" applyBorder="1" applyAlignment="1">
      <alignment horizontal="centerContinuous"/>
    </xf>
    <xf numFmtId="0" fontId="0" fillId="0" borderId="1" xfId="0" applyBorder="1" applyAlignment="1"/>
    <xf numFmtId="164" fontId="1" fillId="0" borderId="4" xfId="0" applyNumberFormat="1" applyFont="1" applyBorder="1" applyAlignment="1">
      <alignment horizontal="center"/>
    </xf>
    <xf numFmtId="0" fontId="1" fillId="0" borderId="22" xfId="0" quotePrefix="1" applyFont="1" applyBorder="1" applyAlignment="1">
      <alignment horizontal="left"/>
    </xf>
    <xf numFmtId="0" fontId="1" fillId="0" borderId="14" xfId="0" applyFont="1" applyBorder="1"/>
    <xf numFmtId="165" fontId="1" fillId="0" borderId="15" xfId="0" applyNumberFormat="1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0" xfId="0" applyFont="1" applyFill="1" applyAlignment="1">
      <alignment horizontal="centerContinuous"/>
    </xf>
    <xf numFmtId="165" fontId="2" fillId="0" borderId="0" xfId="0" applyNumberFormat="1" applyFont="1" applyFill="1"/>
    <xf numFmtId="6" fontId="2" fillId="0" borderId="0" xfId="0" applyNumberFormat="1" applyFont="1" applyFill="1"/>
    <xf numFmtId="3" fontId="2" fillId="0" borderId="0" xfId="0" applyNumberFormat="1" applyFont="1" applyFill="1"/>
    <xf numFmtId="10" fontId="2" fillId="0" borderId="0" xfId="0" applyNumberFormat="1" applyFont="1" applyFill="1"/>
    <xf numFmtId="0" fontId="2" fillId="0" borderId="0" xfId="0" quotePrefix="1" applyFont="1" applyFill="1"/>
    <xf numFmtId="0" fontId="1" fillId="0" borderId="2" xfId="0" applyFont="1" applyFill="1" applyBorder="1"/>
    <xf numFmtId="0" fontId="2" fillId="0" borderId="3" xfId="0" applyFont="1" applyFill="1" applyBorder="1"/>
    <xf numFmtId="177" fontId="1" fillId="0" borderId="3" xfId="0" applyNumberFormat="1" applyFont="1" applyFill="1" applyBorder="1"/>
    <xf numFmtId="0" fontId="1" fillId="0" borderId="6" xfId="0" applyFont="1" applyFill="1" applyBorder="1" applyAlignment="1">
      <alignment horizontal="center"/>
    </xf>
    <xf numFmtId="175" fontId="2" fillId="3" borderId="0" xfId="0" applyNumberFormat="1" applyFont="1" applyFill="1"/>
    <xf numFmtId="0" fontId="2" fillId="0" borderId="3" xfId="0" applyFont="1" applyBorder="1"/>
    <xf numFmtId="0" fontId="1" fillId="0" borderId="3" xfId="0" applyFont="1" applyBorder="1" applyAlignment="1">
      <alignment horizontal="center"/>
    </xf>
    <xf numFmtId="175" fontId="1" fillId="3" borderId="6" xfId="0" applyNumberFormat="1" applyFont="1" applyFill="1" applyBorder="1"/>
    <xf numFmtId="0" fontId="1" fillId="0" borderId="0" xfId="0" applyFont="1" applyFill="1"/>
    <xf numFmtId="0" fontId="1" fillId="0" borderId="1" xfId="0" applyFont="1" applyFill="1" applyBorder="1" applyAlignment="1">
      <alignment horizontal="right" wrapText="1"/>
    </xf>
    <xf numFmtId="0" fontId="1" fillId="0" borderId="1" xfId="0" applyFont="1" applyFill="1" applyBorder="1" applyAlignment="1">
      <alignment horizontal="right"/>
    </xf>
    <xf numFmtId="170" fontId="2" fillId="0" borderId="0" xfId="1" applyNumberFormat="1" applyFont="1" applyFill="1" applyAlignment="1">
      <alignment horizontal="right"/>
    </xf>
    <xf numFmtId="170" fontId="2" fillId="0" borderId="0" xfId="1" applyNumberFormat="1" applyFont="1" applyFill="1" applyAlignment="1"/>
    <xf numFmtId="180" fontId="2" fillId="0" borderId="0" xfId="2" applyNumberFormat="1" applyFont="1" applyFill="1"/>
    <xf numFmtId="180" fontId="2" fillId="0" borderId="0" xfId="0" applyNumberFormat="1" applyFont="1" applyFill="1"/>
    <xf numFmtId="0" fontId="1" fillId="0" borderId="0" xfId="0" quotePrefix="1" applyFont="1" applyFill="1" applyAlignment="1">
      <alignment horizontal="left"/>
    </xf>
    <xf numFmtId="2" fontId="1" fillId="0" borderId="0" xfId="0" applyNumberFormat="1" applyFont="1" applyFill="1"/>
    <xf numFmtId="0" fontId="1" fillId="0" borderId="1" xfId="0" quotePrefix="1" applyFont="1" applyFill="1" applyBorder="1" applyAlignment="1">
      <alignment horizontal="left"/>
    </xf>
    <xf numFmtId="175" fontId="2" fillId="0" borderId="1" xfId="3" applyNumberFormat="1" applyFont="1" applyFill="1" applyBorder="1"/>
    <xf numFmtId="0" fontId="1" fillId="0" borderId="22" xfId="0" quotePrefix="1" applyFont="1" applyFill="1" applyBorder="1" applyAlignment="1">
      <alignment horizontal="left"/>
    </xf>
    <xf numFmtId="175" fontId="1" fillId="0" borderId="15" xfId="0" applyNumberFormat="1" applyFont="1" applyFill="1" applyBorder="1"/>
    <xf numFmtId="0" fontId="1" fillId="0" borderId="0" xfId="0" applyFont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ternalSSD/Folder%2015/FY25/Inputs/NDCscrub2025_revis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xternalSSD/Folder%2015/FY25/Inputs/YRscrub2025_revise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ternalSSD\Folder%2015\FY25\Inputs\eFlash_Prod_RM2025-4_FY2025.xlsx" TargetMode="External"/><Relationship Id="rId1" Type="http://schemas.openxmlformats.org/officeDocument/2006/relationships/externalLinkPath" Target="/ExternalSSD/Folder%2015/FY25/Inputs/eFlash_Prod_RM2025-4_FY2025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ternalSSD\Folder%2015\FY25\Inputs\USPS-FY25-7%20part6.xlsx" TargetMode="External"/><Relationship Id="rId1" Type="http://schemas.openxmlformats.org/officeDocument/2006/relationships/externalLinkPath" Target="/ExternalSSD/Folder%2015/FY25/Inputs/USPS-FY25-7%20part6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ternalSSD\Folder%2015\FY25\Inputs\USPS-FY25-7%20part5.xlsx" TargetMode="External"/><Relationship Id="rId1" Type="http://schemas.openxmlformats.org/officeDocument/2006/relationships/externalLinkPath" Target="/ExternalSSD/Folder%2015/FY25/Inputs/USPS-FY25-7%20part5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ternalSSD\Folder%2015\FY25\Inputs\USPS-FY25-7%20part8.xlsx" TargetMode="External"/><Relationship Id="rId1" Type="http://schemas.openxmlformats.org/officeDocument/2006/relationships/externalLinkPath" Target="/ExternalSSD/Folder%2015/FY25/Inputs/USPS-FY25-7%20part8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xternalSSD/Folder%2015/FY25/Inputs/MPPGBY25PRC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xternalSSD/Folder%2015/FY25/Inputs/FY25Public.PB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ternalSSD\Folder%2015\FY25\Inputs\TRACS%20Domestic%20Density%20Factors%20FY25.xlsx" TargetMode="External"/><Relationship Id="rId1" Type="http://schemas.openxmlformats.org/officeDocument/2006/relationships/externalLinkPath" Target="/ExternalSSD/Folder%2015/FY25/Inputs/TRACS%20Domestic%20Density%20Factors%20FY25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ternalSSD\Folder%2015\FY25\Inputs\FY25%20BPM%20Costs%20ASF.xlsx" TargetMode="External"/><Relationship Id="rId1" Type="http://schemas.openxmlformats.org/officeDocument/2006/relationships/externalLinkPath" Target="/ExternalSSD/Folder%2015/FY25/Inputs/FY25%20BPM%20Costs%20ASF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ternalSSD\Folder%2015\FY25\Inputs\FY2025R_RPWAdj_12-9-25_v2.xlsx" TargetMode="External"/><Relationship Id="rId1" Type="http://schemas.openxmlformats.org/officeDocument/2006/relationships/externalLinkPath" Target="/ExternalSSD/Folder%2015/FY25/Inputs/FY2025R_RPWAdj_12-9-25_v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xternalSSD/Folder%2015/FY25/Inputs/FY25NP.CRp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FY25"/>
      <sheetName val="NDCscrub2025_revised"/>
    </sheetNames>
    <sheetDataSet>
      <sheetData sheetId="0">
        <row r="8">
          <cell r="I8">
            <v>392.67992073335415</v>
          </cell>
        </row>
        <row r="9">
          <cell r="I9">
            <v>317.61233559757812</v>
          </cell>
        </row>
        <row r="10">
          <cell r="I10">
            <v>2848.2562213136207</v>
          </cell>
        </row>
        <row r="11">
          <cell r="I11">
            <v>48.365821921553106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Y25 Table"/>
      <sheetName val="YRscrub2025_revised"/>
    </sheetNames>
    <sheetDataSet>
      <sheetData sheetId="0">
        <row r="57">
          <cell r="I57">
            <v>46.663258890611651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Y25 F4 Manual Productivity"/>
      <sheetName val="FY25 Est Hours"/>
      <sheetName val="FY25 Costs"/>
    </sheetNames>
    <sheetDataSet>
      <sheetData sheetId="0">
        <row r="4">
          <cell r="D4">
            <v>658.18475684439443</v>
          </cell>
        </row>
        <row r="6">
          <cell r="D6">
            <v>295.82991061998308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equip vol-var"/>
      <sheetName val="1. apbs"/>
      <sheetName val="2. Selected ldc 17 ops"/>
      <sheetName val="3. subtotals by major MP groups"/>
      <sheetName val=" 4. lcus-ssm"/>
      <sheetName val="5.  fsm"/>
      <sheetName val="6. d_ bcs"/>
      <sheetName val="7. Tray sort_Robotics"/>
      <sheetName val="8  MP Cost Pool Variabilities"/>
      <sheetName val="USPS-FY25-7 par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9">
          <cell r="E9">
            <v>0.98913371999999999</v>
          </cell>
        </row>
        <row r="22">
          <cell r="E22">
            <v>0.97225877999999999</v>
          </cell>
        </row>
        <row r="38">
          <cell r="E38">
            <v>0.91687624999999995</v>
          </cell>
        </row>
        <row r="64">
          <cell r="E64">
            <v>0.91586805999999998</v>
          </cell>
        </row>
        <row r="65">
          <cell r="E65">
            <v>0.91140966000000001</v>
          </cell>
        </row>
        <row r="66">
          <cell r="E66">
            <v>0.88894222000000001</v>
          </cell>
        </row>
        <row r="67">
          <cell r="E67">
            <v>0.9584975</v>
          </cell>
        </row>
        <row r="69">
          <cell r="E69">
            <v>0.928342</v>
          </cell>
        </row>
        <row r="77">
          <cell r="E77">
            <v>0.92642031000000002</v>
          </cell>
        </row>
        <row r="84">
          <cell r="E84">
            <v>0.97377163</v>
          </cell>
        </row>
        <row r="86">
          <cell r="E86">
            <v>0.96152245999999997</v>
          </cell>
        </row>
      </sheetData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V-1. Space DKs"/>
      <sheetName val="V-2. LD49_CMUCFS DK"/>
      <sheetName val="V-3. Premium Pay Adj"/>
      <sheetName val="V-3a-b. Night Premium Factors"/>
      <sheetName val="V-3c. Night Premium DKs"/>
      <sheetName val="V-3d-e. Sunday Premium Factors"/>
      <sheetName val="V-3f. Sunday Premium DKs"/>
      <sheetName val="USPS-FY25-7 part5"/>
    </sheetNames>
    <sheetDataSet>
      <sheetData sheetId="0"/>
      <sheetData sheetId="1"/>
      <sheetData sheetId="2"/>
      <sheetData sheetId="3">
        <row r="28">
          <cell r="S28">
            <v>0.97723095932530446</v>
          </cell>
        </row>
        <row r="29">
          <cell r="S29">
            <v>0.97978435682058584</v>
          </cell>
        </row>
      </sheetData>
      <sheetData sheetId="4"/>
      <sheetData sheetId="5"/>
      <sheetData sheetId="6"/>
      <sheetData sheetId="7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Y25 table viii "/>
      <sheetName val="FY25 table viii-a "/>
      <sheetName val="FY25 table viii-b"/>
      <sheetName val="FY25 Productive Hourly Rate "/>
    </sheetNames>
    <sheetDataSet>
      <sheetData sheetId="0">
        <row r="12">
          <cell r="D12">
            <v>50.10717457546064</v>
          </cell>
        </row>
      </sheetData>
      <sheetData sheetId="1"/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"/>
      <sheetName val="MP Piggybacks"/>
      <sheetName val="Cost Ratios"/>
      <sheetName val="MP Labor Cost Splits"/>
      <sheetName val="MP Labor Costs"/>
      <sheetName val="CR &amp; OP"/>
      <sheetName val="Facility Related Costs"/>
      <sheetName val="Facility Space Data "/>
      <sheetName val="Space Summary Costs"/>
      <sheetName val="IOCS Tallies – Select Equipment"/>
      <sheetName val="All Equip. Related Costs"/>
      <sheetName val="Capital Costs"/>
      <sheetName val="Maint. Costs"/>
      <sheetName val="Parts Costs"/>
      <sheetName val="Equip. Var."/>
      <sheetName val="Supv_Admin_Benefit Costs"/>
      <sheetName val="PB by Cost Type  "/>
      <sheetName val="PSM &amp; FSM &amp; LMLM Data"/>
    </sheetNames>
    <sheetDataSet>
      <sheetData sheetId="0"/>
      <sheetData sheetId="1">
        <row r="7">
          <cell r="J7">
            <v>1.754359816131257</v>
          </cell>
        </row>
        <row r="16">
          <cell r="J16">
            <v>1.3208756008457678</v>
          </cell>
        </row>
        <row r="25">
          <cell r="J25">
            <v>1.3606061934437479</v>
          </cell>
        </row>
        <row r="39">
          <cell r="J39">
            <v>1.4774316541145593</v>
          </cell>
        </row>
        <row r="40">
          <cell r="J40">
            <v>1.51761435929636</v>
          </cell>
        </row>
        <row r="41">
          <cell r="J41">
            <v>1.386023903258889</v>
          </cell>
        </row>
        <row r="44">
          <cell r="J44">
            <v>1.6196174573049362</v>
          </cell>
        </row>
        <row r="46">
          <cell r="J46">
            <v>1.6214860636540271</v>
          </cell>
        </row>
        <row r="53">
          <cell r="J53">
            <v>1.5675506909733425</v>
          </cell>
        </row>
        <row r="55">
          <cell r="J55">
            <v>1.4957786551922303</v>
          </cell>
        </row>
        <row r="63">
          <cell r="J63">
            <v>1.9204979181524358</v>
          </cell>
        </row>
        <row r="64">
          <cell r="J64">
            <v>2.0700178145522989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"/>
      <sheetName val="metered"/>
      <sheetName val="city"/>
      <sheetName val="PBRatios"/>
      <sheetName val="Postmaster"/>
      <sheetName val="SupvTrain"/>
      <sheetName val="MailProc"/>
      <sheetName val="Window"/>
      <sheetName val="C_I"/>
      <sheetName val="DataColl"/>
      <sheetName val="OtherAdmin"/>
      <sheetName val="CallCenters"/>
      <sheetName val="MPTrain"/>
      <sheetName val="CityCarriers"/>
      <sheetName val="VSD"/>
      <sheetName val="Rural"/>
      <sheetName val="PS2"/>
      <sheetName val="PS3"/>
      <sheetName val="PS18"/>
      <sheetName val="POBoxes"/>
      <sheetName val="TotalCost"/>
      <sheetName val="CheckSum"/>
      <sheetName val="InputMatrix"/>
    </sheetNames>
    <sheetDataSet>
      <sheetData sheetId="0"/>
      <sheetData sheetId="1"/>
      <sheetData sheetId="2"/>
      <sheetData sheetId="3">
        <row r="31">
          <cell r="M31">
            <v>1.2254767674605556</v>
          </cell>
        </row>
        <row r="32">
          <cell r="M32">
            <v>1.2847367023954521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CS CRA Surface Densities"/>
    </sheetNames>
    <sheetDataSet>
      <sheetData sheetId="0">
        <row r="47">
          <cell r="G47">
            <v>0.15061441512237644</v>
          </cell>
        </row>
        <row r="50">
          <cell r="G50">
            <v>0.12207631930312683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ors"/>
      <sheetName val="Flats"/>
      <sheetName val="Parcels"/>
      <sheetName val="Summary Flats"/>
      <sheetName val="Summary Pcls"/>
      <sheetName val="Summary Flats+Parcels"/>
    </sheetNames>
    <sheetDataSet>
      <sheetData sheetId="0"/>
      <sheetData sheetId="1"/>
      <sheetData sheetId="2"/>
      <sheetData sheetId="3"/>
      <sheetData sheetId="4"/>
      <sheetData sheetId="5">
        <row r="64">
          <cell r="H64">
            <v>81.917620778097856</v>
          </cell>
        </row>
        <row r="66">
          <cell r="F66">
            <v>1779.9384629044212</v>
          </cell>
        </row>
        <row r="67">
          <cell r="F67">
            <v>19090.107769842289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PW Report"/>
      <sheetName val="Adjusted RPW Rpt"/>
      <sheetName val="OutputsToCRA"/>
      <sheetName val="RPW Split"/>
      <sheetName val="Mapping"/>
      <sheetName val="Module1"/>
    </sheetNames>
    <sheetDataSet>
      <sheetData sheetId="0"/>
      <sheetData sheetId="1">
        <row r="44">
          <cell r="G44">
            <v>104285.946</v>
          </cell>
        </row>
        <row r="45">
          <cell r="G45">
            <v>225885.52600000001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Summary"/>
      <sheetName val="CS01"/>
      <sheetName val="CS02"/>
      <sheetName val="CS03"/>
      <sheetName val="CS06"/>
      <sheetName val="CS07"/>
      <sheetName val="CS08"/>
      <sheetName val="CS10"/>
      <sheetName val="CS11"/>
      <sheetName val="CS12"/>
      <sheetName val="CS13"/>
      <sheetName val="CS14"/>
      <sheetName val="CS15"/>
      <sheetName val="CS16"/>
      <sheetName val="CS17"/>
      <sheetName val="CS18"/>
      <sheetName val="CS19"/>
      <sheetName val="CS20"/>
      <sheetName val="FY25NP.CRpt"/>
    </sheetNames>
    <sheetDataSet>
      <sheetData sheetId="0"/>
      <sheetData sheetId="1"/>
      <sheetData sheetId="2"/>
      <sheetData sheetId="3"/>
      <sheetData sheetId="4"/>
      <sheetData sheetId="5">
        <row r="31">
          <cell r="G31">
            <v>1466.70209927468</v>
          </cell>
        </row>
        <row r="32">
          <cell r="G32">
            <v>53953.590793353724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  <pageSetUpPr fitToPage="1"/>
  </sheetPr>
  <dimension ref="A1:G20"/>
  <sheetViews>
    <sheetView tabSelected="1" zoomScale="75" zoomScaleNormal="75" workbookViewId="0">
      <selection activeCell="C5" sqref="C5"/>
    </sheetView>
  </sheetViews>
  <sheetFormatPr defaultColWidth="9.140625" defaultRowHeight="15"/>
  <cols>
    <col min="1" max="1" width="79.42578125" style="35" customWidth="1"/>
    <col min="2" max="2" width="3.7109375" style="35" customWidth="1"/>
    <col min="3" max="3" width="14.7109375" style="35" customWidth="1"/>
    <col min="4" max="4" width="16.7109375" style="91" customWidth="1"/>
    <col min="5" max="5" width="12.7109375" style="116" customWidth="1"/>
    <col min="6" max="7" width="12.7109375" style="117" customWidth="1"/>
    <col min="8" max="16384" width="9.140625" style="35"/>
  </cols>
  <sheetData>
    <row r="1" spans="1:4" ht="18">
      <c r="A1" s="65" t="s">
        <v>0</v>
      </c>
      <c r="B1" s="34"/>
      <c r="C1" s="34"/>
    </row>
    <row r="2" spans="1:4" ht="18">
      <c r="A2" s="65"/>
      <c r="B2" s="34"/>
      <c r="C2" s="34"/>
    </row>
    <row r="4" spans="1:4" ht="16.5" thickBot="1">
      <c r="D4" s="92"/>
    </row>
    <row r="5" spans="1:4" ht="18.95" customHeight="1" thickTop="1">
      <c r="A5" s="60" t="s">
        <v>1</v>
      </c>
      <c r="B5" s="61" t="s">
        <v>2</v>
      </c>
      <c r="C5" s="133">
        <f>+DB_2!D19</f>
        <v>0.20927606009075567</v>
      </c>
    </row>
    <row r="6" spans="1:4" ht="18.95" customHeight="1">
      <c r="A6" s="62" t="s">
        <v>3</v>
      </c>
      <c r="B6" s="138" t="s">
        <v>4</v>
      </c>
      <c r="C6" s="134">
        <f>+DNDC!G47-DSCF!G36</f>
        <v>0.513182465184852</v>
      </c>
    </row>
    <row r="7" spans="1:4" ht="18.95" customHeight="1">
      <c r="A7" s="62" t="s">
        <v>5</v>
      </c>
      <c r="B7" s="138" t="s">
        <v>6</v>
      </c>
      <c r="C7" s="134">
        <f>DSCF!G36-DSCF!G26</f>
        <v>0.73543244491225035</v>
      </c>
    </row>
    <row r="8" spans="1:4" ht="18.95" customHeight="1">
      <c r="A8" s="62" t="s">
        <v>7</v>
      </c>
      <c r="B8" s="138" t="s">
        <v>8</v>
      </c>
      <c r="C8" s="134">
        <f>+'Carrier Route'!F17</f>
        <v>0.22123353237359217</v>
      </c>
    </row>
    <row r="9" spans="1:4" ht="18.95" customHeight="1">
      <c r="A9" s="62" t="s">
        <v>9</v>
      </c>
      <c r="B9" s="138" t="s">
        <v>10</v>
      </c>
      <c r="C9" s="93">
        <f>+'Flat - Parcel'!F12</f>
        <v>0.28458776672264635</v>
      </c>
    </row>
    <row r="10" spans="1:4" ht="18.95" customHeight="1" thickBot="1">
      <c r="A10" s="63" t="s">
        <v>11</v>
      </c>
      <c r="B10" s="64" t="s">
        <v>12</v>
      </c>
      <c r="C10" s="190">
        <f>'Barcode Savings'!F8</f>
        <v>5.0566819106032515E-2</v>
      </c>
    </row>
    <row r="11" spans="1:4" ht="15.75" thickTop="1"/>
    <row r="14" spans="1:4" ht="15.75">
      <c r="A14" s="104" t="s">
        <v>13</v>
      </c>
    </row>
    <row r="15" spans="1:4" ht="15.75">
      <c r="A15" s="104" t="s">
        <v>14</v>
      </c>
    </row>
    <row r="16" spans="1:4" ht="15.75">
      <c r="A16" s="104" t="s">
        <v>15</v>
      </c>
    </row>
    <row r="17" spans="1:1" ht="15.75">
      <c r="A17" s="104" t="s">
        <v>16</v>
      </c>
    </row>
    <row r="18" spans="1:1" ht="15.75">
      <c r="A18" s="104" t="s">
        <v>17</v>
      </c>
    </row>
    <row r="19" spans="1:1" ht="15.75">
      <c r="A19" s="104" t="s">
        <v>18</v>
      </c>
    </row>
    <row r="20" spans="1:1">
      <c r="A20"/>
    </row>
  </sheetData>
  <phoneticPr fontId="0" type="noConversion"/>
  <pageMargins left="0.75" right="0.75" top="1.36" bottom="1" header="0.5" footer="0.5"/>
  <pageSetup scale="79" orientation="portrait" horizontalDpi="4294967292" verticalDpi="4294967292" r:id="rId1"/>
  <headerFooter alignWithMargins="0">
    <oddHeader>&amp;RPage 1 of 12</oddHeader>
    <oddFooter>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  <pageSetUpPr fitToPage="1"/>
  </sheetPr>
  <dimension ref="B1:N125"/>
  <sheetViews>
    <sheetView zoomScale="75" zoomScaleNormal="75" workbookViewId="0">
      <selection activeCell="B1" sqref="B1"/>
    </sheetView>
  </sheetViews>
  <sheetFormatPr defaultColWidth="9.140625" defaultRowHeight="12.75"/>
  <cols>
    <col min="1" max="1" width="3.42578125" style="1" customWidth="1"/>
    <col min="2" max="2" width="52" style="1" customWidth="1"/>
    <col min="3" max="3" width="4.85546875" style="1" customWidth="1"/>
    <col min="4" max="4" width="20.28515625" style="1" customWidth="1"/>
    <col min="5" max="5" width="6.5703125" style="8" customWidth="1"/>
    <col min="6" max="6" width="8.7109375" style="1" customWidth="1"/>
    <col min="7" max="7" width="12.28515625" style="1" customWidth="1"/>
    <col min="8" max="8" width="3.28515625" style="1" customWidth="1"/>
    <col min="9" max="9" width="12.85546875" style="1" customWidth="1"/>
    <col min="10" max="10" width="10.85546875" style="1" customWidth="1"/>
    <col min="11" max="11" width="7.5703125" style="1" customWidth="1"/>
    <col min="12" max="12" width="10.140625" style="1" bestFit="1" customWidth="1"/>
    <col min="13" max="16" width="9.140625" style="1"/>
    <col min="17" max="17" width="8" style="1" customWidth="1"/>
    <col min="18" max="16384" width="9.140625" style="1"/>
  </cols>
  <sheetData>
    <row r="1" spans="2:14" ht="15.75">
      <c r="B1" s="94" t="s">
        <v>19</v>
      </c>
      <c r="C1" s="56"/>
      <c r="D1" s="18"/>
      <c r="E1" s="96"/>
      <c r="F1" s="192"/>
      <c r="G1" s="95"/>
      <c r="H1" s="193"/>
      <c r="I1" s="193"/>
      <c r="J1" s="193"/>
      <c r="K1" s="193"/>
      <c r="L1" s="119"/>
      <c r="M1" s="119"/>
      <c r="N1" s="119"/>
    </row>
    <row r="3" spans="2:14">
      <c r="B3"/>
      <c r="C3" s="119"/>
      <c r="D3" s="194" t="s">
        <v>20</v>
      </c>
      <c r="E3" s="195"/>
      <c r="F3" s="119"/>
      <c r="G3" s="119"/>
      <c r="H3" s="119"/>
      <c r="I3" s="96"/>
      <c r="J3" s="193"/>
      <c r="K3" s="119"/>
      <c r="L3" s="119"/>
      <c r="M3" s="119"/>
      <c r="N3" s="119"/>
    </row>
    <row r="4" spans="2:14">
      <c r="B4" s="192" t="s">
        <v>21</v>
      </c>
      <c r="C4" s="119"/>
      <c r="D4" s="196" t="s">
        <v>22</v>
      </c>
      <c r="E4" s="195"/>
      <c r="F4" s="197"/>
      <c r="G4" s="119"/>
      <c r="H4" s="119"/>
      <c r="I4" s="195"/>
      <c r="J4" s="195"/>
      <c r="K4" s="119"/>
      <c r="L4"/>
      <c r="M4"/>
      <c r="N4"/>
    </row>
    <row r="5" spans="2:14">
      <c r="B5" s="99" t="s">
        <v>23</v>
      </c>
      <c r="C5" s="119"/>
      <c r="D5" s="198">
        <f>176.9/D39</f>
        <v>199.00056046387357</v>
      </c>
      <c r="E5" s="195" t="s">
        <v>2</v>
      </c>
      <c r="F5"/>
      <c r="G5" s="119"/>
      <c r="H5" s="119"/>
      <c r="I5" s="198"/>
      <c r="J5" s="199"/>
      <c r="K5" s="119"/>
      <c r="L5"/>
      <c r="M5"/>
      <c r="N5"/>
    </row>
    <row r="6" spans="2:14">
      <c r="B6" s="99" t="s">
        <v>24</v>
      </c>
      <c r="C6" s="119"/>
      <c r="D6" s="198">
        <f>145.779/D39</f>
        <v>163.99153591782377</v>
      </c>
      <c r="E6" s="195" t="s">
        <v>2</v>
      </c>
      <c r="F6"/>
      <c r="G6" s="119"/>
      <c r="H6" s="119"/>
      <c r="I6" s="198"/>
      <c r="J6" s="198"/>
      <c r="K6" s="119"/>
      <c r="L6" s="119"/>
      <c r="M6" s="119"/>
      <c r="N6" s="119"/>
    </row>
    <row r="7" spans="2:14">
      <c r="B7" s="99" t="s">
        <v>25</v>
      </c>
      <c r="C7" s="119"/>
      <c r="D7" s="200">
        <f>19.7/D39</f>
        <v>22.161170385179815</v>
      </c>
      <c r="E7" s="195" t="s">
        <v>2</v>
      </c>
      <c r="F7"/>
      <c r="G7" s="119"/>
      <c r="H7" s="119"/>
      <c r="I7" s="198"/>
      <c r="J7" s="199"/>
      <c r="K7" s="119"/>
      <c r="L7" s="119"/>
      <c r="M7" s="119"/>
      <c r="N7" s="119"/>
    </row>
    <row r="8" spans="2:14">
      <c r="B8" s="99" t="s">
        <v>26</v>
      </c>
      <c r="C8" s="119"/>
      <c r="D8" s="200">
        <f>11.606/D39</f>
        <v>13.055966674639437</v>
      </c>
      <c r="E8" s="195" t="s">
        <v>2</v>
      </c>
      <c r="F8"/>
      <c r="G8" s="119"/>
      <c r="H8" s="119"/>
      <c r="I8" s="198"/>
      <c r="J8" s="198"/>
      <c r="K8" s="119"/>
      <c r="L8" s="119"/>
      <c r="M8" s="119"/>
      <c r="N8" s="119"/>
    </row>
    <row r="9" spans="2:14">
      <c r="B9" s="99"/>
      <c r="C9" s="119"/>
      <c r="D9" s="200"/>
      <c r="E9" s="195"/>
      <c r="F9"/>
      <c r="G9" s="119"/>
      <c r="H9" s="119"/>
      <c r="I9" s="198"/>
      <c r="J9" s="199"/>
      <c r="K9" s="119"/>
      <c r="L9" s="119"/>
      <c r="M9" s="119"/>
      <c r="N9" s="119"/>
    </row>
    <row r="10" spans="2:14">
      <c r="B10" s="192" t="s">
        <v>27</v>
      </c>
      <c r="C10" s="119"/>
      <c r="D10" s="200"/>
      <c r="E10" s="195"/>
      <c r="F10" s="200"/>
      <c r="G10" s="119"/>
      <c r="H10" s="119"/>
      <c r="I10" s="198"/>
      <c r="J10" s="198"/>
      <c r="K10" s="119"/>
      <c r="L10" s="119"/>
      <c r="M10" s="119"/>
      <c r="N10" s="119"/>
    </row>
    <row r="11" spans="2:14">
      <c r="B11" s="99" t="s">
        <v>28</v>
      </c>
      <c r="C11" s="119"/>
      <c r="D11" s="200">
        <f>6.33/D40</f>
        <v>6.9452851750550897</v>
      </c>
      <c r="E11" s="195" t="s">
        <v>2</v>
      </c>
      <c r="F11"/>
      <c r="G11" s="119"/>
      <c r="H11" s="119"/>
      <c r="I11" s="198"/>
      <c r="J11" s="199"/>
      <c r="K11" s="119"/>
      <c r="L11" s="119"/>
      <c r="M11" s="119"/>
      <c r="N11" s="119"/>
    </row>
    <row r="12" spans="2:14">
      <c r="B12" s="99" t="s">
        <v>29</v>
      </c>
      <c r="C12" s="119"/>
      <c r="D12" s="200">
        <f>99.4/D40</f>
        <v>109.06182407590458</v>
      </c>
      <c r="E12" s="195" t="s">
        <v>4</v>
      </c>
      <c r="F12"/>
      <c r="G12" s="119"/>
      <c r="H12" s="119"/>
      <c r="I12" s="198"/>
      <c r="J12" s="199"/>
      <c r="K12" s="119"/>
      <c r="L12" s="119"/>
      <c r="M12" s="119"/>
      <c r="N12" s="119"/>
    </row>
    <row r="13" spans="2:14">
      <c r="B13" s="99" t="s">
        <v>30</v>
      </c>
      <c r="C13" s="119"/>
      <c r="D13" s="200">
        <f>'[1]Table FY25'!$I$10/D42</f>
        <v>3068.1109131264348</v>
      </c>
      <c r="E13" s="195" t="s">
        <v>6</v>
      </c>
      <c r="F13"/>
      <c r="G13" s="99"/>
      <c r="H13" s="119"/>
      <c r="I13" s="198"/>
      <c r="J13" s="199"/>
      <c r="K13" s="119"/>
      <c r="L13" s="119"/>
      <c r="M13" s="119"/>
      <c r="N13" s="119"/>
    </row>
    <row r="14" spans="2:14">
      <c r="B14"/>
      <c r="C14"/>
      <c r="D14" s="119"/>
      <c r="E14" s="25"/>
      <c r="F14"/>
      <c r="G14" s="119"/>
      <c r="H14" s="119"/>
      <c r="I14"/>
      <c r="J14"/>
      <c r="K14"/>
      <c r="L14" s="119"/>
      <c r="M14" s="119"/>
      <c r="N14" s="119"/>
    </row>
    <row r="15" spans="2:14">
      <c r="B15" s="192" t="s">
        <v>31</v>
      </c>
      <c r="C15" s="119"/>
      <c r="D15" s="119"/>
      <c r="E15" s="195"/>
      <c r="F15" s="119"/>
      <c r="G15" s="119"/>
      <c r="H15" s="119"/>
      <c r="I15" s="198"/>
      <c r="J15" s="198"/>
      <c r="K15" s="119"/>
      <c r="L15" s="119"/>
      <c r="M15" s="119"/>
      <c r="N15" s="119"/>
    </row>
    <row r="16" spans="2:14">
      <c r="B16" s="99" t="s">
        <v>32</v>
      </c>
      <c r="C16" s="119"/>
      <c r="D16" s="201">
        <f>'[1]Table FY25'!$I$8/D41</f>
        <v>409.68278032374019</v>
      </c>
      <c r="E16" s="195" t="s">
        <v>6</v>
      </c>
      <c r="F16"/>
      <c r="G16" s="99"/>
      <c r="H16" s="119"/>
      <c r="I16" s="198"/>
      <c r="J16" s="199"/>
      <c r="K16" s="119"/>
      <c r="L16" s="119"/>
      <c r="M16" s="119"/>
      <c r="N16" s="119"/>
    </row>
    <row r="17" spans="2:13">
      <c r="B17" s="99" t="s">
        <v>33</v>
      </c>
      <c r="C17" s="119"/>
      <c r="D17" s="201">
        <f>'[1]Table FY25'!$I$9/D41</f>
        <v>331.36480334855139</v>
      </c>
      <c r="E17" s="195" t="s">
        <v>6</v>
      </c>
      <c r="F17"/>
      <c r="G17" s="99"/>
      <c r="H17" s="119"/>
      <c r="I17" s="198"/>
      <c r="J17" s="199"/>
      <c r="K17" s="119"/>
      <c r="L17" s="119"/>
      <c r="M17" s="119"/>
    </row>
    <row r="18" spans="2:13">
      <c r="B18" s="119"/>
      <c r="C18" s="119"/>
      <c r="D18" s="119"/>
      <c r="E18" s="195"/>
      <c r="F18" s="119"/>
      <c r="G18" s="119"/>
      <c r="H18" s="119"/>
      <c r="I18" s="198"/>
      <c r="J18" s="198"/>
      <c r="K18" s="119"/>
      <c r="L18" s="119"/>
      <c r="M18" s="119"/>
    </row>
    <row r="19" spans="2:13">
      <c r="B19" s="192" t="s">
        <v>34</v>
      </c>
      <c r="C19" s="119"/>
      <c r="D19" s="119"/>
      <c r="E19" s="195"/>
      <c r="F19" s="119"/>
      <c r="G19" s="119"/>
      <c r="H19" s="119"/>
      <c r="I19" s="198"/>
      <c r="J19" s="198"/>
      <c r="K19" s="119"/>
      <c r="L19" s="119"/>
      <c r="M19" s="119"/>
    </row>
    <row r="20" spans="2:13">
      <c r="B20" s="118" t="s">
        <v>35</v>
      </c>
      <c r="C20" s="119"/>
      <c r="D20" s="202">
        <f>'[1]Table FY25'!$I$11/D43</f>
        <v>52.808722166327222</v>
      </c>
      <c r="E20" s="195" t="s">
        <v>6</v>
      </c>
      <c r="F20" s="119"/>
      <c r="G20" s="99"/>
      <c r="H20" s="119"/>
      <c r="I20" s="198"/>
      <c r="J20" s="198"/>
      <c r="K20" s="119"/>
      <c r="L20" s="119"/>
      <c r="M20" s="119"/>
    </row>
    <row r="21" spans="2:13">
      <c r="B21" s="118" t="s">
        <v>36</v>
      </c>
      <c r="C21" s="119"/>
      <c r="D21" s="202">
        <f>'[2]FY25 Table'!$I$57/D45</f>
        <v>47.994690148863093</v>
      </c>
      <c r="E21" s="195" t="s">
        <v>6</v>
      </c>
      <c r="F21" s="119"/>
      <c r="G21" s="99"/>
      <c r="H21" s="119"/>
      <c r="I21" s="198"/>
      <c r="J21" s="198"/>
      <c r="K21" s="119"/>
      <c r="L21" s="119"/>
      <c r="M21" s="119"/>
    </row>
    <row r="22" spans="2:13">
      <c r="B22" s="119"/>
      <c r="C22" s="119"/>
      <c r="D22" s="119"/>
      <c r="E22" s="195"/>
      <c r="F22" s="119"/>
      <c r="G22" s="119"/>
      <c r="H22" s="119"/>
      <c r="I22" s="198"/>
      <c r="J22" s="198"/>
      <c r="K22" s="119"/>
      <c r="L22" s="119"/>
      <c r="M22" s="119"/>
    </row>
    <row r="23" spans="2:13">
      <c r="B23" s="192" t="s">
        <v>37</v>
      </c>
      <c r="C23" s="97"/>
      <c r="D23" s="119"/>
      <c r="E23" s="195"/>
      <c r="F23" s="119"/>
      <c r="G23" s="119"/>
      <c r="H23" s="119"/>
      <c r="I23" s="198"/>
      <c r="J23" s="198"/>
      <c r="K23" s="119"/>
      <c r="L23" s="119"/>
      <c r="M23" s="119"/>
    </row>
    <row r="24" spans="2:13">
      <c r="B24" s="99" t="s">
        <v>38</v>
      </c>
      <c r="C24" s="119"/>
      <c r="D24" s="198">
        <f>5.3/D40</f>
        <v>5.8151676821156357</v>
      </c>
      <c r="E24" s="195" t="s">
        <v>2</v>
      </c>
      <c r="F24" s="198"/>
      <c r="G24" s="119"/>
      <c r="H24" s="119"/>
      <c r="I24" s="198"/>
      <c r="J24" s="199"/>
      <c r="K24" s="119"/>
      <c r="L24" s="119"/>
      <c r="M24" s="119"/>
    </row>
    <row r="25" spans="2:13">
      <c r="B25" s="119" t="s">
        <v>39</v>
      </c>
      <c r="C25" s="119"/>
      <c r="D25" s="198">
        <f>6.659/D39</f>
        <v>7.4909255631935219</v>
      </c>
      <c r="E25" s="195" t="s">
        <v>2</v>
      </c>
      <c r="F25" s="198"/>
      <c r="G25" s="119"/>
      <c r="H25" s="119"/>
      <c r="I25" s="199"/>
      <c r="J25" s="198"/>
      <c r="K25" s="119"/>
      <c r="L25" s="119"/>
      <c r="M25" s="119"/>
    </row>
    <row r="26" spans="2:13">
      <c r="B26" s="119" t="s">
        <v>40</v>
      </c>
      <c r="C26" s="119"/>
      <c r="D26" s="198">
        <f>28.99/D46</f>
        <v>31.292491849622767</v>
      </c>
      <c r="E26" s="195" t="s">
        <v>41</v>
      </c>
      <c r="F26" s="198"/>
      <c r="G26" s="119"/>
      <c r="H26" s="119"/>
      <c r="I26" s="199"/>
      <c r="J26" s="198"/>
      <c r="K26" s="119"/>
      <c r="L26" s="119"/>
      <c r="M26" s="119"/>
    </row>
    <row r="27" spans="2:13">
      <c r="B27" s="118"/>
      <c r="C27" s="119"/>
      <c r="D27" s="198"/>
      <c r="E27" s="195"/>
      <c r="F27" s="198"/>
      <c r="G27" s="119"/>
      <c r="H27" s="119"/>
      <c r="I27" s="198"/>
      <c r="J27" s="198"/>
      <c r="K27" s="119"/>
      <c r="L27" s="119"/>
      <c r="M27" s="119"/>
    </row>
    <row r="28" spans="2:13">
      <c r="B28" s="192" t="s">
        <v>42</v>
      </c>
      <c r="C28" s="119"/>
      <c r="D28" s="203"/>
      <c r="E28" s="195"/>
      <c r="F28" s="203"/>
      <c r="G28" s="119"/>
      <c r="H28" s="119"/>
      <c r="I28" s="198"/>
      <c r="J28" s="198"/>
      <c r="K28" s="119"/>
      <c r="L28" s="119"/>
      <c r="M28" s="119"/>
    </row>
    <row r="29" spans="2:13">
      <c r="B29" s="119" t="s">
        <v>43</v>
      </c>
      <c r="C29" s="119"/>
      <c r="D29" s="198">
        <f>172.682/D39</f>
        <v>194.25559514992997</v>
      </c>
      <c r="E29" s="195" t="s">
        <v>2</v>
      </c>
      <c r="F29" s="198"/>
      <c r="G29" s="119"/>
      <c r="H29" s="119"/>
      <c r="I29" s="198"/>
      <c r="J29" s="199"/>
      <c r="K29" s="119"/>
      <c r="L29" s="119"/>
      <c r="M29" s="119"/>
    </row>
    <row r="30" spans="2:13">
      <c r="B30" s="99" t="s">
        <v>44</v>
      </c>
      <c r="C30" s="119"/>
      <c r="D30" s="198">
        <f>9.849/D39</f>
        <v>11.079460260083046</v>
      </c>
      <c r="E30" s="195" t="s">
        <v>2</v>
      </c>
      <c r="F30" s="198"/>
      <c r="G30" s="119"/>
      <c r="H30" s="119"/>
      <c r="I30" s="198"/>
      <c r="J30" s="198"/>
      <c r="K30" s="119"/>
      <c r="L30" s="119"/>
      <c r="M30" s="198"/>
    </row>
    <row r="31" spans="2:13">
      <c r="B31" s="99" t="s">
        <v>45</v>
      </c>
      <c r="C31" s="119"/>
      <c r="D31" s="199">
        <f>12.671/D39</f>
        <v>14.254019794447382</v>
      </c>
      <c r="E31" s="195" t="s">
        <v>2</v>
      </c>
      <c r="F31" s="198"/>
      <c r="G31" s="119"/>
      <c r="H31" s="119"/>
      <c r="I31" s="198"/>
      <c r="J31" s="198"/>
      <c r="K31" s="119"/>
      <c r="L31" s="119"/>
      <c r="M31" s="198"/>
    </row>
    <row r="32" spans="2:13">
      <c r="B32" s="99"/>
      <c r="C32" s="119"/>
      <c r="D32" s="198"/>
      <c r="E32" s="195"/>
      <c r="F32" s="198"/>
      <c r="G32" s="119"/>
      <c r="H32" s="119"/>
      <c r="I32" s="198"/>
      <c r="J32" s="198"/>
      <c r="K32" s="119"/>
      <c r="L32" s="119"/>
      <c r="M32" s="198"/>
    </row>
    <row r="33" spans="2:13">
      <c r="B33" s="192" t="s">
        <v>46</v>
      </c>
      <c r="C33" s="119"/>
      <c r="D33" s="198"/>
      <c r="E33" s="195"/>
      <c r="F33" s="198"/>
      <c r="G33" s="119"/>
      <c r="H33" s="119"/>
      <c r="I33" s="198"/>
      <c r="J33" s="198"/>
      <c r="K33" s="119"/>
      <c r="L33" s="119"/>
      <c r="M33" s="198"/>
    </row>
    <row r="34" spans="2:13">
      <c r="B34" s="99" t="s">
        <v>47</v>
      </c>
      <c r="C34" s="119"/>
      <c r="D34" s="198">
        <f>'[3]FY25 F4 Manual Productivity'!$D$4/D48</f>
        <v>675.91284913937614</v>
      </c>
      <c r="E34" s="195" t="s">
        <v>2</v>
      </c>
      <c r="F34" s="198"/>
      <c r="G34" s="119"/>
      <c r="H34" s="119"/>
      <c r="I34" s="198"/>
      <c r="J34" s="198"/>
      <c r="K34" s="119"/>
      <c r="L34" s="119"/>
      <c r="M34" s="198"/>
    </row>
    <row r="35" spans="2:13">
      <c r="B35" s="99" t="s">
        <v>48</v>
      </c>
      <c r="C35" s="119"/>
      <c r="D35" s="198">
        <f>'[3]FY25 F4 Manual Productivity'!$D$6/D47</f>
        <v>307.66822713635111</v>
      </c>
      <c r="E35" s="195" t="s">
        <v>8</v>
      </c>
      <c r="F35" s="198"/>
      <c r="G35" s="119"/>
      <c r="H35" s="119"/>
      <c r="I35" s="198"/>
      <c r="J35" s="198"/>
      <c r="K35" s="119"/>
      <c r="L35" s="119"/>
      <c r="M35" s="198"/>
    </row>
    <row r="36" spans="2:13">
      <c r="B36" s="99" t="s">
        <v>49</v>
      </c>
      <c r="C36" s="119"/>
      <c r="D36" s="198">
        <f>4090/D47</f>
        <v>4253.6707878877842</v>
      </c>
      <c r="E36" s="195" t="s">
        <v>10</v>
      </c>
      <c r="F36" s="198"/>
      <c r="G36" s="119"/>
      <c r="H36" s="119"/>
      <c r="I36" s="198"/>
      <c r="J36" s="198"/>
      <c r="K36" s="119"/>
      <c r="L36" s="119"/>
      <c r="M36" s="198"/>
    </row>
    <row r="37" spans="2:13">
      <c r="B37" s="119"/>
      <c r="C37" s="119"/>
      <c r="D37" s="198"/>
      <c r="E37" s="195"/>
      <c r="F37" s="204"/>
      <c r="G37" s="119"/>
      <c r="H37" s="119"/>
      <c r="I37" s="198"/>
      <c r="J37" s="199"/>
      <c r="K37" s="119"/>
      <c r="L37" s="119"/>
      <c r="M37" s="119"/>
    </row>
    <row r="38" spans="2:13">
      <c r="B38" s="127" t="s">
        <v>50</v>
      </c>
      <c r="C38" s="119"/>
      <c r="D38" s="204"/>
      <c r="E38" s="205"/>
      <c r="F38" s="204"/>
      <c r="G38" s="119"/>
      <c r="H38" s="119"/>
      <c r="I38" s="198"/>
      <c r="J38" s="119"/>
      <c r="K38" s="119"/>
      <c r="L38" s="119"/>
      <c r="M38" s="119"/>
    </row>
    <row r="39" spans="2:13">
      <c r="B39" s="119" t="s">
        <v>51</v>
      </c>
      <c r="C39" s="119"/>
      <c r="D39" s="132">
        <f>'[4]8  MP Cost Pool Variabilities'!$E$66</f>
        <v>0.88894222000000001</v>
      </c>
      <c r="E39" s="195" t="s">
        <v>12</v>
      </c>
      <c r="F39" s="119"/>
      <c r="G39"/>
      <c r="H39" s="119"/>
      <c r="I39" s="194"/>
      <c r="J39" s="119"/>
      <c r="K39" s="119"/>
      <c r="L39" s="119"/>
      <c r="M39" s="119"/>
    </row>
    <row r="40" spans="2:13">
      <c r="B40" s="119" t="s">
        <v>52</v>
      </c>
      <c r="C40" s="119"/>
      <c r="D40" s="132">
        <f>'[4]8  MP Cost Pool Variabilities'!$E$65</f>
        <v>0.91140966000000001</v>
      </c>
      <c r="E40" s="195" t="s">
        <v>12</v>
      </c>
      <c r="F40" s="119"/>
      <c r="G40" s="119"/>
      <c r="H40" s="119"/>
      <c r="I40" s="119"/>
      <c r="J40" s="119"/>
      <c r="K40" s="119"/>
      <c r="L40" s="119"/>
      <c r="M40" s="119"/>
    </row>
    <row r="41" spans="2:13">
      <c r="B41" s="119" t="s">
        <v>53</v>
      </c>
      <c r="C41" s="119"/>
      <c r="D41" s="132">
        <f>'[4]8  MP Cost Pool Variabilities'!$E$67</f>
        <v>0.9584975</v>
      </c>
      <c r="E41" s="195" t="s">
        <v>12</v>
      </c>
      <c r="F41" s="119"/>
      <c r="G41" s="119"/>
      <c r="H41" s="119"/>
      <c r="I41" s="119"/>
      <c r="J41" s="119"/>
      <c r="K41" s="119"/>
      <c r="L41"/>
      <c r="M41"/>
    </row>
    <row r="42" spans="2:13">
      <c r="B42" s="119" t="s">
        <v>30</v>
      </c>
      <c r="C42" s="119"/>
      <c r="D42" s="132">
        <f>'[4]8  MP Cost Pool Variabilities'!$E$69</f>
        <v>0.928342</v>
      </c>
      <c r="E42" s="195" t="s">
        <v>12</v>
      </c>
      <c r="F42" s="119"/>
      <c r="G42" s="119"/>
      <c r="H42" s="119"/>
      <c r="I42" s="119"/>
      <c r="J42" s="119"/>
      <c r="K42" s="119"/>
      <c r="L42" s="119"/>
      <c r="M42"/>
    </row>
    <row r="43" spans="2:13">
      <c r="B43" s="118" t="s">
        <v>54</v>
      </c>
      <c r="C43" s="119"/>
      <c r="D43" s="132">
        <f>'[4]8  MP Cost Pool Variabilities'!$E$64</f>
        <v>0.91586805999999998</v>
      </c>
      <c r="E43" s="195" t="s">
        <v>12</v>
      </c>
      <c r="F43" s="119"/>
      <c r="G43" s="119"/>
      <c r="H43" s="119"/>
      <c r="I43" s="119"/>
      <c r="J43" s="119"/>
      <c r="K43" s="119"/>
      <c r="L43" s="119"/>
      <c r="M43"/>
    </row>
    <row r="44" spans="2:13">
      <c r="B44" s="119" t="s">
        <v>55</v>
      </c>
      <c r="C44" s="119"/>
      <c r="D44" s="132">
        <f>'[4]8  MP Cost Pool Variabilities'!$E$38</f>
        <v>0.91687624999999995</v>
      </c>
      <c r="E44" s="195" t="s">
        <v>12</v>
      </c>
      <c r="F44" s="119"/>
      <c r="G44" s="119"/>
      <c r="H44" s="119"/>
      <c r="I44" s="119"/>
      <c r="J44" s="119"/>
      <c r="K44" s="119"/>
      <c r="L44" s="119"/>
      <c r="M44"/>
    </row>
    <row r="45" spans="2:13">
      <c r="B45" s="119" t="s">
        <v>56</v>
      </c>
      <c r="C45" s="119"/>
      <c r="D45" s="132">
        <f>'[4]8  MP Cost Pool Variabilities'!$E$22</f>
        <v>0.97225877999999999</v>
      </c>
      <c r="E45" s="195" t="s">
        <v>12</v>
      </c>
      <c r="F45" s="119"/>
      <c r="G45" s="119"/>
      <c r="H45" s="119"/>
      <c r="I45" s="119"/>
      <c r="J45" s="119"/>
      <c r="K45" s="119"/>
      <c r="L45" s="119"/>
      <c r="M45"/>
    </row>
    <row r="46" spans="2:13">
      <c r="B46" s="119" t="s">
        <v>57</v>
      </c>
      <c r="C46" s="119"/>
      <c r="D46" s="132">
        <f>'[4]8  MP Cost Pool Variabilities'!$E$77</f>
        <v>0.92642031000000002</v>
      </c>
      <c r="E46" s="195" t="s">
        <v>12</v>
      </c>
      <c r="F46" s="119"/>
      <c r="G46" s="119"/>
      <c r="H46" s="119"/>
      <c r="I46" s="119"/>
      <c r="J46" s="119"/>
      <c r="K46" s="119"/>
      <c r="L46" s="119"/>
      <c r="M46"/>
    </row>
    <row r="47" spans="2:13">
      <c r="B47" s="119" t="s">
        <v>58</v>
      </c>
      <c r="C47" s="119"/>
      <c r="D47" s="132">
        <f>'[4]8  MP Cost Pool Variabilities'!$E$86</f>
        <v>0.96152245999999997</v>
      </c>
      <c r="E47" s="195" t="s">
        <v>12</v>
      </c>
      <c r="F47" s="119"/>
      <c r="G47" s="119"/>
      <c r="H47" s="119"/>
      <c r="I47" s="119"/>
      <c r="J47" s="119"/>
      <c r="K47" s="119"/>
      <c r="L47" s="119"/>
      <c r="M47"/>
    </row>
    <row r="48" spans="2:13">
      <c r="B48" s="119" t="s">
        <v>59</v>
      </c>
      <c r="C48" s="119"/>
      <c r="D48" s="132">
        <f>'[4]8  MP Cost Pool Variabilities'!$E$84</f>
        <v>0.97377163</v>
      </c>
      <c r="E48" s="195" t="s">
        <v>12</v>
      </c>
      <c r="F48" s="119"/>
      <c r="G48" s="119"/>
      <c r="H48" s="119"/>
      <c r="I48" s="119"/>
      <c r="J48" s="119"/>
      <c r="K48" s="119"/>
      <c r="L48" s="119"/>
      <c r="M48"/>
    </row>
    <row r="49" spans="2:13">
      <c r="B49" s="119"/>
      <c r="C49" s="119"/>
      <c r="D49" s="206"/>
      <c r="E49" s="195"/>
      <c r="F49" s="119"/>
      <c r="G49" s="119"/>
      <c r="H49" s="119"/>
      <c r="I49" s="119"/>
      <c r="J49" s="119"/>
      <c r="K49" s="119"/>
      <c r="L49" s="119"/>
      <c r="M49"/>
    </row>
    <row r="50" spans="2:13">
      <c r="B50" s="98" t="s">
        <v>60</v>
      </c>
      <c r="C50" s="119"/>
      <c r="D50" s="19"/>
      <c r="E50" s="31"/>
      <c r="F50" s="119"/>
      <c r="G50" s="119"/>
      <c r="H50" s="119"/>
      <c r="I50" s="119"/>
      <c r="J50" s="119"/>
      <c r="K50" s="119"/>
      <c r="L50" s="119"/>
      <c r="M50"/>
    </row>
    <row r="51" spans="2:13">
      <c r="B51" s="118" t="s">
        <v>61</v>
      </c>
      <c r="C51" s="19"/>
      <c r="D51" s="19"/>
      <c r="E51" s="31"/>
      <c r="F51" s="119"/>
      <c r="G51" s="119"/>
      <c r="H51" s="119"/>
      <c r="I51" s="119"/>
      <c r="J51" s="119"/>
      <c r="K51" s="119"/>
      <c r="L51" s="119"/>
      <c r="M51"/>
    </row>
    <row r="52" spans="2:13" ht="12.75" customHeight="1">
      <c r="B52" s="118" t="s">
        <v>62</v>
      </c>
      <c r="C52" s="19"/>
      <c r="D52" s="19"/>
      <c r="E52" s="31"/>
      <c r="F52" s="119"/>
      <c r="G52" s="119"/>
      <c r="H52" s="119"/>
      <c r="I52" s="119"/>
      <c r="J52" s="119"/>
      <c r="K52" s="119"/>
      <c r="L52"/>
      <c r="M52"/>
    </row>
    <row r="53" spans="2:13" ht="12.75" customHeight="1">
      <c r="B53" s="118" t="s">
        <v>63</v>
      </c>
      <c r="C53" s="119"/>
      <c r="D53" s="119"/>
      <c r="E53" s="195"/>
      <c r="F53" s="119"/>
      <c r="G53" s="119"/>
      <c r="H53" s="119"/>
      <c r="I53" s="119"/>
      <c r="J53" s="119"/>
      <c r="K53" s="119"/>
      <c r="L53" s="119"/>
      <c r="M53"/>
    </row>
    <row r="54" spans="2:13" ht="12.75" customHeight="1">
      <c r="B54" s="118" t="s">
        <v>64</v>
      </c>
      <c r="C54" s="119"/>
      <c r="D54" s="119"/>
      <c r="E54" s="195"/>
      <c r="F54" s="119"/>
      <c r="G54" s="119"/>
      <c r="H54" s="119"/>
      <c r="I54" s="119"/>
      <c r="J54" s="119"/>
      <c r="K54" s="119"/>
      <c r="L54" s="119"/>
      <c r="M54"/>
    </row>
    <row r="55" spans="2:13" ht="12.75" customHeight="1">
      <c r="B55" s="118" t="s">
        <v>65</v>
      </c>
      <c r="C55" s="119"/>
      <c r="D55" s="119"/>
      <c r="E55" s="195"/>
      <c r="F55" s="119"/>
      <c r="G55" s="119"/>
      <c r="H55" s="119"/>
      <c r="I55" s="119"/>
      <c r="J55" s="119"/>
      <c r="K55" s="119"/>
      <c r="L55" s="119"/>
      <c r="M55" s="119"/>
    </row>
    <row r="56" spans="2:13" ht="12.75" customHeight="1">
      <c r="B56" s="118" t="s">
        <v>66</v>
      </c>
      <c r="C56" s="119"/>
      <c r="D56" s="119"/>
      <c r="E56" s="195"/>
      <c r="F56" s="119"/>
      <c r="G56" s="119"/>
      <c r="H56" s="119"/>
      <c r="I56" s="119"/>
      <c r="J56" s="119"/>
      <c r="K56" s="119"/>
      <c r="L56" s="119"/>
      <c r="M56" s="119"/>
    </row>
    <row r="57" spans="2:13" ht="12.75" customHeight="1">
      <c r="B57" s="99" t="s">
        <v>67</v>
      </c>
      <c r="C57" s="119"/>
      <c r="D57" s="119"/>
      <c r="E57" s="195"/>
      <c r="F57" s="119"/>
      <c r="G57" s="119"/>
      <c r="H57" s="119"/>
      <c r="I57" s="119"/>
      <c r="J57" s="119"/>
      <c r="K57" s="119"/>
      <c r="L57" s="119"/>
      <c r="M57" s="119"/>
    </row>
    <row r="58" spans="2:13" ht="3.75" customHeight="1">
      <c r="B58" s="119"/>
      <c r="C58" s="119"/>
      <c r="D58" s="119"/>
      <c r="E58" s="195"/>
      <c r="F58" s="119"/>
      <c r="G58" s="119"/>
      <c r="H58" s="119"/>
      <c r="I58" s="119"/>
      <c r="J58" s="119"/>
      <c r="K58" s="119"/>
      <c r="L58" s="119"/>
      <c r="M58" s="119"/>
    </row>
    <row r="59" spans="2:13" ht="12.75" customHeight="1">
      <c r="B59" s="119"/>
      <c r="C59" s="119"/>
      <c r="D59" s="119"/>
      <c r="E59" s="195"/>
      <c r="F59" s="119"/>
      <c r="G59" s="119"/>
      <c r="H59" s="119"/>
      <c r="I59" s="119"/>
      <c r="J59" s="119"/>
      <c r="K59" s="119"/>
      <c r="L59" s="119"/>
      <c r="M59"/>
    </row>
    <row r="60" spans="2:13" ht="12.75" customHeight="1">
      <c r="B60" s="119"/>
      <c r="C60" s="119"/>
      <c r="D60" s="119"/>
      <c r="E60" s="195"/>
      <c r="F60" s="119"/>
      <c r="G60" s="119"/>
      <c r="H60" s="119"/>
      <c r="I60" s="119"/>
      <c r="J60" s="119"/>
      <c r="K60" s="119"/>
      <c r="L60" s="119"/>
      <c r="M60"/>
    </row>
    <row r="61" spans="2:13" ht="12.75" customHeight="1">
      <c r="B61" s="119"/>
      <c r="C61" s="119"/>
      <c r="D61" s="119"/>
      <c r="E61" s="195"/>
      <c r="F61" s="119"/>
      <c r="G61" s="119"/>
      <c r="H61" s="119"/>
      <c r="I61" s="119"/>
      <c r="J61" s="119"/>
      <c r="K61" s="119"/>
      <c r="L61" s="119"/>
      <c r="M61"/>
    </row>
    <row r="62" spans="2:13" ht="12.75" customHeight="1">
      <c r="B62" s="119"/>
      <c r="C62" s="119"/>
      <c r="D62" s="119"/>
      <c r="E62" s="195"/>
      <c r="F62" s="119"/>
      <c r="G62" s="119"/>
      <c r="H62" s="119"/>
      <c r="I62" s="119"/>
      <c r="J62" s="119"/>
      <c r="K62" s="119"/>
      <c r="L62"/>
      <c r="M62"/>
    </row>
    <row r="63" spans="2:13" ht="12.75" customHeight="1">
      <c r="B63" s="119"/>
      <c r="C63" s="119"/>
      <c r="D63" s="119"/>
      <c r="E63" s="195"/>
      <c r="F63" s="119"/>
      <c r="G63" s="119"/>
      <c r="H63" s="119"/>
      <c r="I63" s="119"/>
      <c r="J63" s="119"/>
      <c r="K63" s="119"/>
      <c r="L63"/>
      <c r="M63"/>
    </row>
    <row r="64" spans="2:13">
      <c r="B64" s="119"/>
      <c r="C64" s="119"/>
      <c r="D64" s="119"/>
      <c r="E64" s="195"/>
      <c r="F64" s="119"/>
      <c r="G64" s="119"/>
      <c r="H64" s="119"/>
      <c r="I64" s="119"/>
      <c r="J64" s="119"/>
      <c r="K64" s="119"/>
      <c r="L64" s="207"/>
      <c r="M64" s="119"/>
    </row>
    <row r="65" spans="12:13">
      <c r="L65" s="207"/>
      <c r="M65" s="207"/>
    </row>
    <row r="66" spans="12:13">
      <c r="L66" s="207"/>
      <c r="M66" s="119"/>
    </row>
    <row r="67" spans="12:13">
      <c r="L67" s="207"/>
      <c r="M67" s="119"/>
    </row>
    <row r="68" spans="12:13" ht="3.75" customHeight="1">
      <c r="L68" s="119"/>
      <c r="M68" s="119"/>
    </row>
    <row r="69" spans="12:13" ht="12.75" customHeight="1">
      <c r="L69" s="119"/>
      <c r="M69" s="208"/>
    </row>
    <row r="70" spans="12:13" ht="12.75" customHeight="1">
      <c r="L70" s="119"/>
      <c r="M70" s="208"/>
    </row>
    <row r="71" spans="12:13" ht="12.75" customHeight="1">
      <c r="L71" s="119"/>
      <c r="M71" s="208"/>
    </row>
    <row r="72" spans="12:13" ht="12.75" customHeight="1">
      <c r="L72" s="119"/>
      <c r="M72" s="208"/>
    </row>
    <row r="73" spans="12:13" ht="12.75" customHeight="1">
      <c r="L73" s="119"/>
      <c r="M73" s="208"/>
    </row>
    <row r="74" spans="12:13" ht="12.75" customHeight="1">
      <c r="L74" s="119"/>
      <c r="M74" s="208"/>
    </row>
    <row r="75" spans="12:13" ht="12.75" customHeight="1">
      <c r="L75" s="119"/>
      <c r="M75" s="119"/>
    </row>
    <row r="76" spans="12:13" ht="12.75" customHeight="1">
      <c r="L76" s="119"/>
      <c r="M76" s="119"/>
    </row>
    <row r="77" spans="12:13" ht="12.75" customHeight="1">
      <c r="L77" s="119"/>
      <c r="M77" s="119"/>
    </row>
    <row r="78" spans="12:13" ht="3.75" customHeight="1">
      <c r="L78" s="119"/>
      <c r="M78" s="119"/>
    </row>
    <row r="125" ht="13.5" customHeight="1"/>
  </sheetData>
  <phoneticPr fontId="0" type="noConversion"/>
  <printOptions horizontalCentered="1"/>
  <pageMargins left="1" right="0.25" top="1" bottom="0.5" header="0.31" footer="0.5"/>
  <pageSetup scale="95" orientation="portrait" horizontalDpi="4294967292" verticalDpi="4294967292" r:id="rId1"/>
  <headerFooter alignWithMargins="0">
    <oddHeader>&amp;RPage 2 of 12</oddHeader>
    <oddFooter>&amp;R&amp;F</oddFooter>
  </headerFooter>
  <rowBreaks count="1" manualBreakCount="1">
    <brk id="82" max="1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8"/>
  <sheetViews>
    <sheetView zoomScale="75" workbookViewId="0">
      <selection activeCell="D29" sqref="D29"/>
    </sheetView>
  </sheetViews>
  <sheetFormatPr defaultColWidth="9.140625" defaultRowHeight="12.75"/>
  <cols>
    <col min="1" max="1" width="3.42578125" customWidth="1"/>
    <col min="2" max="2" width="66" customWidth="1"/>
    <col min="3" max="3" width="3.5703125" customWidth="1"/>
    <col min="4" max="4" width="9" customWidth="1"/>
    <col min="5" max="6" width="8.7109375" customWidth="1"/>
    <col min="7" max="7" width="12.5703125" customWidth="1"/>
    <col min="9" max="9" width="10.7109375" customWidth="1"/>
    <col min="10" max="10" width="7.5703125" customWidth="1"/>
  </cols>
  <sheetData>
    <row r="1" spans="1:10" ht="15.75">
      <c r="A1" s="119"/>
      <c r="B1" s="18" t="s">
        <v>68</v>
      </c>
      <c r="C1" s="18"/>
      <c r="D1" s="18"/>
      <c r="E1" s="18"/>
      <c r="F1" s="192"/>
      <c r="G1" s="192"/>
      <c r="H1" s="192"/>
      <c r="I1" s="96"/>
      <c r="J1" s="96"/>
    </row>
    <row r="2" spans="1:10">
      <c r="A2" s="119"/>
      <c r="B2" s="119"/>
      <c r="C2" s="119"/>
      <c r="D2" s="119"/>
      <c r="E2" s="119"/>
      <c r="F2" s="119"/>
      <c r="G2" s="119"/>
      <c r="H2" s="119"/>
      <c r="I2" s="119"/>
      <c r="J2" s="119"/>
    </row>
    <row r="3" spans="1:10">
      <c r="A3" s="119"/>
      <c r="D3" s="119"/>
      <c r="E3" s="119"/>
      <c r="F3" s="119"/>
      <c r="G3" s="119"/>
      <c r="H3" s="119"/>
      <c r="I3" s="21"/>
      <c r="J3" s="119"/>
    </row>
    <row r="4" spans="1:10">
      <c r="A4" s="119"/>
      <c r="B4" s="127" t="s">
        <v>69</v>
      </c>
      <c r="D4" s="21"/>
      <c r="E4" s="195"/>
      <c r="F4" s="119"/>
      <c r="G4" s="119"/>
      <c r="H4" s="119"/>
    </row>
    <row r="5" spans="1:10">
      <c r="A5" s="119"/>
      <c r="B5" s="119" t="s">
        <v>70</v>
      </c>
      <c r="C5" s="119"/>
      <c r="D5" s="207">
        <v>0.99550000000000005</v>
      </c>
      <c r="E5" s="25" t="s">
        <v>2</v>
      </c>
      <c r="F5" s="119"/>
      <c r="G5" s="119"/>
      <c r="H5" s="23"/>
    </row>
    <row r="6" spans="1:10">
      <c r="A6" s="119"/>
      <c r="B6" t="s">
        <v>71</v>
      </c>
      <c r="C6" s="119"/>
      <c r="D6" s="207">
        <f>1-D5</f>
        <v>4.4999999999999485E-3</v>
      </c>
      <c r="E6" s="25" t="s">
        <v>2</v>
      </c>
      <c r="F6" s="119"/>
      <c r="G6" s="119"/>
      <c r="H6" s="119"/>
    </row>
    <row r="7" spans="1:10">
      <c r="A7" s="119"/>
      <c r="C7" s="119"/>
      <c r="D7" s="54"/>
      <c r="E7" s="195"/>
      <c r="F7" s="119"/>
      <c r="G7" s="119"/>
      <c r="H7" s="119"/>
    </row>
    <row r="8" spans="1:10">
      <c r="A8" s="119"/>
      <c r="B8" s="127" t="s">
        <v>72</v>
      </c>
      <c r="D8" s="20"/>
      <c r="E8" s="195"/>
      <c r="F8" s="119"/>
      <c r="G8" s="119"/>
      <c r="H8" s="119"/>
    </row>
    <row r="9" spans="1:10">
      <c r="A9" s="119"/>
      <c r="B9" t="s">
        <v>73</v>
      </c>
      <c r="D9" s="20">
        <v>0.2384</v>
      </c>
      <c r="E9" s="195" t="s">
        <v>4</v>
      </c>
      <c r="F9" s="119"/>
      <c r="G9" s="119"/>
      <c r="H9" s="119"/>
    </row>
    <row r="10" spans="1:10">
      <c r="A10" s="119"/>
      <c r="B10" t="s">
        <v>74</v>
      </c>
      <c r="D10" s="20">
        <v>0.60250000000000004</v>
      </c>
      <c r="E10" s="195" t="s">
        <v>4</v>
      </c>
      <c r="F10" s="119"/>
      <c r="G10" s="119"/>
      <c r="H10" s="119"/>
    </row>
    <row r="11" spans="1:10">
      <c r="A11" s="119"/>
      <c r="B11" t="s">
        <v>75</v>
      </c>
      <c r="D11" s="20">
        <v>2.8899999999999999E-2</v>
      </c>
      <c r="E11" s="195" t="s">
        <v>4</v>
      </c>
      <c r="F11" s="119"/>
      <c r="G11" s="119"/>
      <c r="H11" s="119"/>
    </row>
    <row r="12" spans="1:10">
      <c r="A12" s="119"/>
      <c r="B12" t="s">
        <v>76</v>
      </c>
      <c r="D12" s="20">
        <v>0.13020000000000001</v>
      </c>
      <c r="E12" s="195" t="s">
        <v>4</v>
      </c>
      <c r="F12" s="119"/>
      <c r="G12" s="119"/>
      <c r="H12" s="119"/>
    </row>
    <row r="13" spans="1:10">
      <c r="A13" s="119"/>
      <c r="D13" s="20"/>
      <c r="E13" s="195"/>
      <c r="F13" s="119"/>
      <c r="G13" s="119"/>
      <c r="H13" s="119"/>
    </row>
    <row r="14" spans="1:10">
      <c r="A14" s="119"/>
      <c r="B14" s="127" t="s">
        <v>77</v>
      </c>
      <c r="D14" s="20"/>
      <c r="E14" s="195"/>
      <c r="F14" s="119"/>
      <c r="G14" s="119"/>
      <c r="H14" s="119"/>
    </row>
    <row r="15" spans="1:10">
      <c r="A15" s="119"/>
      <c r="B15" s="119" t="s">
        <v>78</v>
      </c>
      <c r="D15" s="20">
        <f>+D11+D9</f>
        <v>0.26729999999999998</v>
      </c>
      <c r="E15" s="195" t="s">
        <v>4</v>
      </c>
      <c r="F15" s="119"/>
      <c r="G15" s="119"/>
      <c r="H15" s="119"/>
    </row>
    <row r="16" spans="1:10">
      <c r="A16" s="119"/>
      <c r="B16" s="119" t="s">
        <v>79</v>
      </c>
      <c r="D16" s="20">
        <f>+D10</f>
        <v>0.60250000000000004</v>
      </c>
      <c r="E16" s="195" t="s">
        <v>4</v>
      </c>
      <c r="F16" s="119"/>
      <c r="G16" s="119"/>
      <c r="H16" s="119"/>
    </row>
    <row r="17" spans="1:10">
      <c r="A17" s="119"/>
      <c r="B17" s="119" t="s">
        <v>80</v>
      </c>
      <c r="D17" s="20">
        <f>+D12</f>
        <v>0.13020000000000001</v>
      </c>
      <c r="E17" s="195" t="s">
        <v>4</v>
      </c>
      <c r="F17" s="119"/>
      <c r="G17" s="119"/>
      <c r="H17" s="119"/>
    </row>
    <row r="18" spans="1:10">
      <c r="A18" s="119"/>
      <c r="B18" s="119"/>
      <c r="C18" s="119"/>
      <c r="D18" s="207"/>
      <c r="E18" s="195"/>
      <c r="F18" s="119"/>
      <c r="G18" s="119"/>
      <c r="H18" s="119"/>
      <c r="I18" s="119"/>
      <c r="J18" s="119"/>
    </row>
    <row r="19" spans="1:10">
      <c r="A19" s="119"/>
      <c r="B19" s="127" t="s">
        <v>81</v>
      </c>
      <c r="D19" s="54"/>
      <c r="E19" s="109"/>
      <c r="H19" s="119"/>
      <c r="I19" s="4"/>
      <c r="J19" s="119"/>
    </row>
    <row r="20" spans="1:10">
      <c r="A20" s="119"/>
      <c r="B20" s="67" t="s">
        <v>82</v>
      </c>
      <c r="D20" s="209">
        <v>0.49449103484850493</v>
      </c>
      <c r="E20" s="25" t="s">
        <v>6</v>
      </c>
      <c r="F20" s="110"/>
      <c r="G20" s="111"/>
      <c r="H20" s="119"/>
      <c r="I20" s="4"/>
      <c r="J20" s="119"/>
    </row>
    <row r="21" spans="1:10">
      <c r="A21" s="119"/>
      <c r="B21" s="7" t="s">
        <v>83</v>
      </c>
      <c r="D21" s="209">
        <f>1-D20</f>
        <v>0.50550896515149502</v>
      </c>
      <c r="E21" s="25" t="s">
        <v>6</v>
      </c>
      <c r="H21" s="119"/>
      <c r="I21" s="4"/>
      <c r="J21" s="119"/>
    </row>
    <row r="22" spans="1:10">
      <c r="A22" s="119"/>
      <c r="D22" s="54"/>
      <c r="E22" s="195"/>
      <c r="F22" s="119"/>
      <c r="G22" s="119"/>
      <c r="H22" s="119"/>
      <c r="I22" s="5"/>
      <c r="J22" s="119"/>
    </row>
    <row r="23" spans="1:10">
      <c r="A23" s="119"/>
      <c r="B23" s="127" t="s">
        <v>84</v>
      </c>
      <c r="D23" s="210">
        <v>0.123</v>
      </c>
      <c r="E23" s="25" t="s">
        <v>8</v>
      </c>
      <c r="H23" s="119"/>
      <c r="I23" s="5"/>
      <c r="J23" s="119"/>
    </row>
    <row r="24" spans="1:10">
      <c r="A24" s="119"/>
      <c r="D24" s="112"/>
      <c r="E24" s="195"/>
      <c r="F24" s="119"/>
      <c r="G24" s="119"/>
      <c r="H24" s="119"/>
      <c r="I24" s="5"/>
      <c r="J24" s="119"/>
    </row>
    <row r="25" spans="1:10">
      <c r="A25" s="119"/>
      <c r="B25" s="127" t="s">
        <v>85</v>
      </c>
      <c r="D25" s="113"/>
      <c r="E25" s="114"/>
      <c r="H25" s="119"/>
      <c r="I25" s="5"/>
      <c r="J25" s="119"/>
    </row>
    <row r="26" spans="1:10">
      <c r="A26" s="119"/>
      <c r="B26" t="s">
        <v>86</v>
      </c>
      <c r="D26" s="115">
        <f>1-D27</f>
        <v>5.3599999999999981E-2</v>
      </c>
      <c r="E26" s="32" t="s">
        <v>10</v>
      </c>
      <c r="H26" s="119"/>
      <c r="I26" s="5"/>
      <c r="J26" s="119"/>
    </row>
    <row r="27" spans="1:10">
      <c r="B27" t="s">
        <v>87</v>
      </c>
      <c r="D27" s="115">
        <v>0.94640000000000002</v>
      </c>
      <c r="E27" s="32" t="s">
        <v>10</v>
      </c>
    </row>
    <row r="29" spans="1:10">
      <c r="B29" t="s">
        <v>88</v>
      </c>
      <c r="D29" s="115">
        <f>'Flat - Parcel'!$C$5/'Flat - Parcel'!$E$5</f>
        <v>0.31585389666857711</v>
      </c>
      <c r="E29" s="25" t="s">
        <v>12</v>
      </c>
    </row>
    <row r="31" spans="1:10" ht="12.75" customHeight="1">
      <c r="B31" s="68" t="s">
        <v>60</v>
      </c>
      <c r="D31" s="119"/>
    </row>
    <row r="32" spans="1:10" ht="12.75" customHeight="1">
      <c r="B32" s="22" t="s">
        <v>89</v>
      </c>
      <c r="C32" s="19"/>
      <c r="D32" s="19"/>
    </row>
    <row r="33" spans="2:8" ht="12.75" customHeight="1">
      <c r="B33" s="22" t="s">
        <v>90</v>
      </c>
      <c r="C33" s="19"/>
      <c r="D33" s="19"/>
    </row>
    <row r="34" spans="2:8" ht="12.75" customHeight="1">
      <c r="B34" s="22" t="s">
        <v>91</v>
      </c>
    </row>
    <row r="35" spans="2:8" ht="12.75" customHeight="1">
      <c r="B35" s="22" t="s">
        <v>92</v>
      </c>
    </row>
    <row r="36" spans="2:8" ht="12.75" customHeight="1">
      <c r="B36" s="22" t="s">
        <v>93</v>
      </c>
      <c r="C36" s="127"/>
      <c r="D36" s="119"/>
      <c r="E36" s="19"/>
      <c r="F36" s="31"/>
      <c r="G36" s="19"/>
    </row>
    <row r="37" spans="2:8" ht="12.75" customHeight="1">
      <c r="B37" s="22" t="s">
        <v>94</v>
      </c>
      <c r="C37" s="118"/>
      <c r="D37" s="119"/>
      <c r="E37" s="19"/>
      <c r="F37" s="33"/>
      <c r="G37" s="31"/>
      <c r="H37" s="27"/>
    </row>
    <row r="38" spans="2:8">
      <c r="B38" s="90" t="s">
        <v>95</v>
      </c>
    </row>
  </sheetData>
  <phoneticPr fontId="0" type="noConversion"/>
  <pageMargins left="0.75" right="0.75" top="1.2" bottom="1" header="0.5" footer="0.5"/>
  <pageSetup orientation="portrait" r:id="rId1"/>
  <headerFooter alignWithMargins="0">
    <oddHeader>&amp;RPage 3 of 12</oddHeader>
    <oddFooter>&amp;R&amp;F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68"/>
  <sheetViews>
    <sheetView zoomScale="75" workbookViewId="0">
      <selection activeCell="H13" sqref="H13"/>
    </sheetView>
  </sheetViews>
  <sheetFormatPr defaultColWidth="9.140625" defaultRowHeight="12.75"/>
  <cols>
    <col min="1" max="1" width="3.42578125" customWidth="1"/>
    <col min="2" max="2" width="77.28515625" customWidth="1"/>
    <col min="3" max="3" width="4.140625" customWidth="1"/>
    <col min="4" max="4" width="10.7109375" customWidth="1"/>
    <col min="5" max="5" width="8.7109375" style="25" customWidth="1"/>
    <col min="6" max="6" width="14.42578125" customWidth="1"/>
    <col min="7" max="7" width="12.42578125" customWidth="1"/>
    <col min="8" max="8" width="13" customWidth="1"/>
    <col min="9" max="9" width="10.85546875" customWidth="1"/>
    <col min="10" max="10" width="7.5703125" customWidth="1"/>
  </cols>
  <sheetData>
    <row r="1" spans="1:13" ht="15.75">
      <c r="A1" s="99"/>
      <c r="B1" s="18" t="s">
        <v>96</v>
      </c>
      <c r="C1" s="193"/>
      <c r="D1" s="193"/>
      <c r="E1" s="195"/>
      <c r="F1" s="99"/>
      <c r="G1" s="99"/>
      <c r="H1" s="193"/>
      <c r="I1" s="193"/>
      <c r="J1" s="193"/>
      <c r="K1" s="119"/>
      <c r="L1" s="119"/>
      <c r="M1" s="119"/>
    </row>
    <row r="2" spans="1:13" ht="15.75">
      <c r="A2" s="119"/>
      <c r="B2" s="18"/>
      <c r="C2" s="193"/>
      <c r="D2" s="193"/>
      <c r="E2" s="195"/>
      <c r="H2" s="193"/>
      <c r="I2" s="193"/>
      <c r="J2" s="193"/>
      <c r="K2" s="119"/>
      <c r="L2" s="119"/>
      <c r="M2" s="119"/>
    </row>
    <row r="3" spans="1:13" ht="15.75">
      <c r="A3" s="119"/>
      <c r="B3" s="18"/>
      <c r="C3" s="193"/>
      <c r="D3" s="193"/>
      <c r="E3" s="195"/>
      <c r="H3" s="193"/>
      <c r="I3" s="193"/>
      <c r="J3" s="193"/>
      <c r="K3" s="119"/>
      <c r="L3" s="119"/>
      <c r="M3" s="119"/>
    </row>
    <row r="4" spans="1:13">
      <c r="A4" s="119"/>
      <c r="B4" s="127" t="s">
        <v>97</v>
      </c>
      <c r="C4" s="119"/>
      <c r="D4" s="211">
        <f>D5*D6</f>
        <v>49.053814349729187</v>
      </c>
      <c r="E4" s="195" t="s">
        <v>2</v>
      </c>
      <c r="H4" s="119"/>
      <c r="K4" s="119"/>
      <c r="L4" s="119"/>
      <c r="M4" s="119"/>
    </row>
    <row r="5" spans="1:13">
      <c r="A5" s="119"/>
      <c r="B5" s="192" t="s">
        <v>98</v>
      </c>
      <c r="C5" s="119"/>
      <c r="D5" s="212">
        <f>'[5]V-3. Premium Pay Adj'!$S$28*'Arrival - Dispatch Profile'!$D$29+'[5]V-3. Premium Pay Adj'!$S$29*(1-'Arrival - Dispatch Profile'!$D$29)</f>
        <v>0.97897785627195744</v>
      </c>
      <c r="E5" s="195" t="s">
        <v>4</v>
      </c>
      <c r="H5" s="119"/>
      <c r="K5" s="119"/>
      <c r="L5" s="119"/>
      <c r="M5" s="119"/>
    </row>
    <row r="6" spans="1:13">
      <c r="A6" s="119"/>
      <c r="B6" s="192" t="s">
        <v>99</v>
      </c>
      <c r="C6" s="119"/>
      <c r="D6" s="211">
        <f>'[6]FY25 table viii '!$D$12</f>
        <v>50.10717457546064</v>
      </c>
      <c r="E6" s="195" t="s">
        <v>6</v>
      </c>
      <c r="H6" s="119"/>
      <c r="K6" s="119"/>
      <c r="L6" s="119"/>
      <c r="M6" s="119"/>
    </row>
    <row r="7" spans="1:13">
      <c r="A7" s="119"/>
      <c r="B7" s="192"/>
      <c r="C7" s="119"/>
      <c r="D7" s="211"/>
      <c r="E7" s="195"/>
      <c r="H7" s="119"/>
      <c r="K7" s="119"/>
      <c r="L7" s="119"/>
      <c r="M7" s="119"/>
    </row>
    <row r="8" spans="1:13">
      <c r="A8" s="119"/>
      <c r="B8" s="192" t="s">
        <v>100</v>
      </c>
      <c r="C8" s="127"/>
      <c r="D8" s="119"/>
      <c r="E8" s="195"/>
      <c r="H8" s="119"/>
      <c r="K8" s="119"/>
      <c r="L8" s="119"/>
      <c r="M8" s="119"/>
    </row>
    <row r="9" spans="1:13">
      <c r="A9" s="119"/>
      <c r="B9" s="99" t="s">
        <v>101</v>
      </c>
      <c r="C9" s="119"/>
      <c r="D9" s="86">
        <f>'[7]MP Piggybacks'!$J$39</f>
        <v>1.4774316541145593</v>
      </c>
      <c r="E9" s="195" t="s">
        <v>8</v>
      </c>
      <c r="H9" s="119"/>
      <c r="K9" s="119"/>
      <c r="L9" s="119"/>
      <c r="M9" s="119"/>
    </row>
    <row r="10" spans="1:13">
      <c r="A10" s="119"/>
      <c r="B10" s="99" t="s">
        <v>102</v>
      </c>
      <c r="C10" s="119"/>
      <c r="D10" s="86">
        <f>'[7]MP Piggybacks'!$J$40</f>
        <v>1.51761435929636</v>
      </c>
      <c r="E10" s="195" t="s">
        <v>8</v>
      </c>
      <c r="H10" s="119"/>
      <c r="K10" s="119"/>
      <c r="L10" s="119"/>
      <c r="M10" s="119"/>
    </row>
    <row r="11" spans="1:13">
      <c r="A11" s="119"/>
      <c r="B11" s="99" t="s">
        <v>103</v>
      </c>
      <c r="C11" s="119"/>
      <c r="D11" s="86">
        <f>'[7]MP Piggybacks'!$J$41</f>
        <v>1.386023903258889</v>
      </c>
      <c r="E11" s="195" t="s">
        <v>8</v>
      </c>
      <c r="H11" s="119"/>
      <c r="K11" s="119"/>
      <c r="L11" s="119"/>
      <c r="M11" s="119"/>
    </row>
    <row r="12" spans="1:13">
      <c r="A12" s="119"/>
      <c r="B12" s="99" t="s">
        <v>104</v>
      </c>
      <c r="C12" s="119"/>
      <c r="D12" s="131">
        <f>'[7]MP Piggybacks'!$J$63</f>
        <v>1.9204979181524358</v>
      </c>
      <c r="E12" s="195" t="s">
        <v>8</v>
      </c>
      <c r="H12" s="119"/>
      <c r="K12" s="119"/>
      <c r="L12" s="119"/>
      <c r="M12" s="119"/>
    </row>
    <row r="13" spans="1:13">
      <c r="A13" s="119"/>
      <c r="B13" s="99" t="s">
        <v>105</v>
      </c>
      <c r="C13" s="119"/>
      <c r="D13" s="131">
        <f>'[7]MP Piggybacks'!$J$64</f>
        <v>2.0700178145522989</v>
      </c>
      <c r="E13" s="195" t="s">
        <v>8</v>
      </c>
      <c r="H13" s="119"/>
      <c r="K13" s="119"/>
      <c r="L13" s="119"/>
      <c r="M13" s="119"/>
    </row>
    <row r="14" spans="1:13">
      <c r="A14" s="119"/>
      <c r="B14" s="99" t="s">
        <v>106</v>
      </c>
      <c r="C14" s="119"/>
      <c r="D14" s="132">
        <f>'[7]MP Piggybacks'!$J$44</f>
        <v>1.6196174573049362</v>
      </c>
      <c r="E14" s="195" t="s">
        <v>8</v>
      </c>
      <c r="H14" s="119"/>
      <c r="K14" s="119"/>
      <c r="L14" s="119"/>
      <c r="M14" s="119"/>
    </row>
    <row r="15" spans="1:13">
      <c r="A15" s="119"/>
      <c r="B15" s="99" t="s">
        <v>107</v>
      </c>
      <c r="C15" s="119"/>
      <c r="D15" s="86">
        <f>'[7]MP Piggybacks'!$J$16</f>
        <v>1.3208756008457678</v>
      </c>
      <c r="E15" s="195" t="s">
        <v>8</v>
      </c>
      <c r="H15" s="213"/>
      <c r="K15" s="119"/>
      <c r="L15" s="119"/>
      <c r="M15" s="119"/>
    </row>
    <row r="16" spans="1:13">
      <c r="A16" s="119"/>
      <c r="B16" s="99" t="s">
        <v>108</v>
      </c>
      <c r="C16" s="119"/>
      <c r="D16" s="86">
        <f>'[7]MP Piggybacks'!$J$25</f>
        <v>1.3606061934437479</v>
      </c>
      <c r="E16" s="195" t="s">
        <v>8</v>
      </c>
      <c r="H16" s="119"/>
      <c r="K16" s="119"/>
      <c r="L16" s="119"/>
      <c r="M16" s="119"/>
    </row>
    <row r="17" spans="1:13">
      <c r="A17" s="119"/>
      <c r="B17" s="99" t="s">
        <v>109</v>
      </c>
      <c r="C17" s="119"/>
      <c r="D17" s="132">
        <f>'[7]MP Piggybacks'!$J$46</f>
        <v>1.6214860636540271</v>
      </c>
      <c r="E17" s="195" t="s">
        <v>8</v>
      </c>
      <c r="H17" s="119"/>
      <c r="K17" s="119"/>
      <c r="L17" s="119"/>
      <c r="M17" s="119"/>
    </row>
    <row r="18" spans="1:13">
      <c r="A18" s="119"/>
      <c r="B18" s="99" t="s">
        <v>110</v>
      </c>
      <c r="C18" s="119"/>
      <c r="D18" s="132">
        <f>'[7]MP Piggybacks'!$J$55</f>
        <v>1.4957786551922303</v>
      </c>
      <c r="E18" s="195" t="s">
        <v>8</v>
      </c>
      <c r="H18" s="119"/>
      <c r="K18" s="119"/>
      <c r="L18" s="119"/>
      <c r="M18" s="119"/>
    </row>
    <row r="19" spans="1:13">
      <c r="A19" s="119"/>
      <c r="B19" s="99" t="s">
        <v>111</v>
      </c>
      <c r="C19" s="119"/>
      <c r="D19" s="132">
        <f>'[7]MP Piggybacks'!$J$53</f>
        <v>1.5675506909733425</v>
      </c>
      <c r="E19" s="195" t="s">
        <v>8</v>
      </c>
      <c r="H19" s="119"/>
      <c r="K19" s="119"/>
      <c r="L19" s="119"/>
      <c r="M19" s="119"/>
    </row>
    <row r="20" spans="1:13">
      <c r="A20" s="119"/>
      <c r="B20" s="99"/>
      <c r="C20" s="119"/>
      <c r="D20" s="131"/>
      <c r="E20" s="195"/>
      <c r="H20" s="119"/>
      <c r="K20" s="119"/>
      <c r="L20" s="119"/>
      <c r="M20" s="119"/>
    </row>
    <row r="21" spans="1:13">
      <c r="A21" s="119"/>
      <c r="B21" s="99" t="s">
        <v>112</v>
      </c>
      <c r="C21" s="119"/>
      <c r="D21" s="124">
        <f>[8]PBRatios!$M$31*'Arrival - Dispatch Profile'!D29+[8]PBRatios!$M$32*(1-'Arrival - Dispatch Profile'!D29)</f>
        <v>1.2660192210299388</v>
      </c>
      <c r="E21" s="214" t="s">
        <v>10</v>
      </c>
      <c r="H21" s="119"/>
      <c r="K21" s="119"/>
      <c r="L21" s="119"/>
      <c r="M21" s="119"/>
    </row>
    <row r="22" spans="1:13">
      <c r="A22" s="119"/>
      <c r="C22" s="119"/>
      <c r="D22" s="131"/>
      <c r="E22" s="195"/>
      <c r="H22" s="119"/>
      <c r="K22" s="119"/>
      <c r="L22" s="119"/>
      <c r="M22" s="119"/>
    </row>
    <row r="23" spans="1:13">
      <c r="A23" s="119"/>
      <c r="B23" s="192" t="s">
        <v>113</v>
      </c>
      <c r="D23" s="119"/>
      <c r="E23" s="195"/>
      <c r="K23" s="119"/>
      <c r="L23" s="119"/>
      <c r="M23" s="119"/>
    </row>
    <row r="24" spans="1:13">
      <c r="A24" s="119"/>
      <c r="B24" s="99" t="s">
        <v>114</v>
      </c>
      <c r="D24" s="215">
        <f>+'Arrival - Dispatch Profile'!D23</f>
        <v>0.123</v>
      </c>
      <c r="E24" s="195" t="s">
        <v>12</v>
      </c>
      <c r="K24" s="119"/>
      <c r="L24" s="119"/>
      <c r="M24" s="119"/>
    </row>
    <row r="25" spans="1:13">
      <c r="A25" s="119"/>
      <c r="B25" s="118" t="s">
        <v>115</v>
      </c>
      <c r="C25" s="119"/>
      <c r="D25" s="216">
        <v>1</v>
      </c>
      <c r="E25" s="195" t="s">
        <v>12</v>
      </c>
      <c r="H25" s="119"/>
      <c r="K25" s="119"/>
      <c r="L25" s="119"/>
      <c r="M25" s="119"/>
    </row>
    <row r="26" spans="1:13">
      <c r="A26" s="119"/>
      <c r="B26" s="118" t="s">
        <v>116</v>
      </c>
      <c r="C26" s="119"/>
      <c r="D26" s="216">
        <v>0.79907652979972688</v>
      </c>
      <c r="E26" s="195" t="s">
        <v>12</v>
      </c>
      <c r="H26" s="119"/>
      <c r="K26" s="119"/>
      <c r="L26" s="119"/>
      <c r="M26" s="119"/>
    </row>
    <row r="27" spans="1:13">
      <c r="A27" s="119"/>
      <c r="B27" s="118"/>
      <c r="C27" s="119"/>
      <c r="D27" s="217"/>
      <c r="E27" s="195"/>
      <c r="H27" s="119"/>
      <c r="K27" s="119"/>
      <c r="L27" s="119"/>
      <c r="M27" s="119"/>
    </row>
    <row r="28" spans="1:13" ht="12.75" customHeight="1">
      <c r="A28" s="119"/>
      <c r="B28" s="98" t="s">
        <v>60</v>
      </c>
      <c r="C28" s="119"/>
      <c r="D28" s="209"/>
      <c r="E28" s="195"/>
      <c r="F28" s="119"/>
      <c r="G28" s="119"/>
      <c r="H28" s="119"/>
      <c r="K28" s="119"/>
      <c r="L28" s="119"/>
      <c r="M28" s="119"/>
    </row>
    <row r="29" spans="1:13" ht="12.75" customHeight="1">
      <c r="A29" s="119"/>
      <c r="B29" s="67" t="s">
        <v>117</v>
      </c>
      <c r="C29" s="19"/>
      <c r="D29" s="125"/>
      <c r="H29" s="119"/>
      <c r="K29" s="119"/>
      <c r="L29" s="119"/>
      <c r="M29" s="119"/>
    </row>
    <row r="30" spans="1:13" ht="12.75" customHeight="1">
      <c r="A30" s="119"/>
      <c r="B30" s="118" t="s">
        <v>118</v>
      </c>
      <c r="C30" s="19"/>
      <c r="D30" s="125"/>
      <c r="H30" s="119"/>
      <c r="K30" s="119"/>
      <c r="L30" s="119"/>
      <c r="M30" s="119"/>
    </row>
    <row r="31" spans="1:13" ht="12.75" customHeight="1">
      <c r="A31" s="119"/>
      <c r="B31" s="118" t="s">
        <v>119</v>
      </c>
      <c r="C31" s="19"/>
      <c r="D31" s="125"/>
      <c r="H31" s="119"/>
      <c r="K31" s="119"/>
      <c r="L31" s="119"/>
      <c r="M31" s="119"/>
    </row>
    <row r="32" spans="1:13" ht="12.75" customHeight="1">
      <c r="A32" s="119"/>
      <c r="B32" s="118" t="s">
        <v>120</v>
      </c>
      <c r="C32" s="19"/>
      <c r="D32" s="126"/>
      <c r="E32" s="195"/>
      <c r="H32" s="119"/>
      <c r="K32" s="119"/>
      <c r="L32" s="119"/>
      <c r="M32" s="119"/>
    </row>
    <row r="33" spans="1:13" ht="12.75" customHeight="1">
      <c r="A33" s="119"/>
      <c r="B33" s="118" t="s">
        <v>121</v>
      </c>
      <c r="C33" s="19"/>
      <c r="D33" s="126"/>
      <c r="E33" s="195"/>
      <c r="H33" s="119"/>
      <c r="K33" s="119"/>
      <c r="L33" s="119"/>
      <c r="M33" s="119"/>
    </row>
    <row r="34" spans="1:13" ht="12.75" customHeight="1">
      <c r="A34" s="100"/>
      <c r="B34" s="67" t="s">
        <v>122</v>
      </c>
      <c r="C34" s="128"/>
      <c r="D34" s="119"/>
      <c r="E34" s="195"/>
      <c r="F34" s="119"/>
      <c r="G34" s="119"/>
      <c r="H34" s="119"/>
      <c r="K34" s="97"/>
      <c r="L34" s="119"/>
      <c r="M34" s="119"/>
    </row>
    <row r="35" spans="1:13" ht="12.75" customHeight="1">
      <c r="A35" s="118"/>
      <c r="B35" s="118"/>
      <c r="C35" s="119"/>
      <c r="D35" s="119"/>
      <c r="E35" s="195"/>
      <c r="F35" s="192"/>
      <c r="G35" s="119"/>
      <c r="H35" s="119"/>
      <c r="K35" s="97"/>
      <c r="L35" s="119"/>
      <c r="M35" s="119"/>
    </row>
    <row r="36" spans="1:13" ht="11.25" customHeight="1">
      <c r="A36" s="118"/>
      <c r="B36" s="119"/>
      <c r="D36" s="119"/>
      <c r="E36" s="195"/>
      <c r="F36" s="192"/>
      <c r="G36" s="119"/>
      <c r="H36" s="119"/>
      <c r="K36" s="97"/>
      <c r="L36" s="119"/>
      <c r="M36" s="119"/>
    </row>
    <row r="37" spans="1:13" ht="11.25" customHeight="1">
      <c r="A37" s="118"/>
      <c r="B37" s="119"/>
      <c r="C37" s="119"/>
      <c r="D37" s="119"/>
      <c r="E37" s="195"/>
      <c r="F37" s="119"/>
      <c r="G37" s="119"/>
      <c r="H37" s="119"/>
      <c r="K37" s="97"/>
      <c r="L37" s="119"/>
      <c r="M37" s="119"/>
    </row>
    <row r="38" spans="1:13" ht="11.25" customHeight="1">
      <c r="A38" s="118"/>
      <c r="B38" s="119"/>
      <c r="C38" s="119"/>
      <c r="D38" s="119"/>
      <c r="E38" s="195"/>
      <c r="F38" s="119"/>
      <c r="G38" s="119"/>
      <c r="H38" s="119"/>
      <c r="K38" s="97"/>
      <c r="L38" s="119"/>
      <c r="M38" s="119"/>
    </row>
    <row r="39" spans="1:13" ht="11.25" customHeight="1">
      <c r="A39" s="119"/>
      <c r="B39" s="118"/>
      <c r="C39" s="119"/>
      <c r="D39" s="119"/>
      <c r="E39" s="195"/>
      <c r="F39" s="119"/>
      <c r="G39" s="119"/>
      <c r="H39" s="119"/>
      <c r="K39" s="97"/>
      <c r="L39" s="119"/>
      <c r="M39" s="119"/>
    </row>
    <row r="40" spans="1:13" ht="11.25" customHeight="1">
      <c r="A40" s="118"/>
      <c r="B40" s="119"/>
      <c r="C40" s="119"/>
      <c r="D40" s="119"/>
      <c r="E40" s="195"/>
      <c r="F40" s="119"/>
      <c r="G40" s="119"/>
      <c r="H40" s="119"/>
      <c r="K40" s="97"/>
      <c r="L40" s="119"/>
      <c r="M40" s="119"/>
    </row>
    <row r="41" spans="1:13" ht="11.25" customHeight="1">
      <c r="A41" s="118"/>
      <c r="B41" s="119"/>
      <c r="C41" s="119"/>
      <c r="D41" s="119"/>
      <c r="E41" s="195"/>
      <c r="F41" s="119"/>
      <c r="G41" s="119"/>
      <c r="H41" s="119"/>
      <c r="K41" s="97"/>
      <c r="L41" s="119"/>
      <c r="M41" s="119"/>
    </row>
    <row r="42" spans="1:13" ht="11.25" customHeight="1">
      <c r="A42" s="118"/>
      <c r="B42" s="119"/>
      <c r="C42" s="119"/>
      <c r="D42" s="119"/>
      <c r="E42" s="195"/>
      <c r="F42" s="119"/>
      <c r="G42" s="119"/>
      <c r="H42" s="119"/>
      <c r="K42" s="97"/>
      <c r="L42" s="119"/>
      <c r="M42" s="119"/>
    </row>
    <row r="43" spans="1:13" ht="11.25" customHeight="1">
      <c r="A43" s="118"/>
      <c r="B43" s="119"/>
      <c r="C43" s="119"/>
      <c r="D43" s="119"/>
      <c r="E43" s="195"/>
      <c r="F43" s="119"/>
      <c r="G43" s="119"/>
      <c r="H43" s="119"/>
      <c r="K43" s="97"/>
      <c r="L43" s="119"/>
      <c r="M43" s="119"/>
    </row>
    <row r="44" spans="1:13" ht="11.25" customHeight="1">
      <c r="A44" s="118"/>
      <c r="B44" s="119"/>
      <c r="C44" s="119"/>
      <c r="D44" s="119"/>
      <c r="E44" s="195"/>
      <c r="F44" s="119"/>
      <c r="G44" s="119"/>
      <c r="H44" s="119"/>
      <c r="K44" s="97"/>
      <c r="L44" s="119"/>
      <c r="M44" s="119"/>
    </row>
    <row r="45" spans="1:13" ht="11.25" customHeight="1">
      <c r="A45" s="118"/>
      <c r="B45" s="119"/>
      <c r="C45" s="119"/>
      <c r="D45" s="119"/>
      <c r="E45" s="195"/>
      <c r="F45" s="119"/>
      <c r="G45" s="119"/>
      <c r="H45" s="119"/>
      <c r="K45" s="97"/>
      <c r="L45" s="119"/>
      <c r="M45" s="119"/>
    </row>
    <row r="46" spans="1:13" ht="11.25" customHeight="1">
      <c r="A46" s="129"/>
      <c r="B46" s="119"/>
      <c r="C46" s="119"/>
      <c r="D46" s="119"/>
      <c r="E46" s="195"/>
      <c r="F46" s="119"/>
      <c r="G46" s="119"/>
      <c r="H46" s="119"/>
      <c r="K46" s="97"/>
      <c r="L46" s="119"/>
      <c r="M46" s="119"/>
    </row>
    <row r="47" spans="1:13" ht="11.25" customHeight="1">
      <c r="A47" s="129"/>
      <c r="B47" s="119"/>
      <c r="C47" s="119"/>
      <c r="D47" s="119"/>
      <c r="E47" s="195"/>
      <c r="F47" s="119"/>
      <c r="G47" s="119"/>
      <c r="H47" s="119"/>
      <c r="K47" s="97"/>
      <c r="L47" s="119"/>
      <c r="M47" s="119"/>
    </row>
    <row r="48" spans="1:13" ht="11.25" customHeight="1">
      <c r="A48" s="129"/>
      <c r="B48" s="119"/>
      <c r="C48" s="119"/>
      <c r="D48" s="119"/>
      <c r="E48" s="195"/>
      <c r="F48" s="119"/>
      <c r="G48" s="119"/>
      <c r="H48" s="119"/>
      <c r="K48" s="97"/>
      <c r="L48" s="119"/>
      <c r="M48" s="119"/>
    </row>
    <row r="49" spans="1:13" ht="11.25" customHeight="1">
      <c r="A49" s="129"/>
      <c r="B49" s="119"/>
      <c r="C49" s="119"/>
      <c r="D49" s="119"/>
      <c r="E49" s="195"/>
      <c r="F49" s="119"/>
      <c r="G49" s="119"/>
      <c r="H49" s="119"/>
      <c r="K49" s="97"/>
      <c r="L49" s="119"/>
      <c r="M49" s="119"/>
    </row>
    <row r="50" spans="1:13" ht="11.25" customHeight="1">
      <c r="A50" s="118"/>
      <c r="B50" s="119"/>
      <c r="C50" s="119"/>
      <c r="D50" s="119"/>
      <c r="E50" s="195"/>
      <c r="F50" s="119"/>
      <c r="G50" s="119"/>
      <c r="H50" s="119"/>
      <c r="K50" s="119"/>
      <c r="L50" s="119"/>
      <c r="M50" s="119"/>
    </row>
    <row r="51" spans="1:13" ht="11.25" customHeight="1">
      <c r="A51" s="129"/>
      <c r="B51" s="19"/>
      <c r="C51" s="119"/>
      <c r="D51" s="119"/>
      <c r="E51" s="195"/>
      <c r="F51" s="119"/>
      <c r="G51" s="119"/>
      <c r="H51" s="119"/>
      <c r="K51" s="119"/>
      <c r="L51" s="119"/>
      <c r="M51" s="119"/>
    </row>
    <row r="52" spans="1:13" ht="11.25" customHeight="1">
      <c r="A52" s="118"/>
      <c r="B52" s="119"/>
      <c r="C52" s="119"/>
      <c r="D52" s="119"/>
      <c r="E52" s="195"/>
      <c r="F52" s="119"/>
      <c r="G52" s="119"/>
      <c r="H52" s="119"/>
      <c r="K52" s="119"/>
      <c r="L52" s="119"/>
      <c r="M52" s="119"/>
    </row>
    <row r="53" spans="1:13" ht="11.25" customHeight="1">
      <c r="A53" s="118"/>
      <c r="B53" s="119"/>
      <c r="C53" s="119"/>
      <c r="D53" s="119"/>
      <c r="E53" s="195"/>
      <c r="F53" s="119"/>
      <c r="G53" s="119"/>
      <c r="H53" s="119"/>
      <c r="K53" s="119"/>
      <c r="L53" s="119"/>
      <c r="M53" s="119"/>
    </row>
    <row r="54" spans="1:13" ht="11.25" customHeight="1">
      <c r="A54" s="118"/>
      <c r="B54" s="119"/>
      <c r="C54" s="119"/>
      <c r="D54" s="119"/>
      <c r="E54" s="195"/>
      <c r="F54" s="119"/>
      <c r="G54" s="119"/>
      <c r="H54" s="119"/>
      <c r="K54" s="119"/>
      <c r="L54" s="119"/>
      <c r="M54" s="119"/>
    </row>
    <row r="55" spans="1:13" ht="11.25" customHeight="1">
      <c r="A55" s="118"/>
      <c r="B55" s="119"/>
      <c r="C55" s="119"/>
      <c r="D55" s="119"/>
      <c r="E55" s="195"/>
      <c r="F55" s="119"/>
      <c r="G55" s="119"/>
      <c r="H55" s="119"/>
      <c r="K55" s="119"/>
      <c r="L55" s="119"/>
      <c r="M55" s="119"/>
    </row>
    <row r="56" spans="1:13" ht="11.25" customHeight="1">
      <c r="A56" s="118"/>
      <c r="B56" s="119"/>
      <c r="C56" s="119"/>
      <c r="D56" s="119"/>
      <c r="E56" s="195"/>
      <c r="F56" s="119"/>
      <c r="G56" s="119"/>
      <c r="H56" s="119"/>
      <c r="K56" s="119"/>
      <c r="L56" s="119"/>
      <c r="M56" s="119"/>
    </row>
    <row r="57" spans="1:13" ht="11.25" customHeight="1">
      <c r="A57" s="99"/>
      <c r="B57" s="130"/>
      <c r="C57" s="119"/>
      <c r="D57" s="119"/>
      <c r="E57" s="195"/>
      <c r="F57" s="119"/>
      <c r="G57" s="119"/>
      <c r="H57" s="119"/>
      <c r="K57" s="119"/>
      <c r="L57" s="119"/>
      <c r="M57" s="119"/>
    </row>
    <row r="58" spans="1:13" ht="11.25" customHeight="1">
      <c r="A58" s="99"/>
      <c r="B58" s="130"/>
      <c r="C58" s="119"/>
      <c r="D58" s="119"/>
      <c r="E58" s="195"/>
      <c r="F58" s="119"/>
      <c r="G58" s="119"/>
      <c r="H58" s="119"/>
      <c r="K58" s="119"/>
      <c r="L58" s="119"/>
      <c r="M58" s="119"/>
    </row>
    <row r="59" spans="1:13" ht="11.25" customHeight="1">
      <c r="A59" s="99"/>
      <c r="B59" s="130"/>
      <c r="C59" s="119"/>
      <c r="D59" s="119"/>
      <c r="E59" s="195"/>
      <c r="F59" s="119"/>
      <c r="G59" s="119"/>
      <c r="H59" s="119"/>
      <c r="K59" s="119"/>
      <c r="L59" s="119"/>
      <c r="M59" s="119"/>
    </row>
    <row r="60" spans="1:13" ht="11.25" customHeight="1">
      <c r="A60" s="118"/>
      <c r="B60" s="97"/>
      <c r="C60" s="119"/>
      <c r="D60" s="119"/>
      <c r="E60" s="195"/>
      <c r="F60" s="119"/>
      <c r="G60" s="119"/>
      <c r="H60" s="119"/>
      <c r="K60" s="119"/>
      <c r="L60" s="119"/>
      <c r="M60" s="119"/>
    </row>
    <row r="61" spans="1:13" ht="11.25" customHeight="1">
      <c r="A61" s="119"/>
      <c r="B61" s="97"/>
      <c r="C61" s="119"/>
      <c r="D61" s="119"/>
      <c r="E61" s="195"/>
      <c r="F61" s="119"/>
      <c r="G61" s="119"/>
      <c r="H61" s="119"/>
      <c r="I61" s="119"/>
      <c r="J61" s="119"/>
      <c r="K61" s="119"/>
      <c r="L61" s="119"/>
      <c r="M61" s="119"/>
    </row>
    <row r="62" spans="1:13" ht="11.25" customHeight="1">
      <c r="A62" s="119"/>
      <c r="B62" s="130"/>
      <c r="C62" s="119"/>
      <c r="D62" s="119"/>
      <c r="E62" s="195"/>
      <c r="F62" s="119"/>
      <c r="G62" s="119"/>
      <c r="H62" s="119"/>
      <c r="I62" s="119"/>
      <c r="J62" s="119"/>
      <c r="K62" s="119"/>
      <c r="L62" s="119"/>
      <c r="M62" s="119"/>
    </row>
    <row r="63" spans="1:13" ht="11.25" customHeight="1">
      <c r="A63" s="119"/>
      <c r="B63" s="97"/>
      <c r="C63" s="119"/>
      <c r="D63" s="119"/>
      <c r="E63" s="195"/>
      <c r="F63" s="119"/>
      <c r="G63" s="119"/>
      <c r="H63" s="119"/>
      <c r="I63" s="119"/>
      <c r="J63" s="119"/>
      <c r="K63" s="119"/>
      <c r="L63" s="119"/>
      <c r="M63" s="119"/>
    </row>
    <row r="64" spans="1:13" ht="11.25" customHeight="1">
      <c r="A64" s="118"/>
      <c r="B64" s="118"/>
      <c r="C64" s="119"/>
      <c r="D64" s="119"/>
      <c r="E64" s="195"/>
      <c r="F64" s="119"/>
      <c r="G64" s="119"/>
      <c r="H64" s="119"/>
      <c r="I64" s="119"/>
      <c r="J64" s="119"/>
      <c r="K64" s="119"/>
      <c r="L64" s="119"/>
      <c r="M64" s="119"/>
    </row>
    <row r="65" spans="1:13" ht="11.25" customHeight="1">
      <c r="A65" s="118"/>
      <c r="B65" s="118"/>
      <c r="C65" s="119"/>
      <c r="D65" s="119"/>
      <c r="E65" s="195"/>
      <c r="F65" s="119"/>
      <c r="G65" s="119"/>
      <c r="H65" s="119"/>
      <c r="I65" s="119"/>
      <c r="J65" s="119"/>
      <c r="K65" s="119"/>
      <c r="L65" s="119"/>
      <c r="M65" s="119"/>
    </row>
    <row r="66" spans="1:13" ht="11.25" customHeight="1">
      <c r="A66" s="118"/>
      <c r="B66" s="119"/>
      <c r="C66" s="119"/>
      <c r="D66" s="119"/>
      <c r="E66" s="195"/>
      <c r="F66" s="119"/>
      <c r="G66" s="119"/>
      <c r="H66" s="119"/>
      <c r="I66" s="119"/>
      <c r="J66" s="119"/>
      <c r="K66" s="119"/>
      <c r="L66" s="119"/>
      <c r="M66" s="119"/>
    </row>
    <row r="67" spans="1:13" ht="11.25" customHeight="1">
      <c r="A67" s="118"/>
      <c r="B67" s="119"/>
      <c r="C67" s="119"/>
      <c r="D67" s="119"/>
      <c r="E67" s="195"/>
      <c r="F67" s="119"/>
      <c r="G67" s="119"/>
      <c r="H67" s="119"/>
      <c r="I67" s="119"/>
      <c r="J67" s="119"/>
      <c r="K67" s="119"/>
      <c r="L67" s="119"/>
      <c r="M67" s="119"/>
    </row>
    <row r="68" spans="1:13" ht="11.25" customHeight="1">
      <c r="A68" s="118"/>
      <c r="B68" s="119"/>
      <c r="C68" s="119"/>
      <c r="D68" s="119"/>
      <c r="E68" s="195"/>
      <c r="F68" s="119"/>
      <c r="G68" s="119"/>
      <c r="H68" s="119"/>
      <c r="I68" s="119"/>
      <c r="J68" s="119"/>
      <c r="K68" s="119"/>
      <c r="L68" s="119"/>
      <c r="M68" s="119"/>
    </row>
  </sheetData>
  <phoneticPr fontId="0" type="noConversion"/>
  <pageMargins left="0.75" right="0.75" top="1" bottom="1" header="0.5" footer="0.5"/>
  <pageSetup scale="90" orientation="portrait" r:id="rId1"/>
  <headerFooter alignWithMargins="0">
    <oddHeader>&amp;RPage 4 of 12</oddHeader>
    <oddFooter>&amp;R&amp;F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H69"/>
  <sheetViews>
    <sheetView zoomScale="75" workbookViewId="0">
      <selection activeCell="M8" sqref="M8"/>
    </sheetView>
  </sheetViews>
  <sheetFormatPr defaultColWidth="9.140625" defaultRowHeight="12.75"/>
  <cols>
    <col min="1" max="1" width="25.28515625" style="142" customWidth="1"/>
    <col min="2" max="2" width="0.85546875" style="142" customWidth="1"/>
    <col min="3" max="3" width="16.28515625" style="142" customWidth="1"/>
    <col min="4" max="4" width="0.85546875" style="142" customWidth="1"/>
    <col min="5" max="5" width="17" style="142" customWidth="1"/>
    <col min="6" max="6" width="1.28515625" style="142" customWidth="1"/>
    <col min="7" max="7" width="17.5703125" style="142" customWidth="1"/>
    <col min="8" max="8" width="0.85546875" style="142" customWidth="1"/>
    <col min="9" max="9" width="16.7109375" style="142" customWidth="1"/>
    <col min="10" max="10" width="1.5703125" style="142" customWidth="1"/>
    <col min="11" max="11" width="20.140625" style="142" customWidth="1"/>
    <col min="12" max="12" width="0.85546875" style="142" customWidth="1"/>
    <col min="13" max="13" width="17.28515625" style="142" customWidth="1"/>
    <col min="14" max="14" width="5" style="142" customWidth="1"/>
    <col min="15" max="15" width="14" style="142" customWidth="1"/>
    <col min="16" max="16" width="7.85546875" style="142" customWidth="1"/>
    <col min="17" max="17" width="14.28515625" style="142" customWidth="1"/>
    <col min="18" max="32" width="9" style="142" customWidth="1"/>
    <col min="33" max="60" width="9.140625" style="143"/>
    <col min="61" max="16384" width="9.140625" style="142"/>
  </cols>
  <sheetData>
    <row r="1" spans="1:32" ht="15.75">
      <c r="A1" s="140" t="s">
        <v>123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</row>
    <row r="3" spans="1:32">
      <c r="A3" s="144"/>
      <c r="B3" s="144"/>
      <c r="C3" s="144" t="s">
        <v>124</v>
      </c>
      <c r="D3" s="144"/>
      <c r="E3" s="144" t="s">
        <v>125</v>
      </c>
      <c r="F3" s="144"/>
      <c r="G3" s="144" t="s">
        <v>126</v>
      </c>
      <c r="H3" s="144"/>
      <c r="I3" s="144" t="s">
        <v>127</v>
      </c>
      <c r="J3" s="144"/>
      <c r="K3" s="144" t="s">
        <v>128</v>
      </c>
      <c r="L3" s="144"/>
      <c r="M3" s="144" t="s">
        <v>129</v>
      </c>
    </row>
    <row r="4" spans="1:32">
      <c r="B4" s="218"/>
      <c r="C4" s="218" t="s">
        <v>130</v>
      </c>
      <c r="D4" s="218"/>
      <c r="E4" s="218" t="s">
        <v>131</v>
      </c>
      <c r="F4" s="218"/>
      <c r="G4" s="218" t="s">
        <v>132</v>
      </c>
      <c r="H4" s="218"/>
      <c r="I4" s="218" t="s">
        <v>133</v>
      </c>
      <c r="J4" s="218"/>
      <c r="K4" s="218" t="s">
        <v>134</v>
      </c>
      <c r="L4" s="218"/>
      <c r="M4" s="218" t="s">
        <v>135</v>
      </c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5"/>
      <c r="AE4" s="145"/>
      <c r="AF4" s="145"/>
    </row>
    <row r="5" spans="1:32" ht="13.5" thickBot="1">
      <c r="A5" s="165" t="s">
        <v>136</v>
      </c>
      <c r="B5" s="165"/>
      <c r="C5" s="165" t="s">
        <v>137</v>
      </c>
      <c r="D5" s="165"/>
      <c r="E5" s="165" t="s">
        <v>137</v>
      </c>
      <c r="F5" s="165"/>
      <c r="G5" s="165" t="s">
        <v>137</v>
      </c>
      <c r="H5" s="165"/>
      <c r="I5" s="165" t="s">
        <v>138</v>
      </c>
      <c r="J5" s="165"/>
      <c r="K5" s="165" t="s">
        <v>139</v>
      </c>
      <c r="L5" s="165"/>
      <c r="M5" s="165" t="s">
        <v>140</v>
      </c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</row>
    <row r="6" spans="1:32" ht="13.5" thickTop="1">
      <c r="A6" s="219" t="s">
        <v>141</v>
      </c>
      <c r="Q6" s="101"/>
      <c r="R6" s="101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</row>
    <row r="7" spans="1:32">
      <c r="A7" s="146" t="s">
        <v>142</v>
      </c>
      <c r="B7" s="145"/>
      <c r="C7" s="147" t="s">
        <v>143</v>
      </c>
      <c r="D7" s="145"/>
      <c r="E7" s="147" t="s">
        <v>143</v>
      </c>
      <c r="F7" s="145"/>
      <c r="G7" s="148">
        <f>48/12*40/12*48/12</f>
        <v>53.333333333333336</v>
      </c>
      <c r="H7" s="145"/>
      <c r="I7" s="148">
        <f>G7/($E$26*1)</f>
        <v>436.88516853872142</v>
      </c>
      <c r="J7" s="145"/>
      <c r="K7" s="148">
        <f>I7*M7</f>
        <v>371.35239325791321</v>
      </c>
      <c r="L7" s="145"/>
      <c r="M7" s="103">
        <v>0.85</v>
      </c>
      <c r="Q7" s="101"/>
      <c r="R7" s="101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</row>
    <row r="8" spans="1:32" ht="13.5" customHeight="1">
      <c r="A8" s="146" t="s">
        <v>144</v>
      </c>
      <c r="B8" s="145"/>
      <c r="C8" s="147" t="s">
        <v>145</v>
      </c>
      <c r="D8" s="145"/>
      <c r="E8" s="147" t="s">
        <v>146</v>
      </c>
      <c r="F8" s="145"/>
      <c r="G8" s="148">
        <f>46.5/12*38.5/12*69/12</f>
        <v>71.485677083333329</v>
      </c>
      <c r="H8" s="145"/>
      <c r="I8" s="148">
        <f>G8/($E$26*1.1)</f>
        <v>532.34713773846636</v>
      </c>
      <c r="J8" s="145"/>
      <c r="K8" s="148">
        <f>I8*M8</f>
        <v>452.49506707769638</v>
      </c>
      <c r="L8" s="145"/>
      <c r="M8" s="103">
        <v>0.85</v>
      </c>
      <c r="Q8" s="101"/>
      <c r="R8" s="101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</row>
    <row r="9" spans="1:32" ht="13.5" customHeight="1">
      <c r="A9" s="149" t="s">
        <v>147</v>
      </c>
      <c r="B9" s="145"/>
      <c r="C9" s="145" t="s">
        <v>148</v>
      </c>
      <c r="D9" s="145"/>
      <c r="E9" s="145" t="s">
        <v>148</v>
      </c>
      <c r="F9" s="145"/>
      <c r="G9" s="148">
        <f>65/12*41.5/12*36/12</f>
        <v>56.197916666666664</v>
      </c>
      <c r="H9" s="145"/>
      <c r="I9" s="148">
        <f>G9/($E$26*1.1)</f>
        <v>418.50061865525595</v>
      </c>
      <c r="J9" s="145"/>
      <c r="K9" s="148">
        <f>I9*M9</f>
        <v>355.72552585696752</v>
      </c>
      <c r="L9" s="145"/>
      <c r="M9" s="103">
        <v>0.85</v>
      </c>
      <c r="Q9" s="101"/>
      <c r="R9" s="101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</row>
    <row r="10" spans="1:32" ht="13.5" thickBot="1">
      <c r="A10" s="150" t="s">
        <v>149</v>
      </c>
      <c r="B10" s="151"/>
      <c r="C10" s="152"/>
      <c r="D10" s="152"/>
      <c r="E10" s="152"/>
      <c r="F10" s="151"/>
      <c r="G10" s="151"/>
      <c r="H10" s="151"/>
      <c r="I10" s="153"/>
      <c r="J10" s="151"/>
      <c r="K10" s="220">
        <f>0.5*10+0.5*E16</f>
        <v>22.452033385032035</v>
      </c>
      <c r="L10" s="151"/>
      <c r="M10" s="154"/>
      <c r="R10" s="155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</row>
    <row r="11" spans="1:32" ht="13.5" thickTop="1">
      <c r="A11" s="146"/>
      <c r="B11" s="145"/>
      <c r="C11" s="147"/>
      <c r="D11" s="145"/>
      <c r="E11" s="147"/>
      <c r="F11" s="145"/>
      <c r="G11" s="148"/>
      <c r="H11" s="145"/>
      <c r="I11" s="148"/>
      <c r="J11" s="145"/>
      <c r="K11" s="148"/>
      <c r="L11" s="145"/>
      <c r="M11" s="156"/>
      <c r="R11" s="155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</row>
    <row r="12" spans="1:32">
      <c r="G12" s="148"/>
      <c r="H12" s="145"/>
      <c r="I12" s="148"/>
      <c r="J12" s="145"/>
      <c r="K12" s="148"/>
      <c r="L12" s="145"/>
      <c r="M12" s="156"/>
      <c r="R12" s="155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</row>
    <row r="13" spans="1:32">
      <c r="A13" s="157"/>
      <c r="B13" s="144"/>
      <c r="C13" s="144" t="s">
        <v>150</v>
      </c>
      <c r="D13" s="158"/>
      <c r="E13" s="144" t="s">
        <v>151</v>
      </c>
      <c r="F13" s="145"/>
      <c r="G13" s="148"/>
      <c r="H13" s="145"/>
      <c r="I13" s="148"/>
      <c r="J13" s="145"/>
      <c r="K13" s="148"/>
      <c r="L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</row>
    <row r="14" spans="1:32">
      <c r="A14" s="218" t="s">
        <v>152</v>
      </c>
      <c r="B14" s="218"/>
      <c r="C14" s="218" t="s">
        <v>153</v>
      </c>
      <c r="D14" s="159"/>
      <c r="E14" s="218" t="s">
        <v>154</v>
      </c>
      <c r="F14" s="159"/>
      <c r="G14" s="218"/>
      <c r="H14" s="159"/>
      <c r="I14" s="160"/>
      <c r="J14" s="161"/>
      <c r="K14" s="160"/>
      <c r="L14" s="162"/>
      <c r="M14" s="163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</row>
    <row r="15" spans="1:32" ht="13.5" thickBot="1">
      <c r="A15" s="165" t="s">
        <v>155</v>
      </c>
      <c r="B15" s="165"/>
      <c r="C15" s="165" t="s">
        <v>156</v>
      </c>
      <c r="D15" s="164"/>
      <c r="E15" s="165" t="s">
        <v>157</v>
      </c>
      <c r="F15" s="159"/>
      <c r="G15" s="218"/>
      <c r="H15" s="159"/>
      <c r="I15" s="159"/>
      <c r="J15" s="161"/>
      <c r="K15" s="159"/>
      <c r="L15" s="162"/>
      <c r="N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</row>
    <row r="16" spans="1:32" ht="13.5" thickTop="1">
      <c r="A16" s="146" t="s">
        <v>158</v>
      </c>
      <c r="B16" s="145"/>
      <c r="C16" s="145">
        <v>7.92</v>
      </c>
      <c r="D16" s="145"/>
      <c r="E16" s="148">
        <f>C16*$C$27/$E$26</f>
        <v>34.90406677006407</v>
      </c>
      <c r="F16" s="145"/>
      <c r="G16" s="145"/>
      <c r="H16" s="145"/>
      <c r="I16" s="145"/>
      <c r="K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</row>
    <row r="17" spans="1:32">
      <c r="A17" s="146" t="s">
        <v>159</v>
      </c>
      <c r="B17" s="145"/>
      <c r="C17" s="145">
        <v>126.7</v>
      </c>
      <c r="D17" s="145"/>
      <c r="E17" s="148">
        <f>C17*$C$27/$E$26</f>
        <v>558.37692673827246</v>
      </c>
      <c r="F17" s="145"/>
      <c r="G17" s="145"/>
      <c r="I17" s="145"/>
      <c r="K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</row>
    <row r="18" spans="1:32">
      <c r="A18" s="146" t="s">
        <v>160</v>
      </c>
      <c r="B18" s="145"/>
      <c r="C18" s="145">
        <v>106.9</v>
      </c>
      <c r="D18" s="145"/>
      <c r="E18" s="148">
        <f>C18*$C$27/$E$26</f>
        <v>471.11675981311231</v>
      </c>
      <c r="F18" s="145"/>
      <c r="G18" s="148"/>
      <c r="H18" s="145"/>
      <c r="I18" s="148"/>
      <c r="K18" s="148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</row>
    <row r="19" spans="1:32">
      <c r="A19" s="146" t="s">
        <v>161</v>
      </c>
      <c r="B19" s="145"/>
      <c r="C19" s="145">
        <v>55.2</v>
      </c>
      <c r="D19" s="145"/>
      <c r="E19" s="148">
        <f>C19*$C$27/$E$26</f>
        <v>243.27076839741628</v>
      </c>
      <c r="F19" s="145"/>
      <c r="G19" s="145"/>
      <c r="H19" s="145"/>
      <c r="I19" s="148"/>
      <c r="K19" s="148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</row>
    <row r="20" spans="1:32" ht="13.5" thickBot="1">
      <c r="A20" s="150" t="s">
        <v>162</v>
      </c>
      <c r="B20" s="151"/>
      <c r="C20" s="151">
        <v>35.6</v>
      </c>
      <c r="D20" s="151"/>
      <c r="E20" s="153">
        <f>C20*$C$27/$E$26</f>
        <v>156.89201729978296</v>
      </c>
      <c r="F20" s="145"/>
      <c r="G20" s="166"/>
      <c r="H20" s="145"/>
      <c r="I20" s="148"/>
      <c r="K20" s="148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</row>
    <row r="21" spans="1:32" ht="13.5" thickTop="1">
      <c r="A21" s="145"/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</row>
    <row r="22" spans="1:32">
      <c r="A22" s="158"/>
      <c r="B22" s="158"/>
      <c r="C22" s="144" t="s">
        <v>163</v>
      </c>
      <c r="D22" s="144"/>
      <c r="E22" s="144" t="s">
        <v>164</v>
      </c>
      <c r="F22" s="144"/>
      <c r="G22" s="144" t="s">
        <v>165</v>
      </c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</row>
    <row r="23" spans="1:32" ht="13.5" thickBot="1">
      <c r="C23" s="221" t="s">
        <v>166</v>
      </c>
      <c r="D23" s="221"/>
      <c r="E23" s="167"/>
      <c r="F23" s="222"/>
      <c r="G23" s="223"/>
      <c r="J23" s="168"/>
      <c r="K23" s="168"/>
      <c r="L23" s="168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</row>
    <row r="24" spans="1:32">
      <c r="C24" s="224" t="s">
        <v>167</v>
      </c>
      <c r="D24" s="161"/>
      <c r="E24" s="169" t="s">
        <v>168</v>
      </c>
      <c r="G24" s="225" t="s">
        <v>169</v>
      </c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  <c r="AA24" s="168"/>
      <c r="AB24" s="168"/>
      <c r="AC24" s="168"/>
      <c r="AD24" s="168"/>
      <c r="AE24" s="168"/>
      <c r="AF24" s="168"/>
    </row>
    <row r="25" spans="1:32" ht="13.5" thickBot="1">
      <c r="A25" s="152"/>
      <c r="B25" s="152"/>
      <c r="C25" s="165" t="s">
        <v>168</v>
      </c>
      <c r="D25" s="170"/>
      <c r="E25" s="171" t="s">
        <v>154</v>
      </c>
      <c r="G25" s="165" t="s">
        <v>170</v>
      </c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</row>
    <row r="26" spans="1:32" ht="13.5" thickTop="1">
      <c r="A26" s="172" t="s">
        <v>157</v>
      </c>
      <c r="B26" s="226"/>
      <c r="C26" s="227"/>
      <c r="D26" s="226"/>
      <c r="E26" s="174">
        <f>'[9]TRACS CRA Surface Densities'!$G$50</f>
        <v>0.12207631930312683</v>
      </c>
      <c r="G26" s="148">
        <f>+$K$9/$K$10</f>
        <v>15.843799969321129</v>
      </c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5"/>
      <c r="W26" s="175"/>
      <c r="X26" s="175"/>
      <c r="Y26" s="175"/>
      <c r="Z26" s="175"/>
      <c r="AA26" s="175"/>
      <c r="AB26" s="175"/>
      <c r="AC26" s="175"/>
      <c r="AD26" s="175"/>
      <c r="AE26" s="175"/>
      <c r="AF26" s="175"/>
    </row>
    <row r="27" spans="1:32" ht="13.5" thickBot="1">
      <c r="A27" s="228" t="s">
        <v>156</v>
      </c>
      <c r="B27" s="229"/>
      <c r="C27" s="230">
        <v>0.53800000000000003</v>
      </c>
      <c r="D27" s="229"/>
      <c r="E27" s="231"/>
      <c r="G27" s="152"/>
      <c r="I27" s="142" t="s">
        <v>171</v>
      </c>
      <c r="J27" s="145"/>
      <c r="K27" s="175"/>
      <c r="L27" s="175"/>
      <c r="M27" s="175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  <c r="AA27" s="175"/>
      <c r="AB27" s="175"/>
      <c r="AC27" s="175"/>
      <c r="AD27" s="175"/>
      <c r="AE27" s="175"/>
      <c r="AF27" s="175"/>
    </row>
    <row r="28" spans="1:32" ht="13.5" thickTop="1">
      <c r="A28" s="176"/>
      <c r="B28" s="145"/>
      <c r="C28" s="145"/>
      <c r="D28" s="145"/>
      <c r="E28" s="145"/>
      <c r="F28" s="145"/>
      <c r="G28" s="175"/>
      <c r="H28" s="145"/>
      <c r="I28" s="175"/>
      <c r="J28" s="145"/>
      <c r="K28" s="175"/>
      <c r="L28" s="175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  <c r="AA28" s="175"/>
      <c r="AB28" s="175"/>
      <c r="AC28" s="175"/>
      <c r="AD28" s="175"/>
      <c r="AE28" s="175"/>
      <c r="AF28" s="175"/>
    </row>
    <row r="29" spans="1:32">
      <c r="A29" s="176"/>
      <c r="B29" s="145"/>
      <c r="C29" s="145"/>
      <c r="D29" s="145"/>
      <c r="E29" s="145"/>
      <c r="F29" s="145"/>
      <c r="G29" s="175"/>
      <c r="H29" s="145"/>
      <c r="I29" s="175"/>
      <c r="J29" s="145"/>
      <c r="K29" s="175"/>
      <c r="L29" s="175"/>
      <c r="M29" s="175"/>
      <c r="N29" s="175"/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Y29" s="175"/>
      <c r="Z29" s="175"/>
      <c r="AA29" s="175"/>
      <c r="AB29" s="175"/>
      <c r="AC29" s="175"/>
      <c r="AD29" s="175"/>
      <c r="AE29" s="175"/>
      <c r="AF29" s="175"/>
    </row>
    <row r="30" spans="1:32">
      <c r="A30" s="177" t="s">
        <v>60</v>
      </c>
      <c r="B30" s="145"/>
      <c r="C30" s="145"/>
      <c r="D30" s="145"/>
      <c r="E30" s="145"/>
      <c r="F30" s="145"/>
      <c r="G30" s="175"/>
      <c r="H30" s="145"/>
      <c r="I30" s="175"/>
      <c r="J30" s="145"/>
      <c r="K30" s="175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  <c r="Y30" s="175"/>
      <c r="Z30" s="175"/>
      <c r="AA30" s="175"/>
      <c r="AB30" s="175"/>
      <c r="AC30" s="175"/>
      <c r="AD30" s="175"/>
      <c r="AE30" s="175"/>
      <c r="AF30" s="175"/>
    </row>
    <row r="31" spans="1:32" ht="12" customHeight="1">
      <c r="A31" s="178" t="s">
        <v>172</v>
      </c>
      <c r="B31" s="179"/>
      <c r="C31" s="179"/>
      <c r="D31" s="179"/>
      <c r="E31" s="179"/>
      <c r="F31" s="179"/>
      <c r="G31" s="179"/>
      <c r="H31" s="145"/>
      <c r="I31" s="17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</row>
    <row r="32" spans="1:32" ht="12" customHeight="1">
      <c r="A32" s="178" t="s">
        <v>173</v>
      </c>
      <c r="B32" s="179"/>
      <c r="C32" s="179"/>
      <c r="D32" s="179"/>
      <c r="E32" s="179"/>
      <c r="F32" s="179"/>
      <c r="G32" s="179"/>
      <c r="H32" s="145"/>
      <c r="I32" s="17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</row>
    <row r="33" spans="1:32" ht="12" customHeight="1">
      <c r="A33" s="180" t="s">
        <v>174</v>
      </c>
      <c r="B33" s="145"/>
      <c r="C33" s="145"/>
      <c r="D33" s="145"/>
      <c r="E33" s="145"/>
      <c r="F33" s="145"/>
      <c r="G33" s="175"/>
      <c r="H33" s="145"/>
      <c r="I33" s="175"/>
      <c r="J33" s="145"/>
      <c r="K33" s="175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  <c r="Z33" s="175"/>
      <c r="AA33" s="175"/>
      <c r="AB33" s="175"/>
      <c r="AC33" s="175"/>
      <c r="AD33" s="175"/>
      <c r="AE33" s="175"/>
      <c r="AF33" s="175"/>
    </row>
    <row r="34" spans="1:32" ht="12" customHeight="1">
      <c r="A34" s="180" t="s">
        <v>175</v>
      </c>
      <c r="B34" s="145"/>
      <c r="C34" s="145"/>
      <c r="D34" s="145"/>
      <c r="E34" s="145"/>
      <c r="F34" s="145"/>
      <c r="G34" s="145"/>
      <c r="H34" s="145"/>
      <c r="I34" s="175"/>
      <c r="J34" s="145"/>
      <c r="K34" s="175"/>
      <c r="L34" s="175"/>
      <c r="M34" s="175"/>
      <c r="N34" s="175"/>
      <c r="O34" s="175"/>
      <c r="P34" s="175"/>
      <c r="Q34" s="175"/>
      <c r="R34" s="175"/>
      <c r="S34" s="175"/>
      <c r="T34" s="175"/>
      <c r="U34" s="175"/>
      <c r="V34" s="175"/>
      <c r="W34" s="175"/>
      <c r="X34" s="175"/>
      <c r="Y34" s="175"/>
      <c r="Z34" s="175"/>
      <c r="AA34" s="175"/>
      <c r="AB34" s="175"/>
      <c r="AC34" s="175"/>
      <c r="AD34" s="175"/>
      <c r="AE34" s="175"/>
      <c r="AF34" s="175"/>
    </row>
    <row r="35" spans="1:32" ht="12" customHeight="1">
      <c r="A35" s="180" t="s">
        <v>176</v>
      </c>
      <c r="B35" s="145"/>
      <c r="C35" s="145"/>
      <c r="D35" s="145"/>
      <c r="E35" s="145"/>
      <c r="F35" s="145"/>
      <c r="G35" s="145"/>
      <c r="H35" s="145"/>
      <c r="I35" s="175"/>
      <c r="J35" s="145"/>
      <c r="K35" s="175"/>
      <c r="L35" s="175"/>
      <c r="M35" s="175"/>
      <c r="N35" s="175"/>
      <c r="O35" s="175"/>
      <c r="P35" s="175"/>
      <c r="Q35" s="175"/>
      <c r="R35" s="175"/>
      <c r="S35" s="175"/>
      <c r="T35" s="175"/>
      <c r="U35" s="175"/>
      <c r="V35" s="175"/>
      <c r="W35" s="175"/>
      <c r="X35" s="175"/>
      <c r="Y35" s="175"/>
      <c r="Z35" s="175"/>
      <c r="AA35" s="175"/>
      <c r="AB35" s="175"/>
      <c r="AC35" s="175"/>
      <c r="AD35" s="175"/>
      <c r="AE35" s="175"/>
      <c r="AF35" s="175"/>
    </row>
    <row r="36" spans="1:32" ht="12" customHeight="1">
      <c r="A36" s="180" t="s">
        <v>177</v>
      </c>
      <c r="B36" s="145"/>
      <c r="C36" s="145"/>
      <c r="D36" s="145"/>
      <c r="E36" s="145"/>
      <c r="F36" s="145"/>
      <c r="G36" s="175"/>
      <c r="H36" s="145"/>
      <c r="I36" s="17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</row>
    <row r="37" spans="1:32" ht="12" customHeight="1">
      <c r="A37" s="180" t="s">
        <v>178</v>
      </c>
      <c r="B37" s="145"/>
      <c r="C37" s="145"/>
      <c r="D37" s="145"/>
      <c r="E37" s="145"/>
      <c r="F37" s="145"/>
      <c r="G37" s="175"/>
      <c r="H37" s="145"/>
      <c r="I37" s="17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</row>
    <row r="38" spans="1:32" ht="12" customHeight="1">
      <c r="A38" s="180" t="s">
        <v>179</v>
      </c>
      <c r="B38" s="145"/>
      <c r="C38" s="145"/>
      <c r="D38" s="145"/>
      <c r="E38" s="145"/>
      <c r="F38" s="145"/>
      <c r="G38" s="175"/>
      <c r="H38" s="145"/>
      <c r="I38" s="17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</row>
    <row r="39" spans="1:32" ht="12" customHeight="1">
      <c r="A39" s="180" t="s">
        <v>180</v>
      </c>
      <c r="B39" s="145"/>
      <c r="C39" s="145"/>
      <c r="D39" s="145"/>
      <c r="E39" s="145"/>
      <c r="F39" s="145"/>
      <c r="G39" s="175"/>
      <c r="H39" s="145"/>
      <c r="I39" s="17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</row>
    <row r="40" spans="1:32" ht="12" customHeight="1">
      <c r="A40" s="180" t="s">
        <v>181</v>
      </c>
      <c r="B40" s="145"/>
      <c r="C40" s="145"/>
      <c r="D40" s="145"/>
      <c r="E40" s="145"/>
      <c r="F40" s="145"/>
      <c r="G40" s="175"/>
      <c r="H40" s="145"/>
      <c r="I40" s="17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</row>
    <row r="41" spans="1:32" ht="12" customHeight="1">
      <c r="A41" s="180" t="s">
        <v>182</v>
      </c>
      <c r="B41" s="232"/>
      <c r="C41" s="232"/>
      <c r="D41" s="232"/>
      <c r="E41" s="232"/>
      <c r="F41" s="145"/>
      <c r="G41" s="17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</row>
    <row r="42" spans="1:32" ht="12" customHeight="1">
      <c r="A42" s="182" t="s">
        <v>183</v>
      </c>
      <c r="B42" s="145"/>
      <c r="C42" s="145"/>
      <c r="D42" s="145"/>
      <c r="E42" s="145"/>
      <c r="F42" s="145"/>
      <c r="G42" s="17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</row>
    <row r="43" spans="1:32">
      <c r="B43" s="145"/>
      <c r="C43" s="145"/>
      <c r="D43" s="145"/>
      <c r="E43" s="145"/>
      <c r="F43" s="145"/>
      <c r="G43" s="17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</row>
    <row r="44" spans="1:32">
      <c r="A44" s="145"/>
      <c r="B44" s="145"/>
      <c r="C44" s="145"/>
      <c r="D44" s="145"/>
      <c r="E44" s="145"/>
      <c r="F44" s="145"/>
      <c r="G44" s="17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</row>
    <row r="45" spans="1:32">
      <c r="A45" s="145"/>
      <c r="B45" s="145"/>
      <c r="C45" s="145"/>
      <c r="D45" s="145"/>
      <c r="E45" s="145"/>
      <c r="F45" s="145"/>
      <c r="G45" s="17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</row>
    <row r="46" spans="1:32">
      <c r="A46" s="145"/>
      <c r="B46" s="145"/>
      <c r="C46" s="145"/>
      <c r="D46" s="145"/>
      <c r="E46" s="145"/>
      <c r="F46" s="145"/>
      <c r="G46" s="17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</row>
    <row r="47" spans="1:32">
      <c r="A47" s="145"/>
      <c r="B47" s="145"/>
      <c r="C47" s="145"/>
      <c r="D47" s="145"/>
      <c r="E47" s="145"/>
      <c r="F47" s="145"/>
      <c r="G47" s="17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</row>
    <row r="48" spans="1:32">
      <c r="A48" s="145"/>
      <c r="B48" s="145"/>
      <c r="C48" s="145"/>
      <c r="D48" s="145"/>
      <c r="E48" s="145"/>
      <c r="F48" s="145"/>
      <c r="G48" s="17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</row>
    <row r="49" spans="1:32">
      <c r="A49" s="145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</row>
    <row r="50" spans="1:32">
      <c r="A50" s="145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</row>
    <row r="51" spans="1:32">
      <c r="A51" s="145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</row>
    <row r="52" spans="1:32">
      <c r="A52" s="145"/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  <c r="AA52" s="145"/>
      <c r="AB52" s="145"/>
      <c r="AC52" s="145"/>
      <c r="AD52" s="145"/>
      <c r="AE52" s="145"/>
      <c r="AF52" s="145"/>
    </row>
    <row r="53" spans="1:32">
      <c r="A53" s="145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  <c r="AA53" s="145"/>
      <c r="AB53" s="145"/>
      <c r="AC53" s="145"/>
      <c r="AD53" s="145"/>
      <c r="AE53" s="145"/>
      <c r="AF53" s="145"/>
    </row>
    <row r="54" spans="1:32">
      <c r="A54" s="145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</row>
    <row r="55" spans="1:32">
      <c r="A55" s="145"/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5"/>
      <c r="AB55" s="145"/>
      <c r="AC55" s="145"/>
      <c r="AD55" s="145"/>
      <c r="AE55" s="145"/>
      <c r="AF55" s="145"/>
    </row>
    <row r="56" spans="1:32">
      <c r="A56" s="145"/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  <c r="AA56" s="145"/>
      <c r="AB56" s="145"/>
      <c r="AC56" s="145"/>
      <c r="AD56" s="145"/>
      <c r="AE56" s="145"/>
      <c r="AF56" s="145"/>
    </row>
    <row r="57" spans="1:32">
      <c r="A57" s="145"/>
      <c r="B57" s="145"/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  <c r="AA57" s="145"/>
      <c r="AB57" s="145"/>
      <c r="AC57" s="145"/>
      <c r="AD57" s="145"/>
      <c r="AE57" s="145"/>
      <c r="AF57" s="145"/>
    </row>
    <row r="58" spans="1:32">
      <c r="A58" s="145"/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</row>
    <row r="59" spans="1:32">
      <c r="A59" s="145"/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  <c r="AA59" s="145"/>
      <c r="AB59" s="145"/>
      <c r="AC59" s="145"/>
      <c r="AD59" s="145"/>
      <c r="AE59" s="145"/>
      <c r="AF59" s="145"/>
    </row>
    <row r="60" spans="1:32">
      <c r="A60" s="145"/>
      <c r="B60" s="145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  <c r="AA60" s="145"/>
      <c r="AB60" s="145"/>
      <c r="AC60" s="145"/>
      <c r="AD60" s="145"/>
      <c r="AE60" s="145"/>
      <c r="AF60" s="145"/>
    </row>
    <row r="61" spans="1:32">
      <c r="A61" s="145"/>
      <c r="B61" s="145"/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  <c r="AA61" s="145"/>
      <c r="AB61" s="145"/>
      <c r="AC61" s="145"/>
      <c r="AD61" s="145"/>
      <c r="AE61" s="145"/>
      <c r="AF61" s="145"/>
    </row>
    <row r="62" spans="1:32">
      <c r="A62" s="145"/>
      <c r="B62" s="145"/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  <c r="AA62" s="145"/>
      <c r="AB62" s="145"/>
      <c r="AC62" s="145"/>
      <c r="AD62" s="145"/>
      <c r="AE62" s="145"/>
      <c r="AF62" s="145"/>
    </row>
    <row r="63" spans="1:32">
      <c r="A63" s="145"/>
      <c r="B63" s="145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  <c r="AA63" s="145"/>
      <c r="AB63" s="145"/>
      <c r="AC63" s="145"/>
      <c r="AD63" s="145"/>
      <c r="AE63" s="145"/>
      <c r="AF63" s="145"/>
    </row>
    <row r="64" spans="1:32">
      <c r="A64" s="145"/>
      <c r="B64" s="145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  <c r="AA64" s="145"/>
      <c r="AB64" s="145"/>
      <c r="AC64" s="145"/>
      <c r="AD64" s="145"/>
      <c r="AE64" s="145"/>
      <c r="AF64" s="145"/>
    </row>
    <row r="65" spans="1:32">
      <c r="A65" s="145"/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  <c r="AA65" s="145"/>
      <c r="AB65" s="145"/>
      <c r="AC65" s="145"/>
      <c r="AD65" s="145"/>
      <c r="AE65" s="145"/>
      <c r="AF65" s="145"/>
    </row>
    <row r="66" spans="1:32">
      <c r="A66" s="145"/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  <c r="AA66" s="145"/>
      <c r="AB66" s="145"/>
      <c r="AC66" s="145"/>
      <c r="AD66" s="145"/>
      <c r="AE66" s="145"/>
      <c r="AF66" s="145"/>
    </row>
    <row r="67" spans="1:32">
      <c r="A67" s="145"/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  <c r="AA67" s="145"/>
      <c r="AB67" s="145"/>
      <c r="AC67" s="145"/>
      <c r="AD67" s="145"/>
      <c r="AE67" s="145"/>
      <c r="AF67" s="145"/>
    </row>
    <row r="68" spans="1:32">
      <c r="A68" s="145"/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45"/>
      <c r="AB68" s="145"/>
      <c r="AC68" s="145"/>
      <c r="AD68" s="145"/>
      <c r="AE68" s="145"/>
      <c r="AF68" s="145"/>
    </row>
    <row r="69" spans="1:32">
      <c r="A69" s="145"/>
      <c r="B69" s="145"/>
      <c r="D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  <c r="AA69" s="145"/>
      <c r="AB69" s="145"/>
      <c r="AC69" s="145"/>
      <c r="AD69" s="145"/>
      <c r="AE69" s="145"/>
      <c r="AF69" s="145"/>
    </row>
  </sheetData>
  <phoneticPr fontId="0" type="noConversion"/>
  <printOptions horizontalCentered="1"/>
  <pageMargins left="0.25" right="0.25" top="1.07" bottom="0.5" header="0.85" footer="0.5"/>
  <pageSetup scale="76" orientation="portrait" horizontalDpi="4294967292" verticalDpi="4294967292" r:id="rId1"/>
  <headerFooter alignWithMargins="0">
    <oddHeader>&amp;RPage 5 of 12</oddHeader>
    <oddFooter>&amp;R&amp;F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/>
    <pageSetUpPr fitToPage="1"/>
  </sheetPr>
  <dimension ref="A1:J144"/>
  <sheetViews>
    <sheetView zoomScaleNormal="100" workbookViewId="0">
      <selection activeCell="M27" sqref="M27"/>
    </sheetView>
  </sheetViews>
  <sheetFormatPr defaultColWidth="9.140625" defaultRowHeight="12"/>
  <cols>
    <col min="1" max="1" width="25" style="2" customWidth="1"/>
    <col min="2" max="2" width="10.7109375" style="14" customWidth="1"/>
    <col min="3" max="4" width="10.7109375" style="12" customWidth="1"/>
    <col min="5" max="5" width="10.7109375" style="14" customWidth="1"/>
    <col min="6" max="6" width="10.7109375" style="77" customWidth="1"/>
    <col min="7" max="7" width="10.7109375" style="78" customWidth="1"/>
    <col min="8" max="8" width="4.5703125" style="2" customWidth="1"/>
    <col min="9" max="9" width="9.140625" style="2"/>
    <col min="10" max="10" width="12.42578125" style="2" customWidth="1"/>
    <col min="11" max="16384" width="9.140625" style="2"/>
  </cols>
  <sheetData>
    <row r="1" spans="1:10" ht="15.75">
      <c r="C1" s="73"/>
    </row>
    <row r="2" spans="1:10" ht="15.75">
      <c r="A2" s="18" t="s">
        <v>184</v>
      </c>
      <c r="B2" s="233"/>
      <c r="C2" s="234"/>
      <c r="D2" s="234"/>
      <c r="E2" s="233"/>
      <c r="F2" s="235"/>
      <c r="G2" s="79"/>
      <c r="I2" s="22"/>
    </row>
    <row r="3" spans="1:10">
      <c r="A3" s="3"/>
    </row>
    <row r="4" spans="1:10" ht="12.75">
      <c r="A4" s="193"/>
      <c r="B4" s="236" t="s">
        <v>124</v>
      </c>
      <c r="C4" s="205" t="s">
        <v>125</v>
      </c>
      <c r="D4" s="205" t="s">
        <v>126</v>
      </c>
      <c r="E4" s="236" t="s">
        <v>127</v>
      </c>
      <c r="F4" s="237" t="s">
        <v>128</v>
      </c>
      <c r="G4" s="237" t="s">
        <v>129</v>
      </c>
    </row>
    <row r="5" spans="1:10" ht="12.75">
      <c r="A5" s="238"/>
      <c r="B5" s="239" t="s">
        <v>185</v>
      </c>
      <c r="C5" s="240" t="s">
        <v>186</v>
      </c>
      <c r="D5" s="240" t="s">
        <v>187</v>
      </c>
      <c r="E5" s="239" t="s">
        <v>188</v>
      </c>
      <c r="F5" s="241" t="s">
        <v>189</v>
      </c>
      <c r="G5" s="241" t="s">
        <v>190</v>
      </c>
    </row>
    <row r="6" spans="1:10" ht="12.75">
      <c r="A6" s="242" t="s">
        <v>191</v>
      </c>
      <c r="B6" s="236"/>
      <c r="C6" s="205"/>
      <c r="D6" s="205"/>
      <c r="E6" s="236"/>
      <c r="F6" s="237"/>
      <c r="G6" s="135">
        <f>SUM(G7:G16)</f>
        <v>0.52568529604703018</v>
      </c>
    </row>
    <row r="7" spans="1:10" ht="12.75">
      <c r="A7" s="119" t="s">
        <v>192</v>
      </c>
      <c r="B7" s="236">
        <f>+'Arrival - Dispatch Profile'!D5</f>
        <v>0.99550000000000005</v>
      </c>
      <c r="C7" s="205">
        <f>+Productivities!D$8</f>
        <v>13.055966674639437</v>
      </c>
      <c r="D7" s="205">
        <f>+'Conversion Factors'!K$7*0.5+'Conversion Factors'!K$8*0.5</f>
        <v>411.92373016780482</v>
      </c>
      <c r="E7" s="236">
        <f>'Other Inputs'!$D$11</f>
        <v>1.386023903258889</v>
      </c>
      <c r="F7" s="237">
        <f>'Other Inputs'!$D$4*E7/(C7*D7)</f>
        <v>1.2642054516122204E-2</v>
      </c>
      <c r="G7" s="237">
        <f>F7*B7</f>
        <v>1.2585165270799654E-2</v>
      </c>
    </row>
    <row r="8" spans="1:10" ht="12.75">
      <c r="A8" s="119" t="s">
        <v>193</v>
      </c>
      <c r="B8" s="236">
        <f>'Arrival - Dispatch Profile'!D6</f>
        <v>4.4999999999999485E-3</v>
      </c>
      <c r="C8" s="205">
        <f>+Productivities!D5</f>
        <v>199.00056046387357</v>
      </c>
      <c r="D8" s="32">
        <f>'Conversion Factors'!K$10</f>
        <v>22.452033385032035</v>
      </c>
      <c r="E8" s="236">
        <f>E7</f>
        <v>1.386023903258889</v>
      </c>
      <c r="F8" s="237">
        <f>'Other Inputs'!$D$4*E8/(C8*D8)</f>
        <v>1.5217157104739417E-2</v>
      </c>
      <c r="G8" s="237">
        <f>F8*B8</f>
        <v>6.8477206971326594E-5</v>
      </c>
    </row>
    <row r="9" spans="1:10" ht="12.75">
      <c r="A9" t="s">
        <v>194</v>
      </c>
      <c r="B9" s="70">
        <f>+B7</f>
        <v>0.99550000000000005</v>
      </c>
      <c r="C9" s="27">
        <f>+Productivities!D$11</f>
        <v>6.9452851750550897</v>
      </c>
      <c r="D9" s="205">
        <f>+'Conversion Factors'!K$7*0.5+'Conversion Factors'!K$8*0.5</f>
        <v>411.92373016780482</v>
      </c>
      <c r="E9" s="236">
        <f>E8</f>
        <v>1.386023903258889</v>
      </c>
      <c r="F9" s="237">
        <f>'Other Inputs'!$D$4*E9/(C9*D9)</f>
        <v>2.3764933807798219E-2</v>
      </c>
      <c r="G9" s="237">
        <f>F9*B9</f>
        <v>2.3657991605663127E-2</v>
      </c>
    </row>
    <row r="10" spans="1:10" ht="12.75">
      <c r="A10" t="s">
        <v>30</v>
      </c>
      <c r="B10" s="70">
        <f>B8</f>
        <v>4.4999999999999485E-3</v>
      </c>
      <c r="C10" s="27">
        <f>Productivities!D13</f>
        <v>3068.1109131264348</v>
      </c>
      <c r="D10" s="32">
        <f>D8</f>
        <v>22.452033385032035</v>
      </c>
      <c r="E10" s="236">
        <f>'Other Inputs'!D14</f>
        <v>1.6196174573049362</v>
      </c>
      <c r="F10" s="237">
        <f>'Other Inputs'!$D$4*E10/(C10*D10)</f>
        <v>1.1533430358054175E-3</v>
      </c>
      <c r="G10" s="237">
        <f>F10*B10</f>
        <v>5.1900436611243192E-6</v>
      </c>
    </row>
    <row r="11" spans="1:10" ht="12.75">
      <c r="A11" s="119" t="s">
        <v>32</v>
      </c>
      <c r="B11" s="236">
        <f>+'Other Inputs'!D25</f>
        <v>1</v>
      </c>
      <c r="C11" s="243">
        <f>+Productivities!D16</f>
        <v>409.68278032374019</v>
      </c>
      <c r="D11" s="205">
        <v>1</v>
      </c>
      <c r="E11" s="236">
        <f>'Other Inputs'!$D$12</f>
        <v>1.9204979181524358</v>
      </c>
      <c r="F11" s="237">
        <f>'Other Inputs'!D$4*E11/(C11*D11)</f>
        <v>0.22995291201071713</v>
      </c>
      <c r="G11" s="244">
        <f>F11*B11</f>
        <v>0.22995291201071713</v>
      </c>
      <c r="I11" s="14"/>
      <c r="J11" s="14"/>
    </row>
    <row r="12" spans="1:10" ht="12.75">
      <c r="A12" s="119" t="s">
        <v>33</v>
      </c>
      <c r="B12" s="236">
        <f>+'Other Inputs'!D26</f>
        <v>0.79907652979972688</v>
      </c>
      <c r="C12" s="243">
        <f>Productivities!D17</f>
        <v>331.36480334855139</v>
      </c>
      <c r="D12" s="205">
        <v>1</v>
      </c>
      <c r="E12" s="236">
        <f>'Other Inputs'!D13</f>
        <v>2.0700178145522989</v>
      </c>
      <c r="F12" s="237">
        <f>'Other Inputs'!D$4*E12/(C12*D12)</f>
        <v>0.30643649702552067</v>
      </c>
      <c r="G12" s="244">
        <f>+F12*B12</f>
        <v>0.24486621264713737</v>
      </c>
    </row>
    <row r="13" spans="1:10" ht="12.75">
      <c r="A13" s="119" t="s">
        <v>195</v>
      </c>
      <c r="B13" s="236">
        <f>'Arrival - Dispatch Profile'!$D$9</f>
        <v>0.2384</v>
      </c>
      <c r="C13" s="205">
        <f>Productivities!$D$29</f>
        <v>194.25559514992997</v>
      </c>
      <c r="D13" s="205">
        <f>+'Conversion Factors'!E16</f>
        <v>34.90406677006407</v>
      </c>
      <c r="E13" s="236">
        <f>'Other Inputs'!D11</f>
        <v>1.386023903258889</v>
      </c>
      <c r="F13" s="237">
        <f>'Other Inputs'!D4*E13/(C13*D13)</f>
        <v>1.0027529212053096E-2</v>
      </c>
      <c r="G13" s="237">
        <f>F13*B13</f>
        <v>2.3905629641534582E-3</v>
      </c>
    </row>
    <row r="14" spans="1:10" ht="12.75">
      <c r="A14" s="119" t="s">
        <v>196</v>
      </c>
      <c r="B14" s="236">
        <f>'Arrival - Dispatch Profile'!$D$11</f>
        <v>2.8899999999999999E-2</v>
      </c>
      <c r="C14" s="205">
        <f>Productivities!$D$30</f>
        <v>11.079460260083046</v>
      </c>
      <c r="D14" s="205">
        <f>+'Conversion Factors'!E17</f>
        <v>558.37692673827246</v>
      </c>
      <c r="E14" s="236">
        <f>'Other Inputs'!$D$11</f>
        <v>1.386023903258889</v>
      </c>
      <c r="F14" s="237">
        <f>'Other Inputs'!D4*E14/(C14*D14)</f>
        <v>1.0989993488266639E-2</v>
      </c>
      <c r="G14" s="237">
        <f>F14*B14</f>
        <v>3.1761081181090584E-4</v>
      </c>
    </row>
    <row r="15" spans="1:10" ht="12.75">
      <c r="A15" s="119" t="s">
        <v>197</v>
      </c>
      <c r="B15" s="236">
        <f>'Arrival - Dispatch Profile'!$D$10</f>
        <v>0.60250000000000004</v>
      </c>
      <c r="C15" s="205">
        <f>Productivities!$D$30</f>
        <v>11.079460260083046</v>
      </c>
      <c r="D15" s="205">
        <f>+'Conversion Factors'!E$18</f>
        <v>471.11675981311231</v>
      </c>
      <c r="E15" s="236">
        <f>'Other Inputs'!$D$11</f>
        <v>1.386023903258889</v>
      </c>
      <c r="F15" s="237">
        <f>'Other Inputs'!D4*E15/(C15*D15)</f>
        <v>1.3025558231649982E-2</v>
      </c>
      <c r="G15" s="237">
        <f>F15*B15</f>
        <v>7.8478988345691142E-3</v>
      </c>
    </row>
    <row r="16" spans="1:10" ht="12.75">
      <c r="A16" s="119" t="s">
        <v>198</v>
      </c>
      <c r="B16" s="236">
        <f>'Arrival - Dispatch Profile'!$D$12</f>
        <v>0.13020000000000001</v>
      </c>
      <c r="C16" s="205">
        <f>Productivities!$D$30</f>
        <v>11.079460260083046</v>
      </c>
      <c r="D16" s="205">
        <f>+'Conversion Factors'!E$19*0.5+0.5*'Conversion Factors'!E$20</f>
        <v>200.08139284859962</v>
      </c>
      <c r="E16" s="236">
        <f>'Other Inputs'!$D$11</f>
        <v>1.386023903258889</v>
      </c>
      <c r="F16" s="237">
        <f>'Other Inputs'!D4*E16/(C16*D16)</f>
        <v>3.0670312223863058E-2</v>
      </c>
      <c r="G16" s="237">
        <f>F16*B16</f>
        <v>3.9932746515469707E-3</v>
      </c>
    </row>
    <row r="17" spans="1:7" ht="12.75">
      <c r="A17" s="127" t="s">
        <v>199</v>
      </c>
      <c r="B17" s="236"/>
      <c r="C17" s="205"/>
      <c r="D17" s="205"/>
      <c r="E17" s="236"/>
      <c r="F17" s="237"/>
      <c r="G17" s="80">
        <f>SUM(G18:G36)</f>
        <v>0.72630687982047859</v>
      </c>
    </row>
    <row r="18" spans="1:7" ht="12.75">
      <c r="A18" s="119" t="s">
        <v>193</v>
      </c>
      <c r="B18" s="236">
        <f>$B$13*((1-'Other Inputs'!$D$24)*'Arrival - Dispatch Profile'!$D$20+'Arrival - Dispatch Profile'!$D$21)</f>
        <v>0.22389994048693029</v>
      </c>
      <c r="C18" s="205">
        <f>Productivities!$D$6</f>
        <v>163.99153591782377</v>
      </c>
      <c r="D18" s="205">
        <f>+'Conversion Factors'!E16</f>
        <v>34.90406677006407</v>
      </c>
      <c r="E18" s="236">
        <f>'Other Inputs'!$D$16</f>
        <v>1.3606061934437479</v>
      </c>
      <c r="F18" s="237">
        <f>'Other Inputs'!D4*E18/(C18*D18)</f>
        <v>1.1660247328285953E-2</v>
      </c>
      <c r="G18" s="237">
        <f t="shared" ref="G18:G36" si="0">F18*B18</f>
        <v>2.6107286828661127E-3</v>
      </c>
    </row>
    <row r="19" spans="1:7" ht="12.75">
      <c r="A19" s="119" t="s">
        <v>200</v>
      </c>
      <c r="B19" s="236">
        <f>$B$14*((1-'Other Inputs'!$D$24)*'Arrival - Dispatch Profile'!$D$20+'Arrival - Dispatch Profile'!$D$21)</f>
        <v>2.7142232718424017E-2</v>
      </c>
      <c r="C19" s="205">
        <f>Productivities!$D$7</f>
        <v>22.161170385179815</v>
      </c>
      <c r="D19" s="205">
        <f>+'Conversion Factors'!E$17</f>
        <v>558.37692673827246</v>
      </c>
      <c r="E19" s="236">
        <f>'Other Inputs'!$D$16</f>
        <v>1.3606061934437479</v>
      </c>
      <c r="F19" s="237">
        <f>'Other Inputs'!D4*E19/(C19*D19)</f>
        <v>5.3936786712045978E-3</v>
      </c>
      <c r="G19" s="237">
        <f t="shared" si="0"/>
        <v>1.463964817022352E-4</v>
      </c>
    </row>
    <row r="20" spans="1:7" ht="12.75">
      <c r="A20" s="119" t="s">
        <v>201</v>
      </c>
      <c r="B20" s="236">
        <f>$B$15*((1-'Other Inputs'!$D$24)*'Arrival - Dispatch Profile'!$D$20+'Arrival - Dispatch Profile'!$D$21)</f>
        <v>0.56585450563496442</v>
      </c>
      <c r="C20" s="205">
        <f>Productivities!$D$7</f>
        <v>22.161170385179815</v>
      </c>
      <c r="D20" s="205">
        <f>+'Conversion Factors'!E$18</f>
        <v>471.11675981311231</v>
      </c>
      <c r="E20" s="236">
        <f>'Other Inputs'!$D$16</f>
        <v>1.3606061934437479</v>
      </c>
      <c r="F20" s="237">
        <f>'Other Inputs'!D4*E20/(C20*D20)</f>
        <v>6.3926949264885178E-3</v>
      </c>
      <c r="G20" s="237">
        <f t="shared" si="0"/>
        <v>3.6173352273033057E-3</v>
      </c>
    </row>
    <row r="21" spans="1:7" ht="12.75">
      <c r="A21" s="119" t="s">
        <v>202</v>
      </c>
      <c r="B21" s="236">
        <f>$B$16*((1-'Other Inputs'!$D$24)*'Arrival - Dispatch Profile'!$D$20+'Arrival - Dispatch Profile'!$D$21)</f>
        <v>0.12228092387331513</v>
      </c>
      <c r="C21" s="205">
        <f>Productivities!$D$7</f>
        <v>22.161170385179815</v>
      </c>
      <c r="D21" s="205">
        <f>+'Conversion Factors'!E$19*0.5+0.5*'Conversion Factors'!E$20</f>
        <v>200.08139284859962</v>
      </c>
      <c r="E21" s="236">
        <f>'Other Inputs'!$D$16</f>
        <v>1.3606061934437479</v>
      </c>
      <c r="F21" s="237">
        <f>'Other Inputs'!D4*E21/(C21*D21)</f>
        <v>1.5052402811489481E-2</v>
      </c>
      <c r="G21" s="237">
        <f t="shared" si="0"/>
        <v>1.8406217223022197E-3</v>
      </c>
    </row>
    <row r="22" spans="1:7" ht="12.75">
      <c r="A22" s="119" t="s">
        <v>203</v>
      </c>
      <c r="B22" s="236">
        <f>$B$13*(1-'Other Inputs'!$D$24)*'Arrival - Dispatch Profile'!$D$20</f>
        <v>0.10338660319481389</v>
      </c>
      <c r="C22" s="205">
        <f>Productivities!$D$25</f>
        <v>7.4909255631935219</v>
      </c>
      <c r="D22" s="205">
        <f>+'Conversion Factors'!K9</f>
        <v>355.72552585696752</v>
      </c>
      <c r="E22" s="236">
        <f>'Other Inputs'!$D$16</f>
        <v>1.3606061934437479</v>
      </c>
      <c r="F22" s="237">
        <f>'Other Inputs'!D4*E22/(C22*D22)</f>
        <v>2.5046942285264974E-2</v>
      </c>
      <c r="G22" s="237">
        <f t="shared" si="0"/>
        <v>2.5895182832900948E-3</v>
      </c>
    </row>
    <row r="23" spans="1:7" ht="12.75">
      <c r="A23" s="119" t="s">
        <v>204</v>
      </c>
      <c r="B23" s="236">
        <f>$B$14*(1-'Other Inputs'!$D$24)*'Arrival - Dispatch Profile'!$D$20</f>
        <v>1.253302362554581E-2</v>
      </c>
      <c r="C23" s="205">
        <f>Productivities!$D$25</f>
        <v>7.4909255631935219</v>
      </c>
      <c r="D23" s="205">
        <f>+'Conversion Factors'!E$17</f>
        <v>558.37692673827246</v>
      </c>
      <c r="E23" s="236">
        <f>'Other Inputs'!$D$16</f>
        <v>1.3606061934437479</v>
      </c>
      <c r="F23" s="237">
        <f>'Other Inputs'!D4*E23/(C23*D23)</f>
        <v>1.5956670644650936E-2</v>
      </c>
      <c r="G23" s="237">
        <f t="shared" si="0"/>
        <v>1.9998533017446347E-4</v>
      </c>
    </row>
    <row r="24" spans="1:7" ht="12.75">
      <c r="A24" s="119" t="s">
        <v>205</v>
      </c>
      <c r="B24" s="236">
        <f>$B$15*(1-'Other Inputs'!$D$24)*'Arrival - Dispatch Profile'!$D$20</f>
        <v>0.26128535413118864</v>
      </c>
      <c r="C24" s="205">
        <f>Productivities!$D$25</f>
        <v>7.4909255631935219</v>
      </c>
      <c r="D24" s="205">
        <f>+'Conversion Factors'!E$18</f>
        <v>471.11675981311231</v>
      </c>
      <c r="E24" s="236">
        <f>'Other Inputs'!$D$16</f>
        <v>1.3606061934437479</v>
      </c>
      <c r="F24" s="237">
        <f>'Other Inputs'!D4*E24/(C24*D24)</f>
        <v>1.891216249464241E-2</v>
      </c>
      <c r="G24" s="237">
        <f t="shared" si="0"/>
        <v>4.9414710747992261E-3</v>
      </c>
    </row>
    <row r="25" spans="1:7" ht="12.75">
      <c r="A25" s="119" t="s">
        <v>206</v>
      </c>
      <c r="B25" s="236">
        <f>$B$16*(1-'Other Inputs'!$D$24)*'Arrival - Dispatch Profile'!$D$20</f>
        <v>5.6463656610590475E-2</v>
      </c>
      <c r="C25" s="205">
        <f>Productivities!$D$25</f>
        <v>7.4909255631935219</v>
      </c>
      <c r="D25" s="205">
        <f>+'Conversion Factors'!E$19*0.5+0.5*'Conversion Factors'!E$20</f>
        <v>200.08139284859962</v>
      </c>
      <c r="E25" s="236">
        <f>'Other Inputs'!$D$16</f>
        <v>1.3606061934437479</v>
      </c>
      <c r="F25" s="237">
        <f>'Other Inputs'!D$4*E25/(C25*D25)</f>
        <v>4.4531061028133777E-2</v>
      </c>
      <c r="G25" s="237">
        <f t="shared" si="0"/>
        <v>2.5143865383977938E-3</v>
      </c>
    </row>
    <row r="26" spans="1:7" ht="12.75">
      <c r="A26" s="118" t="s">
        <v>207</v>
      </c>
      <c r="B26" s="236">
        <f>+'Arrival - Dispatch Profile'!D21*DNDC!B13</f>
        <v>0.12051333729211641</v>
      </c>
      <c r="C26" s="205">
        <f>+Productivities!D$25*2</f>
        <v>14.981851126387044</v>
      </c>
      <c r="D26" s="205">
        <f>+'Conversion Factors'!K$9</f>
        <v>355.72552585696752</v>
      </c>
      <c r="E26" s="236">
        <f>'Other Inputs'!$D$16</f>
        <v>1.3606061934437479</v>
      </c>
      <c r="F26" s="237">
        <f>'Other Inputs'!D$4*E26/(C26*D26)</f>
        <v>1.2523471142632487E-2</v>
      </c>
      <c r="G26" s="237">
        <f t="shared" ref="G26:G33" si="1">F26*B26</f>
        <v>1.5092453018801554E-3</v>
      </c>
    </row>
    <row r="27" spans="1:7" ht="12.75">
      <c r="A27" s="118" t="s">
        <v>208</v>
      </c>
      <c r="B27" s="236">
        <f>+'Arrival - Dispatch Profile'!D21*DNDC!B14</f>
        <v>1.4609209092878205E-2</v>
      </c>
      <c r="C27" s="205">
        <f>+Productivities!D$25*2</f>
        <v>14.981851126387044</v>
      </c>
      <c r="D27" s="205">
        <f>+'Conversion Factors'!E17</f>
        <v>558.37692673827246</v>
      </c>
      <c r="E27" s="236">
        <f>'Other Inputs'!$D$16</f>
        <v>1.3606061934437479</v>
      </c>
      <c r="F27" s="237">
        <f>'Other Inputs'!D$4*E27/(C27*D27)</f>
        <v>7.978335322325468E-3</v>
      </c>
      <c r="G27" s="237">
        <f t="shared" si="1"/>
        <v>1.1655716893694859E-4</v>
      </c>
    </row>
    <row r="28" spans="1:7" ht="12.75">
      <c r="A28" s="118" t="s">
        <v>209</v>
      </c>
      <c r="B28" s="236">
        <f>+'Arrival - Dispatch Profile'!D21*DNDC!B15</f>
        <v>0.30456915150377578</v>
      </c>
      <c r="C28" s="205">
        <f>+Productivities!D$25*2</f>
        <v>14.981851126387044</v>
      </c>
      <c r="D28" s="205">
        <f>+'Conversion Factors'!E$18</f>
        <v>471.11675981311231</v>
      </c>
      <c r="E28" s="236">
        <f>'Other Inputs'!$D$16</f>
        <v>1.3606061934437479</v>
      </c>
      <c r="F28" s="237">
        <f>'Other Inputs'!D$4*E28/(C28*D28)</f>
        <v>9.456081247321205E-3</v>
      </c>
      <c r="G28" s="237">
        <f t="shared" si="1"/>
        <v>2.8800306420473853E-3</v>
      </c>
    </row>
    <row r="29" spans="1:7" ht="12.75">
      <c r="A29" s="118" t="s">
        <v>210</v>
      </c>
      <c r="B29" s="236">
        <f>+'Arrival - Dispatch Profile'!D21*DNDC!B16</f>
        <v>6.581726726272466E-2</v>
      </c>
      <c r="C29" s="205">
        <f>+Productivities!D$25*2</f>
        <v>14.981851126387044</v>
      </c>
      <c r="D29" s="205">
        <f>+'Conversion Factors'!E$19*0.5+0.5*'Conversion Factors'!E$20</f>
        <v>200.08139284859962</v>
      </c>
      <c r="E29" s="236">
        <f>'Other Inputs'!$D$16</f>
        <v>1.3606061934437479</v>
      </c>
      <c r="F29" s="237">
        <f>'Other Inputs'!D$4*E29/(C29*D29)</f>
        <v>2.2265530514066888E-2</v>
      </c>
      <c r="G29" s="237">
        <f t="shared" si="1"/>
        <v>1.4654563725906916E-3</v>
      </c>
    </row>
    <row r="30" spans="1:7" ht="12.75">
      <c r="A30" s="119" t="s">
        <v>211</v>
      </c>
      <c r="B30" s="236">
        <f>SUM(B26:B29)</f>
        <v>0.50550896515149502</v>
      </c>
      <c r="C30" s="243">
        <f>+Productivities!D21</f>
        <v>47.994690148863093</v>
      </c>
      <c r="D30" s="205">
        <v>1</v>
      </c>
      <c r="E30" s="236">
        <f>+'Other Inputs'!D15</f>
        <v>1.3208756008457678</v>
      </c>
      <c r="F30" s="237">
        <f>'Other Inputs'!D$4*E30/(C30*D30)</f>
        <v>1.3500240610368883</v>
      </c>
      <c r="G30" s="244">
        <f t="shared" si="1"/>
        <v>0.68244926602437617</v>
      </c>
    </row>
    <row r="31" spans="1:7" ht="12.75">
      <c r="A31" t="s">
        <v>212</v>
      </c>
      <c r="B31" s="236">
        <f>+B30*'Arrival - Dispatch Profile'!D15</f>
        <v>0.1351225463849946</v>
      </c>
      <c r="C31" s="205">
        <f>+Productivities!D$25*2</f>
        <v>14.981851126387044</v>
      </c>
      <c r="D31" s="205">
        <f>+'Conversion Factors'!K$9</f>
        <v>355.72552585696752</v>
      </c>
      <c r="E31" s="236">
        <f>'Other Inputs'!$D$16</f>
        <v>1.3606061934437479</v>
      </c>
      <c r="F31" s="237">
        <f>'Other Inputs'!D$4*E31/(C31*D31)</f>
        <v>1.2523471142632487E-2</v>
      </c>
      <c r="G31" s="237">
        <f t="shared" si="1"/>
        <v>1.6922033103714995E-3</v>
      </c>
    </row>
    <row r="32" spans="1:7" ht="12.75">
      <c r="A32" t="s">
        <v>213</v>
      </c>
      <c r="B32" s="236">
        <f>+B30*'Arrival - Dispatch Profile'!D16</f>
        <v>0.30456915150377578</v>
      </c>
      <c r="C32" s="205">
        <f>+Productivities!D$25*2</f>
        <v>14.981851126387044</v>
      </c>
      <c r="D32" s="205">
        <f>+'Conversion Factors'!E$18</f>
        <v>471.11675981311231</v>
      </c>
      <c r="E32" s="236">
        <f>'Other Inputs'!$D$16</f>
        <v>1.3606061934437479</v>
      </c>
      <c r="F32" s="237">
        <f>'Other Inputs'!D$4*E32/(C32*D32)</f>
        <v>9.456081247321205E-3</v>
      </c>
      <c r="G32" s="237">
        <f t="shared" si="1"/>
        <v>2.8800306420473853E-3</v>
      </c>
    </row>
    <row r="33" spans="1:10" ht="12.75">
      <c r="A33" t="s">
        <v>214</v>
      </c>
      <c r="B33" s="236">
        <f>+B30*'Arrival - Dispatch Profile'!D17</f>
        <v>6.581726726272466E-2</v>
      </c>
      <c r="C33" s="205">
        <f>+Productivities!D$25*2</f>
        <v>14.981851126387044</v>
      </c>
      <c r="D33" s="205">
        <f>+'Conversion Factors'!E$19*0.5+0.5*'Conversion Factors'!E$20</f>
        <v>200.08139284859962</v>
      </c>
      <c r="E33" s="236">
        <f>'Other Inputs'!$D$16</f>
        <v>1.3606061934437479</v>
      </c>
      <c r="F33" s="237">
        <f>'Other Inputs'!D$4*E33/(C33*D33)</f>
        <v>2.2265530514066888E-2</v>
      </c>
      <c r="G33" s="237">
        <f t="shared" si="1"/>
        <v>1.4654563725906916E-3</v>
      </c>
    </row>
    <row r="34" spans="1:10" ht="12.75">
      <c r="A34" s="119" t="s">
        <v>195</v>
      </c>
      <c r="B34" s="236">
        <f>(B22+B23)+B31</f>
        <v>0.25104217320535432</v>
      </c>
      <c r="C34" s="205">
        <f>Productivities!$D$29</f>
        <v>194.25559514992997</v>
      </c>
      <c r="D34" s="205">
        <f>+'Conversion Factors'!E$16</f>
        <v>34.90406677006407</v>
      </c>
      <c r="E34" s="236">
        <f>'Other Inputs'!$D$16</f>
        <v>1.3606061934437479</v>
      </c>
      <c r="F34" s="237">
        <f>'Other Inputs'!D$4*E34/(C34*D34)</f>
        <v>9.8436385684101298E-3</v>
      </c>
      <c r="G34" s="237">
        <f t="shared" si="0"/>
        <v>2.471168418461722E-3</v>
      </c>
    </row>
    <row r="35" spans="1:10" ht="12.75">
      <c r="A35" s="119" t="s">
        <v>197</v>
      </c>
      <c r="B35" s="236">
        <f>B24+B32</f>
        <v>0.56585450563496442</v>
      </c>
      <c r="C35" s="205">
        <f>Productivities!$D$30</f>
        <v>11.079460260083046</v>
      </c>
      <c r="D35" s="205">
        <f>+'Conversion Factors'!E$18</f>
        <v>471.11675981311231</v>
      </c>
      <c r="E35" s="236">
        <f>'Other Inputs'!$D$16</f>
        <v>1.3606061934437479</v>
      </c>
      <c r="F35" s="237">
        <f>'Other Inputs'!D$4*E35/(C35*D35)</f>
        <v>1.2786687993890121E-2</v>
      </c>
      <c r="G35" s="237">
        <f t="shared" si="0"/>
        <v>7.2354050134912293E-3</v>
      </c>
    </row>
    <row r="36" spans="1:10" ht="12.75">
      <c r="A36" s="119" t="s">
        <v>198</v>
      </c>
      <c r="B36" s="236">
        <f>B25+B33</f>
        <v>0.12228092387331513</v>
      </c>
      <c r="C36" s="205">
        <f>Productivities!$D$30</f>
        <v>11.079460260083046</v>
      </c>
      <c r="D36" s="205">
        <f>+'Conversion Factors'!E$19*0.5+0.5*'Conversion Factors'!E$20</f>
        <v>200.08139284859962</v>
      </c>
      <c r="E36" s="236">
        <f>'Other Inputs'!$D$16</f>
        <v>1.3606061934437479</v>
      </c>
      <c r="F36" s="237">
        <f>'Other Inputs'!D$4*E36/(C36*D36)</f>
        <v>3.0107862258741274E-2</v>
      </c>
      <c r="G36" s="237">
        <f t="shared" si="0"/>
        <v>3.6816172128493994E-3</v>
      </c>
    </row>
    <row r="37" spans="1:10" ht="12.75">
      <c r="A37" s="3" t="s">
        <v>215</v>
      </c>
      <c r="B37" s="236"/>
      <c r="C37" s="205"/>
      <c r="D37" s="205"/>
      <c r="E37" s="236"/>
      <c r="F37" s="237"/>
      <c r="G37" s="80">
        <f>SUM(G38:G45)</f>
        <v>0.223241580562001</v>
      </c>
    </row>
    <row r="38" spans="1:10" ht="12.75">
      <c r="A38" s="119" t="s">
        <v>216</v>
      </c>
      <c r="B38" s="236">
        <f>+B13*('Arrival - Dispatch Profile'!D20*'Arrival - Dispatch Profile'!D23)+DNDC!B34</f>
        <v>0.26554223271842403</v>
      </c>
      <c r="C38" s="205">
        <f>Productivities!$D$6</f>
        <v>163.99153591782377</v>
      </c>
      <c r="D38" s="205">
        <f>+'Conversion Factors'!E$16</f>
        <v>34.90406677006407</v>
      </c>
      <c r="E38" s="236">
        <f>'Other Inputs'!$D$17</f>
        <v>1.6214860636540271</v>
      </c>
      <c r="F38" s="237">
        <f>'Other Inputs'!D4*E38/(C38*D38)</f>
        <v>1.3895959486793598E-2</v>
      </c>
      <c r="G38" s="237">
        <f t="shared" ref="G38:G45" si="2">F38*B38</f>
        <v>3.6899641078879377E-3</v>
      </c>
    </row>
    <row r="39" spans="1:10" ht="12.75">
      <c r="A39" s="119" t="s">
        <v>217</v>
      </c>
      <c r="B39" s="236">
        <f>B14*'Arrival - Dispatch Profile'!D23*'Arrival - Dispatch Profile'!D20</f>
        <v>1.7577672815759803E-3</v>
      </c>
      <c r="C39" s="205">
        <f>Productivities!D7</f>
        <v>22.161170385179815</v>
      </c>
      <c r="D39" s="205">
        <f>'Conversion Factors'!E17</f>
        <v>558.37692673827246</v>
      </c>
      <c r="E39" s="236">
        <f>'Other Inputs'!$D$17</f>
        <v>1.6214860636540271</v>
      </c>
      <c r="F39" s="237">
        <f>'Other Inputs'!D4*E39/(C39*D39)</f>
        <v>6.4278516732680204E-3</v>
      </c>
      <c r="G39" s="237">
        <f t="shared" si="2"/>
        <v>1.1298667362093944E-5</v>
      </c>
    </row>
    <row r="40" spans="1:10" ht="12.75">
      <c r="A40" s="119" t="s">
        <v>201</v>
      </c>
      <c r="B40" s="236">
        <f>+B15*('Arrival - Dispatch Profile'!D20*'Arrival - Dispatch Profile'!D23)+DNDC!B35</f>
        <v>0.60250000000000004</v>
      </c>
      <c r="C40" s="205">
        <f>Productivities!$D$7</f>
        <v>22.161170385179815</v>
      </c>
      <c r="D40" s="205">
        <f>+'Conversion Factors'!E$18</f>
        <v>471.11675981311231</v>
      </c>
      <c r="E40" s="236">
        <f>'Other Inputs'!$D$17</f>
        <v>1.6214860636540271</v>
      </c>
      <c r="F40" s="237">
        <f>'Other Inputs'!D4*E40/(C40*D40)</f>
        <v>7.6184172778583558E-3</v>
      </c>
      <c r="G40" s="237">
        <f t="shared" si="2"/>
        <v>4.5900964099096593E-3</v>
      </c>
    </row>
    <row r="41" spans="1:10" ht="12.75">
      <c r="A41" s="119" t="s">
        <v>202</v>
      </c>
      <c r="B41" s="236">
        <f>+B16*('Arrival - Dispatch Profile'!D20*'Arrival - Dispatch Profile'!D23)+DNDC!B36</f>
        <v>0.13019999999999998</v>
      </c>
      <c r="C41" s="205">
        <f>Productivities!$D$7</f>
        <v>22.161170385179815</v>
      </c>
      <c r="D41" s="205">
        <f>+'Conversion Factors'!E$19*0.5+0.5*'Conversion Factors'!E$20</f>
        <v>200.08139284859962</v>
      </c>
      <c r="E41" s="236">
        <f>'Other Inputs'!$D$17</f>
        <v>1.6214860636540271</v>
      </c>
      <c r="F41" s="237">
        <f>'Other Inputs'!D4*E41/(C41*D41)</f>
        <v>1.7938519978040926E-2</v>
      </c>
      <c r="G41" s="237">
        <f t="shared" si="2"/>
        <v>2.3355953011409284E-3</v>
      </c>
    </row>
    <row r="42" spans="1:10" ht="12.75">
      <c r="A42" s="119" t="s">
        <v>218</v>
      </c>
      <c r="B42" s="236">
        <f>B38+B39</f>
        <v>0.26730000000000004</v>
      </c>
      <c r="C42" s="205">
        <f>Productivities!$D$12</f>
        <v>109.06182407590458</v>
      </c>
      <c r="D42" s="205">
        <f>'Conversion Factors'!$E$16</f>
        <v>34.90406677006407</v>
      </c>
      <c r="E42" s="236">
        <f>'Other Inputs'!$D$17</f>
        <v>1.6214860636540271</v>
      </c>
      <c r="F42" s="237">
        <f>'Other Inputs'!D4*E42/(C42*D42)</f>
        <v>2.0894751748376489E-2</v>
      </c>
      <c r="G42" s="237">
        <f t="shared" si="2"/>
        <v>5.5851671423410359E-3</v>
      </c>
    </row>
    <row r="43" spans="1:10" ht="12.75">
      <c r="A43" s="119" t="s">
        <v>219</v>
      </c>
      <c r="B43" s="236">
        <v>1</v>
      </c>
      <c r="C43" s="205">
        <f>Productivities!D26</f>
        <v>31.292491849622767</v>
      </c>
      <c r="D43" s="205">
        <f>SUMPRODUCT(B38:B41,D38:D41)</f>
        <v>320.14844564997105</v>
      </c>
      <c r="E43" s="236">
        <f>'Other Inputs'!$D$17</f>
        <v>1.6214860636540271</v>
      </c>
      <c r="F43" s="237">
        <f>'Other Inputs'!D4*E43/(C43*D43)</f>
        <v>7.9395238571455234E-3</v>
      </c>
      <c r="G43" s="237">
        <f t="shared" si="2"/>
        <v>7.9395238571455234E-3</v>
      </c>
    </row>
    <row r="44" spans="1:10" ht="12.75">
      <c r="A44" s="119" t="s">
        <v>220</v>
      </c>
      <c r="B44" s="236">
        <f>'Arrival - Dispatch Profile'!D29</f>
        <v>0.31585389666857711</v>
      </c>
      <c r="C44" s="205">
        <f>Productivities!D34</f>
        <v>675.91284913937614</v>
      </c>
      <c r="D44" s="205">
        <v>1</v>
      </c>
      <c r="E44" s="236">
        <f>'Other Inputs'!D19</f>
        <v>1.5675506909733425</v>
      </c>
      <c r="F44" s="237">
        <f>'Other Inputs'!D4*E44/(C44*D44)</f>
        <v>0.11376369109819971</v>
      </c>
      <c r="G44" s="237">
        <f t="shared" si="2"/>
        <v>3.5932705132766696E-2</v>
      </c>
    </row>
    <row r="45" spans="1:10" ht="12.75">
      <c r="A45" s="245" t="s">
        <v>221</v>
      </c>
      <c r="B45" s="239">
        <f>1-'Arrival - Dispatch Profile'!D29</f>
        <v>0.68414610333142289</v>
      </c>
      <c r="C45" s="240">
        <f>Productivities!D35</f>
        <v>307.66822713635111</v>
      </c>
      <c r="D45" s="240">
        <v>1</v>
      </c>
      <c r="E45" s="239">
        <f>'Other Inputs'!D18</f>
        <v>1.4957786551922303</v>
      </c>
      <c r="F45" s="241">
        <f>'Other Inputs'!D4*E45/(C45*D45)</f>
        <v>0.23848302160745974</v>
      </c>
      <c r="G45" s="241">
        <f t="shared" si="2"/>
        <v>0.16315722994344711</v>
      </c>
    </row>
    <row r="46" spans="1:10" ht="6" customHeight="1">
      <c r="A46" s="119"/>
      <c r="B46" s="131"/>
      <c r="C46" s="198"/>
      <c r="D46" s="198"/>
      <c r="E46" s="131"/>
      <c r="F46" s="246"/>
      <c r="G46" s="247"/>
    </row>
    <row r="47" spans="1:10" ht="12.75">
      <c r="A47" s="127"/>
      <c r="B47" s="131"/>
      <c r="C47" s="198"/>
      <c r="D47" s="198"/>
      <c r="E47" s="120" t="s">
        <v>222</v>
      </c>
      <c r="F47" s="248"/>
      <c r="G47" s="136">
        <f>G37+G17+G6</f>
        <v>1.4752337564295097</v>
      </c>
      <c r="H47"/>
      <c r="I47"/>
      <c r="J47" s="24"/>
    </row>
    <row r="48" spans="1:10" ht="12.75">
      <c r="A48" s="119"/>
      <c r="B48" s="131"/>
      <c r="C48" s="198"/>
      <c r="D48" s="198"/>
      <c r="E48" s="76"/>
      <c r="F48" s="246"/>
      <c r="G48" s="249"/>
      <c r="H48"/>
      <c r="I48"/>
      <c r="J48"/>
    </row>
    <row r="49" spans="1:10" ht="12.75">
      <c r="A49" s="68" t="s">
        <v>60</v>
      </c>
      <c r="B49" s="131"/>
      <c r="C49" s="198"/>
      <c r="D49" s="198"/>
      <c r="E49" s="76"/>
      <c r="F49" s="246"/>
      <c r="G49" s="80"/>
      <c r="I49" s="14"/>
      <c r="J49" s="14"/>
    </row>
    <row r="50" spans="1:10" ht="12" customHeight="1">
      <c r="A50" s="90" t="s">
        <v>223</v>
      </c>
      <c r="B50" s="131"/>
      <c r="C50" s="198"/>
      <c r="D50" s="198"/>
      <c r="E50" s="131"/>
      <c r="F50" s="246"/>
      <c r="G50" s="246"/>
      <c r="I50" s="14"/>
      <c r="J50" s="14"/>
    </row>
    <row r="51" spans="1:10" ht="12" customHeight="1">
      <c r="A51" s="90" t="s">
        <v>224</v>
      </c>
      <c r="B51" s="131"/>
      <c r="C51" s="198"/>
      <c r="D51" s="198"/>
      <c r="E51" s="131"/>
      <c r="F51" s="246"/>
      <c r="G51" s="246"/>
      <c r="I51" s="14"/>
      <c r="J51" s="14"/>
    </row>
    <row r="52" spans="1:10" ht="12" customHeight="1">
      <c r="A52" s="90" t="s">
        <v>225</v>
      </c>
      <c r="B52" s="131"/>
      <c r="C52" s="198"/>
      <c r="D52" s="198"/>
      <c r="E52" s="131"/>
      <c r="F52" s="246"/>
      <c r="G52" s="246"/>
      <c r="I52" s="14"/>
      <c r="J52" s="14"/>
    </row>
    <row r="53" spans="1:10" ht="12" customHeight="1">
      <c r="A53" s="90" t="s">
        <v>226</v>
      </c>
      <c r="B53" s="131"/>
      <c r="C53" s="198"/>
      <c r="D53" s="198"/>
      <c r="E53" s="131"/>
      <c r="F53" s="246"/>
      <c r="G53" s="246"/>
      <c r="I53" s="14"/>
      <c r="J53" s="14"/>
    </row>
    <row r="54" spans="1:10" ht="12" customHeight="1">
      <c r="A54" s="90" t="s">
        <v>227</v>
      </c>
      <c r="B54" s="71"/>
      <c r="C54" s="74"/>
    </row>
    <row r="55" spans="1:10" ht="12" customHeight="1">
      <c r="A55" s="90" t="s">
        <v>228</v>
      </c>
      <c r="B55" s="71"/>
      <c r="C55" s="74"/>
    </row>
    <row r="56" spans="1:10">
      <c r="B56" s="71"/>
      <c r="C56" s="74"/>
    </row>
    <row r="57" spans="1:10">
      <c r="B57" s="71"/>
      <c r="C57" s="74"/>
    </row>
    <row r="61" spans="1:10">
      <c r="H61" s="9"/>
    </row>
    <row r="79" spans="1:1">
      <c r="A79" s="16"/>
    </row>
    <row r="97" spans="1:2">
      <c r="A97" s="15"/>
    </row>
    <row r="98" spans="1:2">
      <c r="A98" s="11"/>
    </row>
    <row r="104" spans="1:2">
      <c r="A104" s="3"/>
    </row>
    <row r="105" spans="1:2">
      <c r="A105" s="3"/>
    </row>
    <row r="109" spans="1:2">
      <c r="B109" s="72"/>
    </row>
    <row r="110" spans="1:2">
      <c r="A110" s="17"/>
    </row>
    <row r="124" spans="1:3">
      <c r="A124" s="16"/>
    </row>
    <row r="125" spans="1:3">
      <c r="C125" s="75"/>
    </row>
    <row r="126" spans="1:3">
      <c r="C126" s="75"/>
    </row>
    <row r="132" spans="1:3">
      <c r="C132" s="75"/>
    </row>
    <row r="141" spans="1:3">
      <c r="A141" s="15"/>
    </row>
    <row r="142" spans="1:3">
      <c r="A142" s="10"/>
    </row>
    <row r="143" spans="1:3">
      <c r="A143" s="11"/>
    </row>
    <row r="144" spans="1:3">
      <c r="A144" s="11"/>
    </row>
  </sheetData>
  <phoneticPr fontId="0" type="noConversion"/>
  <printOptions horizontalCentered="1"/>
  <pageMargins left="0.25" right="0.25" top="1" bottom="0.5" header="0.5" footer="0.5"/>
  <pageSetup scale="97" orientation="portrait" horizontalDpi="4294967292" verticalDpi="4294967292" r:id="rId1"/>
  <headerFooter alignWithMargins="0">
    <oddHeader>&amp;RPage 6 of 12</oddHeader>
    <oddFooter>&amp;R&amp;F</oddFooter>
  </headerFooter>
  <colBreaks count="1" manualBreakCount="1">
    <brk id="1" max="1048575" man="1"/>
  </colBreaks>
  <ignoredErrors>
    <ignoredError sqref="D8 C10 G12 G17 E30 C30 G37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/>
    <pageSetUpPr fitToPage="1"/>
  </sheetPr>
  <dimension ref="A1:H71"/>
  <sheetViews>
    <sheetView zoomScaleNormal="100" workbookViewId="0">
      <selection activeCell="F18" sqref="F18"/>
    </sheetView>
  </sheetViews>
  <sheetFormatPr defaultRowHeight="12.75"/>
  <cols>
    <col min="1" max="1" width="26.85546875" customWidth="1"/>
    <col min="2" max="2" width="10.7109375" style="81" customWidth="1"/>
    <col min="3" max="4" width="10.7109375" style="13" customWidth="1"/>
    <col min="5" max="5" width="10.7109375" style="70" customWidth="1"/>
    <col min="6" max="7" width="10.7109375" style="30" customWidth="1"/>
  </cols>
  <sheetData>
    <row r="1" spans="1:8" ht="15.75">
      <c r="C1" s="73"/>
    </row>
    <row r="2" spans="1:8" ht="15.75">
      <c r="A2" s="18" t="s">
        <v>229</v>
      </c>
      <c r="B2" s="82"/>
      <c r="C2" s="55"/>
      <c r="D2" s="55"/>
      <c r="E2" s="82"/>
      <c r="F2" s="87"/>
      <c r="G2" s="87"/>
    </row>
    <row r="3" spans="1:8">
      <c r="A3" s="19"/>
      <c r="E3" s="81"/>
    </row>
    <row r="4" spans="1:8">
      <c r="B4" s="70" t="s">
        <v>124</v>
      </c>
      <c r="C4" s="27" t="s">
        <v>125</v>
      </c>
      <c r="D4" s="27" t="s">
        <v>126</v>
      </c>
      <c r="E4" s="70" t="s">
        <v>127</v>
      </c>
      <c r="F4" s="88" t="s">
        <v>128</v>
      </c>
      <c r="G4" s="88" t="s">
        <v>129</v>
      </c>
    </row>
    <row r="5" spans="1:8">
      <c r="A5" s="139"/>
      <c r="B5" s="83" t="s">
        <v>185</v>
      </c>
      <c r="C5" s="28" t="s">
        <v>186</v>
      </c>
      <c r="D5" s="28" t="s">
        <v>187</v>
      </c>
      <c r="E5" s="83" t="s">
        <v>188</v>
      </c>
      <c r="F5" s="89" t="s">
        <v>189</v>
      </c>
      <c r="G5" s="89" t="s">
        <v>190</v>
      </c>
    </row>
    <row r="6" spans="1:8">
      <c r="A6" s="127" t="s">
        <v>191</v>
      </c>
      <c r="B6" s="70"/>
      <c r="C6" s="27"/>
      <c r="D6" s="27"/>
      <c r="F6" s="88"/>
      <c r="G6" s="80">
        <f>SUM(G7:G9)</f>
        <v>3.1207348752967531E-3</v>
      </c>
    </row>
    <row r="7" spans="1:8">
      <c r="A7" t="s">
        <v>230</v>
      </c>
      <c r="B7" s="70">
        <f>+'Arrival - Dispatch Profile'!D23*'Arrival - Dispatch Profile'!D20</f>
        <v>6.0822397286366105E-2</v>
      </c>
      <c r="C7" s="27">
        <f>+Productivities!D8</f>
        <v>13.055966674639437</v>
      </c>
      <c r="D7" s="32">
        <f>+'Conversion Factors'!K$7</f>
        <v>371.35239325791321</v>
      </c>
      <c r="E7" s="85">
        <f>+'Other Inputs'!D11</f>
        <v>1.386023903258889</v>
      </c>
      <c r="F7" s="88">
        <f>+('Other Inputs'!D$4*E7)/(C7*D7)</f>
        <v>1.4023236009277643E-2</v>
      </c>
      <c r="G7" s="88">
        <f>+F7*B7</f>
        <v>8.5292683179675989E-4</v>
      </c>
      <c r="H7" s="26"/>
    </row>
    <row r="8" spans="1:8">
      <c r="A8" t="s">
        <v>231</v>
      </c>
      <c r="B8" s="70">
        <f>+B7</f>
        <v>6.0822397286366105E-2</v>
      </c>
      <c r="C8" s="27">
        <f>+Productivities!D$25</f>
        <v>7.4909255631935219</v>
      </c>
      <c r="D8" s="32">
        <f>+'Conversion Factors'!K$7</f>
        <v>371.35239325791321</v>
      </c>
      <c r="E8" s="85">
        <f>E7</f>
        <v>1.386023903258889</v>
      </c>
      <c r="F8" s="88">
        <f>+('Other Inputs'!D$4*E8)/(C8*D8)</f>
        <v>2.4441158901287927E-2</v>
      </c>
      <c r="G8" s="88">
        <f>+F8*B8</f>
        <v>1.4865698768333376E-3</v>
      </c>
    </row>
    <row r="9" spans="1:8">
      <c r="A9" t="s">
        <v>232</v>
      </c>
      <c r="B9" s="70">
        <f>+B8</f>
        <v>6.0822397286366105E-2</v>
      </c>
      <c r="C9" s="27">
        <f>+Productivities!D$31</f>
        <v>14.254019794447382</v>
      </c>
      <c r="D9" s="32">
        <f>+'Conversion Factors'!K$7</f>
        <v>371.35239325791321</v>
      </c>
      <c r="E9" s="85">
        <f>E8</f>
        <v>1.386023903258889</v>
      </c>
      <c r="F9" s="88">
        <f>+('Other Inputs'!D$4*E9)/(C9*D9)</f>
        <v>1.284458031123639E-2</v>
      </c>
      <c r="G9" s="88">
        <f>+F9*B9</f>
        <v>7.812381666666557E-4</v>
      </c>
    </row>
    <row r="10" spans="1:8">
      <c r="A10" s="127" t="s">
        <v>199</v>
      </c>
      <c r="B10" s="70"/>
      <c r="C10" s="27"/>
      <c r="D10" s="32"/>
      <c r="E10" s="85"/>
      <c r="F10" s="88"/>
      <c r="G10" s="135">
        <f>SUM(G11:G25)</f>
        <v>0.73231171003695361</v>
      </c>
    </row>
    <row r="11" spans="1:8">
      <c r="A11" t="s">
        <v>233</v>
      </c>
      <c r="B11" s="70">
        <f>+'Arrival - Dispatch Profile'!D27-B7</f>
        <v>0.88557760271363395</v>
      </c>
      <c r="C11" s="27">
        <f>+Productivities!D8</f>
        <v>13.055966674639437</v>
      </c>
      <c r="D11" s="32">
        <f>+'Conversion Factors'!K$7</f>
        <v>371.35239325791321</v>
      </c>
      <c r="E11" s="85">
        <f>+'Other Inputs'!D$16</f>
        <v>1.3606061934437479</v>
      </c>
      <c r="F11" s="88">
        <f>+('Other Inputs'!D$4*E11)/(C11*D11)</f>
        <v>1.3766069778078469E-2</v>
      </c>
      <c r="G11" s="88">
        <f t="shared" ref="G11:G30" si="0">+F11*B11</f>
        <v>1.2190923072859338E-2</v>
      </c>
    </row>
    <row r="12" spans="1:8">
      <c r="A12" t="s">
        <v>234</v>
      </c>
      <c r="B12" s="70">
        <f>+'Arrival - Dispatch Profile'!D26</f>
        <v>5.3599999999999981E-2</v>
      </c>
      <c r="C12" s="27">
        <f>+Productivities!D6</f>
        <v>163.99153591782377</v>
      </c>
      <c r="D12" s="32">
        <f>+'Conversion Factors'!K$10</f>
        <v>22.452033385032035</v>
      </c>
      <c r="E12" s="85">
        <f>+'Other Inputs'!D$16</f>
        <v>1.3606061934437479</v>
      </c>
      <c r="F12" s="88">
        <f>+('Other Inputs'!D$4*E12)/(C12*D12)</f>
        <v>1.8127090955302058E-2</v>
      </c>
      <c r="G12" s="88">
        <f t="shared" si="0"/>
        <v>9.7161207520418994E-4</v>
      </c>
    </row>
    <row r="13" spans="1:8">
      <c r="A13" t="s">
        <v>235</v>
      </c>
      <c r="B13" s="70">
        <f>+'Arrival - Dispatch Profile'!D20*'Arrival - Dispatch Profile'!D27-DSCF!B7</f>
        <v>0.40716391809425895</v>
      </c>
      <c r="C13" s="27">
        <f>+Productivities!D$25</f>
        <v>7.4909255631935219</v>
      </c>
      <c r="D13" s="32">
        <f>+'Conversion Factors'!K$7</f>
        <v>371.35239325791321</v>
      </c>
      <c r="E13" s="85">
        <f>+'Other Inputs'!D$16</f>
        <v>1.3606061934437479</v>
      </c>
      <c r="F13" s="88">
        <f>+('Other Inputs'!D$4*E13)/(C13*D13)</f>
        <v>2.3992942760831765E-2</v>
      </c>
      <c r="G13" s="88">
        <f>+F13*B13</f>
        <v>9.7690605811115473E-3</v>
      </c>
    </row>
    <row r="14" spans="1:8">
      <c r="A14" t="s">
        <v>236</v>
      </c>
      <c r="B14" s="70">
        <f>+B12*'Arrival - Dispatch Profile'!D20</f>
        <v>2.6504719467879856E-2</v>
      </c>
      <c r="C14" s="27">
        <f>+Productivities!D$25</f>
        <v>7.4909255631935219</v>
      </c>
      <c r="D14" s="32">
        <f>+'Conversion Factors'!K$10*'Conversion Factors'!G$26</f>
        <v>355.72552585696752</v>
      </c>
      <c r="E14" s="85">
        <f>+'Other Inputs'!D$16</f>
        <v>1.3606061934437479</v>
      </c>
      <c r="F14" s="88">
        <f>+('Other Inputs'!D$4*E14)/(C14*D14)</f>
        <v>2.5046942285264974E-2</v>
      </c>
      <c r="G14" s="88">
        <f>+F14*B14</f>
        <v>6.6386217879912577E-4</v>
      </c>
    </row>
    <row r="15" spans="1:8">
      <c r="A15" t="s">
        <v>237</v>
      </c>
      <c r="B15" s="70">
        <f>+'Arrival - Dispatch Profile'!D21*'Arrival - Dispatch Profile'!D27</f>
        <v>0.47841368461937489</v>
      </c>
      <c r="C15" s="205">
        <f>Productivities!D25*2</f>
        <v>14.981851126387044</v>
      </c>
      <c r="D15" s="32">
        <f>+'Conversion Factors'!K$7</f>
        <v>371.35239325791321</v>
      </c>
      <c r="E15" s="85">
        <f>+'Other Inputs'!D$16</f>
        <v>1.3606061934437479</v>
      </c>
      <c r="F15" s="88">
        <f>+('Other Inputs'!D$4*E15)/(C15*D15)</f>
        <v>1.1996471380415883E-2</v>
      </c>
      <c r="G15" s="88">
        <f t="shared" si="0"/>
        <v>5.7392760755356409E-3</v>
      </c>
    </row>
    <row r="16" spans="1:8">
      <c r="A16" t="s">
        <v>238</v>
      </c>
      <c r="B16" s="70">
        <f>+'Arrival - Dispatch Profile'!D21*DSCF!B12</f>
        <v>2.7095280532120122E-2</v>
      </c>
      <c r="C16" s="205">
        <f>Productivities!D25*2</f>
        <v>14.981851126387044</v>
      </c>
      <c r="D16" s="32">
        <f>+'Conversion Factors'!K$10*'Conversion Factors'!G$26</f>
        <v>355.72552585696752</v>
      </c>
      <c r="E16" s="85">
        <f>+'Other Inputs'!D$16</f>
        <v>1.3606061934437479</v>
      </c>
      <c r="F16" s="88">
        <f>+('Other Inputs'!D$4*E16)/(C16*D16)</f>
        <v>1.2523471142632487E-2</v>
      </c>
      <c r="G16" s="88">
        <f t="shared" si="0"/>
        <v>3.3932696384553814E-4</v>
      </c>
    </row>
    <row r="17" spans="1:8">
      <c r="A17" t="s">
        <v>218</v>
      </c>
      <c r="B17" s="70">
        <f>B16</f>
        <v>2.7095280532120122E-2</v>
      </c>
      <c r="C17" s="32">
        <f>Productivities!D12</f>
        <v>109.06182407590458</v>
      </c>
      <c r="D17" s="32">
        <f>+'Conversion Factors'!K$10</f>
        <v>22.452033385032035</v>
      </c>
      <c r="E17" s="85">
        <f>+'Other Inputs'!D$16</f>
        <v>1.3606061934437479</v>
      </c>
      <c r="F17" s="88">
        <f>+('Other Inputs'!D$4*E17)/(C17*D17)</f>
        <v>2.7256920674764713E-2</v>
      </c>
      <c r="G17" s="88">
        <f t="shared" si="0"/>
        <v>7.3853391212449473E-4</v>
      </c>
    </row>
    <row r="18" spans="1:8">
      <c r="A18" t="s">
        <v>239</v>
      </c>
      <c r="B18" s="70">
        <f>B16+B15</f>
        <v>0.50550896515149502</v>
      </c>
      <c r="C18" s="243">
        <f>+Productivities!D21</f>
        <v>47.994690148863093</v>
      </c>
      <c r="D18" s="32">
        <v>1</v>
      </c>
      <c r="E18" s="85">
        <f>+'Other Inputs'!D15</f>
        <v>1.3208756008457678</v>
      </c>
      <c r="F18" s="137">
        <f>+('Other Inputs'!D$4*E18)/(C18*D18)</f>
        <v>1.3500240610368883</v>
      </c>
      <c r="G18" s="137">
        <f t="shared" si="0"/>
        <v>0.68244926602437617</v>
      </c>
      <c r="H18" s="30"/>
    </row>
    <row r="19" spans="1:8">
      <c r="A19" t="s">
        <v>212</v>
      </c>
      <c r="B19" s="70">
        <f>B18*'Arrival - Dispatch Profile'!D15</f>
        <v>0.1351225463849946</v>
      </c>
      <c r="C19" s="205">
        <f>Productivities!D25*2</f>
        <v>14.981851126387044</v>
      </c>
      <c r="D19" s="32">
        <f>+'Conversion Factors'!K$7</f>
        <v>371.35239325791321</v>
      </c>
      <c r="E19" s="85">
        <f>+'Other Inputs'!D$16</f>
        <v>1.3606061934437479</v>
      </c>
      <c r="F19" s="88">
        <f>+('Other Inputs'!D$4*E19)/(C19*D19)</f>
        <v>1.1996471380415883E-2</v>
      </c>
      <c r="G19" s="88">
        <f t="shared" si="0"/>
        <v>1.6209937605565054E-3</v>
      </c>
    </row>
    <row r="20" spans="1:8">
      <c r="A20" t="s">
        <v>213</v>
      </c>
      <c r="B20" s="70">
        <f>+B18*'Arrival - Dispatch Profile'!D16</f>
        <v>0.30456915150377578</v>
      </c>
      <c r="C20" s="27">
        <f>Productivities!D25*2</f>
        <v>14.981851126387044</v>
      </c>
      <c r="D20" s="27">
        <f>+'Conversion Factors'!$E$18</f>
        <v>471.11675981311231</v>
      </c>
      <c r="E20" s="85">
        <f>+'Other Inputs'!D$16</f>
        <v>1.3606061934437479</v>
      </c>
      <c r="F20" s="88">
        <f>+('Other Inputs'!D$4*E20)/(C20*D20)</f>
        <v>9.456081247321205E-3</v>
      </c>
      <c r="G20" s="88">
        <f>+F20*B20</f>
        <v>2.8800306420473853E-3</v>
      </c>
    </row>
    <row r="21" spans="1:8">
      <c r="A21" t="s">
        <v>214</v>
      </c>
      <c r="B21" s="70">
        <f>+B18*'Arrival - Dispatch Profile'!D17</f>
        <v>6.581726726272466E-2</v>
      </c>
      <c r="C21" s="27">
        <f>Productivities!D25*2</f>
        <v>14.981851126387044</v>
      </c>
      <c r="D21" s="27">
        <f>+'Conversion Factors'!$E$19*0.5+'Conversion Factors'!$E$20*0.5</f>
        <v>200.08139284859962</v>
      </c>
      <c r="E21" s="85">
        <f>+'Other Inputs'!D$16</f>
        <v>1.3606061934437479</v>
      </c>
      <c r="F21" s="88">
        <f>+('Other Inputs'!D$4*E21)/(C21*D21)</f>
        <v>2.2265530514066888E-2</v>
      </c>
      <c r="G21" s="88">
        <f>+F21*B21</f>
        <v>1.4654563725906916E-3</v>
      </c>
    </row>
    <row r="22" spans="1:8">
      <c r="A22" t="s">
        <v>240</v>
      </c>
      <c r="B22" s="70">
        <f>+B20</f>
        <v>0.30456915150377578</v>
      </c>
      <c r="C22" s="27">
        <f>Productivities!D30</f>
        <v>11.079460260083046</v>
      </c>
      <c r="D22" s="27">
        <f>+'Conversion Factors'!$E$18</f>
        <v>471.11675981311231</v>
      </c>
      <c r="E22" s="85">
        <f>+'Other Inputs'!D$16</f>
        <v>1.3606061934437479</v>
      </c>
      <c r="F22" s="88">
        <f>+('Other Inputs'!D$4*E22)/(C22*D22)</f>
        <v>1.2786687993890121E-2</v>
      </c>
      <c r="G22" s="88">
        <f>+F22*B22</f>
        <v>3.8944307128426312E-3</v>
      </c>
    </row>
    <row r="23" spans="1:8">
      <c r="A23" t="s">
        <v>241</v>
      </c>
      <c r="B23" s="70">
        <f>+B21</f>
        <v>6.581726726272466E-2</v>
      </c>
      <c r="C23" s="27">
        <f>Productivities!D30</f>
        <v>11.079460260083046</v>
      </c>
      <c r="D23" s="27">
        <f>+'Conversion Factors'!$E$19*0.5+'Conversion Factors'!$E$20*0.5</f>
        <v>200.08139284859962</v>
      </c>
      <c r="E23" s="85">
        <f>+'Other Inputs'!D$16</f>
        <v>1.3606061934437479</v>
      </c>
      <c r="F23" s="88">
        <f>+('Other Inputs'!D$4*E23)/(C23*D23)</f>
        <v>3.0107862258741274E-2</v>
      </c>
      <c r="G23" s="88">
        <f>+F23*B23</f>
        <v>1.9816172169928752E-3</v>
      </c>
    </row>
    <row r="24" spans="1:8">
      <c r="A24" t="s">
        <v>232</v>
      </c>
      <c r="B24" s="70">
        <f>+B13</f>
        <v>0.40716391809425895</v>
      </c>
      <c r="C24" s="27">
        <f>+Productivities!D$31</f>
        <v>14.254019794447382</v>
      </c>
      <c r="D24" s="32">
        <f>+'Conversion Factors'!K$7</f>
        <v>371.35239325791321</v>
      </c>
      <c r="E24" s="85">
        <f>+'Other Inputs'!D$16</f>
        <v>1.3606061934437479</v>
      </c>
      <c r="F24" s="88">
        <f>+('Other Inputs'!D$4*E24)/(C24*D24)</f>
        <v>1.2609028951493861E-2</v>
      </c>
      <c r="G24" s="88">
        <f t="shared" si="0"/>
        <v>5.1339416312541864E-3</v>
      </c>
    </row>
    <row r="25" spans="1:8">
      <c r="A25" t="s">
        <v>195</v>
      </c>
      <c r="B25" s="70">
        <f>+B19+B14</f>
        <v>0.16162726585287446</v>
      </c>
      <c r="C25" s="27">
        <f>+Productivities!D29</f>
        <v>194.25559514992997</v>
      </c>
      <c r="D25" s="32">
        <f>+'Conversion Factors'!K$10</f>
        <v>22.452033385032035</v>
      </c>
      <c r="E25" s="85">
        <f>+'Other Inputs'!D$16</f>
        <v>1.3606061934437479</v>
      </c>
      <c r="F25" s="88">
        <f>+('Other Inputs'!D$4*E25)/(C25*D25)</f>
        <v>1.5302980000075159E-2</v>
      </c>
      <c r="G25" s="88">
        <f t="shared" si="0"/>
        <v>2.4733788168133687E-3</v>
      </c>
    </row>
    <row r="26" spans="1:8">
      <c r="A26" s="127" t="s">
        <v>215</v>
      </c>
      <c r="B26" s="70"/>
      <c r="C26" s="27"/>
      <c r="D26" s="32"/>
      <c r="E26" s="85"/>
      <c r="F26" s="88"/>
      <c r="G26" s="80">
        <f>SUM(G27:G34)</f>
        <v>0.22661884633240734</v>
      </c>
    </row>
    <row r="27" spans="1:8">
      <c r="A27" s="7" t="s">
        <v>242</v>
      </c>
      <c r="B27" s="70">
        <f>+B22</f>
        <v>0.30456915150377578</v>
      </c>
      <c r="C27" s="27">
        <f>+Productivities!D7</f>
        <v>22.161170385179815</v>
      </c>
      <c r="D27" s="32">
        <f>+'Conversion Factors'!E18</f>
        <v>471.11675981311231</v>
      </c>
      <c r="E27" s="85">
        <f>'Other Inputs'!$D$17</f>
        <v>1.6214860636540271</v>
      </c>
      <c r="F27" s="88">
        <f>+('Other Inputs'!D$4*E27)/(C27*D27)</f>
        <v>7.6184172778583558E-3</v>
      </c>
      <c r="G27" s="88">
        <f t="shared" si="0"/>
        <v>2.3203348861190248E-3</v>
      </c>
    </row>
    <row r="28" spans="1:8">
      <c r="A28" t="s">
        <v>243</v>
      </c>
      <c r="B28" s="70">
        <f>+B23</f>
        <v>6.581726726272466E-2</v>
      </c>
      <c r="C28" s="27">
        <f>+Productivities!D7</f>
        <v>22.161170385179815</v>
      </c>
      <c r="D28" s="32">
        <f>+'Conversion Factors'!E20*0.5+'Conversion Factors'!E19*0.5</f>
        <v>200.08139284859962</v>
      </c>
      <c r="E28" s="85">
        <f>'Other Inputs'!$D$17</f>
        <v>1.6214860636540271</v>
      </c>
      <c r="F28" s="88">
        <f>+('Other Inputs'!D$4*E28)/(C28*D28)</f>
        <v>1.7938519978040926E-2</v>
      </c>
      <c r="G28" s="88">
        <f t="shared" si="0"/>
        <v>1.1806643636924454E-3</v>
      </c>
    </row>
    <row r="29" spans="1:8">
      <c r="A29" s="7" t="s">
        <v>230</v>
      </c>
      <c r="B29" s="70">
        <f>+B24+B9</f>
        <v>0.46798631538062507</v>
      </c>
      <c r="C29" s="27">
        <f>+Productivities!D8</f>
        <v>13.055966674639437</v>
      </c>
      <c r="D29" s="32">
        <f>+'Conversion Factors'!K7</f>
        <v>371.35239325791321</v>
      </c>
      <c r="E29" s="85">
        <f>'Other Inputs'!$D$17</f>
        <v>1.6214860636540271</v>
      </c>
      <c r="F29" s="88">
        <f>+('Other Inputs'!D$4*E29)/(C29*D29)</f>
        <v>1.6405548059388552E-2</v>
      </c>
      <c r="G29" s="88">
        <f t="shared" si="0"/>
        <v>7.6775719881130126E-3</v>
      </c>
    </row>
    <row r="30" spans="1:8">
      <c r="A30" t="s">
        <v>244</v>
      </c>
      <c r="B30" s="70">
        <f>+B25</f>
        <v>0.16162726585287446</v>
      </c>
      <c r="C30" s="27">
        <f>+Productivities!D6</f>
        <v>163.99153591782377</v>
      </c>
      <c r="D30" s="32">
        <f>+'Conversion Factors'!K$10</f>
        <v>22.452033385032035</v>
      </c>
      <c r="E30" s="85">
        <f>'Other Inputs'!$D$17</f>
        <v>1.6214860636540271</v>
      </c>
      <c r="F30" s="88">
        <f>+('Other Inputs'!D$4*E30)/(C30*D30)</f>
        <v>2.160274258653553E-2</v>
      </c>
      <c r="G30" s="88">
        <f t="shared" si="0"/>
        <v>3.4915922191851908E-3</v>
      </c>
    </row>
    <row r="31" spans="1:8">
      <c r="A31" t="s">
        <v>218</v>
      </c>
      <c r="B31" s="70">
        <f>B30</f>
        <v>0.16162726585287446</v>
      </c>
      <c r="C31" s="27">
        <f>Productivities!$D$12</f>
        <v>109.06182407590458</v>
      </c>
      <c r="D31" s="32">
        <f>'Conversion Factors'!$K$10</f>
        <v>22.452033385032035</v>
      </c>
      <c r="E31" s="85">
        <f>'Other Inputs'!$D$17</f>
        <v>1.6214860636540271</v>
      </c>
      <c r="F31" s="88">
        <f>+('Other Inputs'!D$4*E31)/(C31*D31)</f>
        <v>3.2483107327617458E-2</v>
      </c>
      <c r="G31" s="88">
        <f>+F31*B31</f>
        <v>5.2501558237682813E-3</v>
      </c>
    </row>
    <row r="32" spans="1:8">
      <c r="A32" t="s">
        <v>245</v>
      </c>
      <c r="B32" s="70">
        <v>1</v>
      </c>
      <c r="C32" s="27">
        <f>Productivities!D26</f>
        <v>31.292491849622767</v>
      </c>
      <c r="D32" s="32">
        <f>SUMPRODUCT(B27:B30,D27:D30)</f>
        <v>334.07314130031011</v>
      </c>
      <c r="E32" s="85">
        <f>'Other Inputs'!$D$17</f>
        <v>1.6214860636540271</v>
      </c>
      <c r="F32" s="88">
        <f>+('Other Inputs'!D$4*E32)/(C32*D32)</f>
        <v>7.6085919753155658E-3</v>
      </c>
      <c r="G32" s="88">
        <f>+F32*B32</f>
        <v>7.6085919753155658E-3</v>
      </c>
    </row>
    <row r="33" spans="1:8">
      <c r="A33" s="119" t="s">
        <v>220</v>
      </c>
      <c r="B33" s="70">
        <f>'Arrival - Dispatch Profile'!D29</f>
        <v>0.31585389666857711</v>
      </c>
      <c r="C33" s="27">
        <f>Productivities!D34</f>
        <v>675.91284913937614</v>
      </c>
      <c r="D33" s="32">
        <v>1</v>
      </c>
      <c r="E33" s="85">
        <f>'Other Inputs'!D19</f>
        <v>1.5675506909733425</v>
      </c>
      <c r="F33" s="88">
        <f>+('Other Inputs'!D$4*E33)/(C33*D33)</f>
        <v>0.11376369109819971</v>
      </c>
      <c r="G33" s="88">
        <f>+F33*B33</f>
        <v>3.5932705132766696E-2</v>
      </c>
    </row>
    <row r="34" spans="1:8">
      <c r="A34" s="245" t="s">
        <v>221</v>
      </c>
      <c r="B34" s="83">
        <f>1-'Arrival - Dispatch Profile'!D29</f>
        <v>0.68414610333142289</v>
      </c>
      <c r="C34" s="28">
        <f>Productivities!D35</f>
        <v>307.66822713635111</v>
      </c>
      <c r="D34" s="121">
        <v>1</v>
      </c>
      <c r="E34" s="122">
        <f>'Other Inputs'!D18</f>
        <v>1.4957786551922303</v>
      </c>
      <c r="F34" s="89">
        <f>+('Other Inputs'!D$4*E34)/(C34*D34)</f>
        <v>0.23848302160745974</v>
      </c>
      <c r="G34" s="89">
        <f>+F34*B34</f>
        <v>0.16315722994344711</v>
      </c>
    </row>
    <row r="35" spans="1:8" ht="9" customHeight="1">
      <c r="A35" s="6"/>
      <c r="D35" s="29"/>
      <c r="E35" s="86"/>
      <c r="G35" s="80"/>
    </row>
    <row r="36" spans="1:8">
      <c r="A36" s="127"/>
      <c r="D36" s="29"/>
      <c r="E36" s="250" t="s">
        <v>246</v>
      </c>
      <c r="F36" s="123"/>
      <c r="G36" s="136">
        <f>+G26+G10+G6</f>
        <v>0.96205129124465771</v>
      </c>
      <c r="H36" s="26"/>
    </row>
    <row r="37" spans="1:8">
      <c r="A37" s="68" t="s">
        <v>60</v>
      </c>
      <c r="B37" s="84"/>
      <c r="C37" s="198"/>
      <c r="D37" s="198"/>
      <c r="E37" s="131"/>
      <c r="F37" s="246"/>
    </row>
    <row r="38" spans="1:8">
      <c r="A38" s="90" t="s">
        <v>223</v>
      </c>
      <c r="B38" s="131"/>
      <c r="C38" s="198"/>
      <c r="D38" s="198"/>
      <c r="E38" s="131"/>
      <c r="F38" s="246"/>
    </row>
    <row r="39" spans="1:8">
      <c r="A39" s="90" t="s">
        <v>224</v>
      </c>
      <c r="B39" s="131"/>
      <c r="C39" s="198"/>
      <c r="D39" s="198"/>
      <c r="E39" s="131"/>
      <c r="F39" s="246"/>
    </row>
    <row r="40" spans="1:8">
      <c r="A40" s="90" t="s">
        <v>225</v>
      </c>
      <c r="B40" s="131"/>
      <c r="C40" s="198"/>
      <c r="D40" s="198"/>
      <c r="E40" s="131"/>
      <c r="F40" s="246"/>
      <c r="G40" s="251"/>
    </row>
    <row r="41" spans="1:8">
      <c r="A41" s="90" t="s">
        <v>226</v>
      </c>
      <c r="B41" s="14"/>
      <c r="C41" s="12"/>
      <c r="D41" s="12"/>
      <c r="E41" s="14"/>
      <c r="F41" s="78"/>
    </row>
    <row r="42" spans="1:8">
      <c r="A42" s="90" t="s">
        <v>227</v>
      </c>
      <c r="B42" s="14"/>
      <c r="C42" s="12"/>
      <c r="D42" s="12"/>
      <c r="E42" s="14"/>
      <c r="F42" s="78"/>
    </row>
    <row r="43" spans="1:8">
      <c r="A43" s="90" t="s">
        <v>228</v>
      </c>
      <c r="D43" s="29"/>
      <c r="E43" s="86"/>
    </row>
    <row r="44" spans="1:8">
      <c r="D44" s="29"/>
      <c r="E44" s="86"/>
    </row>
    <row r="45" spans="1:8">
      <c r="D45" s="29"/>
      <c r="E45" s="86"/>
    </row>
    <row r="46" spans="1:8">
      <c r="D46" s="29"/>
      <c r="E46" s="86"/>
    </row>
    <row r="47" spans="1:8">
      <c r="A47" s="6"/>
      <c r="E47" s="86"/>
    </row>
    <row r="48" spans="1:8">
      <c r="A48" s="127"/>
      <c r="E48" s="86"/>
      <c r="G48" s="251"/>
    </row>
    <row r="49" spans="1:7">
      <c r="E49" s="86"/>
    </row>
    <row r="50" spans="1:7">
      <c r="E50" s="86"/>
    </row>
    <row r="51" spans="1:7">
      <c r="E51" s="86"/>
    </row>
    <row r="52" spans="1:7">
      <c r="A52" s="127"/>
      <c r="E52" s="86"/>
      <c r="G52" s="251"/>
    </row>
    <row r="53" spans="1:7">
      <c r="E53" s="86"/>
    </row>
    <row r="54" spans="1:7">
      <c r="E54" s="86"/>
    </row>
    <row r="55" spans="1:7">
      <c r="E55" s="86"/>
    </row>
    <row r="56" spans="1:7">
      <c r="A56" s="127"/>
      <c r="E56" s="86"/>
      <c r="G56" s="251"/>
    </row>
    <row r="57" spans="1:7">
      <c r="E57" s="86"/>
    </row>
    <row r="58" spans="1:7">
      <c r="A58" s="6"/>
      <c r="G58" s="251"/>
    </row>
    <row r="60" spans="1:7">
      <c r="E60" s="81"/>
    </row>
    <row r="61" spans="1:7">
      <c r="E61" s="81"/>
    </row>
    <row r="62" spans="1:7">
      <c r="E62" s="81"/>
    </row>
    <row r="63" spans="1:7">
      <c r="E63" s="81"/>
    </row>
    <row r="64" spans="1:7">
      <c r="E64" s="81"/>
    </row>
    <row r="65" spans="5:5">
      <c r="E65" s="81"/>
    </row>
    <row r="66" spans="5:5">
      <c r="E66" s="81"/>
    </row>
    <row r="67" spans="5:5">
      <c r="E67" s="81"/>
    </row>
    <row r="68" spans="5:5">
      <c r="E68" s="81"/>
    </row>
    <row r="69" spans="5:5">
      <c r="E69" s="81"/>
    </row>
    <row r="70" spans="5:5">
      <c r="E70" s="81"/>
    </row>
    <row r="71" spans="5:5">
      <c r="E71" s="81"/>
    </row>
  </sheetData>
  <phoneticPr fontId="0" type="noConversion"/>
  <pageMargins left="0.75" right="0.75" top="1" bottom="1" header="0.5" footer="0.5"/>
  <pageSetup orientation="portrait" horizontalDpi="4294967292" verticalDpi="4294967292" r:id="rId1"/>
  <headerFooter alignWithMargins="0">
    <oddHeader>&amp;RPage 7 of 12</oddHeader>
    <oddFooter>&amp;R&amp;F</oddFooter>
  </headerFooter>
  <ignoredErrors>
    <ignoredError sqref="G10 D12 D14:D15 E18 D21 B29 G26 D22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46"/>
  <sheetViews>
    <sheetView zoomScaleNormal="100" workbookViewId="0">
      <selection activeCell="F7" sqref="F7"/>
    </sheetView>
  </sheetViews>
  <sheetFormatPr defaultRowHeight="12.75"/>
  <cols>
    <col min="1" max="1" width="3.5703125" customWidth="1"/>
    <col min="2" max="2" width="47" customWidth="1"/>
    <col min="3" max="6" width="10.7109375" customWidth="1"/>
    <col min="7" max="7" width="7" customWidth="1"/>
  </cols>
  <sheetData>
    <row r="1" spans="1:7" ht="15.75">
      <c r="B1" s="18" t="s">
        <v>247</v>
      </c>
      <c r="C1" s="56"/>
      <c r="D1" s="56"/>
      <c r="E1" s="56"/>
      <c r="F1" s="56"/>
      <c r="G1" s="56"/>
    </row>
    <row r="2" spans="1:7" ht="15.75">
      <c r="B2" s="138"/>
    </row>
    <row r="5" spans="1:7">
      <c r="B5" s="127" t="s">
        <v>248</v>
      </c>
      <c r="C5" s="119"/>
      <c r="F5" s="252">
        <f>SUM(F6:F8)</f>
        <v>0.29162272858730776</v>
      </c>
      <c r="G5" s="25" t="s">
        <v>2</v>
      </c>
    </row>
    <row r="6" spans="1:7">
      <c r="B6" s="119" t="s">
        <v>249</v>
      </c>
      <c r="C6" s="119"/>
      <c r="F6" s="215">
        <v>2.7070494643171059E-2</v>
      </c>
      <c r="G6" s="25" t="s">
        <v>4</v>
      </c>
    </row>
    <row r="7" spans="1:7">
      <c r="B7" s="119" t="s">
        <v>250</v>
      </c>
      <c r="C7" s="119"/>
      <c r="F7" s="215">
        <v>5.5626947549612241E-2</v>
      </c>
      <c r="G7" s="25" t="s">
        <v>6</v>
      </c>
    </row>
    <row r="8" spans="1:7">
      <c r="B8" s="119" t="s">
        <v>251</v>
      </c>
      <c r="C8" s="119"/>
      <c r="F8" s="215">
        <v>0.20892528639452448</v>
      </c>
      <c r="G8" s="25" t="s">
        <v>8</v>
      </c>
    </row>
    <row r="9" spans="1:7">
      <c r="B9" s="253" t="s">
        <v>252</v>
      </c>
      <c r="C9" s="119"/>
      <c r="F9" s="252">
        <f>SUM(F10:F11)</f>
        <v>0.46397708603892257</v>
      </c>
      <c r="G9" s="25" t="s">
        <v>10</v>
      </c>
    </row>
    <row r="10" spans="1:7">
      <c r="B10" s="119" t="s">
        <v>253</v>
      </c>
      <c r="C10" s="119"/>
      <c r="F10" s="215">
        <v>0.41782201812304021</v>
      </c>
      <c r="G10" s="25" t="s">
        <v>12</v>
      </c>
    </row>
    <row r="11" spans="1:7">
      <c r="B11" s="119" t="s">
        <v>254</v>
      </c>
      <c r="C11" s="119"/>
      <c r="F11" s="215">
        <v>4.6155067915882378E-2</v>
      </c>
      <c r="G11" s="25" t="s">
        <v>41</v>
      </c>
    </row>
    <row r="12" spans="1:7">
      <c r="B12" s="127" t="s">
        <v>255</v>
      </c>
      <c r="C12" s="127"/>
      <c r="E12" s="127"/>
      <c r="F12" s="252">
        <f>+F5+F9</f>
        <v>0.75559981462623038</v>
      </c>
      <c r="G12" s="25" t="s">
        <v>256</v>
      </c>
    </row>
    <row r="13" spans="1:7" ht="9.75" customHeight="1">
      <c r="G13" s="25"/>
    </row>
    <row r="14" spans="1:7" ht="14.25" customHeight="1">
      <c r="B14" s="254" t="s">
        <v>257</v>
      </c>
      <c r="C14" s="255" t="s">
        <v>258</v>
      </c>
      <c r="D14" s="46"/>
      <c r="E14" s="256" t="s">
        <v>191</v>
      </c>
      <c r="F14" s="43"/>
      <c r="G14" s="25"/>
    </row>
    <row r="15" spans="1:7" ht="18.75" customHeight="1">
      <c r="A15" s="127"/>
      <c r="B15" s="257"/>
      <c r="C15" s="258" t="s">
        <v>259</v>
      </c>
      <c r="D15" s="259" t="s">
        <v>259</v>
      </c>
      <c r="E15" s="260" t="s">
        <v>260</v>
      </c>
      <c r="F15" s="261" t="s">
        <v>260</v>
      </c>
      <c r="G15" s="25"/>
    </row>
    <row r="16" spans="1:7">
      <c r="B16" s="42" t="s">
        <v>261</v>
      </c>
      <c r="C16" s="57">
        <f>+F5</f>
        <v>0.29162272858730776</v>
      </c>
      <c r="D16" s="58">
        <f>+F5</f>
        <v>0.29162272858730776</v>
      </c>
      <c r="E16" s="59">
        <f>+F5</f>
        <v>0.29162272858730776</v>
      </c>
      <c r="F16" s="57">
        <f>+E16</f>
        <v>0.29162272858730776</v>
      </c>
      <c r="G16" s="25" t="s">
        <v>262</v>
      </c>
    </row>
    <row r="17" spans="1:7">
      <c r="B17" s="42" t="s">
        <v>263</v>
      </c>
      <c r="C17" s="57">
        <f>+C16/F12</f>
        <v>0.38594865025418729</v>
      </c>
      <c r="D17" s="58">
        <f>+D16/F12</f>
        <v>0.38594865025418729</v>
      </c>
      <c r="E17" s="59">
        <f>+E16/F12</f>
        <v>0.38594865025418729</v>
      </c>
      <c r="F17" s="57">
        <f>+F16/F12</f>
        <v>0.38594865025418729</v>
      </c>
      <c r="G17" s="25" t="s">
        <v>264</v>
      </c>
    </row>
    <row r="18" spans="1:7">
      <c r="B18" s="42" t="s">
        <v>265</v>
      </c>
      <c r="C18" s="57">
        <f>+C17/(C17+D17+E23)</f>
        <v>0.27847254671621713</v>
      </c>
      <c r="D18" s="58">
        <f>+D17/(C17+D17+E23)</f>
        <v>0.27847254671621713</v>
      </c>
      <c r="E18" s="59" t="s">
        <v>266</v>
      </c>
      <c r="F18" s="57" t="s">
        <v>266</v>
      </c>
      <c r="G18" s="25" t="s">
        <v>267</v>
      </c>
    </row>
    <row r="19" spans="1:7">
      <c r="C19" s="40"/>
      <c r="D19" s="40"/>
      <c r="E19" s="27"/>
      <c r="F19" s="27"/>
      <c r="G19" s="25"/>
    </row>
    <row r="20" spans="1:7" ht="15">
      <c r="B20" s="262" t="s">
        <v>268</v>
      </c>
      <c r="C20" s="66"/>
      <c r="D20" s="50"/>
      <c r="E20" s="263" t="s">
        <v>191</v>
      </c>
      <c r="F20" s="44"/>
      <c r="G20" s="25"/>
    </row>
    <row r="21" spans="1:7" ht="15">
      <c r="A21" s="127"/>
      <c r="B21" s="264"/>
      <c r="C21" s="51"/>
      <c r="D21" s="52"/>
      <c r="E21" s="265" t="s">
        <v>259</v>
      </c>
      <c r="F21" s="265" t="s">
        <v>260</v>
      </c>
      <c r="G21" s="25"/>
    </row>
    <row r="22" spans="1:7">
      <c r="B22" s="42" t="s">
        <v>261</v>
      </c>
      <c r="C22" s="48"/>
      <c r="D22" s="49"/>
      <c r="E22" s="57">
        <f>+F9</f>
        <v>0.46397708603892257</v>
      </c>
      <c r="F22" s="57">
        <f>+E22</f>
        <v>0.46397708603892257</v>
      </c>
      <c r="G22" s="25" t="s">
        <v>269</v>
      </c>
    </row>
    <row r="23" spans="1:7">
      <c r="B23" s="42" t="s">
        <v>263</v>
      </c>
      <c r="C23" s="48"/>
      <c r="D23" s="49"/>
      <c r="E23" s="57">
        <f>+E22/F12</f>
        <v>0.61405134974581266</v>
      </c>
      <c r="F23" s="57">
        <f>+F22/F12</f>
        <v>0.61405134974581266</v>
      </c>
      <c r="G23" s="25" t="s">
        <v>270</v>
      </c>
    </row>
    <row r="24" spans="1:7">
      <c r="B24" s="42" t="s">
        <v>265</v>
      </c>
      <c r="C24" s="45"/>
      <c r="D24" s="47"/>
      <c r="E24" s="57">
        <f>+E23/(C17+D17+E23)</f>
        <v>0.44305490656756563</v>
      </c>
      <c r="F24" s="57" t="s">
        <v>266</v>
      </c>
      <c r="G24" s="40" t="s">
        <v>271</v>
      </c>
    </row>
    <row r="25" spans="1:7">
      <c r="E25" s="41"/>
    </row>
    <row r="27" spans="1:7" ht="13.5" thickBot="1"/>
    <row r="28" spans="1:7" ht="13.5" thickBot="1">
      <c r="B28" s="266" t="s">
        <v>272</v>
      </c>
      <c r="C28" s="53"/>
      <c r="D28" s="267"/>
      <c r="E28" s="53"/>
      <c r="F28" s="268">
        <f>+(C18+D18)</f>
        <v>0.55694509343243426</v>
      </c>
      <c r="G28" s="269" t="s">
        <v>273</v>
      </c>
    </row>
    <row r="31" spans="1:7">
      <c r="B31" s="68" t="s">
        <v>60</v>
      </c>
    </row>
    <row r="32" spans="1:7">
      <c r="B32" s="7" t="s">
        <v>274</v>
      </c>
    </row>
    <row r="33" spans="2:8">
      <c r="B33" s="99" t="s">
        <v>275</v>
      </c>
      <c r="C33" s="119"/>
      <c r="D33" s="119"/>
    </row>
    <row r="34" spans="2:8">
      <c r="B34" t="s">
        <v>276</v>
      </c>
    </row>
    <row r="35" spans="2:8">
      <c r="B35" t="s">
        <v>277</v>
      </c>
    </row>
    <row r="36" spans="2:8">
      <c r="B36" t="s">
        <v>278</v>
      </c>
      <c r="F36" s="41"/>
    </row>
    <row r="37" spans="2:8">
      <c r="B37" t="s">
        <v>279</v>
      </c>
    </row>
    <row r="38" spans="2:8">
      <c r="B38" s="7" t="s">
        <v>280</v>
      </c>
    </row>
    <row r="39" spans="2:8">
      <c r="B39" s="119" t="s">
        <v>281</v>
      </c>
    </row>
    <row r="40" spans="2:8">
      <c r="B40" t="s">
        <v>282</v>
      </c>
      <c r="H40" s="6"/>
    </row>
    <row r="41" spans="2:8">
      <c r="B41" s="7" t="s">
        <v>283</v>
      </c>
    </row>
    <row r="42" spans="2:8">
      <c r="B42" s="7" t="s">
        <v>284</v>
      </c>
    </row>
    <row r="44" spans="2:8">
      <c r="B44" t="s">
        <v>285</v>
      </c>
    </row>
    <row r="45" spans="2:8">
      <c r="B45" s="67" t="s">
        <v>286</v>
      </c>
    </row>
    <row r="46" spans="2:8">
      <c r="B46" s="67" t="s">
        <v>287</v>
      </c>
    </row>
  </sheetData>
  <mergeCells count="2">
    <mergeCell ref="B14:B15"/>
    <mergeCell ref="B20:B21"/>
  </mergeCells>
  <phoneticPr fontId="0" type="noConversion"/>
  <pageMargins left="0.75" right="0.75" top="1.25" bottom="1" header="0.5" footer="0.5"/>
  <pageSetup scale="86" orientation="portrait" horizontalDpi="4294967292" verticalDpi="4294967292" r:id="rId1"/>
  <headerFooter alignWithMargins="0">
    <oddHeader>&amp;RPage 8 of 12</oddHeader>
    <oddFooter>&amp;R&amp;F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F33"/>
  <sheetViews>
    <sheetView zoomScaleNormal="100" workbookViewId="0">
      <selection activeCell="G13" sqref="G13"/>
    </sheetView>
  </sheetViews>
  <sheetFormatPr defaultColWidth="9.140625" defaultRowHeight="12.75"/>
  <cols>
    <col min="1" max="1" width="5" style="173" customWidth="1"/>
    <col min="2" max="2" width="65.28515625" style="173" bestFit="1" customWidth="1"/>
    <col min="3" max="3" width="3.28515625" style="173" customWidth="1"/>
    <col min="4" max="4" width="10.5703125" style="173" bestFit="1" customWidth="1"/>
    <col min="5" max="5" width="7.5703125" style="181" customWidth="1"/>
    <col min="6" max="6" width="19.42578125" style="173" customWidth="1"/>
    <col min="7" max="7" width="10.5703125" style="173" bestFit="1" customWidth="1"/>
    <col min="8" max="8" width="9.5703125" style="173" customWidth="1"/>
    <col min="9" max="16384" width="9.140625" style="173"/>
  </cols>
  <sheetData>
    <row r="2" spans="2:6" ht="15.75">
      <c r="B2" s="140" t="s">
        <v>288</v>
      </c>
      <c r="C2" s="270"/>
      <c r="D2" s="270"/>
      <c r="E2" s="232"/>
      <c r="F2" s="191"/>
    </row>
    <row r="6" spans="2:6">
      <c r="B6" s="226" t="s">
        <v>289</v>
      </c>
      <c r="C6" s="226"/>
      <c r="D6" s="271">
        <f>+DB_1!F28</f>
        <v>0.55694509343243426</v>
      </c>
      <c r="E6" s="232" t="s">
        <v>2</v>
      </c>
      <c r="F6" s="226"/>
    </row>
    <row r="7" spans="2:6">
      <c r="B7" s="180" t="s">
        <v>290</v>
      </c>
      <c r="C7" s="226"/>
      <c r="D7" s="272">
        <f>'[10]Summary Flats+Parcels'!$F$66</f>
        <v>1779.9384629044212</v>
      </c>
      <c r="E7" s="232" t="s">
        <v>4</v>
      </c>
      <c r="F7" s="226"/>
    </row>
    <row r="8" spans="2:6">
      <c r="B8" s="180" t="s">
        <v>291</v>
      </c>
      <c r="C8" s="226"/>
      <c r="D8" s="272">
        <f>'[10]Summary Flats+Parcels'!$F$67</f>
        <v>19090.107769842289</v>
      </c>
      <c r="E8" s="232" t="s">
        <v>6</v>
      </c>
      <c r="F8" s="226"/>
    </row>
    <row r="9" spans="2:6">
      <c r="B9" s="180" t="s">
        <v>292</v>
      </c>
      <c r="C9" s="226"/>
      <c r="D9" s="272">
        <f>'[10]Summary Flats+Parcels'!$H$64</f>
        <v>81.917620778097856</v>
      </c>
      <c r="E9" s="232" t="s">
        <v>8</v>
      </c>
      <c r="F9" s="226"/>
    </row>
    <row r="10" spans="2:6">
      <c r="B10" s="187" t="s">
        <v>293</v>
      </c>
      <c r="C10" s="226"/>
      <c r="D10" s="271">
        <v>0.36099999999999999</v>
      </c>
      <c r="E10" s="232" t="s">
        <v>10</v>
      </c>
      <c r="F10" s="226"/>
    </row>
    <row r="11" spans="2:6">
      <c r="B11" s="187" t="s">
        <v>294</v>
      </c>
      <c r="C11" s="226"/>
      <c r="D11" s="272">
        <f>+D7+D10*D9</f>
        <v>1809.5107240053144</v>
      </c>
      <c r="E11" s="232" t="s">
        <v>12</v>
      </c>
      <c r="F11" s="226"/>
    </row>
    <row r="12" spans="2:6">
      <c r="B12" s="180" t="s">
        <v>295</v>
      </c>
      <c r="C12" s="226"/>
      <c r="D12" s="272">
        <f>+D8+(1-D10)*D9</f>
        <v>19142.453129519494</v>
      </c>
      <c r="E12" s="232" t="s">
        <v>41</v>
      </c>
      <c r="F12" s="226"/>
    </row>
    <row r="13" spans="2:6">
      <c r="B13" s="180" t="s">
        <v>296</v>
      </c>
      <c r="C13" s="226"/>
      <c r="D13" s="273">
        <f>+'Flat - Parcel'!E5</f>
        <v>330171.47200000001</v>
      </c>
      <c r="E13" s="232" t="s">
        <v>256</v>
      </c>
      <c r="F13" s="226"/>
    </row>
    <row r="14" spans="2:6">
      <c r="B14" s="226" t="s">
        <v>297</v>
      </c>
      <c r="C14" s="226"/>
      <c r="D14" s="274">
        <f>+DB_1!F5</f>
        <v>0.29162272858730776</v>
      </c>
      <c r="E14" s="232" t="s">
        <v>262</v>
      </c>
      <c r="F14" s="226"/>
    </row>
    <row r="15" spans="2:6">
      <c r="B15" s="226" t="s">
        <v>298</v>
      </c>
      <c r="C15" s="226"/>
      <c r="D15" s="272">
        <f>D6*D11+D12</f>
        <v>20150.251248767625</v>
      </c>
      <c r="E15" s="232" t="s">
        <v>264</v>
      </c>
      <c r="F15" s="226"/>
    </row>
    <row r="16" spans="2:6">
      <c r="B16" s="226" t="s">
        <v>299</v>
      </c>
      <c r="C16" s="226"/>
      <c r="D16" s="273">
        <f>+D13*D14</f>
        <v>96285.505566327891</v>
      </c>
      <c r="E16" s="232" t="s">
        <v>267</v>
      </c>
      <c r="F16" s="226"/>
    </row>
    <row r="17" spans="2:5">
      <c r="B17" s="226"/>
      <c r="C17" s="226"/>
      <c r="D17" s="273"/>
      <c r="E17" s="232"/>
    </row>
    <row r="18" spans="2:5">
      <c r="B18" s="275"/>
      <c r="C18" s="226"/>
      <c r="D18" s="226"/>
      <c r="E18" s="232"/>
    </row>
    <row r="19" spans="2:5">
      <c r="B19" s="276" t="s">
        <v>300</v>
      </c>
      <c r="C19" s="277"/>
      <c r="D19" s="278">
        <f>D15/D16</f>
        <v>0.20927606009075567</v>
      </c>
      <c r="E19" s="279" t="s">
        <v>269</v>
      </c>
    </row>
    <row r="20" spans="2:5">
      <c r="B20" s="275"/>
      <c r="C20" s="226"/>
      <c r="D20" s="226"/>
      <c r="E20" s="232"/>
    </row>
    <row r="21" spans="2:5">
      <c r="B21" s="186" t="s">
        <v>60</v>
      </c>
      <c r="C21" s="226"/>
      <c r="D21" s="226"/>
      <c r="E21" s="232"/>
    </row>
    <row r="22" spans="2:5">
      <c r="B22" s="187" t="s">
        <v>301</v>
      </c>
      <c r="C22" s="226"/>
      <c r="D22" s="226"/>
      <c r="E22" s="232"/>
    </row>
    <row r="23" spans="2:5">
      <c r="B23" s="180" t="s">
        <v>302</v>
      </c>
      <c r="C23" s="226"/>
      <c r="D23" s="226"/>
      <c r="E23" s="232"/>
    </row>
    <row r="24" spans="2:5">
      <c r="B24" s="180" t="s">
        <v>303</v>
      </c>
      <c r="C24" s="226"/>
      <c r="D24" s="226"/>
      <c r="E24" s="232"/>
    </row>
    <row r="25" spans="2:5">
      <c r="B25" s="180" t="s">
        <v>304</v>
      </c>
      <c r="C25" s="226"/>
      <c r="D25" s="226"/>
      <c r="E25" s="232"/>
    </row>
    <row r="26" spans="2:5">
      <c r="B26" s="226" t="s">
        <v>305</v>
      </c>
      <c r="C26" s="226"/>
      <c r="D26" s="226"/>
      <c r="E26" s="232"/>
    </row>
    <row r="27" spans="2:5">
      <c r="B27" s="187" t="s">
        <v>306</v>
      </c>
      <c r="C27" s="226"/>
      <c r="D27" s="226"/>
      <c r="E27" s="232"/>
    </row>
    <row r="28" spans="2:5">
      <c r="B28" s="226" t="s">
        <v>307</v>
      </c>
      <c r="C28" s="226"/>
      <c r="D28" s="226"/>
      <c r="E28" s="232"/>
    </row>
    <row r="29" spans="2:5">
      <c r="B29" s="187" t="s">
        <v>308</v>
      </c>
      <c r="C29" s="226"/>
      <c r="D29" s="226"/>
      <c r="E29" s="232"/>
    </row>
    <row r="30" spans="2:5">
      <c r="B30" s="187" t="s">
        <v>309</v>
      </c>
      <c r="C30" s="226"/>
      <c r="D30" s="226"/>
      <c r="E30" s="232"/>
    </row>
    <row r="31" spans="2:5">
      <c r="B31" s="187" t="s">
        <v>310</v>
      </c>
      <c r="C31" s="226"/>
      <c r="D31" s="226"/>
      <c r="E31" s="232"/>
    </row>
    <row r="32" spans="2:5">
      <c r="B32" s="187" t="s">
        <v>311</v>
      </c>
      <c r="C32" s="226"/>
      <c r="D32" s="226"/>
      <c r="E32" s="232"/>
    </row>
    <row r="33" spans="2:5">
      <c r="B33" s="187" t="s">
        <v>312</v>
      </c>
      <c r="C33" s="226"/>
      <c r="D33" s="226"/>
      <c r="E33" s="232"/>
    </row>
  </sheetData>
  <phoneticPr fontId="0" type="noConversion"/>
  <pageMargins left="0.75" right="0.75" top="1" bottom="1" header="0.5" footer="0.5"/>
  <pageSetup orientation="portrait" horizontalDpi="4294967292" verticalDpi="4294967292" r:id="rId1"/>
  <headerFooter alignWithMargins="0">
    <oddHeader>&amp;RPage 9 of 12</oddHeader>
    <oddFooter>&amp;R&amp;F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6"/>
    <pageSetUpPr fitToPage="1"/>
  </sheetPr>
  <dimension ref="A2:I27"/>
  <sheetViews>
    <sheetView zoomScaleNormal="100" workbookViewId="0">
      <selection activeCell="O34" sqref="O34"/>
    </sheetView>
  </sheetViews>
  <sheetFormatPr defaultRowHeight="12.75"/>
  <cols>
    <col min="1" max="1" width="21.85546875" customWidth="1"/>
    <col min="2" max="2" width="8" customWidth="1"/>
    <col min="3" max="3" width="12.28515625" customWidth="1"/>
    <col min="4" max="4" width="2" customWidth="1"/>
    <col min="5" max="5" width="6.140625" customWidth="1"/>
    <col min="6" max="6" width="10.7109375" customWidth="1"/>
    <col min="9" max="9" width="10.7109375" customWidth="1"/>
    <col min="10" max="10" width="11.7109375" customWidth="1"/>
  </cols>
  <sheetData>
    <row r="2" spans="1:7">
      <c r="D2" s="192"/>
    </row>
    <row r="3" spans="1:7" ht="15.75">
      <c r="A3" s="18" t="s">
        <v>313</v>
      </c>
      <c r="B3" s="18"/>
      <c r="C3" s="18"/>
      <c r="D3" s="18"/>
      <c r="E3" s="18"/>
      <c r="F3" s="18"/>
      <c r="G3" s="36"/>
    </row>
    <row r="4" spans="1:7" ht="15.75">
      <c r="A4" s="18" t="s">
        <v>314</v>
      </c>
      <c r="B4" s="18"/>
      <c r="C4" s="18"/>
      <c r="D4" s="18"/>
      <c r="E4" s="18"/>
      <c r="F4" s="18"/>
      <c r="G4" s="36"/>
    </row>
    <row r="5" spans="1:7" ht="14.25">
      <c r="B5" s="36"/>
      <c r="C5" s="36"/>
      <c r="D5" s="36"/>
      <c r="E5" s="36"/>
      <c r="F5" s="36"/>
      <c r="G5" s="36"/>
    </row>
    <row r="6" spans="1:7" ht="14.25">
      <c r="A6" s="192" t="s">
        <v>315</v>
      </c>
      <c r="B6" s="36"/>
      <c r="C6" s="36"/>
      <c r="D6" s="36"/>
      <c r="E6" s="195"/>
      <c r="F6" s="36"/>
      <c r="G6" s="36"/>
    </row>
    <row r="7" spans="1:7" ht="14.25">
      <c r="A7" t="s">
        <v>316</v>
      </c>
      <c r="B7" s="36"/>
      <c r="D7" s="36"/>
      <c r="E7" s="195" t="s">
        <v>2</v>
      </c>
      <c r="F7" s="246">
        <f>+'Other Inputs'!D4</f>
        <v>49.053814349729187</v>
      </c>
      <c r="G7" s="36"/>
    </row>
    <row r="8" spans="1:7" ht="14.25">
      <c r="A8" t="s">
        <v>317</v>
      </c>
      <c r="B8" s="36"/>
      <c r="D8" s="36"/>
      <c r="E8" s="195" t="s">
        <v>4</v>
      </c>
      <c r="F8" s="201">
        <f>+Productivities!D35</f>
        <v>307.66822713635111</v>
      </c>
      <c r="G8" s="36"/>
    </row>
    <row r="9" spans="1:7" ht="14.25">
      <c r="A9" t="s">
        <v>318</v>
      </c>
      <c r="B9" s="36"/>
      <c r="D9" s="36"/>
      <c r="E9" s="195" t="s">
        <v>6</v>
      </c>
      <c r="F9" s="280">
        <f>+F7/F8</f>
        <v>0.15943737449362858</v>
      </c>
      <c r="G9" s="36"/>
    </row>
    <row r="10" spans="1:7" ht="14.25">
      <c r="B10" s="36"/>
      <c r="D10" s="36"/>
      <c r="E10" s="195"/>
      <c r="F10" s="119"/>
      <c r="G10" s="36"/>
    </row>
    <row r="11" spans="1:7" ht="14.25">
      <c r="A11" s="127" t="s">
        <v>319</v>
      </c>
      <c r="B11" s="36"/>
      <c r="D11" s="36"/>
      <c r="E11" s="195"/>
      <c r="F11" s="119"/>
      <c r="G11" s="36"/>
    </row>
    <row r="12" spans="1:7" ht="14.25">
      <c r="A12" t="s">
        <v>317</v>
      </c>
      <c r="B12" s="36"/>
      <c r="D12" s="36"/>
      <c r="E12" s="195" t="s">
        <v>8</v>
      </c>
      <c r="F12" s="201">
        <f>+Productivities!D36</f>
        <v>4253.6707878877842</v>
      </c>
      <c r="G12" s="36"/>
    </row>
    <row r="13" spans="1:7" ht="14.25">
      <c r="A13" t="s">
        <v>318</v>
      </c>
      <c r="B13" s="36"/>
      <c r="D13" s="36"/>
      <c r="E13" s="195" t="s">
        <v>10</v>
      </c>
      <c r="F13" s="280">
        <f>+F7/F12</f>
        <v>1.1532113507563547E-2</v>
      </c>
      <c r="G13" s="36"/>
    </row>
    <row r="14" spans="1:7" ht="14.25">
      <c r="D14" s="36"/>
      <c r="E14" s="195"/>
      <c r="G14" s="36"/>
    </row>
    <row r="15" spans="1:7" ht="14.25">
      <c r="A15" t="s">
        <v>320</v>
      </c>
      <c r="B15" s="36"/>
      <c r="D15" s="36"/>
      <c r="E15" s="195" t="s">
        <v>12</v>
      </c>
      <c r="F15" s="131">
        <f>+'Other Inputs'!D18</f>
        <v>1.4957786551922303</v>
      </c>
      <c r="G15" s="36"/>
    </row>
    <row r="16" spans="1:7" ht="14.25">
      <c r="D16" s="36"/>
      <c r="E16" s="195"/>
      <c r="F16" s="36"/>
      <c r="G16" s="36"/>
    </row>
    <row r="17" spans="1:9" ht="14.25">
      <c r="A17" s="38" t="s">
        <v>321</v>
      </c>
      <c r="B17" s="39"/>
      <c r="C17" s="281"/>
      <c r="D17" s="39"/>
      <c r="E17" s="282" t="s">
        <v>41</v>
      </c>
      <c r="F17" s="283">
        <f>+(F9-F13)*F15</f>
        <v>0.22123353237359217</v>
      </c>
      <c r="G17" s="36"/>
    </row>
    <row r="18" spans="1:9" ht="14.25">
      <c r="B18" s="36"/>
      <c r="C18" s="119"/>
      <c r="D18" s="36"/>
      <c r="E18" s="36"/>
      <c r="F18" s="36"/>
      <c r="G18" s="36"/>
    </row>
    <row r="19" spans="1:9" ht="14.25">
      <c r="D19" s="36"/>
      <c r="E19" s="36"/>
      <c r="F19" s="36"/>
      <c r="G19" s="36"/>
    </row>
    <row r="20" spans="1:9" ht="14.25">
      <c r="A20" s="68" t="s">
        <v>60</v>
      </c>
      <c r="B20" s="36"/>
      <c r="D20" s="36"/>
      <c r="E20" s="36"/>
      <c r="F20" s="36"/>
      <c r="G20" s="36"/>
    </row>
    <row r="21" spans="1:9" ht="14.25">
      <c r="A21" s="99" t="s">
        <v>322</v>
      </c>
      <c r="B21" s="36"/>
      <c r="C21" s="36"/>
      <c r="D21" s="69"/>
      <c r="E21" s="19"/>
      <c r="F21" s="36"/>
      <c r="G21" s="36"/>
    </row>
    <row r="22" spans="1:9">
      <c r="A22" s="99" t="s">
        <v>323</v>
      </c>
      <c r="B22" s="19"/>
      <c r="C22" s="19"/>
      <c r="D22" s="19"/>
      <c r="E22" s="19"/>
    </row>
    <row r="23" spans="1:9">
      <c r="A23" s="7" t="s">
        <v>324</v>
      </c>
      <c r="I23" s="37"/>
    </row>
    <row r="24" spans="1:9">
      <c r="A24" s="99" t="s">
        <v>325</v>
      </c>
      <c r="B24" s="119"/>
      <c r="C24" s="119"/>
      <c r="D24" s="119"/>
      <c r="E24" s="119"/>
      <c r="F24" s="119"/>
    </row>
    <row r="25" spans="1:9">
      <c r="A25" s="7" t="s">
        <v>326</v>
      </c>
    </row>
    <row r="26" spans="1:9">
      <c r="A26" s="99" t="s">
        <v>327</v>
      </c>
      <c r="B26" s="119"/>
      <c r="C26" s="119"/>
      <c r="D26" s="119"/>
      <c r="E26" s="119"/>
      <c r="F26" s="119"/>
    </row>
    <row r="27" spans="1:9">
      <c r="A27" s="7" t="s">
        <v>328</v>
      </c>
    </row>
  </sheetData>
  <phoneticPr fontId="0" type="noConversion"/>
  <printOptions horizontalCentered="1"/>
  <pageMargins left="1.51" right="0.75" top="1" bottom="1" header="0.5" footer="0.5"/>
  <pageSetup orientation="portrait" horizontalDpi="4294967292" verticalDpi="4294967292" r:id="rId1"/>
  <headerFooter alignWithMargins="0">
    <oddHeader>&amp;RPage 10 of 12</oddHeader>
    <oddFooter>&amp;R&amp;F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L25"/>
  <sheetViews>
    <sheetView zoomScale="75" workbookViewId="0">
      <selection activeCell="F12" sqref="F12"/>
    </sheetView>
  </sheetViews>
  <sheetFormatPr defaultColWidth="9.140625" defaultRowHeight="12.75"/>
  <cols>
    <col min="1" max="1" width="1.7109375" style="142" customWidth="1"/>
    <col min="2" max="2" width="28.140625" style="142" customWidth="1"/>
    <col min="3" max="3" width="11.140625" style="142" customWidth="1"/>
    <col min="4" max="4" width="12.42578125" style="142" customWidth="1"/>
    <col min="5" max="6" width="11.28515625" style="142" customWidth="1"/>
    <col min="7" max="7" width="5.5703125" style="142" customWidth="1"/>
    <col min="8" max="9" width="9.140625" style="142"/>
    <col min="10" max="10" width="16.42578125" style="142" customWidth="1"/>
    <col min="11" max="11" width="14" style="142" customWidth="1"/>
    <col min="12" max="16384" width="9.140625" style="142"/>
  </cols>
  <sheetData>
    <row r="1" spans="2:12" ht="15.75">
      <c r="B1" s="183" t="s">
        <v>329</v>
      </c>
    </row>
    <row r="2" spans="2:12">
      <c r="B2" s="284"/>
    </row>
    <row r="3" spans="2:12" ht="15" customHeight="1">
      <c r="G3" s="232"/>
      <c r="J3" s="182"/>
    </row>
    <row r="4" spans="2:12">
      <c r="B4" s="184"/>
      <c r="C4" s="285" t="s">
        <v>330</v>
      </c>
      <c r="D4" s="286" t="s">
        <v>331</v>
      </c>
      <c r="E4" s="286" t="s">
        <v>332</v>
      </c>
      <c r="G4" s="232"/>
    </row>
    <row r="5" spans="2:12">
      <c r="B5" s="219" t="s">
        <v>333</v>
      </c>
      <c r="C5" s="287">
        <f>'[11]Adjusted RPW Rpt'!$G$44</f>
        <v>104285.946</v>
      </c>
      <c r="D5" s="287">
        <f>'[11]Adjusted RPW Rpt'!$G$45</f>
        <v>225885.52600000001</v>
      </c>
      <c r="E5" s="288">
        <f>C5+D5</f>
        <v>330171.47200000001</v>
      </c>
      <c r="G5" s="232" t="s">
        <v>2</v>
      </c>
    </row>
    <row r="6" spans="2:12">
      <c r="B6" s="219" t="s">
        <v>334</v>
      </c>
      <c r="C6" s="289">
        <f>[12]CS07!$G$31</f>
        <v>1466.70209927468</v>
      </c>
      <c r="D6" s="289">
        <f>[12]CS07!$G$32</f>
        <v>53953.590793353724</v>
      </c>
      <c r="E6" s="290">
        <f>SUM(C6:D6)</f>
        <v>55420.2928926284</v>
      </c>
      <c r="G6" s="232" t="s">
        <v>4</v>
      </c>
    </row>
    <row r="7" spans="2:12">
      <c r="B7" s="219" t="s">
        <v>320</v>
      </c>
      <c r="C7" s="108">
        <f>'Other Inputs'!D21</f>
        <v>1.2660192210299388</v>
      </c>
      <c r="D7" s="108">
        <f>'Other Inputs'!D21</f>
        <v>1.2660192210299388</v>
      </c>
      <c r="G7" s="232" t="s">
        <v>6</v>
      </c>
    </row>
    <row r="8" spans="2:12">
      <c r="B8" s="291" t="s">
        <v>335</v>
      </c>
      <c r="C8" s="106">
        <f>C6*C7</f>
        <v>1856.8730492067064</v>
      </c>
      <c r="D8" s="106">
        <f>D6*D7</f>
        <v>68306.282987969753</v>
      </c>
      <c r="G8" s="232" t="s">
        <v>8</v>
      </c>
      <c r="L8" s="292"/>
    </row>
    <row r="9" spans="2:12">
      <c r="B9" s="293" t="s">
        <v>336</v>
      </c>
      <c r="C9" s="294">
        <f>+C8/C5</f>
        <v>1.7805592416131569E-2</v>
      </c>
      <c r="D9" s="294">
        <f>+D8/D5</f>
        <v>0.30239335913877791</v>
      </c>
      <c r="E9" s="107"/>
      <c r="G9" s="232" t="s">
        <v>10</v>
      </c>
    </row>
    <row r="10" spans="2:12" ht="12.75" customHeight="1">
      <c r="C10" s="105"/>
      <c r="D10" s="105"/>
      <c r="E10" s="105"/>
      <c r="F10" s="105"/>
      <c r="G10" s="232"/>
    </row>
    <row r="11" spans="2:12" ht="4.5" customHeight="1" thickBot="1">
      <c r="C11" s="105"/>
      <c r="D11" s="105"/>
      <c r="E11" s="105"/>
      <c r="F11" s="105"/>
      <c r="G11" s="232"/>
    </row>
    <row r="12" spans="2:12" ht="13.5" thickBot="1">
      <c r="B12" s="295" t="s">
        <v>337</v>
      </c>
      <c r="C12" s="185"/>
      <c r="D12" s="185"/>
      <c r="E12" s="185"/>
      <c r="F12" s="296">
        <f>+D9-C9</f>
        <v>0.28458776672264635</v>
      </c>
      <c r="G12" s="232" t="s">
        <v>12</v>
      </c>
    </row>
    <row r="15" spans="2:12">
      <c r="B15" s="186" t="s">
        <v>60</v>
      </c>
    </row>
    <row r="16" spans="2:12">
      <c r="B16" s="187" t="s">
        <v>338</v>
      </c>
      <c r="C16" s="226"/>
      <c r="D16" s="226"/>
      <c r="E16" s="226"/>
      <c r="F16" s="226"/>
      <c r="G16" s="226"/>
    </row>
    <row r="17" spans="2:7">
      <c r="B17" s="187" t="s">
        <v>339</v>
      </c>
      <c r="C17" s="226"/>
      <c r="D17" s="226"/>
      <c r="E17" s="226"/>
      <c r="F17" s="226"/>
      <c r="G17" s="226"/>
    </row>
    <row r="18" spans="2:7">
      <c r="B18" s="187" t="s">
        <v>340</v>
      </c>
      <c r="C18" s="226"/>
      <c r="D18" s="226"/>
      <c r="E18" s="226"/>
      <c r="F18" s="226"/>
      <c r="G18" s="226"/>
    </row>
    <row r="19" spans="2:7">
      <c r="B19" s="226" t="s">
        <v>341</v>
      </c>
      <c r="C19" s="226"/>
      <c r="D19" s="226"/>
      <c r="E19" s="226"/>
      <c r="F19" s="226"/>
      <c r="G19" s="226"/>
    </row>
    <row r="20" spans="2:7">
      <c r="B20" s="187" t="s">
        <v>342</v>
      </c>
      <c r="C20" s="226"/>
      <c r="D20" s="226"/>
      <c r="E20" s="226"/>
      <c r="F20" s="226"/>
      <c r="G20" s="226"/>
    </row>
    <row r="21" spans="2:7">
      <c r="B21" s="226" t="s">
        <v>343</v>
      </c>
      <c r="C21" s="226"/>
      <c r="D21" s="226"/>
      <c r="E21" s="226"/>
      <c r="F21" s="226"/>
      <c r="G21" s="226"/>
    </row>
    <row r="22" spans="2:7">
      <c r="B22" s="226"/>
      <c r="C22" s="226"/>
      <c r="D22" s="226"/>
      <c r="E22" s="226"/>
      <c r="F22" s="226"/>
      <c r="G22" s="226"/>
    </row>
    <row r="23" spans="2:7">
      <c r="B23" s="226"/>
      <c r="C23" s="226"/>
      <c r="D23" s="226"/>
      <c r="E23" s="226"/>
      <c r="F23" s="226"/>
      <c r="G23" s="226"/>
    </row>
    <row r="24" spans="2:7">
      <c r="B24" s="226"/>
      <c r="C24" s="226"/>
      <c r="D24" s="226"/>
      <c r="E24" s="226"/>
      <c r="F24" s="226"/>
      <c r="G24" s="226"/>
    </row>
    <row r="25" spans="2:7">
      <c r="B25" s="226"/>
      <c r="C25" s="226"/>
      <c r="D25" s="226"/>
      <c r="E25" s="226"/>
      <c r="F25" s="226"/>
      <c r="G25" s="226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>
    <oddHeader>&amp;RPage 11 of 12</oddHeader>
    <oddFooter>&amp;R&amp;F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6"/>
    <pageSetUpPr fitToPage="1"/>
  </sheetPr>
  <dimension ref="A1:G17"/>
  <sheetViews>
    <sheetView workbookViewId="0">
      <selection activeCell="L26" sqref="L26"/>
    </sheetView>
  </sheetViews>
  <sheetFormatPr defaultRowHeight="12.75"/>
  <cols>
    <col min="1" max="2" width="10.7109375" style="25" customWidth="1"/>
    <col min="3" max="3" width="10.7109375" style="8" customWidth="1"/>
    <col min="4" max="5" width="10.7109375" customWidth="1"/>
    <col min="6" max="7" width="12.7109375" customWidth="1"/>
  </cols>
  <sheetData>
    <row r="1" spans="1:7">
      <c r="A1" s="192" t="s">
        <v>344</v>
      </c>
      <c r="B1" s="192"/>
      <c r="C1" s="195"/>
    </row>
    <row r="4" spans="1:7">
      <c r="A4" s="297" t="s">
        <v>124</v>
      </c>
      <c r="B4" s="297" t="s">
        <v>125</v>
      </c>
      <c r="C4" s="297" t="s">
        <v>126</v>
      </c>
      <c r="D4" s="297" t="s">
        <v>127</v>
      </c>
      <c r="E4" s="297" t="s">
        <v>128</v>
      </c>
      <c r="F4" s="297" t="s">
        <v>129</v>
      </c>
      <c r="G4" s="297" t="s">
        <v>150</v>
      </c>
    </row>
    <row r="5" spans="1:7">
      <c r="A5" s="297" t="s">
        <v>345</v>
      </c>
      <c r="B5" s="297" t="s">
        <v>346</v>
      </c>
      <c r="C5" s="297" t="s">
        <v>347</v>
      </c>
      <c r="D5" s="297" t="s">
        <v>348</v>
      </c>
      <c r="E5" s="127" t="s">
        <v>349</v>
      </c>
      <c r="F5" s="297" t="s">
        <v>332</v>
      </c>
      <c r="G5" s="297" t="s">
        <v>332</v>
      </c>
    </row>
    <row r="6" spans="1:7">
      <c r="A6" s="109" t="s">
        <v>350</v>
      </c>
      <c r="B6" s="109" t="s">
        <v>351</v>
      </c>
      <c r="C6" s="109" t="s">
        <v>352</v>
      </c>
      <c r="D6" s="109" t="s">
        <v>353</v>
      </c>
      <c r="E6" s="109" t="s">
        <v>351</v>
      </c>
      <c r="F6" s="109" t="s">
        <v>353</v>
      </c>
      <c r="G6" s="109" t="s">
        <v>354</v>
      </c>
    </row>
    <row r="7" spans="1:7">
      <c r="C7" s="195"/>
      <c r="D7" s="25"/>
    </row>
    <row r="8" spans="1:7">
      <c r="A8" s="25">
        <v>5.5999999999999995E-4</v>
      </c>
      <c r="B8" s="188">
        <f>Productivities!D41</f>
        <v>0.9584975</v>
      </c>
      <c r="C8" s="237">
        <f>'Other Inputs'!D4</f>
        <v>49.053814349729187</v>
      </c>
      <c r="D8" s="137">
        <f>A8*B8*C8</f>
        <v>2.6330056715020544E-2</v>
      </c>
      <c r="E8" s="70">
        <f>'Other Inputs'!D12</f>
        <v>1.9204979181524358</v>
      </c>
      <c r="F8" s="137">
        <f>D8*E8</f>
        <v>5.0566819106032515E-2</v>
      </c>
      <c r="G8" s="189">
        <f>F8*100</f>
        <v>5.0566819106032517</v>
      </c>
    </row>
    <row r="11" spans="1:7">
      <c r="A11" s="127" t="s">
        <v>355</v>
      </c>
      <c r="B11" s="192"/>
      <c r="C11" s="195"/>
    </row>
    <row r="12" spans="1:7">
      <c r="A12" s="127" t="s">
        <v>224</v>
      </c>
      <c r="B12" s="192"/>
      <c r="C12" s="195"/>
    </row>
    <row r="13" spans="1:7">
      <c r="A13" s="127" t="s">
        <v>356</v>
      </c>
      <c r="B13" s="297"/>
      <c r="C13" s="195"/>
    </row>
    <row r="14" spans="1:7">
      <c r="A14" s="127" t="s">
        <v>357</v>
      </c>
      <c r="B14" s="297"/>
      <c r="C14" s="195"/>
    </row>
    <row r="15" spans="1:7">
      <c r="A15" s="127" t="s">
        <v>358</v>
      </c>
      <c r="B15" s="297"/>
      <c r="C15" s="195"/>
    </row>
    <row r="16" spans="1:7">
      <c r="A16" s="127" t="s">
        <v>359</v>
      </c>
      <c r="B16" s="297"/>
      <c r="C16" s="195"/>
    </row>
    <row r="17" spans="1:2">
      <c r="A17" s="192" t="s">
        <v>360</v>
      </c>
      <c r="B17" s="192"/>
    </row>
  </sheetData>
  <phoneticPr fontId="21" type="noConversion"/>
  <printOptions horizontalCentered="1"/>
  <pageMargins left="0.75" right="0.75" top="1" bottom="1" header="0.5" footer="0.5"/>
  <pageSetup orientation="portrait" r:id="rId1"/>
  <headerFooter alignWithMargins="0">
    <oddHeader>&amp;RPage 12 of 12</oddHeader>
    <oddFooter>&amp;R&amp;F</oddFooter>
  </headerFooter>
  <ignoredErrors>
    <ignoredError sqref="E8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EB0E29CC5B443B20AD0ADCD173D34" ma:contentTypeVersion="4" ma:contentTypeDescription="Create a new document." ma:contentTypeScope="" ma:versionID="fefafd6d308eb8b5a8cc413f7e344640">
  <xsd:schema xmlns:xsd="http://www.w3.org/2001/XMLSchema" xmlns:xs="http://www.w3.org/2001/XMLSchema" xmlns:p="http://schemas.microsoft.com/office/2006/metadata/properties" xmlns:ns2="fd280014-f047-445d-a75d-a0f18d80e10d" targetNamespace="http://schemas.microsoft.com/office/2006/metadata/properties" ma:root="true" ma:fieldsID="d0167217136ba33b7f2a5da369f8bb0e" ns2:_="">
    <xsd:import namespace="fd280014-f047-445d-a75d-a0f18d80e1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80014-f047-445d-a75d-a0f18d80e1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F264AF-C192-4B3F-B992-189A861427CB}"/>
</file>

<file path=customXml/itemProps2.xml><?xml version="1.0" encoding="utf-8"?>
<ds:datastoreItem xmlns:ds="http://schemas.openxmlformats.org/officeDocument/2006/customXml" ds:itemID="{85DBC78B-69D9-426D-975A-B0FC501A7C1C}"/>
</file>

<file path=customXml/itemProps3.xml><?xml version="1.0" encoding="utf-8"?>
<ds:datastoreItem xmlns:ds="http://schemas.openxmlformats.org/officeDocument/2006/customXml" ds:itemID="{71692426-6F5D-48C1-A025-D6BF44A05AA8}"/>
</file>

<file path=docMetadata/LabelInfo.xml><?xml version="1.0" encoding="utf-8"?>
<clbl:labelList xmlns:clbl="http://schemas.microsoft.com/office/2020/mipLabelMetadata">
  <clbl:label id="{f9aa5788-eb33-4a49-8ad0-76101910cac3}" enabled="0" method="" siteId="{f9aa5788-eb33-4a49-8ad0-76101910cac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Miller, Michael W - Washington, DC</dc:creator>
  <cp:keywords/>
  <dc:description/>
  <cp:lastModifiedBy>Depew, Bonnie Y - Washington, DC</cp:lastModifiedBy>
  <cp:revision/>
  <dcterms:created xsi:type="dcterms:W3CDTF">1998-10-16T14:12:52Z</dcterms:created>
  <dcterms:modified xsi:type="dcterms:W3CDTF">2026-02-04T17:05:26Z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0x0101000B6EB0E29CC5B443B20AD0ADCD173D34</vt:lpwstr>
  </property>
  <property fmtid="{D5CDD505-2E9C-101B-9397-08002B2CF9AE}" pid="3" name="Order">
    <vt:r8>6300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