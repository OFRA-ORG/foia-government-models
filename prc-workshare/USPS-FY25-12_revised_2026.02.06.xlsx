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usps365.sharepoint.com/sites/ACR/Shared Documents/ACR 2025/Notices_ACR 2025/Errata_Updated ACR Materials_MODS_2026.01.xx/PUBLIC Supporting Materials/USPS-FY25-12_MODS update/"/>
    </mc:Choice>
  </mc:AlternateContent>
  <xr:revisionPtr revIDLastSave="6" documentId="8_{0F3076CC-5103-4551-804F-B2D3E8F7E466}" xr6:coauthVersionLast="47" xr6:coauthVersionMax="47" xr10:uidLastSave="{6BBF8ECA-B813-47FF-BD05-5C21434A6DD5}"/>
  <bookViews>
    <workbookView xWindow="-28920" yWindow="-120" windowWidth="29040" windowHeight="15720" tabRatio="597" xr2:uid="{00000000-000D-0000-FFFF-FFFF00000000}"/>
  </bookViews>
  <sheets>
    <sheet name="MP Summary" sheetId="45" r:id="rId1"/>
    <sheet name="MP Cost Adjustments" sheetId="1" r:id="rId2"/>
    <sheet name="Cost Pool Data" sheetId="34" r:id="rId3"/>
    <sheet name="Vol Data" sheetId="2" r:id="rId4"/>
    <sheet name="Productivity Data" sheetId="36" r:id="rId5"/>
    <sheet name="Wage Data" sheetId="39" r:id="rId6"/>
    <sheet name="Mailer Arrival Profile" sheetId="37" r:id="rId7"/>
    <sheet name="Postal Arrival-Dispatch Profile" sheetId="46" r:id="rId8"/>
    <sheet name="Other Inputs" sheetId="43" r:id="rId9"/>
    <sheet name="Conversion Factors" sheetId="38" r:id="rId10"/>
    <sheet name="M-NONE-MNDC" sheetId="4" r:id="rId11"/>
    <sheet name="M-NONE-NDC" sheetId="3" r:id="rId12"/>
    <sheet name="M-DNDC-NDC" sheetId="5" r:id="rId13"/>
    <sheet name="M-DNDC-5D" sheetId="9" r:id="rId14"/>
    <sheet name="M-DSCF-5D" sheetId="8" r:id="rId15"/>
    <sheet name="M-DDU-5D" sheetId="7" r:id="rId16"/>
    <sheet name="IR-NONE-MNDC" sheetId="13" r:id="rId17"/>
    <sheet name="IR-NONE-NDC" sheetId="12" r:id="rId18"/>
    <sheet name="IR-DNDC-NDC" sheetId="11" r:id="rId19"/>
    <sheet name="IR-DNDC-SCF" sheetId="10" r:id="rId20"/>
    <sheet name="IR-DNDC-5D" sheetId="32" r:id="rId21"/>
    <sheet name="IR-DSCF-SCF" sheetId="16" r:id="rId22"/>
    <sheet name="IR-DSCF-5D" sheetId="15" r:id="rId23"/>
    <sheet name="IR -DDU-5D" sheetId="14" r:id="rId24"/>
    <sheet name="IO-NONE-MNDC" sheetId="47" r:id="rId25"/>
    <sheet name="IO-NONE-NDC" sheetId="48" r:id="rId26"/>
    <sheet name="IO-DNDC-NDC" sheetId="51" r:id="rId27"/>
    <sheet name="IO-DNDC-SCF" sheetId="50" r:id="rId28"/>
    <sheet name="IO-DNDC-5D" sheetId="49" r:id="rId29"/>
    <sheet name="IO-DSCF-SCF" sheetId="54" r:id="rId30"/>
    <sheet name="IO-DSCF-5D" sheetId="53" r:id="rId31"/>
    <sheet name="IO-DDU-5D" sheetId="52" r:id="rId32"/>
    <sheet name="MO-NONE-MNDC" sheetId="61" r:id="rId33"/>
    <sheet name="MO-NONE-NDC" sheetId="62" r:id="rId34"/>
    <sheet name="MO-DNDC-NDC" sheetId="60" r:id="rId35"/>
    <sheet name="MO-DNDC-SCF" sheetId="59" r:id="rId36"/>
    <sheet name="MO-DNDC-5D" sheetId="58" r:id="rId37"/>
    <sheet name="MO-DSCF-SCF" sheetId="57" r:id="rId38"/>
    <sheet name="MO-DSCF-5D" sheetId="56" r:id="rId39"/>
    <sheet name="MO-DDU-5D" sheetId="55" r:id="rId40"/>
    <sheet name="M&gt;6-NONE-MNDC" sheetId="24" r:id="rId41"/>
    <sheet name="M&gt;6-NONE-NDC" sheetId="23" r:id="rId42"/>
    <sheet name="M&gt;6-DNDC-NDC" sheetId="22" r:id="rId43"/>
    <sheet name="M&gt;6-DNDC-SCF" sheetId="21" r:id="rId44"/>
    <sheet name="M&gt;6-DNDC-5D" sheetId="33" r:id="rId45"/>
    <sheet name="M&gt;6-DSCF-SCF" sheetId="27" r:id="rId46"/>
    <sheet name="M&gt;6-DSCF-5D" sheetId="26" r:id="rId47"/>
    <sheet name="M&gt;6-DDU-5D" sheetId="25" r:id="rId48"/>
    <sheet name="BC Savings" sheetId="63" r:id="rId49"/>
    <sheet name="Mail Entry Profile" sheetId="64" r:id="rId50"/>
  </sheets>
  <externalReferences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</externalReferences>
  <definedNames>
    <definedName name="_xlnm.Print_Area" localSheetId="0">'MP Summary'!$A$1:$E$54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37" i="45" l="1"/>
  <c r="K60" i="34" l="1"/>
  <c r="K59" i="34"/>
  <c r="K58" i="34"/>
  <c r="K57" i="34"/>
  <c r="K56" i="34"/>
  <c r="K55" i="34"/>
  <c r="K54" i="34"/>
  <c r="K53" i="34"/>
  <c r="K52" i="34"/>
  <c r="K51" i="34"/>
  <c r="K50" i="34"/>
  <c r="K49" i="34"/>
  <c r="K48" i="34"/>
  <c r="K47" i="34"/>
  <c r="K46" i="34"/>
  <c r="L45" i="34"/>
  <c r="K45" i="34"/>
  <c r="K44" i="34"/>
  <c r="L43" i="34"/>
  <c r="K43" i="34"/>
  <c r="K42" i="34"/>
  <c r="K41" i="34"/>
  <c r="K40" i="34"/>
  <c r="K39" i="34"/>
  <c r="K38" i="34"/>
  <c r="K37" i="34"/>
  <c r="K36" i="34"/>
  <c r="K35" i="34"/>
  <c r="K34" i="34"/>
  <c r="K33" i="34"/>
  <c r="K32" i="34"/>
  <c r="K31" i="34"/>
  <c r="K30" i="34"/>
  <c r="K29" i="34"/>
  <c r="K28" i="34"/>
  <c r="K27" i="34"/>
  <c r="K26" i="34"/>
  <c r="K25" i="34"/>
  <c r="K24" i="34"/>
  <c r="K23" i="34"/>
  <c r="K22" i="34"/>
  <c r="K21" i="34"/>
  <c r="K20" i="34"/>
  <c r="K19" i="34"/>
  <c r="K18" i="34"/>
  <c r="K17" i="34"/>
  <c r="K16" i="34"/>
  <c r="K15" i="34"/>
  <c r="L14" i="34"/>
  <c r="K14" i="34"/>
  <c r="K13" i="34"/>
  <c r="K12" i="34"/>
  <c r="L11" i="34"/>
  <c r="K11" i="34"/>
  <c r="K10" i="34"/>
  <c r="K9" i="34"/>
  <c r="C16" i="36" l="1"/>
  <c r="C15" i="36"/>
  <c r="C14" i="36"/>
  <c r="C13" i="36"/>
  <c r="C12" i="36"/>
  <c r="C11" i="36"/>
  <c r="C10" i="36"/>
  <c r="C21" i="36"/>
  <c r="C20" i="36"/>
  <c r="C19" i="36"/>
  <c r="C18" i="36"/>
  <c r="C17" i="36"/>
  <c r="J60" i="34" l="1"/>
  <c r="J59" i="34"/>
  <c r="J58" i="34"/>
  <c r="J57" i="34"/>
  <c r="J56" i="34"/>
  <c r="J55" i="34"/>
  <c r="J54" i="34"/>
  <c r="J53" i="34"/>
  <c r="J52" i="34"/>
  <c r="J51" i="34"/>
  <c r="J50" i="34"/>
  <c r="J49" i="34"/>
  <c r="J48" i="34"/>
  <c r="J47" i="34"/>
  <c r="J46" i="34"/>
  <c r="J45" i="34"/>
  <c r="J44" i="34"/>
  <c r="J43" i="34"/>
  <c r="J42" i="34"/>
  <c r="J41" i="34"/>
  <c r="J40" i="34"/>
  <c r="J39" i="34"/>
  <c r="J38" i="34"/>
  <c r="J37" i="34"/>
  <c r="J36" i="34"/>
  <c r="J35" i="34"/>
  <c r="J34" i="34"/>
  <c r="J33" i="34"/>
  <c r="J32" i="34"/>
  <c r="J31" i="34"/>
  <c r="J30" i="34"/>
  <c r="J29" i="34"/>
  <c r="J28" i="34"/>
  <c r="J27" i="34"/>
  <c r="J26" i="34"/>
  <c r="J25" i="34"/>
  <c r="J24" i="34"/>
  <c r="J23" i="34"/>
  <c r="J22" i="34"/>
  <c r="J21" i="34"/>
  <c r="J20" i="34"/>
  <c r="J19" i="34"/>
  <c r="J17" i="34"/>
  <c r="J16" i="34"/>
  <c r="J15" i="34"/>
  <c r="J14" i="34"/>
  <c r="J13" i="34"/>
  <c r="J12" i="34"/>
  <c r="J11" i="34"/>
  <c r="J10" i="34"/>
  <c r="J9" i="34"/>
  <c r="F60" i="34" l="1"/>
  <c r="F59" i="34"/>
  <c r="F58" i="34"/>
  <c r="F57" i="34"/>
  <c r="F56" i="34"/>
  <c r="F55" i="34"/>
  <c r="F54" i="34"/>
  <c r="F53" i="34"/>
  <c r="F52" i="34"/>
  <c r="F51" i="34"/>
  <c r="F50" i="34"/>
  <c r="F49" i="34"/>
  <c r="F48" i="34"/>
  <c r="F47" i="34"/>
  <c r="F46" i="34"/>
  <c r="F45" i="34"/>
  <c r="F44" i="34"/>
  <c r="F43" i="34"/>
  <c r="F42" i="34"/>
  <c r="F41" i="34"/>
  <c r="F40" i="34"/>
  <c r="F39" i="34"/>
  <c r="F38" i="34"/>
  <c r="F37" i="34"/>
  <c r="F36" i="34"/>
  <c r="F35" i="34"/>
  <c r="F34" i="34"/>
  <c r="F33" i="34"/>
  <c r="F32" i="34"/>
  <c r="F31" i="34"/>
  <c r="F30" i="34"/>
  <c r="F29" i="34"/>
  <c r="F28" i="34"/>
  <c r="F27" i="34"/>
  <c r="F26" i="34"/>
  <c r="F25" i="34"/>
  <c r="F24" i="34"/>
  <c r="F23" i="34"/>
  <c r="F22" i="34"/>
  <c r="F21" i="34"/>
  <c r="F20" i="34"/>
  <c r="F19" i="34"/>
  <c r="F18" i="34"/>
  <c r="F17" i="34"/>
  <c r="F16" i="34"/>
  <c r="F15" i="34"/>
  <c r="F14" i="34"/>
  <c r="F13" i="34"/>
  <c r="F12" i="34"/>
  <c r="F11" i="34"/>
  <c r="F10" i="34"/>
  <c r="F9" i="34"/>
  <c r="C46" i="2" l="1"/>
  <c r="T31" i="45" l="1"/>
  <c r="T28" i="45" l="1"/>
  <c r="T17" i="45"/>
  <c r="T27" i="45" l="1"/>
  <c r="T26" i="45"/>
  <c r="T19" i="45"/>
  <c r="T18" i="45"/>
  <c r="T20" i="45"/>
  <c r="T38" i="45" l="1"/>
  <c r="T12" i="45" l="1"/>
  <c r="T11" i="45"/>
  <c r="T10" i="45"/>
  <c r="T9" i="45"/>
  <c r="B32" i="43" l="1"/>
  <c r="B31" i="43"/>
  <c r="B30" i="43"/>
  <c r="B23" i="43"/>
  <c r="B19" i="43"/>
  <c r="B18" i="43"/>
  <c r="B17" i="43"/>
  <c r="B11" i="43" l="1"/>
  <c r="B10" i="43"/>
  <c r="B9" i="43"/>
  <c r="B8" i="43"/>
  <c r="B7" i="43"/>
  <c r="D22" i="36" l="1"/>
  <c r="I60" i="34"/>
  <c r="I59" i="34"/>
  <c r="I58" i="34"/>
  <c r="I57" i="34"/>
  <c r="I56" i="34"/>
  <c r="I55" i="34"/>
  <c r="I54" i="34"/>
  <c r="I53" i="34"/>
  <c r="I52" i="34"/>
  <c r="I51" i="34"/>
  <c r="I50" i="34"/>
  <c r="I49" i="34"/>
  <c r="I48" i="34"/>
  <c r="I47" i="34"/>
  <c r="I46" i="34"/>
  <c r="I45" i="34"/>
  <c r="I44" i="34"/>
  <c r="I43" i="34"/>
  <c r="I42" i="34"/>
  <c r="I41" i="34"/>
  <c r="I40" i="34"/>
  <c r="I39" i="34"/>
  <c r="I38" i="34"/>
  <c r="I37" i="34"/>
  <c r="I36" i="34"/>
  <c r="I35" i="34"/>
  <c r="I34" i="34"/>
  <c r="I33" i="34"/>
  <c r="I32" i="34"/>
  <c r="I31" i="34"/>
  <c r="I30" i="34"/>
  <c r="I29" i="34"/>
  <c r="I28" i="34"/>
  <c r="I27" i="34"/>
  <c r="I26" i="34"/>
  <c r="I25" i="34"/>
  <c r="I24" i="34"/>
  <c r="I23" i="34"/>
  <c r="I22" i="34"/>
  <c r="I21" i="34"/>
  <c r="I20" i="34"/>
  <c r="I19" i="34"/>
  <c r="I18" i="34"/>
  <c r="I17" i="34"/>
  <c r="I16" i="34"/>
  <c r="I15" i="34"/>
  <c r="I14" i="34"/>
  <c r="I13" i="34"/>
  <c r="I12" i="34"/>
  <c r="I11" i="34"/>
  <c r="I10" i="34"/>
  <c r="I9" i="34"/>
  <c r="E48" i="2" l="1"/>
  <c r="B9" i="39"/>
  <c r="B7" i="39"/>
  <c r="G38" i="2" l="1"/>
  <c r="G37" i="2"/>
  <c r="G36" i="2"/>
  <c r="G35" i="2"/>
  <c r="G34" i="2"/>
  <c r="G33" i="2"/>
  <c r="G32" i="2"/>
  <c r="G31" i="2"/>
  <c r="G30" i="2"/>
  <c r="F38" i="2"/>
  <c r="F37" i="2"/>
  <c r="F36" i="2"/>
  <c r="F35" i="2"/>
  <c r="F34" i="2"/>
  <c r="F33" i="2"/>
  <c r="F32" i="2"/>
  <c r="F31" i="2"/>
  <c r="F30" i="2"/>
  <c r="D33" i="2"/>
  <c r="C33" i="2"/>
  <c r="E33" i="2" s="1"/>
  <c r="D38" i="2"/>
  <c r="D37" i="2"/>
  <c r="D36" i="2"/>
  <c r="D35" i="2"/>
  <c r="D34" i="2"/>
  <c r="D32" i="2"/>
  <c r="D31" i="2"/>
  <c r="D30" i="2"/>
  <c r="C38" i="2"/>
  <c r="C37" i="2"/>
  <c r="C36" i="2"/>
  <c r="C35" i="2"/>
  <c r="C34" i="2"/>
  <c r="C32" i="2"/>
  <c r="C31" i="2"/>
  <c r="C30" i="2"/>
  <c r="G25" i="2"/>
  <c r="G24" i="2"/>
  <c r="G23" i="2"/>
  <c r="G22" i="2"/>
  <c r="G21" i="2"/>
  <c r="G20" i="2"/>
  <c r="G12" i="2"/>
  <c r="F12" i="2"/>
  <c r="H12" i="2" s="1"/>
  <c r="E12" i="2"/>
  <c r="G17" i="2"/>
  <c r="G16" i="2"/>
  <c r="G15" i="2"/>
  <c r="G14" i="2"/>
  <c r="G13" i="2"/>
  <c r="G11" i="2"/>
  <c r="G10" i="2"/>
  <c r="G9" i="2"/>
  <c r="F15" i="2"/>
  <c r="F13" i="2"/>
  <c r="F14" i="2"/>
  <c r="F16" i="2"/>
  <c r="F17" i="2"/>
  <c r="F11" i="2"/>
  <c r="F10" i="2"/>
  <c r="F9" i="2"/>
  <c r="H33" i="2" l="1"/>
  <c r="I33" i="2" s="1"/>
  <c r="I12" i="2"/>
  <c r="D47" i="36" l="1"/>
  <c r="D46" i="36"/>
  <c r="D45" i="36"/>
  <c r="D44" i="36"/>
  <c r="D43" i="36"/>
  <c r="D42" i="36"/>
  <c r="D41" i="36"/>
  <c r="D40" i="36"/>
  <c r="D39" i="36"/>
  <c r="D38" i="36"/>
  <c r="D37" i="36"/>
  <c r="D36" i="36"/>
  <c r="D35" i="36"/>
  <c r="D34" i="36"/>
  <c r="D33" i="36"/>
  <c r="D32" i="36"/>
  <c r="D31" i="36"/>
  <c r="D30" i="36"/>
  <c r="D29" i="36"/>
  <c r="D28" i="36"/>
  <c r="D27" i="36"/>
  <c r="D26" i="36"/>
  <c r="D25" i="36"/>
  <c r="D24" i="36"/>
  <c r="D23" i="36"/>
  <c r="G22" i="36"/>
  <c r="F22" i="36"/>
  <c r="E22" i="36"/>
  <c r="D21" i="36"/>
  <c r="D20" i="36"/>
  <c r="D19" i="36"/>
  <c r="D18" i="36"/>
  <c r="D17" i="36"/>
  <c r="D16" i="36"/>
  <c r="D15" i="36"/>
  <c r="D14" i="36"/>
  <c r="D13" i="36"/>
  <c r="D12" i="36"/>
  <c r="D11" i="36"/>
  <c r="D10" i="36"/>
  <c r="C23" i="36"/>
  <c r="E23" i="36"/>
  <c r="S38" i="45"/>
  <c r="S28" i="45"/>
  <c r="S27" i="45"/>
  <c r="S26" i="45"/>
  <c r="S20" i="45"/>
  <c r="S19" i="45"/>
  <c r="S18" i="45"/>
  <c r="S17" i="45"/>
  <c r="S12" i="45"/>
  <c r="S11" i="45"/>
  <c r="S10" i="45"/>
  <c r="S9" i="45"/>
  <c r="S29" i="45" l="1"/>
  <c r="S21" i="45"/>
  <c r="S13" i="45"/>
  <c r="F23" i="36" l="1"/>
  <c r="G23" i="36" s="1"/>
  <c r="H23" i="36" l="1"/>
  <c r="I23" i="36" s="1"/>
  <c r="B9" i="38" l="1"/>
  <c r="B8" i="38"/>
  <c r="B7" i="38"/>
  <c r="B6" i="38"/>
  <c r="B48" i="43"/>
  <c r="B40" i="43"/>
  <c r="C24" i="46"/>
  <c r="C23" i="46" l="1"/>
  <c r="C22" i="46"/>
  <c r="C21" i="46"/>
  <c r="B24" i="46"/>
  <c r="B23" i="46"/>
  <c r="B22" i="46"/>
  <c r="B21" i="46"/>
  <c r="C18" i="46"/>
  <c r="C10" i="46"/>
  <c r="C9" i="46"/>
  <c r="C8" i="46"/>
  <c r="B10" i="46"/>
  <c r="B9" i="46"/>
  <c r="B8" i="46"/>
  <c r="C42" i="37"/>
  <c r="C41" i="37"/>
  <c r="C40" i="37"/>
  <c r="B41" i="37"/>
  <c r="B40" i="37"/>
  <c r="I31" i="37"/>
  <c r="I30" i="37"/>
  <c r="I29" i="37"/>
  <c r="I28" i="37"/>
  <c r="I26" i="37"/>
  <c r="I25" i="37"/>
  <c r="I24" i="37"/>
  <c r="I22" i="37"/>
  <c r="I21" i="37"/>
  <c r="I20" i="37"/>
  <c r="I19" i="37"/>
  <c r="I18" i="37"/>
  <c r="I17" i="37"/>
  <c r="I16" i="37"/>
  <c r="I15" i="37"/>
  <c r="I13" i="37"/>
  <c r="I12" i="37"/>
  <c r="I11" i="37"/>
  <c r="I10" i="37"/>
  <c r="F31" i="37"/>
  <c r="F30" i="37"/>
  <c r="F29" i="37"/>
  <c r="F28" i="37"/>
  <c r="F27" i="37"/>
  <c r="F26" i="37"/>
  <c r="F25" i="37"/>
  <c r="F24" i="37"/>
  <c r="E31" i="37"/>
  <c r="E30" i="37"/>
  <c r="E29" i="37"/>
  <c r="E28" i="37"/>
  <c r="E27" i="37"/>
  <c r="E26" i="37"/>
  <c r="E25" i="37"/>
  <c r="E24" i="37"/>
  <c r="D31" i="37"/>
  <c r="D30" i="37"/>
  <c r="D29" i="37"/>
  <c r="D28" i="37"/>
  <c r="D27" i="37"/>
  <c r="D26" i="37"/>
  <c r="D25" i="37"/>
  <c r="D24" i="37"/>
  <c r="C31" i="37"/>
  <c r="C30" i="37"/>
  <c r="C29" i="37"/>
  <c r="C28" i="37"/>
  <c r="C27" i="37"/>
  <c r="C26" i="37"/>
  <c r="C25" i="37"/>
  <c r="C24" i="37"/>
  <c r="F22" i="37"/>
  <c r="F21" i="37"/>
  <c r="F20" i="37"/>
  <c r="F19" i="37"/>
  <c r="F18" i="37"/>
  <c r="F17" i="37"/>
  <c r="F16" i="37"/>
  <c r="F15" i="37"/>
  <c r="E22" i="37"/>
  <c r="E21" i="37"/>
  <c r="E20" i="37"/>
  <c r="E19" i="37"/>
  <c r="E18" i="37"/>
  <c r="E17" i="37"/>
  <c r="E16" i="37"/>
  <c r="E15" i="37"/>
  <c r="D22" i="37"/>
  <c r="D21" i="37"/>
  <c r="D20" i="37"/>
  <c r="D19" i="37"/>
  <c r="D18" i="37"/>
  <c r="D17" i="37"/>
  <c r="D16" i="37"/>
  <c r="D15" i="37"/>
  <c r="C22" i="37"/>
  <c r="C21" i="37"/>
  <c r="C20" i="37"/>
  <c r="C19" i="37"/>
  <c r="C18" i="37"/>
  <c r="C17" i="37"/>
  <c r="C16" i="37"/>
  <c r="C15" i="37"/>
  <c r="F13" i="37"/>
  <c r="F12" i="37"/>
  <c r="F11" i="37"/>
  <c r="F10" i="37"/>
  <c r="F9" i="37"/>
  <c r="F8" i="37"/>
  <c r="E13" i="37"/>
  <c r="E12" i="37"/>
  <c r="E11" i="37"/>
  <c r="E10" i="37"/>
  <c r="E9" i="37"/>
  <c r="E8" i="37"/>
  <c r="D13" i="37"/>
  <c r="D12" i="37"/>
  <c r="D11" i="37"/>
  <c r="D10" i="37"/>
  <c r="D9" i="37"/>
  <c r="D8" i="37"/>
  <c r="C13" i="37"/>
  <c r="C12" i="37"/>
  <c r="C11" i="37"/>
  <c r="C10" i="37"/>
  <c r="C9" i="37"/>
  <c r="C8" i="37"/>
  <c r="E47" i="36" l="1"/>
  <c r="E46" i="36"/>
  <c r="E45" i="36"/>
  <c r="E44" i="36"/>
  <c r="E43" i="36"/>
  <c r="E42" i="36"/>
  <c r="E41" i="36"/>
  <c r="E40" i="36"/>
  <c r="E39" i="36"/>
  <c r="E38" i="36"/>
  <c r="E37" i="36"/>
  <c r="E36" i="36"/>
  <c r="E35" i="36"/>
  <c r="E34" i="36"/>
  <c r="E33" i="36"/>
  <c r="E32" i="36"/>
  <c r="E31" i="36"/>
  <c r="E30" i="36"/>
  <c r="E29" i="36"/>
  <c r="E28" i="36"/>
  <c r="E27" i="36"/>
  <c r="E26" i="36"/>
  <c r="E25" i="36"/>
  <c r="E24" i="36"/>
  <c r="D47" i="2" l="1"/>
  <c r="R38" i="45" l="1"/>
  <c r="S41" i="45" s="1"/>
  <c r="R31" i="45"/>
  <c r="S34" i="45" s="1"/>
  <c r="R28" i="45"/>
  <c r="R27" i="45"/>
  <c r="R26" i="45"/>
  <c r="R20" i="45"/>
  <c r="R19" i="45"/>
  <c r="R18" i="45"/>
  <c r="R17" i="45"/>
  <c r="R12" i="45"/>
  <c r="R11" i="45"/>
  <c r="R10" i="45"/>
  <c r="R9" i="45"/>
  <c r="R13" i="45" l="1"/>
  <c r="R21" i="45"/>
  <c r="R29" i="45"/>
  <c r="Q31" i="45" l="1"/>
  <c r="R34" i="45" s="1"/>
  <c r="P38" i="45" l="1"/>
  <c r="P31" i="45"/>
  <c r="Q34" i="45" l="1"/>
  <c r="O38" i="45"/>
  <c r="O31" i="45"/>
  <c r="P41" i="45" l="1"/>
  <c r="P34" i="45"/>
  <c r="N38" i="45"/>
  <c r="N31" i="45"/>
  <c r="O34" i="45" l="1"/>
  <c r="O41" i="45"/>
  <c r="M38" i="45"/>
  <c r="M31" i="45"/>
  <c r="N41" i="45" l="1"/>
  <c r="N34" i="45"/>
  <c r="L38" i="45"/>
  <c r="L31" i="45"/>
  <c r="M41" i="45" l="1"/>
  <c r="M34" i="45"/>
  <c r="K38" i="45"/>
  <c r="K31" i="45"/>
  <c r="L34" i="45" l="1"/>
  <c r="L41" i="45"/>
  <c r="J38" i="45"/>
  <c r="K41" i="45" s="1"/>
  <c r="J31" i="45" l="1"/>
  <c r="K34" i="45" l="1"/>
  <c r="K20" i="45"/>
  <c r="K19" i="45"/>
  <c r="K18" i="45"/>
  <c r="K17" i="45"/>
  <c r="K12" i="45"/>
  <c r="K11" i="45"/>
  <c r="K10" i="45"/>
  <c r="K9" i="45"/>
  <c r="J20" i="45" l="1"/>
  <c r="J19" i="45"/>
  <c r="J18" i="45"/>
  <c r="J17" i="45"/>
  <c r="J12" i="45"/>
  <c r="J11" i="45"/>
  <c r="J10" i="45"/>
  <c r="J9" i="45"/>
  <c r="J21" i="45" l="1"/>
  <c r="J13" i="45"/>
  <c r="K21" i="45"/>
  <c r="K13" i="45" l="1"/>
  <c r="L20" i="45"/>
  <c r="L19" i="45"/>
  <c r="L18" i="45"/>
  <c r="L17" i="45"/>
  <c r="L12" i="45"/>
  <c r="L11" i="45"/>
  <c r="L10" i="45"/>
  <c r="L9" i="45"/>
  <c r="L21" i="45" l="1"/>
  <c r="L13" i="45"/>
  <c r="M20" i="45"/>
  <c r="M19" i="45"/>
  <c r="M18" i="45"/>
  <c r="M17" i="45"/>
  <c r="M12" i="45"/>
  <c r="M11" i="45"/>
  <c r="M10" i="45"/>
  <c r="M9" i="45"/>
  <c r="M21" i="45" l="1"/>
  <c r="M13" i="45"/>
  <c r="N20" i="45"/>
  <c r="N19" i="45"/>
  <c r="N18" i="45"/>
  <c r="N17" i="45"/>
  <c r="N12" i="45"/>
  <c r="N11" i="45"/>
  <c r="N10" i="45"/>
  <c r="N9" i="45"/>
  <c r="N21" i="45" l="1"/>
  <c r="N13" i="45"/>
  <c r="O20" i="45"/>
  <c r="O19" i="45"/>
  <c r="O18" i="45"/>
  <c r="O17" i="45"/>
  <c r="O12" i="45"/>
  <c r="O11" i="45"/>
  <c r="O10" i="45"/>
  <c r="O9" i="45"/>
  <c r="O21" i="45" l="1"/>
  <c r="O13" i="45"/>
  <c r="P20" i="45"/>
  <c r="P19" i="45"/>
  <c r="P18" i="45"/>
  <c r="P17" i="45"/>
  <c r="P12" i="45"/>
  <c r="P11" i="45"/>
  <c r="P10" i="45"/>
  <c r="P9" i="45"/>
  <c r="O28" i="45"/>
  <c r="O27" i="45"/>
  <c r="O26" i="45"/>
  <c r="P28" i="45"/>
  <c r="P27" i="45"/>
  <c r="P26" i="45"/>
  <c r="P13" i="45" l="1"/>
  <c r="P21" i="45"/>
  <c r="O29" i="45"/>
  <c r="N28" i="45" l="1"/>
  <c r="N27" i="45"/>
  <c r="N26" i="45"/>
  <c r="N29" i="45" l="1"/>
  <c r="J28" i="45" l="1"/>
  <c r="J27" i="45"/>
  <c r="J26" i="45"/>
  <c r="K26" i="45" l="1"/>
  <c r="L26" i="45"/>
  <c r="M26" i="45"/>
  <c r="K27" i="45"/>
  <c r="L27" i="45"/>
  <c r="M27" i="45"/>
  <c r="K28" i="45"/>
  <c r="L28" i="45"/>
  <c r="M28" i="45"/>
  <c r="M29" i="45" l="1"/>
  <c r="K29" i="45"/>
  <c r="L29" i="45"/>
  <c r="J29" i="45"/>
  <c r="E37" i="2" l="1"/>
  <c r="E36" i="2"/>
  <c r="E32" i="2"/>
  <c r="E30" i="2"/>
  <c r="E34" i="2" l="1"/>
  <c r="E35" i="2"/>
  <c r="E38" i="2"/>
  <c r="E31" i="2"/>
  <c r="C39" i="2"/>
  <c r="G14" i="27" l="1"/>
  <c r="G45" i="47" l="1"/>
  <c r="G14" i="54"/>
  <c r="G21" i="59"/>
  <c r="G31" i="22"/>
  <c r="G21" i="50"/>
  <c r="G64" i="4"/>
  <c r="G45" i="48"/>
  <c r="G45" i="61"/>
  <c r="G14" i="57"/>
  <c r="G21" i="21"/>
  <c r="G31" i="5"/>
  <c r="G17" i="60"/>
  <c r="G59" i="23"/>
  <c r="G59" i="3"/>
  <c r="G17" i="51"/>
  <c r="G45" i="62"/>
  <c r="G64" i="24"/>
  <c r="F68" i="34" l="1"/>
  <c r="H14" i="2" l="1"/>
  <c r="H10" i="2"/>
  <c r="H9" i="2"/>
  <c r="H13" i="2"/>
  <c r="H15" i="2" l="1"/>
  <c r="H11" i="2"/>
  <c r="H16" i="2"/>
  <c r="H17" i="2"/>
  <c r="F46" i="36" l="1"/>
  <c r="F45" i="36"/>
  <c r="F44" i="36"/>
  <c r="F47" i="36"/>
  <c r="F41" i="36"/>
  <c r="F42" i="36"/>
  <c r="F43" i="36"/>
  <c r="F40" i="36"/>
  <c r="F38" i="36"/>
  <c r="F39" i="36"/>
  <c r="F37" i="36"/>
  <c r="F28" i="36"/>
  <c r="F29" i="36"/>
  <c r="F30" i="36"/>
  <c r="F31" i="36"/>
  <c r="F32" i="36"/>
  <c r="F33" i="36"/>
  <c r="F34" i="36"/>
  <c r="F35" i="36"/>
  <c r="F36" i="36"/>
  <c r="F27" i="36"/>
  <c r="F24" i="36"/>
  <c r="F25" i="36"/>
  <c r="F26" i="36"/>
  <c r="B4" i="64" l="1"/>
  <c r="H20" i="36" l="1"/>
  <c r="H34" i="34" l="1"/>
  <c r="H35" i="36" l="1"/>
  <c r="G35" i="36"/>
  <c r="H33" i="36"/>
  <c r="G33" i="36"/>
  <c r="H34" i="36"/>
  <c r="G34" i="36"/>
  <c r="G21" i="22"/>
  <c r="H40" i="36"/>
  <c r="G40" i="36"/>
  <c r="C11" i="39"/>
  <c r="F18" i="27" s="1"/>
  <c r="G20" i="22"/>
  <c r="H47" i="36"/>
  <c r="G47" i="36"/>
  <c r="G54" i="24"/>
  <c r="G53" i="24"/>
  <c r="G49" i="23"/>
  <c r="G48" i="23"/>
  <c r="G44" i="24"/>
  <c r="G43" i="24"/>
  <c r="G41" i="24"/>
  <c r="G40" i="24"/>
  <c r="G21" i="5"/>
  <c r="G20" i="5"/>
  <c r="G47" i="3"/>
  <c r="G49" i="3"/>
  <c r="G48" i="3"/>
  <c r="G54" i="4"/>
  <c r="G53" i="4"/>
  <c r="G44" i="4"/>
  <c r="G43" i="4"/>
  <c r="G41" i="4"/>
  <c r="G40" i="4"/>
  <c r="C47" i="36"/>
  <c r="G36" i="36"/>
  <c r="H36" i="36"/>
  <c r="C33" i="36"/>
  <c r="C34" i="36"/>
  <c r="C35" i="36"/>
  <c r="C36" i="36"/>
  <c r="H12" i="36"/>
  <c r="I12" i="36" s="1"/>
  <c r="H13" i="36"/>
  <c r="I13" i="36" s="1"/>
  <c r="E12" i="36"/>
  <c r="F12" i="36"/>
  <c r="G12" i="36"/>
  <c r="E13" i="36"/>
  <c r="F13" i="36"/>
  <c r="G13" i="36"/>
  <c r="I27" i="37"/>
  <c r="I9" i="37"/>
  <c r="I8" i="37"/>
  <c r="E20" i="2"/>
  <c r="E9" i="2"/>
  <c r="H21" i="34"/>
  <c r="H22" i="34"/>
  <c r="H32" i="34"/>
  <c r="H39" i="34"/>
  <c r="H49" i="34"/>
  <c r="H50" i="34"/>
  <c r="H52" i="34"/>
  <c r="H53" i="34"/>
  <c r="H59" i="34"/>
  <c r="H60" i="34"/>
  <c r="G12" i="34"/>
  <c r="G13" i="34"/>
  <c r="G16" i="34"/>
  <c r="G41" i="34"/>
  <c r="G42" i="34"/>
  <c r="G43" i="34"/>
  <c r="G44" i="34"/>
  <c r="G45" i="34"/>
  <c r="G46" i="34"/>
  <c r="G47" i="34"/>
  <c r="G48" i="34"/>
  <c r="G57" i="34"/>
  <c r="F63" i="34"/>
  <c r="A10" i="34"/>
  <c r="A8" i="63"/>
  <c r="B8" i="63"/>
  <c r="E8" i="63"/>
  <c r="C9" i="25"/>
  <c r="G9" i="25"/>
  <c r="C10" i="25"/>
  <c r="G10" i="25"/>
  <c r="C11" i="25"/>
  <c r="G11" i="25"/>
  <c r="C12" i="25"/>
  <c r="G12" i="25"/>
  <c r="G13" i="25"/>
  <c r="C9" i="26"/>
  <c r="C13" i="26" s="1"/>
  <c r="C16" i="26" s="1"/>
  <c r="C19" i="26" s="1"/>
  <c r="G9" i="26"/>
  <c r="C10" i="26"/>
  <c r="C14" i="26" s="1"/>
  <c r="C17" i="26" s="1"/>
  <c r="C20" i="26" s="1"/>
  <c r="G10" i="26"/>
  <c r="C11" i="26"/>
  <c r="G11" i="26"/>
  <c r="C12" i="26"/>
  <c r="G12" i="26"/>
  <c r="G13" i="26"/>
  <c r="G14" i="26"/>
  <c r="D15" i="26"/>
  <c r="G15" i="26"/>
  <c r="G16" i="26"/>
  <c r="G17" i="26"/>
  <c r="G18" i="26"/>
  <c r="G19" i="26"/>
  <c r="G20" i="26"/>
  <c r="G21" i="26"/>
  <c r="G22" i="26"/>
  <c r="C9" i="27"/>
  <c r="G9" i="27"/>
  <c r="C10" i="27"/>
  <c r="G10" i="27"/>
  <c r="C11" i="27"/>
  <c r="G11" i="27"/>
  <c r="C12" i="27"/>
  <c r="G12" i="27"/>
  <c r="G13" i="27"/>
  <c r="G15" i="27"/>
  <c r="G16" i="27"/>
  <c r="G17" i="27"/>
  <c r="G18" i="27"/>
  <c r="C9" i="33"/>
  <c r="C14" i="33" s="1"/>
  <c r="C17" i="33" s="1"/>
  <c r="C21" i="33" s="1"/>
  <c r="C23" i="33" s="1"/>
  <c r="C26" i="33" s="1"/>
  <c r="G9" i="33"/>
  <c r="C10" i="33"/>
  <c r="C15" i="33" s="1"/>
  <c r="C18" i="33" s="1"/>
  <c r="C22" i="33" s="1"/>
  <c r="C24" i="33" s="1"/>
  <c r="C27" i="33" s="1"/>
  <c r="G10" i="33"/>
  <c r="C11" i="33"/>
  <c r="G11" i="33"/>
  <c r="C12" i="33"/>
  <c r="G12" i="33"/>
  <c r="D13" i="33"/>
  <c r="G13" i="33"/>
  <c r="G14" i="33"/>
  <c r="G15" i="33"/>
  <c r="G16" i="33"/>
  <c r="G17" i="33"/>
  <c r="G18" i="33"/>
  <c r="G19" i="33"/>
  <c r="D20" i="33"/>
  <c r="G20" i="33"/>
  <c r="G21" i="33"/>
  <c r="G22" i="33"/>
  <c r="G23" i="33"/>
  <c r="G24" i="33"/>
  <c r="G25" i="33"/>
  <c r="G26" i="33"/>
  <c r="G27" i="33"/>
  <c r="G28" i="33"/>
  <c r="G29" i="33"/>
  <c r="C9" i="21"/>
  <c r="C14" i="21" s="1"/>
  <c r="C17" i="21" s="1"/>
  <c r="G9" i="21"/>
  <c r="C10" i="21"/>
  <c r="C15" i="21" s="1"/>
  <c r="C18" i="21" s="1"/>
  <c r="G10" i="21"/>
  <c r="C11" i="21"/>
  <c r="G11" i="21"/>
  <c r="C12" i="21"/>
  <c r="G12" i="21"/>
  <c r="G13" i="21"/>
  <c r="G14" i="21"/>
  <c r="G15" i="21"/>
  <c r="G16" i="21"/>
  <c r="G17" i="21"/>
  <c r="G18" i="21"/>
  <c r="G19" i="21"/>
  <c r="G20" i="21"/>
  <c r="G22" i="21"/>
  <c r="G23" i="21"/>
  <c r="G24" i="21"/>
  <c r="G25" i="21"/>
  <c r="C9" i="22"/>
  <c r="C13" i="22" s="1"/>
  <c r="G9" i="22"/>
  <c r="C10" i="22"/>
  <c r="C14" i="22" s="1"/>
  <c r="G10" i="22"/>
  <c r="C11" i="22"/>
  <c r="C15" i="22" s="1"/>
  <c r="G11" i="22"/>
  <c r="C12" i="22"/>
  <c r="C16" i="22" s="1"/>
  <c r="G12" i="22"/>
  <c r="G13" i="22"/>
  <c r="G14" i="22"/>
  <c r="G15" i="22"/>
  <c r="G16" i="22"/>
  <c r="D17" i="22"/>
  <c r="G17" i="22"/>
  <c r="D18" i="22"/>
  <c r="G18" i="22"/>
  <c r="G19" i="22"/>
  <c r="G22" i="22"/>
  <c r="G23" i="22"/>
  <c r="G24" i="22"/>
  <c r="G25" i="22"/>
  <c r="G26" i="22"/>
  <c r="G27" i="22"/>
  <c r="G28" i="22"/>
  <c r="G29" i="22"/>
  <c r="G30" i="22"/>
  <c r="G32" i="22"/>
  <c r="G33" i="22"/>
  <c r="G34" i="22"/>
  <c r="G35" i="22"/>
  <c r="G36" i="22"/>
  <c r="G37" i="22"/>
  <c r="G38" i="22"/>
  <c r="G39" i="22"/>
  <c r="G40" i="22"/>
  <c r="G41" i="22"/>
  <c r="G42" i="22"/>
  <c r="G43" i="22"/>
  <c r="G44" i="22"/>
  <c r="G45" i="22"/>
  <c r="G46" i="22"/>
  <c r="G47" i="22"/>
  <c r="G48" i="22"/>
  <c r="G49" i="22"/>
  <c r="G50" i="22"/>
  <c r="G51" i="22"/>
  <c r="G52" i="22"/>
  <c r="G53" i="22"/>
  <c r="G54" i="22"/>
  <c r="C9" i="23"/>
  <c r="C13" i="23" s="1"/>
  <c r="C17" i="23" s="1"/>
  <c r="C21" i="23" s="1"/>
  <c r="C25" i="23" s="1"/>
  <c r="C29" i="23" s="1"/>
  <c r="C33" i="23" s="1"/>
  <c r="C37" i="23" s="1"/>
  <c r="C41" i="23" s="1"/>
  <c r="G9" i="23"/>
  <c r="C10" i="23"/>
  <c r="C14" i="23" s="1"/>
  <c r="C18" i="23" s="1"/>
  <c r="C22" i="23" s="1"/>
  <c r="C26" i="23" s="1"/>
  <c r="C30" i="23" s="1"/>
  <c r="C34" i="23" s="1"/>
  <c r="C38" i="23" s="1"/>
  <c r="C42" i="23" s="1"/>
  <c r="G10" i="23"/>
  <c r="C11" i="23"/>
  <c r="C15" i="23" s="1"/>
  <c r="C19" i="23" s="1"/>
  <c r="C23" i="23" s="1"/>
  <c r="C27" i="23" s="1"/>
  <c r="C31" i="23" s="1"/>
  <c r="C35" i="23" s="1"/>
  <c r="C39" i="23" s="1"/>
  <c r="G11" i="23"/>
  <c r="C12" i="23"/>
  <c r="C16" i="23" s="1"/>
  <c r="C20" i="23" s="1"/>
  <c r="C24" i="23" s="1"/>
  <c r="C28" i="23" s="1"/>
  <c r="C32" i="23" s="1"/>
  <c r="C36" i="23" s="1"/>
  <c r="C40" i="23" s="1"/>
  <c r="C44" i="23" s="1"/>
  <c r="G12" i="23"/>
  <c r="G13" i="23"/>
  <c r="G14" i="23"/>
  <c r="G15" i="23"/>
  <c r="G16" i="23"/>
  <c r="G17" i="23"/>
  <c r="G18" i="23"/>
  <c r="G19" i="23"/>
  <c r="G20" i="23"/>
  <c r="G21" i="23"/>
  <c r="G22" i="23"/>
  <c r="G23" i="23"/>
  <c r="G24" i="23"/>
  <c r="G25" i="23"/>
  <c r="G26" i="23"/>
  <c r="G27" i="23"/>
  <c r="G28" i="23"/>
  <c r="G29" i="23"/>
  <c r="G30" i="23"/>
  <c r="G31" i="23"/>
  <c r="G32" i="23"/>
  <c r="G33" i="23"/>
  <c r="G34" i="23"/>
  <c r="G35" i="23"/>
  <c r="G36" i="23"/>
  <c r="G37" i="23"/>
  <c r="G38" i="23"/>
  <c r="G39" i="23"/>
  <c r="G40" i="23"/>
  <c r="G41" i="23"/>
  <c r="G42" i="23"/>
  <c r="G43" i="23"/>
  <c r="G44" i="23"/>
  <c r="D45" i="23"/>
  <c r="G45" i="23"/>
  <c r="D46" i="23"/>
  <c r="G46" i="23"/>
  <c r="G47" i="23"/>
  <c r="G50" i="23"/>
  <c r="G51" i="23"/>
  <c r="G52" i="23"/>
  <c r="G53" i="23"/>
  <c r="G54" i="23"/>
  <c r="G55" i="23"/>
  <c r="G56" i="23"/>
  <c r="G57" i="23"/>
  <c r="G58" i="23"/>
  <c r="G60" i="23"/>
  <c r="G61" i="23"/>
  <c r="G62" i="23"/>
  <c r="G63" i="23"/>
  <c r="G64" i="23"/>
  <c r="G65" i="23"/>
  <c r="G66" i="23"/>
  <c r="G67" i="23"/>
  <c r="G68" i="23"/>
  <c r="G69" i="23"/>
  <c r="G70" i="23"/>
  <c r="G71" i="23"/>
  <c r="G72" i="23"/>
  <c r="G73" i="23"/>
  <c r="G74" i="23"/>
  <c r="G75" i="23"/>
  <c r="G76" i="23"/>
  <c r="G77" i="23"/>
  <c r="G78" i="23"/>
  <c r="G79" i="23"/>
  <c r="G80" i="23"/>
  <c r="G81" i="23"/>
  <c r="G82" i="23"/>
  <c r="C9" i="24"/>
  <c r="C13" i="24" s="1"/>
  <c r="C17" i="24" s="1"/>
  <c r="C21" i="24" s="1"/>
  <c r="C25" i="24" s="1"/>
  <c r="C29" i="24" s="1"/>
  <c r="C33" i="24" s="1"/>
  <c r="G9" i="24"/>
  <c r="C10" i="24"/>
  <c r="C14" i="24" s="1"/>
  <c r="C18" i="24" s="1"/>
  <c r="C22" i="24" s="1"/>
  <c r="C26" i="24" s="1"/>
  <c r="C30" i="24" s="1"/>
  <c r="C34" i="24" s="1"/>
  <c r="G10" i="24"/>
  <c r="C11" i="24"/>
  <c r="C15" i="24" s="1"/>
  <c r="C19" i="24" s="1"/>
  <c r="C23" i="24" s="1"/>
  <c r="C27" i="24" s="1"/>
  <c r="C31" i="24" s="1"/>
  <c r="C35" i="24" s="1"/>
  <c r="G11" i="24"/>
  <c r="C12" i="24"/>
  <c r="C16" i="24" s="1"/>
  <c r="C20" i="24" s="1"/>
  <c r="C24" i="24" s="1"/>
  <c r="C28" i="24" s="1"/>
  <c r="C32" i="24" s="1"/>
  <c r="C36" i="24" s="1"/>
  <c r="G12" i="24"/>
  <c r="G13" i="24"/>
  <c r="G14" i="24"/>
  <c r="G15" i="24"/>
  <c r="G16" i="24"/>
  <c r="G17" i="24"/>
  <c r="G18" i="24"/>
  <c r="G19" i="24"/>
  <c r="G20" i="24"/>
  <c r="G21" i="24"/>
  <c r="G22" i="24"/>
  <c r="G23" i="24"/>
  <c r="G24" i="24"/>
  <c r="G25" i="24"/>
  <c r="G26" i="24"/>
  <c r="G27" i="24"/>
  <c r="G28" i="24"/>
  <c r="G29" i="24"/>
  <c r="G30" i="24"/>
  <c r="G31" i="24"/>
  <c r="G32" i="24"/>
  <c r="G33" i="24"/>
  <c r="G34" i="24"/>
  <c r="G35" i="24"/>
  <c r="G36" i="24"/>
  <c r="D37" i="24"/>
  <c r="G37" i="24"/>
  <c r="D38" i="24"/>
  <c r="G38" i="24"/>
  <c r="G39" i="24"/>
  <c r="G42" i="24"/>
  <c r="G45" i="24"/>
  <c r="G46" i="24"/>
  <c r="G47" i="24"/>
  <c r="G48" i="24"/>
  <c r="G49" i="24"/>
  <c r="G50" i="24"/>
  <c r="G51" i="24"/>
  <c r="G52" i="24"/>
  <c r="G55" i="24"/>
  <c r="G56" i="24"/>
  <c r="G57" i="24"/>
  <c r="G58" i="24"/>
  <c r="G59" i="24"/>
  <c r="G60" i="24"/>
  <c r="G61" i="24"/>
  <c r="G62" i="24"/>
  <c r="G63" i="24"/>
  <c r="G65" i="24"/>
  <c r="G66" i="24"/>
  <c r="G67" i="24"/>
  <c r="G68" i="24"/>
  <c r="G69" i="24"/>
  <c r="G70" i="24"/>
  <c r="G71" i="24"/>
  <c r="G72" i="24"/>
  <c r="G73" i="24"/>
  <c r="G74" i="24"/>
  <c r="G75" i="24"/>
  <c r="G76" i="24"/>
  <c r="G77" i="24"/>
  <c r="G78" i="24"/>
  <c r="G79" i="24"/>
  <c r="G80" i="24"/>
  <c r="G81" i="24"/>
  <c r="G82" i="24"/>
  <c r="G83" i="24"/>
  <c r="G84" i="24"/>
  <c r="G85" i="24"/>
  <c r="G86" i="24"/>
  <c r="G87" i="24"/>
  <c r="C9" i="55"/>
  <c r="G9" i="55"/>
  <c r="C10" i="55"/>
  <c r="G10" i="55"/>
  <c r="C11" i="55"/>
  <c r="G11" i="55"/>
  <c r="C12" i="55"/>
  <c r="G12" i="55"/>
  <c r="G13" i="55"/>
  <c r="C9" i="56"/>
  <c r="C13" i="56" s="1"/>
  <c r="C16" i="56" s="1"/>
  <c r="C19" i="56" s="1"/>
  <c r="G9" i="56"/>
  <c r="C10" i="56"/>
  <c r="C14" i="56" s="1"/>
  <c r="C17" i="56" s="1"/>
  <c r="C20" i="56" s="1"/>
  <c r="G10" i="56"/>
  <c r="C11" i="56"/>
  <c r="G11" i="56"/>
  <c r="C12" i="56"/>
  <c r="G12" i="56"/>
  <c r="G13" i="56"/>
  <c r="G14" i="56"/>
  <c r="D15" i="56"/>
  <c r="G15" i="56"/>
  <c r="G16" i="56"/>
  <c r="G17" i="56"/>
  <c r="G18" i="56"/>
  <c r="G19" i="56"/>
  <c r="G20" i="56"/>
  <c r="G21" i="56"/>
  <c r="G22" i="56"/>
  <c r="C9" i="57"/>
  <c r="G9" i="57"/>
  <c r="C10" i="57"/>
  <c r="G10" i="57"/>
  <c r="C11" i="57"/>
  <c r="G11" i="57"/>
  <c r="C12" i="57"/>
  <c r="G12" i="57"/>
  <c r="G13" i="57"/>
  <c r="G15" i="57"/>
  <c r="G16" i="57"/>
  <c r="G17" i="57"/>
  <c r="G18" i="57"/>
  <c r="C9" i="58"/>
  <c r="C14" i="58" s="1"/>
  <c r="C17" i="58" s="1"/>
  <c r="C21" i="58" s="1"/>
  <c r="C23" i="58" s="1"/>
  <c r="C26" i="58" s="1"/>
  <c r="G9" i="58"/>
  <c r="C10" i="58"/>
  <c r="C15" i="58" s="1"/>
  <c r="C18" i="58" s="1"/>
  <c r="C22" i="58" s="1"/>
  <c r="C24" i="58" s="1"/>
  <c r="C27" i="58" s="1"/>
  <c r="G10" i="58"/>
  <c r="C11" i="58"/>
  <c r="G11" i="58"/>
  <c r="C12" i="58"/>
  <c r="G12" i="58"/>
  <c r="D13" i="58"/>
  <c r="G13" i="58"/>
  <c r="G14" i="58"/>
  <c r="G15" i="58"/>
  <c r="G16" i="58"/>
  <c r="G17" i="58"/>
  <c r="G18" i="58"/>
  <c r="G19" i="58"/>
  <c r="D20" i="58"/>
  <c r="G20" i="58"/>
  <c r="G21" i="58"/>
  <c r="G22" i="58"/>
  <c r="G23" i="58"/>
  <c r="G24" i="58"/>
  <c r="G25" i="58"/>
  <c r="G26" i="58"/>
  <c r="G27" i="58"/>
  <c r="G28" i="58"/>
  <c r="G29" i="58"/>
  <c r="C9" i="59"/>
  <c r="C14" i="59" s="1"/>
  <c r="C17" i="59" s="1"/>
  <c r="G9" i="59"/>
  <c r="C10" i="59"/>
  <c r="C15" i="59" s="1"/>
  <c r="C18" i="59" s="1"/>
  <c r="G10" i="59"/>
  <c r="C11" i="59"/>
  <c r="G11" i="59"/>
  <c r="C12" i="59"/>
  <c r="G12" i="59"/>
  <c r="G13" i="59"/>
  <c r="G14" i="59"/>
  <c r="G15" i="59"/>
  <c r="G16" i="59"/>
  <c r="G17" i="59"/>
  <c r="G18" i="59"/>
  <c r="G19" i="59"/>
  <c r="G20" i="59"/>
  <c r="G22" i="59"/>
  <c r="G23" i="59"/>
  <c r="G24" i="59"/>
  <c r="G25" i="59"/>
  <c r="C9" i="60"/>
  <c r="G9" i="60"/>
  <c r="C10" i="60"/>
  <c r="G10" i="60"/>
  <c r="C11" i="60"/>
  <c r="G11" i="60"/>
  <c r="C12" i="60"/>
  <c r="G12" i="60"/>
  <c r="G13" i="60"/>
  <c r="G14" i="60"/>
  <c r="G15" i="60"/>
  <c r="G16" i="60"/>
  <c r="G18" i="60"/>
  <c r="G19" i="60"/>
  <c r="G20" i="60"/>
  <c r="G21" i="60"/>
  <c r="C9" i="62"/>
  <c r="C13" i="62" s="1"/>
  <c r="C17" i="62" s="1"/>
  <c r="C21" i="62" s="1"/>
  <c r="C25" i="62" s="1"/>
  <c r="C29" i="62" s="1"/>
  <c r="C33" i="62" s="1"/>
  <c r="C37" i="62" s="1"/>
  <c r="G9" i="62"/>
  <c r="C10" i="62"/>
  <c r="C14" i="62" s="1"/>
  <c r="C18" i="62" s="1"/>
  <c r="C22" i="62" s="1"/>
  <c r="C26" i="62" s="1"/>
  <c r="C30" i="62" s="1"/>
  <c r="C34" i="62" s="1"/>
  <c r="C38" i="62" s="1"/>
  <c r="G10" i="62"/>
  <c r="C11" i="62"/>
  <c r="C15" i="62" s="1"/>
  <c r="C19" i="62" s="1"/>
  <c r="C23" i="62" s="1"/>
  <c r="C27" i="62" s="1"/>
  <c r="C31" i="62" s="1"/>
  <c r="C35" i="62" s="1"/>
  <c r="C39" i="62" s="1"/>
  <c r="G11" i="62"/>
  <c r="C12" i="62"/>
  <c r="C16" i="62" s="1"/>
  <c r="C20" i="62" s="1"/>
  <c r="C24" i="62" s="1"/>
  <c r="C28" i="62" s="1"/>
  <c r="C32" i="62" s="1"/>
  <c r="C36" i="62" s="1"/>
  <c r="C40" i="62" s="1"/>
  <c r="G12" i="62"/>
  <c r="G13" i="62"/>
  <c r="G14" i="62"/>
  <c r="G15" i="62"/>
  <c r="G16" i="62"/>
  <c r="G17" i="62"/>
  <c r="G18" i="62"/>
  <c r="G19" i="62"/>
  <c r="G20" i="62"/>
  <c r="G21" i="62"/>
  <c r="G22" i="62"/>
  <c r="G23" i="62"/>
  <c r="G24" i="62"/>
  <c r="G25" i="62"/>
  <c r="G26" i="62"/>
  <c r="G27" i="62"/>
  <c r="G28" i="62"/>
  <c r="G29" i="62"/>
  <c r="G30" i="62"/>
  <c r="G31" i="62"/>
  <c r="G32" i="62"/>
  <c r="G33" i="62"/>
  <c r="G34" i="62"/>
  <c r="G35" i="62"/>
  <c r="G36" i="62"/>
  <c r="G37" i="62"/>
  <c r="G38" i="62"/>
  <c r="G39" i="62"/>
  <c r="G40" i="62"/>
  <c r="G41" i="62"/>
  <c r="G42" i="62"/>
  <c r="G43" i="62"/>
  <c r="G44" i="62"/>
  <c r="G46" i="62"/>
  <c r="G47" i="62"/>
  <c r="G48" i="62"/>
  <c r="G49" i="62"/>
  <c r="C9" i="61"/>
  <c r="C13" i="61" s="1"/>
  <c r="C17" i="61" s="1"/>
  <c r="C21" i="61" s="1"/>
  <c r="C25" i="61" s="1"/>
  <c r="C29" i="61" s="1"/>
  <c r="G9" i="61"/>
  <c r="C10" i="61"/>
  <c r="C14" i="61" s="1"/>
  <c r="C18" i="61" s="1"/>
  <c r="C22" i="61" s="1"/>
  <c r="C26" i="61" s="1"/>
  <c r="C30" i="61" s="1"/>
  <c r="G10" i="61"/>
  <c r="C11" i="61"/>
  <c r="C15" i="61" s="1"/>
  <c r="C19" i="61" s="1"/>
  <c r="C23" i="61" s="1"/>
  <c r="C27" i="61" s="1"/>
  <c r="C31" i="61" s="1"/>
  <c r="G11" i="61"/>
  <c r="C12" i="61"/>
  <c r="C16" i="61" s="1"/>
  <c r="C20" i="61" s="1"/>
  <c r="C24" i="61" s="1"/>
  <c r="C28" i="61" s="1"/>
  <c r="C32" i="61" s="1"/>
  <c r="G12" i="61"/>
  <c r="G13" i="61"/>
  <c r="G14" i="61"/>
  <c r="G15" i="61"/>
  <c r="G16" i="61"/>
  <c r="G17" i="61"/>
  <c r="G18" i="61"/>
  <c r="G19" i="61"/>
  <c r="G20" i="61"/>
  <c r="G21" i="61"/>
  <c r="G22" i="61"/>
  <c r="G23" i="61"/>
  <c r="G24" i="61"/>
  <c r="G25" i="61"/>
  <c r="G26" i="61"/>
  <c r="G27" i="61"/>
  <c r="G28" i="61"/>
  <c r="G29" i="61"/>
  <c r="G30" i="61"/>
  <c r="G31" i="61"/>
  <c r="G32" i="61"/>
  <c r="G33" i="61"/>
  <c r="G34" i="61"/>
  <c r="G35" i="61"/>
  <c r="G36" i="61"/>
  <c r="G37" i="61"/>
  <c r="G38" i="61"/>
  <c r="G39" i="61"/>
  <c r="G40" i="61"/>
  <c r="G41" i="61"/>
  <c r="G42" i="61"/>
  <c r="G43" i="61"/>
  <c r="G44" i="61"/>
  <c r="G46" i="61"/>
  <c r="G47" i="61"/>
  <c r="G48" i="61"/>
  <c r="G49" i="61"/>
  <c r="C9" i="52"/>
  <c r="G9" i="52"/>
  <c r="C10" i="52"/>
  <c r="C11" i="52"/>
  <c r="C12" i="52"/>
  <c r="G10" i="52"/>
  <c r="G11" i="52"/>
  <c r="G12" i="52"/>
  <c r="G13" i="52"/>
  <c r="C9" i="53"/>
  <c r="C13" i="53" s="1"/>
  <c r="C16" i="53" s="1"/>
  <c r="C19" i="53" s="1"/>
  <c r="G9" i="53"/>
  <c r="C10" i="53"/>
  <c r="C14" i="53" s="1"/>
  <c r="C17" i="53" s="1"/>
  <c r="C20" i="53" s="1"/>
  <c r="G10" i="53"/>
  <c r="C11" i="53"/>
  <c r="G11" i="53"/>
  <c r="C12" i="53"/>
  <c r="G12" i="53"/>
  <c r="G13" i="53"/>
  <c r="G14" i="53"/>
  <c r="D15" i="53"/>
  <c r="G15" i="53"/>
  <c r="G16" i="53"/>
  <c r="G17" i="53"/>
  <c r="G18" i="53"/>
  <c r="G19" i="53"/>
  <c r="G20" i="53"/>
  <c r="G21" i="53"/>
  <c r="G22" i="53"/>
  <c r="C9" i="54"/>
  <c r="G9" i="54"/>
  <c r="C10" i="54"/>
  <c r="C11" i="54"/>
  <c r="C12" i="54"/>
  <c r="G10" i="54"/>
  <c r="G11" i="54"/>
  <c r="G12" i="54"/>
  <c r="G13" i="54"/>
  <c r="G15" i="54"/>
  <c r="G16" i="54"/>
  <c r="G17" i="54"/>
  <c r="G18" i="54"/>
  <c r="C9" i="49"/>
  <c r="C14" i="49" s="1"/>
  <c r="C17" i="49" s="1"/>
  <c r="C21" i="49" s="1"/>
  <c r="C23" i="49" s="1"/>
  <c r="C26" i="49" s="1"/>
  <c r="G9" i="49"/>
  <c r="C10" i="49"/>
  <c r="C15" i="49" s="1"/>
  <c r="C18" i="49" s="1"/>
  <c r="C22" i="49" s="1"/>
  <c r="C24" i="49" s="1"/>
  <c r="C27" i="49" s="1"/>
  <c r="G10" i="49"/>
  <c r="C11" i="49"/>
  <c r="C12" i="49"/>
  <c r="G11" i="49"/>
  <c r="G12" i="49"/>
  <c r="D13" i="49"/>
  <c r="G13" i="49"/>
  <c r="G14" i="49"/>
  <c r="G15" i="49"/>
  <c r="G16" i="49"/>
  <c r="G17" i="49"/>
  <c r="G18" i="49"/>
  <c r="G19" i="49"/>
  <c r="D20" i="49"/>
  <c r="G20" i="49"/>
  <c r="G21" i="49"/>
  <c r="G22" i="49"/>
  <c r="G23" i="49"/>
  <c r="G24" i="49"/>
  <c r="G25" i="49"/>
  <c r="G26" i="49"/>
  <c r="G27" i="49"/>
  <c r="G28" i="49"/>
  <c r="G29" i="49"/>
  <c r="C9" i="50"/>
  <c r="C14" i="50" s="1"/>
  <c r="C17" i="50" s="1"/>
  <c r="G9" i="50"/>
  <c r="C10" i="50"/>
  <c r="C15" i="50" s="1"/>
  <c r="C18" i="50" s="1"/>
  <c r="G10" i="50"/>
  <c r="C11" i="50"/>
  <c r="C12" i="50"/>
  <c r="G11" i="50"/>
  <c r="G12" i="50"/>
  <c r="D13" i="50"/>
  <c r="G13" i="50"/>
  <c r="G14" i="50"/>
  <c r="G15" i="50"/>
  <c r="G16" i="50"/>
  <c r="G17" i="50"/>
  <c r="G18" i="50"/>
  <c r="G19" i="50"/>
  <c r="G20" i="50"/>
  <c r="G22" i="50"/>
  <c r="G23" i="50"/>
  <c r="G24" i="50"/>
  <c r="G25" i="50"/>
  <c r="C9" i="51"/>
  <c r="G9" i="51"/>
  <c r="C10" i="51"/>
  <c r="C11" i="51"/>
  <c r="C12" i="51"/>
  <c r="G10" i="51"/>
  <c r="G11" i="51"/>
  <c r="G12" i="51"/>
  <c r="G13" i="51"/>
  <c r="G14" i="51"/>
  <c r="G15" i="51"/>
  <c r="G16" i="51"/>
  <c r="G18" i="51"/>
  <c r="G19" i="51"/>
  <c r="G20" i="51"/>
  <c r="G21" i="51"/>
  <c r="C9" i="48"/>
  <c r="C13" i="48" s="1"/>
  <c r="C17" i="48" s="1"/>
  <c r="C21" i="48" s="1"/>
  <c r="C25" i="48" s="1"/>
  <c r="C29" i="48" s="1"/>
  <c r="C33" i="48" s="1"/>
  <c r="C37" i="48" s="1"/>
  <c r="G9" i="48"/>
  <c r="C10" i="48"/>
  <c r="C14" i="48" s="1"/>
  <c r="C18" i="48" s="1"/>
  <c r="C22" i="48" s="1"/>
  <c r="C26" i="48" s="1"/>
  <c r="C30" i="48" s="1"/>
  <c r="C34" i="48" s="1"/>
  <c r="C38" i="48" s="1"/>
  <c r="G10" i="48"/>
  <c r="C11" i="48"/>
  <c r="C15" i="48" s="1"/>
  <c r="C19" i="48" s="1"/>
  <c r="C23" i="48" s="1"/>
  <c r="C27" i="48" s="1"/>
  <c r="C31" i="48" s="1"/>
  <c r="C35" i="48" s="1"/>
  <c r="C39" i="48" s="1"/>
  <c r="G11" i="48"/>
  <c r="C12" i="48"/>
  <c r="C16" i="48" s="1"/>
  <c r="C20" i="48" s="1"/>
  <c r="C24" i="48" s="1"/>
  <c r="C28" i="48" s="1"/>
  <c r="C32" i="48" s="1"/>
  <c r="C36" i="48" s="1"/>
  <c r="C40" i="48" s="1"/>
  <c r="G12" i="48"/>
  <c r="G13" i="48"/>
  <c r="G14" i="48"/>
  <c r="G15" i="48"/>
  <c r="G16" i="48"/>
  <c r="G17" i="48"/>
  <c r="G18" i="48"/>
  <c r="G19" i="48"/>
  <c r="G20" i="48"/>
  <c r="G21" i="48"/>
  <c r="G22" i="48"/>
  <c r="G23" i="48"/>
  <c r="G24" i="48"/>
  <c r="G25" i="48"/>
  <c r="G26" i="48"/>
  <c r="G27" i="48"/>
  <c r="G28" i="48"/>
  <c r="G29" i="48"/>
  <c r="G30" i="48"/>
  <c r="G31" i="48"/>
  <c r="G32" i="48"/>
  <c r="G33" i="48"/>
  <c r="G34" i="48"/>
  <c r="G35" i="48"/>
  <c r="G36" i="48"/>
  <c r="G37" i="48"/>
  <c r="G38" i="48"/>
  <c r="G39" i="48"/>
  <c r="G40" i="48"/>
  <c r="G41" i="48"/>
  <c r="G42" i="48"/>
  <c r="G43" i="48"/>
  <c r="G44" i="48"/>
  <c r="G46" i="48"/>
  <c r="G47" i="48"/>
  <c r="G48" i="48"/>
  <c r="G49" i="48"/>
  <c r="C9" i="47"/>
  <c r="C13" i="47" s="1"/>
  <c r="C17" i="47" s="1"/>
  <c r="C21" i="47" s="1"/>
  <c r="C25" i="47" s="1"/>
  <c r="C29" i="47" s="1"/>
  <c r="G9" i="47"/>
  <c r="C10" i="47"/>
  <c r="C14" i="47" s="1"/>
  <c r="C18" i="47" s="1"/>
  <c r="C22" i="47" s="1"/>
  <c r="C26" i="47" s="1"/>
  <c r="C30" i="47" s="1"/>
  <c r="G10" i="47"/>
  <c r="C11" i="47"/>
  <c r="C15" i="47" s="1"/>
  <c r="C19" i="47" s="1"/>
  <c r="C23" i="47" s="1"/>
  <c r="C27" i="47" s="1"/>
  <c r="C31" i="47" s="1"/>
  <c r="G11" i="47"/>
  <c r="C12" i="47"/>
  <c r="C16" i="47" s="1"/>
  <c r="C20" i="47" s="1"/>
  <c r="C24" i="47" s="1"/>
  <c r="C28" i="47" s="1"/>
  <c r="C32" i="47" s="1"/>
  <c r="G12" i="47"/>
  <c r="G13" i="47"/>
  <c r="G14" i="47"/>
  <c r="G15" i="47"/>
  <c r="G16" i="47"/>
  <c r="G17" i="47"/>
  <c r="G18" i="47"/>
  <c r="G19" i="47"/>
  <c r="G20" i="47"/>
  <c r="G21" i="47"/>
  <c r="G22" i="47"/>
  <c r="G23" i="47"/>
  <c r="G24" i="47"/>
  <c r="G25" i="47"/>
  <c r="G26" i="47"/>
  <c r="G27" i="47"/>
  <c r="G28" i="47"/>
  <c r="G29" i="47"/>
  <c r="G30" i="47"/>
  <c r="G31" i="47"/>
  <c r="G32" i="47"/>
  <c r="G33" i="47"/>
  <c r="G34" i="47"/>
  <c r="G35" i="47"/>
  <c r="G36" i="47"/>
  <c r="G37" i="47"/>
  <c r="G38" i="47"/>
  <c r="G39" i="47"/>
  <c r="G40" i="47"/>
  <c r="G41" i="47"/>
  <c r="G42" i="47"/>
  <c r="G43" i="47"/>
  <c r="G44" i="47"/>
  <c r="G46" i="47"/>
  <c r="G47" i="47"/>
  <c r="G48" i="47"/>
  <c r="G49" i="47"/>
  <c r="C9" i="14"/>
  <c r="G9" i="14"/>
  <c r="C10" i="14"/>
  <c r="G10" i="14"/>
  <c r="C11" i="14"/>
  <c r="G11" i="14"/>
  <c r="C12" i="14"/>
  <c r="G12" i="14"/>
  <c r="G13" i="14"/>
  <c r="C9" i="15"/>
  <c r="C13" i="15" s="1"/>
  <c r="C16" i="15" s="1"/>
  <c r="C19" i="15" s="1"/>
  <c r="G9" i="15"/>
  <c r="C10" i="15"/>
  <c r="C14" i="15" s="1"/>
  <c r="C17" i="15" s="1"/>
  <c r="C20" i="15" s="1"/>
  <c r="G10" i="15"/>
  <c r="C11" i="15"/>
  <c r="G11" i="15"/>
  <c r="C12" i="15"/>
  <c r="G12" i="15"/>
  <c r="G13" i="15"/>
  <c r="G14" i="15"/>
  <c r="D15" i="15"/>
  <c r="G15" i="15"/>
  <c r="G16" i="15"/>
  <c r="G17" i="15"/>
  <c r="G18" i="15"/>
  <c r="G19" i="15"/>
  <c r="G20" i="15"/>
  <c r="G21" i="15"/>
  <c r="G22" i="15"/>
  <c r="C9" i="16"/>
  <c r="G9" i="16"/>
  <c r="C10" i="16"/>
  <c r="G10" i="16"/>
  <c r="C11" i="16"/>
  <c r="G11" i="16"/>
  <c r="C12" i="16"/>
  <c r="G12" i="16"/>
  <c r="G13" i="16"/>
  <c r="G14" i="16"/>
  <c r="G15" i="16"/>
  <c r="G16" i="16"/>
  <c r="C9" i="32"/>
  <c r="C14" i="32" s="1"/>
  <c r="C17" i="32" s="1"/>
  <c r="C21" i="32" s="1"/>
  <c r="C23" i="32" s="1"/>
  <c r="C26" i="32" s="1"/>
  <c r="G9" i="32"/>
  <c r="C10" i="32"/>
  <c r="C15" i="32" s="1"/>
  <c r="C18" i="32" s="1"/>
  <c r="C22" i="32" s="1"/>
  <c r="C24" i="32" s="1"/>
  <c r="C27" i="32" s="1"/>
  <c r="G10" i="32"/>
  <c r="C11" i="32"/>
  <c r="G11" i="32"/>
  <c r="C12" i="32"/>
  <c r="G12" i="32"/>
  <c r="D13" i="32"/>
  <c r="G13" i="32"/>
  <c r="G14" i="32"/>
  <c r="G15" i="32"/>
  <c r="G16" i="32"/>
  <c r="G17" i="32"/>
  <c r="G18" i="32"/>
  <c r="G19" i="32"/>
  <c r="D20" i="32"/>
  <c r="G20" i="32"/>
  <c r="G21" i="32"/>
  <c r="G22" i="32"/>
  <c r="G23" i="32"/>
  <c r="G24" i="32"/>
  <c r="G25" i="32"/>
  <c r="G26" i="32"/>
  <c r="G27" i="32"/>
  <c r="G28" i="32"/>
  <c r="G29" i="32"/>
  <c r="C9" i="10"/>
  <c r="C14" i="10" s="1"/>
  <c r="C17" i="10" s="1"/>
  <c r="G9" i="10"/>
  <c r="C10" i="10"/>
  <c r="C15" i="10" s="1"/>
  <c r="C18" i="10" s="1"/>
  <c r="G10" i="10"/>
  <c r="C11" i="10"/>
  <c r="G11" i="10"/>
  <c r="C12" i="10"/>
  <c r="G12" i="10"/>
  <c r="D13" i="10"/>
  <c r="G13" i="10"/>
  <c r="G14" i="10"/>
  <c r="G15" i="10"/>
  <c r="G16" i="10"/>
  <c r="G17" i="10"/>
  <c r="G18" i="10"/>
  <c r="G19" i="10"/>
  <c r="G20" i="10"/>
  <c r="G21" i="10"/>
  <c r="G22" i="10"/>
  <c r="G23" i="10"/>
  <c r="C9" i="11"/>
  <c r="G9" i="11"/>
  <c r="C10" i="11"/>
  <c r="G10" i="11"/>
  <c r="C11" i="11"/>
  <c r="G11" i="11"/>
  <c r="C12" i="11"/>
  <c r="G12" i="11"/>
  <c r="G13" i="11"/>
  <c r="G14" i="11"/>
  <c r="G15" i="11"/>
  <c r="G16" i="11"/>
  <c r="G17" i="11"/>
  <c r="G18" i="11"/>
  <c r="G19" i="11"/>
  <c r="C9" i="12"/>
  <c r="C13" i="12" s="1"/>
  <c r="C17" i="12" s="1"/>
  <c r="C21" i="12" s="1"/>
  <c r="C25" i="12" s="1"/>
  <c r="C29" i="12" s="1"/>
  <c r="C33" i="12" s="1"/>
  <c r="C37" i="12" s="1"/>
  <c r="G9" i="12"/>
  <c r="C10" i="12"/>
  <c r="C14" i="12" s="1"/>
  <c r="C18" i="12" s="1"/>
  <c r="C22" i="12" s="1"/>
  <c r="C26" i="12" s="1"/>
  <c r="C30" i="12" s="1"/>
  <c r="C34" i="12" s="1"/>
  <c r="C38" i="12" s="1"/>
  <c r="G10" i="12"/>
  <c r="C11" i="12"/>
  <c r="C15" i="12" s="1"/>
  <c r="C19" i="12" s="1"/>
  <c r="C23" i="12" s="1"/>
  <c r="C27" i="12" s="1"/>
  <c r="C31" i="12" s="1"/>
  <c r="C35" i="12" s="1"/>
  <c r="C39" i="12" s="1"/>
  <c r="G11" i="12"/>
  <c r="C12" i="12"/>
  <c r="C16" i="12" s="1"/>
  <c r="C20" i="12" s="1"/>
  <c r="C24" i="12" s="1"/>
  <c r="C28" i="12" s="1"/>
  <c r="C32" i="12" s="1"/>
  <c r="C36" i="12" s="1"/>
  <c r="C40" i="12" s="1"/>
  <c r="G12" i="12"/>
  <c r="G13" i="12"/>
  <c r="G14" i="12"/>
  <c r="G15" i="12"/>
  <c r="G16" i="12"/>
  <c r="G17" i="12"/>
  <c r="G18" i="12"/>
  <c r="G19" i="12"/>
  <c r="G20" i="12"/>
  <c r="G21" i="12"/>
  <c r="G22" i="12"/>
  <c r="G23" i="12"/>
  <c r="G24" i="12"/>
  <c r="G25" i="12"/>
  <c r="G26" i="12"/>
  <c r="G27" i="12"/>
  <c r="G28" i="12"/>
  <c r="G29" i="12"/>
  <c r="G30" i="12"/>
  <c r="G31" i="12"/>
  <c r="G32" i="12"/>
  <c r="G33" i="12"/>
  <c r="G34" i="12"/>
  <c r="G35" i="12"/>
  <c r="G36" i="12"/>
  <c r="G37" i="12"/>
  <c r="G38" i="12"/>
  <c r="G39" i="12"/>
  <c r="G40" i="12"/>
  <c r="G41" i="12"/>
  <c r="G42" i="12"/>
  <c r="G43" i="12"/>
  <c r="G44" i="12"/>
  <c r="G45" i="12"/>
  <c r="G46" i="12"/>
  <c r="G47" i="12"/>
  <c r="C9" i="13"/>
  <c r="C13" i="13" s="1"/>
  <c r="C17" i="13" s="1"/>
  <c r="C21" i="13" s="1"/>
  <c r="C25" i="13" s="1"/>
  <c r="C29" i="13" s="1"/>
  <c r="G9" i="13"/>
  <c r="C10" i="13"/>
  <c r="C14" i="13" s="1"/>
  <c r="C18" i="13" s="1"/>
  <c r="C22" i="13" s="1"/>
  <c r="C26" i="13" s="1"/>
  <c r="C30" i="13" s="1"/>
  <c r="G10" i="13"/>
  <c r="C11" i="13"/>
  <c r="C15" i="13" s="1"/>
  <c r="C19" i="13" s="1"/>
  <c r="C23" i="13" s="1"/>
  <c r="C27" i="13" s="1"/>
  <c r="C31" i="13" s="1"/>
  <c r="G11" i="13"/>
  <c r="C12" i="13"/>
  <c r="C16" i="13" s="1"/>
  <c r="C20" i="13" s="1"/>
  <c r="C24" i="13" s="1"/>
  <c r="C28" i="13" s="1"/>
  <c r="C32" i="13" s="1"/>
  <c r="G12" i="13"/>
  <c r="G13" i="13"/>
  <c r="G14" i="13"/>
  <c r="G15" i="13"/>
  <c r="G16" i="13"/>
  <c r="G17" i="13"/>
  <c r="G18" i="13"/>
  <c r="G19" i="13"/>
  <c r="G20" i="13"/>
  <c r="G21" i="13"/>
  <c r="G22" i="13"/>
  <c r="G23" i="13"/>
  <c r="G24" i="13"/>
  <c r="G25" i="13"/>
  <c r="G26" i="13"/>
  <c r="G27" i="13"/>
  <c r="G28" i="13"/>
  <c r="G29" i="13"/>
  <c r="G30" i="13"/>
  <c r="G31" i="13"/>
  <c r="G32" i="13"/>
  <c r="G33" i="13"/>
  <c r="G34" i="13"/>
  <c r="G35" i="13"/>
  <c r="G36" i="13"/>
  <c r="G37" i="13"/>
  <c r="G38" i="13"/>
  <c r="G39" i="13"/>
  <c r="G40" i="13"/>
  <c r="G41" i="13"/>
  <c r="G42" i="13"/>
  <c r="G43" i="13"/>
  <c r="G44" i="13"/>
  <c r="G45" i="13"/>
  <c r="G46" i="13"/>
  <c r="G47" i="13"/>
  <c r="C9" i="7"/>
  <c r="G9" i="7"/>
  <c r="C10" i="7"/>
  <c r="C11" i="7"/>
  <c r="C12" i="7"/>
  <c r="G10" i="7"/>
  <c r="G11" i="7"/>
  <c r="G12" i="7"/>
  <c r="G13" i="7"/>
  <c r="C9" i="8"/>
  <c r="C13" i="8" s="1"/>
  <c r="C16" i="8" s="1"/>
  <c r="C19" i="8" s="1"/>
  <c r="G9" i="8"/>
  <c r="C10" i="8"/>
  <c r="C14" i="8" s="1"/>
  <c r="C17" i="8" s="1"/>
  <c r="C20" i="8" s="1"/>
  <c r="G10" i="8"/>
  <c r="C11" i="8"/>
  <c r="G11" i="8"/>
  <c r="C12" i="8"/>
  <c r="G12" i="8"/>
  <c r="G13" i="8"/>
  <c r="G14" i="8"/>
  <c r="D15" i="8"/>
  <c r="G15" i="8"/>
  <c r="G16" i="8"/>
  <c r="G17" i="8"/>
  <c r="G18" i="8"/>
  <c r="G19" i="8"/>
  <c r="G20" i="8"/>
  <c r="G21" i="8"/>
  <c r="G22" i="8"/>
  <c r="C9" i="9"/>
  <c r="C16" i="9" s="1"/>
  <c r="C22" i="9" s="1"/>
  <c r="C28" i="9" s="1"/>
  <c r="C31" i="9" s="1"/>
  <c r="C34" i="9" s="1"/>
  <c r="G9" i="9"/>
  <c r="C10" i="9"/>
  <c r="C17" i="9" s="1"/>
  <c r="C23" i="9" s="1"/>
  <c r="C29" i="9" s="1"/>
  <c r="C32" i="9" s="1"/>
  <c r="C35" i="9" s="1"/>
  <c r="G10" i="9"/>
  <c r="C11" i="9"/>
  <c r="C13" i="9" s="1"/>
  <c r="G11" i="9"/>
  <c r="C12" i="9"/>
  <c r="C14" i="9" s="1"/>
  <c r="G12" i="9"/>
  <c r="G13" i="9"/>
  <c r="G14" i="9"/>
  <c r="D15" i="9"/>
  <c r="G15" i="9"/>
  <c r="G16" i="9"/>
  <c r="G17" i="9"/>
  <c r="G18" i="9"/>
  <c r="G19" i="9"/>
  <c r="G20" i="9"/>
  <c r="G21" i="9"/>
  <c r="G22" i="9"/>
  <c r="G23" i="9"/>
  <c r="G24" i="9"/>
  <c r="G25" i="9"/>
  <c r="G26" i="9"/>
  <c r="G27" i="9"/>
  <c r="G28" i="9"/>
  <c r="G29" i="9"/>
  <c r="D30" i="9"/>
  <c r="G30" i="9"/>
  <c r="G31" i="9"/>
  <c r="G32" i="9"/>
  <c r="G33" i="9"/>
  <c r="G34" i="9"/>
  <c r="G35" i="9"/>
  <c r="G36" i="9"/>
  <c r="G37" i="9"/>
  <c r="C9" i="5"/>
  <c r="C13" i="5" s="1"/>
  <c r="G9" i="5"/>
  <c r="C10" i="5"/>
  <c r="C14" i="5" s="1"/>
  <c r="G10" i="5"/>
  <c r="C11" i="5"/>
  <c r="C15" i="5" s="1"/>
  <c r="G11" i="5"/>
  <c r="C12" i="5"/>
  <c r="C16" i="5" s="1"/>
  <c r="G12" i="5"/>
  <c r="G13" i="5"/>
  <c r="G14" i="5"/>
  <c r="G15" i="5"/>
  <c r="G16" i="5"/>
  <c r="D17" i="5"/>
  <c r="G17" i="5"/>
  <c r="D18" i="5"/>
  <c r="G18" i="5"/>
  <c r="G19" i="5"/>
  <c r="G22" i="5"/>
  <c r="G23" i="5"/>
  <c r="G24" i="5"/>
  <c r="G25" i="5"/>
  <c r="G26" i="5"/>
  <c r="G27" i="5"/>
  <c r="G28" i="5"/>
  <c r="G29" i="5"/>
  <c r="G30" i="5"/>
  <c r="G32" i="5"/>
  <c r="G33" i="5"/>
  <c r="G34" i="5"/>
  <c r="G35" i="5"/>
  <c r="G36" i="5"/>
  <c r="G37" i="5"/>
  <c r="G38" i="5"/>
  <c r="G39" i="5"/>
  <c r="G40" i="5"/>
  <c r="G41" i="5"/>
  <c r="G42" i="5"/>
  <c r="G43" i="5"/>
  <c r="G44" i="5"/>
  <c r="G45" i="5"/>
  <c r="G46" i="5"/>
  <c r="G47" i="5"/>
  <c r="G48" i="5"/>
  <c r="G49" i="5"/>
  <c r="G50" i="5"/>
  <c r="G51" i="5"/>
  <c r="G52" i="5"/>
  <c r="G53" i="5"/>
  <c r="G54" i="5"/>
  <c r="C9" i="3"/>
  <c r="C13" i="3" s="1"/>
  <c r="C17" i="3" s="1"/>
  <c r="C21" i="3" s="1"/>
  <c r="C25" i="3" s="1"/>
  <c r="C29" i="3" s="1"/>
  <c r="C33" i="3" s="1"/>
  <c r="C37" i="3" s="1"/>
  <c r="C41" i="3" s="1"/>
  <c r="G9" i="3"/>
  <c r="C10" i="3"/>
  <c r="C14" i="3" s="1"/>
  <c r="C18" i="3" s="1"/>
  <c r="C22" i="3" s="1"/>
  <c r="C26" i="3" s="1"/>
  <c r="C30" i="3" s="1"/>
  <c r="C34" i="3" s="1"/>
  <c r="C38" i="3" s="1"/>
  <c r="C42" i="3" s="1"/>
  <c r="G10" i="3"/>
  <c r="C11" i="3"/>
  <c r="C15" i="3" s="1"/>
  <c r="C19" i="3" s="1"/>
  <c r="C23" i="3" s="1"/>
  <c r="C27" i="3" s="1"/>
  <c r="C31" i="3" s="1"/>
  <c r="C35" i="3" s="1"/>
  <c r="C39" i="3" s="1"/>
  <c r="C43" i="3" s="1"/>
  <c r="G11" i="3"/>
  <c r="C12" i="3"/>
  <c r="C16" i="3" s="1"/>
  <c r="C20" i="3" s="1"/>
  <c r="C24" i="3" s="1"/>
  <c r="C28" i="3" s="1"/>
  <c r="C32" i="3" s="1"/>
  <c r="C36" i="3" s="1"/>
  <c r="C40" i="3" s="1"/>
  <c r="C44" i="3" s="1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50" i="3"/>
  <c r="G51" i="3"/>
  <c r="G52" i="3"/>
  <c r="G53" i="3"/>
  <c r="G54" i="3"/>
  <c r="G55" i="3"/>
  <c r="G56" i="3"/>
  <c r="G57" i="3"/>
  <c r="G58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C9" i="4"/>
  <c r="C13" i="4" s="1"/>
  <c r="C17" i="4" s="1"/>
  <c r="C21" i="4" s="1"/>
  <c r="C25" i="4" s="1"/>
  <c r="C29" i="4" s="1"/>
  <c r="C33" i="4" s="1"/>
  <c r="G9" i="4"/>
  <c r="C10" i="4"/>
  <c r="C14" i="4" s="1"/>
  <c r="C18" i="4" s="1"/>
  <c r="C22" i="4" s="1"/>
  <c r="C26" i="4" s="1"/>
  <c r="C30" i="4" s="1"/>
  <c r="C34" i="4" s="1"/>
  <c r="G10" i="4"/>
  <c r="C11" i="4"/>
  <c r="C15" i="4" s="1"/>
  <c r="C19" i="4" s="1"/>
  <c r="C23" i="4" s="1"/>
  <c r="C27" i="4" s="1"/>
  <c r="C31" i="4" s="1"/>
  <c r="C35" i="4" s="1"/>
  <c r="G11" i="4"/>
  <c r="C12" i="4"/>
  <c r="C16" i="4" s="1"/>
  <c r="C20" i="4" s="1"/>
  <c r="C24" i="4" s="1"/>
  <c r="C28" i="4" s="1"/>
  <c r="C32" i="4" s="1"/>
  <c r="C36" i="4" s="1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2" i="4"/>
  <c r="G45" i="4"/>
  <c r="G46" i="4"/>
  <c r="G47" i="4"/>
  <c r="G48" i="4"/>
  <c r="G49" i="4"/>
  <c r="G50" i="4"/>
  <c r="G51" i="4"/>
  <c r="G52" i="4"/>
  <c r="G55" i="4"/>
  <c r="G56" i="4"/>
  <c r="G57" i="4"/>
  <c r="G58" i="4"/>
  <c r="G59" i="4"/>
  <c r="G60" i="4"/>
  <c r="G61" i="4"/>
  <c r="G62" i="4"/>
  <c r="G63" i="4"/>
  <c r="G65" i="4"/>
  <c r="G66" i="4"/>
  <c r="G67" i="4"/>
  <c r="G68" i="4"/>
  <c r="G69" i="4"/>
  <c r="G70" i="4"/>
  <c r="G71" i="4"/>
  <c r="G72" i="4"/>
  <c r="G73" i="4"/>
  <c r="G74" i="4"/>
  <c r="G75" i="4"/>
  <c r="G76" i="4"/>
  <c r="G77" i="4"/>
  <c r="G78" i="4"/>
  <c r="G79" i="4"/>
  <c r="G80" i="4"/>
  <c r="G81" i="4"/>
  <c r="G82" i="4"/>
  <c r="G83" i="4"/>
  <c r="G84" i="4"/>
  <c r="G85" i="4"/>
  <c r="G86" i="4"/>
  <c r="G87" i="4"/>
  <c r="D20" i="38"/>
  <c r="E20" i="38" s="1"/>
  <c r="F20" i="38"/>
  <c r="G20" i="38"/>
  <c r="D21" i="38"/>
  <c r="E21" i="38" s="1"/>
  <c r="F21" i="38"/>
  <c r="G21" i="38"/>
  <c r="D22" i="38"/>
  <c r="E22" i="38" s="1"/>
  <c r="F22" i="38"/>
  <c r="G22" i="38"/>
  <c r="E23" i="38"/>
  <c r="F23" i="38"/>
  <c r="G23" i="38"/>
  <c r="E32" i="38"/>
  <c r="F32" i="38"/>
  <c r="G32" i="38"/>
  <c r="E33" i="38"/>
  <c r="F33" i="38"/>
  <c r="G33" i="38"/>
  <c r="E34" i="38"/>
  <c r="F34" i="38"/>
  <c r="G34" i="38"/>
  <c r="D43" i="38"/>
  <c r="E43" i="38" s="1"/>
  <c r="F43" i="38"/>
  <c r="G43" i="38"/>
  <c r="E44" i="38"/>
  <c r="F44" i="38"/>
  <c r="G44" i="38"/>
  <c r="E45" i="38"/>
  <c r="F45" i="38"/>
  <c r="G45" i="38"/>
  <c r="E46" i="38"/>
  <c r="F46" i="38"/>
  <c r="F48" i="38" s="1"/>
  <c r="G46" i="38"/>
  <c r="E47" i="38"/>
  <c r="F47" i="38"/>
  <c r="G47" i="38"/>
  <c r="E48" i="38"/>
  <c r="G48" i="38"/>
  <c r="C49" i="38"/>
  <c r="D49" i="38"/>
  <c r="E49" i="38"/>
  <c r="G49" i="38"/>
  <c r="B33" i="43"/>
  <c r="B11" i="46"/>
  <c r="B25" i="46"/>
  <c r="G8" i="37"/>
  <c r="G9" i="37"/>
  <c r="G10" i="37"/>
  <c r="G11" i="37"/>
  <c r="G12" i="37"/>
  <c r="G13" i="37"/>
  <c r="G15" i="37"/>
  <c r="G16" i="37"/>
  <c r="G17" i="37"/>
  <c r="G18" i="37"/>
  <c r="G19" i="37"/>
  <c r="G20" i="37"/>
  <c r="G21" i="37"/>
  <c r="G22" i="37"/>
  <c r="G24" i="37"/>
  <c r="G25" i="37"/>
  <c r="G26" i="37"/>
  <c r="G27" i="37"/>
  <c r="G28" i="37"/>
  <c r="G29" i="37"/>
  <c r="G30" i="37"/>
  <c r="G31" i="37"/>
  <c r="C50" i="37"/>
  <c r="D50" i="37"/>
  <c r="E10" i="36"/>
  <c r="F10" i="36"/>
  <c r="G10" i="36"/>
  <c r="H10" i="36"/>
  <c r="I10" i="36" s="1"/>
  <c r="E13" i="57" s="1"/>
  <c r="E11" i="36"/>
  <c r="F11" i="36"/>
  <c r="G11" i="36"/>
  <c r="H11" i="36"/>
  <c r="I11" i="36" s="1"/>
  <c r="E45" i="62" s="1"/>
  <c r="E14" i="36"/>
  <c r="F14" i="36"/>
  <c r="G14" i="36"/>
  <c r="H14" i="36"/>
  <c r="I14" i="36" s="1"/>
  <c r="E15" i="36"/>
  <c r="F15" i="36"/>
  <c r="G15" i="36"/>
  <c r="H15" i="36"/>
  <c r="I15" i="36" s="1"/>
  <c r="E16" i="36"/>
  <c r="F16" i="36"/>
  <c r="G16" i="36"/>
  <c r="H16" i="36"/>
  <c r="I16" i="36" s="1"/>
  <c r="E46" i="48" s="1"/>
  <c r="E17" i="36"/>
  <c r="F17" i="36"/>
  <c r="G17" i="36"/>
  <c r="H17" i="36"/>
  <c r="I17" i="36" s="1"/>
  <c r="E39" i="24" s="1"/>
  <c r="E18" i="36"/>
  <c r="F18" i="36"/>
  <c r="G18" i="36"/>
  <c r="H18" i="36"/>
  <c r="I18" i="36" s="1"/>
  <c r="E19" i="36"/>
  <c r="F19" i="36"/>
  <c r="G19" i="36"/>
  <c r="H19" i="36"/>
  <c r="I19" i="36" s="1"/>
  <c r="E20" i="36"/>
  <c r="F20" i="36"/>
  <c r="G20" i="36"/>
  <c r="I20" i="36"/>
  <c r="E21" i="36"/>
  <c r="F21" i="36"/>
  <c r="G21" i="36"/>
  <c r="H21" i="36"/>
  <c r="I21" i="36" s="1"/>
  <c r="E13" i="11" s="1"/>
  <c r="C24" i="36"/>
  <c r="G24" i="36"/>
  <c r="H24" i="36"/>
  <c r="C25" i="36"/>
  <c r="G25" i="36"/>
  <c r="H25" i="36"/>
  <c r="C26" i="36"/>
  <c r="G26" i="36"/>
  <c r="H26" i="36"/>
  <c r="C22" i="36"/>
  <c r="H22" i="36"/>
  <c r="I22" i="36" s="1"/>
  <c r="C27" i="36"/>
  <c r="G27" i="36"/>
  <c r="H27" i="36"/>
  <c r="C28" i="36"/>
  <c r="G28" i="36"/>
  <c r="H28" i="36"/>
  <c r="C29" i="36"/>
  <c r="G29" i="36"/>
  <c r="H29" i="36"/>
  <c r="C30" i="36"/>
  <c r="G30" i="36"/>
  <c r="H30" i="36"/>
  <c r="C31" i="36"/>
  <c r="G31" i="36"/>
  <c r="H31" i="36"/>
  <c r="C32" i="36"/>
  <c r="G32" i="36"/>
  <c r="H32" i="36"/>
  <c r="C37" i="36"/>
  <c r="G37" i="36"/>
  <c r="H37" i="36"/>
  <c r="C38" i="36"/>
  <c r="G38" i="36"/>
  <c r="H38" i="36"/>
  <c r="C39" i="36"/>
  <c r="G39" i="36"/>
  <c r="H39" i="36"/>
  <c r="C40" i="36"/>
  <c r="C41" i="36"/>
  <c r="G41" i="36"/>
  <c r="H41" i="36"/>
  <c r="C42" i="36"/>
  <c r="G42" i="36"/>
  <c r="H42" i="36"/>
  <c r="C43" i="36"/>
  <c r="G43" i="36"/>
  <c r="H43" i="36"/>
  <c r="C44" i="36"/>
  <c r="G44" i="36"/>
  <c r="H44" i="36"/>
  <c r="C45" i="36"/>
  <c r="G45" i="36"/>
  <c r="H45" i="36"/>
  <c r="C46" i="36"/>
  <c r="G46" i="36"/>
  <c r="H46" i="36"/>
  <c r="E10" i="2"/>
  <c r="E11" i="2"/>
  <c r="E13" i="2"/>
  <c r="E14" i="2"/>
  <c r="E15" i="2"/>
  <c r="E16" i="2"/>
  <c r="E17" i="2"/>
  <c r="C18" i="2"/>
  <c r="D18" i="2"/>
  <c r="F18" i="2"/>
  <c r="G18" i="2"/>
  <c r="H20" i="2"/>
  <c r="E21" i="2"/>
  <c r="H21" i="2"/>
  <c r="E22" i="2"/>
  <c r="H22" i="2"/>
  <c r="E23" i="2"/>
  <c r="H23" i="2"/>
  <c r="E24" i="2"/>
  <c r="H24" i="2"/>
  <c r="E25" i="2"/>
  <c r="H25" i="2"/>
  <c r="C26" i="2"/>
  <c r="D26" i="2"/>
  <c r="F26" i="2"/>
  <c r="G26" i="2"/>
  <c r="H30" i="2"/>
  <c r="H31" i="2"/>
  <c r="H32" i="2"/>
  <c r="H34" i="2"/>
  <c r="H35" i="2"/>
  <c r="H36" i="2"/>
  <c r="H37" i="2"/>
  <c r="H38" i="2"/>
  <c r="D39" i="2"/>
  <c r="F39" i="2"/>
  <c r="G39" i="2"/>
  <c r="E44" i="45"/>
  <c r="T34" i="45" l="1"/>
  <c r="U31" i="45"/>
  <c r="U34" i="45" s="1"/>
  <c r="F72" i="3"/>
  <c r="F53" i="5"/>
  <c r="F17" i="47"/>
  <c r="F15" i="50"/>
  <c r="F18" i="62"/>
  <c r="F27" i="4"/>
  <c r="F30" i="3"/>
  <c r="F45" i="5"/>
  <c r="F22" i="9"/>
  <c r="F43" i="13"/>
  <c r="F14" i="10"/>
  <c r="F10" i="50"/>
  <c r="F80" i="4"/>
  <c r="F57" i="4"/>
  <c r="F19" i="4"/>
  <c r="F14" i="3"/>
  <c r="F17" i="8"/>
  <c r="F12" i="7"/>
  <c r="F35" i="13"/>
  <c r="F37" i="12"/>
  <c r="F31" i="12"/>
  <c r="F11" i="32"/>
  <c r="F21" i="61"/>
  <c r="F26" i="23"/>
  <c r="F33" i="4"/>
  <c r="F51" i="5"/>
  <c r="F15" i="47"/>
  <c r="F13" i="50"/>
  <c r="F9" i="49"/>
  <c r="F25" i="4"/>
  <c r="F82" i="3"/>
  <c r="F43" i="5"/>
  <c r="F18" i="5"/>
  <c r="F13" i="5"/>
  <c r="F32" i="9"/>
  <c r="F21" i="13"/>
  <c r="F17" i="15"/>
  <c r="F35" i="48"/>
  <c r="F27" i="61"/>
  <c r="F28" i="62"/>
  <c r="F39" i="24"/>
  <c r="F29" i="13"/>
  <c r="F26" i="49"/>
  <c r="F44" i="62"/>
  <c r="F10" i="57"/>
  <c r="F47" i="4"/>
  <c r="F27" i="13"/>
  <c r="F12" i="10"/>
  <c r="F33" i="47"/>
  <c r="F41" i="48"/>
  <c r="F34" i="62"/>
  <c r="F14" i="60"/>
  <c r="F74" i="4"/>
  <c r="F55" i="4"/>
  <c r="F17" i="4"/>
  <c r="F66" i="3"/>
  <c r="F32" i="3"/>
  <c r="F24" i="9"/>
  <c r="F45" i="13"/>
  <c r="F13" i="13"/>
  <c r="F13" i="12"/>
  <c r="F12" i="16"/>
  <c r="F11" i="50"/>
  <c r="F17" i="54"/>
  <c r="F12" i="62"/>
  <c r="F63" i="23"/>
  <c r="F35" i="4"/>
  <c r="F46" i="3"/>
  <c r="F19" i="13"/>
  <c r="F47" i="47"/>
  <c r="F23" i="50"/>
  <c r="F22" i="49"/>
  <c r="F45" i="4"/>
  <c r="F16" i="3"/>
  <c r="F32" i="5"/>
  <c r="F11" i="5"/>
  <c r="F16" i="9"/>
  <c r="F37" i="13"/>
  <c r="F39" i="12"/>
  <c r="F33" i="12"/>
  <c r="F31" i="47"/>
  <c r="F16" i="51"/>
  <c r="F25" i="59"/>
  <c r="F17" i="59"/>
  <c r="F37" i="24"/>
  <c r="I23" i="2"/>
  <c r="C16" i="33"/>
  <c r="C19" i="33" s="1"/>
  <c r="C20" i="33" s="1"/>
  <c r="C25" i="33" s="1"/>
  <c r="C28" i="33" s="1"/>
  <c r="C29" i="33" s="1"/>
  <c r="F10" i="25"/>
  <c r="F72" i="4"/>
  <c r="F70" i="4"/>
  <c r="F61" i="4"/>
  <c r="F51" i="4"/>
  <c r="F39" i="4"/>
  <c r="F31" i="4"/>
  <c r="F23" i="4"/>
  <c r="F15" i="4"/>
  <c r="F80" i="3"/>
  <c r="F65" i="3"/>
  <c r="F40" i="3"/>
  <c r="F24" i="3"/>
  <c r="F10" i="3"/>
  <c r="F49" i="5"/>
  <c r="F41" i="5"/>
  <c r="F36" i="5"/>
  <c r="F10" i="5"/>
  <c r="F28" i="9"/>
  <c r="F20" i="9"/>
  <c r="F10" i="7"/>
  <c r="F41" i="13"/>
  <c r="F33" i="13"/>
  <c r="F25" i="13"/>
  <c r="F17" i="13"/>
  <c r="F10" i="13"/>
  <c r="F25" i="12"/>
  <c r="F15" i="11"/>
  <c r="F9" i="11"/>
  <c r="F22" i="10"/>
  <c r="F16" i="16"/>
  <c r="F41" i="47"/>
  <c r="F25" i="47"/>
  <c r="F39" i="48"/>
  <c r="F33" i="48"/>
  <c r="F15" i="48"/>
  <c r="F10" i="48"/>
  <c r="F14" i="51"/>
  <c r="F43" i="61"/>
  <c r="F10" i="61"/>
  <c r="F42" i="62"/>
  <c r="F26" i="62"/>
  <c r="F9" i="62"/>
  <c r="F20" i="60"/>
  <c r="F25" i="58"/>
  <c r="F14" i="56"/>
  <c r="F19" i="22"/>
  <c r="F17" i="22"/>
  <c r="F15" i="22"/>
  <c r="F82" i="4"/>
  <c r="F59" i="4"/>
  <c r="F49" i="4"/>
  <c r="F37" i="4"/>
  <c r="F29" i="4"/>
  <c r="F21" i="4"/>
  <c r="F13" i="4"/>
  <c r="F74" i="3"/>
  <c r="F63" i="3"/>
  <c r="F54" i="3"/>
  <c r="F38" i="3"/>
  <c r="F22" i="3"/>
  <c r="F47" i="5"/>
  <c r="F39" i="5"/>
  <c r="F34" i="5"/>
  <c r="F26" i="9"/>
  <c r="F18" i="9"/>
  <c r="F47" i="13"/>
  <c r="F39" i="13"/>
  <c r="F31" i="13"/>
  <c r="F23" i="13"/>
  <c r="F15" i="13"/>
  <c r="F45" i="12"/>
  <c r="F13" i="11"/>
  <c r="H13" i="11" s="1"/>
  <c r="F11" i="11"/>
  <c r="F20" i="10"/>
  <c r="F21" i="32"/>
  <c r="F14" i="16"/>
  <c r="F10" i="16"/>
  <c r="F19" i="15"/>
  <c r="F49" i="47"/>
  <c r="F39" i="47"/>
  <c r="F23" i="47"/>
  <c r="F47" i="48"/>
  <c r="F27" i="48"/>
  <c r="F21" i="50"/>
  <c r="F11" i="54"/>
  <c r="F37" i="61"/>
  <c r="F36" i="62"/>
  <c r="F20" i="62"/>
  <c r="F19" i="59"/>
  <c r="F14" i="57"/>
  <c r="F84" i="24"/>
  <c r="I20" i="2"/>
  <c r="G68" i="34"/>
  <c r="G69" i="34" s="1"/>
  <c r="C13" i="33"/>
  <c r="H68" i="34"/>
  <c r="H69" i="34" s="1"/>
  <c r="A11" i="34"/>
  <c r="F21" i="22"/>
  <c r="F9" i="25"/>
  <c r="F10" i="26"/>
  <c r="F13" i="26"/>
  <c r="F15" i="26"/>
  <c r="F17" i="26"/>
  <c r="F19" i="26"/>
  <c r="F21" i="26"/>
  <c r="F12" i="27"/>
  <c r="F9" i="33"/>
  <c r="F12" i="33"/>
  <c r="F24" i="33"/>
  <c r="F11" i="21"/>
  <c r="F13" i="21"/>
  <c r="F21" i="21"/>
  <c r="F16" i="22"/>
  <c r="F27" i="22"/>
  <c r="F38" i="22"/>
  <c r="F40" i="22"/>
  <c r="F42" i="22"/>
  <c r="F44" i="22"/>
  <c r="F46" i="22"/>
  <c r="F48" i="22"/>
  <c r="F9" i="23"/>
  <c r="F12" i="23"/>
  <c r="F20" i="23"/>
  <c r="F28" i="23"/>
  <c r="F36" i="23"/>
  <c r="F44" i="23"/>
  <c r="F55" i="23"/>
  <c r="F69" i="23"/>
  <c r="F71" i="23"/>
  <c r="F73" i="23"/>
  <c r="F75" i="23"/>
  <c r="F80" i="23"/>
  <c r="F16" i="24"/>
  <c r="F18" i="24"/>
  <c r="F20" i="24"/>
  <c r="F28" i="24"/>
  <c r="F36" i="24"/>
  <c r="F49" i="24"/>
  <c r="F59" i="24"/>
  <c r="F63" i="24"/>
  <c r="F66" i="24"/>
  <c r="F68" i="24"/>
  <c r="F70" i="24"/>
  <c r="F71" i="24"/>
  <c r="F73" i="24"/>
  <c r="F75" i="24"/>
  <c r="F77" i="24"/>
  <c r="F79" i="24"/>
  <c r="F81" i="24"/>
  <c r="F83" i="24"/>
  <c r="F85" i="24"/>
  <c r="F87" i="24"/>
  <c r="F12" i="55"/>
  <c r="F10" i="56"/>
  <c r="F13" i="56"/>
  <c r="F11" i="57"/>
  <c r="F11" i="58"/>
  <c r="F14" i="58"/>
  <c r="F16" i="58"/>
  <c r="F18" i="58"/>
  <c r="F11" i="59"/>
  <c r="F9" i="60"/>
  <c r="F11" i="62"/>
  <c r="F9" i="61"/>
  <c r="F13" i="61"/>
  <c r="F9" i="52"/>
  <c r="F11" i="53"/>
  <c r="F16" i="53"/>
  <c r="F18" i="53"/>
  <c r="F20" i="53"/>
  <c r="F22" i="53"/>
  <c r="F10" i="54"/>
  <c r="F12" i="54"/>
  <c r="F14" i="54"/>
  <c r="F16" i="54"/>
  <c r="F18" i="54"/>
  <c r="F12" i="49"/>
  <c r="F21" i="49"/>
  <c r="F23" i="49"/>
  <c r="F25" i="49"/>
  <c r="F27" i="49"/>
  <c r="F29" i="49"/>
  <c r="F12" i="50"/>
  <c r="F22" i="26"/>
  <c r="F14" i="27"/>
  <c r="F14" i="33"/>
  <c r="F16" i="33"/>
  <c r="F18" i="33"/>
  <c r="F22" i="33"/>
  <c r="F28" i="33"/>
  <c r="F9" i="21"/>
  <c r="F9" i="22"/>
  <c r="F12" i="22"/>
  <c r="F23" i="22"/>
  <c r="F29" i="22"/>
  <c r="F32" i="22"/>
  <c r="F34" i="22"/>
  <c r="F36" i="22"/>
  <c r="F43" i="22"/>
  <c r="F54" i="22"/>
  <c r="F14" i="23"/>
  <c r="F34" i="23"/>
  <c r="F40" i="23"/>
  <c r="F45" i="23"/>
  <c r="F47" i="23"/>
  <c r="F72" i="23"/>
  <c r="F14" i="24"/>
  <c r="F17" i="24"/>
  <c r="F34" i="24"/>
  <c r="F45" i="24"/>
  <c r="F51" i="24"/>
  <c r="F67" i="24"/>
  <c r="F74" i="24"/>
  <c r="F82" i="24"/>
  <c r="F11" i="55"/>
  <c r="F13" i="55"/>
  <c r="F11" i="56"/>
  <c r="F13" i="57"/>
  <c r="H13" i="57" s="1"/>
  <c r="F15" i="57"/>
  <c r="F17" i="57"/>
  <c r="F10" i="58"/>
  <c r="F13" i="58"/>
  <c r="F20" i="58"/>
  <c r="F22" i="58"/>
  <c r="F24" i="58"/>
  <c r="F26" i="58"/>
  <c r="F28" i="58"/>
  <c r="F10" i="59"/>
  <c r="F10" i="60"/>
  <c r="F13" i="60"/>
  <c r="F15" i="60"/>
  <c r="F17" i="60"/>
  <c r="F19" i="60"/>
  <c r="F21" i="60"/>
  <c r="F12" i="61"/>
  <c r="F11" i="52"/>
  <c r="F13" i="52"/>
  <c r="F19" i="53"/>
  <c r="F13" i="54"/>
  <c r="F20" i="49"/>
  <c r="F28" i="49"/>
  <c r="F9" i="50"/>
  <c r="F9" i="48"/>
  <c r="F11" i="47"/>
  <c r="F9" i="14"/>
  <c r="F11" i="15"/>
  <c r="F14" i="15"/>
  <c r="F9" i="16"/>
  <c r="F9" i="32"/>
  <c r="F13" i="32"/>
  <c r="F15" i="32"/>
  <c r="F17" i="32"/>
  <c r="F19" i="32"/>
  <c r="F9" i="10"/>
  <c r="F13" i="10"/>
  <c r="F15" i="10"/>
  <c r="F17" i="10"/>
  <c r="F19" i="10"/>
  <c r="F21" i="10"/>
  <c r="F23" i="10"/>
  <c r="F12" i="11"/>
  <c r="F14" i="11"/>
  <c r="F16" i="11"/>
  <c r="F18" i="11"/>
  <c r="F10" i="12"/>
  <c r="F9" i="13"/>
  <c r="F9" i="8"/>
  <c r="F15" i="8"/>
  <c r="F9" i="26"/>
  <c r="F12" i="26"/>
  <c r="F20" i="26"/>
  <c r="F16" i="27"/>
  <c r="F10" i="33"/>
  <c r="F19" i="33"/>
  <c r="F19" i="21"/>
  <c r="F25" i="21"/>
  <c r="F33" i="22"/>
  <c r="F52" i="22"/>
  <c r="F16" i="23"/>
  <c r="F22" i="23"/>
  <c r="F51" i="23"/>
  <c r="F57" i="23"/>
  <c r="F60" i="23"/>
  <c r="F62" i="23"/>
  <c r="F64" i="23"/>
  <c r="F24" i="24"/>
  <c r="F30" i="24"/>
  <c r="F62" i="24"/>
  <c r="F65" i="24"/>
  <c r="F76" i="24"/>
  <c r="F12" i="56"/>
  <c r="F16" i="56"/>
  <c r="F18" i="56"/>
  <c r="F20" i="56"/>
  <c r="F22" i="56"/>
  <c r="F18" i="57"/>
  <c r="F23" i="58"/>
  <c r="F9" i="59"/>
  <c r="F11" i="60"/>
  <c r="F18" i="60"/>
  <c r="F14" i="61"/>
  <c r="F16" i="61"/>
  <c r="F18" i="61"/>
  <c r="F20" i="61"/>
  <c r="F22" i="61"/>
  <c r="F24" i="61"/>
  <c r="F26" i="61"/>
  <c r="F28" i="61"/>
  <c r="F30" i="61"/>
  <c r="F32" i="61"/>
  <c r="F34" i="61"/>
  <c r="F36" i="61"/>
  <c r="F38" i="61"/>
  <c r="F40" i="61"/>
  <c r="F42" i="61"/>
  <c r="F44" i="61"/>
  <c r="F46" i="61"/>
  <c r="F48" i="61"/>
  <c r="F12" i="52"/>
  <c r="F9" i="53"/>
  <c r="F12" i="53"/>
  <c r="F14" i="53"/>
  <c r="F10" i="49"/>
  <c r="F11" i="49"/>
  <c r="F13" i="49"/>
  <c r="F15" i="49"/>
  <c r="F17" i="49"/>
  <c r="F19" i="49"/>
  <c r="F24" i="49"/>
  <c r="F12" i="48"/>
  <c r="F14" i="48"/>
  <c r="F16" i="48"/>
  <c r="F18" i="48"/>
  <c r="F20" i="48"/>
  <c r="F22" i="48"/>
  <c r="F24" i="48"/>
  <c r="F26" i="48"/>
  <c r="F28" i="48"/>
  <c r="F30" i="48"/>
  <c r="F32" i="48"/>
  <c r="F34" i="48"/>
  <c r="F36" i="48"/>
  <c r="F38" i="48"/>
  <c r="F40" i="48"/>
  <c r="F42" i="48"/>
  <c r="F44" i="48"/>
  <c r="F46" i="48"/>
  <c r="H46" i="48" s="1"/>
  <c r="F48" i="48"/>
  <c r="F10" i="47"/>
  <c r="F10" i="14"/>
  <c r="F13" i="14"/>
  <c r="F16" i="15"/>
  <c r="F18" i="15"/>
  <c r="F20" i="15"/>
  <c r="F22" i="15"/>
  <c r="F11" i="16"/>
  <c r="F10" i="32"/>
  <c r="F18" i="32"/>
  <c r="F20" i="32"/>
  <c r="F22" i="32"/>
  <c r="F24" i="32"/>
  <c r="F26" i="32"/>
  <c r="F28" i="32"/>
  <c r="F16" i="10"/>
  <c r="F10" i="11"/>
  <c r="F19" i="11"/>
  <c r="F11" i="12"/>
  <c r="F14" i="12"/>
  <c r="F16" i="12"/>
  <c r="F18" i="12"/>
  <c r="F20" i="12"/>
  <c r="F22" i="12"/>
  <c r="F24" i="12"/>
  <c r="F26" i="12"/>
  <c r="F28" i="12"/>
  <c r="F30" i="12"/>
  <c r="F32" i="12"/>
  <c r="F34" i="12"/>
  <c r="F36" i="12"/>
  <c r="F38" i="12"/>
  <c r="F40" i="12"/>
  <c r="F42" i="12"/>
  <c r="F44" i="12"/>
  <c r="F46" i="12"/>
  <c r="F12" i="8"/>
  <c r="F14" i="8"/>
  <c r="F16" i="8"/>
  <c r="F18" i="8"/>
  <c r="F20" i="8"/>
  <c r="F22" i="8"/>
  <c r="F12" i="9"/>
  <c r="F14" i="9"/>
  <c r="F31" i="9"/>
  <c r="F33" i="9"/>
  <c r="F35" i="9"/>
  <c r="F37" i="9"/>
  <c r="F12" i="5"/>
  <c r="F14" i="5"/>
  <c r="F16" i="5"/>
  <c r="F19" i="5"/>
  <c r="F23" i="5"/>
  <c r="F25" i="5"/>
  <c r="F27" i="5"/>
  <c r="F29" i="5"/>
  <c r="F11" i="3"/>
  <c r="F51" i="3"/>
  <c r="F53" i="3"/>
  <c r="F55" i="3"/>
  <c r="F57" i="3"/>
  <c r="F11" i="4"/>
  <c r="F65" i="4"/>
  <c r="F67" i="4"/>
  <c r="F69" i="4"/>
  <c r="F11" i="25"/>
  <c r="F13" i="25"/>
  <c r="F11" i="26"/>
  <c r="F18" i="26"/>
  <c r="F11" i="27"/>
  <c r="F17" i="33"/>
  <c r="F17" i="21"/>
  <c r="F23" i="21"/>
  <c r="F41" i="22"/>
  <c r="F47" i="22"/>
  <c r="F50" i="22"/>
  <c r="F11" i="23"/>
  <c r="F38" i="23"/>
  <c r="F78" i="23"/>
  <c r="F9" i="24"/>
  <c r="F19" i="24"/>
  <c r="F22" i="24"/>
  <c r="F57" i="24"/>
  <c r="F64" i="24"/>
  <c r="F69" i="24"/>
  <c r="F10" i="55"/>
  <c r="F9" i="56"/>
  <c r="F16" i="57"/>
  <c r="F19" i="58"/>
  <c r="F21" i="58"/>
  <c r="F20" i="33"/>
  <c r="F11" i="22"/>
  <c r="F13" i="22"/>
  <c r="F25" i="22"/>
  <c r="F24" i="23"/>
  <c r="F30" i="23"/>
  <c r="F82" i="23"/>
  <c r="F32" i="24"/>
  <c r="F47" i="24"/>
  <c r="F19" i="56"/>
  <c r="F12" i="58"/>
  <c r="F17" i="58"/>
  <c r="F29" i="58"/>
  <c r="F12" i="60"/>
  <c r="F17" i="61"/>
  <c r="F25" i="61"/>
  <c r="F33" i="61"/>
  <c r="F41" i="61"/>
  <c r="F49" i="61"/>
  <c r="F17" i="53"/>
  <c r="F15" i="54"/>
  <c r="F16" i="49"/>
  <c r="F14" i="50"/>
  <c r="F16" i="50"/>
  <c r="F18" i="50"/>
  <c r="F20" i="50"/>
  <c r="F22" i="50"/>
  <c r="F24" i="50"/>
  <c r="F11" i="51"/>
  <c r="F13" i="51"/>
  <c r="F15" i="51"/>
  <c r="F17" i="51"/>
  <c r="F19" i="51"/>
  <c r="F21" i="51"/>
  <c r="F11" i="48"/>
  <c r="F13" i="48"/>
  <c r="F21" i="48"/>
  <c r="F29" i="48"/>
  <c r="F37" i="48"/>
  <c r="F45" i="48"/>
  <c r="F12" i="47"/>
  <c r="F14" i="47"/>
  <c r="F16" i="47"/>
  <c r="F18" i="47"/>
  <c r="F20" i="47"/>
  <c r="F22" i="47"/>
  <c r="F24" i="47"/>
  <c r="F26" i="47"/>
  <c r="F28" i="47"/>
  <c r="F30" i="47"/>
  <c r="F32" i="47"/>
  <c r="F34" i="47"/>
  <c r="F36" i="47"/>
  <c r="F38" i="47"/>
  <c r="F40" i="47"/>
  <c r="F42" i="47"/>
  <c r="F44" i="47"/>
  <c r="F46" i="47"/>
  <c r="F48" i="47"/>
  <c r="F12" i="14"/>
  <c r="F9" i="15"/>
  <c r="F12" i="15"/>
  <c r="F21" i="15"/>
  <c r="F16" i="32"/>
  <c r="F27" i="32"/>
  <c r="F10" i="10"/>
  <c r="F17" i="11"/>
  <c r="F12" i="12"/>
  <c r="F19" i="12"/>
  <c r="F27" i="12"/>
  <c r="F35" i="12"/>
  <c r="F43" i="12"/>
  <c r="F10" i="9"/>
  <c r="F34" i="9"/>
  <c r="F15" i="5"/>
  <c r="F17" i="5"/>
  <c r="F26" i="5"/>
  <c r="F13" i="3"/>
  <c r="F15" i="3"/>
  <c r="F17" i="3"/>
  <c r="F19" i="3"/>
  <c r="F21" i="3"/>
  <c r="F23" i="3"/>
  <c r="F25" i="3"/>
  <c r="F27" i="3"/>
  <c r="F29" i="3"/>
  <c r="F31" i="3"/>
  <c r="F33" i="3"/>
  <c r="F35" i="3"/>
  <c r="F37" i="3"/>
  <c r="F39" i="3"/>
  <c r="F41" i="3"/>
  <c r="F43" i="3"/>
  <c r="F45" i="3"/>
  <c r="F47" i="3"/>
  <c r="F52" i="3"/>
  <c r="F60" i="3"/>
  <c r="F62" i="3"/>
  <c r="F64" i="3"/>
  <c r="F67" i="3"/>
  <c r="F69" i="3"/>
  <c r="F71" i="3"/>
  <c r="F73" i="3"/>
  <c r="F75" i="3"/>
  <c r="F77" i="3"/>
  <c r="F79" i="3"/>
  <c r="F81" i="3"/>
  <c r="F10" i="4"/>
  <c r="F63" i="4"/>
  <c r="F71" i="4"/>
  <c r="F73" i="4"/>
  <c r="F75" i="4"/>
  <c r="F77" i="4"/>
  <c r="F79" i="4"/>
  <c r="F81" i="4"/>
  <c r="F83" i="4"/>
  <c r="F85" i="4"/>
  <c r="F87" i="4"/>
  <c r="F15" i="33"/>
  <c r="F45" i="22"/>
  <c r="F18" i="23"/>
  <c r="F58" i="23"/>
  <c r="F65" i="23"/>
  <c r="F67" i="23"/>
  <c r="F76" i="23"/>
  <c r="F26" i="24"/>
  <c r="F80" i="24"/>
  <c r="F86" i="24"/>
  <c r="F9" i="55"/>
  <c r="F17" i="56"/>
  <c r="F9" i="58"/>
  <c r="F15" i="58"/>
  <c r="F27" i="58"/>
  <c r="F12" i="59"/>
  <c r="F14" i="59"/>
  <c r="F16" i="59"/>
  <c r="F18" i="59"/>
  <c r="F20" i="59"/>
  <c r="F22" i="59"/>
  <c r="F24" i="59"/>
  <c r="F13" i="62"/>
  <c r="F15" i="62"/>
  <c r="F17" i="62"/>
  <c r="F19" i="62"/>
  <c r="F21" i="62"/>
  <c r="F23" i="62"/>
  <c r="F25" i="62"/>
  <c r="F27" i="62"/>
  <c r="F29" i="62"/>
  <c r="F31" i="62"/>
  <c r="F33" i="62"/>
  <c r="F35" i="62"/>
  <c r="F37" i="62"/>
  <c r="F39" i="62"/>
  <c r="F41" i="62"/>
  <c r="F43" i="62"/>
  <c r="F45" i="62"/>
  <c r="H45" i="62" s="1"/>
  <c r="F47" i="62"/>
  <c r="F49" i="62"/>
  <c r="F11" i="61"/>
  <c r="F15" i="61"/>
  <c r="F23" i="61"/>
  <c r="F31" i="61"/>
  <c r="F39" i="61"/>
  <c r="F47" i="61"/>
  <c r="F13" i="53"/>
  <c r="F15" i="53"/>
  <c r="F21" i="53"/>
  <c r="F9" i="54"/>
  <c r="F14" i="49"/>
  <c r="F84" i="4"/>
  <c r="F76" i="4"/>
  <c r="F66" i="4"/>
  <c r="F64" i="4"/>
  <c r="F9" i="4"/>
  <c r="F76" i="3"/>
  <c r="F68" i="3"/>
  <c r="F58" i="3"/>
  <c r="F56" i="3"/>
  <c r="F50" i="3"/>
  <c r="F42" i="3"/>
  <c r="F34" i="3"/>
  <c r="F26" i="3"/>
  <c r="F18" i="3"/>
  <c r="F54" i="5"/>
  <c r="F52" i="5"/>
  <c r="F50" i="5"/>
  <c r="F48" i="5"/>
  <c r="F46" i="5"/>
  <c r="F44" i="5"/>
  <c r="F42" i="5"/>
  <c r="F40" i="5"/>
  <c r="F38" i="5"/>
  <c r="F37" i="5"/>
  <c r="F35" i="5"/>
  <c r="F33" i="5"/>
  <c r="F30" i="5"/>
  <c r="F28" i="5"/>
  <c r="F22" i="5"/>
  <c r="F29" i="9"/>
  <c r="F27" i="9"/>
  <c r="F25" i="9"/>
  <c r="F23" i="9"/>
  <c r="F21" i="9"/>
  <c r="F19" i="9"/>
  <c r="F15" i="9"/>
  <c r="F13" i="9"/>
  <c r="F11" i="9"/>
  <c r="F19" i="8"/>
  <c r="F10" i="8"/>
  <c r="F9" i="7"/>
  <c r="F11" i="13"/>
  <c r="F47" i="12"/>
  <c r="F41" i="12"/>
  <c r="F21" i="12"/>
  <c r="F15" i="12"/>
  <c r="F9" i="12"/>
  <c r="F29" i="32"/>
  <c r="F23" i="32"/>
  <c r="F14" i="32"/>
  <c r="F12" i="32"/>
  <c r="F15" i="16"/>
  <c r="F13" i="16"/>
  <c r="F10" i="15"/>
  <c r="F11" i="14"/>
  <c r="F43" i="47"/>
  <c r="F35" i="47"/>
  <c r="F27" i="47"/>
  <c r="F19" i="47"/>
  <c r="F49" i="48"/>
  <c r="F43" i="48"/>
  <c r="F23" i="48"/>
  <c r="F17" i="48"/>
  <c r="F18" i="51"/>
  <c r="F10" i="51"/>
  <c r="F25" i="50"/>
  <c r="F17" i="50"/>
  <c r="F45" i="61"/>
  <c r="F29" i="61"/>
  <c r="F46" i="62"/>
  <c r="F38" i="62"/>
  <c r="F30" i="62"/>
  <c r="F22" i="62"/>
  <c r="F14" i="62"/>
  <c r="F10" i="62"/>
  <c r="F16" i="60"/>
  <c r="F21" i="59"/>
  <c r="F13" i="59"/>
  <c r="F15" i="56"/>
  <c r="F72" i="24"/>
  <c r="F55" i="24"/>
  <c r="F74" i="23"/>
  <c r="F32" i="23"/>
  <c r="F35" i="22"/>
  <c r="F30" i="22"/>
  <c r="F13" i="33"/>
  <c r="F16" i="26"/>
  <c r="F86" i="4"/>
  <c r="F78" i="4"/>
  <c r="F68" i="4"/>
  <c r="F62" i="4"/>
  <c r="F60" i="4"/>
  <c r="F58" i="4"/>
  <c r="F56" i="4"/>
  <c r="F52" i="4"/>
  <c r="F50" i="4"/>
  <c r="F48" i="4"/>
  <c r="F46" i="4"/>
  <c r="F42" i="4"/>
  <c r="F38" i="4"/>
  <c r="F36" i="4"/>
  <c r="F34" i="4"/>
  <c r="F32" i="4"/>
  <c r="F30" i="4"/>
  <c r="F28" i="4"/>
  <c r="F26" i="4"/>
  <c r="F24" i="4"/>
  <c r="F22" i="4"/>
  <c r="F20" i="4"/>
  <c r="F18" i="4"/>
  <c r="F16" i="4"/>
  <c r="F14" i="4"/>
  <c r="F12" i="4"/>
  <c r="F78" i="3"/>
  <c r="F70" i="3"/>
  <c r="F61" i="3"/>
  <c r="F59" i="3"/>
  <c r="F44" i="3"/>
  <c r="F36" i="3"/>
  <c r="F28" i="3"/>
  <c r="F20" i="3"/>
  <c r="F12" i="3"/>
  <c r="F9" i="3"/>
  <c r="F31" i="5"/>
  <c r="F24" i="5"/>
  <c r="F9" i="5"/>
  <c r="F36" i="9"/>
  <c r="F30" i="9"/>
  <c r="F9" i="9"/>
  <c r="F21" i="8"/>
  <c r="F13" i="8"/>
  <c r="F11" i="8"/>
  <c r="F13" i="7"/>
  <c r="F11" i="7"/>
  <c r="F46" i="13"/>
  <c r="F44" i="13"/>
  <c r="F42" i="13"/>
  <c r="F40" i="13"/>
  <c r="F38" i="13"/>
  <c r="F36" i="13"/>
  <c r="F34" i="13"/>
  <c r="F32" i="13"/>
  <c r="F30" i="13"/>
  <c r="F28" i="13"/>
  <c r="F26" i="13"/>
  <c r="F24" i="13"/>
  <c r="F22" i="13"/>
  <c r="F20" i="13"/>
  <c r="F18" i="13"/>
  <c r="F16" i="13"/>
  <c r="F14" i="13"/>
  <c r="F12" i="13"/>
  <c r="F29" i="12"/>
  <c r="F23" i="12"/>
  <c r="F17" i="12"/>
  <c r="F18" i="10"/>
  <c r="F11" i="10"/>
  <c r="F25" i="32"/>
  <c r="F15" i="15"/>
  <c r="F13" i="15"/>
  <c r="F45" i="47"/>
  <c r="F37" i="47"/>
  <c r="F29" i="47"/>
  <c r="F21" i="47"/>
  <c r="F13" i="47"/>
  <c r="F9" i="47"/>
  <c r="F31" i="48"/>
  <c r="F25" i="48"/>
  <c r="F19" i="48"/>
  <c r="F20" i="51"/>
  <c r="F12" i="51"/>
  <c r="F9" i="51"/>
  <c r="F19" i="50"/>
  <c r="F18" i="49"/>
  <c r="F10" i="53"/>
  <c r="F10" i="52"/>
  <c r="F35" i="61"/>
  <c r="F19" i="61"/>
  <c r="F48" i="62"/>
  <c r="F40" i="62"/>
  <c r="F32" i="62"/>
  <c r="F24" i="62"/>
  <c r="F16" i="62"/>
  <c r="F23" i="59"/>
  <c r="F15" i="59"/>
  <c r="F12" i="57"/>
  <c r="F9" i="57"/>
  <c r="F21" i="56"/>
  <c r="F78" i="24"/>
  <c r="F61" i="24"/>
  <c r="F13" i="24"/>
  <c r="F11" i="24"/>
  <c r="F61" i="23"/>
  <c r="F53" i="23"/>
  <c r="F42" i="23"/>
  <c r="F39" i="22"/>
  <c r="F37" i="22"/>
  <c r="F15" i="21"/>
  <c r="F10" i="21"/>
  <c r="F26" i="33"/>
  <c r="F17" i="9"/>
  <c r="F20" i="22"/>
  <c r="C13" i="21"/>
  <c r="C14" i="27"/>
  <c r="H34" i="38"/>
  <c r="K34" i="38" s="1"/>
  <c r="H21" i="38"/>
  <c r="I21" i="38" s="1"/>
  <c r="H23" i="38"/>
  <c r="J23" i="38" s="1"/>
  <c r="C16" i="10"/>
  <c r="C19" i="10" s="1"/>
  <c r="C20" i="10" s="1"/>
  <c r="C21" i="10" s="1"/>
  <c r="C22" i="10" s="1"/>
  <c r="C23" i="10" s="1"/>
  <c r="C13" i="11"/>
  <c r="C14" i="11" s="1"/>
  <c r="C15" i="11" s="1"/>
  <c r="C16" i="11" s="1"/>
  <c r="C17" i="11" s="1"/>
  <c r="C18" i="11" s="1"/>
  <c r="C13" i="16"/>
  <c r="C14" i="16" s="1"/>
  <c r="C15" i="16" s="1"/>
  <c r="C16" i="16" s="1"/>
  <c r="C15" i="26"/>
  <c r="C18" i="26" s="1"/>
  <c r="C21" i="26" s="1"/>
  <c r="C22" i="26" s="1"/>
  <c r="C13" i="52"/>
  <c r="E14" i="27"/>
  <c r="C15" i="53"/>
  <c r="C18" i="53" s="1"/>
  <c r="C21" i="53" s="1"/>
  <c r="C22" i="53" s="1"/>
  <c r="C15" i="57"/>
  <c r="C15" i="56"/>
  <c r="C18" i="56" s="1"/>
  <c r="C21" i="56" s="1"/>
  <c r="C22" i="56" s="1"/>
  <c r="C13" i="7"/>
  <c r="C16" i="50"/>
  <c r="C19" i="50" s="1"/>
  <c r="C22" i="50" s="1"/>
  <c r="C16" i="49"/>
  <c r="C19" i="49" s="1"/>
  <c r="C20" i="49" s="1"/>
  <c r="C25" i="49" s="1"/>
  <c r="C28" i="49" s="1"/>
  <c r="C29" i="49" s="1"/>
  <c r="C13" i="58"/>
  <c r="C16" i="21"/>
  <c r="C19" i="21" s="1"/>
  <c r="C20" i="21" s="1"/>
  <c r="H49" i="38"/>
  <c r="K49" i="38" s="1"/>
  <c r="H44" i="38"/>
  <c r="J44" i="38" s="1"/>
  <c r="C15" i="8"/>
  <c r="C18" i="8" s="1"/>
  <c r="C21" i="8" s="1"/>
  <c r="C22" i="8" s="1"/>
  <c r="C13" i="49"/>
  <c r="H47" i="38"/>
  <c r="I47" i="38" s="1"/>
  <c r="D51" i="4" s="1"/>
  <c r="H22" i="38"/>
  <c r="J22" i="38" s="1"/>
  <c r="D23" i="13" s="1"/>
  <c r="C16" i="54"/>
  <c r="C17" i="54" s="1"/>
  <c r="C18" i="54" s="1"/>
  <c r="C13" i="25"/>
  <c r="C13" i="14"/>
  <c r="F40" i="4"/>
  <c r="F54" i="4"/>
  <c r="H48" i="38"/>
  <c r="K48" i="38" s="1"/>
  <c r="H46" i="38"/>
  <c r="H45" i="38"/>
  <c r="H33" i="38"/>
  <c r="H32" i="38"/>
  <c r="I32" i="38" s="1"/>
  <c r="H43" i="38"/>
  <c r="I43" i="38" s="1"/>
  <c r="C16" i="58"/>
  <c r="C19" i="58" s="1"/>
  <c r="C20" i="58" s="1"/>
  <c r="C25" i="58" s="1"/>
  <c r="C28" i="58" s="1"/>
  <c r="C29" i="58" s="1"/>
  <c r="C16" i="59"/>
  <c r="C19" i="59" s="1"/>
  <c r="C23" i="59" s="1"/>
  <c r="C24" i="59" s="1"/>
  <c r="C25" i="59" s="1"/>
  <c r="C18" i="22"/>
  <c r="C20" i="22" s="1"/>
  <c r="C21" i="22" s="1"/>
  <c r="C46" i="23"/>
  <c r="C51" i="23" s="1"/>
  <c r="C14" i="54"/>
  <c r="C13" i="50"/>
  <c r="C46" i="3"/>
  <c r="C47" i="3" s="1"/>
  <c r="C37" i="4"/>
  <c r="C13" i="59"/>
  <c r="C17" i="22"/>
  <c r="C13" i="60"/>
  <c r="C14" i="60" s="1"/>
  <c r="C15" i="60" s="1"/>
  <c r="C18" i="60" s="1"/>
  <c r="C37" i="24"/>
  <c r="C38" i="24"/>
  <c r="C49" i="24" s="1"/>
  <c r="C15" i="15"/>
  <c r="C18" i="15" s="1"/>
  <c r="C21" i="15" s="1"/>
  <c r="C22" i="15" s="1"/>
  <c r="C15" i="54"/>
  <c r="C13" i="54"/>
  <c r="C13" i="10"/>
  <c r="C20" i="9"/>
  <c r="C26" i="9" s="1"/>
  <c r="C19" i="9"/>
  <c r="C25" i="9" s="1"/>
  <c r="C15" i="9"/>
  <c r="C21" i="9"/>
  <c r="C27" i="9" s="1"/>
  <c r="C18" i="9"/>
  <c r="C24" i="9" s="1"/>
  <c r="C18" i="5"/>
  <c r="C19" i="5" s="1"/>
  <c r="C17" i="5"/>
  <c r="C45" i="3"/>
  <c r="C38" i="4"/>
  <c r="C42" i="4" s="1"/>
  <c r="C15" i="27"/>
  <c r="C41" i="48"/>
  <c r="C42" i="48" s="1"/>
  <c r="C43" i="48" s="1"/>
  <c r="C47" i="48" s="1"/>
  <c r="C48" i="48" s="1"/>
  <c r="C49" i="48" s="1"/>
  <c r="C33" i="47"/>
  <c r="C34" i="47" s="1"/>
  <c r="C13" i="55"/>
  <c r="C16" i="57"/>
  <c r="C17" i="57" s="1"/>
  <c r="C18" i="57" s="1"/>
  <c r="C13" i="27"/>
  <c r="C16" i="27"/>
  <c r="C17" i="27" s="1"/>
  <c r="C18" i="27" s="1"/>
  <c r="C41" i="62"/>
  <c r="C42" i="62" s="1"/>
  <c r="C43" i="62" s="1"/>
  <c r="C47" i="62" s="1"/>
  <c r="C48" i="62" s="1"/>
  <c r="C49" i="62" s="1"/>
  <c r="C33" i="61"/>
  <c r="C13" i="51"/>
  <c r="C14" i="51" s="1"/>
  <c r="C15" i="51" s="1"/>
  <c r="C18" i="51" s="1"/>
  <c r="C33" i="13"/>
  <c r="H20" i="38"/>
  <c r="I17" i="2"/>
  <c r="I15" i="2"/>
  <c r="I13" i="2"/>
  <c r="I10" i="2"/>
  <c r="I39" i="36"/>
  <c r="E15" i="27"/>
  <c r="I32" i="36"/>
  <c r="E18" i="51"/>
  <c r="I38" i="36"/>
  <c r="I30" i="36"/>
  <c r="I29" i="36"/>
  <c r="E24" i="48" s="1"/>
  <c r="E87" i="24"/>
  <c r="E21" i="21"/>
  <c r="I41" i="36"/>
  <c r="E15" i="5" s="1"/>
  <c r="I31" i="36"/>
  <c r="I28" i="36"/>
  <c r="I35" i="36"/>
  <c r="E61" i="23" s="1"/>
  <c r="I27" i="36"/>
  <c r="I45" i="36"/>
  <c r="I43" i="36"/>
  <c r="E18" i="5" s="1"/>
  <c r="I37" i="36"/>
  <c r="I46" i="36"/>
  <c r="I24" i="36"/>
  <c r="I36" i="36"/>
  <c r="F49" i="3"/>
  <c r="F48" i="3"/>
  <c r="F41" i="4"/>
  <c r="F43" i="4"/>
  <c r="F20" i="5"/>
  <c r="F44" i="4"/>
  <c r="F21" i="5"/>
  <c r="F53" i="24"/>
  <c r="C41" i="12"/>
  <c r="C42" i="12" s="1"/>
  <c r="C43" i="12" s="1"/>
  <c r="C44" i="12" s="1"/>
  <c r="C45" i="12" s="1"/>
  <c r="C46" i="12" s="1"/>
  <c r="C47" i="12" s="1"/>
  <c r="E35" i="61"/>
  <c r="E13" i="49"/>
  <c r="I44" i="36"/>
  <c r="I26" i="36"/>
  <c r="E11" i="24" s="1"/>
  <c r="I25" i="2"/>
  <c r="E26" i="2"/>
  <c r="E46" i="62"/>
  <c r="E20" i="10"/>
  <c r="E15" i="57"/>
  <c r="C13" i="57"/>
  <c r="C14" i="57"/>
  <c r="C43" i="23"/>
  <c r="C45" i="23"/>
  <c r="C13" i="32"/>
  <c r="C16" i="32"/>
  <c r="C19" i="32" s="1"/>
  <c r="C20" i="32" s="1"/>
  <c r="C25" i="32" s="1"/>
  <c r="C28" i="32" s="1"/>
  <c r="C29" i="32" s="1"/>
  <c r="E18" i="2"/>
  <c r="I24" i="2"/>
  <c r="I34" i="36"/>
  <c r="E26" i="22" s="1"/>
  <c r="I22" i="2"/>
  <c r="I16" i="2"/>
  <c r="I14" i="2"/>
  <c r="I11" i="2"/>
  <c r="I25" i="36"/>
  <c r="E51" i="5" s="1"/>
  <c r="I40" i="36"/>
  <c r="E39" i="4"/>
  <c r="I21" i="2"/>
  <c r="C28" i="2"/>
  <c r="C42" i="2" s="1"/>
  <c r="D28" i="2"/>
  <c r="D42" i="2" s="1"/>
  <c r="G28" i="2"/>
  <c r="G42" i="2" s="1"/>
  <c r="F28" i="2"/>
  <c r="F42" i="2" s="1"/>
  <c r="I37" i="2"/>
  <c r="I38" i="2"/>
  <c r="I34" i="2"/>
  <c r="I31" i="2"/>
  <c r="F40" i="24"/>
  <c r="F43" i="24"/>
  <c r="F54" i="24"/>
  <c r="F44" i="24"/>
  <c r="F60" i="24"/>
  <c r="F58" i="24"/>
  <c r="F56" i="24"/>
  <c r="F52" i="24"/>
  <c r="F50" i="24"/>
  <c r="F48" i="24"/>
  <c r="F46" i="24"/>
  <c r="F42" i="24"/>
  <c r="F38" i="24"/>
  <c r="F35" i="24"/>
  <c r="F33" i="24"/>
  <c r="F31" i="24"/>
  <c r="F29" i="24"/>
  <c r="F27" i="24"/>
  <c r="F25" i="24"/>
  <c r="F23" i="24"/>
  <c r="F21" i="24"/>
  <c r="F15" i="24"/>
  <c r="F12" i="24"/>
  <c r="F10" i="24"/>
  <c r="F81" i="23"/>
  <c r="F79" i="23"/>
  <c r="F77" i="23"/>
  <c r="F70" i="23"/>
  <c r="F68" i="23"/>
  <c r="F66" i="23"/>
  <c r="F59" i="23"/>
  <c r="F56" i="23"/>
  <c r="F54" i="23"/>
  <c r="F52" i="23"/>
  <c r="F50" i="23"/>
  <c r="F46" i="23"/>
  <c r="F43" i="23"/>
  <c r="F41" i="23"/>
  <c r="F39" i="23"/>
  <c r="F37" i="23"/>
  <c r="F35" i="23"/>
  <c r="F33" i="23"/>
  <c r="F31" i="23"/>
  <c r="F29" i="23"/>
  <c r="F27" i="23"/>
  <c r="F25" i="23"/>
  <c r="F23" i="23"/>
  <c r="F21" i="23"/>
  <c r="F19" i="23"/>
  <c r="F17" i="23"/>
  <c r="F15" i="23"/>
  <c r="F13" i="23"/>
  <c r="F10" i="23"/>
  <c r="F53" i="22"/>
  <c r="F51" i="22"/>
  <c r="F49" i="22"/>
  <c r="F31" i="22"/>
  <c r="F28" i="22"/>
  <c r="F26" i="22"/>
  <c r="F24" i="22"/>
  <c r="F22" i="22"/>
  <c r="F18" i="22"/>
  <c r="F14" i="22"/>
  <c r="F10" i="22"/>
  <c r="F24" i="21"/>
  <c r="F22" i="21"/>
  <c r="F20" i="21"/>
  <c r="F18" i="21"/>
  <c r="F16" i="21"/>
  <c r="F14" i="21"/>
  <c r="F12" i="21"/>
  <c r="F29" i="33"/>
  <c r="F27" i="33"/>
  <c r="F25" i="33"/>
  <c r="F23" i="33"/>
  <c r="F21" i="33"/>
  <c r="F11" i="33"/>
  <c r="F17" i="27"/>
  <c r="F15" i="27"/>
  <c r="F13" i="27"/>
  <c r="F10" i="27"/>
  <c r="F9" i="27"/>
  <c r="F14" i="26"/>
  <c r="F12" i="25"/>
  <c r="C8" i="63"/>
  <c r="D8" i="63" s="1"/>
  <c r="F8" i="63" s="1"/>
  <c r="F53" i="4"/>
  <c r="F41" i="24"/>
  <c r="F48" i="23"/>
  <c r="F49" i="23"/>
  <c r="I47" i="36"/>
  <c r="E48" i="3" s="1"/>
  <c r="I42" i="36"/>
  <c r="I33" i="36"/>
  <c r="E27" i="5" s="1"/>
  <c r="E45" i="3"/>
  <c r="E45" i="23"/>
  <c r="E37" i="24"/>
  <c r="H37" i="24" s="1"/>
  <c r="E37" i="4"/>
  <c r="E15" i="9"/>
  <c r="E13" i="33"/>
  <c r="E13" i="50"/>
  <c r="E13" i="21"/>
  <c r="E13" i="58"/>
  <c r="E35" i="13"/>
  <c r="E40" i="47"/>
  <c r="E13" i="32"/>
  <c r="E40" i="13"/>
  <c r="E40" i="61"/>
  <c r="E17" i="22"/>
  <c r="E17" i="5"/>
  <c r="E13" i="10"/>
  <c r="E19" i="22"/>
  <c r="E42" i="4"/>
  <c r="E52" i="4"/>
  <c r="E52" i="24"/>
  <c r="E35" i="47"/>
  <c r="E13" i="59"/>
  <c r="E15" i="8"/>
  <c r="E30" i="9"/>
  <c r="E15" i="53"/>
  <c r="E20" i="32"/>
  <c r="E15" i="15"/>
  <c r="E20" i="58"/>
  <c r="E15" i="26"/>
  <c r="E20" i="33"/>
  <c r="E20" i="49"/>
  <c r="E15" i="56"/>
  <c r="E32" i="22"/>
  <c r="E32" i="5"/>
  <c r="E16" i="11"/>
  <c r="E46" i="47"/>
  <c r="E15" i="54"/>
  <c r="E44" i="12"/>
  <c r="E44" i="47"/>
  <c r="E14" i="57"/>
  <c r="E41" i="61"/>
  <c r="E33" i="13"/>
  <c r="E19" i="5"/>
  <c r="E42" i="24"/>
  <c r="E13" i="16"/>
  <c r="E22" i="50"/>
  <c r="E22" i="21"/>
  <c r="E44" i="13"/>
  <c r="E18" i="60"/>
  <c r="E46" i="61"/>
  <c r="E22" i="59"/>
  <c r="E59" i="23"/>
  <c r="E59" i="3"/>
  <c r="E41" i="47"/>
  <c r="E41" i="12"/>
  <c r="E33" i="61"/>
  <c r="E41" i="62"/>
  <c r="E41" i="13"/>
  <c r="E13" i="60"/>
  <c r="E41" i="48"/>
  <c r="E33" i="47"/>
  <c r="E13" i="51"/>
  <c r="H39" i="24"/>
  <c r="E47" i="3"/>
  <c r="E47" i="23"/>
  <c r="E65" i="24"/>
  <c r="E60" i="23"/>
  <c r="E60" i="3"/>
  <c r="E65" i="4"/>
  <c r="E45" i="48"/>
  <c r="E17" i="60"/>
  <c r="E21" i="50"/>
  <c r="E21" i="59"/>
  <c r="E14" i="54"/>
  <c r="E31" i="22"/>
  <c r="E31" i="5"/>
  <c r="E45" i="47"/>
  <c r="E64" i="4"/>
  <c r="E17" i="51"/>
  <c r="E64" i="24"/>
  <c r="E45" i="61"/>
  <c r="E30" i="22"/>
  <c r="E20" i="50"/>
  <c r="E63" i="4"/>
  <c r="E20" i="21"/>
  <c r="E13" i="54"/>
  <c r="E13" i="27"/>
  <c r="E44" i="62"/>
  <c r="E58" i="23"/>
  <c r="E20" i="59"/>
  <c r="E16" i="60"/>
  <c r="E63" i="24"/>
  <c r="E58" i="3"/>
  <c r="E44" i="61"/>
  <c r="E44" i="48"/>
  <c r="E16" i="51"/>
  <c r="E30" i="5"/>
  <c r="I36" i="2"/>
  <c r="I35" i="2"/>
  <c r="I32" i="2"/>
  <c r="H39" i="2"/>
  <c r="H18" i="2"/>
  <c r="H26" i="2"/>
  <c r="E39" i="2"/>
  <c r="I30" i="2"/>
  <c r="I9" i="2"/>
  <c r="C10" i="45" l="1"/>
  <c r="C25" i="45"/>
  <c r="D25" i="1"/>
  <c r="C26" i="45"/>
  <c r="D24" i="1"/>
  <c r="C12" i="45"/>
  <c r="D19" i="1"/>
  <c r="C14" i="45"/>
  <c r="C23" i="45"/>
  <c r="C32" i="45"/>
  <c r="C27" i="45"/>
  <c r="C9" i="45"/>
  <c r="E45" i="45"/>
  <c r="D57" i="1"/>
  <c r="C37" i="45"/>
  <c r="D58" i="1"/>
  <c r="C35" i="45"/>
  <c r="C34" i="45"/>
  <c r="D56" i="1"/>
  <c r="D46" i="1"/>
  <c r="D50" i="1"/>
  <c r="C39" i="45"/>
  <c r="D59" i="1"/>
  <c r="C38" i="45"/>
  <c r="D17" i="1"/>
  <c r="E14" i="64"/>
  <c r="B14" i="64"/>
  <c r="C14" i="64"/>
  <c r="D14" i="64"/>
  <c r="C22" i="45"/>
  <c r="D36" i="1"/>
  <c r="D26" i="1"/>
  <c r="H44" i="62"/>
  <c r="D18" i="1"/>
  <c r="H32" i="5"/>
  <c r="H41" i="48"/>
  <c r="I41" i="48" s="1"/>
  <c r="H16" i="51"/>
  <c r="H33" i="47"/>
  <c r="I33" i="47" s="1"/>
  <c r="H13" i="50"/>
  <c r="I13" i="50" s="1"/>
  <c r="H18" i="5"/>
  <c r="I18" i="5" s="1"/>
  <c r="H14" i="27"/>
  <c r="I14" i="27" s="1"/>
  <c r="A12" i="34"/>
  <c r="A13" i="34" s="1"/>
  <c r="A14" i="34" s="1"/>
  <c r="A15" i="34" s="1"/>
  <c r="A16" i="34" s="1"/>
  <c r="A17" i="34" s="1"/>
  <c r="A18" i="34" s="1"/>
  <c r="A19" i="34" s="1"/>
  <c r="A20" i="34" s="1"/>
  <c r="A21" i="34" s="1"/>
  <c r="A22" i="34" s="1"/>
  <c r="A23" i="34" s="1"/>
  <c r="A24" i="34" s="1"/>
  <c r="A25" i="34" s="1"/>
  <c r="A26" i="34" s="1"/>
  <c r="A27" i="34" s="1"/>
  <c r="A28" i="34" s="1"/>
  <c r="A29" i="34" s="1"/>
  <c r="A30" i="34" s="1"/>
  <c r="A31" i="34" s="1"/>
  <c r="A32" i="34" s="1"/>
  <c r="A33" i="34" s="1"/>
  <c r="A34" i="34" s="1"/>
  <c r="A35" i="34" s="1"/>
  <c r="A36" i="34" s="1"/>
  <c r="A37" i="34" s="1"/>
  <c r="A38" i="34" s="1"/>
  <c r="A39" i="34" s="1"/>
  <c r="A40" i="34" s="1"/>
  <c r="A41" i="34" s="1"/>
  <c r="A42" i="34" s="1"/>
  <c r="A43" i="34" s="1"/>
  <c r="A44" i="34" s="1"/>
  <c r="A45" i="34" s="1"/>
  <c r="A46" i="34" s="1"/>
  <c r="A47" i="34" s="1"/>
  <c r="A48" i="34" s="1"/>
  <c r="A49" i="34" s="1"/>
  <c r="A50" i="34" s="1"/>
  <c r="A51" i="34" s="1"/>
  <c r="A52" i="34" s="1"/>
  <c r="A53" i="34" s="1"/>
  <c r="A54" i="34" s="1"/>
  <c r="A55" i="34" s="1"/>
  <c r="A56" i="34" s="1"/>
  <c r="A57" i="34" s="1"/>
  <c r="A58" i="34" s="1"/>
  <c r="A59" i="34" s="1"/>
  <c r="A60" i="34" s="1"/>
  <c r="H44" i="48"/>
  <c r="H17" i="51"/>
  <c r="H13" i="60"/>
  <c r="I13" i="60" s="1"/>
  <c r="H17" i="5"/>
  <c r="I17" i="5" s="1"/>
  <c r="H13" i="32"/>
  <c r="I13" i="32" s="1"/>
  <c r="H46" i="62"/>
  <c r="L21" i="38"/>
  <c r="D10" i="26" s="1"/>
  <c r="J47" i="38"/>
  <c r="D38" i="13" s="1"/>
  <c r="H13" i="58"/>
  <c r="I13" i="58" s="1"/>
  <c r="C43" i="24"/>
  <c r="C44" i="24" s="1"/>
  <c r="L23" i="38"/>
  <c r="D16" i="62" s="1"/>
  <c r="K44" i="38"/>
  <c r="J34" i="38"/>
  <c r="H60" i="3"/>
  <c r="H33" i="61"/>
  <c r="I33" i="61" s="1"/>
  <c r="H15" i="56"/>
  <c r="I15" i="56" s="1"/>
  <c r="H13" i="10"/>
  <c r="I13" i="10" s="1"/>
  <c r="H20" i="10"/>
  <c r="I20" i="10" s="1"/>
  <c r="H63" i="4"/>
  <c r="H14" i="57"/>
  <c r="I14" i="57" s="1"/>
  <c r="H20" i="58"/>
  <c r="I20" i="58" s="1"/>
  <c r="H14" i="54"/>
  <c r="I14" i="54" s="1"/>
  <c r="H45" i="48"/>
  <c r="H41" i="13"/>
  <c r="L47" i="38"/>
  <c r="D37" i="61" s="1"/>
  <c r="J32" i="38"/>
  <c r="I44" i="38"/>
  <c r="D63" i="3" s="1"/>
  <c r="I23" i="38"/>
  <c r="D36" i="4" s="1"/>
  <c r="C21" i="50"/>
  <c r="L44" i="38"/>
  <c r="D40" i="22" s="1"/>
  <c r="K23" i="38"/>
  <c r="D20" i="48" s="1"/>
  <c r="H30" i="5"/>
  <c r="H65" i="4"/>
  <c r="H15" i="54"/>
  <c r="I15" i="54" s="1"/>
  <c r="H15" i="26"/>
  <c r="I15" i="26" s="1"/>
  <c r="H19" i="22"/>
  <c r="H13" i="33"/>
  <c r="I13" i="33" s="1"/>
  <c r="H39" i="4"/>
  <c r="H15" i="57"/>
  <c r="I15" i="57" s="1"/>
  <c r="L32" i="38"/>
  <c r="J49" i="38"/>
  <c r="D35" i="13" s="1"/>
  <c r="H35" i="13" s="1"/>
  <c r="H60" i="23"/>
  <c r="H44" i="47"/>
  <c r="H16" i="11"/>
  <c r="I16" i="11" s="1"/>
  <c r="H15" i="15"/>
  <c r="I15" i="15" s="1"/>
  <c r="H52" i="4"/>
  <c r="H13" i="54"/>
  <c r="I13" i="54" s="1"/>
  <c r="H33" i="13"/>
  <c r="I33" i="13" s="1"/>
  <c r="H44" i="12"/>
  <c r="I44" i="12" s="1"/>
  <c r="H20" i="33"/>
  <c r="I20" i="33" s="1"/>
  <c r="H20" i="32"/>
  <c r="I20" i="32" s="1"/>
  <c r="H42" i="4"/>
  <c r="I42" i="4" s="1"/>
  <c r="E11" i="21"/>
  <c r="E51" i="3"/>
  <c r="E10" i="27"/>
  <c r="E14" i="12"/>
  <c r="E71" i="4"/>
  <c r="E17" i="26"/>
  <c r="H30" i="9"/>
  <c r="H15" i="9"/>
  <c r="I15" i="9" s="1"/>
  <c r="D15" i="1"/>
  <c r="H21" i="50"/>
  <c r="H16" i="60"/>
  <c r="H17" i="60"/>
  <c r="H41" i="12"/>
  <c r="I41" i="12" s="1"/>
  <c r="H19" i="5"/>
  <c r="I19" i="5" s="1"/>
  <c r="H20" i="50"/>
  <c r="E73" i="3"/>
  <c r="H44" i="61"/>
  <c r="H13" i="51"/>
  <c r="I13" i="51" s="1"/>
  <c r="H41" i="47"/>
  <c r="H45" i="23"/>
  <c r="I45" i="23" s="1"/>
  <c r="K32" i="38"/>
  <c r="D50" i="4"/>
  <c r="H20" i="59"/>
  <c r="H64" i="4"/>
  <c r="H17" i="22"/>
  <c r="I17" i="22" s="1"/>
  <c r="D38" i="1"/>
  <c r="D28" i="1"/>
  <c r="D30" i="1"/>
  <c r="D40" i="1"/>
  <c r="D39" i="1"/>
  <c r="D20" i="1"/>
  <c r="C24" i="22"/>
  <c r="C48" i="3"/>
  <c r="C49" i="3" s="1"/>
  <c r="I34" i="38"/>
  <c r="D44" i="4" s="1"/>
  <c r="J43" i="38"/>
  <c r="D16" i="1"/>
  <c r="E29" i="58"/>
  <c r="H29" i="58" s="1"/>
  <c r="I29" i="58" s="1"/>
  <c r="E22" i="15"/>
  <c r="H22" i="15" s="1"/>
  <c r="I22" i="15" s="1"/>
  <c r="E22" i="56"/>
  <c r="H22" i="56" s="1"/>
  <c r="I22" i="56" s="1"/>
  <c r="H22" i="59"/>
  <c r="E18" i="56"/>
  <c r="C40" i="24"/>
  <c r="C41" i="24" s="1"/>
  <c r="C24" i="5"/>
  <c r="C52" i="3"/>
  <c r="D49" i="4"/>
  <c r="L34" i="38"/>
  <c r="D44" i="24" s="1"/>
  <c r="E14" i="16"/>
  <c r="H15" i="53"/>
  <c r="I15" i="53" s="1"/>
  <c r="E47" i="5"/>
  <c r="I13" i="11"/>
  <c r="C20" i="5"/>
  <c r="C21" i="5" s="1"/>
  <c r="C16" i="51"/>
  <c r="H65" i="24"/>
  <c r="H46" i="61"/>
  <c r="E23" i="21"/>
  <c r="H58" i="3"/>
  <c r="H58" i="23"/>
  <c r="H45" i="61"/>
  <c r="H45" i="47"/>
  <c r="H21" i="59"/>
  <c r="H47" i="23"/>
  <c r="H41" i="62"/>
  <c r="I41" i="62" s="1"/>
  <c r="H59" i="3"/>
  <c r="H18" i="60"/>
  <c r="I18" i="60" s="1"/>
  <c r="H13" i="16"/>
  <c r="I13" i="16" s="1"/>
  <c r="H41" i="61"/>
  <c r="H32" i="22"/>
  <c r="E28" i="3"/>
  <c r="E19" i="51"/>
  <c r="E16" i="54"/>
  <c r="H20" i="49"/>
  <c r="I20" i="49" s="1"/>
  <c r="H15" i="8"/>
  <c r="I15" i="8" s="1"/>
  <c r="E44" i="22"/>
  <c r="H13" i="49"/>
  <c r="I13" i="49" s="1"/>
  <c r="H21" i="21"/>
  <c r="H30" i="22"/>
  <c r="H22" i="50"/>
  <c r="I22" i="50" s="1"/>
  <c r="E25" i="32"/>
  <c r="E17" i="11"/>
  <c r="E72" i="23"/>
  <c r="H63" i="24"/>
  <c r="H64" i="24"/>
  <c r="H31" i="5"/>
  <c r="H47" i="3"/>
  <c r="I47" i="3" s="1"/>
  <c r="H44" i="13"/>
  <c r="H46" i="47"/>
  <c r="E47" i="48"/>
  <c r="E48" i="5"/>
  <c r="E28" i="61"/>
  <c r="E16" i="57"/>
  <c r="H87" i="24"/>
  <c r="H18" i="51"/>
  <c r="I18" i="51" s="1"/>
  <c r="E45" i="5"/>
  <c r="E18" i="26"/>
  <c r="E25" i="49"/>
  <c r="E81" i="24"/>
  <c r="E24" i="49"/>
  <c r="E28" i="62"/>
  <c r="E47" i="61"/>
  <c r="E23" i="59"/>
  <c r="E17" i="15"/>
  <c r="E78" i="4"/>
  <c r="E81" i="4"/>
  <c r="E18" i="15"/>
  <c r="E48" i="22"/>
  <c r="E23" i="50"/>
  <c r="E47" i="62"/>
  <c r="E16" i="26"/>
  <c r="E26" i="47"/>
  <c r="E46" i="22"/>
  <c r="E80" i="4"/>
  <c r="E25" i="58"/>
  <c r="E75" i="23"/>
  <c r="E25" i="33"/>
  <c r="E76" i="3"/>
  <c r="E46" i="5"/>
  <c r="E28" i="13"/>
  <c r="E28" i="23"/>
  <c r="E47" i="22"/>
  <c r="E73" i="23"/>
  <c r="E21" i="10"/>
  <c r="E45" i="12"/>
  <c r="E78" i="24"/>
  <c r="E79" i="4"/>
  <c r="E18" i="53"/>
  <c r="E79" i="24"/>
  <c r="E74" i="23"/>
  <c r="E16" i="27"/>
  <c r="E19" i="60"/>
  <c r="E74" i="3"/>
  <c r="E47" i="47"/>
  <c r="E28" i="48"/>
  <c r="E80" i="24"/>
  <c r="E18" i="8"/>
  <c r="E75" i="3"/>
  <c r="E28" i="12"/>
  <c r="E45" i="22"/>
  <c r="E28" i="47"/>
  <c r="E45" i="13"/>
  <c r="E28" i="24"/>
  <c r="E76" i="23"/>
  <c r="E27" i="48"/>
  <c r="J21" i="38"/>
  <c r="D10" i="10" s="1"/>
  <c r="K21" i="38"/>
  <c r="D14" i="47" s="1"/>
  <c r="J48" i="38"/>
  <c r="D46" i="13" s="1"/>
  <c r="C39" i="4"/>
  <c r="K43" i="38"/>
  <c r="I48" i="38"/>
  <c r="D38" i="5" s="1"/>
  <c r="E13" i="12"/>
  <c r="C39" i="24"/>
  <c r="I39" i="24" s="1"/>
  <c r="L48" i="38"/>
  <c r="D43" i="61" s="1"/>
  <c r="L49" i="38"/>
  <c r="D13" i="59" s="1"/>
  <c r="H13" i="59" s="1"/>
  <c r="I13" i="59" s="1"/>
  <c r="C23" i="50"/>
  <c r="C24" i="50" s="1"/>
  <c r="C25" i="50" s="1"/>
  <c r="C19" i="11"/>
  <c r="C23" i="21"/>
  <c r="C24" i="21" s="1"/>
  <c r="C25" i="21" s="1"/>
  <c r="I49" i="38"/>
  <c r="D38" i="4" s="1"/>
  <c r="C42" i="24"/>
  <c r="C20" i="50"/>
  <c r="C45" i="62"/>
  <c r="I45" i="62" s="1"/>
  <c r="L43" i="38"/>
  <c r="D50" i="23" s="1"/>
  <c r="C20" i="59"/>
  <c r="C45" i="48"/>
  <c r="D11" i="11"/>
  <c r="I22" i="38"/>
  <c r="D27" i="3" s="1"/>
  <c r="C53" i="23"/>
  <c r="E46" i="23"/>
  <c r="H46" i="23" s="1"/>
  <c r="I46" i="23" s="1"/>
  <c r="E47" i="12"/>
  <c r="H47" i="12" s="1"/>
  <c r="I47" i="12" s="1"/>
  <c r="E27" i="61"/>
  <c r="E37" i="12"/>
  <c r="E11" i="49"/>
  <c r="E11" i="22"/>
  <c r="E38" i="48"/>
  <c r="E11" i="59"/>
  <c r="E9" i="21"/>
  <c r="E31" i="61"/>
  <c r="E31" i="4"/>
  <c r="E30" i="47"/>
  <c r="E31" i="24"/>
  <c r="D35" i="12"/>
  <c r="E27" i="24"/>
  <c r="E25" i="3"/>
  <c r="D15" i="12"/>
  <c r="C44" i="48"/>
  <c r="C52" i="23"/>
  <c r="C48" i="23"/>
  <c r="C49" i="23" s="1"/>
  <c r="D11" i="16"/>
  <c r="C50" i="23"/>
  <c r="C47" i="23"/>
  <c r="D11" i="14"/>
  <c r="C46" i="48"/>
  <c r="I46" i="48" s="1"/>
  <c r="E49" i="24"/>
  <c r="E66" i="3"/>
  <c r="E23" i="24"/>
  <c r="E51" i="4"/>
  <c r="H51" i="4" s="1"/>
  <c r="E32" i="13"/>
  <c r="E39" i="23"/>
  <c r="E38" i="13"/>
  <c r="H59" i="23"/>
  <c r="E30" i="48"/>
  <c r="E10" i="10"/>
  <c r="E30" i="23"/>
  <c r="E16" i="12"/>
  <c r="E50" i="24"/>
  <c r="E21" i="22"/>
  <c r="E10" i="60"/>
  <c r="E17" i="50"/>
  <c r="E19" i="53"/>
  <c r="E42" i="48"/>
  <c r="E11" i="60"/>
  <c r="E9" i="5"/>
  <c r="E9" i="51"/>
  <c r="E35" i="23"/>
  <c r="E31" i="47"/>
  <c r="E10" i="9"/>
  <c r="E15" i="23"/>
  <c r="E35" i="48"/>
  <c r="E16" i="15"/>
  <c r="E63" i="23"/>
  <c r="E77" i="23"/>
  <c r="C19" i="22"/>
  <c r="C25" i="22"/>
  <c r="C25" i="5"/>
  <c r="C44" i="62"/>
  <c r="I44" i="62" s="1"/>
  <c r="C51" i="3"/>
  <c r="C19" i="60"/>
  <c r="C20" i="60" s="1"/>
  <c r="C21" i="60" s="1"/>
  <c r="C22" i="21"/>
  <c r="E11" i="14"/>
  <c r="C22" i="5"/>
  <c r="C22" i="22"/>
  <c r="C23" i="5"/>
  <c r="C46" i="62"/>
  <c r="C50" i="3"/>
  <c r="C53" i="3"/>
  <c r="C16" i="60"/>
  <c r="C21" i="21"/>
  <c r="C23" i="22"/>
  <c r="E11" i="25"/>
  <c r="K47" i="38"/>
  <c r="D38" i="47" s="1"/>
  <c r="E65" i="23"/>
  <c r="C43" i="4"/>
  <c r="C44" i="4" s="1"/>
  <c r="E21" i="47"/>
  <c r="D31" i="13"/>
  <c r="D11" i="13"/>
  <c r="D11" i="12"/>
  <c r="D11" i="32"/>
  <c r="D19" i="13"/>
  <c r="C36" i="47"/>
  <c r="C21" i="59"/>
  <c r="E15" i="11"/>
  <c r="H15" i="27"/>
  <c r="I15" i="27" s="1"/>
  <c r="C40" i="4"/>
  <c r="C41" i="4" s="1"/>
  <c r="D11" i="10"/>
  <c r="D11" i="15"/>
  <c r="D27" i="12"/>
  <c r="D19" i="12"/>
  <c r="D15" i="13"/>
  <c r="K22" i="38"/>
  <c r="D31" i="48" s="1"/>
  <c r="L22" i="38"/>
  <c r="D19" i="24" s="1"/>
  <c r="C22" i="59"/>
  <c r="C49" i="4"/>
  <c r="E64" i="23"/>
  <c r="D31" i="12"/>
  <c r="D27" i="13"/>
  <c r="D39" i="12"/>
  <c r="D23" i="12"/>
  <c r="E30" i="13"/>
  <c r="E11" i="51"/>
  <c r="E9" i="58"/>
  <c r="E10" i="49"/>
  <c r="E30" i="4"/>
  <c r="E31" i="3"/>
  <c r="E10" i="50"/>
  <c r="E30" i="62"/>
  <c r="E29" i="62"/>
  <c r="E37" i="62"/>
  <c r="E9" i="11"/>
  <c r="E18" i="22"/>
  <c r="H18" i="22" s="1"/>
  <c r="I18" i="22" s="1"/>
  <c r="E30" i="24"/>
  <c r="E29" i="61"/>
  <c r="E10" i="5"/>
  <c r="E50" i="4"/>
  <c r="E29" i="23"/>
  <c r="E30" i="3"/>
  <c r="E11" i="32"/>
  <c r="E10" i="11"/>
  <c r="E29" i="48"/>
  <c r="E10" i="58"/>
  <c r="E38" i="47"/>
  <c r="E39" i="3"/>
  <c r="E9" i="22"/>
  <c r="E37" i="23"/>
  <c r="E9" i="60"/>
  <c r="E30" i="12"/>
  <c r="E11" i="11"/>
  <c r="E10" i="51"/>
  <c r="E29" i="13"/>
  <c r="E10" i="21"/>
  <c r="E38" i="23"/>
  <c r="E11" i="33"/>
  <c r="E46" i="3"/>
  <c r="E38" i="24"/>
  <c r="H38" i="24" s="1"/>
  <c r="I38" i="24" s="1"/>
  <c r="E29" i="24"/>
  <c r="E11" i="9"/>
  <c r="E37" i="48"/>
  <c r="E9" i="9"/>
  <c r="E9" i="10"/>
  <c r="E31" i="12"/>
  <c r="E11" i="50"/>
  <c r="E37" i="3"/>
  <c r="E39" i="62"/>
  <c r="E9" i="59"/>
  <c r="E11" i="58"/>
  <c r="E38" i="3"/>
  <c r="E39" i="12"/>
  <c r="E10" i="22"/>
  <c r="E9" i="50"/>
  <c r="E30" i="61"/>
  <c r="E10" i="59"/>
  <c r="E39" i="48"/>
  <c r="E31" i="13"/>
  <c r="E9" i="33"/>
  <c r="E31" i="48"/>
  <c r="E38" i="4"/>
  <c r="E9" i="32"/>
  <c r="E29" i="47"/>
  <c r="E38" i="61"/>
  <c r="E38" i="62"/>
  <c r="E31" i="23"/>
  <c r="E10" i="33"/>
  <c r="E11" i="5"/>
  <c r="E11" i="10"/>
  <c r="E9" i="49"/>
  <c r="E38" i="12"/>
  <c r="E29" i="12"/>
  <c r="E29" i="3"/>
  <c r="E31" i="62"/>
  <c r="E10" i="57"/>
  <c r="E11" i="26"/>
  <c r="E18" i="13"/>
  <c r="E10" i="16"/>
  <c r="E9" i="54"/>
  <c r="E18" i="33"/>
  <c r="E24" i="32"/>
  <c r="E11" i="16"/>
  <c r="H48" i="3"/>
  <c r="E20" i="56"/>
  <c r="E46" i="12"/>
  <c r="E15" i="13"/>
  <c r="E9" i="12"/>
  <c r="E85" i="24"/>
  <c r="E36" i="23"/>
  <c r="E15" i="58"/>
  <c r="E10" i="32"/>
  <c r="E16" i="53"/>
  <c r="E14" i="8"/>
  <c r="E22" i="3"/>
  <c r="E27" i="4"/>
  <c r="E27" i="23"/>
  <c r="E27" i="62"/>
  <c r="E25" i="62"/>
  <c r="E26" i="12"/>
  <c r="E17" i="53"/>
  <c r="E26" i="62"/>
  <c r="E16" i="8"/>
  <c r="E26" i="24"/>
  <c r="E25" i="13"/>
  <c r="E25" i="24"/>
  <c r="E21" i="24"/>
  <c r="E39" i="5"/>
  <c r="E26" i="23"/>
  <c r="E24" i="58"/>
  <c r="E25" i="12"/>
  <c r="E26" i="4"/>
  <c r="E17" i="8"/>
  <c r="E23" i="58"/>
  <c r="E26" i="13"/>
  <c r="E27" i="47"/>
  <c r="E26" i="48"/>
  <c r="E77" i="4"/>
  <c r="E77" i="24"/>
  <c r="E25" i="4"/>
  <c r="E23" i="48"/>
  <c r="E17" i="56"/>
  <c r="E25" i="48"/>
  <c r="E25" i="23"/>
  <c r="E26" i="3"/>
  <c r="E44" i="5"/>
  <c r="E24" i="33"/>
  <c r="E26" i="61"/>
  <c r="E27" i="3"/>
  <c r="E16" i="56"/>
  <c r="E32" i="9"/>
  <c r="E72" i="3"/>
  <c r="E27" i="12"/>
  <c r="E23" i="33"/>
  <c r="J46" i="38"/>
  <c r="I46" i="38"/>
  <c r="L46" i="38"/>
  <c r="K46" i="38"/>
  <c r="K45" i="38"/>
  <c r="I45" i="38"/>
  <c r="J45" i="38"/>
  <c r="L45" i="38"/>
  <c r="D62" i="3"/>
  <c r="D72" i="3"/>
  <c r="D45" i="4"/>
  <c r="D67" i="4"/>
  <c r="K33" i="38"/>
  <c r="L33" i="38"/>
  <c r="J33" i="38"/>
  <c r="I33" i="38"/>
  <c r="E26" i="9"/>
  <c r="E69" i="24"/>
  <c r="E20" i="23"/>
  <c r="E20" i="47"/>
  <c r="E36" i="5"/>
  <c r="E25" i="47"/>
  <c r="E31" i="9"/>
  <c r="E25" i="9"/>
  <c r="E20" i="61"/>
  <c r="E12" i="56"/>
  <c r="E70" i="4"/>
  <c r="E12" i="57"/>
  <c r="E21" i="5"/>
  <c r="E25" i="61"/>
  <c r="E23" i="49"/>
  <c r="D22" i="5"/>
  <c r="I37" i="24"/>
  <c r="C17" i="60"/>
  <c r="C46" i="24"/>
  <c r="C48" i="24"/>
  <c r="C47" i="24"/>
  <c r="C50" i="24"/>
  <c r="C51" i="24" s="1"/>
  <c r="C55" i="24" s="1"/>
  <c r="C45" i="24"/>
  <c r="C30" i="9"/>
  <c r="C33" i="9" s="1"/>
  <c r="C36" i="9" s="1"/>
  <c r="C37" i="9" s="1"/>
  <c r="I13" i="57"/>
  <c r="C34" i="61"/>
  <c r="C36" i="61"/>
  <c r="C19" i="51"/>
  <c r="C20" i="51" s="1"/>
  <c r="C21" i="51" s="1"/>
  <c r="C17" i="51"/>
  <c r="C34" i="13"/>
  <c r="C36" i="13"/>
  <c r="C37" i="47"/>
  <c r="C38" i="47" s="1"/>
  <c r="C39" i="47" s="1"/>
  <c r="C35" i="47"/>
  <c r="D32" i="9"/>
  <c r="D10" i="9"/>
  <c r="D34" i="4"/>
  <c r="D34" i="3"/>
  <c r="D22" i="3"/>
  <c r="D14" i="8"/>
  <c r="D18" i="4"/>
  <c r="D10" i="4"/>
  <c r="D14" i="5"/>
  <c r="D26" i="3"/>
  <c r="D26" i="4"/>
  <c r="D18" i="3"/>
  <c r="D14" i="3"/>
  <c r="D10" i="8"/>
  <c r="D22" i="4"/>
  <c r="D23" i="9"/>
  <c r="D20" i="8"/>
  <c r="D30" i="4"/>
  <c r="D38" i="3"/>
  <c r="D42" i="3"/>
  <c r="D29" i="9"/>
  <c r="D17" i="9"/>
  <c r="D30" i="3"/>
  <c r="D10" i="7"/>
  <c r="D10" i="5"/>
  <c r="D17" i="8"/>
  <c r="D14" i="4"/>
  <c r="D35" i="9"/>
  <c r="D10" i="3"/>
  <c r="D22" i="62"/>
  <c r="L20" i="38"/>
  <c r="I20" i="38"/>
  <c r="J20" i="38"/>
  <c r="K20" i="38"/>
  <c r="D54" i="3"/>
  <c r="D26" i="5"/>
  <c r="D49" i="5"/>
  <c r="D82" i="4"/>
  <c r="D77" i="4"/>
  <c r="D34" i="5"/>
  <c r="D24" i="9"/>
  <c r="D72" i="4"/>
  <c r="D59" i="4"/>
  <c r="D44" i="5"/>
  <c r="D55" i="4"/>
  <c r="D67" i="3"/>
  <c r="D50" i="3"/>
  <c r="D39" i="5"/>
  <c r="D18" i="9"/>
  <c r="D77" i="3"/>
  <c r="D35" i="1"/>
  <c r="C21" i="45"/>
  <c r="I26" i="2"/>
  <c r="C11" i="45"/>
  <c r="E29" i="4"/>
  <c r="E75" i="24"/>
  <c r="E43" i="12"/>
  <c r="E20" i="24"/>
  <c r="E63" i="3"/>
  <c r="E66" i="23"/>
  <c r="E43" i="13"/>
  <c r="E35" i="22"/>
  <c r="E12" i="54"/>
  <c r="E15" i="51"/>
  <c r="E12" i="27"/>
  <c r="E35" i="5"/>
  <c r="E12" i="26"/>
  <c r="E69" i="4"/>
  <c r="E20" i="62"/>
  <c r="E68" i="24"/>
  <c r="E36" i="22"/>
  <c r="E19" i="21"/>
  <c r="E43" i="48"/>
  <c r="E43" i="62"/>
  <c r="E20" i="12"/>
  <c r="E19" i="58"/>
  <c r="E19" i="32"/>
  <c r="E64" i="3"/>
  <c r="E20" i="13"/>
  <c r="E20" i="4"/>
  <c r="E19" i="50"/>
  <c r="E43" i="47"/>
  <c r="E37" i="5"/>
  <c r="E70" i="24"/>
  <c r="E12" i="53"/>
  <c r="E12" i="15"/>
  <c r="E20" i="3"/>
  <c r="E38" i="5"/>
  <c r="E15" i="60"/>
  <c r="E27" i="9"/>
  <c r="E37" i="22"/>
  <c r="E65" i="3"/>
  <c r="E12" i="8"/>
  <c r="E19" i="49"/>
  <c r="E19" i="59"/>
  <c r="E68" i="4"/>
  <c r="E71" i="24"/>
  <c r="E43" i="61"/>
  <c r="E20" i="48"/>
  <c r="E19" i="10"/>
  <c r="E12" i="16"/>
  <c r="E19" i="33"/>
  <c r="E38" i="22"/>
  <c r="C13" i="45"/>
  <c r="C20" i="45"/>
  <c r="D29" i="1"/>
  <c r="D34" i="1"/>
  <c r="D27" i="1"/>
  <c r="E23" i="62"/>
  <c r="E23" i="13"/>
  <c r="H23" i="13" s="1"/>
  <c r="I23" i="13" s="1"/>
  <c r="E18" i="10"/>
  <c r="E24" i="9"/>
  <c r="E17" i="61"/>
  <c r="E17" i="32"/>
  <c r="E54" i="4"/>
  <c r="E44" i="3"/>
  <c r="E14" i="61"/>
  <c r="E14" i="24"/>
  <c r="E14" i="48"/>
  <c r="E22" i="32"/>
  <c r="E18" i="62"/>
  <c r="E19" i="47"/>
  <c r="E28" i="9"/>
  <c r="E19" i="4"/>
  <c r="E23" i="23"/>
  <c r="E67" i="23"/>
  <c r="E17" i="58"/>
  <c r="E10" i="56"/>
  <c r="E18" i="24"/>
  <c r="E18" i="12"/>
  <c r="E22" i="9"/>
  <c r="E17" i="3"/>
  <c r="E16" i="5"/>
  <c r="E49" i="23"/>
  <c r="E15" i="4"/>
  <c r="E14" i="23"/>
  <c r="E72" i="4"/>
  <c r="E21" i="48"/>
  <c r="E21" i="62"/>
  <c r="E19" i="12"/>
  <c r="E9" i="8"/>
  <c r="E21" i="13"/>
  <c r="E21" i="12"/>
  <c r="E18" i="21"/>
  <c r="E39" i="22"/>
  <c r="E21" i="61"/>
  <c r="E10" i="54"/>
  <c r="E67" i="24"/>
  <c r="E17" i="48"/>
  <c r="E18" i="47"/>
  <c r="E10" i="15"/>
  <c r="E14" i="21"/>
  <c r="E41" i="4"/>
  <c r="E14" i="47"/>
  <c r="E15" i="48"/>
  <c r="E22" i="23"/>
  <c r="E21" i="23"/>
  <c r="E18" i="61"/>
  <c r="E67" i="4"/>
  <c r="E23" i="12"/>
  <c r="E13" i="26"/>
  <c r="E23" i="32"/>
  <c r="E22" i="47"/>
  <c r="E27" i="13"/>
  <c r="E21" i="49"/>
  <c r="E14" i="26"/>
  <c r="E23" i="3"/>
  <c r="E22" i="12"/>
  <c r="E19" i="13"/>
  <c r="E11" i="56"/>
  <c r="E23" i="9"/>
  <c r="E62" i="3"/>
  <c r="E40" i="22"/>
  <c r="E9" i="53"/>
  <c r="E10" i="26"/>
  <c r="E17" i="62"/>
  <c r="E9" i="26"/>
  <c r="E17" i="13"/>
  <c r="E18" i="48"/>
  <c r="E14" i="49"/>
  <c r="E42" i="3"/>
  <c r="E19" i="26"/>
  <c r="E11" i="13"/>
  <c r="E9" i="4"/>
  <c r="E10" i="3"/>
  <c r="E22" i="48"/>
  <c r="E22" i="58"/>
  <c r="E21" i="58"/>
  <c r="E21" i="32"/>
  <c r="E13" i="56"/>
  <c r="E9" i="56"/>
  <c r="E18" i="32"/>
  <c r="E17" i="12"/>
  <c r="E18" i="3"/>
  <c r="E22" i="62"/>
  <c r="E22" i="4"/>
  <c r="E67" i="3"/>
  <c r="E34" i="22"/>
  <c r="E19" i="61"/>
  <c r="E18" i="58"/>
  <c r="E22" i="24"/>
  <c r="E23" i="4"/>
  <c r="E29" i="9"/>
  <c r="E13" i="8"/>
  <c r="E11" i="53"/>
  <c r="E9" i="15"/>
  <c r="E18" i="50"/>
  <c r="E17" i="21"/>
  <c r="E9" i="57"/>
  <c r="E11" i="54"/>
  <c r="E11" i="27"/>
  <c r="E17" i="4"/>
  <c r="E17" i="24"/>
  <c r="E34" i="5"/>
  <c r="E51" i="24"/>
  <c r="E34" i="62"/>
  <c r="E10" i="13"/>
  <c r="E9" i="23"/>
  <c r="E9" i="52"/>
  <c r="E11" i="47"/>
  <c r="E23" i="47"/>
  <c r="E22" i="13"/>
  <c r="E14" i="56"/>
  <c r="E21" i="33"/>
  <c r="E14" i="50"/>
  <c r="E17" i="23"/>
  <c r="E10" i="8"/>
  <c r="E18" i="49"/>
  <c r="E9" i="16"/>
  <c r="E72" i="24"/>
  <c r="E21" i="4"/>
  <c r="E23" i="61"/>
  <c r="E17" i="10"/>
  <c r="E18" i="59"/>
  <c r="E11" i="57"/>
  <c r="E24" i="62"/>
  <c r="E14" i="22"/>
  <c r="E11" i="23"/>
  <c r="E35" i="9"/>
  <c r="E19" i="15"/>
  <c r="E20" i="15"/>
  <c r="E26" i="33"/>
  <c r="E9" i="47"/>
  <c r="E26" i="49"/>
  <c r="E82" i="4"/>
  <c r="E27" i="32"/>
  <c r="E9" i="13"/>
  <c r="E11" i="48"/>
  <c r="E10" i="23"/>
  <c r="E9" i="48"/>
  <c r="E26" i="58"/>
  <c r="E10" i="12"/>
  <c r="E10" i="24"/>
  <c r="E27" i="49"/>
  <c r="E11" i="55"/>
  <c r="E34" i="9"/>
  <c r="E20" i="26"/>
  <c r="E49" i="5"/>
  <c r="E19" i="8"/>
  <c r="E20" i="8"/>
  <c r="E9" i="3"/>
  <c r="E10" i="61"/>
  <c r="E27" i="58"/>
  <c r="E11" i="4"/>
  <c r="E9" i="62"/>
  <c r="E11" i="3"/>
  <c r="E77" i="3"/>
  <c r="E27" i="33"/>
  <c r="E42" i="5"/>
  <c r="E43" i="23"/>
  <c r="E24" i="23"/>
  <c r="E10" i="25"/>
  <c r="E11" i="12"/>
  <c r="E10" i="48"/>
  <c r="E9" i="55"/>
  <c r="E10" i="14"/>
  <c r="E49" i="22"/>
  <c r="E10" i="7"/>
  <c r="E11" i="61"/>
  <c r="E9" i="14"/>
  <c r="E26" i="32"/>
  <c r="E10" i="4"/>
  <c r="E20" i="53"/>
  <c r="E11" i="62"/>
  <c r="E10" i="47"/>
  <c r="E82" i="24"/>
  <c r="E71" i="23"/>
  <c r="E36" i="47"/>
  <c r="E36" i="12"/>
  <c r="E42" i="13"/>
  <c r="E35" i="62"/>
  <c r="E55" i="24"/>
  <c r="E22" i="53"/>
  <c r="H22" i="53" s="1"/>
  <c r="I22" i="53" s="1"/>
  <c r="E49" i="47"/>
  <c r="H49" i="47" s="1"/>
  <c r="E13" i="25"/>
  <c r="H13" i="25" s="1"/>
  <c r="I13" i="25" s="1"/>
  <c r="E14" i="60"/>
  <c r="E47" i="4"/>
  <c r="E35" i="12"/>
  <c r="E52" i="3"/>
  <c r="E14" i="58"/>
  <c r="E15" i="21"/>
  <c r="E14" i="51"/>
  <c r="E36" i="3"/>
  <c r="E36" i="61"/>
  <c r="E16" i="10"/>
  <c r="E14" i="32"/>
  <c r="E55" i="4"/>
  <c r="E33" i="48"/>
  <c r="E13" i="5"/>
  <c r="E14" i="9"/>
  <c r="E36" i="24"/>
  <c r="E41" i="24"/>
  <c r="E49" i="48"/>
  <c r="H49" i="48" s="1"/>
  <c r="I49" i="48" s="1"/>
  <c r="E24" i="12"/>
  <c r="E15" i="49"/>
  <c r="E33" i="23"/>
  <c r="E43" i="5"/>
  <c r="E24" i="24"/>
  <c r="E57" i="4"/>
  <c r="E53" i="23"/>
  <c r="E36" i="48"/>
  <c r="E47" i="24"/>
  <c r="E51" i="23"/>
  <c r="E34" i="47"/>
  <c r="E14" i="33"/>
  <c r="E15" i="10"/>
  <c r="E45" i="24"/>
  <c r="E33" i="4"/>
  <c r="E44" i="4"/>
  <c r="E36" i="4"/>
  <c r="E34" i="13"/>
  <c r="E13" i="24"/>
  <c r="E14" i="4"/>
  <c r="E13" i="47"/>
  <c r="E15" i="3"/>
  <c r="E73" i="24"/>
  <c r="E18" i="9"/>
  <c r="E13" i="9"/>
  <c r="E68" i="3"/>
  <c r="E14" i="53"/>
  <c r="E70" i="23"/>
  <c r="E68" i="23"/>
  <c r="E76" i="24"/>
  <c r="E41" i="5"/>
  <c r="E24" i="47"/>
  <c r="E14" i="5"/>
  <c r="E33" i="24"/>
  <c r="E13" i="22"/>
  <c r="E34" i="4"/>
  <c r="E74" i="24"/>
  <c r="E24" i="13"/>
  <c r="E74" i="4"/>
  <c r="E41" i="23"/>
  <c r="E69" i="3"/>
  <c r="E70" i="3"/>
  <c r="E40" i="5"/>
  <c r="E43" i="22"/>
  <c r="E9" i="27"/>
  <c r="E18" i="23"/>
  <c r="E17" i="33"/>
  <c r="E62" i="23"/>
  <c r="E13" i="53"/>
  <c r="E24" i="3"/>
  <c r="E14" i="15"/>
  <c r="E24" i="61"/>
  <c r="E42" i="22"/>
  <c r="E32" i="61"/>
  <c r="E35" i="24"/>
  <c r="E41" i="3"/>
  <c r="E34" i="24"/>
  <c r="E35" i="4"/>
  <c r="E28" i="22"/>
  <c r="E24" i="4"/>
  <c r="E75" i="4"/>
  <c r="E41" i="22"/>
  <c r="E71" i="3"/>
  <c r="E73" i="4"/>
  <c r="E49" i="3"/>
  <c r="E42" i="23"/>
  <c r="E15" i="22"/>
  <c r="E43" i="3"/>
  <c r="E16" i="22"/>
  <c r="E34" i="61"/>
  <c r="E44" i="23"/>
  <c r="E44" i="24"/>
  <c r="E54" i="24"/>
  <c r="E21" i="53"/>
  <c r="E76" i="4"/>
  <c r="E69" i="23"/>
  <c r="E22" i="49"/>
  <c r="E11" i="15"/>
  <c r="E19" i="3"/>
  <c r="E19" i="62"/>
  <c r="E19" i="24"/>
  <c r="E17" i="47"/>
  <c r="E18" i="4"/>
  <c r="E11" i="8"/>
  <c r="E22" i="33"/>
  <c r="E21" i="3"/>
  <c r="E13" i="15"/>
  <c r="E22" i="61"/>
  <c r="E17" i="49"/>
  <c r="E17" i="59"/>
  <c r="E10" i="53"/>
  <c r="E19" i="23"/>
  <c r="E18" i="27"/>
  <c r="H18" i="27" s="1"/>
  <c r="I18" i="27" s="1"/>
  <c r="E29" i="32"/>
  <c r="H29" i="32" s="1"/>
  <c r="I29" i="32" s="1"/>
  <c r="E54" i="22"/>
  <c r="H54" i="22" s="1"/>
  <c r="E25" i="59"/>
  <c r="H25" i="59" s="1"/>
  <c r="I25" i="59" s="1"/>
  <c r="E82" i="23"/>
  <c r="H82" i="23" s="1"/>
  <c r="E49" i="61"/>
  <c r="H49" i="61" s="1"/>
  <c r="E22" i="10"/>
  <c r="E86" i="24"/>
  <c r="E83" i="4"/>
  <c r="E83" i="24"/>
  <c r="E25" i="50"/>
  <c r="H25" i="50" s="1"/>
  <c r="E25" i="21"/>
  <c r="H25" i="21" s="1"/>
  <c r="E54" i="5"/>
  <c r="H54" i="5" s="1"/>
  <c r="E18" i="57"/>
  <c r="H18" i="57" s="1"/>
  <c r="I18" i="57" s="1"/>
  <c r="E87" i="4"/>
  <c r="H87" i="4" s="1"/>
  <c r="E13" i="14"/>
  <c r="H13" i="14" s="1"/>
  <c r="I13" i="14" s="1"/>
  <c r="E29" i="49"/>
  <c r="H29" i="49" s="1"/>
  <c r="I29" i="49" s="1"/>
  <c r="E19" i="11"/>
  <c r="H19" i="11" s="1"/>
  <c r="E23" i="10"/>
  <c r="H23" i="10" s="1"/>
  <c r="I23" i="10" s="1"/>
  <c r="E17" i="54"/>
  <c r="E12" i="14"/>
  <c r="E80" i="23"/>
  <c r="E21" i="51"/>
  <c r="H21" i="51" s="1"/>
  <c r="E13" i="55"/>
  <c r="H13" i="55" s="1"/>
  <c r="I13" i="55" s="1"/>
  <c r="E49" i="62"/>
  <c r="H49" i="62" s="1"/>
  <c r="I49" i="62" s="1"/>
  <c r="E21" i="60"/>
  <c r="H21" i="60" s="1"/>
  <c r="E82" i="3"/>
  <c r="H82" i="3" s="1"/>
  <c r="E13" i="52"/>
  <c r="H13" i="52" s="1"/>
  <c r="I13" i="52" s="1"/>
  <c r="E18" i="54"/>
  <c r="H18" i="54" s="1"/>
  <c r="I18" i="54" s="1"/>
  <c r="E33" i="5"/>
  <c r="E40" i="23"/>
  <c r="E16" i="16"/>
  <c r="H16" i="16" s="1"/>
  <c r="I16" i="16" s="1"/>
  <c r="E13" i="7"/>
  <c r="H13" i="7" s="1"/>
  <c r="I13" i="7" s="1"/>
  <c r="E17" i="57"/>
  <c r="E51" i="22"/>
  <c r="E12" i="25"/>
  <c r="E47" i="13"/>
  <c r="H47" i="13" s="1"/>
  <c r="E22" i="8"/>
  <c r="H22" i="8" s="1"/>
  <c r="I22" i="8" s="1"/>
  <c r="E29" i="33"/>
  <c r="H29" i="33" s="1"/>
  <c r="I29" i="33" s="1"/>
  <c r="E37" i="9"/>
  <c r="H37" i="9" s="1"/>
  <c r="E22" i="26"/>
  <c r="H22" i="26" s="1"/>
  <c r="I22" i="26" s="1"/>
  <c r="D37" i="1"/>
  <c r="E28" i="2"/>
  <c r="E42" i="2" s="1"/>
  <c r="E14" i="11"/>
  <c r="E16" i="33"/>
  <c r="E46" i="24"/>
  <c r="E19" i="9"/>
  <c r="E46" i="4"/>
  <c r="E20" i="9"/>
  <c r="E34" i="23"/>
  <c r="E48" i="4"/>
  <c r="E42" i="62"/>
  <c r="E16" i="50"/>
  <c r="E50" i="23"/>
  <c r="E22" i="5"/>
  <c r="E50" i="3"/>
  <c r="E45" i="4"/>
  <c r="E33" i="62"/>
  <c r="E14" i="10"/>
  <c r="E34" i="48"/>
  <c r="E22" i="22"/>
  <c r="E25" i="5"/>
  <c r="E42" i="47"/>
  <c r="E16" i="58"/>
  <c r="E16" i="49"/>
  <c r="E52" i="23"/>
  <c r="E36" i="13"/>
  <c r="E57" i="24"/>
  <c r="E36" i="62"/>
  <c r="E21" i="9"/>
  <c r="E16" i="21"/>
  <c r="E33" i="12"/>
  <c r="E14" i="59"/>
  <c r="E15" i="32"/>
  <c r="E34" i="12"/>
  <c r="E17" i="9"/>
  <c r="E35" i="3"/>
  <c r="E33" i="3"/>
  <c r="E16" i="9"/>
  <c r="E12" i="51"/>
  <c r="E12" i="11"/>
  <c r="E12" i="33"/>
  <c r="E12" i="59"/>
  <c r="E32" i="47"/>
  <c r="E33" i="22"/>
  <c r="E66" i="4"/>
  <c r="E66" i="24"/>
  <c r="E61" i="3"/>
  <c r="E19" i="48"/>
  <c r="E33" i="9"/>
  <c r="E28" i="4"/>
  <c r="E16" i="23"/>
  <c r="E16" i="48"/>
  <c r="E16" i="3"/>
  <c r="E15" i="24"/>
  <c r="E15" i="47"/>
  <c r="E13" i="61"/>
  <c r="E14" i="3"/>
  <c r="E13" i="4"/>
  <c r="E13" i="23"/>
  <c r="E15" i="61"/>
  <c r="E15" i="12"/>
  <c r="E13" i="13"/>
  <c r="E13" i="62"/>
  <c r="E13" i="3"/>
  <c r="E14" i="13"/>
  <c r="E15" i="62"/>
  <c r="E13" i="48"/>
  <c r="E14" i="62"/>
  <c r="E12" i="50"/>
  <c r="E32" i="48"/>
  <c r="E32" i="12"/>
  <c r="E12" i="60"/>
  <c r="E12" i="22"/>
  <c r="E12" i="58"/>
  <c r="E32" i="24"/>
  <c r="E12" i="32"/>
  <c r="E32" i="62"/>
  <c r="E32" i="3"/>
  <c r="E12" i="10"/>
  <c r="E40" i="3"/>
  <c r="E12" i="5"/>
  <c r="E12" i="21"/>
  <c r="E40" i="48"/>
  <c r="E40" i="62"/>
  <c r="E12" i="9"/>
  <c r="E32" i="4"/>
  <c r="E32" i="23"/>
  <c r="E40" i="12"/>
  <c r="E12" i="49"/>
  <c r="E49" i="4"/>
  <c r="E37" i="47"/>
  <c r="E37" i="61"/>
  <c r="E16" i="59"/>
  <c r="E24" i="5"/>
  <c r="E16" i="32"/>
  <c r="E37" i="13"/>
  <c r="E58" i="24"/>
  <c r="E15" i="50"/>
  <c r="E15" i="59"/>
  <c r="H20" i="21"/>
  <c r="I20" i="21" s="1"/>
  <c r="H22" i="21"/>
  <c r="E84" i="4"/>
  <c r="E28" i="33"/>
  <c r="E54" i="23"/>
  <c r="E54" i="3"/>
  <c r="D20" i="12"/>
  <c r="D12" i="32"/>
  <c r="D12" i="15"/>
  <c r="D32" i="12"/>
  <c r="D28" i="12"/>
  <c r="D12" i="10"/>
  <c r="D20" i="13"/>
  <c r="D12" i="16"/>
  <c r="D36" i="12"/>
  <c r="D28" i="13"/>
  <c r="D12" i="11"/>
  <c r="D16" i="12"/>
  <c r="D32" i="13"/>
  <c r="D12" i="13"/>
  <c r="D12" i="12"/>
  <c r="D40" i="12"/>
  <c r="D24" i="13"/>
  <c r="D16" i="13"/>
  <c r="D12" i="14"/>
  <c r="D24" i="12"/>
  <c r="E61" i="4"/>
  <c r="E52" i="22"/>
  <c r="E28" i="32"/>
  <c r="E50" i="5"/>
  <c r="E79" i="3"/>
  <c r="E78" i="3"/>
  <c r="E53" i="5"/>
  <c r="E53" i="22"/>
  <c r="E12" i="12"/>
  <c r="E28" i="49"/>
  <c r="E12" i="7"/>
  <c r="E21" i="8"/>
  <c r="E17" i="27"/>
  <c r="E12" i="62"/>
  <c r="E18" i="11"/>
  <c r="E48" i="62"/>
  <c r="E36" i="9"/>
  <c r="E12" i="3"/>
  <c r="E26" i="5"/>
  <c r="E10" i="55"/>
  <c r="E11" i="7"/>
  <c r="E9" i="7"/>
  <c r="E10" i="62"/>
  <c r="E11" i="52"/>
  <c r="E19" i="56"/>
  <c r="E9" i="24"/>
  <c r="E9" i="25"/>
  <c r="E9" i="61"/>
  <c r="E10" i="52"/>
  <c r="D21" i="53"/>
  <c r="D48" i="48"/>
  <c r="D36" i="47"/>
  <c r="D15" i="51"/>
  <c r="D43" i="47"/>
  <c r="D24" i="50"/>
  <c r="D28" i="49"/>
  <c r="D48" i="47"/>
  <c r="D23" i="50"/>
  <c r="D43" i="48"/>
  <c r="D25" i="49"/>
  <c r="D42" i="48"/>
  <c r="D47" i="47"/>
  <c r="D19" i="51"/>
  <c r="D17" i="54"/>
  <c r="D47" i="48"/>
  <c r="D20" i="51"/>
  <c r="D42" i="47"/>
  <c r="D16" i="54"/>
  <c r="D14" i="51"/>
  <c r="D18" i="53"/>
  <c r="D40" i="47"/>
  <c r="H40" i="47" s="1"/>
  <c r="D35" i="47"/>
  <c r="H35" i="47" s="1"/>
  <c r="E56" i="3"/>
  <c r="E48" i="48"/>
  <c r="E12" i="24"/>
  <c r="E81" i="23"/>
  <c r="E79" i="23"/>
  <c r="E28" i="58"/>
  <c r="E20" i="60"/>
  <c r="E12" i="23"/>
  <c r="E12" i="13"/>
  <c r="E15" i="16"/>
  <c r="E50" i="22"/>
  <c r="E48" i="61"/>
  <c r="E12" i="52"/>
  <c r="E21" i="15"/>
  <c r="E78" i="23"/>
  <c r="E12" i="48"/>
  <c r="E12" i="55"/>
  <c r="E24" i="21"/>
  <c r="E59" i="24"/>
  <c r="E58" i="4"/>
  <c r="E15" i="33"/>
  <c r="E25" i="22"/>
  <c r="E56" i="4"/>
  <c r="E42" i="12"/>
  <c r="E48" i="24"/>
  <c r="E42" i="61"/>
  <c r="E56" i="24"/>
  <c r="E24" i="22"/>
  <c r="E34" i="3"/>
  <c r="E23" i="22"/>
  <c r="E53" i="3"/>
  <c r="E23" i="5"/>
  <c r="E55" i="23"/>
  <c r="E39" i="13"/>
  <c r="E24" i="59"/>
  <c r="E48" i="47"/>
  <c r="E52" i="5"/>
  <c r="E20" i="51"/>
  <c r="E24" i="50"/>
  <c r="E85" i="4"/>
  <c r="E21" i="26"/>
  <c r="E46" i="13"/>
  <c r="E12" i="4"/>
  <c r="E12" i="47"/>
  <c r="E80" i="3"/>
  <c r="E84" i="24"/>
  <c r="E21" i="56"/>
  <c r="E81" i="3"/>
  <c r="E12" i="61"/>
  <c r="E86" i="4"/>
  <c r="E59" i="4"/>
  <c r="H31" i="22"/>
  <c r="D49" i="1"/>
  <c r="D16" i="64"/>
  <c r="D48" i="1"/>
  <c r="D44" i="1"/>
  <c r="D54" i="1"/>
  <c r="E16" i="64"/>
  <c r="C16" i="64"/>
  <c r="B16" i="64"/>
  <c r="D60" i="1"/>
  <c r="H12" i="45"/>
  <c r="C15" i="64"/>
  <c r="B15" i="64"/>
  <c r="D47" i="1"/>
  <c r="B13" i="64"/>
  <c r="C11" i="64"/>
  <c r="E11" i="64"/>
  <c r="B11" i="64"/>
  <c r="D11" i="64"/>
  <c r="H36" i="34"/>
  <c r="H51" i="34"/>
  <c r="H38" i="34"/>
  <c r="H14" i="34"/>
  <c r="H30" i="34"/>
  <c r="H20" i="34"/>
  <c r="H56" i="34"/>
  <c r="H17" i="34"/>
  <c r="H29" i="34"/>
  <c r="H19" i="34"/>
  <c r="H40" i="34"/>
  <c r="H28" i="34"/>
  <c r="H37" i="34"/>
  <c r="H26" i="34"/>
  <c r="H42" i="24"/>
  <c r="H13" i="27"/>
  <c r="I13" i="27" s="1"/>
  <c r="G8" i="63"/>
  <c r="H52" i="24"/>
  <c r="E40" i="4"/>
  <c r="H40" i="4" s="1"/>
  <c r="E48" i="23"/>
  <c r="H48" i="23" s="1"/>
  <c r="E53" i="24"/>
  <c r="H53" i="24" s="1"/>
  <c r="E53" i="4"/>
  <c r="H53" i="4" s="1"/>
  <c r="E43" i="24"/>
  <c r="H43" i="24" s="1"/>
  <c r="E20" i="5"/>
  <c r="H20" i="5" s="1"/>
  <c r="E20" i="22"/>
  <c r="H20" i="22" s="1"/>
  <c r="I20" i="22" s="1"/>
  <c r="E43" i="4"/>
  <c r="H43" i="4" s="1"/>
  <c r="E40" i="24"/>
  <c r="H40" i="24" s="1"/>
  <c r="E39" i="47"/>
  <c r="E39" i="61"/>
  <c r="E27" i="22"/>
  <c r="E61" i="24"/>
  <c r="E62" i="4"/>
  <c r="E56" i="23"/>
  <c r="E29" i="5"/>
  <c r="E55" i="3"/>
  <c r="E62" i="24"/>
  <c r="E28" i="5"/>
  <c r="E57" i="23"/>
  <c r="E60" i="24"/>
  <c r="E57" i="3"/>
  <c r="E60" i="4"/>
  <c r="E29" i="22"/>
  <c r="E16" i="47"/>
  <c r="E16" i="13"/>
  <c r="E16" i="62"/>
  <c r="E16" i="24"/>
  <c r="E16" i="4"/>
  <c r="E16" i="61"/>
  <c r="H54" i="34"/>
  <c r="H55" i="34"/>
  <c r="H11" i="34"/>
  <c r="H58" i="34"/>
  <c r="H33" i="34"/>
  <c r="H35" i="34"/>
  <c r="H9" i="34"/>
  <c r="H27" i="34"/>
  <c r="H24" i="34"/>
  <c r="G33" i="34"/>
  <c r="G25" i="34"/>
  <c r="G9" i="34"/>
  <c r="G23" i="34"/>
  <c r="G17" i="34"/>
  <c r="H18" i="34"/>
  <c r="H23" i="34"/>
  <c r="H10" i="34"/>
  <c r="H15" i="34"/>
  <c r="H31" i="34"/>
  <c r="H25" i="34"/>
  <c r="G19" i="34"/>
  <c r="G58" i="34"/>
  <c r="G10" i="34"/>
  <c r="G54" i="34"/>
  <c r="G55" i="34"/>
  <c r="G18" i="34"/>
  <c r="G20" i="34"/>
  <c r="G36" i="34"/>
  <c r="G51" i="34"/>
  <c r="G30" i="34"/>
  <c r="G24" i="34"/>
  <c r="G15" i="34"/>
  <c r="G31" i="34"/>
  <c r="G28" i="34"/>
  <c r="G35" i="34"/>
  <c r="G26" i="34"/>
  <c r="G38" i="34"/>
  <c r="G11" i="34"/>
  <c r="G14" i="34"/>
  <c r="G27" i="34"/>
  <c r="G29" i="34"/>
  <c r="G40" i="34"/>
  <c r="G56" i="34"/>
  <c r="G37" i="34"/>
  <c r="D15" i="64"/>
  <c r="E15" i="64"/>
  <c r="C33" i="45"/>
  <c r="D55" i="1"/>
  <c r="D45" i="1"/>
  <c r="H28" i="2"/>
  <c r="H42" i="2" s="1"/>
  <c r="I18" i="2"/>
  <c r="E13" i="64"/>
  <c r="B12" i="64"/>
  <c r="E12" i="64"/>
  <c r="C19" i="45"/>
  <c r="D12" i="64"/>
  <c r="D13" i="64"/>
  <c r="C31" i="45"/>
  <c r="D43" i="1"/>
  <c r="D53" i="1"/>
  <c r="I39" i="2"/>
  <c r="D33" i="1"/>
  <c r="D23" i="1"/>
  <c r="C12" i="64"/>
  <c r="C13" i="64"/>
  <c r="D30" i="24" l="1"/>
  <c r="D44" i="23"/>
  <c r="D24" i="23"/>
  <c r="D20" i="23"/>
  <c r="D12" i="58"/>
  <c r="D12" i="33"/>
  <c r="D20" i="61"/>
  <c r="D16" i="23"/>
  <c r="H16" i="23" s="1"/>
  <c r="I16" i="23" s="1"/>
  <c r="D12" i="26"/>
  <c r="H12" i="26" s="1"/>
  <c r="I12" i="26" s="1"/>
  <c r="D12" i="55"/>
  <c r="H12" i="55" s="1"/>
  <c r="I12" i="55" s="1"/>
  <c r="D12" i="22"/>
  <c r="H12" i="22" s="1"/>
  <c r="I12" i="22" s="1"/>
  <c r="D12" i="56"/>
  <c r="H12" i="56" s="1"/>
  <c r="I12" i="56" s="1"/>
  <c r="D38" i="62"/>
  <c r="H38" i="62" s="1"/>
  <c r="I38" i="62" s="1"/>
  <c r="D17" i="56"/>
  <c r="D28" i="47"/>
  <c r="D12" i="52"/>
  <c r="D71" i="3"/>
  <c r="D37" i="13"/>
  <c r="D39" i="13"/>
  <c r="I16" i="51"/>
  <c r="D16" i="5"/>
  <c r="H16" i="5" s="1"/>
  <c r="I16" i="5" s="1"/>
  <c r="D73" i="4"/>
  <c r="H73" i="4" s="1"/>
  <c r="D12" i="8"/>
  <c r="H12" i="8" s="1"/>
  <c r="I12" i="8" s="1"/>
  <c r="D24" i="3"/>
  <c r="H24" i="3" s="1"/>
  <c r="I24" i="3" s="1"/>
  <c r="D22" i="47"/>
  <c r="H22" i="47" s="1"/>
  <c r="I22" i="47" s="1"/>
  <c r="D15" i="50"/>
  <c r="D78" i="4"/>
  <c r="H78" i="4" s="1"/>
  <c r="D35" i="5"/>
  <c r="H35" i="5" s="1"/>
  <c r="D45" i="5"/>
  <c r="H45" i="5" s="1"/>
  <c r="D40" i="61"/>
  <c r="H40" i="61" s="1"/>
  <c r="D83" i="4"/>
  <c r="H83" i="4" s="1"/>
  <c r="H15" i="13"/>
  <c r="I15" i="13" s="1"/>
  <c r="H27" i="45"/>
  <c r="H26" i="45"/>
  <c r="H28" i="45"/>
  <c r="D12" i="62"/>
  <c r="H12" i="62" s="1"/>
  <c r="I12" i="62" s="1"/>
  <c r="D12" i="21"/>
  <c r="H12" i="21" s="1"/>
  <c r="I12" i="21" s="1"/>
  <c r="D12" i="25"/>
  <c r="H12" i="25" s="1"/>
  <c r="I12" i="25" s="1"/>
  <c r="D20" i="24"/>
  <c r="D32" i="62"/>
  <c r="H32" i="62" s="1"/>
  <c r="I32" i="62" s="1"/>
  <c r="D24" i="61"/>
  <c r="H24" i="61" s="1"/>
  <c r="I24" i="61" s="1"/>
  <c r="D46" i="4"/>
  <c r="H46" i="4" s="1"/>
  <c r="D60" i="4"/>
  <c r="H60" i="4" s="1"/>
  <c r="D19" i="9"/>
  <c r="H19" i="9" s="1"/>
  <c r="I19" i="9" s="1"/>
  <c r="D16" i="24"/>
  <c r="H16" i="24" s="1"/>
  <c r="I16" i="24" s="1"/>
  <c r="D40" i="62"/>
  <c r="H40" i="62" s="1"/>
  <c r="I40" i="62" s="1"/>
  <c r="D32" i="24"/>
  <c r="H32" i="24" s="1"/>
  <c r="I32" i="24" s="1"/>
  <c r="D28" i="23"/>
  <c r="D16" i="22"/>
  <c r="H16" i="22" s="1"/>
  <c r="I16" i="22" s="1"/>
  <c r="D36" i="23"/>
  <c r="H36" i="23" s="1"/>
  <c r="I36" i="23" s="1"/>
  <c r="D68" i="4"/>
  <c r="H68" i="4" s="1"/>
  <c r="D23" i="5"/>
  <c r="H23" i="5" s="1"/>
  <c r="I23" i="5" s="1"/>
  <c r="D12" i="60"/>
  <c r="H12" i="60" s="1"/>
  <c r="I12" i="60" s="1"/>
  <c r="D32" i="61"/>
  <c r="H32" i="61" s="1"/>
  <c r="I32" i="61" s="1"/>
  <c r="D36" i="24"/>
  <c r="H36" i="24" s="1"/>
  <c r="I36" i="24" s="1"/>
  <c r="D40" i="23"/>
  <c r="H40" i="23" s="1"/>
  <c r="I40" i="23" s="1"/>
  <c r="D16" i="61"/>
  <c r="H16" i="61" s="1"/>
  <c r="I16" i="61" s="1"/>
  <c r="D27" i="5"/>
  <c r="H27" i="5" s="1"/>
  <c r="D73" i="3"/>
  <c r="H73" i="3" s="1"/>
  <c r="D12" i="23"/>
  <c r="H12" i="23" s="1"/>
  <c r="I12" i="23" s="1"/>
  <c r="D12" i="57"/>
  <c r="H12" i="57" s="1"/>
  <c r="I12" i="57" s="1"/>
  <c r="D12" i="59"/>
  <c r="H12" i="59" s="1"/>
  <c r="I12" i="59" s="1"/>
  <c r="D24" i="62"/>
  <c r="D24" i="24"/>
  <c r="H24" i="24" s="1"/>
  <c r="I24" i="24" s="1"/>
  <c r="D40" i="5"/>
  <c r="H40" i="5" s="1"/>
  <c r="D51" i="3"/>
  <c r="H51" i="3" s="1"/>
  <c r="I51" i="3" s="1"/>
  <c r="D55" i="3"/>
  <c r="H55" i="3" s="1"/>
  <c r="D28" i="24"/>
  <c r="H28" i="24" s="1"/>
  <c r="I28" i="24" s="1"/>
  <c r="D32" i="23"/>
  <c r="H32" i="23" s="1"/>
  <c r="I32" i="23" s="1"/>
  <c r="D20" i="62"/>
  <c r="H20" i="62" s="1"/>
  <c r="I20" i="62" s="1"/>
  <c r="D12" i="24"/>
  <c r="H12" i="24" s="1"/>
  <c r="I12" i="24" s="1"/>
  <c r="D12" i="27"/>
  <c r="H12" i="27" s="1"/>
  <c r="I12" i="27" s="1"/>
  <c r="D68" i="3"/>
  <c r="H68" i="3" s="1"/>
  <c r="D25" i="9"/>
  <c r="H25" i="9" s="1"/>
  <c r="I25" i="9" s="1"/>
  <c r="D78" i="3"/>
  <c r="H78" i="3" s="1"/>
  <c r="D28" i="62"/>
  <c r="H28" i="62" s="1"/>
  <c r="I28" i="62" s="1"/>
  <c r="D12" i="61"/>
  <c r="H12" i="61" s="1"/>
  <c r="I12" i="61" s="1"/>
  <c r="D28" i="61"/>
  <c r="H28" i="61" s="1"/>
  <c r="I28" i="61" s="1"/>
  <c r="D36" i="62"/>
  <c r="H36" i="62" s="1"/>
  <c r="I36" i="62" s="1"/>
  <c r="D50" i="5"/>
  <c r="H50" i="5" s="1"/>
  <c r="D56" i="4"/>
  <c r="H56" i="4" s="1"/>
  <c r="D10" i="53"/>
  <c r="H10" i="53" s="1"/>
  <c r="I10" i="53" s="1"/>
  <c r="D30" i="47"/>
  <c r="H30" i="47" s="1"/>
  <c r="I30" i="47" s="1"/>
  <c r="D10" i="16"/>
  <c r="H10" i="16" s="1"/>
  <c r="I10" i="16" s="1"/>
  <c r="I44" i="48"/>
  <c r="D19" i="47"/>
  <c r="H19" i="47" s="1"/>
  <c r="I19" i="47" s="1"/>
  <c r="D10" i="58"/>
  <c r="H10" i="58" s="1"/>
  <c r="I10" i="58" s="1"/>
  <c r="D30" i="62"/>
  <c r="H30" i="62" s="1"/>
  <c r="I30" i="62" s="1"/>
  <c r="D15" i="59"/>
  <c r="H15" i="59" s="1"/>
  <c r="I15" i="59" s="1"/>
  <c r="D22" i="33"/>
  <c r="H22" i="33" s="1"/>
  <c r="I22" i="33" s="1"/>
  <c r="D26" i="62"/>
  <c r="H26" i="62" s="1"/>
  <c r="I26" i="62" s="1"/>
  <c r="D34" i="24"/>
  <c r="H34" i="24" s="1"/>
  <c r="I34" i="24" s="1"/>
  <c r="D18" i="13"/>
  <c r="H18" i="13" s="1"/>
  <c r="I18" i="13" s="1"/>
  <c r="D20" i="47"/>
  <c r="H20" i="47" s="1"/>
  <c r="I20" i="47" s="1"/>
  <c r="D16" i="48"/>
  <c r="H16" i="48" s="1"/>
  <c r="I16" i="48" s="1"/>
  <c r="D40" i="48"/>
  <c r="H40" i="48" s="1"/>
  <c r="I40" i="48" s="1"/>
  <c r="D81" i="24"/>
  <c r="H81" i="24" s="1"/>
  <c r="D26" i="23"/>
  <c r="H26" i="23" s="1"/>
  <c r="I26" i="23" s="1"/>
  <c r="D22" i="61"/>
  <c r="H22" i="61" s="1"/>
  <c r="I22" i="61" s="1"/>
  <c r="D30" i="61"/>
  <c r="H30" i="61" s="1"/>
  <c r="I30" i="61" s="1"/>
  <c r="D26" i="61"/>
  <c r="H26" i="61" s="1"/>
  <c r="I26" i="61" s="1"/>
  <c r="D22" i="23"/>
  <c r="H22" i="23" s="1"/>
  <c r="I22" i="23" s="1"/>
  <c r="D34" i="62"/>
  <c r="H34" i="62" s="1"/>
  <c r="I34" i="62" s="1"/>
  <c r="D14" i="56"/>
  <c r="H14" i="56" s="1"/>
  <c r="I14" i="56" s="1"/>
  <c r="D18" i="33"/>
  <c r="H18" i="33" s="1"/>
  <c r="I18" i="33" s="1"/>
  <c r="D14" i="13"/>
  <c r="H14" i="13" s="1"/>
  <c r="I14" i="13" s="1"/>
  <c r="D10" i="57"/>
  <c r="H10" i="57" s="1"/>
  <c r="I10" i="57" s="1"/>
  <c r="D36" i="48"/>
  <c r="H36" i="48" s="1"/>
  <c r="I36" i="48" s="1"/>
  <c r="D12" i="54"/>
  <c r="H12" i="54" s="1"/>
  <c r="I12" i="54" s="1"/>
  <c r="D12" i="49"/>
  <c r="H12" i="49" s="1"/>
  <c r="I12" i="49" s="1"/>
  <c r="D61" i="23"/>
  <c r="H61" i="23" s="1"/>
  <c r="D14" i="62"/>
  <c r="H14" i="62" s="1"/>
  <c r="I14" i="62" s="1"/>
  <c r="D34" i="23"/>
  <c r="H34" i="23" s="1"/>
  <c r="I34" i="23" s="1"/>
  <c r="D10" i="60"/>
  <c r="H10" i="60" s="1"/>
  <c r="I10" i="60" s="1"/>
  <c r="D18" i="24"/>
  <c r="H18" i="24" s="1"/>
  <c r="I18" i="24" s="1"/>
  <c r="D10" i="25"/>
  <c r="H10" i="25" s="1"/>
  <c r="I10" i="25" s="1"/>
  <c r="D27" i="33"/>
  <c r="H27" i="33" s="1"/>
  <c r="I27" i="33" s="1"/>
  <c r="D18" i="58"/>
  <c r="H18" i="58" s="1"/>
  <c r="I18" i="58" s="1"/>
  <c r="D10" i="59"/>
  <c r="H10" i="59" s="1"/>
  <c r="I10" i="59" s="1"/>
  <c r="D24" i="48"/>
  <c r="H24" i="48" s="1"/>
  <c r="I24" i="48" s="1"/>
  <c r="D24" i="58"/>
  <c r="H24" i="58" s="1"/>
  <c r="I24" i="58" s="1"/>
  <c r="D32" i="48"/>
  <c r="H32" i="48" s="1"/>
  <c r="I32" i="48" s="1"/>
  <c r="D12" i="48"/>
  <c r="H12" i="48" s="1"/>
  <c r="I12" i="48" s="1"/>
  <c r="D24" i="47"/>
  <c r="H24" i="47" s="1"/>
  <c r="I24" i="47" s="1"/>
  <c r="D42" i="62"/>
  <c r="H42" i="62" s="1"/>
  <c r="I42" i="62" s="1"/>
  <c r="D10" i="33"/>
  <c r="H10" i="33" s="1"/>
  <c r="I10" i="33" s="1"/>
  <c r="D20" i="56"/>
  <c r="H20" i="56" s="1"/>
  <c r="I20" i="56" s="1"/>
  <c r="D10" i="24"/>
  <c r="H10" i="24" s="1"/>
  <c r="I10" i="24" s="1"/>
  <c r="D10" i="27"/>
  <c r="H10" i="27" s="1"/>
  <c r="I10" i="27" s="1"/>
  <c r="D10" i="23"/>
  <c r="H10" i="23" s="1"/>
  <c r="I10" i="23" s="1"/>
  <c r="D10" i="55"/>
  <c r="H10" i="55" s="1"/>
  <c r="I10" i="55" s="1"/>
  <c r="D15" i="21"/>
  <c r="H15" i="21" s="1"/>
  <c r="I15" i="21" s="1"/>
  <c r="D26" i="24"/>
  <c r="H26" i="24" s="1"/>
  <c r="I26" i="24" s="1"/>
  <c r="D38" i="12"/>
  <c r="H38" i="12" s="1"/>
  <c r="I38" i="12" s="1"/>
  <c r="D33" i="22"/>
  <c r="H33" i="22" s="1"/>
  <c r="D14" i="24"/>
  <c r="H14" i="24" s="1"/>
  <c r="I14" i="24" s="1"/>
  <c r="D12" i="51"/>
  <c r="H12" i="51" s="1"/>
  <c r="I12" i="51" s="1"/>
  <c r="D32" i="47"/>
  <c r="H32" i="47" s="1"/>
  <c r="I32" i="47" s="1"/>
  <c r="D38" i="22"/>
  <c r="H38" i="22" s="1"/>
  <c r="D30" i="23"/>
  <c r="H30" i="23" s="1"/>
  <c r="I30" i="23" s="1"/>
  <c r="D15" i="58"/>
  <c r="H15" i="58" s="1"/>
  <c r="I15" i="58" s="1"/>
  <c r="D15" i="33"/>
  <c r="H15" i="33" s="1"/>
  <c r="I15" i="33" s="1"/>
  <c r="D14" i="61"/>
  <c r="H14" i="61" s="1"/>
  <c r="I14" i="61" s="1"/>
  <c r="D18" i="23"/>
  <c r="H18" i="23" s="1"/>
  <c r="I18" i="23" s="1"/>
  <c r="D18" i="59"/>
  <c r="H18" i="59" s="1"/>
  <c r="I18" i="59" s="1"/>
  <c r="D18" i="61"/>
  <c r="H18" i="61" s="1"/>
  <c r="I18" i="61" s="1"/>
  <c r="D14" i="22"/>
  <c r="H14" i="22" s="1"/>
  <c r="I14" i="22" s="1"/>
  <c r="D20" i="15"/>
  <c r="H20" i="15" s="1"/>
  <c r="I20" i="15" s="1"/>
  <c r="D12" i="53"/>
  <c r="H12" i="53" s="1"/>
  <c r="I12" i="53" s="1"/>
  <c r="D14" i="23"/>
  <c r="H14" i="23" s="1"/>
  <c r="I14" i="23" s="1"/>
  <c r="D12" i="47"/>
  <c r="H12" i="47" s="1"/>
  <c r="I12" i="47" s="1"/>
  <c r="D16" i="47"/>
  <c r="H16" i="47" s="1"/>
  <c r="I16" i="47" s="1"/>
  <c r="D76" i="24"/>
  <c r="H76" i="24" s="1"/>
  <c r="D10" i="21"/>
  <c r="H10" i="21" s="1"/>
  <c r="I10" i="21" s="1"/>
  <c r="D18" i="21"/>
  <c r="H18" i="21" s="1"/>
  <c r="I18" i="21" s="1"/>
  <c r="D10" i="62"/>
  <c r="H10" i="62" s="1"/>
  <c r="I10" i="62" s="1"/>
  <c r="D10" i="56"/>
  <c r="H10" i="56" s="1"/>
  <c r="I10" i="56" s="1"/>
  <c r="D22" i="24"/>
  <c r="H22" i="24" s="1"/>
  <c r="I22" i="24" s="1"/>
  <c r="D38" i="23"/>
  <c r="H38" i="23" s="1"/>
  <c r="I38" i="23" s="1"/>
  <c r="D42" i="23"/>
  <c r="H42" i="23" s="1"/>
  <c r="I42" i="23" s="1"/>
  <c r="D22" i="32"/>
  <c r="H22" i="32" s="1"/>
  <c r="I22" i="32" s="1"/>
  <c r="D28" i="48"/>
  <c r="H28" i="48" s="1"/>
  <c r="I28" i="48" s="1"/>
  <c r="D14" i="26"/>
  <c r="H14" i="26" s="1"/>
  <c r="I14" i="26" s="1"/>
  <c r="D10" i="61"/>
  <c r="H10" i="61" s="1"/>
  <c r="I10" i="61" s="1"/>
  <c r="D12" i="50"/>
  <c r="H12" i="50" s="1"/>
  <c r="I12" i="50" s="1"/>
  <c r="D18" i="62"/>
  <c r="H18" i="62" s="1"/>
  <c r="I18" i="62" s="1"/>
  <c r="D27" i="58"/>
  <c r="H27" i="58" s="1"/>
  <c r="I27" i="58" s="1"/>
  <c r="D10" i="22"/>
  <c r="H10" i="22" s="1"/>
  <c r="I10" i="22" s="1"/>
  <c r="D20" i="26"/>
  <c r="H20" i="26" s="1"/>
  <c r="I20" i="26" s="1"/>
  <c r="D24" i="33"/>
  <c r="H24" i="33" s="1"/>
  <c r="I24" i="33" s="1"/>
  <c r="D22" i="58"/>
  <c r="H22" i="58" s="1"/>
  <c r="I22" i="58" s="1"/>
  <c r="D17" i="26"/>
  <c r="H17" i="26" s="1"/>
  <c r="I17" i="26" s="1"/>
  <c r="D22" i="13"/>
  <c r="H22" i="13" s="1"/>
  <c r="I22" i="13" s="1"/>
  <c r="I17" i="51"/>
  <c r="I46" i="62"/>
  <c r="I19" i="22"/>
  <c r="D82" i="24"/>
  <c r="H82" i="24" s="1"/>
  <c r="D72" i="23"/>
  <c r="H72" i="23" s="1"/>
  <c r="D56" i="24"/>
  <c r="H56" i="24" s="1"/>
  <c r="D45" i="22"/>
  <c r="H45" i="22" s="1"/>
  <c r="D41" i="24"/>
  <c r="H41" i="24" s="1"/>
  <c r="I41" i="24" s="1"/>
  <c r="I43" i="24"/>
  <c r="D50" i="22"/>
  <c r="H50" i="22" s="1"/>
  <c r="D83" i="24"/>
  <c r="H83" i="24" s="1"/>
  <c r="H11" i="13"/>
  <c r="I11" i="13" s="1"/>
  <c r="D67" i="24"/>
  <c r="H67" i="24" s="1"/>
  <c r="H11" i="16"/>
  <c r="I11" i="16" s="1"/>
  <c r="D27" i="22"/>
  <c r="H27" i="22" s="1"/>
  <c r="D49" i="22"/>
  <c r="H49" i="22" s="1"/>
  <c r="D27" i="48"/>
  <c r="H27" i="48" s="1"/>
  <c r="I27" i="48" s="1"/>
  <c r="D54" i="24"/>
  <c r="H54" i="24" s="1"/>
  <c r="D12" i="9"/>
  <c r="H12" i="9" s="1"/>
  <c r="I12" i="9" s="1"/>
  <c r="D48" i="5"/>
  <c r="H48" i="5" s="1"/>
  <c r="D22" i="48"/>
  <c r="H22" i="48" s="1"/>
  <c r="I22" i="48" s="1"/>
  <c r="D10" i="52"/>
  <c r="H10" i="52" s="1"/>
  <c r="I10" i="52" s="1"/>
  <c r="D18" i="50"/>
  <c r="H18" i="50" s="1"/>
  <c r="I18" i="50" s="1"/>
  <c r="D12" i="3"/>
  <c r="H12" i="3" s="1"/>
  <c r="I12" i="3" s="1"/>
  <c r="D28" i="4"/>
  <c r="H28" i="4" s="1"/>
  <c r="I28" i="4" s="1"/>
  <c r="D24" i="49"/>
  <c r="H24" i="49" s="1"/>
  <c r="I24" i="49" s="1"/>
  <c r="D18" i="49"/>
  <c r="H18" i="49" s="1"/>
  <c r="I18" i="49" s="1"/>
  <c r="D10" i="49"/>
  <c r="H10" i="49" s="1"/>
  <c r="I10" i="49" s="1"/>
  <c r="D30" i="48"/>
  <c r="H30" i="48" s="1"/>
  <c r="I30" i="48" s="1"/>
  <c r="D10" i="51"/>
  <c r="H10" i="51" s="1"/>
  <c r="I10" i="51" s="1"/>
  <c r="D34" i="48"/>
  <c r="H34" i="48" s="1"/>
  <c r="I34" i="48" s="1"/>
  <c r="D15" i="49"/>
  <c r="H15" i="49" s="1"/>
  <c r="I15" i="49" s="1"/>
  <c r="I28" i="2"/>
  <c r="I42" i="2" s="1"/>
  <c r="I16" i="60"/>
  <c r="I45" i="48"/>
  <c r="I20" i="50"/>
  <c r="D20" i="3"/>
  <c r="H20" i="3" s="1"/>
  <c r="I20" i="3" s="1"/>
  <c r="D40" i="3"/>
  <c r="H40" i="3" s="1"/>
  <c r="I40" i="3" s="1"/>
  <c r="D16" i="3"/>
  <c r="H16" i="3" s="1"/>
  <c r="I16" i="3" s="1"/>
  <c r="D17" i="53"/>
  <c r="H17" i="53" s="1"/>
  <c r="I17" i="53" s="1"/>
  <c r="D20" i="53"/>
  <c r="H20" i="53" s="1"/>
  <c r="I20" i="53" s="1"/>
  <c r="D18" i="48"/>
  <c r="H18" i="48" s="1"/>
  <c r="I18" i="48" s="1"/>
  <c r="D10" i="48"/>
  <c r="H10" i="48" s="1"/>
  <c r="I10" i="48" s="1"/>
  <c r="D18" i="47"/>
  <c r="H18" i="47" s="1"/>
  <c r="I18" i="47" s="1"/>
  <c r="D10" i="50"/>
  <c r="H10" i="50" s="1"/>
  <c r="I10" i="50" s="1"/>
  <c r="D10" i="47"/>
  <c r="H10" i="47" s="1"/>
  <c r="I10" i="47" s="1"/>
  <c r="H11" i="11"/>
  <c r="I11" i="11" s="1"/>
  <c r="D16" i="4"/>
  <c r="H16" i="4" s="1"/>
  <c r="I16" i="4" s="1"/>
  <c r="D32" i="3"/>
  <c r="H32" i="3" s="1"/>
  <c r="I32" i="3" s="1"/>
  <c r="D37" i="4"/>
  <c r="H37" i="4" s="1"/>
  <c r="I37" i="4" s="1"/>
  <c r="H14" i="47"/>
  <c r="I14" i="47" s="1"/>
  <c r="D27" i="49"/>
  <c r="H27" i="49" s="1"/>
  <c r="I27" i="49" s="1"/>
  <c r="D38" i="48"/>
  <c r="H38" i="48" s="1"/>
  <c r="I38" i="48" s="1"/>
  <c r="D26" i="48"/>
  <c r="H26" i="48" s="1"/>
  <c r="I26" i="48" s="1"/>
  <c r="D10" i="54"/>
  <c r="H10" i="54" s="1"/>
  <c r="I10" i="54" s="1"/>
  <c r="D22" i="49"/>
  <c r="H22" i="49" s="1"/>
  <c r="I22" i="49" s="1"/>
  <c r="D14" i="53"/>
  <c r="H14" i="53" s="1"/>
  <c r="I14" i="53" s="1"/>
  <c r="D14" i="48"/>
  <c r="H14" i="48" s="1"/>
  <c r="I14" i="48" s="1"/>
  <c r="C56" i="24"/>
  <c r="D51" i="24"/>
  <c r="H51" i="24" s="1"/>
  <c r="I51" i="24" s="1"/>
  <c r="D39" i="61"/>
  <c r="H39" i="61" s="1"/>
  <c r="H10" i="4"/>
  <c r="I10" i="4" s="1"/>
  <c r="H10" i="7"/>
  <c r="I10" i="7" s="1"/>
  <c r="H18" i="3"/>
  <c r="I18" i="3" s="1"/>
  <c r="I40" i="24"/>
  <c r="D35" i="22"/>
  <c r="H35" i="22" s="1"/>
  <c r="D68" i="24"/>
  <c r="H68" i="24" s="1"/>
  <c r="D23" i="22"/>
  <c r="H23" i="22" s="1"/>
  <c r="I23" i="22" s="1"/>
  <c r="D78" i="24"/>
  <c r="H78" i="24" s="1"/>
  <c r="D68" i="23"/>
  <c r="H68" i="23" s="1"/>
  <c r="H49" i="4"/>
  <c r="I49" i="4" s="1"/>
  <c r="H50" i="4"/>
  <c r="D63" i="23"/>
  <c r="H63" i="23" s="1"/>
  <c r="D60" i="24"/>
  <c r="H60" i="24" s="1"/>
  <c r="D78" i="23"/>
  <c r="H78" i="23" s="1"/>
  <c r="D51" i="23"/>
  <c r="H51" i="23" s="1"/>
  <c r="I51" i="23" s="1"/>
  <c r="I20" i="59"/>
  <c r="D46" i="24"/>
  <c r="H46" i="24" s="1"/>
  <c r="I46" i="24" s="1"/>
  <c r="D73" i="23"/>
  <c r="H73" i="23" s="1"/>
  <c r="D55" i="23"/>
  <c r="H55" i="23" s="1"/>
  <c r="D73" i="24"/>
  <c r="H73" i="24" s="1"/>
  <c r="I39" i="4"/>
  <c r="D40" i="13"/>
  <c r="H40" i="13" s="1"/>
  <c r="D50" i="24"/>
  <c r="H50" i="24" s="1"/>
  <c r="I50" i="24" s="1"/>
  <c r="H35" i="12"/>
  <c r="I35" i="12" s="1"/>
  <c r="D28" i="3"/>
  <c r="H28" i="3" s="1"/>
  <c r="I28" i="3" s="1"/>
  <c r="D32" i="4"/>
  <c r="H32" i="4" s="1"/>
  <c r="I32" i="4" s="1"/>
  <c r="D14" i="9"/>
  <c r="H14" i="9" s="1"/>
  <c r="I14" i="9" s="1"/>
  <c r="D12" i="5"/>
  <c r="H12" i="5" s="1"/>
  <c r="I12" i="5" s="1"/>
  <c r="D36" i="3"/>
  <c r="H36" i="3" s="1"/>
  <c r="I36" i="3" s="1"/>
  <c r="D38" i="61"/>
  <c r="H38" i="61" s="1"/>
  <c r="D23" i="4"/>
  <c r="H23" i="4" s="1"/>
  <c r="I23" i="4" s="1"/>
  <c r="D49" i="24"/>
  <c r="H49" i="24" s="1"/>
  <c r="I49" i="24" s="1"/>
  <c r="D12" i="4"/>
  <c r="H12" i="4" s="1"/>
  <c r="I12" i="4" s="1"/>
  <c r="D12" i="7"/>
  <c r="H12" i="7" s="1"/>
  <c r="I12" i="7" s="1"/>
  <c r="D44" i="3"/>
  <c r="H44" i="3" s="1"/>
  <c r="I44" i="3" s="1"/>
  <c r="D24" i="4"/>
  <c r="H24" i="4" s="1"/>
  <c r="I24" i="4" s="1"/>
  <c r="D20" i="4"/>
  <c r="H20" i="4" s="1"/>
  <c r="I20" i="4" s="1"/>
  <c r="D46" i="12"/>
  <c r="H46" i="12" s="1"/>
  <c r="I46" i="12" s="1"/>
  <c r="J47" i="12" s="1"/>
  <c r="I21" i="50"/>
  <c r="H11" i="45"/>
  <c r="I17" i="60"/>
  <c r="D18" i="11"/>
  <c r="H18" i="11" s="1"/>
  <c r="I18" i="11" s="1"/>
  <c r="D21" i="15"/>
  <c r="H21" i="15" s="1"/>
  <c r="I21" i="15" s="1"/>
  <c r="I48" i="3"/>
  <c r="D45" i="12"/>
  <c r="H45" i="12" s="1"/>
  <c r="I45" i="12" s="1"/>
  <c r="H44" i="24"/>
  <c r="I44" i="24" s="1"/>
  <c r="H34" i="4"/>
  <c r="I34" i="4" s="1"/>
  <c r="H18" i="9"/>
  <c r="I18" i="9" s="1"/>
  <c r="H14" i="4"/>
  <c r="I14" i="4" s="1"/>
  <c r="H11" i="12"/>
  <c r="I11" i="12" s="1"/>
  <c r="D18" i="15"/>
  <c r="H18" i="15" s="1"/>
  <c r="I18" i="15" s="1"/>
  <c r="H10" i="45"/>
  <c r="H19" i="45"/>
  <c r="H9" i="45"/>
  <c r="H17" i="45"/>
  <c r="H20" i="45"/>
  <c r="H18" i="45"/>
  <c r="D41" i="4"/>
  <c r="H41" i="4" s="1"/>
  <c r="I41" i="4" s="1"/>
  <c r="H22" i="5"/>
  <c r="I22" i="5" s="1"/>
  <c r="D49" i="3"/>
  <c r="H49" i="3" s="1"/>
  <c r="I49" i="3" s="1"/>
  <c r="D26" i="47"/>
  <c r="H26" i="47" s="1"/>
  <c r="I26" i="47" s="1"/>
  <c r="H47" i="47"/>
  <c r="D30" i="12"/>
  <c r="H30" i="12" s="1"/>
  <c r="I30" i="12" s="1"/>
  <c r="D10" i="32"/>
  <c r="H10" i="32" s="1"/>
  <c r="I10" i="32" s="1"/>
  <c r="D18" i="12"/>
  <c r="H18" i="12" s="1"/>
  <c r="I18" i="12" s="1"/>
  <c r="D17" i="15"/>
  <c r="H17" i="15" s="1"/>
  <c r="I17" i="15" s="1"/>
  <c r="D14" i="12"/>
  <c r="H14" i="12" s="1"/>
  <c r="I14" i="12" s="1"/>
  <c r="D10" i="15"/>
  <c r="H10" i="15" s="1"/>
  <c r="I10" i="15" s="1"/>
  <c r="D18" i="10"/>
  <c r="H18" i="10" s="1"/>
  <c r="I18" i="10" s="1"/>
  <c r="I21" i="21"/>
  <c r="H47" i="48"/>
  <c r="I47" i="48" s="1"/>
  <c r="I25" i="50"/>
  <c r="D11" i="8"/>
  <c r="H11" i="8" s="1"/>
  <c r="I11" i="8" s="1"/>
  <c r="D30" i="13"/>
  <c r="H30" i="13" s="1"/>
  <c r="I30" i="13" s="1"/>
  <c r="D26" i="12"/>
  <c r="H26" i="12" s="1"/>
  <c r="I26" i="12" s="1"/>
  <c r="D27" i="32"/>
  <c r="H27" i="32" s="1"/>
  <c r="I27" i="32" s="1"/>
  <c r="D10" i="11"/>
  <c r="H10" i="11" s="1"/>
  <c r="I10" i="11" s="1"/>
  <c r="D10" i="12"/>
  <c r="H10" i="12" s="1"/>
  <c r="I10" i="12" s="1"/>
  <c r="D18" i="32"/>
  <c r="H18" i="32" s="1"/>
  <c r="I18" i="32" s="1"/>
  <c r="D26" i="13"/>
  <c r="H26" i="13" s="1"/>
  <c r="I26" i="13" s="1"/>
  <c r="D22" i="12"/>
  <c r="H22" i="12" s="1"/>
  <c r="I22" i="12" s="1"/>
  <c r="D23" i="47"/>
  <c r="H23" i="47" s="1"/>
  <c r="I23" i="47" s="1"/>
  <c r="D37" i="47"/>
  <c r="H37" i="47" s="1"/>
  <c r="I37" i="47" s="1"/>
  <c r="D54" i="4"/>
  <c r="H54" i="4" s="1"/>
  <c r="H25" i="49"/>
  <c r="I25" i="49" s="1"/>
  <c r="I19" i="11"/>
  <c r="D23" i="3"/>
  <c r="H23" i="3" s="1"/>
  <c r="I23" i="3" s="1"/>
  <c r="D15" i="32"/>
  <c r="H15" i="32" s="1"/>
  <c r="I15" i="32" s="1"/>
  <c r="D15" i="10"/>
  <c r="H15" i="10" s="1"/>
  <c r="I15" i="10" s="1"/>
  <c r="D10" i="14"/>
  <c r="H10" i="14" s="1"/>
  <c r="I10" i="14" s="1"/>
  <c r="D24" i="32"/>
  <c r="H24" i="32" s="1"/>
  <c r="I24" i="32" s="1"/>
  <c r="D10" i="13"/>
  <c r="H10" i="13" s="1"/>
  <c r="I10" i="13" s="1"/>
  <c r="D14" i="15"/>
  <c r="H14" i="15" s="1"/>
  <c r="I14" i="15" s="1"/>
  <c r="D34" i="12"/>
  <c r="H34" i="12" s="1"/>
  <c r="I34" i="12" s="1"/>
  <c r="D21" i="5"/>
  <c r="H21" i="5" s="1"/>
  <c r="I21" i="5" s="1"/>
  <c r="H11" i="10"/>
  <c r="I11" i="10" s="1"/>
  <c r="I21" i="59"/>
  <c r="H32" i="13"/>
  <c r="I32" i="13" s="1"/>
  <c r="I22" i="59"/>
  <c r="I20" i="5"/>
  <c r="I47" i="23"/>
  <c r="H19" i="51"/>
  <c r="I19" i="51" s="1"/>
  <c r="H18" i="53"/>
  <c r="I18" i="53" s="1"/>
  <c r="H28" i="13"/>
  <c r="I28" i="13" s="1"/>
  <c r="D76" i="3"/>
  <c r="H76" i="3" s="1"/>
  <c r="D66" i="4"/>
  <c r="H66" i="4" s="1"/>
  <c r="D21" i="8"/>
  <c r="H21" i="8" s="1"/>
  <c r="I21" i="8" s="1"/>
  <c r="D43" i="13"/>
  <c r="H43" i="13" s="1"/>
  <c r="D42" i="13"/>
  <c r="H42" i="13" s="1"/>
  <c r="D15" i="11"/>
  <c r="H15" i="11" s="1"/>
  <c r="I15" i="11" s="1"/>
  <c r="D42" i="12"/>
  <c r="H42" i="12" s="1"/>
  <c r="I42" i="12" s="1"/>
  <c r="D45" i="13"/>
  <c r="H45" i="13" s="1"/>
  <c r="D14" i="16"/>
  <c r="H14" i="16" s="1"/>
  <c r="I14" i="16" s="1"/>
  <c r="H28" i="23"/>
  <c r="I28" i="23" s="1"/>
  <c r="H23" i="50"/>
  <c r="I23" i="50" s="1"/>
  <c r="D36" i="61"/>
  <c r="H36" i="61" s="1"/>
  <c r="I36" i="61" s="1"/>
  <c r="D86" i="24"/>
  <c r="H86" i="24" s="1"/>
  <c r="D71" i="23"/>
  <c r="H71" i="23" s="1"/>
  <c r="D17" i="27"/>
  <c r="H17" i="27" s="1"/>
  <c r="I17" i="27" s="1"/>
  <c r="J18" i="27" s="1"/>
  <c r="D19" i="60"/>
  <c r="H19" i="60" s="1"/>
  <c r="I19" i="60" s="1"/>
  <c r="D71" i="24"/>
  <c r="H71" i="24" s="1"/>
  <c r="D19" i="4"/>
  <c r="H19" i="4" s="1"/>
  <c r="I19" i="4" s="1"/>
  <c r="D13" i="9"/>
  <c r="H13" i="9" s="1"/>
  <c r="I13" i="9" s="1"/>
  <c r="D31" i="4"/>
  <c r="H31" i="4" s="1"/>
  <c r="I31" i="4" s="1"/>
  <c r="D66" i="3"/>
  <c r="H66" i="3" s="1"/>
  <c r="H28" i="47"/>
  <c r="I28" i="47" s="1"/>
  <c r="D43" i="12"/>
  <c r="H43" i="12" s="1"/>
  <c r="I43" i="12" s="1"/>
  <c r="D14" i="11"/>
  <c r="H14" i="11" s="1"/>
  <c r="I14" i="11" s="1"/>
  <c r="D28" i="58"/>
  <c r="H28" i="58" s="1"/>
  <c r="I28" i="58" s="1"/>
  <c r="D28" i="33"/>
  <c r="H28" i="33" s="1"/>
  <c r="I28" i="33" s="1"/>
  <c r="D24" i="59"/>
  <c r="H24" i="59" s="1"/>
  <c r="I24" i="59" s="1"/>
  <c r="J25" i="59" s="1"/>
  <c r="D47" i="61"/>
  <c r="H47" i="61" s="1"/>
  <c r="H15" i="12"/>
  <c r="I15" i="12" s="1"/>
  <c r="H14" i="3"/>
  <c r="I14" i="3" s="1"/>
  <c r="I25" i="21"/>
  <c r="H44" i="4"/>
  <c r="I44" i="4" s="1"/>
  <c r="D35" i="3"/>
  <c r="H35" i="3" s="1"/>
  <c r="I35" i="3" s="1"/>
  <c r="D19" i="3"/>
  <c r="H19" i="3" s="1"/>
  <c r="I19" i="3" s="1"/>
  <c r="D11" i="9"/>
  <c r="H11" i="9" s="1"/>
  <c r="I11" i="9" s="1"/>
  <c r="D21" i="22"/>
  <c r="H21" i="22" s="1"/>
  <c r="I21" i="22" s="1"/>
  <c r="D49" i="23"/>
  <c r="H49" i="23" s="1"/>
  <c r="I49" i="23" s="1"/>
  <c r="D33" i="5"/>
  <c r="H33" i="5" s="1"/>
  <c r="D86" i="4"/>
  <c r="H86" i="4" s="1"/>
  <c r="D25" i="32"/>
  <c r="H25" i="32" s="1"/>
  <c r="I25" i="32" s="1"/>
  <c r="D21" i="10"/>
  <c r="H21" i="10" s="1"/>
  <c r="I21" i="10" s="1"/>
  <c r="D17" i="11"/>
  <c r="H17" i="11" s="1"/>
  <c r="I17" i="11" s="1"/>
  <c r="D21" i="26"/>
  <c r="H21" i="26" s="1"/>
  <c r="I21" i="26" s="1"/>
  <c r="I43" i="4"/>
  <c r="D53" i="5"/>
  <c r="H53" i="5" s="1"/>
  <c r="D61" i="3"/>
  <c r="H61" i="3" s="1"/>
  <c r="D36" i="13"/>
  <c r="H36" i="13" s="1"/>
  <c r="I36" i="13" s="1"/>
  <c r="D28" i="32"/>
  <c r="H28" i="32" s="1"/>
  <c r="I28" i="32" s="1"/>
  <c r="D22" i="10"/>
  <c r="H22" i="10" s="1"/>
  <c r="I22" i="10" s="1"/>
  <c r="J23" i="10" s="1"/>
  <c r="D15" i="16"/>
  <c r="H15" i="16" s="1"/>
  <c r="I15" i="16" s="1"/>
  <c r="J16" i="16" s="1"/>
  <c r="H16" i="54"/>
  <c r="I16" i="54" s="1"/>
  <c r="D66" i="24"/>
  <c r="H66" i="24" s="1"/>
  <c r="D48" i="22"/>
  <c r="H48" i="22" s="1"/>
  <c r="D25" i="58"/>
  <c r="H25" i="58" s="1"/>
  <c r="I25" i="58" s="1"/>
  <c r="D47" i="62"/>
  <c r="H47" i="62" s="1"/>
  <c r="I47" i="62" s="1"/>
  <c r="D23" i="59"/>
  <c r="H23" i="59" s="1"/>
  <c r="I23" i="59" s="1"/>
  <c r="H62" i="3"/>
  <c r="H27" i="13"/>
  <c r="I27" i="13" s="1"/>
  <c r="D39" i="3"/>
  <c r="H39" i="3" s="1"/>
  <c r="I39" i="3" s="1"/>
  <c r="D11" i="5"/>
  <c r="H11" i="5" s="1"/>
  <c r="I11" i="5" s="1"/>
  <c r="D11" i="7"/>
  <c r="H11" i="7" s="1"/>
  <c r="I11" i="7" s="1"/>
  <c r="H28" i="12"/>
  <c r="I28" i="12" s="1"/>
  <c r="H38" i="4"/>
  <c r="I38" i="4" s="1"/>
  <c r="H31" i="12"/>
  <c r="I31" i="12" s="1"/>
  <c r="H43" i="61"/>
  <c r="D67" i="23"/>
  <c r="H67" i="23" s="1"/>
  <c r="D62" i="23"/>
  <c r="H62" i="23" s="1"/>
  <c r="D45" i="24"/>
  <c r="H45" i="24" s="1"/>
  <c r="I45" i="24" s="1"/>
  <c r="D46" i="3"/>
  <c r="H46" i="3" s="1"/>
  <c r="I46" i="3" s="1"/>
  <c r="D81" i="4"/>
  <c r="H81" i="4" s="1"/>
  <c r="D76" i="4"/>
  <c r="H76" i="4" s="1"/>
  <c r="D43" i="5"/>
  <c r="H43" i="5" s="1"/>
  <c r="D81" i="3"/>
  <c r="H81" i="3" s="1"/>
  <c r="H24" i="50"/>
  <c r="I24" i="50" s="1"/>
  <c r="H48" i="48"/>
  <c r="I48" i="48" s="1"/>
  <c r="J49" i="48" s="1"/>
  <c r="D35" i="61"/>
  <c r="H35" i="61" s="1"/>
  <c r="D43" i="62"/>
  <c r="H43" i="62" s="1"/>
  <c r="I43" i="62" s="1"/>
  <c r="D15" i="60"/>
  <c r="H15" i="60" s="1"/>
  <c r="I15" i="60" s="1"/>
  <c r="D81" i="23"/>
  <c r="H81" i="23" s="1"/>
  <c r="D14" i="60"/>
  <c r="H14" i="60" s="1"/>
  <c r="I14" i="60" s="1"/>
  <c r="D23" i="21"/>
  <c r="H23" i="21" s="1"/>
  <c r="I23" i="21" s="1"/>
  <c r="D48" i="61"/>
  <c r="H48" i="61" s="1"/>
  <c r="D43" i="22"/>
  <c r="H43" i="22" s="1"/>
  <c r="D24" i="21"/>
  <c r="H24" i="21" s="1"/>
  <c r="I24" i="21" s="1"/>
  <c r="D17" i="57"/>
  <c r="H17" i="57" s="1"/>
  <c r="I17" i="57" s="1"/>
  <c r="J18" i="57" s="1"/>
  <c r="D21" i="56"/>
  <c r="H21" i="56" s="1"/>
  <c r="I21" i="56" s="1"/>
  <c r="D25" i="33"/>
  <c r="H25" i="33" s="1"/>
  <c r="I25" i="33" s="1"/>
  <c r="H45" i="4"/>
  <c r="D34" i="22"/>
  <c r="H34" i="22" s="1"/>
  <c r="D77" i="24"/>
  <c r="H77" i="24" s="1"/>
  <c r="D55" i="24"/>
  <c r="H55" i="24" s="1"/>
  <c r="I55" i="24" s="1"/>
  <c r="D39" i="22"/>
  <c r="H39" i="22" s="1"/>
  <c r="D22" i="22"/>
  <c r="H22" i="22" s="1"/>
  <c r="I22" i="22" s="1"/>
  <c r="D15" i="3"/>
  <c r="H15" i="3" s="1"/>
  <c r="I15" i="3" s="1"/>
  <c r="D31" i="3"/>
  <c r="H31" i="3" s="1"/>
  <c r="I31" i="3" s="1"/>
  <c r="D15" i="5"/>
  <c r="H15" i="5" s="1"/>
  <c r="I15" i="5" s="1"/>
  <c r="D35" i="4"/>
  <c r="H35" i="4" s="1"/>
  <c r="I35" i="4" s="1"/>
  <c r="D11" i="4"/>
  <c r="H11" i="4" s="1"/>
  <c r="I11" i="4" s="1"/>
  <c r="D11" i="52"/>
  <c r="H11" i="52" s="1"/>
  <c r="I11" i="52" s="1"/>
  <c r="D19" i="23"/>
  <c r="H19" i="23" s="1"/>
  <c r="I19" i="23" s="1"/>
  <c r="I42" i="24"/>
  <c r="D45" i="3"/>
  <c r="H45" i="3" s="1"/>
  <c r="I45" i="3" s="1"/>
  <c r="D13" i="21"/>
  <c r="H13" i="21" s="1"/>
  <c r="I13" i="21" s="1"/>
  <c r="D72" i="24"/>
  <c r="H72" i="24" s="1"/>
  <c r="D59" i="24"/>
  <c r="H59" i="24" s="1"/>
  <c r="D33" i="9"/>
  <c r="H33" i="9" s="1"/>
  <c r="I33" i="9" s="1"/>
  <c r="D71" i="4"/>
  <c r="H71" i="4" s="1"/>
  <c r="D36" i="9"/>
  <c r="H36" i="9" s="1"/>
  <c r="I36" i="9" s="1"/>
  <c r="D18" i="8"/>
  <c r="H18" i="8" s="1"/>
  <c r="I18" i="8" s="1"/>
  <c r="D16" i="27"/>
  <c r="H16" i="27" s="1"/>
  <c r="I16" i="27" s="1"/>
  <c r="D76" i="23"/>
  <c r="H76" i="23" s="1"/>
  <c r="D16" i="57"/>
  <c r="H16" i="57" s="1"/>
  <c r="I16" i="57" s="1"/>
  <c r="D66" i="23"/>
  <c r="H66" i="23" s="1"/>
  <c r="D20" i="60"/>
  <c r="H20" i="60" s="1"/>
  <c r="I20" i="60" s="1"/>
  <c r="D53" i="22"/>
  <c r="H53" i="22" s="1"/>
  <c r="D42" i="61"/>
  <c r="H42" i="61" s="1"/>
  <c r="D48" i="62"/>
  <c r="H48" i="62" s="1"/>
  <c r="I48" i="62" s="1"/>
  <c r="J49" i="62" s="1"/>
  <c r="D18" i="56"/>
  <c r="H18" i="56" s="1"/>
  <c r="I18" i="56" s="1"/>
  <c r="D18" i="26"/>
  <c r="H18" i="26" s="1"/>
  <c r="I18" i="26" s="1"/>
  <c r="D54" i="23"/>
  <c r="H54" i="23" s="1"/>
  <c r="D77" i="23"/>
  <c r="H77" i="23" s="1"/>
  <c r="D26" i="22"/>
  <c r="H26" i="22" s="1"/>
  <c r="D44" i="22"/>
  <c r="H44" i="22" s="1"/>
  <c r="D15" i="4"/>
  <c r="H15" i="4" s="1"/>
  <c r="I15" i="4" s="1"/>
  <c r="D43" i="3"/>
  <c r="H43" i="3" s="1"/>
  <c r="I43" i="3" s="1"/>
  <c r="D11" i="3"/>
  <c r="H11" i="3" s="1"/>
  <c r="I11" i="3" s="1"/>
  <c r="D27" i="4"/>
  <c r="H27" i="4" s="1"/>
  <c r="I27" i="4" s="1"/>
  <c r="D15" i="47"/>
  <c r="H15" i="47" s="1"/>
  <c r="I15" i="47" s="1"/>
  <c r="H42" i="3"/>
  <c r="I42" i="3" s="1"/>
  <c r="H19" i="13"/>
  <c r="I19" i="13" s="1"/>
  <c r="H43" i="48"/>
  <c r="I43" i="48" s="1"/>
  <c r="D11" i="22"/>
  <c r="H11" i="22" s="1"/>
  <c r="I11" i="22" s="1"/>
  <c r="H10" i="10"/>
  <c r="I10" i="10" s="1"/>
  <c r="H34" i="3"/>
  <c r="I34" i="3" s="1"/>
  <c r="H48" i="47"/>
  <c r="H11" i="32"/>
  <c r="I11" i="32" s="1"/>
  <c r="H11" i="14"/>
  <c r="I11" i="14" s="1"/>
  <c r="H38" i="13"/>
  <c r="H16" i="62"/>
  <c r="I16" i="62" s="1"/>
  <c r="H59" i="4"/>
  <c r="H35" i="9"/>
  <c r="I35" i="9" s="1"/>
  <c r="H23" i="9"/>
  <c r="I23" i="9" s="1"/>
  <c r="D11" i="27"/>
  <c r="H11" i="27" s="1"/>
  <c r="I11" i="27" s="1"/>
  <c r="H30" i="3"/>
  <c r="I30" i="3" s="1"/>
  <c r="H32" i="12"/>
  <c r="I32" i="12" s="1"/>
  <c r="H16" i="12"/>
  <c r="I16" i="12" s="1"/>
  <c r="H39" i="12"/>
  <c r="I39" i="12" s="1"/>
  <c r="H31" i="48"/>
  <c r="I31" i="48" s="1"/>
  <c r="H42" i="48"/>
  <c r="I42" i="48" s="1"/>
  <c r="I48" i="23"/>
  <c r="H12" i="16"/>
  <c r="I12" i="16" s="1"/>
  <c r="D23" i="48"/>
  <c r="H23" i="48" s="1"/>
  <c r="I23" i="48" s="1"/>
  <c r="D11" i="51"/>
  <c r="H11" i="51" s="1"/>
  <c r="I11" i="51" s="1"/>
  <c r="D11" i="49"/>
  <c r="H11" i="49" s="1"/>
  <c r="I11" i="49" s="1"/>
  <c r="D27" i="47"/>
  <c r="H27" i="47" s="1"/>
  <c r="I27" i="47" s="1"/>
  <c r="D19" i="48"/>
  <c r="H19" i="48" s="1"/>
  <c r="I19" i="48" s="1"/>
  <c r="H15" i="50"/>
  <c r="I15" i="50" s="1"/>
  <c r="I21" i="60"/>
  <c r="H11" i="15"/>
  <c r="I11" i="15" s="1"/>
  <c r="H10" i="5"/>
  <c r="I10" i="5" s="1"/>
  <c r="H22" i="3"/>
  <c r="I22" i="3" s="1"/>
  <c r="H32" i="9"/>
  <c r="I32" i="9" s="1"/>
  <c r="D31" i="47"/>
  <c r="H31" i="47" s="1"/>
  <c r="I31" i="47" s="1"/>
  <c r="D35" i="48"/>
  <c r="H35" i="48" s="1"/>
  <c r="I35" i="48" s="1"/>
  <c r="D11" i="47"/>
  <c r="H11" i="47" s="1"/>
  <c r="I11" i="47" s="1"/>
  <c r="D11" i="54"/>
  <c r="H11" i="54" s="1"/>
  <c r="I11" i="54" s="1"/>
  <c r="D11" i="48"/>
  <c r="H11" i="48" s="1"/>
  <c r="I11" i="48" s="1"/>
  <c r="H27" i="3"/>
  <c r="I27" i="3" s="1"/>
  <c r="H38" i="47"/>
  <c r="I38" i="47" s="1"/>
  <c r="H18" i="4"/>
  <c r="I18" i="4" s="1"/>
  <c r="D11" i="50"/>
  <c r="H11" i="50" s="1"/>
  <c r="I11" i="50" s="1"/>
  <c r="D11" i="53"/>
  <c r="H11" i="53" s="1"/>
  <c r="I11" i="53" s="1"/>
  <c r="D39" i="48"/>
  <c r="H39" i="48" s="1"/>
  <c r="I39" i="48" s="1"/>
  <c r="D15" i="48"/>
  <c r="H15" i="48" s="1"/>
  <c r="I15" i="48" s="1"/>
  <c r="H31" i="13"/>
  <c r="I31" i="13" s="1"/>
  <c r="H27" i="12"/>
  <c r="I27" i="12" s="1"/>
  <c r="H17" i="8"/>
  <c r="I17" i="8" s="1"/>
  <c r="H30" i="4"/>
  <c r="I30" i="4" s="1"/>
  <c r="H26" i="3"/>
  <c r="I26" i="3" s="1"/>
  <c r="H10" i="9"/>
  <c r="I10" i="9" s="1"/>
  <c r="H36" i="47"/>
  <c r="I36" i="47" s="1"/>
  <c r="H30" i="24"/>
  <c r="I30" i="24" s="1"/>
  <c r="I22" i="21"/>
  <c r="H12" i="13"/>
  <c r="I12" i="13" s="1"/>
  <c r="D27" i="61"/>
  <c r="H27" i="61" s="1"/>
  <c r="I27" i="61" s="1"/>
  <c r="D11" i="57"/>
  <c r="H11" i="57" s="1"/>
  <c r="I11" i="57" s="1"/>
  <c r="D31" i="24"/>
  <c r="H31" i="24" s="1"/>
  <c r="I31" i="24" s="1"/>
  <c r="D39" i="47"/>
  <c r="H39" i="47" s="1"/>
  <c r="I39" i="47" s="1"/>
  <c r="H77" i="3"/>
  <c r="H22" i="62"/>
  <c r="I22" i="62" s="1"/>
  <c r="H39" i="5"/>
  <c r="D27" i="24"/>
  <c r="H27" i="24" s="1"/>
  <c r="I27" i="24" s="1"/>
  <c r="D11" i="21"/>
  <c r="H11" i="21" s="1"/>
  <c r="I11" i="21" s="1"/>
  <c r="H40" i="22"/>
  <c r="I40" i="4"/>
  <c r="H19" i="24"/>
  <c r="I19" i="24" s="1"/>
  <c r="H12" i="15"/>
  <c r="I12" i="15" s="1"/>
  <c r="D15" i="24"/>
  <c r="H15" i="24" s="1"/>
  <c r="I15" i="24" s="1"/>
  <c r="H20" i="23"/>
  <c r="I20" i="23" s="1"/>
  <c r="H77" i="4"/>
  <c r="H20" i="24"/>
  <c r="I20" i="24" s="1"/>
  <c r="H20" i="8"/>
  <c r="I20" i="8" s="1"/>
  <c r="H10" i="3"/>
  <c r="I10" i="3" s="1"/>
  <c r="D11" i="61"/>
  <c r="H11" i="61" s="1"/>
  <c r="I11" i="61" s="1"/>
  <c r="D11" i="58"/>
  <c r="H11" i="58" s="1"/>
  <c r="I11" i="58" s="1"/>
  <c r="D19" i="62"/>
  <c r="H19" i="62" s="1"/>
  <c r="I19" i="62" s="1"/>
  <c r="D43" i="23"/>
  <c r="H43" i="23" s="1"/>
  <c r="I43" i="23" s="1"/>
  <c r="D11" i="25"/>
  <c r="H11" i="25" s="1"/>
  <c r="I11" i="25" s="1"/>
  <c r="D11" i="55"/>
  <c r="H11" i="55" s="1"/>
  <c r="I11" i="55" s="1"/>
  <c r="D11" i="26"/>
  <c r="H11" i="26" s="1"/>
  <c r="I11" i="26" s="1"/>
  <c r="D11" i="59"/>
  <c r="H11" i="59" s="1"/>
  <c r="I11" i="59" s="1"/>
  <c r="D19" i="61"/>
  <c r="H19" i="61" s="1"/>
  <c r="I19" i="61" s="1"/>
  <c r="D39" i="62"/>
  <c r="H39" i="62" s="1"/>
  <c r="I39" i="62" s="1"/>
  <c r="D35" i="24"/>
  <c r="H35" i="24" s="1"/>
  <c r="I35" i="24" s="1"/>
  <c r="D23" i="61"/>
  <c r="H23" i="61" s="1"/>
  <c r="I23" i="61" s="1"/>
  <c r="D31" i="62"/>
  <c r="H31" i="62" s="1"/>
  <c r="I31" i="62" s="1"/>
  <c r="D11" i="60"/>
  <c r="H11" i="60" s="1"/>
  <c r="I11" i="60" s="1"/>
  <c r="D27" i="62"/>
  <c r="H27" i="62" s="1"/>
  <c r="I27" i="62" s="1"/>
  <c r="D15" i="23"/>
  <c r="H15" i="23" s="1"/>
  <c r="I15" i="23" s="1"/>
  <c r="D39" i="23"/>
  <c r="H39" i="23" s="1"/>
  <c r="I39" i="23" s="1"/>
  <c r="D11" i="24"/>
  <c r="H11" i="24" s="1"/>
  <c r="I11" i="24" s="1"/>
  <c r="D11" i="23"/>
  <c r="H11" i="23" s="1"/>
  <c r="I11" i="23" s="1"/>
  <c r="D11" i="33"/>
  <c r="H11" i="33" s="1"/>
  <c r="I11" i="33" s="1"/>
  <c r="D23" i="24"/>
  <c r="H23" i="24" s="1"/>
  <c r="I23" i="24" s="1"/>
  <c r="D23" i="23"/>
  <c r="H23" i="23" s="1"/>
  <c r="I23" i="23" s="1"/>
  <c r="D27" i="23"/>
  <c r="H27" i="23" s="1"/>
  <c r="I27" i="23" s="1"/>
  <c r="D15" i="61"/>
  <c r="H15" i="61" s="1"/>
  <c r="I15" i="61" s="1"/>
  <c r="D11" i="62"/>
  <c r="H11" i="62" s="1"/>
  <c r="I11" i="62" s="1"/>
  <c r="D15" i="62"/>
  <c r="H15" i="62" s="1"/>
  <c r="I15" i="62" s="1"/>
  <c r="D31" i="23"/>
  <c r="H31" i="23" s="1"/>
  <c r="I31" i="23" s="1"/>
  <c r="D15" i="22"/>
  <c r="H15" i="22" s="1"/>
  <c r="I15" i="22" s="1"/>
  <c r="D23" i="62"/>
  <c r="H23" i="62" s="1"/>
  <c r="I23" i="62" s="1"/>
  <c r="D31" i="61"/>
  <c r="H31" i="61" s="1"/>
  <c r="I31" i="61" s="1"/>
  <c r="D11" i="56"/>
  <c r="H11" i="56" s="1"/>
  <c r="I11" i="56" s="1"/>
  <c r="D35" i="23"/>
  <c r="H35" i="23" s="1"/>
  <c r="I35" i="23" s="1"/>
  <c r="D35" i="62"/>
  <c r="H35" i="62" s="1"/>
  <c r="I35" i="62" s="1"/>
  <c r="H43" i="47"/>
  <c r="H54" i="3"/>
  <c r="H50" i="3"/>
  <c r="I50" i="3" s="1"/>
  <c r="H29" i="9"/>
  <c r="I29" i="9" s="1"/>
  <c r="H23" i="12"/>
  <c r="I23" i="12" s="1"/>
  <c r="H19" i="12"/>
  <c r="I19" i="12" s="1"/>
  <c r="H20" i="61"/>
  <c r="I20" i="61" s="1"/>
  <c r="H72" i="3"/>
  <c r="H14" i="5"/>
  <c r="I14" i="5" s="1"/>
  <c r="H10" i="26"/>
  <c r="I10" i="26" s="1"/>
  <c r="C50" i="4"/>
  <c r="C51" i="4" s="1"/>
  <c r="C48" i="4"/>
  <c r="C45" i="4"/>
  <c r="C47" i="4"/>
  <c r="C46" i="4"/>
  <c r="H38" i="3"/>
  <c r="I38" i="3" s="1"/>
  <c r="H63" i="3"/>
  <c r="H17" i="56"/>
  <c r="I17" i="56" s="1"/>
  <c r="H14" i="8"/>
  <c r="I14" i="8" s="1"/>
  <c r="H44" i="5"/>
  <c r="H24" i="23"/>
  <c r="I24" i="23" s="1"/>
  <c r="H15" i="51"/>
  <c r="I15" i="51" s="1"/>
  <c r="H20" i="12"/>
  <c r="I20" i="12" s="1"/>
  <c r="H20" i="48"/>
  <c r="I20" i="48" s="1"/>
  <c r="H20" i="13"/>
  <c r="I20" i="13" s="1"/>
  <c r="H26" i="4"/>
  <c r="I26" i="4" s="1"/>
  <c r="H12" i="11"/>
  <c r="I12" i="11" s="1"/>
  <c r="D29" i="5"/>
  <c r="H29" i="5" s="1"/>
  <c r="D42" i="5"/>
  <c r="H42" i="5" s="1"/>
  <c r="D47" i="5"/>
  <c r="H47" i="5" s="1"/>
  <c r="D53" i="3"/>
  <c r="H53" i="3" s="1"/>
  <c r="I53" i="3" s="1"/>
  <c r="D52" i="5"/>
  <c r="H52" i="5" s="1"/>
  <c r="D80" i="3"/>
  <c r="H80" i="3" s="1"/>
  <c r="D57" i="3"/>
  <c r="H57" i="3" s="1"/>
  <c r="D70" i="3"/>
  <c r="H70" i="3" s="1"/>
  <c r="D80" i="4"/>
  <c r="H80" i="4" s="1"/>
  <c r="D85" i="4"/>
  <c r="H85" i="4" s="1"/>
  <c r="D37" i="5"/>
  <c r="H37" i="5" s="1"/>
  <c r="D62" i="4"/>
  <c r="H62" i="4" s="1"/>
  <c r="D65" i="3"/>
  <c r="H65" i="3" s="1"/>
  <c r="D58" i="4"/>
  <c r="H58" i="4" s="1"/>
  <c r="D75" i="3"/>
  <c r="H75" i="3" s="1"/>
  <c r="D48" i="4"/>
  <c r="H48" i="4" s="1"/>
  <c r="D25" i="5"/>
  <c r="H25" i="5" s="1"/>
  <c r="I25" i="5" s="1"/>
  <c r="D75" i="4"/>
  <c r="H75" i="4" s="1"/>
  <c r="D70" i="4"/>
  <c r="H70" i="4" s="1"/>
  <c r="D21" i="9"/>
  <c r="H21" i="9" s="1"/>
  <c r="I21" i="9" s="1"/>
  <c r="D27" i="9"/>
  <c r="H27" i="9" s="1"/>
  <c r="I27" i="9" s="1"/>
  <c r="D80" i="23"/>
  <c r="H80" i="23" s="1"/>
  <c r="D75" i="23"/>
  <c r="H75" i="23" s="1"/>
  <c r="D57" i="23"/>
  <c r="H57" i="23" s="1"/>
  <c r="D42" i="22"/>
  <c r="H42" i="22" s="1"/>
  <c r="D47" i="22"/>
  <c r="H47" i="22" s="1"/>
  <c r="D65" i="23"/>
  <c r="H65" i="23" s="1"/>
  <c r="D48" i="24"/>
  <c r="H48" i="24" s="1"/>
  <c r="I48" i="24" s="1"/>
  <c r="D70" i="24"/>
  <c r="H70" i="24" s="1"/>
  <c r="D85" i="24"/>
  <c r="H85" i="24" s="1"/>
  <c r="D80" i="24"/>
  <c r="H80" i="24" s="1"/>
  <c r="D29" i="22"/>
  <c r="H29" i="22" s="1"/>
  <c r="D25" i="22"/>
  <c r="H25" i="22" s="1"/>
  <c r="I25" i="22" s="1"/>
  <c r="D62" i="24"/>
  <c r="H62" i="24" s="1"/>
  <c r="D37" i="22"/>
  <c r="H37" i="22" s="1"/>
  <c r="D53" i="23"/>
  <c r="H53" i="23" s="1"/>
  <c r="I53" i="23" s="1"/>
  <c r="D75" i="24"/>
  <c r="H75" i="24" s="1"/>
  <c r="D70" i="23"/>
  <c r="H70" i="23" s="1"/>
  <c r="D52" i="22"/>
  <c r="H52" i="22" s="1"/>
  <c r="D58" i="24"/>
  <c r="H58" i="24" s="1"/>
  <c r="D16" i="33"/>
  <c r="H16" i="33" s="1"/>
  <c r="I16" i="33" s="1"/>
  <c r="D47" i="24"/>
  <c r="H47" i="24" s="1"/>
  <c r="I47" i="24" s="1"/>
  <c r="D16" i="58"/>
  <c r="H16" i="58" s="1"/>
  <c r="I16" i="58" s="1"/>
  <c r="D79" i="23"/>
  <c r="H79" i="23" s="1"/>
  <c r="D28" i="22"/>
  <c r="H28" i="22" s="1"/>
  <c r="D19" i="58"/>
  <c r="H19" i="58" s="1"/>
  <c r="I19" i="58" s="1"/>
  <c r="D64" i="23"/>
  <c r="H64" i="23" s="1"/>
  <c r="D46" i="22"/>
  <c r="H46" i="22" s="1"/>
  <c r="D79" i="24"/>
  <c r="H79" i="24" s="1"/>
  <c r="D69" i="23"/>
  <c r="H69" i="23" s="1"/>
  <c r="D57" i="24"/>
  <c r="H57" i="24" s="1"/>
  <c r="D16" i="21"/>
  <c r="H16" i="21" s="1"/>
  <c r="I16" i="21" s="1"/>
  <c r="D56" i="23"/>
  <c r="H56" i="23" s="1"/>
  <c r="D34" i="61"/>
  <c r="H34" i="61" s="1"/>
  <c r="I34" i="61" s="1"/>
  <c r="D74" i="24"/>
  <c r="H74" i="24" s="1"/>
  <c r="D16" i="59"/>
  <c r="H16" i="59" s="1"/>
  <c r="I16" i="59" s="1"/>
  <c r="D24" i="22"/>
  <c r="H24" i="22" s="1"/>
  <c r="I24" i="22" s="1"/>
  <c r="D61" i="24"/>
  <c r="H61" i="24" s="1"/>
  <c r="D19" i="33"/>
  <c r="H19" i="33" s="1"/>
  <c r="I19" i="33" s="1"/>
  <c r="D36" i="22"/>
  <c r="H36" i="22" s="1"/>
  <c r="D52" i="23"/>
  <c r="H52" i="23" s="1"/>
  <c r="I52" i="23" s="1"/>
  <c r="D19" i="59"/>
  <c r="H19" i="59" s="1"/>
  <c r="I19" i="59" s="1"/>
  <c r="D19" i="21"/>
  <c r="H19" i="21" s="1"/>
  <c r="I19" i="21" s="1"/>
  <c r="D41" i="22"/>
  <c r="H41" i="22" s="1"/>
  <c r="D74" i="23"/>
  <c r="H74" i="23" s="1"/>
  <c r="D51" i="22"/>
  <c r="H51" i="22" s="1"/>
  <c r="D84" i="24"/>
  <c r="H84" i="24" s="1"/>
  <c r="D69" i="24"/>
  <c r="H69" i="24" s="1"/>
  <c r="D16" i="32"/>
  <c r="H16" i="32" s="1"/>
  <c r="I16" i="32" s="1"/>
  <c r="D34" i="13"/>
  <c r="H34" i="13" s="1"/>
  <c r="I34" i="13" s="1"/>
  <c r="D19" i="32"/>
  <c r="H19" i="32" s="1"/>
  <c r="I19" i="32" s="1"/>
  <c r="D19" i="10"/>
  <c r="H19" i="10" s="1"/>
  <c r="I19" i="10" s="1"/>
  <c r="D16" i="10"/>
  <c r="H16" i="10" s="1"/>
  <c r="I16" i="10" s="1"/>
  <c r="D16" i="49"/>
  <c r="H16" i="49" s="1"/>
  <c r="I16" i="49" s="1"/>
  <c r="D34" i="47"/>
  <c r="H34" i="47" s="1"/>
  <c r="I34" i="47" s="1"/>
  <c r="D19" i="49"/>
  <c r="H19" i="49" s="1"/>
  <c r="I19" i="49" s="1"/>
  <c r="D16" i="50"/>
  <c r="H16" i="50" s="1"/>
  <c r="I16" i="50" s="1"/>
  <c r="D19" i="50"/>
  <c r="H19" i="50" s="1"/>
  <c r="I19" i="50" s="1"/>
  <c r="D57" i="4"/>
  <c r="H57" i="4" s="1"/>
  <c r="D41" i="5"/>
  <c r="H41" i="5" s="1"/>
  <c r="D69" i="3"/>
  <c r="H69" i="3" s="1"/>
  <c r="D74" i="4"/>
  <c r="H74" i="4" s="1"/>
  <c r="D47" i="4"/>
  <c r="H47" i="4" s="1"/>
  <c r="D74" i="3"/>
  <c r="H74" i="3" s="1"/>
  <c r="D56" i="3"/>
  <c r="H56" i="3" s="1"/>
  <c r="D79" i="4"/>
  <c r="H79" i="4" s="1"/>
  <c r="D61" i="4"/>
  <c r="H61" i="4" s="1"/>
  <c r="D46" i="5"/>
  <c r="H46" i="5" s="1"/>
  <c r="D36" i="5"/>
  <c r="H36" i="5" s="1"/>
  <c r="D20" i="9"/>
  <c r="H20" i="9" s="1"/>
  <c r="I20" i="9" s="1"/>
  <c r="D79" i="3"/>
  <c r="H79" i="3" s="1"/>
  <c r="D52" i="3"/>
  <c r="H52" i="3" s="1"/>
  <c r="I52" i="3" s="1"/>
  <c r="D51" i="5"/>
  <c r="H51" i="5" s="1"/>
  <c r="D64" i="3"/>
  <c r="H64" i="3" s="1"/>
  <c r="D26" i="9"/>
  <c r="H26" i="9" s="1"/>
  <c r="I26" i="9" s="1"/>
  <c r="D69" i="4"/>
  <c r="H69" i="4" s="1"/>
  <c r="D28" i="5"/>
  <c r="H28" i="5" s="1"/>
  <c r="D24" i="5"/>
  <c r="H24" i="5" s="1"/>
  <c r="I24" i="5" s="1"/>
  <c r="D84" i="4"/>
  <c r="H84" i="4" s="1"/>
  <c r="H67" i="4"/>
  <c r="H82" i="4"/>
  <c r="H67" i="3"/>
  <c r="I37" i="9"/>
  <c r="H21" i="53"/>
  <c r="I21" i="53" s="1"/>
  <c r="H72" i="4"/>
  <c r="H42" i="47"/>
  <c r="H12" i="32"/>
  <c r="I12" i="32" s="1"/>
  <c r="H16" i="13"/>
  <c r="I16" i="13" s="1"/>
  <c r="H17" i="54"/>
  <c r="I17" i="54" s="1"/>
  <c r="J18" i="54" s="1"/>
  <c r="H14" i="51"/>
  <c r="I14" i="51" s="1"/>
  <c r="H34" i="5"/>
  <c r="I21" i="51"/>
  <c r="C57" i="24"/>
  <c r="C53" i="24"/>
  <c r="C54" i="24" s="1"/>
  <c r="C58" i="24"/>
  <c r="C52" i="24"/>
  <c r="I52" i="24" s="1"/>
  <c r="I35" i="47"/>
  <c r="I30" i="9"/>
  <c r="C37" i="61"/>
  <c r="C38" i="61" s="1"/>
  <c r="C39" i="61" s="1"/>
  <c r="C35" i="61"/>
  <c r="C41" i="47"/>
  <c r="C40" i="47"/>
  <c r="I40" i="47" s="1"/>
  <c r="C37" i="13"/>
  <c r="C38" i="13" s="1"/>
  <c r="C39" i="13" s="1"/>
  <c r="C35" i="13"/>
  <c r="I35" i="13" s="1"/>
  <c r="H12" i="12"/>
  <c r="I12" i="12" s="1"/>
  <c r="H12" i="10"/>
  <c r="I12" i="10" s="1"/>
  <c r="H12" i="58"/>
  <c r="I12" i="58" s="1"/>
  <c r="H24" i="13"/>
  <c r="I24" i="13" s="1"/>
  <c r="H40" i="12"/>
  <c r="I40" i="12" s="1"/>
  <c r="H17" i="9"/>
  <c r="I17" i="9" s="1"/>
  <c r="H10" i="8"/>
  <c r="I10" i="8" s="1"/>
  <c r="H22" i="4"/>
  <c r="I22" i="4" s="1"/>
  <c r="D19" i="15"/>
  <c r="H19" i="15" s="1"/>
  <c r="I19" i="15" s="1"/>
  <c r="D9" i="12"/>
  <c r="H9" i="12" s="1"/>
  <c r="I9" i="12" s="1"/>
  <c r="D25" i="12"/>
  <c r="H25" i="12" s="1"/>
  <c r="I25" i="12" s="1"/>
  <c r="D23" i="32"/>
  <c r="H23" i="32" s="1"/>
  <c r="I23" i="32" s="1"/>
  <c r="D13" i="12"/>
  <c r="H13" i="12" s="1"/>
  <c r="I13" i="12" s="1"/>
  <c r="D21" i="13"/>
  <c r="H21" i="13" s="1"/>
  <c r="I21" i="13" s="1"/>
  <c r="D17" i="32"/>
  <c r="H17" i="32" s="1"/>
  <c r="I17" i="32" s="1"/>
  <c r="D37" i="12"/>
  <c r="H37" i="12" s="1"/>
  <c r="I37" i="12" s="1"/>
  <c r="D9" i="32"/>
  <c r="H9" i="32" s="1"/>
  <c r="I9" i="32" s="1"/>
  <c r="D26" i="32"/>
  <c r="H26" i="32" s="1"/>
  <c r="I26" i="32" s="1"/>
  <c r="D29" i="12"/>
  <c r="H29" i="12" s="1"/>
  <c r="I29" i="12" s="1"/>
  <c r="D21" i="32"/>
  <c r="H21" i="32" s="1"/>
  <c r="I21" i="32" s="1"/>
  <c r="D14" i="32"/>
  <c r="H14" i="32" s="1"/>
  <c r="I14" i="32" s="1"/>
  <c r="D9" i="13"/>
  <c r="H9" i="13" s="1"/>
  <c r="I9" i="13" s="1"/>
  <c r="D9" i="11"/>
  <c r="H9" i="11" s="1"/>
  <c r="I9" i="11" s="1"/>
  <c r="D17" i="12"/>
  <c r="H17" i="12" s="1"/>
  <c r="I17" i="12" s="1"/>
  <c r="D33" i="12"/>
  <c r="H33" i="12" s="1"/>
  <c r="I33" i="12" s="1"/>
  <c r="D17" i="10"/>
  <c r="H17" i="10" s="1"/>
  <c r="I17" i="10" s="1"/>
  <c r="D16" i="15"/>
  <c r="H16" i="15" s="1"/>
  <c r="I16" i="15" s="1"/>
  <c r="D9" i="15"/>
  <c r="H9" i="15" s="1"/>
  <c r="I9" i="15" s="1"/>
  <c r="D9" i="16"/>
  <c r="H9" i="16" s="1"/>
  <c r="I9" i="16" s="1"/>
  <c r="D14" i="10"/>
  <c r="H14" i="10" s="1"/>
  <c r="I14" i="10" s="1"/>
  <c r="D13" i="15"/>
  <c r="H13" i="15" s="1"/>
  <c r="I13" i="15" s="1"/>
  <c r="D25" i="13"/>
  <c r="H25" i="13" s="1"/>
  <c r="I25" i="13" s="1"/>
  <c r="D17" i="13"/>
  <c r="H17" i="13" s="1"/>
  <c r="I17" i="13" s="1"/>
  <c r="D21" i="12"/>
  <c r="H21" i="12" s="1"/>
  <c r="I21" i="12" s="1"/>
  <c r="D29" i="13"/>
  <c r="H29" i="13" s="1"/>
  <c r="I29" i="13" s="1"/>
  <c r="D9" i="14"/>
  <c r="H9" i="14" s="1"/>
  <c r="I9" i="14" s="1"/>
  <c r="D9" i="10"/>
  <c r="H9" i="10" s="1"/>
  <c r="I9" i="10" s="1"/>
  <c r="D13" i="13"/>
  <c r="H13" i="13" s="1"/>
  <c r="I13" i="13" s="1"/>
  <c r="H26" i="5"/>
  <c r="H50" i="23"/>
  <c r="I50" i="23" s="1"/>
  <c r="H55" i="4"/>
  <c r="D9" i="27"/>
  <c r="H9" i="27" s="1"/>
  <c r="I9" i="27" s="1"/>
  <c r="D9" i="21"/>
  <c r="H9" i="21" s="1"/>
  <c r="I9" i="21" s="1"/>
  <c r="D19" i="56"/>
  <c r="H19" i="56" s="1"/>
  <c r="I19" i="56" s="1"/>
  <c r="D26" i="58"/>
  <c r="H26" i="58" s="1"/>
  <c r="I26" i="58" s="1"/>
  <c r="D9" i="25"/>
  <c r="H9" i="25" s="1"/>
  <c r="I9" i="25" s="1"/>
  <c r="D19" i="26"/>
  <c r="H19" i="26" s="1"/>
  <c r="I19" i="26" s="1"/>
  <c r="D29" i="24"/>
  <c r="H29" i="24" s="1"/>
  <c r="I29" i="24" s="1"/>
  <c r="D9" i="56"/>
  <c r="H9" i="56" s="1"/>
  <c r="I9" i="56" s="1"/>
  <c r="D9" i="23"/>
  <c r="H9" i="23" s="1"/>
  <c r="I9" i="23" s="1"/>
  <c r="D17" i="59"/>
  <c r="H17" i="59" s="1"/>
  <c r="I17" i="59" s="1"/>
  <c r="D9" i="57"/>
  <c r="H9" i="57" s="1"/>
  <c r="I9" i="57" s="1"/>
  <c r="D9" i="24"/>
  <c r="H9" i="24" s="1"/>
  <c r="I9" i="24" s="1"/>
  <c r="D23" i="58"/>
  <c r="H23" i="58" s="1"/>
  <c r="I23" i="58" s="1"/>
  <c r="D25" i="24"/>
  <c r="H25" i="24" s="1"/>
  <c r="I25" i="24" s="1"/>
  <c r="D21" i="23"/>
  <c r="H21" i="23" s="1"/>
  <c r="I21" i="23" s="1"/>
  <c r="D14" i="21"/>
  <c r="H14" i="21" s="1"/>
  <c r="I14" i="21" s="1"/>
  <c r="D9" i="22"/>
  <c r="H9" i="22" s="1"/>
  <c r="I9" i="22" s="1"/>
  <c r="D9" i="55"/>
  <c r="H9" i="55" s="1"/>
  <c r="I9" i="55" s="1"/>
  <c r="D26" i="33"/>
  <c r="H26" i="33" s="1"/>
  <c r="I26" i="33" s="1"/>
  <c r="D25" i="62"/>
  <c r="H25" i="62" s="1"/>
  <c r="I25" i="62" s="1"/>
  <c r="D33" i="24"/>
  <c r="H33" i="24" s="1"/>
  <c r="I33" i="24" s="1"/>
  <c r="D17" i="21"/>
  <c r="H17" i="21" s="1"/>
  <c r="I17" i="21" s="1"/>
  <c r="D13" i="23"/>
  <c r="H13" i="23" s="1"/>
  <c r="I13" i="23" s="1"/>
  <c r="D9" i="59"/>
  <c r="H9" i="59" s="1"/>
  <c r="I9" i="59" s="1"/>
  <c r="D23" i="33"/>
  <c r="H23" i="33" s="1"/>
  <c r="I23" i="33" s="1"/>
  <c r="D33" i="23"/>
  <c r="H33" i="23" s="1"/>
  <c r="I33" i="23" s="1"/>
  <c r="D21" i="62"/>
  <c r="H21" i="62" s="1"/>
  <c r="I21" i="62" s="1"/>
  <c r="D9" i="62"/>
  <c r="H9" i="62" s="1"/>
  <c r="I9" i="62" s="1"/>
  <c r="D14" i="33"/>
  <c r="H14" i="33" s="1"/>
  <c r="I14" i="33" s="1"/>
  <c r="D17" i="23"/>
  <c r="H17" i="23" s="1"/>
  <c r="I17" i="23" s="1"/>
  <c r="D9" i="58"/>
  <c r="H9" i="58" s="1"/>
  <c r="I9" i="58" s="1"/>
  <c r="D17" i="58"/>
  <c r="H17" i="58" s="1"/>
  <c r="I17" i="58" s="1"/>
  <c r="D21" i="24"/>
  <c r="H21" i="24" s="1"/>
  <c r="I21" i="24" s="1"/>
  <c r="D29" i="62"/>
  <c r="H29" i="62" s="1"/>
  <c r="I29" i="62" s="1"/>
  <c r="D13" i="26"/>
  <c r="H13" i="26" s="1"/>
  <c r="I13" i="26" s="1"/>
  <c r="D17" i="62"/>
  <c r="H17" i="62" s="1"/>
  <c r="I17" i="62" s="1"/>
  <c r="D17" i="61"/>
  <c r="H17" i="61" s="1"/>
  <c r="I17" i="61" s="1"/>
  <c r="D9" i="60"/>
  <c r="H9" i="60" s="1"/>
  <c r="I9" i="60" s="1"/>
  <c r="D13" i="61"/>
  <c r="H13" i="61" s="1"/>
  <c r="I13" i="61" s="1"/>
  <c r="D41" i="23"/>
  <c r="H41" i="23" s="1"/>
  <c r="I41" i="23" s="1"/>
  <c r="D25" i="23"/>
  <c r="H25" i="23" s="1"/>
  <c r="I25" i="23" s="1"/>
  <c r="D33" i="62"/>
  <c r="H33" i="62" s="1"/>
  <c r="I33" i="62" s="1"/>
  <c r="D17" i="24"/>
  <c r="H17" i="24" s="1"/>
  <c r="I17" i="24" s="1"/>
  <c r="D14" i="59"/>
  <c r="H14" i="59" s="1"/>
  <c r="I14" i="59" s="1"/>
  <c r="D21" i="33"/>
  <c r="H21" i="33" s="1"/>
  <c r="I21" i="33" s="1"/>
  <c r="D37" i="62"/>
  <c r="H37" i="62" s="1"/>
  <c r="I37" i="62" s="1"/>
  <c r="D21" i="61"/>
  <c r="H21" i="61" s="1"/>
  <c r="I21" i="61" s="1"/>
  <c r="D21" i="58"/>
  <c r="H21" i="58" s="1"/>
  <c r="I21" i="58" s="1"/>
  <c r="D13" i="24"/>
  <c r="H13" i="24" s="1"/>
  <c r="I13" i="24" s="1"/>
  <c r="D37" i="23"/>
  <c r="H37" i="23" s="1"/>
  <c r="I37" i="23" s="1"/>
  <c r="D16" i="56"/>
  <c r="H16" i="56" s="1"/>
  <c r="I16" i="56" s="1"/>
  <c r="D9" i="26"/>
  <c r="H9" i="26" s="1"/>
  <c r="I9" i="26" s="1"/>
  <c r="D17" i="33"/>
  <c r="H17" i="33" s="1"/>
  <c r="I17" i="33" s="1"/>
  <c r="D16" i="26"/>
  <c r="H16" i="26" s="1"/>
  <c r="I16" i="26" s="1"/>
  <c r="D13" i="56"/>
  <c r="H13" i="56" s="1"/>
  <c r="I13" i="56" s="1"/>
  <c r="D14" i="58"/>
  <c r="H14" i="58" s="1"/>
  <c r="I14" i="58" s="1"/>
  <c r="D9" i="61"/>
  <c r="H9" i="61" s="1"/>
  <c r="I9" i="61" s="1"/>
  <c r="D29" i="23"/>
  <c r="H29" i="23" s="1"/>
  <c r="I29" i="23" s="1"/>
  <c r="D13" i="62"/>
  <c r="H13" i="62" s="1"/>
  <c r="I13" i="62" s="1"/>
  <c r="D25" i="61"/>
  <c r="H25" i="61" s="1"/>
  <c r="I25" i="61" s="1"/>
  <c r="D29" i="61"/>
  <c r="H29" i="61" s="1"/>
  <c r="I29" i="61" s="1"/>
  <c r="D13" i="22"/>
  <c r="H13" i="22" s="1"/>
  <c r="I13" i="22" s="1"/>
  <c r="D9" i="33"/>
  <c r="H9" i="33" s="1"/>
  <c r="I9" i="33" s="1"/>
  <c r="D33" i="3"/>
  <c r="H33" i="3" s="1"/>
  <c r="I33" i="3" s="1"/>
  <c r="D9" i="4"/>
  <c r="H9" i="4" s="1"/>
  <c r="I9" i="4" s="1"/>
  <c r="D13" i="3"/>
  <c r="H13" i="3" s="1"/>
  <c r="I13" i="3" s="1"/>
  <c r="D21" i="3"/>
  <c r="H21" i="3" s="1"/>
  <c r="I21" i="3" s="1"/>
  <c r="D9" i="5"/>
  <c r="H9" i="5" s="1"/>
  <c r="I9" i="5" s="1"/>
  <c r="D19" i="8"/>
  <c r="H19" i="8" s="1"/>
  <c r="I19" i="8" s="1"/>
  <c r="D25" i="3"/>
  <c r="H25" i="3" s="1"/>
  <c r="I25" i="3" s="1"/>
  <c r="D16" i="9"/>
  <c r="H16" i="9" s="1"/>
  <c r="I16" i="9" s="1"/>
  <c r="D16" i="8"/>
  <c r="H16" i="8" s="1"/>
  <c r="I16" i="8" s="1"/>
  <c r="D28" i="9"/>
  <c r="H28" i="9" s="1"/>
  <c r="I28" i="9" s="1"/>
  <c r="D22" i="9"/>
  <c r="H22" i="9" s="1"/>
  <c r="I22" i="9" s="1"/>
  <c r="D25" i="4"/>
  <c r="H25" i="4" s="1"/>
  <c r="I25" i="4" s="1"/>
  <c r="D33" i="4"/>
  <c r="H33" i="4" s="1"/>
  <c r="I33" i="4" s="1"/>
  <c r="D21" i="4"/>
  <c r="H21" i="4" s="1"/>
  <c r="I21" i="4" s="1"/>
  <c r="D29" i="4"/>
  <c r="H29" i="4" s="1"/>
  <c r="I29" i="4" s="1"/>
  <c r="D9" i="8"/>
  <c r="H9" i="8" s="1"/>
  <c r="I9" i="8" s="1"/>
  <c r="D17" i="3"/>
  <c r="H17" i="3" s="1"/>
  <c r="I17" i="3" s="1"/>
  <c r="D13" i="4"/>
  <c r="H13" i="4" s="1"/>
  <c r="I13" i="4" s="1"/>
  <c r="D9" i="9"/>
  <c r="H9" i="9" s="1"/>
  <c r="I9" i="9" s="1"/>
  <c r="D9" i="7"/>
  <c r="H9" i="7" s="1"/>
  <c r="I9" i="7" s="1"/>
  <c r="D9" i="3"/>
  <c r="H9" i="3" s="1"/>
  <c r="I9" i="3" s="1"/>
  <c r="D41" i="3"/>
  <c r="H41" i="3" s="1"/>
  <c r="I41" i="3" s="1"/>
  <c r="D34" i="9"/>
  <c r="H34" i="9" s="1"/>
  <c r="I34" i="9" s="1"/>
  <c r="D17" i="4"/>
  <c r="H17" i="4" s="1"/>
  <c r="I17" i="4" s="1"/>
  <c r="D29" i="3"/>
  <c r="H29" i="3" s="1"/>
  <c r="I29" i="3" s="1"/>
  <c r="D13" i="5"/>
  <c r="H13" i="5" s="1"/>
  <c r="I13" i="5" s="1"/>
  <c r="D31" i="9"/>
  <c r="H31" i="9" s="1"/>
  <c r="I31" i="9" s="1"/>
  <c r="D37" i="3"/>
  <c r="H37" i="3" s="1"/>
  <c r="I37" i="3" s="1"/>
  <c r="D13" i="8"/>
  <c r="H13" i="8" s="1"/>
  <c r="I13" i="8" s="1"/>
  <c r="H49" i="5"/>
  <c r="H24" i="9"/>
  <c r="I24" i="9" s="1"/>
  <c r="D17" i="48"/>
  <c r="H17" i="48" s="1"/>
  <c r="I17" i="48" s="1"/>
  <c r="D33" i="48"/>
  <c r="H33" i="48" s="1"/>
  <c r="I33" i="48" s="1"/>
  <c r="D9" i="47"/>
  <c r="H9" i="47" s="1"/>
  <c r="I9" i="47" s="1"/>
  <c r="D9" i="53"/>
  <c r="H9" i="53" s="1"/>
  <c r="I9" i="53" s="1"/>
  <c r="D23" i="49"/>
  <c r="H23" i="49" s="1"/>
  <c r="I23" i="49" s="1"/>
  <c r="D9" i="50"/>
  <c r="H9" i="50" s="1"/>
  <c r="I9" i="50" s="1"/>
  <c r="D37" i="48"/>
  <c r="H37" i="48" s="1"/>
  <c r="I37" i="48" s="1"/>
  <c r="D21" i="47"/>
  <c r="H21" i="47" s="1"/>
  <c r="I21" i="47" s="1"/>
  <c r="D13" i="53"/>
  <c r="H13" i="53" s="1"/>
  <c r="I13" i="53" s="1"/>
  <c r="D13" i="47"/>
  <c r="H13" i="47" s="1"/>
  <c r="I13" i="47" s="1"/>
  <c r="D25" i="47"/>
  <c r="H25" i="47" s="1"/>
  <c r="I25" i="47" s="1"/>
  <c r="D19" i="53"/>
  <c r="H19" i="53" s="1"/>
  <c r="I19" i="53" s="1"/>
  <c r="D21" i="49"/>
  <c r="H21" i="49" s="1"/>
  <c r="I21" i="49" s="1"/>
  <c r="D9" i="52"/>
  <c r="H9" i="52" s="1"/>
  <c r="I9" i="52" s="1"/>
  <c r="D9" i="54"/>
  <c r="H9" i="54" s="1"/>
  <c r="I9" i="54" s="1"/>
  <c r="D25" i="48"/>
  <c r="H25" i="48" s="1"/>
  <c r="I25" i="48" s="1"/>
  <c r="D13" i="48"/>
  <c r="H13" i="48" s="1"/>
  <c r="I13" i="48" s="1"/>
  <c r="D17" i="50"/>
  <c r="H17" i="50" s="1"/>
  <c r="I17" i="50" s="1"/>
  <c r="D17" i="49"/>
  <c r="H17" i="49" s="1"/>
  <c r="I17" i="49" s="1"/>
  <c r="D26" i="49"/>
  <c r="H26" i="49" s="1"/>
  <c r="I26" i="49" s="1"/>
  <c r="D9" i="48"/>
  <c r="H9" i="48" s="1"/>
  <c r="I9" i="48" s="1"/>
  <c r="D29" i="47"/>
  <c r="H29" i="47" s="1"/>
  <c r="I29" i="47" s="1"/>
  <c r="D14" i="50"/>
  <c r="H14" i="50" s="1"/>
  <c r="I14" i="50" s="1"/>
  <c r="D9" i="51"/>
  <c r="H9" i="51" s="1"/>
  <c r="I9" i="51" s="1"/>
  <c r="D14" i="49"/>
  <c r="H14" i="49" s="1"/>
  <c r="I14" i="49" s="1"/>
  <c r="D16" i="53"/>
  <c r="H16" i="53" s="1"/>
  <c r="I16" i="53" s="1"/>
  <c r="D17" i="47"/>
  <c r="H17" i="47" s="1"/>
  <c r="I17" i="47" s="1"/>
  <c r="D29" i="48"/>
  <c r="H29" i="48" s="1"/>
  <c r="I29" i="48" s="1"/>
  <c r="D21" i="48"/>
  <c r="H21" i="48" s="1"/>
  <c r="I21" i="48" s="1"/>
  <c r="D9" i="49"/>
  <c r="H9" i="49" s="1"/>
  <c r="I9" i="49" s="1"/>
  <c r="H24" i="62"/>
  <c r="I24" i="62" s="1"/>
  <c r="H38" i="5"/>
  <c r="H24" i="12"/>
  <c r="I24" i="12" s="1"/>
  <c r="H37" i="61"/>
  <c r="H71" i="3"/>
  <c r="H44" i="23"/>
  <c r="I44" i="23" s="1"/>
  <c r="H36" i="12"/>
  <c r="I36" i="12" s="1"/>
  <c r="H36" i="4"/>
  <c r="I36" i="4" s="1"/>
  <c r="H12" i="14"/>
  <c r="I12" i="14" s="1"/>
  <c r="H37" i="13"/>
  <c r="H12" i="33"/>
  <c r="I12" i="33" s="1"/>
  <c r="H39" i="13"/>
  <c r="H12" i="52"/>
  <c r="I12" i="52" s="1"/>
  <c r="H20" i="51"/>
  <c r="I20" i="51" s="1"/>
  <c r="H28" i="49"/>
  <c r="I28" i="49" s="1"/>
  <c r="H46" i="13"/>
  <c r="F16" i="64"/>
  <c r="F15" i="64"/>
  <c r="F14" i="64"/>
  <c r="B17" i="64"/>
  <c r="G63" i="34"/>
  <c r="G65" i="34" s="1"/>
  <c r="H63" i="34"/>
  <c r="D8" i="1" s="1"/>
  <c r="C42" i="45"/>
  <c r="D37" i="45" s="1"/>
  <c r="F11" i="64"/>
  <c r="D17" i="64"/>
  <c r="F13" i="64"/>
  <c r="D62" i="1"/>
  <c r="E23" i="1" s="1"/>
  <c r="F12" i="64"/>
  <c r="C17" i="64"/>
  <c r="E17" i="64"/>
  <c r="D35" i="45" l="1"/>
  <c r="D39" i="45"/>
  <c r="D38" i="45"/>
  <c r="D23" i="45"/>
  <c r="D26" i="45"/>
  <c r="D27" i="45"/>
  <c r="H29" i="45"/>
  <c r="D19" i="45"/>
  <c r="D9" i="45"/>
  <c r="I56" i="24"/>
  <c r="J19" i="11"/>
  <c r="J25" i="21"/>
  <c r="J19" i="60"/>
  <c r="J47" i="48"/>
  <c r="J47" i="62"/>
  <c r="H13" i="45"/>
  <c r="U12" i="45" s="1"/>
  <c r="H21" i="45"/>
  <c r="U19" i="45" s="1"/>
  <c r="I48" i="4"/>
  <c r="J25" i="50"/>
  <c r="I45" i="4"/>
  <c r="J45" i="12"/>
  <c r="J17" i="11"/>
  <c r="I37" i="61"/>
  <c r="I46" i="4"/>
  <c r="I53" i="24"/>
  <c r="I35" i="61"/>
  <c r="I54" i="24"/>
  <c r="J14" i="16"/>
  <c r="J18" i="16" s="1"/>
  <c r="C28" i="1" s="1"/>
  <c r="J22" i="26"/>
  <c r="J21" i="60"/>
  <c r="J42" i="48"/>
  <c r="J19" i="51"/>
  <c r="J13" i="55"/>
  <c r="J15" i="55" s="1"/>
  <c r="C50" i="1" s="1"/>
  <c r="J42" i="62"/>
  <c r="J21" i="51"/>
  <c r="I47" i="4"/>
  <c r="C53" i="4"/>
  <c r="C52" i="4"/>
  <c r="I52" i="4" s="1"/>
  <c r="C58" i="4"/>
  <c r="C55" i="4"/>
  <c r="C57" i="4"/>
  <c r="I57" i="4" s="1"/>
  <c r="C56" i="4"/>
  <c r="I56" i="4" s="1"/>
  <c r="I50" i="4"/>
  <c r="I37" i="13"/>
  <c r="J37" i="13" s="1"/>
  <c r="J36" i="23"/>
  <c r="I51" i="4"/>
  <c r="J14" i="60"/>
  <c r="J16" i="12"/>
  <c r="J16" i="54"/>
  <c r="J20" i="54" s="1"/>
  <c r="C38" i="1" s="1"/>
  <c r="J29" i="58"/>
  <c r="J22" i="56"/>
  <c r="J16" i="21"/>
  <c r="J14" i="51"/>
  <c r="J14" i="11"/>
  <c r="I58" i="24"/>
  <c r="J23" i="50"/>
  <c r="J23" i="59"/>
  <c r="J25" i="33"/>
  <c r="J16" i="57"/>
  <c r="J20" i="57" s="1"/>
  <c r="C48" i="1" s="1"/>
  <c r="J13" i="14"/>
  <c r="J15" i="14" s="1"/>
  <c r="C30" i="1" s="1"/>
  <c r="J25" i="49"/>
  <c r="J36" i="3"/>
  <c r="J13" i="25"/>
  <c r="J15" i="25" s="1"/>
  <c r="C60" i="1" s="1"/>
  <c r="J22" i="53"/>
  <c r="J29" i="33"/>
  <c r="J18" i="26"/>
  <c r="I57" i="24"/>
  <c r="J16" i="10"/>
  <c r="J42" i="12"/>
  <c r="J16" i="27"/>
  <c r="J20" i="27" s="1"/>
  <c r="C58" i="1" s="1"/>
  <c r="I39" i="13"/>
  <c r="J18" i="15"/>
  <c r="J21" i="10"/>
  <c r="J16" i="58"/>
  <c r="C40" i="61"/>
  <c r="I40" i="61" s="1"/>
  <c r="C41" i="61"/>
  <c r="I38" i="61"/>
  <c r="I39" i="61"/>
  <c r="J25" i="32"/>
  <c r="C40" i="13"/>
  <c r="I40" i="13" s="1"/>
  <c r="C41" i="13"/>
  <c r="C42" i="47"/>
  <c r="I41" i="47"/>
  <c r="I38" i="13"/>
  <c r="J37" i="47"/>
  <c r="J18" i="56"/>
  <c r="J16" i="49"/>
  <c r="J28" i="62"/>
  <c r="J23" i="21"/>
  <c r="J16" i="4"/>
  <c r="J36" i="12"/>
  <c r="J37" i="9"/>
  <c r="J16" i="50"/>
  <c r="J28" i="23"/>
  <c r="J28" i="12"/>
  <c r="J28" i="3"/>
  <c r="J28" i="48"/>
  <c r="J28" i="13"/>
  <c r="J16" i="32"/>
  <c r="J25" i="58"/>
  <c r="J16" i="59"/>
  <c r="J16" i="24"/>
  <c r="J16" i="13"/>
  <c r="J36" i="48"/>
  <c r="J18" i="53"/>
  <c r="J18" i="8"/>
  <c r="J29" i="32"/>
  <c r="J22" i="15"/>
  <c r="J29" i="49"/>
  <c r="J13" i="7"/>
  <c r="J15" i="7" s="1"/>
  <c r="C20" i="1" s="1"/>
  <c r="J22" i="8"/>
  <c r="J16" i="48"/>
  <c r="J53" i="3"/>
  <c r="J25" i="22"/>
  <c r="J16" i="23"/>
  <c r="J36" i="62"/>
  <c r="J28" i="24"/>
  <c r="J53" i="23"/>
  <c r="J16" i="62"/>
  <c r="J28" i="61"/>
  <c r="J16" i="47"/>
  <c r="J16" i="61"/>
  <c r="J13" i="52"/>
  <c r="J15" i="52" s="1"/>
  <c r="C40" i="1" s="1"/>
  <c r="J16" i="3"/>
  <c r="J16" i="33"/>
  <c r="J33" i="9"/>
  <c r="J28" i="47"/>
  <c r="J21" i="9"/>
  <c r="J28" i="4"/>
  <c r="J25" i="5"/>
  <c r="J49" i="24"/>
  <c r="D11" i="45"/>
  <c r="D33" i="45"/>
  <c r="D21" i="45"/>
  <c r="D34" i="45"/>
  <c r="D22" i="45"/>
  <c r="D25" i="45"/>
  <c r="D14" i="45"/>
  <c r="D12" i="45"/>
  <c r="D32" i="45"/>
  <c r="D6" i="1"/>
  <c r="H65" i="34"/>
  <c r="G38" i="1"/>
  <c r="G59" i="1"/>
  <c r="G16" i="1"/>
  <c r="G24" i="1"/>
  <c r="G23" i="1"/>
  <c r="G57" i="1"/>
  <c r="G46" i="1"/>
  <c r="G60" i="1"/>
  <c r="G44" i="1"/>
  <c r="G48" i="1"/>
  <c r="G20" i="1"/>
  <c r="G34" i="1"/>
  <c r="G53" i="1"/>
  <c r="G40" i="1"/>
  <c r="G49" i="1"/>
  <c r="G15" i="1"/>
  <c r="G27" i="1"/>
  <c r="G26" i="1"/>
  <c r="G58" i="1"/>
  <c r="G28" i="1"/>
  <c r="G29" i="1"/>
  <c r="G30" i="1"/>
  <c r="G50" i="1"/>
  <c r="G47" i="1"/>
  <c r="G17" i="1"/>
  <c r="G56" i="1"/>
  <c r="G33" i="1"/>
  <c r="G19" i="1"/>
  <c r="G43" i="1"/>
  <c r="G37" i="1"/>
  <c r="G36" i="1"/>
  <c r="G55" i="1"/>
  <c r="G35" i="1"/>
  <c r="G25" i="1"/>
  <c r="G54" i="1"/>
  <c r="G18" i="1"/>
  <c r="G39" i="1"/>
  <c r="G45" i="1"/>
  <c r="D31" i="45"/>
  <c r="D13" i="45"/>
  <c r="D20" i="45"/>
  <c r="D10" i="45"/>
  <c r="F17" i="64"/>
  <c r="E17" i="1"/>
  <c r="E38" i="1"/>
  <c r="E48" i="1"/>
  <c r="E19" i="1"/>
  <c r="E44" i="1"/>
  <c r="E54" i="1"/>
  <c r="E20" i="1"/>
  <c r="E24" i="1"/>
  <c r="E50" i="1"/>
  <c r="E57" i="1"/>
  <c r="E40" i="1"/>
  <c r="E46" i="1"/>
  <c r="E45" i="1"/>
  <c r="E55" i="1"/>
  <c r="E43" i="1"/>
  <c r="E36" i="1"/>
  <c r="E30" i="1"/>
  <c r="E60" i="1"/>
  <c r="E35" i="1"/>
  <c r="E59" i="1"/>
  <c r="E49" i="1"/>
  <c r="E39" i="1"/>
  <c r="E58" i="1"/>
  <c r="E15" i="1"/>
  <c r="E27" i="1"/>
  <c r="E33" i="1"/>
  <c r="E25" i="1"/>
  <c r="E34" i="1"/>
  <c r="E56" i="1"/>
  <c r="E37" i="1"/>
  <c r="E18" i="1"/>
  <c r="E16" i="1"/>
  <c r="E29" i="1"/>
  <c r="E26" i="1"/>
  <c r="E53" i="1"/>
  <c r="E28" i="1"/>
  <c r="E47" i="1"/>
  <c r="U17" i="45" l="1"/>
  <c r="U20" i="45"/>
  <c r="U18" i="45"/>
  <c r="U9" i="45"/>
  <c r="U11" i="45"/>
  <c r="U10" i="45"/>
  <c r="J49" i="4"/>
  <c r="J37" i="61"/>
  <c r="J21" i="11"/>
  <c r="C25" i="1" s="1"/>
  <c r="J23" i="60"/>
  <c r="C45" i="1" s="1"/>
  <c r="J24" i="26"/>
  <c r="C59" i="1" s="1"/>
  <c r="J23" i="51"/>
  <c r="C35" i="1" s="1"/>
  <c r="J24" i="53"/>
  <c r="C39" i="1" s="1"/>
  <c r="J31" i="33"/>
  <c r="C57" i="1" s="1"/>
  <c r="J24" i="56"/>
  <c r="C49" i="1" s="1"/>
  <c r="C54" i="4"/>
  <c r="I54" i="4" s="1"/>
  <c r="I53" i="4"/>
  <c r="I58" i="4"/>
  <c r="J58" i="24"/>
  <c r="I55" i="4"/>
  <c r="J27" i="21"/>
  <c r="C56" i="1" s="1"/>
  <c r="J25" i="10"/>
  <c r="C26" i="1" s="1"/>
  <c r="J49" i="12"/>
  <c r="C24" i="1" s="1"/>
  <c r="J27" i="59"/>
  <c r="C46" i="1" s="1"/>
  <c r="J27" i="50"/>
  <c r="C36" i="1" s="1"/>
  <c r="J31" i="49"/>
  <c r="C37" i="1" s="1"/>
  <c r="J31" i="32"/>
  <c r="C27" i="1" s="1"/>
  <c r="J31" i="58"/>
  <c r="C47" i="1" s="1"/>
  <c r="J24" i="15"/>
  <c r="C29" i="1" s="1"/>
  <c r="C42" i="61"/>
  <c r="I41" i="61"/>
  <c r="C42" i="13"/>
  <c r="I41" i="13"/>
  <c r="C43" i="47"/>
  <c r="I42" i="47"/>
  <c r="J42" i="47" s="1"/>
  <c r="J51" i="48"/>
  <c r="C34" i="1" s="1"/>
  <c r="J24" i="8"/>
  <c r="C19" i="1" s="1"/>
  <c r="J51" i="62"/>
  <c r="C44" i="1" s="1"/>
  <c r="J39" i="9"/>
  <c r="C18" i="1" s="1"/>
  <c r="I33" i="37"/>
  <c r="E30" i="64" s="1"/>
  <c r="B3" i="64"/>
  <c r="B5" i="64" s="1"/>
  <c r="E27" i="64" s="1"/>
  <c r="D42" i="45"/>
  <c r="M23" i="38"/>
  <c r="M20" i="38"/>
  <c r="B30" i="64" s="1"/>
  <c r="M22" i="38"/>
  <c r="D30" i="64" s="1"/>
  <c r="M47" i="38"/>
  <c r="E62" i="1"/>
  <c r="M21" i="38"/>
  <c r="C30" i="64" s="1"/>
  <c r="T29" i="45" l="1"/>
  <c r="P29" i="45"/>
  <c r="T13" i="45"/>
  <c r="T21" i="45"/>
  <c r="J58" i="4"/>
  <c r="C43" i="61"/>
  <c r="I42" i="61"/>
  <c r="J42" i="61" s="1"/>
  <c r="C45" i="47"/>
  <c r="I45" i="47" s="1"/>
  <c r="C44" i="47"/>
  <c r="I44" i="47" s="1"/>
  <c r="C46" i="47"/>
  <c r="I46" i="47" s="1"/>
  <c r="C47" i="47"/>
  <c r="I43" i="47"/>
  <c r="C43" i="13"/>
  <c r="I42" i="13"/>
  <c r="J42" i="13" s="1"/>
  <c r="N47" i="38"/>
  <c r="B38" i="64" s="1"/>
  <c r="N23" i="38"/>
  <c r="B35" i="64" s="1"/>
  <c r="E26" i="64"/>
  <c r="D27" i="64"/>
  <c r="E22" i="64"/>
  <c r="D25" i="64"/>
  <c r="C23" i="64"/>
  <c r="B22" i="64"/>
  <c r="B23" i="64"/>
  <c r="C26" i="64"/>
  <c r="C22" i="64"/>
  <c r="E24" i="64"/>
  <c r="D26" i="64"/>
  <c r="C27" i="64"/>
  <c r="B27" i="64"/>
  <c r="B25" i="64"/>
  <c r="D23" i="64"/>
  <c r="B24" i="64"/>
  <c r="B26" i="64"/>
  <c r="C25" i="64"/>
  <c r="E23" i="64"/>
  <c r="C24" i="64"/>
  <c r="D24" i="64"/>
  <c r="D22" i="64"/>
  <c r="E25" i="64"/>
  <c r="N22" i="38"/>
  <c r="B32" i="64" s="1"/>
  <c r="C44" i="61" l="1"/>
  <c r="I44" i="61" s="1"/>
  <c r="C47" i="61"/>
  <c r="C46" i="61"/>
  <c r="I46" i="61" s="1"/>
  <c r="C45" i="61"/>
  <c r="I45" i="61" s="1"/>
  <c r="I43" i="61"/>
  <c r="C44" i="13"/>
  <c r="I43" i="13"/>
  <c r="C48" i="47"/>
  <c r="I47" i="47"/>
  <c r="J47" i="47" s="1"/>
  <c r="F24" i="64"/>
  <c r="F27" i="64"/>
  <c r="F23" i="64"/>
  <c r="C28" i="64"/>
  <c r="F22" i="64"/>
  <c r="E28" i="64"/>
  <c r="B28" i="64"/>
  <c r="D28" i="64"/>
  <c r="F25" i="64"/>
  <c r="F26" i="64"/>
  <c r="C48" i="61" l="1"/>
  <c r="I47" i="61"/>
  <c r="J47" i="61" s="1"/>
  <c r="C45" i="13"/>
  <c r="I44" i="13"/>
  <c r="C49" i="47"/>
  <c r="I49" i="47" s="1"/>
  <c r="I48" i="47"/>
  <c r="F28" i="64"/>
  <c r="C49" i="61" l="1"/>
  <c r="I49" i="61" s="1"/>
  <c r="I48" i="61"/>
  <c r="C46" i="13"/>
  <c r="I45" i="13"/>
  <c r="J45" i="13" s="1"/>
  <c r="J49" i="47"/>
  <c r="J51" i="47" s="1"/>
  <c r="C33" i="1" s="1"/>
  <c r="J49" i="61" l="1"/>
  <c r="J51" i="61" s="1"/>
  <c r="C43" i="1" s="1"/>
  <c r="C47" i="13"/>
  <c r="I47" i="13" s="1"/>
  <c r="I46" i="13"/>
  <c r="J47" i="13" l="1"/>
  <c r="J49" i="13" s="1"/>
  <c r="C23" i="1" s="1"/>
  <c r="C64" i="24" l="1"/>
  <c r="I64" i="24" s="1"/>
  <c r="C31" i="5"/>
  <c r="I31" i="5" s="1"/>
  <c r="C59" i="3"/>
  <c r="I59" i="3" s="1"/>
  <c r="C31" i="22"/>
  <c r="I31" i="22" s="1"/>
  <c r="C64" i="4"/>
  <c r="I64" i="4" s="1"/>
  <c r="C59" i="23"/>
  <c r="I59" i="23" s="1"/>
  <c r="C58" i="23"/>
  <c r="I58" i="23" s="1"/>
  <c r="C63" i="24"/>
  <c r="I63" i="24" s="1"/>
  <c r="C30" i="5"/>
  <c r="I30" i="5" s="1"/>
  <c r="C58" i="3"/>
  <c r="I58" i="3" s="1"/>
  <c r="C30" i="22"/>
  <c r="I30" i="22" s="1"/>
  <c r="C63" i="4"/>
  <c r="I63" i="4" s="1"/>
  <c r="B20" i="43"/>
  <c r="C66" i="23"/>
  <c r="C71" i="24"/>
  <c r="C66" i="3"/>
  <c r="C38" i="22"/>
  <c r="C38" i="5"/>
  <c r="C71" i="4"/>
  <c r="C60" i="23"/>
  <c r="I60" i="23" s="1"/>
  <c r="C65" i="24"/>
  <c r="I65" i="24" s="1"/>
  <c r="C32" i="5"/>
  <c r="I32" i="5" s="1"/>
  <c r="C60" i="3"/>
  <c r="I60" i="3" s="1"/>
  <c r="C32" i="22"/>
  <c r="I32" i="22" s="1"/>
  <c r="C65" i="4"/>
  <c r="I65" i="4" s="1"/>
  <c r="C71" i="3" l="1"/>
  <c r="I66" i="3"/>
  <c r="C71" i="23"/>
  <c r="I66" i="23"/>
  <c r="C76" i="4"/>
  <c r="I71" i="4"/>
  <c r="C76" i="24"/>
  <c r="I71" i="24"/>
  <c r="C43" i="5"/>
  <c r="I38" i="5"/>
  <c r="C43" i="22"/>
  <c r="I38" i="22"/>
  <c r="C63" i="23"/>
  <c r="C28" i="22"/>
  <c r="I28" i="22" s="1"/>
  <c r="C64" i="23"/>
  <c r="C56" i="23"/>
  <c r="I56" i="23" s="1"/>
  <c r="C63" i="3"/>
  <c r="C55" i="23"/>
  <c r="I55" i="23" s="1"/>
  <c r="C36" i="22"/>
  <c r="C35" i="22"/>
  <c r="C62" i="23"/>
  <c r="C28" i="5"/>
  <c r="I28" i="5" s="1"/>
  <c r="C57" i="23"/>
  <c r="I57" i="23" s="1"/>
  <c r="C36" i="5"/>
  <c r="C27" i="22"/>
  <c r="I27" i="22" s="1"/>
  <c r="C35" i="5"/>
  <c r="C59" i="24"/>
  <c r="C60" i="24"/>
  <c r="I60" i="24" s="1"/>
  <c r="C29" i="5"/>
  <c r="I29" i="5" s="1"/>
  <c r="C55" i="3"/>
  <c r="I55" i="3" s="1"/>
  <c r="C34" i="22"/>
  <c r="C26" i="22"/>
  <c r="C54" i="3"/>
  <c r="I54" i="3" s="1"/>
  <c r="C62" i="3"/>
  <c r="C56" i="3"/>
  <c r="I56" i="3" s="1"/>
  <c r="C34" i="5"/>
  <c r="C29" i="22"/>
  <c r="I29" i="22" s="1"/>
  <c r="C57" i="3"/>
  <c r="C64" i="3"/>
  <c r="C37" i="5"/>
  <c r="C67" i="24"/>
  <c r="C68" i="24"/>
  <c r="C26" i="5"/>
  <c r="C37" i="22"/>
  <c r="C27" i="5"/>
  <c r="I27" i="5" s="1"/>
  <c r="C54" i="23"/>
  <c r="C65" i="23"/>
  <c r="C65" i="3"/>
  <c r="C70" i="24"/>
  <c r="C61" i="24"/>
  <c r="I61" i="24" s="1"/>
  <c r="C62" i="24"/>
  <c r="I62" i="24" s="1"/>
  <c r="C69" i="24"/>
  <c r="C70" i="4"/>
  <c r="C61" i="4"/>
  <c r="I61" i="4" s="1"/>
  <c r="C68" i="4"/>
  <c r="C62" i="4"/>
  <c r="I62" i="4" s="1"/>
  <c r="C69" i="4"/>
  <c r="C60" i="4"/>
  <c r="I60" i="4" s="1"/>
  <c r="C67" i="4"/>
  <c r="C59" i="4"/>
  <c r="I59" i="4" l="1"/>
  <c r="C66" i="4"/>
  <c r="C74" i="24"/>
  <c r="I69" i="24"/>
  <c r="C42" i="22"/>
  <c r="I37" i="22"/>
  <c r="C39" i="5"/>
  <c r="I39" i="5" s="1"/>
  <c r="C44" i="5"/>
  <c r="I34" i="5"/>
  <c r="C40" i="22"/>
  <c r="I40" i="22" s="1"/>
  <c r="C45" i="22"/>
  <c r="I35" i="22"/>
  <c r="C72" i="4"/>
  <c r="I67" i="4"/>
  <c r="C33" i="5"/>
  <c r="I26" i="5"/>
  <c r="I59" i="24"/>
  <c r="C66" i="24"/>
  <c r="C46" i="22"/>
  <c r="C41" i="22"/>
  <c r="I41" i="22" s="1"/>
  <c r="I36" i="22"/>
  <c r="C61" i="23"/>
  <c r="I54" i="23"/>
  <c r="C73" i="24"/>
  <c r="I68" i="24"/>
  <c r="C61" i="3"/>
  <c r="I57" i="3"/>
  <c r="C67" i="3"/>
  <c r="I62" i="3"/>
  <c r="C40" i="5"/>
  <c r="I40" i="5" s="1"/>
  <c r="C45" i="5"/>
  <c r="I35" i="5"/>
  <c r="C70" i="3"/>
  <c r="I65" i="3"/>
  <c r="C42" i="5"/>
  <c r="I37" i="5"/>
  <c r="C33" i="22"/>
  <c r="I26" i="22"/>
  <c r="C41" i="5"/>
  <c r="I41" i="5" s="1"/>
  <c r="C46" i="5"/>
  <c r="I36" i="5"/>
  <c r="C73" i="4"/>
  <c r="I68" i="4"/>
  <c r="C70" i="23"/>
  <c r="I65" i="23"/>
  <c r="C69" i="3"/>
  <c r="I64" i="3"/>
  <c r="C44" i="22"/>
  <c r="C39" i="22"/>
  <c r="I39" i="22" s="1"/>
  <c r="I34" i="22"/>
  <c r="C69" i="23"/>
  <c r="I64" i="23"/>
  <c r="C48" i="22"/>
  <c r="I48" i="22" s="1"/>
  <c r="I43" i="22"/>
  <c r="C81" i="24"/>
  <c r="I81" i="24" s="1"/>
  <c r="I76" i="24"/>
  <c r="C76" i="23"/>
  <c r="I76" i="23" s="1"/>
  <c r="I71" i="23"/>
  <c r="C74" i="4"/>
  <c r="I69" i="4"/>
  <c r="C75" i="4"/>
  <c r="I70" i="4"/>
  <c r="C75" i="24"/>
  <c r="I70" i="24"/>
  <c r="C72" i="24"/>
  <c r="I67" i="24"/>
  <c r="C67" i="23"/>
  <c r="I62" i="23"/>
  <c r="C68" i="3"/>
  <c r="I63" i="3"/>
  <c r="C68" i="23"/>
  <c r="I63" i="23"/>
  <c r="C48" i="5"/>
  <c r="I48" i="5" s="1"/>
  <c r="I43" i="5"/>
  <c r="C81" i="4"/>
  <c r="I81" i="4" s="1"/>
  <c r="I76" i="4"/>
  <c r="C76" i="3"/>
  <c r="I76" i="3" s="1"/>
  <c r="I71" i="3"/>
  <c r="C72" i="23" l="1"/>
  <c r="I67" i="23"/>
  <c r="I44" i="22"/>
  <c r="C49" i="22"/>
  <c r="C51" i="5"/>
  <c r="I51" i="5" s="1"/>
  <c r="I46" i="5"/>
  <c r="I44" i="5"/>
  <c r="C49" i="5"/>
  <c r="I75" i="24"/>
  <c r="C80" i="24"/>
  <c r="C79" i="4"/>
  <c r="I74" i="4"/>
  <c r="C50" i="5"/>
  <c r="I50" i="5" s="1"/>
  <c r="I45" i="5"/>
  <c r="I46" i="22"/>
  <c r="C51" i="22"/>
  <c r="I51" i="22" s="1"/>
  <c r="C79" i="24"/>
  <c r="I74" i="24"/>
  <c r="C73" i="3"/>
  <c r="I68" i="3"/>
  <c r="C74" i="3"/>
  <c r="I69" i="3"/>
  <c r="C78" i="4"/>
  <c r="I73" i="4"/>
  <c r="C81" i="3"/>
  <c r="I81" i="3" s="1"/>
  <c r="I61" i="3"/>
  <c r="J61" i="3" s="1"/>
  <c r="C81" i="23"/>
  <c r="I81" i="23" s="1"/>
  <c r="I61" i="23"/>
  <c r="J61" i="23" s="1"/>
  <c r="C86" i="24"/>
  <c r="I86" i="24" s="1"/>
  <c r="I66" i="24"/>
  <c r="J66" i="24" s="1"/>
  <c r="I66" i="4"/>
  <c r="J66" i="4" s="1"/>
  <c r="C86" i="4"/>
  <c r="I86" i="4" s="1"/>
  <c r="C73" i="23"/>
  <c r="I68" i="23"/>
  <c r="C75" i="23"/>
  <c r="I70" i="23"/>
  <c r="C72" i="3"/>
  <c r="I67" i="3"/>
  <c r="C78" i="24"/>
  <c r="I73" i="24"/>
  <c r="C74" i="23"/>
  <c r="I69" i="23"/>
  <c r="C47" i="5"/>
  <c r="I42" i="5"/>
  <c r="C53" i="5"/>
  <c r="I53" i="5" s="1"/>
  <c r="I33" i="5"/>
  <c r="J33" i="5" s="1"/>
  <c r="C50" i="22"/>
  <c r="I50" i="22" s="1"/>
  <c r="I45" i="22"/>
  <c r="C77" i="24"/>
  <c r="I72" i="24"/>
  <c r="C80" i="4"/>
  <c r="I75" i="4"/>
  <c r="C53" i="22"/>
  <c r="I53" i="22" s="1"/>
  <c r="I33" i="22"/>
  <c r="J33" i="22" s="1"/>
  <c r="C75" i="3"/>
  <c r="I70" i="3"/>
  <c r="I72" i="4"/>
  <c r="C77" i="4"/>
  <c r="C47" i="22"/>
  <c r="I42" i="22"/>
  <c r="C52" i="22" l="1"/>
  <c r="I52" i="22" s="1"/>
  <c r="I47" i="22"/>
  <c r="J48" i="22" s="1"/>
  <c r="I49" i="5"/>
  <c r="C82" i="4"/>
  <c r="I77" i="4"/>
  <c r="C79" i="23"/>
  <c r="I79" i="23" s="1"/>
  <c r="I74" i="23"/>
  <c r="C77" i="3"/>
  <c r="I72" i="3"/>
  <c r="C78" i="23"/>
  <c r="I78" i="23" s="1"/>
  <c r="I73" i="23"/>
  <c r="C78" i="3"/>
  <c r="I78" i="3" s="1"/>
  <c r="I73" i="3"/>
  <c r="C84" i="4"/>
  <c r="I84" i="4" s="1"/>
  <c r="I79" i="4"/>
  <c r="C79" i="3"/>
  <c r="I79" i="3" s="1"/>
  <c r="I74" i="3"/>
  <c r="C85" i="24"/>
  <c r="I85" i="24" s="1"/>
  <c r="I80" i="24"/>
  <c r="C83" i="4"/>
  <c r="I83" i="4" s="1"/>
  <c r="I78" i="4"/>
  <c r="I49" i="22"/>
  <c r="C80" i="3"/>
  <c r="I80" i="3" s="1"/>
  <c r="I75" i="3"/>
  <c r="I80" i="4"/>
  <c r="C85" i="4"/>
  <c r="I85" i="4" s="1"/>
  <c r="C82" i="24"/>
  <c r="I77" i="24"/>
  <c r="C52" i="5"/>
  <c r="I52" i="5" s="1"/>
  <c r="I47" i="5"/>
  <c r="J48" i="5" s="1"/>
  <c r="C83" i="24"/>
  <c r="I83" i="24" s="1"/>
  <c r="I78" i="24"/>
  <c r="C80" i="23"/>
  <c r="I80" i="23" s="1"/>
  <c r="I75" i="23"/>
  <c r="C84" i="24"/>
  <c r="I84" i="24" s="1"/>
  <c r="I79" i="24"/>
  <c r="C77" i="23"/>
  <c r="I72" i="23"/>
  <c r="J76" i="23" l="1"/>
  <c r="J81" i="4"/>
  <c r="J76" i="3"/>
  <c r="I77" i="23"/>
  <c r="C82" i="23"/>
  <c r="I82" i="23" s="1"/>
  <c r="J81" i="24"/>
  <c r="I77" i="3"/>
  <c r="C82" i="3"/>
  <c r="I82" i="3" s="1"/>
  <c r="I82" i="4"/>
  <c r="C87" i="4"/>
  <c r="I87" i="4" s="1"/>
  <c r="C54" i="22"/>
  <c r="I54" i="22" s="1"/>
  <c r="J54" i="22" s="1"/>
  <c r="J56" i="22" s="1"/>
  <c r="C55" i="1" s="1"/>
  <c r="C54" i="5"/>
  <c r="I54" i="5" s="1"/>
  <c r="J54" i="5" s="1"/>
  <c r="J56" i="5" s="1"/>
  <c r="C17" i="1" s="1"/>
  <c r="I82" i="24"/>
  <c r="C87" i="24"/>
  <c r="I87" i="24" s="1"/>
  <c r="J82" i="23" l="1"/>
  <c r="J84" i="23" s="1"/>
  <c r="C54" i="1" s="1"/>
  <c r="J87" i="4"/>
  <c r="J89" i="4" s="1"/>
  <c r="C15" i="1" s="1"/>
  <c r="J82" i="3"/>
  <c r="J84" i="3" s="1"/>
  <c r="C16" i="1" s="1"/>
  <c r="J87" i="24"/>
  <c r="J89" i="24" s="1"/>
  <c r="C53" i="1" s="1"/>
  <c r="D5" i="1" l="1"/>
  <c r="D7" i="1" s="1"/>
  <c r="T41" i="45" l="1"/>
  <c r="U38" i="45"/>
  <c r="U41" i="45" s="1"/>
  <c r="F59" i="1"/>
  <c r="H59" i="1" s="1"/>
  <c r="F37" i="1"/>
  <c r="H37" i="1" s="1"/>
  <c r="F43" i="1"/>
  <c r="H43" i="1" s="1"/>
  <c r="F60" i="1"/>
  <c r="H60" i="1" s="1"/>
  <c r="F20" i="1"/>
  <c r="H20" i="1" s="1"/>
  <c r="F19" i="1"/>
  <c r="H19" i="1" s="1"/>
  <c r="F34" i="1"/>
  <c r="H34" i="1" s="1"/>
  <c r="F18" i="1"/>
  <c r="H18" i="1" s="1"/>
  <c r="F28" i="1"/>
  <c r="H28" i="1" s="1"/>
  <c r="F33" i="1"/>
  <c r="H33" i="1" s="1"/>
  <c r="F29" i="1"/>
  <c r="H29" i="1" s="1"/>
  <c r="F24" i="1"/>
  <c r="H24" i="1" s="1"/>
  <c r="F35" i="1"/>
  <c r="H35" i="1" s="1"/>
  <c r="F45" i="1"/>
  <c r="H45" i="1" s="1"/>
  <c r="F36" i="1"/>
  <c r="H36" i="1" s="1"/>
  <c r="F48" i="1"/>
  <c r="H48" i="1" s="1"/>
  <c r="F40" i="1"/>
  <c r="H40" i="1" s="1"/>
  <c r="F26" i="1"/>
  <c r="H26" i="1" s="1"/>
  <c r="F49" i="1"/>
  <c r="H49" i="1" s="1"/>
  <c r="F38" i="1"/>
  <c r="H38" i="1" s="1"/>
  <c r="F23" i="1"/>
  <c r="H23" i="1" s="1"/>
  <c r="F25" i="1"/>
  <c r="H25" i="1" s="1"/>
  <c r="F47" i="1"/>
  <c r="H47" i="1" s="1"/>
  <c r="F56" i="1"/>
  <c r="H56" i="1" s="1"/>
  <c r="F53" i="1"/>
  <c r="H53" i="1" s="1"/>
  <c r="F58" i="1"/>
  <c r="H58" i="1" s="1"/>
  <c r="F17" i="1"/>
  <c r="H17" i="1" s="1"/>
  <c r="F57" i="1"/>
  <c r="H57" i="1" s="1"/>
  <c r="F30" i="1"/>
  <c r="H30" i="1" s="1"/>
  <c r="F27" i="1"/>
  <c r="H27" i="1" s="1"/>
  <c r="F39" i="1"/>
  <c r="H39" i="1" s="1"/>
  <c r="F16" i="1"/>
  <c r="H16" i="1" s="1"/>
  <c r="F15" i="1"/>
  <c r="H15" i="1" s="1"/>
  <c r="F54" i="1"/>
  <c r="H54" i="1" s="1"/>
  <c r="F55" i="1"/>
  <c r="H55" i="1" s="1"/>
  <c r="F44" i="1"/>
  <c r="H44" i="1" s="1"/>
  <c r="F50" i="1"/>
  <c r="H50" i="1" s="1"/>
  <c r="F46" i="1"/>
  <c r="H46" i="1" s="1"/>
  <c r="E35" i="45" l="1"/>
  <c r="E23" i="45"/>
  <c r="E38" i="45"/>
  <c r="E27" i="45"/>
  <c r="E39" i="45"/>
  <c r="E26" i="45"/>
  <c r="E14" i="45"/>
  <c r="E10" i="45"/>
  <c r="E12" i="45"/>
  <c r="E13" i="45"/>
  <c r="E11" i="45"/>
  <c r="E9" i="45"/>
  <c r="E25" i="45"/>
  <c r="E22" i="45"/>
  <c r="E34" i="45"/>
  <c r="E36" i="45" s="1"/>
  <c r="E31" i="45"/>
  <c r="E19" i="45"/>
  <c r="E21" i="45"/>
  <c r="E32" i="45"/>
  <c r="E20" i="45"/>
  <c r="H62" i="1"/>
  <c r="E33" i="45"/>
  <c r="E24" i="45" l="1"/>
  <c r="E28" i="45"/>
  <c r="E15" i="45"/>
  <c r="Q20" i="45" l="1"/>
  <c r="Q19" i="45"/>
  <c r="Q18" i="45"/>
  <c r="Q17" i="45"/>
  <c r="Q12" i="45"/>
  <c r="Q11" i="45"/>
  <c r="Q10" i="45"/>
  <c r="Q9" i="45"/>
  <c r="Q13" i="45" l="1"/>
  <c r="Q21" i="45"/>
  <c r="Q28" i="45"/>
  <c r="Q27" i="45"/>
  <c r="Q26" i="45"/>
  <c r="Q29" i="45" l="1"/>
  <c r="Q38" i="45"/>
  <c r="R41" i="45" s="1"/>
  <c r="Q41" i="45" l="1"/>
  <c r="E40" i="45" l="1"/>
  <c r="E42" i="45" s="1"/>
</calcChain>
</file>

<file path=xl/sharedStrings.xml><?xml version="1.0" encoding="utf-8"?>
<sst xmlns="http://schemas.openxmlformats.org/spreadsheetml/2006/main" count="3664" uniqueCount="501">
  <si>
    <t>Price Category</t>
  </si>
  <si>
    <t>Machinable 5-Digit</t>
  </si>
  <si>
    <t>Model</t>
  </si>
  <si>
    <t>Cost</t>
  </si>
  <si>
    <t>Volume</t>
  </si>
  <si>
    <t>Commercial</t>
  </si>
  <si>
    <t>Non Profit</t>
  </si>
  <si>
    <t>Total</t>
  </si>
  <si>
    <t>Piece-Rated</t>
  </si>
  <si>
    <t>Pound-Rated</t>
  </si>
  <si>
    <t>Grand</t>
  </si>
  <si>
    <t>Total Parcels</t>
  </si>
  <si>
    <t>Entry</t>
  </si>
  <si>
    <t>Discount</t>
  </si>
  <si>
    <t>None</t>
  </si>
  <si>
    <t>DSCF</t>
  </si>
  <si>
    <t>DDU</t>
  </si>
  <si>
    <t>Total / Aggregate</t>
  </si>
  <si>
    <t>Percent</t>
  </si>
  <si>
    <t>Proportional</t>
  </si>
  <si>
    <t>Adjustment</t>
  </si>
  <si>
    <t>Fixed</t>
  </si>
  <si>
    <t xml:space="preserve">Adjusted </t>
  </si>
  <si>
    <t>Unit Cost</t>
  </si>
  <si>
    <t>Aggregate Weighted Model Cost</t>
  </si>
  <si>
    <t>CRA Proportional Costs</t>
  </si>
  <si>
    <t>CRA Proportional Adjustment Factor</t>
  </si>
  <si>
    <t>CRA Fixed Costs</t>
  </si>
  <si>
    <t xml:space="preserve">Pool </t>
  </si>
  <si>
    <t>Cost Pool</t>
  </si>
  <si>
    <t>No.</t>
  </si>
  <si>
    <t>Source</t>
  </si>
  <si>
    <t>Abbreviation</t>
  </si>
  <si>
    <t>Costs</t>
  </si>
  <si>
    <t>(Cents)</t>
  </si>
  <si>
    <t>D/BCS</t>
  </si>
  <si>
    <t>X</t>
  </si>
  <si>
    <t>AFSM100</t>
  </si>
  <si>
    <t>MODS 13</t>
  </si>
  <si>
    <t>1TRAYSRT</t>
  </si>
  <si>
    <t>MODS 14</t>
  </si>
  <si>
    <t>MANF</t>
  </si>
  <si>
    <t>MANL</t>
  </si>
  <si>
    <t>MANP</t>
  </si>
  <si>
    <t>PRIORITY</t>
  </si>
  <si>
    <t>MODS 15</t>
  </si>
  <si>
    <t>LD15</t>
  </si>
  <si>
    <t>MODS 17</t>
  </si>
  <si>
    <t>1CANCEL</t>
  </si>
  <si>
    <t>1DSPATCH</t>
  </si>
  <si>
    <t>1MTRPREP</t>
  </si>
  <si>
    <t>1OPBULK</t>
  </si>
  <si>
    <t>1OPPREF</t>
  </si>
  <si>
    <t>1OPTRANS</t>
  </si>
  <si>
    <t>1PLATFRM</t>
  </si>
  <si>
    <t>1POUCHNG</t>
  </si>
  <si>
    <t>1PRESORT</t>
  </si>
  <si>
    <t>1SACKS_H</t>
  </si>
  <si>
    <t>1SCAN</t>
  </si>
  <si>
    <t>MODS 18</t>
  </si>
  <si>
    <t>BUSREPLY</t>
  </si>
  <si>
    <t>EXPRESS</t>
  </si>
  <si>
    <t>REGISTRY</t>
  </si>
  <si>
    <t>REWRAP</t>
  </si>
  <si>
    <t>1EEQMT</t>
  </si>
  <si>
    <t>1MISC</t>
  </si>
  <si>
    <t>1SUPPORT</t>
  </si>
  <si>
    <t>INTL ISC</t>
  </si>
  <si>
    <t>OTHR</t>
  </si>
  <si>
    <t>PLA</t>
  </si>
  <si>
    <t>PSM</t>
  </si>
  <si>
    <t>SSM</t>
  </si>
  <si>
    <t>TRAYSORT</t>
  </si>
  <si>
    <t>ALLIED</t>
  </si>
  <si>
    <t>MISC</t>
  </si>
  <si>
    <t>Description</t>
  </si>
  <si>
    <t>Operation</t>
  </si>
  <si>
    <t>PPSM</t>
  </si>
  <si>
    <t>SPSM</t>
  </si>
  <si>
    <t>Productivity</t>
  </si>
  <si>
    <t>Variability</t>
  </si>
  <si>
    <t>Factor</t>
  </si>
  <si>
    <t>Marginal</t>
  </si>
  <si>
    <t>Type</t>
  </si>
  <si>
    <t>Facility</t>
  </si>
  <si>
    <t>DU</t>
  </si>
  <si>
    <t>P&amp;DC/F</t>
  </si>
  <si>
    <t>OTR</t>
  </si>
  <si>
    <t>Hamper</t>
  </si>
  <si>
    <t>Mail Type</t>
  </si>
  <si>
    <t>Machinable</t>
  </si>
  <si>
    <t>Irregular</t>
  </si>
  <si>
    <t>Cu. Ft.</t>
  </si>
  <si>
    <t>Per Piece</t>
  </si>
  <si>
    <t>Pallet</t>
  </si>
  <si>
    <t>Pieces Per</t>
  </si>
  <si>
    <t>Container</t>
  </si>
  <si>
    <t>Average</t>
  </si>
  <si>
    <t>Sack</t>
  </si>
  <si>
    <t>Utilization</t>
  </si>
  <si>
    <t>Utilized</t>
  </si>
  <si>
    <t>Units</t>
  </si>
  <si>
    <t>Per Hour</t>
  </si>
  <si>
    <t>Wage</t>
  </si>
  <si>
    <t>Rate</t>
  </si>
  <si>
    <t>Piggyback</t>
  </si>
  <si>
    <t>MODS</t>
  </si>
  <si>
    <t>[1]</t>
  </si>
  <si>
    <t>[2]</t>
  </si>
  <si>
    <t>[3]</t>
  </si>
  <si>
    <t>Factors</t>
  </si>
  <si>
    <t>APPS</t>
  </si>
  <si>
    <t>[4]</t>
  </si>
  <si>
    <t>APPS incoming primary sort</t>
  </si>
  <si>
    <t>IPP manual sort</t>
  </si>
  <si>
    <t>Sack Sorting Machine (SSM)</t>
  </si>
  <si>
    <t>Primary Parcel Sorting Machine (PPSM)</t>
  </si>
  <si>
    <t>Secondary Parcel Sorting Machine (SPSM)</t>
  </si>
  <si>
    <t>Value</t>
  </si>
  <si>
    <t>Other Mail Processing Wage Rate</t>
  </si>
  <si>
    <t>Premium Pay Factor</t>
  </si>
  <si>
    <t>Pieces</t>
  </si>
  <si>
    <t>Pallet Box</t>
  </si>
  <si>
    <t>Wiretainer</t>
  </si>
  <si>
    <t>Space</t>
  </si>
  <si>
    <t>Load Postal Pak</t>
  </si>
  <si>
    <t>Unload Postal Pak</t>
  </si>
  <si>
    <t>Load Rolling Stock</t>
  </si>
  <si>
    <t>DNDC</t>
  </si>
  <si>
    <t>Machinable MNDC</t>
  </si>
  <si>
    <t>Machinable NDC</t>
  </si>
  <si>
    <t>NDC</t>
  </si>
  <si>
    <t>Load Pallet / Pallet Box</t>
  </si>
  <si>
    <t>Unload Rolling Stock</t>
  </si>
  <si>
    <t>Unload Pallet / Pallet Box</t>
  </si>
  <si>
    <t>Incoming Secondary Parcel Sort</t>
  </si>
  <si>
    <t>Crossdock Rolling Stock</t>
  </si>
  <si>
    <t>Crossdock Pallet / Pallet box</t>
  </si>
  <si>
    <t>Induct Rolling Stock</t>
  </si>
  <si>
    <t>Induct Pallet / Pallet Box</t>
  </si>
  <si>
    <t>Induct Postal Pak</t>
  </si>
  <si>
    <t>IPP Manual Sort</t>
  </si>
  <si>
    <t>Field Study</t>
  </si>
  <si>
    <t>Sack Sorting Machine</t>
  </si>
  <si>
    <t>Primary Parcel Sorting Machine</t>
  </si>
  <si>
    <t>Secondary Parcel Sorting Machine</t>
  </si>
  <si>
    <t>Manual</t>
  </si>
  <si>
    <t>Equipment</t>
  </si>
  <si>
    <t>Irregular Rolls</t>
  </si>
  <si>
    <t>Irregular Other</t>
  </si>
  <si>
    <t>FY09 WebEOR</t>
  </si>
  <si>
    <t>2009 Standard Mail Parcel / NFM Field Study</t>
  </si>
  <si>
    <t>At Second Plant</t>
  </si>
  <si>
    <t>Adjusted Mail Processing Wage Rate</t>
  </si>
  <si>
    <t>NMO Manual Sort</t>
  </si>
  <si>
    <t>Adjusted</t>
  </si>
  <si>
    <t>[5]</t>
  </si>
  <si>
    <t>[6]</t>
  </si>
  <si>
    <t>Nondropship Entry Point</t>
  </si>
  <si>
    <t>PPSM Transfer Volume Percent</t>
  </si>
  <si>
    <t>PPSM Finalization (5-Digit) Percent</t>
  </si>
  <si>
    <t>ASF Dock Transfer Required</t>
  </si>
  <si>
    <t>SCF 5-DIGIT IPP / NFM COVERAGE:</t>
  </si>
  <si>
    <t>ASF MACHINABLE 5-DIGIT PROCESSING COVERAGE:</t>
  </si>
  <si>
    <t>Container Type</t>
  </si>
  <si>
    <t>Mailer Arrival</t>
  </si>
  <si>
    <t>Height</t>
  </si>
  <si>
    <t>Full</t>
  </si>
  <si>
    <t>APC With Sacks</t>
  </si>
  <si>
    <t>---</t>
  </si>
  <si>
    <t>Postal Arrival</t>
  </si>
  <si>
    <t>Cu Ft</t>
  </si>
  <si>
    <t>APC</t>
  </si>
  <si>
    <t>Postal Dispatch</t>
  </si>
  <si>
    <t>Postal Pak</t>
  </si>
  <si>
    <t>(Other NDCs)</t>
  </si>
  <si>
    <t>Space Utilization Percent</t>
  </si>
  <si>
    <t>MAILER CONTAINERS:</t>
  </si>
  <si>
    <t>(Loose Pieces / Sacked Pieces on Pallets</t>
  </si>
  <si>
    <t>and in Rolling Stock)</t>
  </si>
  <si>
    <t>Interior</t>
  </si>
  <si>
    <t>Length</t>
  </si>
  <si>
    <t>Width</t>
  </si>
  <si>
    <t>(Inches)</t>
  </si>
  <si>
    <t>(Cu Ft)</t>
  </si>
  <si>
    <t>IPP Roll</t>
  </si>
  <si>
    <t>IPP Other</t>
  </si>
  <si>
    <t>[Pieces on Pallets)</t>
  </si>
  <si>
    <t>POSTAL CONTAINERS (DISPATCH):</t>
  </si>
  <si>
    <t>POSTAL CONTAINERS (ARRIVAL):</t>
  </si>
  <si>
    <t>(P&amp;DCs / P&amp;DFs / DUs)</t>
  </si>
  <si>
    <t>Mach</t>
  </si>
  <si>
    <t>[7]</t>
  </si>
  <si>
    <t>[8]</t>
  </si>
  <si>
    <t>[9]</t>
  </si>
  <si>
    <t>[10]</t>
  </si>
  <si>
    <t>[11]</t>
  </si>
  <si>
    <t>[12]</t>
  </si>
  <si>
    <t>IPP Incoming Sort</t>
  </si>
  <si>
    <t>Handlings</t>
  </si>
  <si>
    <t>Sack Incoming Sort</t>
  </si>
  <si>
    <t>Sack Manual Sort</t>
  </si>
  <si>
    <t>Conversion</t>
  </si>
  <si>
    <t>Grand Total</t>
  </si>
  <si>
    <t>APPS Incoming Sort</t>
  </si>
  <si>
    <t>EQUIPMENT REJECT RATES:</t>
  </si>
  <si>
    <t>Per</t>
  </si>
  <si>
    <t xml:space="preserve">Per </t>
  </si>
  <si>
    <t>Pallet (Pieces)</t>
  </si>
  <si>
    <t>Pallet (Sacks)</t>
  </si>
  <si>
    <t>APC (Sacks)</t>
  </si>
  <si>
    <t>Unload Mailer Pallet Box</t>
  </si>
  <si>
    <t>Unload Mailer Pallet (Pieces)</t>
  </si>
  <si>
    <t>Unload Mailer Pallet (Sacks)</t>
  </si>
  <si>
    <t>Unload Mailer APC (Sacks)</t>
  </si>
  <si>
    <t>Unload Postal Pallet Box</t>
  </si>
  <si>
    <t>Unload Postal APC</t>
  </si>
  <si>
    <t>Unload Postal OTR</t>
  </si>
  <si>
    <t>Unload Postal Wiretainer</t>
  </si>
  <si>
    <t>Crossdock Postal Pallet Box</t>
  </si>
  <si>
    <t>Crossdock Postal APC</t>
  </si>
  <si>
    <t>Crossdock Postal OTR</t>
  </si>
  <si>
    <t>Crossdock Postal Wiretainer</t>
  </si>
  <si>
    <t>Load Mailer Pallet Box</t>
  </si>
  <si>
    <t>Load Mailer Pallet (Pieces)</t>
  </si>
  <si>
    <t>Load Mailer Pallet (Sacks)</t>
  </si>
  <si>
    <t>Load Mailer APC (Sacks)</t>
  </si>
  <si>
    <t>Crossdock Mailer Pallet Box</t>
  </si>
  <si>
    <t>Crossdock Mailer Pallet (Pieces)</t>
  </si>
  <si>
    <t>Crossdock Mailer Pallet (Sacks)</t>
  </si>
  <si>
    <t>Crossdock Mailer APC (Sacks)</t>
  </si>
  <si>
    <t>Induct Mailer Pallet Box</t>
  </si>
  <si>
    <t>Induct Mailer Pallet (Pieces)</t>
  </si>
  <si>
    <t>Induct Mailer Pallet (Sacks)</t>
  </si>
  <si>
    <t>Induct Mailer APC (Sacks)</t>
  </si>
  <si>
    <t>Load Postal Pallet Box</t>
  </si>
  <si>
    <t>Load Postal OTR</t>
  </si>
  <si>
    <t>Load Postal Wiretainer</t>
  </si>
  <si>
    <t>Load Postal APC</t>
  </si>
  <si>
    <t>Induct OTR (Non-Local IPP Sacks)</t>
  </si>
  <si>
    <t>Origin</t>
  </si>
  <si>
    <t>P&amp;DC / P&amp;DF</t>
  </si>
  <si>
    <t xml:space="preserve">Origin </t>
  </si>
  <si>
    <t>Destination</t>
  </si>
  <si>
    <t>ASF</t>
  </si>
  <si>
    <t>Manual Incoming Sort</t>
  </si>
  <si>
    <t xml:space="preserve">Load Mailer Pallet Box </t>
  </si>
  <si>
    <t>IPP Operation Outgoing Percent</t>
  </si>
  <si>
    <t>Load Postal Hamper</t>
  </si>
  <si>
    <t>Unload Postal Hamper</t>
  </si>
  <si>
    <t xml:space="preserve"> </t>
  </si>
  <si>
    <t>Irregular Rolls Percentage</t>
  </si>
  <si>
    <t>Crossdock Postal Hamper</t>
  </si>
  <si>
    <t xml:space="preserve">Average </t>
  </si>
  <si>
    <t>Time</t>
  </si>
  <si>
    <t>(Hours)</t>
  </si>
  <si>
    <t>[4]:  [1] * [2] * [3]</t>
  </si>
  <si>
    <t>Wage Rate</t>
  </si>
  <si>
    <t>Barcode Savings Estimate</t>
  </si>
  <si>
    <t>Sources:</t>
  </si>
  <si>
    <t>MAIL PROCESSING UNIT COST SUMMARY</t>
  </si>
  <si>
    <t>[9]:  2009 Standard Mail Parcel / NFM Field Study</t>
  </si>
  <si>
    <t>[1]:  Sumproduct [5] * [7]</t>
  </si>
  <si>
    <t>[2]:  Page 3</t>
  </si>
  <si>
    <t>[3]:  [2] / [1]</t>
  </si>
  <si>
    <t>[4]:  Page 3</t>
  </si>
  <si>
    <t>[5]:  Pages 11-48</t>
  </si>
  <si>
    <t>[6]:  Page 4</t>
  </si>
  <si>
    <t>[7]:  Price Category [6] / Total [6]</t>
  </si>
  <si>
    <t>[8]:  [3]</t>
  </si>
  <si>
    <t>[9]:  [4]</t>
  </si>
  <si>
    <t>[10]:  [5] * [8] + [9]</t>
  </si>
  <si>
    <t>[1]:  Page 4</t>
  </si>
  <si>
    <t>[2]:  Price Category [1] / Total [ 1]</t>
  </si>
  <si>
    <t>[3]:  Page 2</t>
  </si>
  <si>
    <t>[4]:  Page 49</t>
  </si>
  <si>
    <t>[2]:  2009 Standard Mail Parcel / NFM Field Study</t>
  </si>
  <si>
    <t>[5]:  Page 3</t>
  </si>
  <si>
    <t>[2]:  Other Mail Processing Wage Rate * Premium Pay Factor</t>
  </si>
  <si>
    <t>[1]:  2009 Standard Mail Parcel / NFM Field Study</t>
  </si>
  <si>
    <t>[3]:  2009 Standard Mail Parcel / NFM Field Study</t>
  </si>
  <si>
    <t>[4]:  2009 Standard Mail Parcel / NFM Field Study</t>
  </si>
  <si>
    <t>[5]:  2009 Standard Mail Parcel / NFM Field Study</t>
  </si>
  <si>
    <t>[6]:  2009 Standard Mail Parcel / NFM Field Study</t>
  </si>
  <si>
    <t>[7]:  2009 Standard Mail Parcel / NFM Field Study</t>
  </si>
  <si>
    <t>[8]:  2009 Standard Mail Parcel / NFM Field Study</t>
  </si>
  <si>
    <t>[9]:  2010 PostalOne! Mailing Statement Data</t>
  </si>
  <si>
    <t>[10]:  2010 PostalOne! Mailing Statement Data</t>
  </si>
  <si>
    <t>[5]:  ( [2] / 12 ) * ( [3] / 12 ) * ( [4] / 12 )</t>
  </si>
  <si>
    <t>[6]:  2009 Standard Mail Parcel / NFM Field Study (Page 7 or 8)</t>
  </si>
  <si>
    <t>[7]:  2009 Standard Mail Parcel / NFM Field Study (Page 9)</t>
  </si>
  <si>
    <t>[8]:  [5] * [6] * [7]</t>
  </si>
  <si>
    <t>[9]:  [8] / [1] (Machinable)</t>
  </si>
  <si>
    <t>[10]:  [8] / [1] (IPP Roll)</t>
  </si>
  <si>
    <t>[11]:  [8] / [1] (IPP Other)</t>
  </si>
  <si>
    <t>[12]:  [8] / [1] (NFM)</t>
  </si>
  <si>
    <t>[1]:  Page 7, 8, 9</t>
  </si>
  <si>
    <t>[2]:  Page 7, 10</t>
  </si>
  <si>
    <t>[3]:  Page 5</t>
  </si>
  <si>
    <t>[4]:  Page 6</t>
  </si>
  <si>
    <t>[6]:  ( [4] * [5] ) / ( [2] * [3] )</t>
  </si>
  <si>
    <t>[7]:  [1] * [6]</t>
  </si>
  <si>
    <t>No. 1 Sack</t>
  </si>
  <si>
    <t>Total Assigned</t>
  </si>
  <si>
    <t>(piggyback basis)</t>
  </si>
  <si>
    <t>Vol Var</t>
  </si>
  <si>
    <t>[1]:  MTM-4M time estimate for keying 5-digit ZIP Code (USPS-FY08-15)</t>
  </si>
  <si>
    <t>[3]:  Page 6</t>
  </si>
  <si>
    <t xml:space="preserve">[4] </t>
  </si>
  <si>
    <t>Direct</t>
  </si>
  <si>
    <t>[6]:  [4] * [5]</t>
  </si>
  <si>
    <t>[7]:  [6] * 100 cents per dollar</t>
  </si>
  <si>
    <t xml:space="preserve">Total </t>
  </si>
  <si>
    <t>Cost (Cents)</t>
  </si>
  <si>
    <t>FSS</t>
  </si>
  <si>
    <t>CFS</t>
  </si>
  <si>
    <t>D.PO BOX</t>
  </si>
  <si>
    <t>OTH ACCT</t>
  </si>
  <si>
    <t>Marketing MNDC</t>
  </si>
  <si>
    <t>Marketing NDC</t>
  </si>
  <si>
    <t>Marketing 5-Digit</t>
  </si>
  <si>
    <t>Marketing</t>
  </si>
  <si>
    <t>Mktg &gt; 6 Oz Percentage</t>
  </si>
  <si>
    <t>Parcels</t>
  </si>
  <si>
    <t>Marketing Other</t>
  </si>
  <si>
    <t>Marketing &gt; 6 Oz</t>
  </si>
  <si>
    <t>Mktg</t>
  </si>
  <si>
    <t>Non-Marketing</t>
  </si>
  <si>
    <t>Entry Type</t>
  </si>
  <si>
    <t>Origin NDC</t>
  </si>
  <si>
    <t>Destination NDC</t>
  </si>
  <si>
    <t>Destination DU</t>
  </si>
  <si>
    <t>Origin P&amp;DC</t>
  </si>
  <si>
    <t>Destination P&amp;DC</t>
  </si>
  <si>
    <t>Origin DU</t>
  </si>
  <si>
    <t>Pieces (000s)</t>
  </si>
  <si>
    <t>Pounds (000s)</t>
  </si>
  <si>
    <t>Pounds</t>
  </si>
  <si>
    <t>Pounds / Piece</t>
  </si>
  <si>
    <t>Avg</t>
  </si>
  <si>
    <t>[13]</t>
  </si>
  <si>
    <t>Average Pieces Per Sack</t>
  </si>
  <si>
    <t xml:space="preserve">        Average Pieces Per Sack calculated using volume percentages from page 1</t>
  </si>
  <si>
    <t>Avg Pieces</t>
  </si>
  <si>
    <t>[13]:  Weighted Average using volume percentages from page 2</t>
  </si>
  <si>
    <t>[14]</t>
  </si>
  <si>
    <t>Sacks</t>
  </si>
  <si>
    <t>Avg Sacks</t>
  </si>
  <si>
    <t>Sack (APC)</t>
  </si>
  <si>
    <t>Per Pallet</t>
  </si>
  <si>
    <t>Per Postal Pak</t>
  </si>
  <si>
    <t>Outgoing Tray Sort</t>
  </si>
  <si>
    <t>Incoming Tray Sort</t>
  </si>
  <si>
    <t>Manually Apply Barcode Label</t>
  </si>
  <si>
    <t>Induct Wiretainer</t>
  </si>
  <si>
    <t>Sack Shake Out</t>
  </si>
  <si>
    <t>[2]:  Container Dimensions</t>
  </si>
  <si>
    <t>[3]:  Container Dimensions</t>
  </si>
  <si>
    <t>[4]:  Container Dimensions</t>
  </si>
  <si>
    <t>[1]:  2014 Parcel Field Study</t>
  </si>
  <si>
    <t>[2]:  2009 Standard Mail Parcel Field Study or 2014 Parcel Field Study</t>
  </si>
  <si>
    <t>APBS</t>
  </si>
  <si>
    <t>APBS / LIPS incoming primary sort</t>
  </si>
  <si>
    <t>APBS / LIPS Incoming Sort</t>
  </si>
  <si>
    <t>[14]:  [13] / Average Pieces Per Sack (Page 7)</t>
  </si>
  <si>
    <t>Per APC</t>
  </si>
  <si>
    <t>Total Mktg Parcels</t>
  </si>
  <si>
    <t>APBS / LIPS</t>
  </si>
  <si>
    <t>[8]:  Special Weight Reports</t>
  </si>
  <si>
    <t>Standard Parcels</t>
  </si>
  <si>
    <t>Overhead</t>
  </si>
  <si>
    <t>Level</t>
  </si>
  <si>
    <t>Marketing SCF</t>
  </si>
  <si>
    <t>[10]:  RPW</t>
  </si>
  <si>
    <t>USPS MARKETING MAIL PARCEL</t>
  </si>
  <si>
    <t>USPS MARKETING MAIL PARCEL MAIL PROCESSING COST ADJUSTMENTS</t>
  </si>
  <si>
    <t>USPS MARKETING MAIL PARCEL MAIL PROCESSING COST POOL DATA</t>
  </si>
  <si>
    <t>USPS MARKETING MAIL PARCEL VOLUME DATA</t>
  </si>
  <si>
    <t>USPS MARKETING MAIL PARCEL PRODUCTIVITY ESTIMATES</t>
  </si>
  <si>
    <t>USPS MARKETING MAIL PARCEL WAGE DATA</t>
  </si>
  <si>
    <t>USPS MARKETING MAIL PARCEL MAILER CONTAINER ARRIVAL PROFILE</t>
  </si>
  <si>
    <t>USPS MARKETING MAIL PARCEL POSTAL CONTAINER ARRIVAL / DISPATCH PROFILE</t>
  </si>
  <si>
    <t>USPS MARKETING MAIL PARCEL OTHER INPUTS</t>
  </si>
  <si>
    <t>USPS MARKETING MAIL PARCEL CONVERSION FACTORS</t>
  </si>
  <si>
    <t>USPS MARKETING MAIL MACHINABLE NON-DROPSHIP MNDC PRESORT PARCELS</t>
  </si>
  <si>
    <t>USPS MARKETING MAIL MACHINABLE NON-DROPSHIP NDC PRESORT PARCELS</t>
  </si>
  <si>
    <t>USPS MARKETING MAIL MACHINABLE DNDC NDC PRESORT PARCELS</t>
  </si>
  <si>
    <t>USPS MARKETING MAIL MACHINABLE DNDC 5-DIGIT PRESORT PARCELS</t>
  </si>
  <si>
    <t>USPS MARKETING MAIL MACHINABLE DSCF 5-DIGIT PRESORT PARCELS</t>
  </si>
  <si>
    <t>USPS MARKETING MAIL MACHINABLE DDU 5-DIGIT PRESORT PARCELS</t>
  </si>
  <si>
    <t>USPS MARKETING MAIL IRREGULAR ROLLS NON-DROPSHIP MNDC PRESORT PARCELS</t>
  </si>
  <si>
    <t>USPS MARKETING MAIL IRREGULAR ROLLS NON-DROPSHIP NDC PRESORT PARCELS</t>
  </si>
  <si>
    <t>USPS MARKETING MAIL IRREGULAR ROLLS DNDC NDC PRESORT PARCELS</t>
  </si>
  <si>
    <t>USPS MARKETING MAIL IRREGULAR ROLLS DNDC SCF PRESORT PARCELS</t>
  </si>
  <si>
    <t>USPS MARKETING MAIL IRREGULAR ROLLS DNDC 5-DIGIT PRESORT PARCELS</t>
  </si>
  <si>
    <t>USPS MARKETING MAIL IRREGULAR ROLLS DSCF SCF PRESORT PARCELS</t>
  </si>
  <si>
    <t>USPS MARKETING MAIL IRREGULAR ROLLS DSCF 5-DIGIT PRESORT PARCELS</t>
  </si>
  <si>
    <t>USPS MARKETING MAIL IRREGULAR ROLLS DDU 5-DIGIT PRESORT PARCELS</t>
  </si>
  <si>
    <t>USPS MARKETING MAIL IRREGULAR OTHER NON-DROPSHIP MNDC PRESORT PARCELS</t>
  </si>
  <si>
    <t>USPS MARKETING MAIL IRREGULAR OTHER NON-DROPSHIP NDC PRESORT PARCELS</t>
  </si>
  <si>
    <t>USPS MARKETING MAIL IRREGULAR OTHER DNDC NDC PRESORT PARCELS</t>
  </si>
  <si>
    <t>USPS MARKETING MAIL IRREGULAR OTHER DNDC SCF PRESORT PARCELS</t>
  </si>
  <si>
    <t>USPS MARKETING MAIL IRREGULAR OTHER DNDC 5-DIGIT PRESORT PARCELS</t>
  </si>
  <si>
    <t>USPS MARKETING MAIL IRREGULAR OTHER DSCF SCF PRESORT PARCELS</t>
  </si>
  <si>
    <t>USPS MARKETING MAIL IRREGULAR OTHER DSCF 5-DIGIT PRESORT PARCELS</t>
  </si>
  <si>
    <t>USPS MARKETING MAIL IRREGULAR OTHER DDU 5-DIGIT PRESORT</t>
  </si>
  <si>
    <t>USPS MARKETING MAIL MARKETING OTHER NON-DROPSHIP MNDC PRESORT PARCELS</t>
  </si>
  <si>
    <t>USPS MARKETING MAIL MARKETING OTHER NON-DROPSHIP NDC PRESORT PARCELS</t>
  </si>
  <si>
    <t>USPS MARKETING MAIL MARKETING OTHER DNDC NDC PRESORT PARCELS</t>
  </si>
  <si>
    <t>USPS MARKETING MAIL MARKETING OTHER DNDC SCF PRESORT PARCELS</t>
  </si>
  <si>
    <t>USPS MARKETING MAIL MARKETING OTHER DNDC 5-DIGIT PRESORT PARCELS</t>
  </si>
  <si>
    <t>USPS MARKETING MAIL MARKETING OTHER DSCF SCF PRESORT PARCELS</t>
  </si>
  <si>
    <t>USPS MARKETING MAIL MARKETING OTHER DSCF 5-DIGIT PRESORT PARCELS</t>
  </si>
  <si>
    <t>USPS MARKETING MAIL MARKETING OTHER DDU 5-DIGIT PRESORT</t>
  </si>
  <si>
    <t>USPS MARKETING MAIL MARKETING &gt; 6 OUNCES NON-DROPSHIP MNDC PRESORT PARCELS</t>
  </si>
  <si>
    <t>USPS MARKETING MAIL MARKETING &gt; 6 OUNCES NON-DROPSHIP NDC PRESORT PARCELS</t>
  </si>
  <si>
    <t>USPS MARKETING MAIL MARKETING &gt; 6 OUNCES DNDC NDC PRESORT PARCELS</t>
  </si>
  <si>
    <t>USPS MARKETING MAIL MARKETING &gt; 6 OUNCES DNDC SCF PRESORT PARCELS</t>
  </si>
  <si>
    <t>USPS MARKETING MAIL MARKETING &gt; 6 OUNCES DNDC 5-DIGIT PRESORT PARCELS</t>
  </si>
  <si>
    <t>USPS MARKETING MAIL MARKETING &gt; 6 OUNCES DSCF SCF PRESORT PARCELS</t>
  </si>
  <si>
    <t>USPS MARKETING MAIL MARKETING &gt; 6 OUNCES DSCF 5-DIGIT PRESORT PARCELS</t>
  </si>
  <si>
    <t>USPS MARKETING MAIL MARKETING &gt; 6 OUNCES DDU 5-DIGIT PRESORT</t>
  </si>
  <si>
    <t>USPS MARKETING MAIL PARCEL BARCODE SAVINGS ESTIMATE</t>
  </si>
  <si>
    <t>USPS MARKETING MAIL PARCEL MAIL ENTRY PROFILE</t>
  </si>
  <si>
    <t>LCUS-SSM</t>
  </si>
  <si>
    <t>MNDC Presort</t>
  </si>
  <si>
    <t>NDC Presort</t>
  </si>
  <si>
    <t>SCF Presort</t>
  </si>
  <si>
    <t>5-Digit Presort</t>
  </si>
  <si>
    <t>APBS OTH</t>
  </si>
  <si>
    <t>APBSPRIO</t>
  </si>
  <si>
    <t>AUTO/MEC</t>
  </si>
  <si>
    <t>BULKACCP</t>
  </si>
  <si>
    <t>NA</t>
  </si>
  <si>
    <t>MODS 12 &amp; 17</t>
  </si>
  <si>
    <t>MODS 16</t>
  </si>
  <si>
    <t>NDCS 12 &amp; 17</t>
  </si>
  <si>
    <t>NDCS 14</t>
  </si>
  <si>
    <t>NDCS All LDCs</t>
  </si>
  <si>
    <t>All LDCs</t>
  </si>
  <si>
    <t>NDCS 17</t>
  </si>
  <si>
    <t>NDCS 13</t>
  </si>
  <si>
    <t>NONMODS IOCS</t>
  </si>
  <si>
    <t>FY 2016</t>
  </si>
  <si>
    <t>FY 2017</t>
  </si>
  <si>
    <t>FY 2018</t>
  </si>
  <si>
    <t>FY 2015</t>
  </si>
  <si>
    <t>FY 2014</t>
  </si>
  <si>
    <t>MODS 11 &amp; 15</t>
  </si>
  <si>
    <t>NDCS 16</t>
  </si>
  <si>
    <t>FY  2019</t>
  </si>
  <si>
    <t>FY 2020</t>
  </si>
  <si>
    <t>Marketing Mail Parcel Pounds (000s)</t>
  </si>
  <si>
    <t>FY 2021</t>
  </si>
  <si>
    <t>FY 2022</t>
  </si>
  <si>
    <t>MP Unit Cost</t>
  </si>
  <si>
    <t>Percent Difference</t>
  </si>
  <si>
    <t xml:space="preserve">CRA Prop. </t>
  </si>
  <si>
    <t>Adjustment Factor</t>
  </si>
  <si>
    <t>FY 2023</t>
  </si>
  <si>
    <t>APPS (WITH REC COSTS AS INDIRECT)</t>
  </si>
  <si>
    <t>FY 2024</t>
  </si>
  <si>
    <t>[6]:  Page 3</t>
  </si>
  <si>
    <t>[2]:  Docket No. RM2025-4 Order No. 8713 (February 21, 2025)</t>
  </si>
  <si>
    <t>[3]:  2014 Parcel Field Study</t>
  </si>
  <si>
    <t>[5]:  [3] / [4]</t>
  </si>
  <si>
    <t>eFlash</t>
  </si>
  <si>
    <t>[7]:  [1] / [6] (MODS Productivity), [2] / [6] (eFlash Productivity), or [5] / [6] (Field Study Productivity)</t>
  </si>
  <si>
    <t>[1]:  USPS-FY25-4 (The Irregular MNDC volume includes Standard Mail paid at First-Class Mail rates)</t>
  </si>
  <si>
    <t>[2]:  USPS-FY25-4 (The Irregular MNDC volume includes Standard Mail paid at Priority Mail rates)</t>
  </si>
  <si>
    <t>[3]:  USPS-FY25-4</t>
  </si>
  <si>
    <t>[4]:  USPS-FY25-4</t>
  </si>
  <si>
    <t>[5]:  USPS-FY25-4</t>
  </si>
  <si>
    <t>[6]:  USPS-FY25-4</t>
  </si>
  <si>
    <t>[7]:  USPS-FY25-4</t>
  </si>
  <si>
    <t>[1]:   USPS-FY25-7, Part 8 (wage rate) and Part 5 (premium Pay factor)</t>
  </si>
  <si>
    <t>[1]:  USPS-FY25-26</t>
  </si>
  <si>
    <t>[2]:  USPS-FY25-26</t>
  </si>
  <si>
    <t>[3]:  USPS-FY25-26</t>
  </si>
  <si>
    <t>[4]:  USPS-FY25-7, Part 6</t>
  </si>
  <si>
    <t>[5]:  USPS-FY25-7, Part 7</t>
  </si>
  <si>
    <t>[6]:  USPS-FY25-25</t>
  </si>
  <si>
    <t>FY2025</t>
  </si>
  <si>
    <t>USPS-FY25-26</t>
  </si>
  <si>
    <t>None/DNDC</t>
  </si>
  <si>
    <t>2025 WebEOR</t>
  </si>
  <si>
    <t>2025 ODIS</t>
  </si>
  <si>
    <t>[1]:  USPS-FY25-23</t>
  </si>
  <si>
    <t>FY 2025</t>
  </si>
  <si>
    <t>Nonstandard MNDC</t>
  </si>
  <si>
    <t>Nonstandard NDC</t>
  </si>
  <si>
    <t>Nonstandard SCF</t>
  </si>
  <si>
    <t>Nonstandard 5-Digit</t>
  </si>
  <si>
    <t>Nonstandard</t>
  </si>
  <si>
    <t>Nonstandard Rolls</t>
  </si>
  <si>
    <t>Nonstandard Other</t>
  </si>
  <si>
    <t>Nonstandard SCF Aggregate</t>
  </si>
  <si>
    <t>Nonstandard 5-Digit Aggregate</t>
  </si>
  <si>
    <t>Marketing SCF Aggregate</t>
  </si>
  <si>
    <t>Marketing 5-Digit Aggregate</t>
  </si>
  <si>
    <t>Machinable 5-Digit Aggregate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</si>
</sst>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&quot;$&quot;#,##0.000"/>
    <numFmt numFmtId="165" formatCode="0.0%"/>
    <numFmt numFmtId="166" formatCode="0.000"/>
    <numFmt numFmtId="167" formatCode="#,##0.000"/>
    <numFmt numFmtId="168" formatCode="0.0000"/>
    <numFmt numFmtId="169" formatCode="0.000000"/>
    <numFmt numFmtId="170" formatCode="###,##0"/>
    <numFmt numFmtId="171" formatCode="0.000%"/>
    <numFmt numFmtId="172" formatCode="&quot;$&quot;#,##0.00"/>
  </numFmts>
  <fonts count="20" x14ac:knownFonts="1">
    <font>
      <sz val="10"/>
      <name val="Arial"/>
    </font>
    <font>
      <sz val="10"/>
      <color theme="1"/>
      <name val="Arial"/>
      <family val="2"/>
    </font>
    <font>
      <sz val="10"/>
      <name val="Arial"/>
      <family val="2"/>
    </font>
    <font>
      <sz val="8"/>
      <name val="Arial"/>
      <family val="2"/>
    </font>
    <font>
      <u/>
      <sz val="10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name val="Univers"/>
      <family val="2"/>
    </font>
    <font>
      <b/>
      <sz val="10"/>
      <name val="Univers"/>
      <family val="2"/>
    </font>
    <font>
      <b/>
      <u/>
      <sz val="10"/>
      <name val="Univers"/>
      <family val="2"/>
    </font>
    <font>
      <b/>
      <sz val="10"/>
      <name val="Univers"/>
      <family val="2"/>
    </font>
    <font>
      <sz val="10"/>
      <name val="Univers"/>
      <family val="2"/>
    </font>
    <font>
      <sz val="11"/>
      <name val="Arial"/>
      <family val="2"/>
    </font>
    <font>
      <b/>
      <u/>
      <sz val="10"/>
      <name val="Arial"/>
      <family val="2"/>
    </font>
    <font>
      <b/>
      <u/>
      <sz val="10"/>
      <name val="Univers"/>
      <family val="2"/>
    </font>
    <font>
      <b/>
      <sz val="10"/>
      <color theme="1"/>
      <name val="Arial"/>
      <family val="2"/>
    </font>
    <font>
      <sz val="10"/>
      <color theme="1"/>
      <name val="Univers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60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5" fillId="0" borderId="0" xfId="0" applyFont="1" applyAlignment="1">
      <alignment horizontal="center"/>
    </xf>
    <xf numFmtId="166" fontId="0" fillId="0" borderId="0" xfId="0" applyNumberFormat="1" applyAlignment="1">
      <alignment horizontal="center"/>
    </xf>
    <xf numFmtId="0" fontId="6" fillId="0" borderId="0" xfId="0" applyFont="1"/>
    <xf numFmtId="0" fontId="5" fillId="0" borderId="0" xfId="0" applyFont="1"/>
    <xf numFmtId="0" fontId="5" fillId="0" borderId="0" xfId="0" applyFont="1" applyAlignment="1">
      <alignment horizontal="left"/>
    </xf>
    <xf numFmtId="166" fontId="5" fillId="0" borderId="0" xfId="0" applyNumberFormat="1" applyFont="1" applyAlignment="1">
      <alignment horizontal="center"/>
    </xf>
    <xf numFmtId="0" fontId="2" fillId="0" borderId="0" xfId="0" applyFont="1"/>
    <xf numFmtId="166" fontId="9" fillId="0" borderId="0" xfId="0" applyNumberFormat="1" applyFont="1" applyAlignment="1">
      <alignment horizontal="center"/>
    </xf>
    <xf numFmtId="10" fontId="0" fillId="0" borderId="0" xfId="0" applyNumberFormat="1" applyAlignment="1">
      <alignment horizontal="center"/>
    </xf>
    <xf numFmtId="0" fontId="9" fillId="0" borderId="0" xfId="0" applyFont="1"/>
    <xf numFmtId="166" fontId="0" fillId="0" borderId="0" xfId="0" applyNumberFormat="1"/>
    <xf numFmtId="10" fontId="5" fillId="0" borderId="0" xfId="0" applyNumberFormat="1" applyFont="1" applyAlignment="1">
      <alignment horizontal="center"/>
    </xf>
    <xf numFmtId="0" fontId="9" fillId="0" borderId="0" xfId="0" applyFont="1" applyAlignment="1">
      <alignment horizontal="center"/>
    </xf>
    <xf numFmtId="171" fontId="0" fillId="0" borderId="0" xfId="0" applyNumberFormat="1" applyAlignment="1">
      <alignment horizontal="center"/>
    </xf>
    <xf numFmtId="171" fontId="5" fillId="0" borderId="0" xfId="0" applyNumberFormat="1" applyFont="1" applyAlignment="1">
      <alignment horizontal="center"/>
    </xf>
    <xf numFmtId="171" fontId="9" fillId="0" borderId="0" xfId="0" applyNumberFormat="1" applyFont="1" applyAlignment="1">
      <alignment horizontal="center"/>
    </xf>
    <xf numFmtId="171" fontId="9" fillId="0" borderId="0" xfId="0" quotePrefix="1" applyNumberFormat="1" applyFont="1" applyAlignment="1">
      <alignment horizontal="center"/>
    </xf>
    <xf numFmtId="167" fontId="0" fillId="0" borderId="0" xfId="0" applyNumberFormat="1" applyAlignment="1">
      <alignment horizontal="center"/>
    </xf>
    <xf numFmtId="167" fontId="5" fillId="0" borderId="0" xfId="0" applyNumberFormat="1" applyFont="1" applyAlignment="1">
      <alignment horizontal="center"/>
    </xf>
    <xf numFmtId="167" fontId="9" fillId="0" borderId="0" xfId="0" applyNumberFormat="1" applyFont="1" applyAlignment="1">
      <alignment horizontal="center"/>
    </xf>
    <xf numFmtId="167" fontId="9" fillId="0" borderId="0" xfId="0" applyNumberFormat="1" applyFont="1"/>
    <xf numFmtId="167" fontId="0" fillId="0" borderId="0" xfId="0" applyNumberFormat="1"/>
    <xf numFmtId="0" fontId="16" fillId="0" borderId="0" xfId="0" applyFont="1" applyAlignment="1">
      <alignment horizontal="center"/>
    </xf>
    <xf numFmtId="164" fontId="9" fillId="0" borderId="0" xfId="0" applyNumberFormat="1" applyFont="1" applyAlignment="1">
      <alignment horizontal="center"/>
    </xf>
    <xf numFmtId="0" fontId="6" fillId="0" borderId="0" xfId="0" applyFont="1" applyAlignment="1">
      <alignment horizontal="left"/>
    </xf>
    <xf numFmtId="0" fontId="16" fillId="0" borderId="0" xfId="0" applyFont="1" applyAlignment="1">
      <alignment horizontal="left"/>
    </xf>
    <xf numFmtId="0" fontId="16" fillId="0" borderId="0" xfId="0" applyFont="1"/>
    <xf numFmtId="3" fontId="0" fillId="0" borderId="0" xfId="0" applyNumberFormat="1"/>
    <xf numFmtId="3" fontId="5" fillId="0" borderId="0" xfId="0" applyNumberFormat="1" applyFont="1" applyAlignment="1">
      <alignment horizontal="center"/>
    </xf>
    <xf numFmtId="3" fontId="4" fillId="0" borderId="0" xfId="0" applyNumberFormat="1" applyFont="1"/>
    <xf numFmtId="3" fontId="0" fillId="0" borderId="0" xfId="0" applyNumberFormat="1" applyAlignment="1">
      <alignment horizontal="right"/>
    </xf>
    <xf numFmtId="3" fontId="5" fillId="0" borderId="0" xfId="0" applyNumberFormat="1" applyFont="1"/>
    <xf numFmtId="10" fontId="0" fillId="0" borderId="0" xfId="0" applyNumberFormat="1"/>
    <xf numFmtId="10" fontId="0" fillId="0" borderId="0" xfId="1" applyNumberFormat="1" applyFont="1" applyFill="1" applyAlignment="1">
      <alignment horizontal="center"/>
    </xf>
    <xf numFmtId="166" fontId="5" fillId="0" borderId="0" xfId="0" applyNumberFormat="1" applyFont="1" applyAlignment="1">
      <alignment horizontal="left"/>
    </xf>
    <xf numFmtId="166" fontId="6" fillId="0" borderId="0" xfId="0" applyNumberFormat="1" applyFont="1" applyAlignment="1">
      <alignment horizontal="left"/>
    </xf>
    <xf numFmtId="1" fontId="0" fillId="0" borderId="0" xfId="0" applyNumberFormat="1" applyAlignment="1">
      <alignment horizontal="right"/>
    </xf>
    <xf numFmtId="166" fontId="0" fillId="0" borderId="0" xfId="0" applyNumberFormat="1" applyAlignment="1">
      <alignment horizontal="right"/>
    </xf>
    <xf numFmtId="1" fontId="5" fillId="0" borderId="0" xfId="0" applyNumberFormat="1" applyFont="1" applyAlignment="1">
      <alignment horizontal="center"/>
    </xf>
    <xf numFmtId="171" fontId="0" fillId="0" borderId="0" xfId="0" applyNumberFormat="1" applyAlignment="1">
      <alignment horizontal="right"/>
    </xf>
    <xf numFmtId="10" fontId="0" fillId="0" borderId="0" xfId="0" applyNumberFormat="1" applyAlignment="1">
      <alignment horizontal="right"/>
    </xf>
    <xf numFmtId="10" fontId="5" fillId="0" borderId="0" xfId="0" applyNumberFormat="1" applyFont="1" applyAlignment="1">
      <alignment horizontal="right"/>
    </xf>
    <xf numFmtId="0" fontId="4" fillId="0" borderId="0" xfId="0" applyFont="1" applyAlignment="1">
      <alignment horizontal="center"/>
    </xf>
    <xf numFmtId="171" fontId="4" fillId="0" borderId="0" xfId="0" applyNumberFormat="1" applyFont="1" applyAlignment="1">
      <alignment horizontal="right"/>
    </xf>
    <xf numFmtId="0" fontId="13" fillId="0" borderId="0" xfId="0" applyFont="1" applyAlignment="1">
      <alignment horizontal="left"/>
    </xf>
    <xf numFmtId="164" fontId="0" fillId="0" borderId="5" xfId="0" applyNumberFormat="1" applyBorder="1" applyAlignment="1">
      <alignment horizontal="center"/>
    </xf>
    <xf numFmtId="166" fontId="0" fillId="0" borderId="5" xfId="0" applyNumberFormat="1" applyBorder="1" applyAlignment="1">
      <alignment horizontal="center"/>
    </xf>
    <xf numFmtId="164" fontId="5" fillId="0" borderId="0" xfId="0" applyNumberFormat="1" applyFont="1" applyAlignment="1">
      <alignment horizontal="center"/>
    </xf>
    <xf numFmtId="10" fontId="4" fillId="0" borderId="0" xfId="0" applyNumberFormat="1" applyFont="1" applyAlignment="1">
      <alignment horizontal="right"/>
    </xf>
    <xf numFmtId="170" fontId="9" fillId="0" borderId="0" xfId="0" applyNumberFormat="1" applyFont="1" applyAlignment="1">
      <alignment horizontal="right"/>
    </xf>
    <xf numFmtId="0" fontId="5" fillId="0" borderId="1" xfId="0" applyFont="1" applyBorder="1"/>
    <xf numFmtId="0" fontId="0" fillId="0" borderId="2" xfId="0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64" fontId="0" fillId="0" borderId="6" xfId="0" applyNumberFormat="1" applyBorder="1" applyAlignment="1">
      <alignment horizontal="center"/>
    </xf>
    <xf numFmtId="0" fontId="5" fillId="0" borderId="3" xfId="0" applyFont="1" applyBorder="1"/>
    <xf numFmtId="164" fontId="0" fillId="0" borderId="7" xfId="0" applyNumberFormat="1" applyBorder="1" applyAlignment="1">
      <alignment horizontal="center"/>
    </xf>
    <xf numFmtId="167" fontId="0" fillId="0" borderId="7" xfId="0" applyNumberFormat="1" applyBorder="1" applyAlignment="1">
      <alignment horizontal="center"/>
    </xf>
    <xf numFmtId="0" fontId="5" fillId="0" borderId="4" xfId="0" applyFont="1" applyBorder="1"/>
    <xf numFmtId="0" fontId="0" fillId="0" borderId="5" xfId="0" applyBorder="1" applyAlignment="1">
      <alignment horizontal="center"/>
    </xf>
    <xf numFmtId="164" fontId="0" fillId="0" borderId="8" xfId="0" applyNumberFormat="1" applyBorder="1" applyAlignment="1">
      <alignment horizontal="center"/>
    </xf>
    <xf numFmtId="10" fontId="5" fillId="0" borderId="0" xfId="0" applyNumberFormat="1" applyFont="1"/>
    <xf numFmtId="14" fontId="0" fillId="0" borderId="0" xfId="0" applyNumberFormat="1"/>
    <xf numFmtId="171" fontId="0" fillId="0" borderId="0" xfId="0" applyNumberFormat="1"/>
    <xf numFmtId="165" fontId="0" fillId="0" borderId="0" xfId="0" applyNumberFormat="1"/>
    <xf numFmtId="164" fontId="0" fillId="0" borderId="0" xfId="0" applyNumberFormat="1" applyAlignment="1">
      <alignment horizontal="right"/>
    </xf>
    <xf numFmtId="1" fontId="0" fillId="0" borderId="0" xfId="0" applyNumberFormat="1" applyAlignment="1">
      <alignment horizontal="left"/>
    </xf>
    <xf numFmtId="164" fontId="0" fillId="0" borderId="0" xfId="0" applyNumberFormat="1"/>
    <xf numFmtId="0" fontId="5" fillId="0" borderId="0" xfId="0" applyFont="1" applyAlignment="1">
      <alignment horizontal="right"/>
    </xf>
    <xf numFmtId="164" fontId="5" fillId="0" borderId="0" xfId="0" applyNumberFormat="1" applyFont="1"/>
    <xf numFmtId="0" fontId="5" fillId="0" borderId="5" xfId="0" applyFont="1" applyBorder="1"/>
    <xf numFmtId="164" fontId="0" fillId="0" borderId="5" xfId="0" applyNumberFormat="1" applyBorder="1"/>
    <xf numFmtId="0" fontId="9" fillId="0" borderId="5" xfId="0" applyFont="1" applyBorder="1"/>
    <xf numFmtId="164" fontId="2" fillId="0" borderId="5" xfId="0" applyNumberFormat="1" applyFont="1" applyBorder="1" applyAlignment="1">
      <alignment horizontal="center"/>
    </xf>
    <xf numFmtId="164" fontId="5" fillId="0" borderId="5" xfId="0" applyNumberFormat="1" applyFont="1" applyBorder="1" applyAlignment="1">
      <alignment horizontal="center"/>
    </xf>
    <xf numFmtId="166" fontId="9" fillId="0" borderId="5" xfId="0" applyNumberFormat="1" applyFont="1" applyBorder="1" applyAlignment="1">
      <alignment horizontal="center"/>
    </xf>
    <xf numFmtId="164" fontId="9" fillId="0" borderId="5" xfId="0" applyNumberFormat="1" applyFont="1" applyBorder="1" applyAlignment="1">
      <alignment horizontal="center"/>
    </xf>
    <xf numFmtId="0" fontId="0" fillId="0" borderId="5" xfId="0" applyBorder="1"/>
    <xf numFmtId="164" fontId="5" fillId="0" borderId="0" xfId="0" applyNumberFormat="1" applyFont="1" applyAlignment="1">
      <alignment horizontal="right"/>
    </xf>
    <xf numFmtId="164" fontId="5" fillId="0" borderId="10" xfId="0" applyNumberFormat="1" applyFont="1" applyBorder="1" applyAlignment="1">
      <alignment horizontal="center"/>
    </xf>
    <xf numFmtId="166" fontId="5" fillId="0" borderId="0" xfId="0" applyNumberFormat="1" applyFont="1"/>
    <xf numFmtId="166" fontId="5" fillId="0" borderId="5" xfId="0" applyNumberFormat="1" applyFont="1" applyBorder="1"/>
    <xf numFmtId="166" fontId="2" fillId="0" borderId="5" xfId="0" applyNumberFormat="1" applyFont="1" applyBorder="1" applyAlignment="1">
      <alignment horizontal="center"/>
    </xf>
    <xf numFmtId="166" fontId="2" fillId="0" borderId="0" xfId="0" applyNumberFormat="1" applyFont="1" applyAlignment="1">
      <alignment horizontal="center"/>
    </xf>
    <xf numFmtId="171" fontId="4" fillId="0" borderId="0" xfId="0" applyNumberFormat="1" applyFont="1" applyAlignment="1">
      <alignment horizontal="center"/>
    </xf>
    <xf numFmtId="3" fontId="2" fillId="0" borderId="0" xfId="0" applyNumberFormat="1" applyFont="1"/>
    <xf numFmtId="171" fontId="2" fillId="0" borderId="0" xfId="0" applyNumberFormat="1" applyFont="1" applyAlignment="1">
      <alignment horizontal="right"/>
    </xf>
    <xf numFmtId="171" fontId="5" fillId="0" borderId="0" xfId="0" applyNumberFormat="1" applyFont="1"/>
    <xf numFmtId="171" fontId="2" fillId="0" borderId="0" xfId="0" applyNumberFormat="1" applyFont="1"/>
    <xf numFmtId="171" fontId="4" fillId="0" borderId="0" xfId="0" applyNumberFormat="1" applyFont="1"/>
    <xf numFmtId="168" fontId="7" fillId="0" borderId="0" xfId="0" applyNumberFormat="1" applyFont="1" applyAlignment="1">
      <alignment horizontal="center"/>
    </xf>
    <xf numFmtId="166" fontId="7" fillId="0" borderId="0" xfId="0" applyNumberFormat="1" applyFont="1" applyAlignment="1">
      <alignment horizontal="center"/>
    </xf>
    <xf numFmtId="0" fontId="15" fillId="0" borderId="0" xfId="0" applyFont="1" applyAlignment="1">
      <alignment horizontal="center"/>
    </xf>
    <xf numFmtId="0" fontId="7" fillId="0" borderId="0" xfId="0" applyFont="1"/>
    <xf numFmtId="168" fontId="5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8" fillId="0" borderId="0" xfId="0" applyFont="1"/>
    <xf numFmtId="166" fontId="8" fillId="0" borderId="0" xfId="0" applyNumberFormat="1" applyFont="1" applyAlignment="1">
      <alignment horizontal="center"/>
    </xf>
    <xf numFmtId="168" fontId="0" fillId="0" borderId="0" xfId="0" applyNumberFormat="1" applyAlignment="1">
      <alignment horizontal="center"/>
    </xf>
    <xf numFmtId="0" fontId="2" fillId="0" borderId="5" xfId="0" applyFont="1" applyBorder="1" applyAlignment="1">
      <alignment horizontal="center"/>
    </xf>
    <xf numFmtId="166" fontId="2" fillId="0" borderId="1" xfId="0" applyNumberFormat="1" applyFont="1" applyBorder="1" applyAlignment="1">
      <alignment horizontal="center"/>
    </xf>
    <xf numFmtId="0" fontId="2" fillId="0" borderId="0" xfId="0" applyFont="1" applyAlignment="1">
      <alignment vertical="center"/>
    </xf>
    <xf numFmtId="166" fontId="0" fillId="0" borderId="6" xfId="0" applyNumberFormat="1" applyBorder="1" applyAlignment="1">
      <alignment horizontal="center"/>
    </xf>
    <xf numFmtId="166" fontId="2" fillId="0" borderId="3" xfId="0" applyNumberFormat="1" applyFont="1" applyBorder="1" applyAlignment="1">
      <alignment horizontal="center"/>
    </xf>
    <xf numFmtId="166" fontId="0" fillId="0" borderId="8" xfId="0" applyNumberFormat="1" applyBorder="1" applyAlignment="1">
      <alignment horizontal="center"/>
    </xf>
    <xf numFmtId="166" fontId="2" fillId="0" borderId="4" xfId="0" applyNumberFormat="1" applyFont="1" applyBorder="1" applyAlignment="1">
      <alignment horizontal="center"/>
    </xf>
    <xf numFmtId="0" fontId="2" fillId="0" borderId="0" xfId="0" applyFont="1" applyAlignment="1">
      <alignment horizontal="left"/>
    </xf>
    <xf numFmtId="0" fontId="9" fillId="0" borderId="5" xfId="0" applyFont="1" applyBorder="1" applyAlignment="1">
      <alignment horizontal="center"/>
    </xf>
    <xf numFmtId="166" fontId="0" fillId="0" borderId="9" xfId="0" applyNumberFormat="1" applyBorder="1" applyAlignment="1">
      <alignment horizontal="center"/>
    </xf>
    <xf numFmtId="168" fontId="9" fillId="0" borderId="0" xfId="0" applyNumberFormat="1" applyFont="1" applyAlignment="1">
      <alignment horizontal="center"/>
    </xf>
    <xf numFmtId="169" fontId="0" fillId="0" borderId="0" xfId="0" applyNumberFormat="1" applyAlignment="1">
      <alignment horizontal="center"/>
    </xf>
    <xf numFmtId="3" fontId="0" fillId="0" borderId="0" xfId="0" applyNumberFormat="1" applyAlignment="1">
      <alignment horizontal="right" vertical="top"/>
    </xf>
    <xf numFmtId="3" fontId="5" fillId="0" borderId="0" xfId="0" applyNumberFormat="1" applyFont="1" applyAlignment="1">
      <alignment horizontal="right" vertical="top"/>
    </xf>
    <xf numFmtId="3" fontId="4" fillId="0" borderId="0" xfId="0" applyNumberFormat="1" applyFont="1" applyAlignment="1">
      <alignment horizontal="right" vertical="top"/>
    </xf>
    <xf numFmtId="10" fontId="0" fillId="0" borderId="0" xfId="0" applyNumberFormat="1" applyAlignment="1">
      <alignment horizontal="right" vertical="top"/>
    </xf>
    <xf numFmtId="37" fontId="0" fillId="0" borderId="0" xfId="0" applyNumberFormat="1" applyAlignment="1">
      <alignment horizontal="right" vertical="top"/>
    </xf>
    <xf numFmtId="171" fontId="0" fillId="0" borderId="0" xfId="0" applyNumberFormat="1" applyAlignment="1">
      <alignment horizontal="right" vertical="top"/>
    </xf>
    <xf numFmtId="171" fontId="2" fillId="0" borderId="0" xfId="0" applyNumberFormat="1" applyFont="1" applyAlignment="1">
      <alignment horizontal="right" vertical="top"/>
    </xf>
    <xf numFmtId="0" fontId="11" fillId="0" borderId="0" xfId="0" applyFont="1" applyAlignment="1">
      <alignment horizontal="center"/>
    </xf>
    <xf numFmtId="167" fontId="11" fillId="0" borderId="0" xfId="0" applyNumberFormat="1" applyFont="1" applyAlignment="1">
      <alignment horizontal="center"/>
    </xf>
    <xf numFmtId="167" fontId="10" fillId="0" borderId="0" xfId="0" applyNumberFormat="1" applyFont="1" applyAlignment="1">
      <alignment horizontal="center"/>
    </xf>
    <xf numFmtId="0" fontId="10" fillId="0" borderId="0" xfId="0" applyFont="1"/>
    <xf numFmtId="0" fontId="11" fillId="0" borderId="0" xfId="0" applyFont="1" applyAlignment="1">
      <alignment horizontal="left"/>
    </xf>
    <xf numFmtId="167" fontId="13" fillId="0" borderId="0" xfId="0" applyNumberFormat="1" applyFont="1" applyAlignment="1">
      <alignment horizontal="center"/>
    </xf>
    <xf numFmtId="0" fontId="12" fillId="0" borderId="0" xfId="0" applyFont="1" applyAlignment="1">
      <alignment horizontal="left"/>
    </xf>
    <xf numFmtId="0" fontId="12" fillId="0" borderId="0" xfId="0" applyFont="1" applyAlignment="1">
      <alignment horizontal="center"/>
    </xf>
    <xf numFmtId="167" fontId="14" fillId="0" borderId="0" xfId="0" applyNumberFormat="1" applyFont="1" applyAlignment="1">
      <alignment horizontal="center"/>
    </xf>
    <xf numFmtId="0" fontId="10" fillId="0" borderId="0" xfId="0" applyFont="1" applyAlignment="1">
      <alignment horizontal="left"/>
    </xf>
    <xf numFmtId="0" fontId="10" fillId="0" borderId="0" xfId="0" applyFont="1" applyAlignment="1">
      <alignment horizontal="center"/>
    </xf>
    <xf numFmtId="1" fontId="2" fillId="0" borderId="0" xfId="0" applyNumberFormat="1" applyFont="1" applyAlignment="1">
      <alignment horizontal="left"/>
    </xf>
    <xf numFmtId="0" fontId="17" fillId="0" borderId="0" xfId="0" applyFont="1" applyAlignment="1">
      <alignment horizontal="left"/>
    </xf>
    <xf numFmtId="171" fontId="16" fillId="0" borderId="0" xfId="0" applyNumberFormat="1" applyFont="1" applyAlignment="1">
      <alignment horizontal="center"/>
    </xf>
    <xf numFmtId="3" fontId="10" fillId="0" borderId="0" xfId="0" applyNumberFormat="1" applyFont="1" applyAlignment="1">
      <alignment horizontal="center"/>
    </xf>
    <xf numFmtId="171" fontId="0" fillId="0" borderId="0" xfId="1" applyNumberFormat="1" applyFont="1"/>
    <xf numFmtId="171" fontId="4" fillId="0" borderId="0" xfId="1" applyNumberFormat="1" applyFont="1"/>
    <xf numFmtId="164" fontId="0" fillId="0" borderId="0" xfId="1" applyNumberFormat="1" applyFont="1"/>
    <xf numFmtId="0" fontId="1" fillId="0" borderId="0" xfId="0" applyFont="1"/>
    <xf numFmtId="0" fontId="1" fillId="0" borderId="0" xfId="0" applyFont="1" applyAlignment="1">
      <alignment horizontal="center"/>
    </xf>
    <xf numFmtId="167" fontId="19" fillId="0" borderId="0" xfId="0" applyNumberFormat="1" applyFont="1" applyAlignment="1">
      <alignment horizontal="center"/>
    </xf>
    <xf numFmtId="0" fontId="19" fillId="0" borderId="0" xfId="0" applyFont="1"/>
    <xf numFmtId="166" fontId="1" fillId="0" borderId="5" xfId="0" applyNumberFormat="1" applyFont="1" applyBorder="1" applyAlignment="1">
      <alignment horizontal="center"/>
    </xf>
    <xf numFmtId="164" fontId="1" fillId="0" borderId="5" xfId="0" applyNumberFormat="1" applyFont="1" applyBorder="1" applyAlignment="1">
      <alignment horizontal="center"/>
    </xf>
    <xf numFmtId="164" fontId="18" fillId="0" borderId="5" xfId="0" applyNumberFormat="1" applyFont="1" applyBorder="1" applyAlignment="1">
      <alignment horizontal="center"/>
    </xf>
    <xf numFmtId="166" fontId="1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center"/>
    </xf>
    <xf numFmtId="164" fontId="18" fillId="0" borderId="0" xfId="0" applyNumberFormat="1" applyFont="1" applyAlignment="1">
      <alignment horizontal="right"/>
    </xf>
    <xf numFmtId="164" fontId="18" fillId="0" borderId="10" xfId="0" applyNumberFormat="1" applyFont="1" applyBorder="1" applyAlignment="1">
      <alignment horizontal="center"/>
    </xf>
    <xf numFmtId="1" fontId="0" fillId="0" borderId="0" xfId="0" applyNumberFormat="1"/>
    <xf numFmtId="3" fontId="9" fillId="0" borderId="0" xfId="0" applyNumberFormat="1" applyFont="1"/>
    <xf numFmtId="1" fontId="5" fillId="0" borderId="0" xfId="0" applyNumberFormat="1" applyFont="1"/>
    <xf numFmtId="172" fontId="0" fillId="0" borderId="0" xfId="1" applyNumberFormat="1" applyFont="1" applyFill="1"/>
    <xf numFmtId="0" fontId="0" fillId="2" borderId="0" xfId="0" applyFill="1"/>
    <xf numFmtId="0" fontId="0" fillId="2" borderId="0" xfId="0" applyFill="1" applyAlignment="1">
      <alignment horizontal="center"/>
    </xf>
    <xf numFmtId="3" fontId="0" fillId="2" borderId="0" xfId="0" applyNumberFormat="1" applyFill="1"/>
    <xf numFmtId="10" fontId="0" fillId="2" borderId="0" xfId="0" applyNumberFormat="1" applyFill="1" applyAlignment="1">
      <alignment horizontal="center"/>
    </xf>
    <xf numFmtId="164" fontId="0" fillId="2" borderId="0" xfId="0" applyNumberFormat="1" applyFill="1" applyAlignment="1">
      <alignment horizontal="center"/>
    </xf>
    <xf numFmtId="0" fontId="2" fillId="2" borderId="0" xfId="0" applyFont="1" applyFill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externalLink" Target="externalLinks/externalLink13.xml"/><Relationship Id="rId68" Type="http://schemas.openxmlformats.org/officeDocument/2006/relationships/externalLink" Target="externalLinks/externalLink18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externalLink" Target="externalLinks/externalLink3.xml"/><Relationship Id="rId58" Type="http://schemas.openxmlformats.org/officeDocument/2006/relationships/externalLink" Target="externalLinks/externalLink8.xml"/><Relationship Id="rId74" Type="http://schemas.openxmlformats.org/officeDocument/2006/relationships/externalLink" Target="externalLinks/externalLink24.xml"/><Relationship Id="rId79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61" Type="http://schemas.openxmlformats.org/officeDocument/2006/relationships/externalLink" Target="externalLinks/externalLink11.xml"/><Relationship Id="rId82" Type="http://schemas.openxmlformats.org/officeDocument/2006/relationships/customXml" Target="../customXml/item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externalLink" Target="externalLinks/externalLink6.xml"/><Relationship Id="rId64" Type="http://schemas.openxmlformats.org/officeDocument/2006/relationships/externalLink" Target="externalLinks/externalLink14.xml"/><Relationship Id="rId69" Type="http://schemas.openxmlformats.org/officeDocument/2006/relationships/externalLink" Target="externalLinks/externalLink19.xml"/><Relationship Id="rId77" Type="http://schemas.openxmlformats.org/officeDocument/2006/relationships/theme" Target="theme/theme1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1.xml"/><Relationship Id="rId72" Type="http://schemas.openxmlformats.org/officeDocument/2006/relationships/externalLink" Target="externalLinks/externalLink22.xml"/><Relationship Id="rId80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externalLink" Target="externalLinks/externalLink9.xml"/><Relationship Id="rId67" Type="http://schemas.openxmlformats.org/officeDocument/2006/relationships/externalLink" Target="externalLinks/externalLink1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externalLink" Target="externalLinks/externalLink4.xml"/><Relationship Id="rId62" Type="http://schemas.openxmlformats.org/officeDocument/2006/relationships/externalLink" Target="externalLinks/externalLink12.xml"/><Relationship Id="rId70" Type="http://schemas.openxmlformats.org/officeDocument/2006/relationships/externalLink" Target="externalLinks/externalLink20.xml"/><Relationship Id="rId75" Type="http://schemas.openxmlformats.org/officeDocument/2006/relationships/externalLink" Target="externalLinks/externalLink25.xml"/><Relationship Id="rId83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externalLink" Target="externalLinks/externalLink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externalLink" Target="externalLinks/externalLink2.xml"/><Relationship Id="rId60" Type="http://schemas.openxmlformats.org/officeDocument/2006/relationships/externalLink" Target="externalLinks/externalLink10.xml"/><Relationship Id="rId65" Type="http://schemas.openxmlformats.org/officeDocument/2006/relationships/externalLink" Target="externalLinks/externalLink15.xml"/><Relationship Id="rId73" Type="http://schemas.openxmlformats.org/officeDocument/2006/relationships/externalLink" Target="externalLinks/externalLink23.xml"/><Relationship Id="rId78" Type="http://schemas.openxmlformats.org/officeDocument/2006/relationships/styles" Target="styles.xml"/><Relationship Id="rId81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externalLink" Target="externalLinks/externalLink5.xml"/><Relationship Id="rId76" Type="http://schemas.openxmlformats.org/officeDocument/2006/relationships/externalLink" Target="externalLinks/externalLink26.xml"/><Relationship Id="rId7" Type="http://schemas.openxmlformats.org/officeDocument/2006/relationships/worksheet" Target="worksheets/sheet7.xml"/><Relationship Id="rId71" Type="http://schemas.openxmlformats.org/officeDocument/2006/relationships/externalLink" Target="externalLinks/externalLink21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externalLink" Target="externalLinks/externalLink16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illermw/Documents/ACR2014/USPS-FY14-12/USPS-FY14-12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illermw/Documents/ACR2015/USPS-FY15-12/USPS-FY15-12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illermw/Documents/ACR2016/USPS-FY16-12/USPS-FY16-12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illermw/Documents/ACR2017/USPS-FY17-12/USPS-FY17-12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illermw/Documents/ACR2018/USPS-FY18-12/USPS-FY18-12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illermw/Documents/ACR2019/USPS-FY19-12/USPS-FY19-12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illermw/Documents/ACR2020/USPS-FY20-12/USPS-FY20-12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illermw/Documents/ACR2021/USPS-FY21-12/USPS-FY21-12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usps365-my.sharepoint.com/personal/michael_w_miller_usps_gov/Documents/Documents/ACR2022/USPS-FY22-12/USPS-FY22-12.xlsx" TargetMode="External"/><Relationship Id="rId1" Type="http://schemas.openxmlformats.org/officeDocument/2006/relationships/externalLinkPath" Target="/personal/michael_w_miller_usps_gov/Documents/Documents/ACR2022/USPS-FY22-12/USPS-FY22-12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Y:\Cost%20Attribution\ACR%20File%20Ref\ACR2023\Public\FY23-12%20MMParcel%20MP%20Cost%20Model\USPS-FY23-12.xlsx" TargetMode="External"/><Relationship Id="rId1" Type="http://schemas.openxmlformats.org/officeDocument/2006/relationships/externalLinkPath" Target="file:///Y:\Cost%20Attribution\ACR%20File%20Ref\ACR2023\Public\FY23-12%20MMParcel%20MP%20Cost%20Model\USPS-FY23-12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usps365-my.sharepoint.com/personal/aminur_rahman_usps_gov/Documents/ACR%202025/FY25-12/input%20data/USPS-FY24-12.Order.No.8713.Updated.3.3.2025.xlsx" TargetMode="External"/><Relationship Id="rId1" Type="http://schemas.openxmlformats.org/officeDocument/2006/relationships/externalLinkPath" Target="/personal/aminur_rahman_usps_gov/Documents/ACR%202025/FY25-12/Output/1218/input%20data/USPS-FY24-12.Order.No.8713.Updated.3.3.2025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usps365-my.sharepoint.com/personal/aminur_rahman_usps_gov/Documents/ACR%202025/FY25-12/input%20data/shp25prc.xlsx" TargetMode="External"/><Relationship Id="rId1" Type="http://schemas.openxmlformats.org/officeDocument/2006/relationships/externalLinkPath" Target="/personal/aminur_rahman_usps_gov/Documents/ACR%202025/FY25-12/Output/1218/input%20data/shp25prc.xlsx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usps365-my.sharepoint.com/personal/aminur_rahman_usps_gov/Documents/ACR%202025/FY25-12/input%20data/USPS-FY25-7%20part6.xlsx" TargetMode="External"/><Relationship Id="rId1" Type="http://schemas.openxmlformats.org/officeDocument/2006/relationships/externalLinkPath" Target="/personal/aminur_rahman_usps_gov/Documents/ACR%202025/FY25-12/Output/1218/input%20data/USPS-FY25-7%20part6.xlsx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usps365-my.sharepoint.com/personal/aminur_rahman_usps_gov/Documents/ACR%202025/Field%20Budget/USPS-FY25-7/USPS-FY25-7%20part7.xlsx" TargetMode="External"/><Relationship Id="rId1" Type="http://schemas.openxmlformats.org/officeDocument/2006/relationships/externalLinkPath" Target="/personal/aminur_rahman_usps_gov/Documents/ACR%202025/Field%20Budget/USPS-FY25-7/USPS-FY25-7%20part7.xlsx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usps365-my.sharepoint.com/personal/aminur_rahman_usps_gov/Documents/ACR%202025/FY25-12/Output/Revised%20Output/0203/USPS-FY25-25/MPPGBY25PRC.xlsx" TargetMode="External"/><Relationship Id="rId1" Type="http://schemas.openxmlformats.org/officeDocument/2006/relationships/externalLinkPath" Target="USPS-FY25-25/MPPGBY25PRC.xlsx" TargetMode="External"/></Relationships>
</file>

<file path=xl/externalLinks/_rels/externalLink16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usps365-my.sharepoint.com/personal/aminur_rahman_usps_gov/Documents/ACR%202025/FY25-12/input%20data/FY2025%20USPS%20Marketing%20Mail%20BD%20-%20Public%20ACR.xlsx" TargetMode="External"/><Relationship Id="rId1" Type="http://schemas.openxmlformats.org/officeDocument/2006/relationships/externalLinkPath" Target="/personal/aminur_rahman_usps_gov/Documents/ACR%202025/FY25-12/Output/1218/input%20data/FY2025%20USPS%20Marketing%20Mail%20BD%20-%20Public%20ACR.xlsx" TargetMode="External"/></Relationships>
</file>

<file path=xl/externalLinks/_rels/externalLink17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usps365-my.sharepoint.com/personal/aminur_rahman_usps_gov/Documents/ACR%202025/FY25-12/input%20data/FCM_MM_WGTI_FY25_EOYv.xlsx" TargetMode="External"/><Relationship Id="rId1" Type="http://schemas.openxmlformats.org/officeDocument/2006/relationships/externalLinkPath" Target="/personal/aminur_rahman_usps_gov/Documents/ACR%202025/FY25-12/Output/1218/input%20data/FCM_MM_WGTI_FY25_EOYv.xlsx" TargetMode="External"/></Relationships>
</file>

<file path=xl/externalLinks/_rels/externalLink18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usps365-my.sharepoint.com/personal/michael_w_miller_usps_gov/Documents/Documents/USPS-FYXX-12/RULEMAKING%20DOCKETS/RM2010-12%20PROPOSAL%20SEVEN/Prop.7.STD%20PARCEL-NFM%20DATA.xls" TargetMode="External"/><Relationship Id="rId1" Type="http://schemas.openxmlformats.org/officeDocument/2006/relationships/externalLinkPath" Target="/personal/michael_w_miller_usps_gov/Documents/Documents/ACR2024/USPS-FY24-12/RULEMAKING%20DOCKETS/RM2010-12%20PROPOSAL%20SEVEN/Prop.7.STD%20PARCEL-NFM%20DATA.xls" TargetMode="External"/></Relationships>
</file>

<file path=xl/externalLinks/_rels/externalLink19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usps365-my.sharepoint.com/personal/aminur_rahman_usps_gov/Documents/ACR%202025/FY25-12/input%20data/FY2025R_RPWAdj_12-9-25_v2.xlsx" TargetMode="External"/><Relationship Id="rId1" Type="http://schemas.openxmlformats.org/officeDocument/2006/relationships/externalLinkPath" Target="/personal/aminur_rahman_usps_gov/Documents/ACR%202025/FY25-12/Output/1218/input%20data/FY2025R_RPWAdj_12-9-25_v2.xlsx" TargetMode="External"/></Relationships>
</file>

<file path=xl/externalLinks/_rels/externalLink20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usps365-my.sharepoint.com/personal/aminur_rahman_usps_gov/Documents/ACR%202025/FY25-12/input%20data/Revised%20Input/YRscrub2025_revised.xlsx" TargetMode="External"/><Relationship Id="rId1" Type="http://schemas.openxmlformats.org/officeDocument/2006/relationships/externalLinkPath" Target="/personal/aminur_rahman_usps_gov/Documents/ACR%202025/FY25-12/input%20data/Revised%20Input/YRscrub2025_revised.xlsx" TargetMode="External"/></Relationships>
</file>

<file path=xl/externalLinks/_rels/externalLink2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usps365-my.sharepoint.com/personal/aminur_rahman_usps_gov/Documents/ACR%202025/FY25-12/input%20data/Revised%20Input/NDCscrub2025_revised.xlsx" TargetMode="External"/><Relationship Id="rId1" Type="http://schemas.openxmlformats.org/officeDocument/2006/relationships/externalLinkPath" Target="/personal/aminur_rahman_usps_gov/Documents/ACR%202025/FY25-12/input%20data/Revised%20Input/NDCscrub2025_revised.xlsx" TargetMode="External"/></Relationships>
</file>

<file path=xl/externalLinks/_rels/externalLink2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usps365-my.sharepoint.com/personal/aminur_rahman_usps_gov/Documents/ACR%202025/FY25-12/input%20data/eFlash_Prod_RM2025-4_FY2025.xlsx" TargetMode="External"/><Relationship Id="rId1" Type="http://schemas.openxmlformats.org/officeDocument/2006/relationships/externalLinkPath" Target="/personal/aminur_rahman_usps_gov/Documents/ACR%202025/FY25-12/Output/1218/input%20data/eFlash_Prod_RM2025-4_FY2025.xlsx" TargetMode="External"/></Relationships>
</file>

<file path=xl/externalLinks/_rels/externalLink23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usps365-my.sharepoint.com/personal/michael_w_miller_usps_gov/Documents/Documents/USPS-FYXX-12/RULEMAKING%20DOCKETS/RM2015-3%20PROPOSAL%20TEN/PROP.10.DATA.xlsx" TargetMode="External"/><Relationship Id="rId1" Type="http://schemas.openxmlformats.org/officeDocument/2006/relationships/externalLinkPath" Target="/personal/michael_w_miller_usps_gov/Documents/Documents/ACR2024/USPS-FY24-12/RULEMAKING%20DOCKETS/RM2015-3%20PROPOSAL%20TEN/PROP.10.DATA.xlsx" TargetMode="External"/></Relationships>
</file>

<file path=xl/externalLinks/_rels/externalLink24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usps365-my.sharepoint.com/personal/aminur_rahman_usps_gov/Documents/ACR%202025/FY25-12/input%20data/FY25%20ACR%20inputs%20to%20Special%20Cost%20Studies%20Public.xlsx" TargetMode="External"/><Relationship Id="rId1" Type="http://schemas.openxmlformats.org/officeDocument/2006/relationships/externalLinkPath" Target="/personal/aminur_rahman_usps_gov/Documents/ACR%202025/FY25-12/Output/1218/input%20data/FY25%20ACR%20inputs%20to%20Special%20Cost%20Studies%20Public.xlsx" TargetMode="External"/></Relationships>
</file>

<file path=xl/externalLinks/_rels/externalLink25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usps365-my.sharepoint.com/personal/aminur_rahman_usps_gov/Documents/ACR%202025/FY25-12/input%20data/Accept2025_v.xlsx" TargetMode="External"/><Relationship Id="rId1" Type="http://schemas.openxmlformats.org/officeDocument/2006/relationships/externalLinkPath" Target="/personal/aminur_rahman_usps_gov/Documents/ACR%202025/FY25-12/Output/1218/input%20data/Accept2025_v.xlsx" TargetMode="External"/></Relationships>
</file>

<file path=xl/externalLinks/_rels/externalLink26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usps365-my.sharepoint.com/personal/aminur_rahman_usps_gov/Documents/ACR%202025/FY25-12/input%20data/FY%202025%20PARCEL%20COVERAGE%20FACTORS.xlsx" TargetMode="External"/><Relationship Id="rId1" Type="http://schemas.openxmlformats.org/officeDocument/2006/relationships/externalLinkPath" Target="/personal/aminur_rahman_usps_gov/Documents/ACR%202025/FY25-12/Output/1218/input%20data/FY%202025%20PARCEL%20COVERAGE%20FACTOR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P Summary"/>
      <sheetName val="MP Cost Adjustments"/>
      <sheetName val="Cost Pool Data"/>
      <sheetName val="Mailer Arrival Profile"/>
      <sheetName val="Std Vol Data"/>
      <sheetName val="Productivity Data"/>
      <sheetName val="Wage Data"/>
      <sheetName val="Postal Arrival-Dispatch Profile"/>
      <sheetName val="Other Inputs"/>
      <sheetName val="Conversion Factors"/>
      <sheetName val="M-NONE-MNDC"/>
      <sheetName val="M-NONE-NDC"/>
      <sheetName val="M-DNDC-NDC"/>
      <sheetName val="M-DNDC-5D"/>
      <sheetName val="M-DSCF-5D"/>
      <sheetName val="M-DDU-5D"/>
      <sheetName val="IR-NONE-MNDC"/>
      <sheetName val="IR-NONE-NDC"/>
      <sheetName val="IR-DNDC-NDC"/>
      <sheetName val="IR-DNDC-3D"/>
      <sheetName val="IR-DNDC-5D"/>
      <sheetName val="IR-DSCF-3D"/>
      <sheetName val="IR-DSCF-5D"/>
      <sheetName val="IR -DDU-5D"/>
      <sheetName val="IO-NONE-MNDC"/>
      <sheetName val="IO-NONE-NDC"/>
      <sheetName val="IO-DNDC-NDC"/>
      <sheetName val="IO-DNDC-3D"/>
      <sheetName val="IO-DNDC-5D"/>
      <sheetName val="IO-DSCF-3D"/>
      <sheetName val="IO-DSCF-5D"/>
      <sheetName val="IO-DDU-5D"/>
      <sheetName val="MO-NONE-MNDC"/>
      <sheetName val="MO-NONE-NDC"/>
      <sheetName val="MO-DNDC-NDC"/>
      <sheetName val="MO-DNDC-3D"/>
      <sheetName val="MO-DNDC-5D"/>
      <sheetName val="MO-DSCF-3D"/>
      <sheetName val="MO-DSCF-5D"/>
      <sheetName val="MO-DDU-5D"/>
      <sheetName val="M&gt;6-NONE-MNDC"/>
      <sheetName val="M&gt;6-NONE-NDC"/>
      <sheetName val="M&gt;6-DNDC-NDC"/>
      <sheetName val="M&gt;6-DNDC-3D"/>
      <sheetName val="M&gt;6-DNDC-5D"/>
      <sheetName val="M&gt;6-DSCF-3D"/>
      <sheetName val="M&gt;6-DSCF-5D"/>
      <sheetName val="M&gt;6-DDU-5D"/>
      <sheetName val="BC Savings"/>
      <sheetName val="Mail Entry Profile"/>
    </sheetNames>
    <sheetDataSet>
      <sheetData sheetId="0">
        <row r="9">
          <cell r="D9">
            <v>5.2786557909583774E-2</v>
          </cell>
          <cell r="I9">
            <v>0.25566517387425003</v>
          </cell>
        </row>
        <row r="10">
          <cell r="D10">
            <v>1.1927430797603054E-2</v>
          </cell>
          <cell r="I10">
            <v>0.26055707694333635</v>
          </cell>
        </row>
        <row r="11">
          <cell r="D11">
            <v>7.5818665776994115E-2</v>
          </cell>
          <cell r="I11">
            <v>0.29034165792036803</v>
          </cell>
        </row>
        <row r="12">
          <cell r="D12">
            <v>7.6543812892726319E-4</v>
          </cell>
          <cell r="I12">
            <v>0.19343609126204558</v>
          </cell>
        </row>
        <row r="13">
          <cell r="D13">
            <v>8.8249924076574549E-3</v>
          </cell>
        </row>
        <row r="14">
          <cell r="D14">
            <v>2.0239665768960214E-4</v>
          </cell>
        </row>
        <row r="15">
          <cell r="I15">
            <v>0.21284506052149085</v>
          </cell>
        </row>
        <row r="16">
          <cell r="I16">
            <v>0.19257049511124821</v>
          </cell>
        </row>
        <row r="17">
          <cell r="D17">
            <v>8.1336271727209822E-2</v>
          </cell>
          <cell r="I17">
            <v>0.17148004048054649</v>
          </cell>
        </row>
        <row r="18">
          <cell r="D18">
            <v>1.0130964928457482E-2</v>
          </cell>
          <cell r="I18">
            <v>0.42310440388671444</v>
          </cell>
        </row>
        <row r="19">
          <cell r="D19">
            <v>3.749691571762448E-3</v>
          </cell>
        </row>
        <row r="20">
          <cell r="D20">
            <v>4.3069468100459755E-3</v>
          </cell>
        </row>
        <row r="21">
          <cell r="D21">
            <v>1.81377900711857E-3</v>
          </cell>
        </row>
        <row r="22">
          <cell r="D22">
            <v>4.2159313399826618E-3</v>
          </cell>
        </row>
        <row r="23">
          <cell r="D23">
            <v>1.4317509494775448E-3</v>
          </cell>
        </row>
        <row r="24">
          <cell r="D24">
            <v>2.3842013424394567E-4</v>
          </cell>
        </row>
        <row r="27">
          <cell r="D27">
            <v>7.872223088469725E-2</v>
          </cell>
        </row>
        <row r="28">
          <cell r="D28">
            <v>2.0761717626698643E-2</v>
          </cell>
        </row>
        <row r="29">
          <cell r="D29">
            <v>7.018202440973248E-2</v>
          </cell>
        </row>
        <row r="30">
          <cell r="D30">
            <v>5.6308809521448309E-2</v>
          </cell>
        </row>
        <row r="31">
          <cell r="D31">
            <v>4.7611721717307168E-2</v>
          </cell>
        </row>
        <row r="32">
          <cell r="D32">
            <v>0.10664835280906955</v>
          </cell>
        </row>
        <row r="33">
          <cell r="D33">
            <v>0.16922063041418084</v>
          </cell>
        </row>
        <row r="34">
          <cell r="D34">
            <v>0.19299527447011205</v>
          </cell>
        </row>
      </sheetData>
      <sheetData sheetId="1">
        <row r="7">
          <cell r="D7">
            <v>2.3407223121225669</v>
          </cell>
        </row>
      </sheetData>
      <sheetData sheetId="2">
        <row r="77">
          <cell r="F77">
            <v>105.65507940350636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P Summary"/>
      <sheetName val="MP Cost Adjustments"/>
      <sheetName val="Cost Pool Data"/>
      <sheetName val="Std Vol Data"/>
      <sheetName val="Productivity Data"/>
      <sheetName val="Wage Data"/>
      <sheetName val="Mailer Arrival Profile"/>
      <sheetName val="Postal Arrival-Dispatch Profile"/>
      <sheetName val="Other Inputs"/>
      <sheetName val="Conversion Factors"/>
      <sheetName val="M-NONE-MNDC"/>
      <sheetName val="M-NONE-NDC"/>
      <sheetName val="M-DNDC-NDC"/>
      <sheetName val="M-DNDC-5D"/>
      <sheetName val="M-DSCF-5D"/>
      <sheetName val="M-DDU-5D"/>
      <sheetName val="IR-NONE-MNDC"/>
      <sheetName val="IR-NONE-NDC"/>
      <sheetName val="IR-DNDC-NDC"/>
      <sheetName val="IR-DNDC-SCF"/>
      <sheetName val="IR-DNDC-5D"/>
      <sheetName val="IR-DSCF-SCF"/>
      <sheetName val="IR-DSCF-5D"/>
      <sheetName val="IR -DDU-5D"/>
      <sheetName val="IO-NONE-MNDC"/>
      <sheetName val="IO-NONE-NDC"/>
      <sheetName val="IO-DNDC-NDC"/>
      <sheetName val="IO-DNDC-SCF"/>
      <sheetName val="IO-DNDC-5D"/>
      <sheetName val="IO-DSCF-SCF"/>
      <sheetName val="IO-DSCF-5D"/>
      <sheetName val="IO-DDU-5D"/>
      <sheetName val="MO-NONE-MNDC"/>
      <sheetName val="MO-NONE-NDC"/>
      <sheetName val="MO-DNDC-NDC"/>
      <sheetName val="MO-DNDC-SCF"/>
      <sheetName val="MO-DNDC-5D"/>
      <sheetName val="MO-DSCF-SCF"/>
      <sheetName val="MO-DSCF-5D"/>
      <sheetName val="MO-DDU-5D"/>
      <sheetName val="M&gt;6-NONE-MNDC"/>
      <sheetName val="M&gt;6-NONE-NDC"/>
      <sheetName val="M&gt;6-DNDC-NDC"/>
      <sheetName val="M&gt;6-DNDC-SCF"/>
      <sheetName val="M&gt;6-DNDC-5D"/>
      <sheetName val="M&gt;6-DSCF-SCF"/>
      <sheetName val="M&gt;6-DSCF-5D"/>
      <sheetName val="M&gt;6-DDU-5D"/>
      <sheetName val="BC Savings"/>
      <sheetName val="Mail Entry Profile"/>
    </sheetNames>
    <sheetDataSet>
      <sheetData sheetId="0">
        <row r="9">
          <cell r="D9">
            <v>5.1807172702972165E-2</v>
          </cell>
          <cell r="I9">
            <v>0.25305123216693048</v>
          </cell>
        </row>
        <row r="10">
          <cell r="D10">
            <v>1.0030178120873125E-2</v>
          </cell>
          <cell r="I10">
            <v>0.23088462888683553</v>
          </cell>
        </row>
        <row r="11">
          <cell r="D11">
            <v>7.083130373000858E-2</v>
          </cell>
          <cell r="I11">
            <v>0.30771953111160738</v>
          </cell>
        </row>
        <row r="12">
          <cell r="D12">
            <v>1.3414208408857803E-3</v>
          </cell>
          <cell r="I12">
            <v>0.20834460783462661</v>
          </cell>
        </row>
        <row r="13">
          <cell r="D13">
            <v>6.0605164860007311E-3</v>
          </cell>
        </row>
        <row r="14">
          <cell r="D14">
            <v>1.5713271555934803E-4</v>
          </cell>
        </row>
        <row r="15">
          <cell r="I15">
            <v>0.21299023474955744</v>
          </cell>
        </row>
        <row r="16">
          <cell r="I16">
            <v>0.15191309246700896</v>
          </cell>
        </row>
        <row r="17">
          <cell r="D17">
            <v>8.1892990104991764E-2</v>
          </cell>
          <cell r="I17">
            <v>0.21245375909734124</v>
          </cell>
        </row>
        <row r="18">
          <cell r="D18">
            <v>8.3011224231182186E-3</v>
          </cell>
          <cell r="I18">
            <v>0.42264291368609236</v>
          </cell>
        </row>
        <row r="19">
          <cell r="D19">
            <v>4.6226379385339647E-3</v>
          </cell>
        </row>
        <row r="20">
          <cell r="D20">
            <v>4.0605913946452042E-3</v>
          </cell>
        </row>
        <row r="21">
          <cell r="D21">
            <v>2.3789701147113509E-3</v>
          </cell>
        </row>
        <row r="22">
          <cell r="D22">
            <v>3.2020880147443252E-3</v>
          </cell>
        </row>
        <row r="23">
          <cell r="D23">
            <v>2.3663915531119089E-3</v>
          </cell>
        </row>
        <row r="24">
          <cell r="D24">
            <v>1.9710275011547036E-4</v>
          </cell>
        </row>
        <row r="27">
          <cell r="D27">
            <v>7.9290071941593501E-2</v>
          </cell>
        </row>
        <row r="28">
          <cell r="D28">
            <v>2.17296968733817E-2</v>
          </cell>
        </row>
        <row r="29">
          <cell r="D29">
            <v>3.6398153381093361E-2</v>
          </cell>
        </row>
        <row r="30">
          <cell r="D30">
            <v>5.2531118575236922E-2</v>
          </cell>
        </row>
        <row r="31">
          <cell r="D31">
            <v>5.8720432911720362E-2</v>
          </cell>
        </row>
        <row r="32">
          <cell r="D32">
            <v>0.15265996111271479</v>
          </cell>
        </row>
        <row r="33">
          <cell r="D33">
            <v>0.14343057394503564</v>
          </cell>
        </row>
        <row r="34">
          <cell r="D34">
            <v>0.20799037236895179</v>
          </cell>
        </row>
      </sheetData>
      <sheetData sheetId="1">
        <row r="7">
          <cell r="D7">
            <v>2.0172628733429585</v>
          </cell>
        </row>
      </sheetData>
      <sheetData sheetId="2">
        <row r="77">
          <cell r="F77">
            <v>89.565651923162378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P Summary"/>
      <sheetName val="MP Cost Adjustments"/>
      <sheetName val="Cost Pool Data"/>
      <sheetName val="Std Vol Data"/>
      <sheetName val="Productivity Data"/>
      <sheetName val="Wage Data"/>
      <sheetName val="Mailer Arrival Profile"/>
      <sheetName val="Postal Arrival-Dispatch Profile"/>
      <sheetName val="Other Inputs"/>
      <sheetName val="Conversion Factors"/>
      <sheetName val="M-NONE-MNDC"/>
      <sheetName val="M-NONE-NDC"/>
      <sheetName val="M-DNDC-NDC"/>
      <sheetName val="M-DNDC-5D"/>
      <sheetName val="M-DSCF-5D"/>
      <sheetName val="M-DDU-5D"/>
      <sheetName val="IR-NONE-MNDC"/>
      <sheetName val="IR-NONE-NDC"/>
      <sheetName val="IR-DNDC-NDC"/>
      <sheetName val="IR-DNDC-SCF"/>
      <sheetName val="IR-DNDC-5D"/>
      <sheetName val="IR-DSCF-SCF"/>
      <sheetName val="IR-DSCF-5D"/>
      <sheetName val="IR -DDU-5D"/>
      <sheetName val="IO-NONE-MNDC"/>
      <sheetName val="IO-NONE-NDC"/>
      <sheetName val="IO-DNDC-NDC"/>
      <sheetName val="IO-DNDC-SCF"/>
      <sheetName val="IO-DNDC-5D"/>
      <sheetName val="IO-DSCF-SCF"/>
      <sheetName val="IO-DSCF-5D"/>
      <sheetName val="IO-DDU-5D"/>
      <sheetName val="MO-NONE-MNDC"/>
      <sheetName val="MO-NONE-NDC"/>
      <sheetName val="MO-DNDC-NDC"/>
      <sheetName val="MO-DNDC-SCF"/>
      <sheetName val="MO-DNDC-5D"/>
      <sheetName val="MO-DSCF-SCF"/>
      <sheetName val="MO-DSCF-5D"/>
      <sheetName val="MO-DDU-5D"/>
      <sheetName val="M&gt;6-NONE-MNDC"/>
      <sheetName val="M&gt;6-NONE-NDC"/>
      <sheetName val="M&gt;6-DNDC-NDC"/>
      <sheetName val="M&gt;6-DNDC-SCF"/>
      <sheetName val="M&gt;6-DNDC-5D"/>
      <sheetName val="M&gt;6-DSCF-SCF"/>
      <sheetName val="M&gt;6-DSCF-5D"/>
      <sheetName val="M&gt;6-DDU-5D"/>
      <sheetName val="BC Savings"/>
      <sheetName val="Mail Entry Profile"/>
    </sheetNames>
    <sheetDataSet>
      <sheetData sheetId="0">
        <row r="9">
          <cell r="D9">
            <v>5.4553043833185065E-2</v>
          </cell>
          <cell r="I9">
            <v>0.30656361210520877</v>
          </cell>
        </row>
        <row r="10">
          <cell r="D10">
            <v>1.3614012887508967E-2</v>
          </cell>
          <cell r="I10">
            <v>0.19211897267346295</v>
          </cell>
        </row>
        <row r="11">
          <cell r="D11">
            <v>5.4318202775435746E-2</v>
          </cell>
          <cell r="I11">
            <v>0.3753713942191706</v>
          </cell>
        </row>
        <row r="12">
          <cell r="D12">
            <v>5.5190887604037744E-4</v>
          </cell>
          <cell r="I12">
            <v>0.12594602100215768</v>
          </cell>
        </row>
        <row r="13">
          <cell r="D13">
            <v>1.2626867336001284E-2</v>
          </cell>
        </row>
        <row r="14">
          <cell r="D14">
            <v>1.5819883677168221E-4</v>
          </cell>
        </row>
        <row r="15">
          <cell r="I15">
            <v>0.24918608686577054</v>
          </cell>
        </row>
        <row r="16">
          <cell r="I16">
            <v>0.1708215045339313</v>
          </cell>
        </row>
        <row r="17">
          <cell r="D17">
            <v>9.7032223776163787E-2</v>
          </cell>
          <cell r="I17">
            <v>0.26815547215182228</v>
          </cell>
        </row>
        <row r="18">
          <cell r="D18">
            <v>1.1492334616318007E-2</v>
          </cell>
          <cell r="I18">
            <v>0.31183693644847588</v>
          </cell>
        </row>
        <row r="19">
          <cell r="D19">
            <v>2.2045751764803855E-2</v>
          </cell>
        </row>
        <row r="20">
          <cell r="D20">
            <v>1.1738411767670287E-2</v>
          </cell>
        </row>
        <row r="21">
          <cell r="D21">
            <v>3.0601266376997344E-3</v>
          </cell>
        </row>
        <row r="22">
          <cell r="D22">
            <v>4.728161591020132E-3</v>
          </cell>
        </row>
        <row r="23">
          <cell r="D23">
            <v>3.3933226062518966E-3</v>
          </cell>
        </row>
        <row r="24">
          <cell r="D24">
            <v>2.4875773034304619E-4</v>
          </cell>
        </row>
        <row r="27">
          <cell r="D27">
            <v>9.7600819256421681E-2</v>
          </cell>
        </row>
        <row r="28">
          <cell r="D28">
            <v>3.2271177735611278E-2</v>
          </cell>
        </row>
        <row r="29">
          <cell r="D29">
            <v>3.7080024754253454E-2</v>
          </cell>
        </row>
        <row r="30">
          <cell r="D30">
            <v>4.7952922242122047E-2</v>
          </cell>
        </row>
        <row r="31">
          <cell r="D31">
            <v>1.5371623855437447E-2</v>
          </cell>
        </row>
        <row r="32">
          <cell r="D32">
            <v>0.20373597655100981</v>
          </cell>
        </row>
        <row r="33">
          <cell r="D33">
            <v>0.15088706613488745</v>
          </cell>
        </row>
        <row r="34">
          <cell r="D34">
            <v>0.12553906443504295</v>
          </cell>
        </row>
      </sheetData>
      <sheetData sheetId="1">
        <row r="7">
          <cell r="D7">
            <v>2.3522075862682272</v>
          </cell>
        </row>
      </sheetData>
      <sheetData sheetId="2">
        <row r="77">
          <cell r="F77">
            <v>124.18517433280861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P Summary"/>
      <sheetName val="MP Cost Adjustments"/>
      <sheetName val="Cost Pool Data"/>
      <sheetName val="Std Vol Data"/>
      <sheetName val="Productivity Data"/>
      <sheetName val="Wage Data"/>
      <sheetName val="Mailer Arrival Profile"/>
      <sheetName val="Postal Arrival-Dispatch Profile"/>
      <sheetName val="Other Inputs"/>
      <sheetName val="Conversion Factors"/>
      <sheetName val="M-NONE-MNDC"/>
      <sheetName val="M-NONE-NDC"/>
      <sheetName val="M-DNDC-NDC"/>
      <sheetName val="M-DNDC-5D"/>
      <sheetName val="M-DSCF-5D"/>
      <sheetName val="M-DDU-5D"/>
      <sheetName val="IR-NONE-MNDC"/>
      <sheetName val="IR-NONE-NDC"/>
      <sheetName val="IR-DNDC-NDC"/>
      <sheetName val="IR-DNDC-SCF"/>
      <sheetName val="IR-DNDC-5D"/>
      <sheetName val="IR-DSCF-SCF"/>
      <sheetName val="IR-DSCF-5D"/>
      <sheetName val="IR -DDU-5D"/>
      <sheetName val="IO-NONE-MNDC"/>
      <sheetName val="IO-NONE-NDC"/>
      <sheetName val="IO-DNDC-NDC"/>
      <sheetName val="IO-DNDC-SCF"/>
      <sheetName val="IO-DNDC-5D"/>
      <sheetName val="IO-DSCF-SCF"/>
      <sheetName val="IO-DSCF-5D"/>
      <sheetName val="IO-DDU-5D"/>
      <sheetName val="MO-NONE-MNDC"/>
      <sheetName val="MO-NONE-NDC"/>
      <sheetName val="MO-DNDC-NDC"/>
      <sheetName val="MO-DNDC-SCF"/>
      <sheetName val="MO-DNDC-5D"/>
      <sheetName val="MO-DSCF-SCF"/>
      <sheetName val="MO-DSCF-5D"/>
      <sheetName val="MO-DDU-5D"/>
      <sheetName val="M&gt;6-NONE-MNDC"/>
      <sheetName val="M&gt;6-NONE-NDC"/>
      <sheetName val="M&gt;6-DNDC-NDC"/>
      <sheetName val="M&gt;6-DNDC-SCF"/>
      <sheetName val="M&gt;6-DNDC-5D"/>
      <sheetName val="M&gt;6-DSCF-SCF"/>
      <sheetName val="M&gt;6-DSCF-5D"/>
      <sheetName val="M&gt;6-DDU-5D"/>
      <sheetName val="BC Savings"/>
      <sheetName val="Mail Entry Profile"/>
    </sheetNames>
    <sheetDataSet>
      <sheetData sheetId="0">
        <row r="9">
          <cell r="D9">
            <v>5.6685986555013633E-2</v>
          </cell>
          <cell r="I9">
            <v>0.28799236206888479</v>
          </cell>
        </row>
        <row r="10">
          <cell r="D10">
            <v>1.4244288123184679E-2</v>
          </cell>
          <cell r="I10">
            <v>0.22782285696966142</v>
          </cell>
        </row>
        <row r="11">
          <cell r="D11">
            <v>7.6204626374419784E-2</v>
          </cell>
          <cell r="I11">
            <v>0.32715846834297357</v>
          </cell>
        </row>
        <row r="12">
          <cell r="D12">
            <v>2.5412951216645347E-4</v>
          </cell>
          <cell r="I12">
            <v>0.15702631261848021</v>
          </cell>
        </row>
        <row r="13">
          <cell r="D13">
            <v>1.1292906378668005E-2</v>
          </cell>
        </row>
        <row r="14">
          <cell r="D14">
            <v>2.5817074556074206E-3</v>
          </cell>
        </row>
        <row r="15">
          <cell r="I15">
            <v>0.23236796317155012</v>
          </cell>
        </row>
        <row r="16">
          <cell r="I16">
            <v>0.18081532869396455</v>
          </cell>
        </row>
        <row r="17">
          <cell r="D17">
            <v>8.3617332652894769E-2</v>
          </cell>
          <cell r="I17">
            <v>0.19538321118869678</v>
          </cell>
        </row>
        <row r="18">
          <cell r="D18">
            <v>1.3323724725966182E-2</v>
          </cell>
          <cell r="I18">
            <v>0.39143349694578861</v>
          </cell>
        </row>
        <row r="19">
          <cell r="D19">
            <v>1.8235498933385441E-2</v>
          </cell>
        </row>
        <row r="20">
          <cell r="D20">
            <v>1.2635088698912588E-2</v>
          </cell>
        </row>
        <row r="21">
          <cell r="D21">
            <v>4.5599404854457688E-3</v>
          </cell>
        </row>
        <row r="22">
          <cell r="D22">
            <v>3.8223168243199453E-3</v>
          </cell>
        </row>
        <row r="23">
          <cell r="D23">
            <v>4.0546384611574631E-3</v>
          </cell>
        </row>
        <row r="24">
          <cell r="D24">
            <v>1.9967142801171072E-4</v>
          </cell>
        </row>
        <row r="27">
          <cell r="D27">
            <v>9.206464396364171E-2</v>
          </cell>
        </row>
        <row r="28">
          <cell r="D28">
            <v>2.8056386048183824E-2</v>
          </cell>
        </row>
        <row r="29">
          <cell r="D29">
            <v>3.0750804488824633E-2</v>
          </cell>
        </row>
        <row r="30">
          <cell r="D30">
            <v>5.8090635501200416E-2</v>
          </cell>
        </row>
        <row r="31">
          <cell r="D31">
            <v>2.7092132975306341E-2</v>
          </cell>
        </row>
        <row r="32">
          <cell r="D32">
            <v>0.12083517016426382</v>
          </cell>
        </row>
        <row r="33">
          <cell r="D33">
            <v>0.18715343651456434</v>
          </cell>
        </row>
        <row r="34">
          <cell r="D34">
            <v>0.15424493373486109</v>
          </cell>
        </row>
      </sheetData>
      <sheetData sheetId="1">
        <row r="7">
          <cell r="D7">
            <v>2.12946300636888</v>
          </cell>
        </row>
      </sheetData>
      <sheetData sheetId="2">
        <row r="77">
          <cell r="F77">
            <v>112.81294210284169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P Summary"/>
      <sheetName val="MP Cost Adjustments"/>
      <sheetName val="Cost Pool Data"/>
      <sheetName val="Vol Data"/>
      <sheetName val="Productivity Data"/>
      <sheetName val="Wage Data"/>
      <sheetName val="Mailer Arrival Profile"/>
      <sheetName val="Postal Arrival-Dispatch Profile"/>
      <sheetName val="Other Inputs"/>
      <sheetName val="Conversion Factors"/>
      <sheetName val="M-NONE-MNDC"/>
      <sheetName val="M-NONE-NDC"/>
      <sheetName val="M-DNDC-NDC"/>
      <sheetName val="M-DNDC-5D"/>
      <sheetName val="M-DSCF-5D"/>
      <sheetName val="M-DDU-5D"/>
      <sheetName val="IR-NONE-MNDC"/>
      <sheetName val="IR-NONE-NDC"/>
      <sheetName val="IR-DNDC-NDC"/>
      <sheetName val="IR-DNDC-SCF"/>
      <sheetName val="IR-DNDC-5D"/>
      <sheetName val="IR-DSCF-SCF"/>
      <sheetName val="IR-DSCF-5D"/>
      <sheetName val="IR -DDU-5D"/>
      <sheetName val="IO-NONE-MNDC"/>
      <sheetName val="IO-NONE-NDC"/>
      <sheetName val="IO-DSCF-5D"/>
      <sheetName val="IO-DNDC-NDC"/>
      <sheetName val="IO-DNDC-SCF"/>
      <sheetName val="IO-DNDC-5D"/>
      <sheetName val="IO-DSCF-SCF"/>
      <sheetName val="IO-DDU-5D"/>
      <sheetName val="MO-NONE-MNDC"/>
      <sheetName val="MO-NONE-NDC"/>
      <sheetName val="MO-DNDC-NDC"/>
      <sheetName val="MO-DNDC-SCF"/>
      <sheetName val="MO-DNDC-5D"/>
      <sheetName val="MO-DSCF-SCF"/>
      <sheetName val="MO-DSCF-5D"/>
      <sheetName val="MO-DDU-5D"/>
      <sheetName val="M&gt;6-NONE-MNDC"/>
      <sheetName val="M&gt;6-NONE-NDC"/>
      <sheetName val="M&gt;6-DNDC-NDC"/>
      <sheetName val="M&gt;6-DNDC-SCF"/>
      <sheetName val="M&gt;6-DNDC-5D"/>
      <sheetName val="M&gt;6-DSCF-SCF"/>
      <sheetName val="M&gt;6-DSCF-5D"/>
      <sheetName val="M&gt;6-DDU-5D"/>
      <sheetName val="BC Savings"/>
      <sheetName val="Mail Entry Profile"/>
    </sheetNames>
    <sheetDataSet>
      <sheetData sheetId="0">
        <row r="9">
          <cell r="D9">
            <v>6.1488724975675792E-2</v>
          </cell>
          <cell r="I9">
            <v>0.35479901275733422</v>
          </cell>
        </row>
        <row r="10">
          <cell r="D10">
            <v>1.6818358010503832E-2</v>
          </cell>
          <cell r="I10">
            <v>0.23086443878185506</v>
          </cell>
        </row>
        <row r="11">
          <cell r="D11">
            <v>0.10250436389853089</v>
          </cell>
          <cell r="I11">
            <v>0.30624084171502286</v>
          </cell>
        </row>
        <row r="12">
          <cell r="D12">
            <v>4.5469451815613536E-4</v>
          </cell>
          <cell r="I12">
            <v>0.10809570674578785</v>
          </cell>
        </row>
        <row r="13">
          <cell r="D13">
            <v>9.8455865497234507E-3</v>
          </cell>
        </row>
        <row r="14">
          <cell r="D14">
            <v>8.6553864907733379E-3</v>
          </cell>
        </row>
        <row r="15">
          <cell r="I15">
            <v>0.25401270437551771</v>
          </cell>
        </row>
        <row r="16">
          <cell r="I16">
            <v>0.24325175470092225</v>
          </cell>
        </row>
        <row r="17">
          <cell r="D17">
            <v>9.8251014866331796E-2</v>
          </cell>
          <cell r="I17">
            <v>0.168031370718256</v>
          </cell>
        </row>
        <row r="18">
          <cell r="D18">
            <v>2.0239259649386804E-2</v>
          </cell>
          <cell r="I18">
            <v>0.33470417020530402</v>
          </cell>
        </row>
        <row r="19">
          <cell r="D19">
            <v>1.1507537582572655E-2</v>
          </cell>
        </row>
        <row r="20">
          <cell r="D20">
            <v>1.7919725970000782E-2</v>
          </cell>
        </row>
        <row r="21">
          <cell r="D21">
            <v>5.2942545978187303E-3</v>
          </cell>
        </row>
        <row r="22">
          <cell r="D22">
            <v>4.7698335194680391E-3</v>
          </cell>
        </row>
        <row r="23">
          <cell r="D23">
            <v>4.565415793533421E-3</v>
          </cell>
        </row>
        <row r="24">
          <cell r="D24">
            <v>2.0309015069912566E-4</v>
          </cell>
        </row>
        <row r="27">
          <cell r="D27">
            <v>9.4272964533510126E-2</v>
          </cell>
        </row>
        <row r="28">
          <cell r="D28">
            <v>6.3728690721925885E-2</v>
          </cell>
        </row>
        <row r="29">
          <cell r="D29">
            <v>2.84535448380022E-2</v>
          </cell>
        </row>
        <row r="30">
          <cell r="D30">
            <v>4.5187140055752965E-2</v>
          </cell>
        </row>
        <row r="31">
          <cell r="D31">
            <v>1.9543177321020708E-2</v>
          </cell>
        </row>
        <row r="32">
          <cell r="D32">
            <v>0.10015467117303423</v>
          </cell>
        </row>
        <row r="33">
          <cell r="D33">
            <v>0.18690533467926373</v>
          </cell>
        </row>
        <row r="34">
          <cell r="D34">
            <v>9.9237230104315385E-2</v>
          </cell>
        </row>
      </sheetData>
      <sheetData sheetId="1">
        <row r="7">
          <cell r="D7">
            <v>2.500513377039332</v>
          </cell>
        </row>
      </sheetData>
      <sheetData sheetId="2">
        <row r="63">
          <cell r="F63">
            <v>137.68074203421307</v>
          </cell>
        </row>
      </sheetData>
      <sheetData sheetId="3"/>
      <sheetData sheetId="4">
        <row r="12">
          <cell r="H12">
            <v>90.453351548855153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>
        <row r="11">
          <cell r="B11">
            <v>960.03986191164233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P Summary"/>
      <sheetName val="MP Cost Adjustments"/>
      <sheetName val="Cost Pool Data"/>
      <sheetName val="Vol Data"/>
      <sheetName val="Productivity Data"/>
      <sheetName val="Wage Data"/>
      <sheetName val="Mailer Arrival Profile"/>
      <sheetName val="Postal Arrival-Dispatch Profile"/>
      <sheetName val="Other Inputs"/>
      <sheetName val="Conversion Factors"/>
      <sheetName val="M-NONE-MNDC"/>
      <sheetName val="M-NONE-NDC"/>
      <sheetName val="M-DNDC-NDC"/>
      <sheetName val="M-DNDC-5D"/>
      <sheetName val="M-DSCF-5D"/>
      <sheetName val="M-DDU-5D"/>
      <sheetName val="IR-NONE-MNDC"/>
      <sheetName val="IR-NONE-NDC"/>
      <sheetName val="IR-DNDC-NDC"/>
      <sheetName val="IR-DNDC-SCF"/>
      <sheetName val="IR-DNDC-5D"/>
      <sheetName val="IR-DSCF-SCF"/>
      <sheetName val="IR-DSCF-5D"/>
      <sheetName val="IR -DDU-5D"/>
      <sheetName val="IO-NONE-MNDC"/>
      <sheetName val="IO-NONE-NDC"/>
      <sheetName val="IO-DNDC-NDC"/>
      <sheetName val="IO-DNDC-SCF"/>
      <sheetName val="IO-DNDC-5D"/>
      <sheetName val="IO-DSCF-SCF"/>
      <sheetName val="IO-DSCF-5D"/>
      <sheetName val="IO-DDU-5D"/>
      <sheetName val="MO-NONE-MNDC"/>
      <sheetName val="MO-NONE-NDC"/>
      <sheetName val="MO-DNDC-NDC"/>
      <sheetName val="MO-DNDC-SCF"/>
      <sheetName val="MO-DNDC-5D"/>
      <sheetName val="MO-DSCF-SCF"/>
      <sheetName val="MO-DSCF-5D"/>
      <sheetName val="MO-DDU-5D"/>
      <sheetName val="M&gt;6-NONE-MNDC"/>
      <sheetName val="M&gt;6-NONE-NDC"/>
      <sheetName val="M&gt;6-DNDC-NDC"/>
      <sheetName val="M&gt;6-DNDC-SCF"/>
      <sheetName val="M&gt;6-DNDC-5D"/>
      <sheetName val="M&gt;6-DSCF-SCF"/>
      <sheetName val="M&gt;6-DSCF-5D"/>
      <sheetName val="M&gt;6-DDU-5D"/>
      <sheetName val="BC Savings"/>
      <sheetName val="Mail Entry Profile"/>
    </sheetNames>
    <sheetDataSet>
      <sheetData sheetId="0">
        <row r="9">
          <cell r="D9">
            <v>4.9840839004077382E-2</v>
          </cell>
          <cell r="I9">
            <v>0.40556063252911212</v>
          </cell>
        </row>
        <row r="10">
          <cell r="D10">
            <v>1.4223109919428493E-2</v>
          </cell>
          <cell r="I10">
            <v>0.20361308401103831</v>
          </cell>
        </row>
        <row r="11">
          <cell r="D11">
            <v>0.10540785490129544</v>
          </cell>
          <cell r="I11">
            <v>0.25308584167868964</v>
          </cell>
        </row>
        <row r="12">
          <cell r="D12">
            <v>1.8908659455260239E-4</v>
          </cell>
          <cell r="I12">
            <v>0.13774044178115991</v>
          </cell>
        </row>
        <row r="13">
          <cell r="D13">
            <v>8.3119699844428126E-3</v>
          </cell>
        </row>
        <row r="14">
          <cell r="D14">
            <v>1.0525720958428676E-2</v>
          </cell>
        </row>
        <row r="15">
          <cell r="I15">
            <v>0.26498269816966891</v>
          </cell>
        </row>
        <row r="16">
          <cell r="I16">
            <v>0.28661585943329687</v>
          </cell>
        </row>
        <row r="17">
          <cell r="D17">
            <v>9.8840988699892121E-2</v>
          </cell>
          <cell r="I17">
            <v>0.10662492690867183</v>
          </cell>
        </row>
        <row r="18">
          <cell r="D18">
            <v>1.3278463677116274E-2</v>
          </cell>
          <cell r="I18">
            <v>0.34177651548836241</v>
          </cell>
        </row>
        <row r="19">
          <cell r="D19">
            <v>4.159796565612316E-3</v>
          </cell>
        </row>
        <row r="20">
          <cell r="D20">
            <v>1.0107071844061994E-2</v>
          </cell>
        </row>
        <row r="21">
          <cell r="D21">
            <v>3.620452148639534E-3</v>
          </cell>
        </row>
        <row r="22">
          <cell r="D22">
            <v>3.1194947519381918E-3</v>
          </cell>
        </row>
        <row r="23">
          <cell r="D23">
            <v>2.1188550044385162E-3</v>
          </cell>
        </row>
        <row r="24">
          <cell r="D24">
            <v>2.2663262710078056E-4</v>
          </cell>
        </row>
        <row r="27">
          <cell r="D27">
            <v>0.1163008704656994</v>
          </cell>
        </row>
        <row r="28">
          <cell r="D28">
            <v>0.11307636076289848</v>
          </cell>
        </row>
        <row r="29">
          <cell r="D29">
            <v>3.6470273606945887E-2</v>
          </cell>
        </row>
        <row r="30">
          <cell r="D30">
            <v>3.8681474489125733E-2</v>
          </cell>
        </row>
        <row r="31">
          <cell r="D31">
            <v>4.9770738608048122E-3</v>
          </cell>
        </row>
        <row r="32">
          <cell r="D32">
            <v>5.4716885823545912E-2</v>
          </cell>
        </row>
        <row r="33">
          <cell r="D33">
            <v>0.1848186361143242</v>
          </cell>
        </row>
        <row r="34">
          <cell r="D34">
            <v>0.12698808819563046</v>
          </cell>
        </row>
      </sheetData>
      <sheetData sheetId="1">
        <row r="7">
          <cell r="D7">
            <v>2.7532281356653203</v>
          </cell>
        </row>
      </sheetData>
      <sheetData sheetId="2">
        <row r="63">
          <cell r="F63">
            <v>151.82103421558156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P Summary"/>
      <sheetName val="MP Cost Adjustments"/>
      <sheetName val="Cost Pool Data"/>
      <sheetName val="Vol Data"/>
      <sheetName val="Productivity Data"/>
      <sheetName val="Wage Data"/>
      <sheetName val="Mailer Arrival Profile"/>
      <sheetName val="Postal Arrival-Dispatch Profile"/>
      <sheetName val="Other Inputs"/>
      <sheetName val="Conversion Factors"/>
      <sheetName val="M-NONE-MNDC"/>
      <sheetName val="M-NONE-NDC"/>
      <sheetName val="M-DNDC-NDC"/>
      <sheetName val="M-DNDC-5D"/>
      <sheetName val="M-DSCF-5D"/>
      <sheetName val="M-DDU-5D"/>
      <sheetName val="IR-NONE-MNDC"/>
      <sheetName val="IR-NONE-NDC"/>
      <sheetName val="IR-DNDC-NDC"/>
      <sheetName val="IR-DNDC-SCF"/>
      <sheetName val="IR-DNDC-5D"/>
      <sheetName val="IR-DSCF-SCF"/>
      <sheetName val="IR-DSCF-5D"/>
      <sheetName val="IR -DDU-5D"/>
      <sheetName val="IO-NONE-MNDC"/>
      <sheetName val="IO-NONE-NDC"/>
      <sheetName val="IO-DNDC-NDC"/>
      <sheetName val="IO-DNDC-SCF"/>
      <sheetName val="IO-DNDC-5D"/>
      <sheetName val="IO-DSCF-SCF"/>
      <sheetName val="IO-DSCF-5D"/>
      <sheetName val="IO-DDU-5D"/>
      <sheetName val="MO-NONE-MNDC"/>
      <sheetName val="MO-NONE-NDC"/>
      <sheetName val="MO-DNDC-NDC"/>
      <sheetName val="MO-DNDC-SCF"/>
      <sheetName val="MO-DNDC-5D"/>
      <sheetName val="MO-DSCF-SCF"/>
      <sheetName val="MO-DSCF-5D"/>
      <sheetName val="MO-DDU-5D"/>
      <sheetName val="M&gt;6-NONE-MNDC"/>
      <sheetName val="M&gt;6-NONE-NDC"/>
      <sheetName val="M&gt;6-DNDC-NDC"/>
      <sheetName val="M&gt;6-DNDC-SCF"/>
      <sheetName val="M&gt;6-DNDC-5D"/>
      <sheetName val="M&gt;6-DSCF-SCF"/>
      <sheetName val="M&gt;6-DSCF-5D"/>
      <sheetName val="M&gt;6-DDU-5D"/>
      <sheetName val="BC Savings"/>
      <sheetName val="Mail Entry Profile"/>
    </sheetNames>
    <sheetDataSet>
      <sheetData sheetId="0">
        <row r="9">
          <cell r="D9">
            <v>5.5214861113532167E-2</v>
          </cell>
          <cell r="I9">
            <v>0.40129628641030557</v>
          </cell>
        </row>
        <row r="10">
          <cell r="D10">
            <v>1.4549332586678752E-2</v>
          </cell>
          <cell r="I10">
            <v>0.18787058544110727</v>
          </cell>
        </row>
        <row r="11">
          <cell r="D11">
            <v>0.12619948642076456</v>
          </cell>
          <cell r="I11">
            <v>0.26129558369794481</v>
          </cell>
        </row>
        <row r="12">
          <cell r="D12">
            <v>1.066052782958844E-4</v>
          </cell>
          <cell r="I12">
            <v>0.14953754445064235</v>
          </cell>
        </row>
        <row r="13">
          <cell r="D13">
            <v>1.3754477748531386E-2</v>
          </cell>
        </row>
        <row r="14">
          <cell r="D14">
            <v>6.7892364076908331E-3</v>
          </cell>
        </row>
        <row r="15">
          <cell r="I15">
            <v>0.27654604890442241</v>
          </cell>
        </row>
        <row r="16">
          <cell r="I16">
            <v>0.27354413251520909</v>
          </cell>
        </row>
        <row r="17">
          <cell r="D17">
            <v>0.10518707946206007</v>
          </cell>
          <cell r="I17">
            <v>0.10549834290620043</v>
          </cell>
        </row>
        <row r="18">
          <cell r="D18">
            <v>1.4602553515087071E-2</v>
          </cell>
          <cell r="I18">
            <v>0.34441147567416808</v>
          </cell>
        </row>
        <row r="19">
          <cell r="D19">
            <v>7.9228639723185803E-3</v>
          </cell>
        </row>
        <row r="20">
          <cell r="D20">
            <v>9.4500921697142949E-3</v>
          </cell>
        </row>
        <row r="21">
          <cell r="D21">
            <v>2.9145131347290253E-3</v>
          </cell>
        </row>
        <row r="22">
          <cell r="D22">
            <v>4.0204952324507121E-3</v>
          </cell>
        </row>
        <row r="23">
          <cell r="D23">
            <v>4.6611074311015046E-3</v>
          </cell>
        </row>
        <row r="24">
          <cell r="D24">
            <v>2.1259772604459008E-3</v>
          </cell>
        </row>
        <row r="27">
          <cell r="D27">
            <v>0.11614410832883017</v>
          </cell>
        </row>
        <row r="28">
          <cell r="D28">
            <v>9.5598351404117349E-2</v>
          </cell>
        </row>
        <row r="29">
          <cell r="D29">
            <v>1.4671544616242788E-2</v>
          </cell>
        </row>
        <row r="30">
          <cell r="D30">
            <v>2.2131598959332019E-2</v>
          </cell>
        </row>
        <row r="31">
          <cell r="D31">
            <v>4.4738808897101124E-3</v>
          </cell>
        </row>
        <row r="32">
          <cell r="D32">
            <v>6.9896156544703394E-2</v>
          </cell>
        </row>
        <row r="33">
          <cell r="D33">
            <v>0.16896334674115782</v>
          </cell>
        </row>
        <row r="34">
          <cell r="D34">
            <v>0.14062233078250563</v>
          </cell>
        </row>
      </sheetData>
      <sheetData sheetId="1">
        <row r="7">
          <cell r="D7">
            <v>1.7184008396918296</v>
          </cell>
        </row>
      </sheetData>
      <sheetData sheetId="2">
        <row r="63">
          <cell r="F63">
            <v>114.94665112197572</v>
          </cell>
        </row>
      </sheetData>
      <sheetData sheetId="3"/>
      <sheetData sheetId="4">
        <row r="12">
          <cell r="H12">
            <v>88.392010497115493</v>
          </cell>
        </row>
      </sheetData>
      <sheetData sheetId="5">
        <row r="7">
          <cell r="B7">
            <v>42.655049279196582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>
        <row r="11">
          <cell r="B11">
            <v>1035.0384251951889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P Summary"/>
      <sheetName val="MP Cost Adjustments"/>
      <sheetName val="Cost Pool Data"/>
      <sheetName val="Vol Data"/>
      <sheetName val="Productivity Data"/>
      <sheetName val="Wage Data"/>
      <sheetName val="Mailer Arrival Profile"/>
      <sheetName val="Postal Arrival-Dispatch Profile"/>
      <sheetName val="Other Inputs"/>
      <sheetName val="Conversion Factors"/>
      <sheetName val="M-NONE-MNDC"/>
      <sheetName val="M-NONE-NDC"/>
      <sheetName val="M-DNDC-NDC"/>
      <sheetName val="M-DNDC-5D"/>
      <sheetName val="M-DSCF-5D"/>
      <sheetName val="M-DDU-5D"/>
      <sheetName val="IR-NONE-MNDC"/>
      <sheetName val="IR-NONE-NDC"/>
      <sheetName val="IR-DNDC-NDC"/>
      <sheetName val="IR-DNDC-SCF"/>
      <sheetName val="IR-DNDC-5D"/>
      <sheetName val="IR-DSCF-SCF"/>
      <sheetName val="IR-DSCF-5D"/>
      <sheetName val="IR -DDU-5D"/>
      <sheetName val="IO-NONE-MNDC"/>
      <sheetName val="IO-NONE-NDC"/>
      <sheetName val="IO-DNDC-NDC"/>
      <sheetName val="IO-DNDC-SCF"/>
      <sheetName val="IO-DNDC-5D"/>
      <sheetName val="IO-DSCF-SCF"/>
      <sheetName val="IO-DSCF-5D"/>
      <sheetName val="IO-DDU-5D"/>
      <sheetName val="MO-NONE-MNDC"/>
      <sheetName val="MO-NONE-NDC"/>
      <sheetName val="MO-DNDC-NDC"/>
      <sheetName val="MO-DNDC-SCF"/>
      <sheetName val="MO-DNDC-5D"/>
      <sheetName val="MO-DSCF-SCF"/>
      <sheetName val="MO-DSCF-5D"/>
      <sheetName val="MO-DDU-5D"/>
      <sheetName val="M&gt;6-NONE-MNDC"/>
      <sheetName val="M&gt;6-NONE-NDC"/>
      <sheetName val="M&gt;6-DNDC-NDC"/>
      <sheetName val="M&gt;6-DNDC-SCF"/>
      <sheetName val="M&gt;6-DNDC-5D"/>
      <sheetName val="M&gt;6-DSCF-SCF"/>
      <sheetName val="M&gt;6-DSCF-5D"/>
      <sheetName val="M&gt;6-DDU-5D"/>
      <sheetName val="BC Savings"/>
      <sheetName val="Mail Entry Profile"/>
    </sheetNames>
    <sheetDataSet>
      <sheetData sheetId="0">
        <row r="9">
          <cell r="E9">
            <v>1.9798743508615071</v>
          </cell>
          <cell r="P9">
            <v>0.39086773196355939</v>
          </cell>
        </row>
        <row r="10">
          <cell r="P10">
            <v>0.17439960216693112</v>
          </cell>
        </row>
        <row r="11">
          <cell r="P11">
            <v>0.28927367991032743</v>
          </cell>
        </row>
        <row r="12">
          <cell r="P12">
            <v>0.14545898595918208</v>
          </cell>
        </row>
        <row r="15">
          <cell r="P15">
            <v>0.29495500562662641</v>
          </cell>
        </row>
        <row r="16">
          <cell r="P16">
            <v>0.2319478896112637</v>
          </cell>
        </row>
        <row r="17">
          <cell r="P17">
            <v>0.13995597825779324</v>
          </cell>
        </row>
        <row r="18">
          <cell r="P18">
            <v>0.33314112650431665</v>
          </cell>
        </row>
        <row r="22">
          <cell r="P22">
            <v>0.19831926020941731</v>
          </cell>
        </row>
        <row r="23">
          <cell r="P23">
            <v>0.15412880894859329</v>
          </cell>
        </row>
        <row r="24">
          <cell r="P24">
            <v>0.64755193084198936</v>
          </cell>
        </row>
      </sheetData>
      <sheetData sheetId="1">
        <row r="7">
          <cell r="D7">
            <v>2.2645774974394626</v>
          </cell>
        </row>
      </sheetData>
      <sheetData sheetId="2">
        <row r="63">
          <cell r="F63">
            <v>144.88565702421641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P Summary"/>
      <sheetName val="MP Cost Adjustments"/>
      <sheetName val="Cost Pool Data"/>
      <sheetName val="Vol Data"/>
      <sheetName val="Productivity Data"/>
      <sheetName val="Wage Data"/>
      <sheetName val="Mailer Arrival Profile"/>
      <sheetName val="Postal Arrival-Dispatch Profile"/>
      <sheetName val="Other Inputs"/>
      <sheetName val="Conversion Factors"/>
      <sheetName val="M-NONE-MNDC"/>
      <sheetName val="M-NONE-NDC"/>
      <sheetName val="M-DNDC-NDC"/>
      <sheetName val="M-DNDC-5D"/>
      <sheetName val="M-DSCF-5D"/>
      <sheetName val="M-DDU-5D"/>
      <sheetName val="IR-NONE-MNDC"/>
      <sheetName val="IR-NONE-NDC"/>
      <sheetName val="IR-DNDC-NDC"/>
      <sheetName val="IR-DNDC-SCF"/>
      <sheetName val="IR-DNDC-5D"/>
      <sheetName val="IR-DSCF-SCF"/>
      <sheetName val="IR-DSCF-5D"/>
      <sheetName val="IR -DDU-5D"/>
      <sheetName val="IO-NONE-MNDC"/>
      <sheetName val="IO-NONE-NDC"/>
      <sheetName val="IO-DNDC-NDC"/>
      <sheetName val="IO-DNDC-SCF"/>
      <sheetName val="IO-DNDC-5D"/>
      <sheetName val="IO-DSCF-SCF"/>
      <sheetName val="IO-DSCF-5D"/>
      <sheetName val="IO-DDU-5D"/>
      <sheetName val="MO-NONE-MNDC"/>
      <sheetName val="MO-NONE-NDC"/>
      <sheetName val="MO-DNDC-NDC"/>
      <sheetName val="MO-DNDC-SCF"/>
      <sheetName val="MO-DNDC-5D"/>
      <sheetName val="MO-DSCF-SCF"/>
      <sheetName val="MO-DSCF-5D"/>
      <sheetName val="MO-DDU-5D"/>
      <sheetName val="M&gt;6-NONE-MNDC"/>
      <sheetName val="M&gt;6-NONE-NDC"/>
      <sheetName val="M&gt;6-DNDC-NDC"/>
      <sheetName val="M&gt;6-DNDC-SCF"/>
      <sheetName val="M&gt;6-DNDC-5D"/>
      <sheetName val="M&gt;6-DSCF-SCF"/>
      <sheetName val="M&gt;6-DSCF-5D"/>
      <sheetName val="M&gt;6-DDU-5D"/>
      <sheetName val="BC Savings"/>
      <sheetName val="Mail Entry Profile"/>
    </sheetNames>
    <sheetDataSet>
      <sheetData sheetId="0">
        <row r="9">
          <cell r="Q9">
            <v>0.37313654571643912</v>
          </cell>
        </row>
        <row r="10">
          <cell r="Q10">
            <v>0.19317385304773427</v>
          </cell>
        </row>
        <row r="11">
          <cell r="Q11">
            <v>0.25193691137860008</v>
          </cell>
        </row>
        <row r="12">
          <cell r="Q12">
            <v>0.18175268985722653</v>
          </cell>
        </row>
        <row r="15">
          <cell r="P15">
            <v>0.29495500562662641</v>
          </cell>
        </row>
        <row r="16">
          <cell r="P16">
            <v>0.2319478896112637</v>
          </cell>
        </row>
        <row r="17">
          <cell r="P17">
            <v>0.13995597825779324</v>
          </cell>
        </row>
        <row r="18">
          <cell r="P18">
            <v>0.33314112650431665</v>
          </cell>
        </row>
        <row r="22">
          <cell r="P22">
            <v>0.19831926020941731</v>
          </cell>
        </row>
        <row r="23">
          <cell r="P23">
            <v>0.15412880894859329</v>
          </cell>
        </row>
        <row r="24">
          <cell r="P24">
            <v>0.64755193084198936</v>
          </cell>
        </row>
      </sheetData>
      <sheetData sheetId="1">
        <row r="7">
          <cell r="D7">
            <v>2.1552932982298727</v>
          </cell>
        </row>
      </sheetData>
      <sheetData sheetId="2">
        <row r="63">
          <cell r="F63">
            <v>145.18395492088314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P Summary"/>
      <sheetName val="MP Cost Adjustments"/>
      <sheetName val="Cost Pool Data"/>
      <sheetName val="Vol Data"/>
      <sheetName val="Productivity Data"/>
      <sheetName val="Wage Data"/>
      <sheetName val="Mailer Arrival Profile"/>
      <sheetName val="Postal Arrival-Dispatch Profile"/>
      <sheetName val="Other Inputs"/>
      <sheetName val="Conversion Factors"/>
      <sheetName val="M-NONE-MNDC"/>
      <sheetName val="M-NONE-NDC"/>
      <sheetName val="M-DNDC-NDC"/>
      <sheetName val="M-DNDC-5D"/>
      <sheetName val="M-DSCF-5D"/>
      <sheetName val="M-DDU-5D"/>
      <sheetName val="IR-NONE-MNDC"/>
      <sheetName val="IR-NONE-NDC"/>
      <sheetName val="IR-DNDC-NDC"/>
      <sheetName val="IR-DNDC-SCF"/>
      <sheetName val="IR-DNDC-5D"/>
      <sheetName val="IR-DSCF-SCF"/>
      <sheetName val="IR-DSCF-5D"/>
      <sheetName val="IR -DDU-5D"/>
      <sheetName val="IO-NONE-MNDC"/>
      <sheetName val="IO-NONE-NDC"/>
      <sheetName val="IO-DNDC-NDC"/>
      <sheetName val="IO-DNDC-SCF"/>
      <sheetName val="IO-DNDC-5D"/>
      <sheetName val="IO-DSCF-SCF"/>
      <sheetName val="IO-DSCF-5D"/>
      <sheetName val="IO-DDU-5D"/>
      <sheetName val="MO-NONE-MNDC"/>
      <sheetName val="MO-NONE-NDC"/>
      <sheetName val="MO-DNDC-NDC"/>
      <sheetName val="MO-DNDC-SCF"/>
      <sheetName val="MO-DNDC-5D"/>
      <sheetName val="MO-DSCF-SCF"/>
      <sheetName val="MO-DSCF-5D"/>
      <sheetName val="MO-DDU-5D"/>
      <sheetName val="M&gt;6-NONE-MNDC"/>
      <sheetName val="M&gt;6-NONE-NDC"/>
      <sheetName val="M&gt;6-DNDC-NDC"/>
      <sheetName val="M&gt;6-DNDC-SCF"/>
      <sheetName val="M&gt;6-DNDC-5D"/>
      <sheetName val="M&gt;6-DSCF-SCF"/>
      <sheetName val="M&gt;6-DSCF-5D"/>
      <sheetName val="M&gt;6-DDU-5D"/>
      <sheetName val="BC Savings"/>
      <sheetName val="Mail Entry Profile"/>
    </sheetNames>
    <sheetDataSet>
      <sheetData sheetId="0">
        <row r="9">
          <cell r="R9">
            <v>0.38815074426937024</v>
          </cell>
        </row>
        <row r="10">
          <cell r="R10">
            <v>0.24338288832539609</v>
          </cell>
        </row>
        <row r="11">
          <cell r="R11">
            <v>0.18580453841273378</v>
          </cell>
        </row>
        <row r="12">
          <cell r="R12">
            <v>0.18266182899249989</v>
          </cell>
        </row>
        <row r="15">
          <cell r="R15">
            <v>0.26865797280012504</v>
          </cell>
        </row>
        <row r="16">
          <cell r="R16">
            <v>0.32586789318046461</v>
          </cell>
        </row>
        <row r="17">
          <cell r="R17">
            <v>7.3261673356405627E-2</v>
          </cell>
        </row>
        <row r="18">
          <cell r="R18">
            <v>0.33221246066300475</v>
          </cell>
        </row>
        <row r="22">
          <cell r="R22">
            <v>0.25642046113273076</v>
          </cell>
        </row>
        <row r="23">
          <cell r="R23">
            <v>0.1623561749411406</v>
          </cell>
        </row>
        <row r="24">
          <cell r="R24">
            <v>0.58122336392612861</v>
          </cell>
        </row>
      </sheetData>
      <sheetData sheetId="1">
        <row r="7">
          <cell r="D7">
            <v>1.6520831287694115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P Summary"/>
      <sheetName val="MP Cost Adjustments"/>
      <sheetName val="Cost Pool Data"/>
      <sheetName val="Vol Data"/>
      <sheetName val="Productivity Data"/>
      <sheetName val="Wage Data"/>
      <sheetName val="Mailer Arrival Profile"/>
      <sheetName val="Postal Arrival-Dispatch Profile"/>
      <sheetName val="Other Inputs"/>
      <sheetName val="Conversion Factors"/>
      <sheetName val="M-NONE-MNDC"/>
      <sheetName val="M-NONE-NDC"/>
      <sheetName val="M-DNDC-NDC"/>
      <sheetName val="M-DNDC-5D"/>
      <sheetName val="M-DSCF-5D"/>
      <sheetName val="M-DDU-5D"/>
      <sheetName val="IR-NONE-MNDC"/>
      <sheetName val="IR-NONE-NDC"/>
      <sheetName val="IR-DNDC-NDC"/>
      <sheetName val="IR-DNDC-SCF"/>
      <sheetName val="IR-DNDC-5D"/>
      <sheetName val="IR-DSCF-SCF"/>
      <sheetName val="IR-DSCF-5D"/>
      <sheetName val="IR -DDU-5D"/>
      <sheetName val="IO-NONE-MNDC"/>
      <sheetName val="IO-NONE-NDC"/>
      <sheetName val="IO-DNDC-NDC"/>
      <sheetName val="IO-DNDC-SCF"/>
      <sheetName val="IO-DNDC-5D"/>
      <sheetName val="IO-DSCF-SCF"/>
      <sheetName val="IO-DSCF-5D"/>
      <sheetName val="IO-DDU-5D"/>
      <sheetName val="MO-NONE-MNDC"/>
      <sheetName val="MO-NONE-NDC"/>
      <sheetName val="MO-DNDC-NDC"/>
      <sheetName val="MO-DNDC-SCF"/>
      <sheetName val="MO-DNDC-5D"/>
      <sheetName val="MO-DSCF-SCF"/>
      <sheetName val="MO-DSCF-5D"/>
      <sheetName val="MO-DDU-5D"/>
      <sheetName val="M&gt;6-NONE-MNDC"/>
      <sheetName val="M&gt;6-NONE-NDC"/>
      <sheetName val="M&gt;6-DNDC-NDC"/>
      <sheetName val="M&gt;6-DNDC-SCF"/>
      <sheetName val="M&gt;6-DNDC-5D"/>
      <sheetName val="M&gt;6-DSCF-SCF"/>
      <sheetName val="M&gt;6-DSCF-5D"/>
      <sheetName val="M&gt;6-DDU-5D"/>
      <sheetName val="BC Savings"/>
      <sheetName val="Mail Entry Profile"/>
    </sheetNames>
    <sheetDataSet>
      <sheetData sheetId="0">
        <row r="9">
          <cell r="T9">
            <v>0.43662907876819201</v>
          </cell>
        </row>
        <row r="10">
          <cell r="T10">
            <v>0.27132453633352527</v>
          </cell>
        </row>
        <row r="11">
          <cell r="T11">
            <v>0.16281448528935424</v>
          </cell>
        </row>
        <row r="12">
          <cell r="T12">
            <v>0.12923189960892845</v>
          </cell>
        </row>
        <row r="15">
          <cell r="T15">
            <v>0.29457256001200499</v>
          </cell>
        </row>
        <row r="16">
          <cell r="T16">
            <v>0.37233788923961864</v>
          </cell>
        </row>
        <row r="17">
          <cell r="T17">
            <v>5.7009280947700414E-2</v>
          </cell>
        </row>
        <row r="18">
          <cell r="T18">
            <v>0.27608026980067596</v>
          </cell>
        </row>
        <row r="22">
          <cell r="T22">
            <v>0.27539304187064551</v>
          </cell>
        </row>
        <row r="23">
          <cell r="T23">
            <v>0.18991485476685385</v>
          </cell>
        </row>
        <row r="24">
          <cell r="T24">
            <v>0.53469210336250061</v>
          </cell>
        </row>
        <row r="27">
          <cell r="T27">
            <v>1.5434505398054155</v>
          </cell>
        </row>
        <row r="32">
          <cell r="T32">
            <v>1.6279591885203555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oc"/>
      <sheetName val="Products"/>
      <sheetName val="PB"/>
      <sheetName val="LTTR VVC"/>
      <sheetName val="LTTR VVC W Premium Pay"/>
      <sheetName val="LTTR Unit Costs W PB &amp; MP RF"/>
      <sheetName val="LTTR Unit Costs  Final Adj."/>
      <sheetName val="FLAT VVC"/>
      <sheetName val="FLAT VVC W Premium Pay"/>
      <sheetName val="FLAT Unit Costs W PB &amp; MP RF"/>
      <sheetName val="FLAT Unit Costs W Final Adj"/>
      <sheetName val="PARCEL VVC"/>
      <sheetName val="PARCEL VVC W Premium Pay"/>
      <sheetName val="PARCEL Unit Costs W PB &amp; MP RF"/>
      <sheetName val="PARCEL Unit Costs W  Final Adj."/>
      <sheetName val="VVC (All Shapes)  W Premium Pay"/>
      <sheetName val="Costs (All Shapes) W PB &amp; MP RF"/>
      <sheetName val="Costs (All Shapes) W Final RF"/>
      <sheetName val="Summary WO Cost Adj."/>
      <sheetName val="ECR Cost Adj."/>
      <sheetName val="Final Adj."/>
      <sheetName val="Final Summary"/>
      <sheetName val="Non-Letter Outside County Per.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6">
          <cell r="F6">
            <v>9.5842081922923761</v>
          </cell>
        </row>
        <row r="7">
          <cell r="F7">
            <v>0.29633707465904707</v>
          </cell>
        </row>
        <row r="8">
          <cell r="F8">
            <v>0</v>
          </cell>
        </row>
        <row r="9">
          <cell r="F9">
            <v>3.5336097909329149</v>
          </cell>
        </row>
        <row r="10">
          <cell r="F10">
            <v>13.343898469722438</v>
          </cell>
        </row>
        <row r="11">
          <cell r="F11">
            <v>1.9283303156660127E-3</v>
          </cell>
        </row>
        <row r="12">
          <cell r="F12">
            <v>0.30732047919646038</v>
          </cell>
        </row>
        <row r="13">
          <cell r="F13">
            <v>7.3209919873959944E-2</v>
          </cell>
        </row>
        <row r="14">
          <cell r="F14">
            <v>4.7377306626543658E-4</v>
          </cell>
        </row>
        <row r="15">
          <cell r="F15">
            <v>0</v>
          </cell>
        </row>
        <row r="16">
          <cell r="F16">
            <v>3.5705299117174478</v>
          </cell>
        </row>
        <row r="17">
          <cell r="F17">
            <v>0</v>
          </cell>
        </row>
        <row r="18">
          <cell r="F18">
            <v>0.16556736471778924</v>
          </cell>
        </row>
        <row r="19">
          <cell r="F19">
            <v>0.21112398392678886</v>
          </cell>
        </row>
        <row r="20">
          <cell r="F20">
            <v>0</v>
          </cell>
        </row>
        <row r="21">
          <cell r="F21">
            <v>1.8926323520668292E-2</v>
          </cell>
        </row>
        <row r="22">
          <cell r="F22">
            <v>0.18282580957222336</v>
          </cell>
        </row>
        <row r="23">
          <cell r="F23">
            <v>0.11753503442720251</v>
          </cell>
        </row>
        <row r="24">
          <cell r="F24">
            <v>15.888002710507511</v>
          </cell>
        </row>
        <row r="25">
          <cell r="F25">
            <v>1.1427104064069309E-2</v>
          </cell>
        </row>
        <row r="26">
          <cell r="F26">
            <v>1.1481221387342347E-2</v>
          </cell>
        </row>
        <row r="27">
          <cell r="F27">
            <v>5.056705335746936E-2</v>
          </cell>
        </row>
        <row r="28">
          <cell r="F28">
            <v>0.24846401395730944</v>
          </cell>
        </row>
        <row r="29">
          <cell r="F29">
            <v>0</v>
          </cell>
        </row>
        <row r="30">
          <cell r="F30">
            <v>9.3944502177294392E-4</v>
          </cell>
        </row>
        <row r="31">
          <cell r="F31">
            <v>4.0357607133699501E-3</v>
          </cell>
        </row>
        <row r="32">
          <cell r="F32">
            <v>1.7455898664041286E-3</v>
          </cell>
        </row>
        <row r="33">
          <cell r="F33">
            <v>0.37797182692627801</v>
          </cell>
        </row>
        <row r="34">
          <cell r="F34">
            <v>0.12316530022017236</v>
          </cell>
        </row>
        <row r="35">
          <cell r="F35">
            <v>0.13783211718259283</v>
          </cell>
        </row>
        <row r="36">
          <cell r="F36">
            <v>0</v>
          </cell>
        </row>
        <row r="37">
          <cell r="F37">
            <v>0</v>
          </cell>
        </row>
        <row r="38">
          <cell r="F38">
            <v>6.0594019687725204E-3</v>
          </cell>
        </row>
        <row r="39">
          <cell r="F39">
            <v>9.9326252566659293E-2</v>
          </cell>
        </row>
        <row r="40">
          <cell r="F40">
            <v>1.454841512774588</v>
          </cell>
        </row>
        <row r="41">
          <cell r="F41">
            <v>0.28368975718074935</v>
          </cell>
        </row>
        <row r="42">
          <cell r="F42">
            <v>5.1614040199107176</v>
          </cell>
        </row>
        <row r="43">
          <cell r="F43">
            <v>0</v>
          </cell>
        </row>
        <row r="44">
          <cell r="F44">
            <v>4.0449452315100536E-3</v>
          </cell>
        </row>
        <row r="45">
          <cell r="F45">
            <v>10.6712491355257</v>
          </cell>
        </row>
        <row r="46">
          <cell r="F46">
            <v>0.99268486086893293</v>
          </cell>
        </row>
        <row r="47">
          <cell r="F47">
            <v>2.3200139485439557</v>
          </cell>
        </row>
        <row r="48">
          <cell r="F48">
            <v>9.9018908595649852E-3</v>
          </cell>
        </row>
        <row r="49">
          <cell r="F49">
            <v>0.20532665466911867</v>
          </cell>
        </row>
        <row r="50">
          <cell r="F50">
            <v>3.6972507448612716E-3</v>
          </cell>
        </row>
        <row r="51">
          <cell r="F51">
            <v>0</v>
          </cell>
        </row>
        <row r="52">
          <cell r="F52">
            <v>0</v>
          </cell>
        </row>
        <row r="53">
          <cell r="F53">
            <v>3.8544869574035003E-2</v>
          </cell>
        </row>
        <row r="54">
          <cell r="F54">
            <v>29.793568904912487</v>
          </cell>
        </row>
        <row r="55">
          <cell r="F55">
            <v>4.4176014406857016</v>
          </cell>
        </row>
        <row r="56">
          <cell r="F56">
            <v>8.5913233649895348E-3</v>
          </cell>
        </row>
        <row r="57">
          <cell r="F57">
            <v>0</v>
          </cell>
        </row>
      </sheetData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tents"/>
      <sheetName val="equip vol-var"/>
      <sheetName val="1. apbs"/>
      <sheetName val="2. Selected ldc 17 ops"/>
      <sheetName val="3. subtotals by major MP groups"/>
      <sheetName val=" 4. lcus-ssm"/>
      <sheetName val="5.  fsm"/>
      <sheetName val="6. d_ bcs"/>
      <sheetName val="7. Tray sort_Robotics"/>
      <sheetName val="8  MP Cost Pool Variabiliti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9">
          <cell r="E9">
            <v>0.98913371999999999</v>
          </cell>
        </row>
        <row r="12">
          <cell r="E12">
            <v>0.97340817999999996</v>
          </cell>
        </row>
        <row r="13">
          <cell r="E13">
            <v>0</v>
          </cell>
        </row>
        <row r="16">
          <cell r="E16">
            <v>0.96403554000000002</v>
          </cell>
        </row>
        <row r="17">
          <cell r="E17">
            <v>0.96805898000000001</v>
          </cell>
        </row>
        <row r="20">
          <cell r="E20">
            <v>0.96758120000000003</v>
          </cell>
        </row>
        <row r="21">
          <cell r="E21">
            <v>0.97238124999999997</v>
          </cell>
        </row>
        <row r="22">
          <cell r="E22">
            <v>0.97225877999999999</v>
          </cell>
        </row>
        <row r="23">
          <cell r="E23">
            <v>0.96148710000000004</v>
          </cell>
        </row>
        <row r="25">
          <cell r="E25">
            <v>0.87302999999999997</v>
          </cell>
        </row>
        <row r="28">
          <cell r="E28">
            <v>0.95929235999999996</v>
          </cell>
        </row>
        <row r="29">
          <cell r="E29">
            <v>0.94974594999999995</v>
          </cell>
        </row>
        <row r="32">
          <cell r="E32">
            <v>0.97853723000000004</v>
          </cell>
        </row>
        <row r="33">
          <cell r="E33">
            <v>0.96402405999999996</v>
          </cell>
        </row>
        <row r="34">
          <cell r="E34">
            <v>0.95316197999999996</v>
          </cell>
        </row>
        <row r="35">
          <cell r="E35">
            <v>0.98981850999999998</v>
          </cell>
        </row>
        <row r="36">
          <cell r="E36">
            <v>0.96735625000000003</v>
          </cell>
        </row>
        <row r="37">
          <cell r="E37">
            <v>0.92643885999999998</v>
          </cell>
        </row>
        <row r="38">
          <cell r="E38">
            <v>0.91687624999999995</v>
          </cell>
        </row>
        <row r="39">
          <cell r="E39">
            <v>0.94237641000000005</v>
          </cell>
        </row>
        <row r="40">
          <cell r="E40">
            <v>0.95326085000000005</v>
          </cell>
        </row>
        <row r="41">
          <cell r="E41">
            <v>0.94605620000000001</v>
          </cell>
        </row>
        <row r="42">
          <cell r="E42">
            <v>0.98882842000000004</v>
          </cell>
        </row>
        <row r="45">
          <cell r="E45">
            <v>0.98872015000000002</v>
          </cell>
        </row>
        <row r="46">
          <cell r="E46">
            <v>0.89440664999999997</v>
          </cell>
        </row>
        <row r="47">
          <cell r="E47">
            <v>0.45629614000000002</v>
          </cell>
        </row>
        <row r="48">
          <cell r="E48">
            <v>0.96803835999999999</v>
          </cell>
        </row>
        <row r="49">
          <cell r="E49">
            <v>0.98854348000000003</v>
          </cell>
        </row>
        <row r="50">
          <cell r="E50">
            <v>0.94447460999999999</v>
          </cell>
        </row>
        <row r="51">
          <cell r="E51">
            <v>0.80783514999999995</v>
          </cell>
        </row>
        <row r="53">
          <cell r="E53">
            <v>0.91490899000000003</v>
          </cell>
        </row>
        <row r="63">
          <cell r="E63">
            <v>0</v>
          </cell>
        </row>
        <row r="64">
          <cell r="E64">
            <v>0.91586805999999998</v>
          </cell>
        </row>
        <row r="65">
          <cell r="E65">
            <v>0.91140966000000001</v>
          </cell>
        </row>
        <row r="66">
          <cell r="E66">
            <v>0.88894222000000001</v>
          </cell>
        </row>
        <row r="67">
          <cell r="E67">
            <v>0.9584975</v>
          </cell>
        </row>
        <row r="68">
          <cell r="E68">
            <v>0.96007445000000002</v>
          </cell>
        </row>
        <row r="69">
          <cell r="E69">
            <v>0.928342</v>
          </cell>
        </row>
        <row r="70">
          <cell r="E70">
            <v>0.86648111999999999</v>
          </cell>
        </row>
        <row r="77">
          <cell r="E77">
            <v>0.92642031000000002</v>
          </cell>
        </row>
        <row r="78">
          <cell r="E78">
            <v>0.95643783000000004</v>
          </cell>
        </row>
        <row r="79">
          <cell r="E79">
            <v>0.19555653000000001</v>
          </cell>
        </row>
        <row r="80">
          <cell r="E80">
            <v>0.99745216000000003</v>
          </cell>
        </row>
        <row r="81">
          <cell r="E81">
            <v>1</v>
          </cell>
        </row>
        <row r="82">
          <cell r="E82">
            <v>0.98203649999999998</v>
          </cell>
        </row>
        <row r="83">
          <cell r="E83">
            <v>0.71239828999999999</v>
          </cell>
        </row>
        <row r="84">
          <cell r="E84">
            <v>0.97377163</v>
          </cell>
        </row>
        <row r="85">
          <cell r="E85">
            <v>0.97149797999999998</v>
          </cell>
        </row>
        <row r="86">
          <cell r="E86">
            <v>0.96152245999999997</v>
          </cell>
        </row>
        <row r="87">
          <cell r="E87">
            <v>0.96306144000000005</v>
          </cell>
        </row>
        <row r="88">
          <cell r="E88">
            <v>0.24950933</v>
          </cell>
        </row>
        <row r="89">
          <cell r="E89">
            <v>0.48256776000000001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tents"/>
      <sheetName val="VII-1PremPay Fctrs bySubcl "/>
      <sheetName val="VII-2 Crosswalk Matrix &amp; Othr"/>
      <sheetName val="VII-3a. ovhead factors-MODS1&amp;2"/>
      <sheetName val="VII-3b. Ovhead Factrs-NonMODS"/>
      <sheetName val="VII-3c. Ovhead Factors NDCs"/>
    </sheetNames>
    <sheetDataSet>
      <sheetData sheetId="0"/>
      <sheetData sheetId="1"/>
      <sheetData sheetId="2"/>
      <sheetData sheetId="3">
        <row r="9">
          <cell r="G9">
            <v>1.3893524811852758</v>
          </cell>
        </row>
        <row r="12">
          <cell r="G12">
            <v>1.4309838345426646</v>
          </cell>
        </row>
        <row r="15">
          <cell r="G15">
            <v>0</v>
          </cell>
        </row>
        <row r="18">
          <cell r="G18">
            <v>1.4847803846613761</v>
          </cell>
        </row>
        <row r="21">
          <cell r="G21">
            <v>1.5054165132383859</v>
          </cell>
        </row>
        <row r="24">
          <cell r="G24">
            <v>1.4612893338505064</v>
          </cell>
        </row>
        <row r="27">
          <cell r="G27">
            <v>1.3647592087082534</v>
          </cell>
        </row>
        <row r="30">
          <cell r="G30">
            <v>1.4652042476373826</v>
          </cell>
        </row>
        <row r="33">
          <cell r="G33">
            <v>1.5835820030709507</v>
          </cell>
        </row>
        <row r="36">
          <cell r="G36">
            <v>1.4332178259213497</v>
          </cell>
        </row>
        <row r="39">
          <cell r="G39">
            <v>1.5774849866081868</v>
          </cell>
        </row>
        <row r="42">
          <cell r="G42">
            <v>1.4757547428161326</v>
          </cell>
        </row>
        <row r="45">
          <cell r="G45">
            <v>1.6294675102506313</v>
          </cell>
        </row>
        <row r="48">
          <cell r="G48">
            <v>1.3566500232891203</v>
          </cell>
        </row>
        <row r="51">
          <cell r="G51">
            <v>1.5382884783036643</v>
          </cell>
        </row>
        <row r="54">
          <cell r="G54">
            <v>1.5365022331773068</v>
          </cell>
        </row>
        <row r="57">
          <cell r="G57">
            <v>1.6313962539357518</v>
          </cell>
        </row>
        <row r="60">
          <cell r="G60">
            <v>1.4478254824587882</v>
          </cell>
        </row>
        <row r="63">
          <cell r="G63">
            <v>1.3718327722393713</v>
          </cell>
        </row>
        <row r="66">
          <cell r="G66">
            <v>1.3920853604407273</v>
          </cell>
        </row>
        <row r="69">
          <cell r="G69">
            <v>1.6529863797990982</v>
          </cell>
        </row>
        <row r="72">
          <cell r="G72">
            <v>1.5133583852605874</v>
          </cell>
        </row>
        <row r="75">
          <cell r="G75">
            <v>1.1470045461256118</v>
          </cell>
        </row>
        <row r="78">
          <cell r="G78">
            <v>1.5379311449232593</v>
          </cell>
        </row>
        <row r="81">
          <cell r="G81">
            <v>1.6743714070158875</v>
          </cell>
        </row>
        <row r="84">
          <cell r="G84">
            <v>1.4335548635962263</v>
          </cell>
        </row>
        <row r="87">
          <cell r="G87">
            <v>2.890956870159493</v>
          </cell>
        </row>
        <row r="90">
          <cell r="G90">
            <v>1.5458014742285053</v>
          </cell>
        </row>
        <row r="93">
          <cell r="G93">
            <v>1.574849868424012</v>
          </cell>
        </row>
        <row r="96">
          <cell r="G96">
            <v>1.4057198665005615</v>
          </cell>
        </row>
      </sheetData>
      <sheetData sheetId="4">
        <row r="10">
          <cell r="G10">
            <v>1.639965597331799</v>
          </cell>
        </row>
        <row r="11">
          <cell r="G11">
            <v>1.3775640113646008</v>
          </cell>
        </row>
        <row r="12">
          <cell r="G12">
            <v>1.1836974679494443</v>
          </cell>
        </row>
        <row r="13">
          <cell r="G13">
            <v>1.1805242016503081</v>
          </cell>
        </row>
        <row r="14">
          <cell r="G14">
            <v>1.192752920806754</v>
          </cell>
        </row>
        <row r="15">
          <cell r="G15">
            <v>1.1979797373581853</v>
          </cell>
        </row>
        <row r="16">
          <cell r="G16">
            <v>1.2270183496466078</v>
          </cell>
        </row>
        <row r="17">
          <cell r="G17">
            <v>1.2109269444518154</v>
          </cell>
        </row>
        <row r="18">
          <cell r="G18">
            <v>1.197908591081329</v>
          </cell>
        </row>
        <row r="19">
          <cell r="G19">
            <v>1.2883112264883447</v>
          </cell>
        </row>
        <row r="20">
          <cell r="G20">
            <v>1.2037147008850342</v>
          </cell>
        </row>
        <row r="21">
          <cell r="G21">
            <v>1.1783262838350408</v>
          </cell>
        </row>
        <row r="22">
          <cell r="G22">
            <v>1.2329903747304578</v>
          </cell>
        </row>
      </sheetData>
      <sheetData sheetId="5">
        <row r="8">
          <cell r="H8">
            <v>0</v>
          </cell>
        </row>
        <row r="11">
          <cell r="H11">
            <v>1.5946397062330107</v>
          </cell>
        </row>
        <row r="14">
          <cell r="H14">
            <v>1.5517735475278043</v>
          </cell>
        </row>
        <row r="17">
          <cell r="H17">
            <v>1.4041375843201531</v>
          </cell>
        </row>
        <row r="20">
          <cell r="H20">
            <v>1.4843513578083938</v>
          </cell>
        </row>
        <row r="23">
          <cell r="H23">
            <v>1.5180378654724356</v>
          </cell>
        </row>
        <row r="26">
          <cell r="H26">
            <v>1.4950151046528088</v>
          </cell>
        </row>
        <row r="29">
          <cell r="H29">
            <v>1.4706734503311836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oc"/>
      <sheetName val="MP Piggybacks"/>
      <sheetName val="Cost Ratios"/>
      <sheetName val="MP Labor Cost Splits"/>
      <sheetName val="MP Labor Costs"/>
      <sheetName val="CR &amp; OP"/>
      <sheetName val="Facility Related Costs"/>
      <sheetName val="Facility Space Data "/>
      <sheetName val="Space Summary Costs"/>
      <sheetName val="IOCS Tallies – Select Equipment"/>
      <sheetName val="All Equip. Related Costs"/>
      <sheetName val="Capital Costs"/>
      <sheetName val="Maint. Costs"/>
      <sheetName val="Parts Costs"/>
      <sheetName val="Equip. Var."/>
      <sheetName val="Supv_Admin_Benefit Costs"/>
      <sheetName val="PB by Cost Type  "/>
      <sheetName val="PSM &amp; FSM &amp; LMLM Data"/>
    </sheetNames>
    <sheetDataSet>
      <sheetData sheetId="0"/>
      <sheetData sheetId="1">
        <row r="7">
          <cell r="J7">
            <v>1.754359816131257</v>
          </cell>
        </row>
        <row r="8">
          <cell r="J8">
            <v>1.6305774272183733</v>
          </cell>
        </row>
        <row r="10">
          <cell r="J10">
            <v>1.6595872730679075</v>
          </cell>
        </row>
        <row r="11">
          <cell r="J11">
            <v>1.6636637393337459</v>
          </cell>
        </row>
        <row r="12">
          <cell r="J12">
            <v>1.5773008471152119</v>
          </cell>
        </row>
        <row r="13">
          <cell r="J13">
            <v>1.5358044573278811</v>
          </cell>
        </row>
        <row r="14">
          <cell r="J14">
            <v>1.3622907328394676</v>
          </cell>
        </row>
        <row r="15">
          <cell r="J15">
            <v>1.2988119246888874</v>
          </cell>
        </row>
        <row r="16">
          <cell r="J16">
            <v>1.3208756008457678</v>
          </cell>
        </row>
        <row r="17">
          <cell r="J17">
            <v>1.3673172205996416</v>
          </cell>
        </row>
        <row r="18">
          <cell r="J18">
            <v>1.3915842531237421</v>
          </cell>
        </row>
        <row r="19">
          <cell r="J19">
            <v>2.1937318420478604</v>
          </cell>
        </row>
        <row r="20">
          <cell r="J20">
            <v>1.9963030491866973</v>
          </cell>
        </row>
        <row r="21">
          <cell r="J21">
            <v>1.4592078249027221</v>
          </cell>
        </row>
        <row r="22">
          <cell r="J22">
            <v>1.5480484240671368</v>
          </cell>
        </row>
        <row r="23">
          <cell r="J23">
            <v>1.329782450145587</v>
          </cell>
        </row>
        <row r="24">
          <cell r="J24">
            <v>1.3430299336376534</v>
          </cell>
        </row>
        <row r="25">
          <cell r="J25">
            <v>1.3606061934437479</v>
          </cell>
        </row>
        <row r="26">
          <cell r="J26">
            <v>1.5985378657336238</v>
          </cell>
        </row>
        <row r="27">
          <cell r="J27">
            <v>1.3835777822483029</v>
          </cell>
        </row>
        <row r="28">
          <cell r="J28">
            <v>1.2805162995566952</v>
          </cell>
        </row>
        <row r="29">
          <cell r="J29">
            <v>1.7604648143981843</v>
          </cell>
        </row>
        <row r="30">
          <cell r="J30">
            <v>1.2907912016362046</v>
          </cell>
        </row>
        <row r="31">
          <cell r="J31">
            <v>1.3454731811702236</v>
          </cell>
        </row>
        <row r="32">
          <cell r="J32">
            <v>1.4574114779200835</v>
          </cell>
        </row>
        <row r="33">
          <cell r="J33">
            <v>1.3190103788853187</v>
          </cell>
        </row>
        <row r="34">
          <cell r="J34">
            <v>1.7174723886329033</v>
          </cell>
        </row>
        <row r="35">
          <cell r="J35">
            <v>1.2712452079894261</v>
          </cell>
        </row>
        <row r="36">
          <cell r="J36">
            <v>1.2900243484249196</v>
          </cell>
        </row>
        <row r="37">
          <cell r="J37">
            <v>1.5816647277035631</v>
          </cell>
        </row>
        <row r="39">
          <cell r="J39">
            <v>1.4774316541145593</v>
          </cell>
        </row>
        <row r="40">
          <cell r="J40">
            <v>1.51761435929636</v>
          </cell>
        </row>
        <row r="41">
          <cell r="J41">
            <v>1.386023903258889</v>
          </cell>
        </row>
        <row r="42">
          <cell r="J42">
            <v>2.035366262612941</v>
          </cell>
        </row>
        <row r="43">
          <cell r="J43">
            <v>1.4922245136324837</v>
          </cell>
        </row>
        <row r="44">
          <cell r="J44">
            <v>1.6196174573049362</v>
          </cell>
        </row>
        <row r="45">
          <cell r="J45">
            <v>1.8711128783813997</v>
          </cell>
        </row>
        <row r="46">
          <cell r="J46">
            <v>1.6214860636540271</v>
          </cell>
        </row>
        <row r="47">
          <cell r="J47">
            <v>1.4978878089199297</v>
          </cell>
        </row>
        <row r="48">
          <cell r="J48">
            <v>2.7152513461318581</v>
          </cell>
        </row>
        <row r="49">
          <cell r="J49">
            <v>1.5940040162919518</v>
          </cell>
        </row>
        <row r="50">
          <cell r="J50">
            <v>1.7750950887377657</v>
          </cell>
        </row>
        <row r="51">
          <cell r="J51">
            <v>1.743186205242375</v>
          </cell>
        </row>
        <row r="52">
          <cell r="J52">
            <v>1.368369834646356</v>
          </cell>
        </row>
        <row r="53">
          <cell r="J53">
            <v>1.5675506909733425</v>
          </cell>
        </row>
        <row r="54">
          <cell r="J54">
            <v>1.4234618489304431</v>
          </cell>
        </row>
        <row r="55">
          <cell r="J55">
            <v>1.4957786551922303</v>
          </cell>
        </row>
        <row r="56">
          <cell r="J56">
            <v>1.5940040162919524</v>
          </cell>
        </row>
        <row r="57">
          <cell r="J57">
            <v>1.5940040162919527</v>
          </cell>
        </row>
        <row r="58">
          <cell r="J58">
            <v>3.5156084078143586</v>
          </cell>
        </row>
        <row r="63">
          <cell r="J63">
            <v>1.9204979181524358</v>
          </cell>
        </row>
        <row r="64">
          <cell r="J64">
            <v>2.0700178145522989</v>
          </cell>
        </row>
        <row r="78">
          <cell r="J78">
            <v>1.6056412614911089</v>
          </cell>
        </row>
        <row r="84">
          <cell r="J84">
            <v>1.8052502472456198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tents"/>
      <sheetName val="Letters"/>
      <sheetName val="Flats"/>
      <sheetName val="Parcels"/>
      <sheetName val="HD&amp;Saturation Letters"/>
      <sheetName val="HD&amp;Saturation Flats and Parcels"/>
      <sheetName val="Carrier Route"/>
      <sheetName val="EDDM-Retail"/>
      <sheetName val="Summary 1"/>
      <sheetName val="Summary 2"/>
      <sheetName val="Summary 3"/>
    </sheetNames>
    <sheetDataSet>
      <sheetData sheetId="0"/>
      <sheetData sheetId="1"/>
      <sheetData sheetId="2"/>
      <sheetData sheetId="3">
        <row r="7">
          <cell r="E7">
            <v>451593</v>
          </cell>
        </row>
        <row r="9">
          <cell r="E9">
            <v>92446</v>
          </cell>
        </row>
        <row r="10">
          <cell r="E10">
            <v>72762</v>
          </cell>
        </row>
        <row r="12">
          <cell r="E12">
            <v>0</v>
          </cell>
        </row>
        <row r="13">
          <cell r="E13">
            <v>7219</v>
          </cell>
        </row>
        <row r="14">
          <cell r="E14">
            <v>43751</v>
          </cell>
        </row>
        <row r="16">
          <cell r="E16">
            <v>5413</v>
          </cell>
        </row>
        <row r="17">
          <cell r="E17">
            <v>1363639</v>
          </cell>
        </row>
        <row r="18">
          <cell r="E18">
            <v>193234</v>
          </cell>
        </row>
        <row r="24">
          <cell r="E24">
            <v>118623</v>
          </cell>
        </row>
        <row r="26">
          <cell r="E26">
            <v>7295</v>
          </cell>
        </row>
        <row r="27">
          <cell r="E27">
            <v>2145</v>
          </cell>
        </row>
        <row r="29">
          <cell r="E29">
            <v>218</v>
          </cell>
        </row>
        <row r="30">
          <cell r="E30">
            <v>0</v>
          </cell>
        </row>
        <row r="31">
          <cell r="E31">
            <v>7190</v>
          </cell>
        </row>
        <row r="33">
          <cell r="E33">
            <v>5179</v>
          </cell>
        </row>
        <row r="34">
          <cell r="E34">
            <v>5859</v>
          </cell>
        </row>
        <row r="35">
          <cell r="E35">
            <v>1116</v>
          </cell>
        </row>
        <row r="41">
          <cell r="E41">
            <v>1119890</v>
          </cell>
        </row>
        <row r="43">
          <cell r="E43">
            <v>642181</v>
          </cell>
        </row>
        <row r="44">
          <cell r="E44">
            <v>46921</v>
          </cell>
        </row>
        <row r="46">
          <cell r="E46">
            <v>8726</v>
          </cell>
        </row>
        <row r="47">
          <cell r="E47">
            <v>5738</v>
          </cell>
        </row>
        <row r="48">
          <cell r="E48">
            <v>63030</v>
          </cell>
        </row>
        <row r="50">
          <cell r="E50">
            <v>17426</v>
          </cell>
        </row>
        <row r="51">
          <cell r="E51">
            <v>603421</v>
          </cell>
        </row>
        <row r="52">
          <cell r="E52">
            <v>92232</v>
          </cell>
        </row>
        <row r="58">
          <cell r="E58">
            <v>435844</v>
          </cell>
        </row>
        <row r="60">
          <cell r="E60">
            <v>102817</v>
          </cell>
        </row>
        <row r="61">
          <cell r="E61">
            <v>14825</v>
          </cell>
        </row>
        <row r="63">
          <cell r="E63">
            <v>7454</v>
          </cell>
        </row>
        <row r="64">
          <cell r="E64">
            <v>180</v>
          </cell>
        </row>
        <row r="65">
          <cell r="E65">
            <v>12259</v>
          </cell>
        </row>
        <row r="67">
          <cell r="E67">
            <v>2718</v>
          </cell>
        </row>
        <row r="68">
          <cell r="E68">
            <v>9757</v>
          </cell>
        </row>
        <row r="69">
          <cell r="E69">
            <v>7860</v>
          </cell>
        </row>
        <row r="100">
          <cell r="E100">
            <v>670396</v>
          </cell>
        </row>
        <row r="102">
          <cell r="E102">
            <v>400984</v>
          </cell>
        </row>
        <row r="103">
          <cell r="E103">
            <v>1729284</v>
          </cell>
        </row>
        <row r="105">
          <cell r="E105">
            <v>6159</v>
          </cell>
        </row>
        <row r="106">
          <cell r="E106">
            <v>32567</v>
          </cell>
        </row>
        <row r="107">
          <cell r="E107">
            <v>5446</v>
          </cell>
        </row>
        <row r="113">
          <cell r="E113">
            <v>244203</v>
          </cell>
        </row>
        <row r="115">
          <cell r="E115">
            <v>4087</v>
          </cell>
        </row>
        <row r="116">
          <cell r="E116">
            <v>18753</v>
          </cell>
        </row>
        <row r="118">
          <cell r="E118">
            <v>9</v>
          </cell>
        </row>
        <row r="119">
          <cell r="E119">
            <v>28</v>
          </cell>
        </row>
        <row r="120">
          <cell r="E120">
            <v>4687</v>
          </cell>
        </row>
        <row r="122">
          <cell r="E122">
            <v>711</v>
          </cell>
        </row>
        <row r="123">
          <cell r="E123">
            <v>738</v>
          </cell>
        </row>
        <row r="124">
          <cell r="E124">
            <v>1650</v>
          </cell>
        </row>
        <row r="130">
          <cell r="E130">
            <v>1103496</v>
          </cell>
        </row>
        <row r="132">
          <cell r="E132">
            <v>401475</v>
          </cell>
        </row>
        <row r="133">
          <cell r="E133">
            <v>450174</v>
          </cell>
        </row>
        <row r="135">
          <cell r="E135">
            <v>114267</v>
          </cell>
        </row>
        <row r="136">
          <cell r="E136">
            <v>274075</v>
          </cell>
        </row>
        <row r="137">
          <cell r="E137">
            <v>448985</v>
          </cell>
        </row>
        <row r="139">
          <cell r="E139">
            <v>110629</v>
          </cell>
        </row>
        <row r="140">
          <cell r="E140">
            <v>111046</v>
          </cell>
        </row>
        <row r="141">
          <cell r="E141">
            <v>1227</v>
          </cell>
        </row>
      </sheetData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rst2025"/>
      <sheetName val="FCMbyIndicia"/>
      <sheetName val="MarketingMail2025"/>
      <sheetName val="MM_HD_SAT_Summary"/>
      <sheetName val="BMMLetters"/>
    </sheetNames>
    <sheetDataSet>
      <sheetData sheetId="0"/>
      <sheetData sheetId="1"/>
      <sheetData sheetId="2">
        <row r="77">
          <cell r="J77">
            <v>0.56272847285531591</v>
          </cell>
        </row>
      </sheetData>
      <sheetData sheetId="3"/>
      <sheetData sheetId="4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rival Profile Summary"/>
      <sheetName val="Sack Pieces Summary"/>
      <sheetName val="Productivity Summary"/>
      <sheetName val="Cubic Volume Summary"/>
      <sheetName val="Container Statistics"/>
      <sheetName val="Miscellaneous Data"/>
      <sheetName val="PS Form 3602 Data"/>
      <sheetName val="PS Form 8125 Data"/>
      <sheetName val="Mailer Arrival Data"/>
      <sheetName val="Postal Arrival Data"/>
      <sheetName val="Postal Dispatch Data"/>
      <sheetName val="Cubic Feet Per Pc Data"/>
      <sheetName val="Productivity Data"/>
      <sheetName val="Misc Data"/>
    </sheetNames>
    <sheetDataSet>
      <sheetData sheetId="0">
        <row r="36">
          <cell r="C36">
            <v>2.6058631921824105E-2</v>
          </cell>
          <cell r="D36">
            <v>0.97394136807817588</v>
          </cell>
          <cell r="E36">
            <v>0</v>
          </cell>
          <cell r="F36">
            <v>0</v>
          </cell>
        </row>
        <row r="37">
          <cell r="C37">
            <v>1</v>
          </cell>
          <cell r="D37">
            <v>0</v>
          </cell>
          <cell r="E37">
            <v>0</v>
          </cell>
          <cell r="F37">
            <v>0</v>
          </cell>
        </row>
        <row r="38">
          <cell r="C38">
            <v>0.493107963121238</v>
          </cell>
          <cell r="D38">
            <v>0.46621265297957848</v>
          </cell>
          <cell r="E38">
            <v>1.2311105453619683E-2</v>
          </cell>
          <cell r="F38">
            <v>2.8368278445563819E-2</v>
          </cell>
        </row>
        <row r="39">
          <cell r="C39">
            <v>0</v>
          </cell>
          <cell r="D39">
            <v>4.5113611294948161E-2</v>
          </cell>
          <cell r="E39">
            <v>0.95488638870505183</v>
          </cell>
          <cell r="F39">
            <v>0</v>
          </cell>
        </row>
        <row r="40">
          <cell r="C40">
            <v>9.4705276820480688E-2</v>
          </cell>
          <cell r="D40">
            <v>3.8938369959271357E-2</v>
          </cell>
          <cell r="E40">
            <v>0.83717495412433429</v>
          </cell>
          <cell r="F40">
            <v>2.9181399095913708E-2</v>
          </cell>
        </row>
        <row r="41">
          <cell r="C41">
            <v>0</v>
          </cell>
          <cell r="D41">
            <v>0.53848009650180939</v>
          </cell>
          <cell r="E41">
            <v>0</v>
          </cell>
          <cell r="F41">
            <v>0.46151990349819061</v>
          </cell>
        </row>
        <row r="43">
          <cell r="C43">
            <v>0.39277925854131329</v>
          </cell>
          <cell r="D43">
            <v>0.55270172037799858</v>
          </cell>
          <cell r="E43">
            <v>0</v>
          </cell>
          <cell r="F43">
            <v>5.4519021080688151E-2</v>
          </cell>
        </row>
        <row r="44">
          <cell r="C44">
            <v>0.16173006923131825</v>
          </cell>
          <cell r="D44">
            <v>0.68745985297266432</v>
          </cell>
          <cell r="E44">
            <v>9.6709728070801512E-2</v>
          </cell>
          <cell r="F44">
            <v>5.41003497252159E-2</v>
          </cell>
        </row>
        <row r="45">
          <cell r="C45">
            <v>0.16173006923131825</v>
          </cell>
          <cell r="D45">
            <v>0.68745985297266432</v>
          </cell>
          <cell r="E45">
            <v>9.6709728070801512E-2</v>
          </cell>
          <cell r="F45">
            <v>5.41003497252159E-2</v>
          </cell>
        </row>
        <row r="46">
          <cell r="C46">
            <v>0</v>
          </cell>
          <cell r="D46">
            <v>0</v>
          </cell>
          <cell r="E46">
            <v>1</v>
          </cell>
          <cell r="F46">
            <v>0</v>
          </cell>
        </row>
        <row r="47">
          <cell r="C47">
            <v>0</v>
          </cell>
          <cell r="D47">
            <v>0</v>
          </cell>
          <cell r="E47">
            <v>0.77812316831422346</v>
          </cell>
          <cell r="F47">
            <v>0.22187683168577657</v>
          </cell>
        </row>
        <row r="48">
          <cell r="C48">
            <v>3.9651766771526813E-2</v>
          </cell>
          <cell r="D48">
            <v>4.7479698588045946E-2</v>
          </cell>
          <cell r="E48">
            <v>0</v>
          </cell>
          <cell r="F48">
            <v>0.91286853464042728</v>
          </cell>
        </row>
        <row r="49">
          <cell r="C49">
            <v>0</v>
          </cell>
          <cell r="D49">
            <v>0</v>
          </cell>
          <cell r="E49">
            <v>0.77812316831422346</v>
          </cell>
          <cell r="F49">
            <v>0.22187683168577657</v>
          </cell>
        </row>
        <row r="50">
          <cell r="C50">
            <v>0</v>
          </cell>
          <cell r="D50">
            <v>0</v>
          </cell>
          <cell r="E50">
            <v>0</v>
          </cell>
          <cell r="F50">
            <v>1</v>
          </cell>
        </row>
        <row r="52">
          <cell r="C52">
            <v>2.4763879290486065E-2</v>
          </cell>
          <cell r="D52">
            <v>0.81674729325040318</v>
          </cell>
          <cell r="E52">
            <v>0.11011287721723105</v>
          </cell>
          <cell r="F52">
            <v>4.8375950241879753E-2</v>
          </cell>
        </row>
        <row r="53">
          <cell r="C53">
            <v>0.10645613141474596</v>
          </cell>
          <cell r="D53">
            <v>0.86712084553673752</v>
          </cell>
          <cell r="E53">
            <v>0</v>
          </cell>
          <cell r="F53">
            <v>2.642302304851649E-2</v>
          </cell>
        </row>
        <row r="54">
          <cell r="C54">
            <v>1.1095125991803994E-2</v>
          </cell>
          <cell r="D54">
            <v>0.86038451477896938</v>
          </cell>
          <cell r="E54">
            <v>1.4822565175690993E-3</v>
          </cell>
          <cell r="F54">
            <v>0.12703810271165752</v>
          </cell>
        </row>
        <row r="55">
          <cell r="C55">
            <v>0</v>
          </cell>
          <cell r="D55">
            <v>1</v>
          </cell>
          <cell r="E55">
            <v>0</v>
          </cell>
          <cell r="F55">
            <v>0</v>
          </cell>
        </row>
        <row r="56">
          <cell r="C56">
            <v>0</v>
          </cell>
          <cell r="D56">
            <v>0</v>
          </cell>
          <cell r="E56">
            <v>1</v>
          </cell>
          <cell r="F56">
            <v>0</v>
          </cell>
        </row>
        <row r="57">
          <cell r="C57">
            <v>0</v>
          </cell>
          <cell r="D57">
            <v>0</v>
          </cell>
          <cell r="E57">
            <v>0</v>
          </cell>
          <cell r="F57">
            <v>1</v>
          </cell>
        </row>
        <row r="58">
          <cell r="C58">
            <v>0</v>
          </cell>
          <cell r="D58">
            <v>0</v>
          </cell>
          <cell r="E58">
            <v>0</v>
          </cell>
          <cell r="F58">
            <v>1</v>
          </cell>
        </row>
        <row r="59">
          <cell r="C59">
            <v>0</v>
          </cell>
          <cell r="D59">
            <v>0</v>
          </cell>
          <cell r="E59">
            <v>0</v>
          </cell>
          <cell r="F59">
            <v>1</v>
          </cell>
        </row>
      </sheetData>
      <sheetData sheetId="1">
        <row r="10">
          <cell r="C10">
            <v>17.049180327868854</v>
          </cell>
        </row>
        <row r="11">
          <cell r="C11">
            <v>33.104838709677416</v>
          </cell>
        </row>
        <row r="12">
          <cell r="C12">
            <v>33.104838709677416</v>
          </cell>
        </row>
        <row r="13">
          <cell r="C13">
            <v>22.773809523809526</v>
          </cell>
        </row>
        <row r="15">
          <cell r="C15">
            <v>45</v>
          </cell>
        </row>
        <row r="16">
          <cell r="C16">
            <v>50.533333333333331</v>
          </cell>
        </row>
        <row r="17">
          <cell r="C17">
            <v>50.533333333333331</v>
          </cell>
        </row>
        <row r="18">
          <cell r="C18">
            <v>78.272727272727266</v>
          </cell>
        </row>
        <row r="19">
          <cell r="C19">
            <v>36.926829268292686</v>
          </cell>
        </row>
        <row r="20">
          <cell r="C20">
            <v>89.82683982683983</v>
          </cell>
        </row>
        <row r="21">
          <cell r="C21">
            <v>66.275974025974023</v>
          </cell>
        </row>
        <row r="22">
          <cell r="C22">
            <v>36.926829268292686</v>
          </cell>
        </row>
        <row r="24">
          <cell r="C24">
            <v>45</v>
          </cell>
        </row>
        <row r="25">
          <cell r="C25">
            <v>50.533333333333331</v>
          </cell>
        </row>
        <row r="26">
          <cell r="C26">
            <v>50.533333333333331</v>
          </cell>
        </row>
        <row r="28">
          <cell r="C28">
            <v>36.926829268292686</v>
          </cell>
        </row>
        <row r="29">
          <cell r="C29">
            <v>89.82683982683983</v>
          </cell>
        </row>
        <row r="30">
          <cell r="C30">
            <v>66.275974025974023</v>
          </cell>
        </row>
        <row r="31">
          <cell r="C31">
            <v>36.926829268292686</v>
          </cell>
        </row>
      </sheetData>
      <sheetData sheetId="2"/>
      <sheetData sheetId="3"/>
      <sheetData sheetId="4">
        <row r="8">
          <cell r="B8">
            <v>45.309278350515463</v>
          </cell>
          <cell r="C8">
            <v>0.82439862542955344</v>
          </cell>
        </row>
        <row r="9">
          <cell r="B9">
            <v>38.478260869565219</v>
          </cell>
          <cell r="C9">
            <v>1</v>
          </cell>
        </row>
        <row r="10">
          <cell r="C10">
            <v>0.89999999999999991</v>
          </cell>
        </row>
        <row r="26">
          <cell r="C26">
            <v>0.98309859154929569</v>
          </cell>
        </row>
        <row r="39">
          <cell r="C39">
            <v>0.64404798753417358</v>
          </cell>
        </row>
      </sheetData>
      <sheetData sheetId="5">
        <row r="3">
          <cell r="B3">
            <v>0.10466499273159773</v>
          </cell>
        </row>
        <row r="5">
          <cell r="B5">
            <v>0.39751958224543082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PW Report"/>
      <sheetName val="Adjusted RPW Rpt"/>
      <sheetName val="OutputsToCRA"/>
      <sheetName val="RPW Split"/>
      <sheetName val="Mapping"/>
      <sheetName val="Module1"/>
    </sheetNames>
    <sheetDataSet>
      <sheetData sheetId="0"/>
      <sheetData sheetId="1">
        <row r="32">
          <cell r="I32">
            <v>4941.2060000000001</v>
          </cell>
        </row>
      </sheetData>
      <sheetData sheetId="2"/>
      <sheetData sheetId="3"/>
      <sheetData sheetId="4"/>
      <sheetData sheetId="5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Y25 Table"/>
    </sheetNames>
    <sheetDataSet>
      <sheetData sheetId="0">
        <row r="11">
          <cell r="I11">
            <v>85.837148173784783</v>
          </cell>
        </row>
        <row r="12">
          <cell r="I12">
            <v>60.943313184596953</v>
          </cell>
        </row>
        <row r="57">
          <cell r="I57">
            <v>46.663258890611651</v>
          </cell>
        </row>
        <row r="59">
          <cell r="F59">
            <v>183273859</v>
          </cell>
          <cell r="H59">
            <v>999194.66121392138</v>
          </cell>
        </row>
        <row r="60">
          <cell r="F60">
            <v>4216486</v>
          </cell>
          <cell r="H60">
            <v>20090.329811096191</v>
          </cell>
        </row>
        <row r="62">
          <cell r="I62">
            <v>236.38446052932412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able FY25"/>
    </sheetNames>
    <sheetDataSet>
      <sheetData sheetId="0">
        <row r="8">
          <cell r="I8">
            <v>392.67992073335415</v>
          </cell>
        </row>
        <row r="9">
          <cell r="I9">
            <v>317.61233559757812</v>
          </cell>
        </row>
        <row r="10">
          <cell r="I10">
            <v>2848.2562213136207</v>
          </cell>
        </row>
        <row r="11">
          <cell r="I11">
            <v>48.365821921553106</v>
          </cell>
        </row>
        <row r="12">
          <cell r="I12">
            <v>368.91056676018411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Y25 F4 Manual Productivity"/>
      <sheetName val="FY25 Est Hours"/>
      <sheetName val="FY25 Costs"/>
    </sheetNames>
    <sheetDataSet>
      <sheetData sheetId="0">
        <row r="6">
          <cell r="D6">
            <v>295.82991061998308</v>
          </cell>
        </row>
      </sheetData>
      <sheetData sheetId="1"/>
      <sheetData sheetId="2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roductivity Summary"/>
      <sheetName val="Profile Summary"/>
      <sheetName val="Cubic Feet Summary"/>
      <sheetName val="DU1"/>
      <sheetName val="DU2"/>
      <sheetName val="DU3"/>
      <sheetName val="DU4"/>
      <sheetName val="DU5"/>
      <sheetName val="PDC1"/>
      <sheetName val="PDC2"/>
      <sheetName val="PDC3"/>
      <sheetName val="PDC4"/>
      <sheetName val="PDC5"/>
      <sheetName val="PDC6"/>
      <sheetName val="ASF1"/>
      <sheetName val="ASF2"/>
      <sheetName val="ASF3"/>
      <sheetName val="ASF4"/>
      <sheetName val="NDC1"/>
      <sheetName val="NDC2"/>
      <sheetName val="NDC3"/>
      <sheetName val="NDC4"/>
      <sheetName val="NDC5"/>
      <sheetName val="NDC6"/>
      <sheetName val="NDC7"/>
      <sheetName val="NDC8"/>
      <sheetName val="NDC9"/>
      <sheetName val="NDC10"/>
      <sheetName val="NDC11"/>
      <sheetName val="ARRIVAL"/>
      <sheetName val="DISPATCH"/>
      <sheetName val="CU FT PER PC"/>
    </sheetNames>
    <sheetDataSet>
      <sheetData sheetId="0">
        <row r="7">
          <cell r="E7">
            <v>104.16917653916197</v>
          </cell>
        </row>
        <row r="8">
          <cell r="E8">
            <v>65.538638727300679</v>
          </cell>
        </row>
        <row r="9">
          <cell r="E9">
            <v>91.663151541453388</v>
          </cell>
        </row>
        <row r="10">
          <cell r="E10">
            <v>73.807992575804732</v>
          </cell>
        </row>
        <row r="12">
          <cell r="E12">
            <v>108.68526730873657</v>
          </cell>
        </row>
        <row r="13">
          <cell r="E13">
            <v>77.202048819228565</v>
          </cell>
        </row>
        <row r="14">
          <cell r="E14">
            <v>67.388556642500745</v>
          </cell>
        </row>
        <row r="15">
          <cell r="E15">
            <v>52.965330313097581</v>
          </cell>
        </row>
        <row r="16">
          <cell r="E16">
            <v>120.89541997432931</v>
          </cell>
        </row>
        <row r="17">
          <cell r="E17">
            <v>81.943083767101797</v>
          </cell>
        </row>
        <row r="18">
          <cell r="E18">
            <v>99.080106636178257</v>
          </cell>
        </row>
        <row r="19">
          <cell r="E19">
            <v>78.221149993452627</v>
          </cell>
        </row>
        <row r="20">
          <cell r="E20">
            <v>108.93753679298504</v>
          </cell>
        </row>
        <row r="21">
          <cell r="E21">
            <v>76.602996744213343</v>
          </cell>
        </row>
        <row r="22">
          <cell r="E22">
            <v>69.894969745842175</v>
          </cell>
        </row>
        <row r="23">
          <cell r="E23">
            <v>58.010029294804525</v>
          </cell>
        </row>
        <row r="24">
          <cell r="E24">
            <v>66.337248698610736</v>
          </cell>
        </row>
        <row r="25">
          <cell r="E25">
            <v>32.622170469924953</v>
          </cell>
        </row>
        <row r="26">
          <cell r="E26">
            <v>23.313311532462347</v>
          </cell>
        </row>
        <row r="27">
          <cell r="E27">
            <v>23.543443131311111</v>
          </cell>
        </row>
        <row r="28">
          <cell r="E28">
            <v>207.56223149354486</v>
          </cell>
        </row>
        <row r="29">
          <cell r="E29">
            <v>88.133732877426098</v>
          </cell>
        </row>
        <row r="30">
          <cell r="E30">
            <v>69.377615729538263</v>
          </cell>
        </row>
        <row r="31">
          <cell r="E31">
            <v>25.976475512547825</v>
          </cell>
        </row>
        <row r="32">
          <cell r="E32">
            <v>313.09993840015119</v>
          </cell>
        </row>
      </sheetData>
      <sheetData sheetId="1">
        <row r="10">
          <cell r="F10">
            <v>0.48199537332303888</v>
          </cell>
          <cell r="H10">
            <v>0.63807339449541312</v>
          </cell>
        </row>
        <row r="11">
          <cell r="F11">
            <v>0.32269216311913879</v>
          </cell>
          <cell r="H11">
            <v>0.73206521739130448</v>
          </cell>
        </row>
        <row r="12">
          <cell r="F12">
            <v>0.19531246355782239</v>
          </cell>
          <cell r="H12">
            <v>0.79536082474226844</v>
          </cell>
        </row>
        <row r="19">
          <cell r="F19">
            <v>0.11896971780053392</v>
          </cell>
          <cell r="H19">
            <v>0.80756302521008438</v>
          </cell>
        </row>
        <row r="20">
          <cell r="F20">
            <v>8.0349918340229934E-2</v>
          </cell>
          <cell r="H20">
            <v>0.68650000000000022</v>
          </cell>
        </row>
        <row r="21">
          <cell r="F21">
            <v>0.60164685859127154</v>
          </cell>
          <cell r="H21">
            <v>0.81419491525423671</v>
          </cell>
        </row>
        <row r="22">
          <cell r="F22">
            <v>0.19903350526796459</v>
          </cell>
          <cell r="H22">
            <v>0.72893382352941183</v>
          </cell>
        </row>
      </sheetData>
      <sheetData sheetId="2">
        <row r="8">
          <cell r="C8">
            <v>5.0051979210507871E-2</v>
          </cell>
        </row>
        <row r="9">
          <cell r="C9">
            <v>4.4396436227224015E-2</v>
          </cell>
        </row>
        <row r="10">
          <cell r="C10">
            <v>3.6659933239181562E-2</v>
          </cell>
        </row>
        <row r="11">
          <cell r="C11">
            <v>2.5505039603535756E-2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volume-variability factors"/>
      <sheetName val="Disaggregated wage rates"/>
      <sheetName val="Premium Pay Fctrs"/>
      <sheetName val=" Overhead factors"/>
      <sheetName val=" MODS ovh factors"/>
      <sheetName val=" NDCs OVH Factors"/>
      <sheetName val=" nonmods OVH Factors"/>
      <sheetName val="crosswalk, % of direct"/>
    </sheetNames>
    <sheetDataSet>
      <sheetData sheetId="0"/>
      <sheetData sheetId="1">
        <row r="8">
          <cell r="C8">
            <v>50.10717457546064</v>
          </cell>
        </row>
      </sheetData>
      <sheetData sheetId="2">
        <row r="22">
          <cell r="D22">
            <v>0.98098316405724495</v>
          </cell>
        </row>
      </sheetData>
      <sheetData sheetId="3"/>
      <sheetData sheetId="4"/>
      <sheetData sheetId="5"/>
      <sheetData sheetId="6"/>
      <sheetData sheetId="7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etters"/>
      <sheetName val="Flats"/>
      <sheetName val="Parcels"/>
      <sheetName val="ppgar"/>
      <sheetName val="afsmrefeed"/>
      <sheetName val="ufsmkey"/>
      <sheetName val="appsspbsgar"/>
      <sheetName val="flatgar"/>
      <sheetName val="mlissgar"/>
      <sheetName val="lettergar"/>
      <sheetName val="diossgar"/>
      <sheetName val="WebROADS"/>
    </sheetNames>
    <sheetDataSet>
      <sheetData sheetId="0"/>
      <sheetData sheetId="1">
        <row r="11">
          <cell r="H11">
            <v>0.88162885148614423</v>
          </cell>
        </row>
      </sheetData>
      <sheetData sheetId="2">
        <row r="4">
          <cell r="C4">
            <v>0.86861911110785461</v>
          </cell>
        </row>
        <row r="5">
          <cell r="C5">
            <v>0.87971282501737913</v>
          </cell>
        </row>
        <row r="6">
          <cell r="C6">
            <v>0.95761346554256777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verage Factors"/>
      <sheetName val="Table"/>
    </sheetNames>
    <sheetDataSet>
      <sheetData sheetId="0">
        <row r="9">
          <cell r="D9">
            <v>3.6727712318755636E-2</v>
          </cell>
        </row>
        <row r="10">
          <cell r="D10">
            <v>2.3835550423699774E-2</v>
          </cell>
        </row>
        <row r="11">
          <cell r="D11">
            <v>3.4773485341240841E-2</v>
          </cell>
        </row>
        <row r="18">
          <cell r="D18">
            <v>5.279665233179142E-2</v>
          </cell>
        </row>
        <row r="26">
          <cell r="D26">
            <v>0.3789013010017413</v>
          </cell>
        </row>
        <row r="27">
          <cell r="D27">
            <v>0.50718024430472242</v>
          </cell>
        </row>
        <row r="28">
          <cell r="D28">
            <v>0.11391845469353627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U58"/>
  <sheetViews>
    <sheetView tabSelected="1" zoomScale="75" workbookViewId="0">
      <selection activeCell="E37" sqref="E37"/>
    </sheetView>
  </sheetViews>
  <sheetFormatPr defaultColWidth="9.109375" defaultRowHeight="13.2" x14ac:dyDescent="0.25"/>
  <cols>
    <col min="1" max="1" width="20.6640625" customWidth="1"/>
    <col min="2" max="2" width="10.6640625" style="1" customWidth="1"/>
    <col min="3" max="3" width="15.6640625" style="30" customWidth="1"/>
    <col min="4" max="4" width="10.6640625" style="11" customWidth="1"/>
    <col min="5" max="5" width="15.6640625" style="2" customWidth="1"/>
    <col min="6" max="6" width="2.5546875" customWidth="1"/>
    <col min="7" max="7" width="20.6640625" customWidth="1"/>
    <col min="8" max="8" width="12.6640625" customWidth="1"/>
    <col min="9" max="9" width="2.5546875" customWidth="1"/>
    <col min="10" max="20" width="12.6640625" style="65" customWidth="1"/>
    <col min="21" max="21" width="10.88671875" customWidth="1"/>
  </cols>
  <sheetData>
    <row r="1" spans="1:21" ht="15.6" x14ac:dyDescent="0.3">
      <c r="A1" s="5" t="s">
        <v>374</v>
      </c>
      <c r="B1" s="3"/>
    </row>
    <row r="2" spans="1:21" ht="15.6" x14ac:dyDescent="0.3">
      <c r="A2" s="5" t="s">
        <v>260</v>
      </c>
      <c r="B2" s="3"/>
    </row>
    <row r="4" spans="1:21" x14ac:dyDescent="0.25">
      <c r="C4" s="31" t="s">
        <v>107</v>
      </c>
      <c r="D4" s="14" t="s">
        <v>108</v>
      </c>
      <c r="E4" s="50" t="s">
        <v>109</v>
      </c>
    </row>
    <row r="5" spans="1:21" s="6" customFormat="1" x14ac:dyDescent="0.25">
      <c r="A5" s="6" t="s">
        <v>323</v>
      </c>
      <c r="B5" s="3" t="s">
        <v>12</v>
      </c>
      <c r="C5" s="31"/>
      <c r="D5" s="14" t="s">
        <v>4</v>
      </c>
      <c r="E5" s="50" t="s">
        <v>22</v>
      </c>
      <c r="J5" s="89"/>
      <c r="K5" s="89"/>
      <c r="L5" s="89"/>
      <c r="M5" s="89"/>
      <c r="N5" s="89"/>
      <c r="O5" s="89"/>
      <c r="P5" s="89"/>
      <c r="Q5" s="89"/>
      <c r="R5" s="89"/>
      <c r="S5" s="89"/>
      <c r="T5" s="89"/>
    </row>
    <row r="6" spans="1:21" s="6" customFormat="1" x14ac:dyDescent="0.25">
      <c r="A6" s="6" t="s">
        <v>0</v>
      </c>
      <c r="B6" s="3" t="s">
        <v>371</v>
      </c>
      <c r="C6" s="31" t="s">
        <v>4</v>
      </c>
      <c r="D6" s="14" t="s">
        <v>18</v>
      </c>
      <c r="E6" s="50" t="s">
        <v>23</v>
      </c>
      <c r="H6" s="3" t="s">
        <v>488</v>
      </c>
      <c r="I6" s="3"/>
      <c r="J6" s="17" t="s">
        <v>447</v>
      </c>
      <c r="K6" s="17" t="s">
        <v>446</v>
      </c>
      <c r="L6" s="17" t="s">
        <v>443</v>
      </c>
      <c r="M6" s="17" t="s">
        <v>444</v>
      </c>
      <c r="N6" s="17" t="s">
        <v>445</v>
      </c>
      <c r="O6" s="17" t="s">
        <v>450</v>
      </c>
      <c r="P6" s="17" t="s">
        <v>451</v>
      </c>
      <c r="Q6" s="17" t="s">
        <v>453</v>
      </c>
      <c r="R6" s="17" t="s">
        <v>454</v>
      </c>
      <c r="S6" s="17" t="s">
        <v>459</v>
      </c>
      <c r="T6" s="17" t="s">
        <v>461</v>
      </c>
      <c r="U6" s="6" t="s">
        <v>482</v>
      </c>
    </row>
    <row r="7" spans="1:21" x14ac:dyDescent="0.25">
      <c r="H7" s="3"/>
      <c r="I7" s="3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</row>
    <row r="8" spans="1:21" x14ac:dyDescent="0.25">
      <c r="A8" s="6" t="s">
        <v>90</v>
      </c>
    </row>
    <row r="9" spans="1:21" x14ac:dyDescent="0.25">
      <c r="A9" t="s">
        <v>129</v>
      </c>
      <c r="B9" s="1" t="s">
        <v>14</v>
      </c>
      <c r="C9" s="30">
        <f>'Vol Data'!$I$20</f>
        <v>670396</v>
      </c>
      <c r="D9" s="11">
        <f t="shared" ref="D9:D14" si="0">C9/$C$42</f>
        <v>5.726925346297812E-2</v>
      </c>
      <c r="E9" s="2">
        <f>'MP Cost Adjustments'!$H$15</f>
        <v>1.3228000663984778</v>
      </c>
      <c r="F9" s="69"/>
      <c r="G9" s="90" t="s">
        <v>14</v>
      </c>
      <c r="H9" s="30">
        <f>C9+C10+C19+C20+C31+C32</f>
        <v>5795330</v>
      </c>
      <c r="I9" s="30"/>
      <c r="J9" s="65">
        <f>'[1]MP Summary'!$I$9</f>
        <v>0.25566517387425003</v>
      </c>
      <c r="K9" s="65">
        <f>'[2]MP Summary'!$I$9</f>
        <v>0.25305123216693048</v>
      </c>
      <c r="L9" s="65">
        <f>'[3]MP Summary'!$I$9</f>
        <v>0.30656361210520877</v>
      </c>
      <c r="M9" s="65">
        <f>'[4]MP Summary'!$I$9</f>
        <v>0.28799236206888479</v>
      </c>
      <c r="N9" s="65">
        <f>'[5]MP Summary'!$I$9</f>
        <v>0.35479901275733422</v>
      </c>
      <c r="O9" s="65">
        <f>'[6]MP Summary'!$I$9</f>
        <v>0.40556063252911212</v>
      </c>
      <c r="P9" s="65">
        <f>'[7]MP Summary'!$I$9</f>
        <v>0.40129628641030557</v>
      </c>
      <c r="Q9" s="65">
        <f>'[8]MP Summary'!$P$9</f>
        <v>0.39086773196355939</v>
      </c>
      <c r="R9" s="65">
        <f>'[9]MP Summary'!$Q$9</f>
        <v>0.37313654571643912</v>
      </c>
      <c r="S9" s="65">
        <f>'[10]MP Summary'!$R$9</f>
        <v>0.38815074426937024</v>
      </c>
      <c r="T9" s="65">
        <f>'[11]MP Summary'!$T$9</f>
        <v>0.43662907876819201</v>
      </c>
      <c r="U9" s="136">
        <f>H9/$H$13</f>
        <v>0.52087539833014784</v>
      </c>
    </row>
    <row r="10" spans="1:21" x14ac:dyDescent="0.25">
      <c r="A10" t="s">
        <v>130</v>
      </c>
      <c r="B10" s="1" t="s">
        <v>14</v>
      </c>
      <c r="C10" s="30">
        <f>'Vol Data'!$I$21</f>
        <v>400984</v>
      </c>
      <c r="D10" s="11">
        <f t="shared" si="0"/>
        <v>3.4254462035272909E-2</v>
      </c>
      <c r="E10" s="2">
        <f>'MP Cost Adjustments'!$H$16</f>
        <v>0.96968742094540228</v>
      </c>
      <c r="F10" s="69"/>
      <c r="G10" s="90" t="s">
        <v>128</v>
      </c>
      <c r="H10" s="30">
        <f>C11+C12+C21+C22+C25+C33+C34+C37</f>
        <v>2901013</v>
      </c>
      <c r="I10" s="30"/>
      <c r="J10" s="65">
        <f>'[1]MP Summary'!$I$10</f>
        <v>0.26055707694333635</v>
      </c>
      <c r="K10" s="65">
        <f>'[2]MP Summary'!$I$10</f>
        <v>0.23088462888683553</v>
      </c>
      <c r="L10" s="65">
        <f>'[3]MP Summary'!$I$10</f>
        <v>0.19211897267346295</v>
      </c>
      <c r="M10" s="65">
        <f>'[4]MP Summary'!$I$10</f>
        <v>0.22782285696966142</v>
      </c>
      <c r="N10" s="65">
        <f>'[5]MP Summary'!$I$10</f>
        <v>0.23086443878185506</v>
      </c>
      <c r="O10" s="65">
        <f>'[6]MP Summary'!$I$10</f>
        <v>0.20361308401103831</v>
      </c>
      <c r="P10" s="65">
        <f>'[7]MP Summary'!$I$10</f>
        <v>0.18787058544110727</v>
      </c>
      <c r="Q10" s="65">
        <f>'[8]MP Summary'!$P$10</f>
        <v>0.17439960216693112</v>
      </c>
      <c r="R10" s="65">
        <f>'[9]MP Summary'!$Q$10</f>
        <v>0.19317385304773427</v>
      </c>
      <c r="S10" s="65">
        <f>'[10]MP Summary'!$R$10</f>
        <v>0.24338288832539609</v>
      </c>
      <c r="T10" s="65">
        <f>'[11]MP Summary'!$T$10</f>
        <v>0.27132453633352527</v>
      </c>
      <c r="U10" s="136">
        <f t="shared" ref="U10:U12" si="1">H10/$H$13</f>
        <v>0.2607386122853983</v>
      </c>
    </row>
    <row r="11" spans="1:21" x14ac:dyDescent="0.25">
      <c r="A11" t="s">
        <v>130</v>
      </c>
      <c r="B11" s="1" t="s">
        <v>128</v>
      </c>
      <c r="C11" s="30">
        <f>'Vol Data'!$I$22</f>
        <v>1729284</v>
      </c>
      <c r="D11" s="11">
        <f t="shared" si="0"/>
        <v>0.1477258272804024</v>
      </c>
      <c r="E11" s="2">
        <f>'MP Cost Adjustments'!$H$17</f>
        <v>0.95314039460448385</v>
      </c>
      <c r="F11" s="69"/>
      <c r="G11" s="90" t="s">
        <v>15</v>
      </c>
      <c r="H11" s="30">
        <f>C13+C26+C27+C38+C39</f>
        <v>2424346</v>
      </c>
      <c r="I11" s="30"/>
      <c r="J11" s="65">
        <f>'[1]MP Summary'!$I$11</f>
        <v>0.29034165792036803</v>
      </c>
      <c r="K11" s="65">
        <f>'[2]MP Summary'!$I$11</f>
        <v>0.30771953111160738</v>
      </c>
      <c r="L11" s="65">
        <f>'[3]MP Summary'!$I$11</f>
        <v>0.3753713942191706</v>
      </c>
      <c r="M11" s="65">
        <f>'[4]MP Summary'!$I$11</f>
        <v>0.32715846834297357</v>
      </c>
      <c r="N11" s="65">
        <f>'[5]MP Summary'!$I$11</f>
        <v>0.30624084171502286</v>
      </c>
      <c r="O11" s="65">
        <f>'[6]MP Summary'!$I$11</f>
        <v>0.25308584167868964</v>
      </c>
      <c r="P11" s="65">
        <f>'[7]MP Summary'!$I$11</f>
        <v>0.26129558369794481</v>
      </c>
      <c r="Q11" s="65">
        <f>'[8]MP Summary'!$P$11</f>
        <v>0.28927367991032743</v>
      </c>
      <c r="R11" s="65">
        <f>'[9]MP Summary'!$Q$11</f>
        <v>0.25193691137860008</v>
      </c>
      <c r="S11" s="65">
        <f>'[10]MP Summary'!$R$11</f>
        <v>0.18580453841273378</v>
      </c>
      <c r="T11" s="65">
        <f>'[11]MP Summary'!$T$11</f>
        <v>0.16281448528935424</v>
      </c>
      <c r="U11" s="136">
        <f t="shared" si="1"/>
        <v>0.21789651123233719</v>
      </c>
    </row>
    <row r="12" spans="1:21" x14ac:dyDescent="0.25">
      <c r="A12" t="s">
        <v>1</v>
      </c>
      <c r="B12" s="1" t="s">
        <v>128</v>
      </c>
      <c r="C12" s="30">
        <f>'Vol Data'!$I$23</f>
        <v>6159</v>
      </c>
      <c r="D12" s="11">
        <f t="shared" si="0"/>
        <v>5.2613877779473964E-4</v>
      </c>
      <c r="E12" s="2">
        <f>'MP Cost Adjustments'!$H$18</f>
        <v>0.43264469668652578</v>
      </c>
      <c r="F12" s="69"/>
      <c r="G12" s="90" t="s">
        <v>16</v>
      </c>
      <c r="H12" s="32">
        <f>C14+C28+C40</f>
        <v>5446</v>
      </c>
      <c r="I12" s="32"/>
      <c r="J12" s="91">
        <f>'[1]MP Summary'!$I$12</f>
        <v>0.19343609126204558</v>
      </c>
      <c r="K12" s="91">
        <f>'[2]MP Summary'!$I$12</f>
        <v>0.20834460783462661</v>
      </c>
      <c r="L12" s="91">
        <f>'[3]MP Summary'!$I$12</f>
        <v>0.12594602100215768</v>
      </c>
      <c r="M12" s="91">
        <f>'[4]MP Summary'!$I$12</f>
        <v>0.15702631261848021</v>
      </c>
      <c r="N12" s="91">
        <f>'[5]MP Summary'!$I$12</f>
        <v>0.10809570674578785</v>
      </c>
      <c r="O12" s="91">
        <f>'[6]MP Summary'!$I$12</f>
        <v>0.13774044178115991</v>
      </c>
      <c r="P12" s="91">
        <f>'[7]MP Summary'!$I$12</f>
        <v>0.14953754445064235</v>
      </c>
      <c r="Q12" s="91">
        <f>'[8]MP Summary'!$P$12</f>
        <v>0.14545898595918208</v>
      </c>
      <c r="R12" s="91">
        <f>'[9]MP Summary'!$Q$12</f>
        <v>0.18175268985722653</v>
      </c>
      <c r="S12" s="91">
        <f>'[10]MP Summary'!$R$12</f>
        <v>0.18266182899249989</v>
      </c>
      <c r="T12" s="65">
        <f>'[11]MP Summary'!$T$12</f>
        <v>0.12923189960892845</v>
      </c>
      <c r="U12" s="136">
        <f t="shared" si="1"/>
        <v>4.8947815211661553E-4</v>
      </c>
    </row>
    <row r="13" spans="1:21" x14ac:dyDescent="0.25">
      <c r="A13" t="s">
        <v>1</v>
      </c>
      <c r="B13" s="1" t="s">
        <v>15</v>
      </c>
      <c r="C13" s="30">
        <f>'Vol Data'!$I$24</f>
        <v>32567</v>
      </c>
      <c r="D13" s="11">
        <f t="shared" si="0"/>
        <v>2.7820687735738408E-3</v>
      </c>
      <c r="E13" s="2">
        <f>'MP Cost Adjustments'!$H$19</f>
        <v>0.41239553570723042</v>
      </c>
      <c r="F13" s="69"/>
      <c r="H13" s="30">
        <f t="shared" ref="H13:T13" si="2">SUM(H9:H12)</f>
        <v>11126135</v>
      </c>
      <c r="I13" s="30"/>
      <c r="J13" s="65">
        <f t="shared" si="2"/>
        <v>1</v>
      </c>
      <c r="K13" s="65">
        <f t="shared" si="2"/>
        <v>1</v>
      </c>
      <c r="L13" s="65">
        <f t="shared" si="2"/>
        <v>1</v>
      </c>
      <c r="M13" s="65">
        <f t="shared" si="2"/>
        <v>1</v>
      </c>
      <c r="N13" s="65">
        <f t="shared" si="2"/>
        <v>1</v>
      </c>
      <c r="O13" s="65">
        <f t="shared" si="2"/>
        <v>1</v>
      </c>
      <c r="P13" s="65">
        <f t="shared" si="2"/>
        <v>1</v>
      </c>
      <c r="Q13" s="65">
        <f t="shared" ref="Q13" si="3">SUM(Q9:Q12)</f>
        <v>1.0000000000000002</v>
      </c>
      <c r="R13" s="65">
        <f>SUM(R9:R12)</f>
        <v>1</v>
      </c>
      <c r="S13" s="65">
        <f>SUM(S9:S12)</f>
        <v>1</v>
      </c>
      <c r="T13" s="65">
        <f t="shared" si="2"/>
        <v>1</v>
      </c>
      <c r="U13" s="136">
        <v>1</v>
      </c>
    </row>
    <row r="14" spans="1:21" x14ac:dyDescent="0.25">
      <c r="A14" s="9" t="s">
        <v>1</v>
      </c>
      <c r="B14" s="1" t="s">
        <v>16</v>
      </c>
      <c r="C14" s="30">
        <f>'Vol Data'!$I$25</f>
        <v>5446</v>
      </c>
      <c r="D14" s="11">
        <f t="shared" si="0"/>
        <v>4.6523003472481766E-4</v>
      </c>
      <c r="E14" s="2">
        <f>'MP Cost Adjustments'!$H$20</f>
        <v>0.35921618146949302</v>
      </c>
      <c r="F14" s="69"/>
      <c r="G14" s="65"/>
      <c r="U14" s="136"/>
    </row>
    <row r="15" spans="1:21" x14ac:dyDescent="0.25">
      <c r="A15" s="159" t="s">
        <v>500</v>
      </c>
      <c r="B15" s="155"/>
      <c r="C15" s="156"/>
      <c r="D15" s="157"/>
      <c r="E15" s="158">
        <f>SUMPRODUCT(C12:C14,E12:E14)/SUM(C12:C14)</f>
        <v>0.40866239750413252</v>
      </c>
      <c r="F15" s="69"/>
      <c r="G15" s="65"/>
      <c r="U15" s="136"/>
    </row>
    <row r="16" spans="1:21" x14ac:dyDescent="0.25">
      <c r="F16" s="69"/>
      <c r="G16" s="65"/>
      <c r="U16" s="136"/>
    </row>
    <row r="17" spans="1:21" x14ac:dyDescent="0.25">
      <c r="F17" s="69"/>
      <c r="G17" s="90" t="s">
        <v>425</v>
      </c>
      <c r="H17" s="30">
        <f>C9+C19+C31</f>
        <v>4144045</v>
      </c>
      <c r="I17" s="30"/>
      <c r="J17" s="65">
        <f>'[1]MP Summary'!$I$15</f>
        <v>0.21284506052149085</v>
      </c>
      <c r="K17" s="65">
        <f>'[2]MP Summary'!$I$15</f>
        <v>0.21299023474955744</v>
      </c>
      <c r="L17" s="65">
        <f>'[3]MP Summary'!$I$15</f>
        <v>0.24918608686577054</v>
      </c>
      <c r="M17" s="65">
        <f>'[4]MP Summary'!$I$15</f>
        <v>0.23236796317155012</v>
      </c>
      <c r="N17" s="65">
        <f>'[5]MP Summary'!$I$15</f>
        <v>0.25401270437551771</v>
      </c>
      <c r="O17" s="65">
        <f>'[6]MP Summary'!$I$15</f>
        <v>0.26498269816966891</v>
      </c>
      <c r="P17" s="65">
        <f>'[7]MP Summary'!$I$15</f>
        <v>0.27654604890442241</v>
      </c>
      <c r="Q17" s="65">
        <f>'[8]MP Summary'!$P$15</f>
        <v>0.29495500562662641</v>
      </c>
      <c r="R17" s="65">
        <f>'[9]MP Summary'!$P$15</f>
        <v>0.29495500562662641</v>
      </c>
      <c r="S17" s="65">
        <f>'[10]MP Summary'!$R$15</f>
        <v>0.26865797280012504</v>
      </c>
      <c r="T17" s="65">
        <f>'[11]MP Summary'!$T$15</f>
        <v>0.29457256001200499</v>
      </c>
      <c r="U17" s="136">
        <f>H17/$H$21</f>
        <v>0.37246042763277631</v>
      </c>
    </row>
    <row r="18" spans="1:21" x14ac:dyDescent="0.25">
      <c r="A18" s="6" t="s">
        <v>493</v>
      </c>
      <c r="F18" s="69"/>
      <c r="G18" s="90" t="s">
        <v>426</v>
      </c>
      <c r="H18" s="30">
        <f>C10+C11+C20+C21+C32+C33</f>
        <v>3986149</v>
      </c>
      <c r="I18" s="30"/>
      <c r="J18" s="65">
        <f>'[1]MP Summary'!$I$16</f>
        <v>0.19257049511124821</v>
      </c>
      <c r="K18" s="65">
        <f>'[2]MP Summary'!$I$16</f>
        <v>0.15191309246700896</v>
      </c>
      <c r="L18" s="65">
        <f>'[3]MP Summary'!$I$16</f>
        <v>0.1708215045339313</v>
      </c>
      <c r="M18" s="65">
        <f>'[4]MP Summary'!$I$16</f>
        <v>0.18081532869396455</v>
      </c>
      <c r="N18" s="65">
        <f>'[5]MP Summary'!$I$16</f>
        <v>0.24325175470092225</v>
      </c>
      <c r="O18" s="65">
        <f>'[6]MP Summary'!$I$16</f>
        <v>0.28661585943329687</v>
      </c>
      <c r="P18" s="65">
        <f>'[7]MP Summary'!$I$16</f>
        <v>0.27354413251520909</v>
      </c>
      <c r="Q18" s="65">
        <f>'[8]MP Summary'!$P$16</f>
        <v>0.2319478896112637</v>
      </c>
      <c r="R18" s="65">
        <f>'[9]MP Summary'!$P$16</f>
        <v>0.2319478896112637</v>
      </c>
      <c r="S18" s="65">
        <f>'[10]MP Summary'!$R$16</f>
        <v>0.32586789318046461</v>
      </c>
      <c r="T18" s="65">
        <f>'[11]MP Summary'!$T$16</f>
        <v>0.37233788923961864</v>
      </c>
      <c r="U18" s="136">
        <f t="shared" ref="U18:U20" si="4">H18/$H$21</f>
        <v>0.35826897660328588</v>
      </c>
    </row>
    <row r="19" spans="1:21" x14ac:dyDescent="0.25">
      <c r="A19" t="s">
        <v>489</v>
      </c>
      <c r="B19" s="1" t="s">
        <v>14</v>
      </c>
      <c r="C19" s="30">
        <f>'Vol Data'!$I$9</f>
        <v>1347699</v>
      </c>
      <c r="D19" s="11">
        <f>C19/$C$42</f>
        <v>0.11512854435706978</v>
      </c>
      <c r="E19" s="2">
        <f>('MP Cost Adjustments'!$D$23*'MP Cost Adjustments'!$H$23+'MP Cost Adjustments'!$D$33*'MP Cost Adjustments'!$H$33)/('MP Cost Adjustments'!$D$23+'MP Cost Adjustments'!$D$33)</f>
        <v>1.4786327206204755</v>
      </c>
      <c r="F19" s="69"/>
      <c r="G19" s="90" t="s">
        <v>427</v>
      </c>
      <c r="H19" s="30">
        <f>C22+C26+C34+C38</f>
        <v>2512374</v>
      </c>
      <c r="I19" s="30"/>
      <c r="J19" s="65">
        <f>'[1]MP Summary'!$I$17</f>
        <v>0.17148004048054649</v>
      </c>
      <c r="K19" s="65">
        <f>'[2]MP Summary'!$I$17</f>
        <v>0.21245375909734124</v>
      </c>
      <c r="L19" s="65">
        <f>'[3]MP Summary'!$I$17</f>
        <v>0.26815547215182228</v>
      </c>
      <c r="M19" s="65">
        <f>'[4]MP Summary'!$I$17</f>
        <v>0.19538321118869678</v>
      </c>
      <c r="N19" s="65">
        <f>'[5]MP Summary'!$I$17</f>
        <v>0.168031370718256</v>
      </c>
      <c r="O19" s="65">
        <f>'[6]MP Summary'!$I$17</f>
        <v>0.10662492690867183</v>
      </c>
      <c r="P19" s="65">
        <f>'[7]MP Summary'!$I$17</f>
        <v>0.10549834290620043</v>
      </c>
      <c r="Q19" s="65">
        <f>'[8]MP Summary'!$P$17</f>
        <v>0.13995597825779324</v>
      </c>
      <c r="R19" s="65">
        <f>'[9]MP Summary'!$P$17</f>
        <v>0.13995597825779324</v>
      </c>
      <c r="S19" s="65">
        <f>'[10]MP Summary'!$R$17</f>
        <v>7.3261673356405627E-2</v>
      </c>
      <c r="T19" s="65">
        <f>'[11]MP Summary'!$T$17</f>
        <v>5.7009280947700414E-2</v>
      </c>
      <c r="U19" s="136">
        <f t="shared" si="4"/>
        <v>0.22580833326217956</v>
      </c>
    </row>
    <row r="20" spans="1:21" x14ac:dyDescent="0.25">
      <c r="A20" t="s">
        <v>490</v>
      </c>
      <c r="B20" s="1" t="s">
        <v>14</v>
      </c>
      <c r="C20" s="30">
        <f>'Vol Data'!$I$10</f>
        <v>405562</v>
      </c>
      <c r="D20" s="11">
        <f>C20/$C$42</f>
        <v>3.464554229582565E-2</v>
      </c>
      <c r="E20" s="2">
        <f>('MP Cost Adjustments'!$D$24*'MP Cost Adjustments'!$H$24+'MP Cost Adjustments'!$D$34*'MP Cost Adjustments'!$H$34)/('MP Cost Adjustments'!$D$24+'MP Cost Adjustments'!$D$34)</f>
        <v>1.3870348226864115</v>
      </c>
      <c r="F20" s="69"/>
      <c r="G20" s="90" t="s">
        <v>428</v>
      </c>
      <c r="H20" s="32">
        <f>C12+C13+C14+C25+C27+C28+C37+C39+C40</f>
        <v>483567</v>
      </c>
      <c r="I20" s="32"/>
      <c r="J20" s="91">
        <f>'[1]MP Summary'!$I$18</f>
        <v>0.42310440388671444</v>
      </c>
      <c r="K20" s="91">
        <f>'[2]MP Summary'!$I$18</f>
        <v>0.42264291368609236</v>
      </c>
      <c r="L20" s="91">
        <f>'[3]MP Summary'!$I$18</f>
        <v>0.31183693644847588</v>
      </c>
      <c r="M20" s="91">
        <f>'[4]MP Summary'!$I$18</f>
        <v>0.39143349694578861</v>
      </c>
      <c r="N20" s="91">
        <f>'[5]MP Summary'!$I$18</f>
        <v>0.33470417020530402</v>
      </c>
      <c r="O20" s="91">
        <f>'[6]MP Summary'!$I$18</f>
        <v>0.34177651548836241</v>
      </c>
      <c r="P20" s="91">
        <f>'[7]MP Summary'!$I$18</f>
        <v>0.34441147567416808</v>
      </c>
      <c r="Q20" s="91">
        <f>'[8]MP Summary'!$P$18</f>
        <v>0.33314112650431665</v>
      </c>
      <c r="R20" s="91">
        <f>'[9]MP Summary'!$P$18</f>
        <v>0.33314112650431665</v>
      </c>
      <c r="S20" s="91">
        <f>'[10]MP Summary'!$R$18</f>
        <v>0.33221246066300475</v>
      </c>
      <c r="T20" s="65">
        <f>'[11]MP Summary'!$T$18</f>
        <v>0.27608026980067596</v>
      </c>
      <c r="U20" s="136">
        <f t="shared" si="4"/>
        <v>4.3462262501758248E-2</v>
      </c>
    </row>
    <row r="21" spans="1:21" x14ac:dyDescent="0.25">
      <c r="A21" t="s">
        <v>490</v>
      </c>
      <c r="B21" s="1" t="s">
        <v>128</v>
      </c>
      <c r="C21" s="30">
        <f>'Vol Data'!$I$11</f>
        <v>468927</v>
      </c>
      <c r="D21" s="11">
        <f>C21/$C$42</f>
        <v>4.0058561236394521E-2</v>
      </c>
      <c r="E21" s="2">
        <f>('MP Cost Adjustments'!$D$25*'MP Cost Adjustments'!$H$25+'MP Cost Adjustments'!$D$35*'MP Cost Adjustments'!$H$35)/('MP Cost Adjustments'!$D$25+'MP Cost Adjustments'!$D$35)</f>
        <v>1.3784601426097973</v>
      </c>
      <c r="F21" s="69"/>
      <c r="G21" s="65"/>
      <c r="H21" s="30">
        <f t="shared" ref="H21:T21" si="5">SUM(H17:H20)</f>
        <v>11126135</v>
      </c>
      <c r="I21" s="30"/>
      <c r="J21" s="65">
        <f t="shared" si="5"/>
        <v>1</v>
      </c>
      <c r="K21" s="65">
        <f t="shared" si="5"/>
        <v>1</v>
      </c>
      <c r="L21" s="65">
        <f t="shared" si="5"/>
        <v>1</v>
      </c>
      <c r="M21" s="65">
        <f t="shared" si="5"/>
        <v>1</v>
      </c>
      <c r="N21" s="65">
        <f t="shared" si="5"/>
        <v>1</v>
      </c>
      <c r="O21" s="65">
        <f t="shared" si="5"/>
        <v>1</v>
      </c>
      <c r="P21" s="65">
        <f t="shared" si="5"/>
        <v>1</v>
      </c>
      <c r="Q21" s="65">
        <f t="shared" ref="Q21" si="6">SUM(Q17:Q20)</f>
        <v>1</v>
      </c>
      <c r="R21" s="65">
        <f>SUM(R17:R20)</f>
        <v>1</v>
      </c>
      <c r="S21" s="65">
        <f>SUM(S17:S20)</f>
        <v>1</v>
      </c>
      <c r="T21" s="65">
        <f t="shared" si="5"/>
        <v>1</v>
      </c>
      <c r="U21" s="136">
        <v>1</v>
      </c>
    </row>
    <row r="22" spans="1:21" x14ac:dyDescent="0.25">
      <c r="A22" s="9" t="s">
        <v>491</v>
      </c>
      <c r="B22" s="1" t="s">
        <v>484</v>
      </c>
      <c r="C22" s="30">
        <f>'Vol Data'!$I$13+'Vol Data'!I12</f>
        <v>388379</v>
      </c>
      <c r="D22" s="11">
        <f>C22/$C$42</f>
        <v>3.3177667215642664E-2</v>
      </c>
      <c r="E22" s="2">
        <f>('MP Cost Adjustments'!$D$26*'MP Cost Adjustments'!$H$26+'MP Cost Adjustments'!$D$36*'MP Cost Adjustments'!$H$36)/('MP Cost Adjustments'!$D$26+'MP Cost Adjustments'!$D$36)</f>
        <v>1.1498790762420095</v>
      </c>
      <c r="F22" s="69"/>
      <c r="G22" s="65"/>
      <c r="U22" s="136"/>
    </row>
    <row r="23" spans="1:21" x14ac:dyDescent="0.25">
      <c r="A23" s="9" t="s">
        <v>491</v>
      </c>
      <c r="B23" s="1" t="s">
        <v>15</v>
      </c>
      <c r="C23" s="30">
        <f>'Vol Data'!$I$15</f>
        <v>453672</v>
      </c>
      <c r="D23" s="11">
        <f>C23/$C$42</f>
        <v>3.8755387497920943E-2</v>
      </c>
      <c r="E23" s="2">
        <f>('MP Cost Adjustments'!$D$28*'MP Cost Adjustments'!$H$28+'MP Cost Adjustments'!$D$38*'MP Cost Adjustments'!$H$38)/('MP Cost Adjustments'!$D$28+'MP Cost Adjustments'!$D$38)</f>
        <v>1.1461197280398727</v>
      </c>
      <c r="F23" s="69"/>
      <c r="G23" s="65"/>
      <c r="U23" s="136"/>
    </row>
    <row r="24" spans="1:21" x14ac:dyDescent="0.25">
      <c r="A24" s="159" t="s">
        <v>496</v>
      </c>
      <c r="B24" s="155"/>
      <c r="C24" s="156"/>
      <c r="D24" s="157"/>
      <c r="E24" s="158">
        <f>SUMPRODUCT(C22:C23,E22:E23)/SUM(C22:C23)</f>
        <v>1.1478536513953437</v>
      </c>
      <c r="F24" s="69"/>
      <c r="G24" s="65"/>
      <c r="U24" s="136"/>
    </row>
    <row r="25" spans="1:21" x14ac:dyDescent="0.25">
      <c r="A25" t="s">
        <v>492</v>
      </c>
      <c r="B25" s="1" t="s">
        <v>128</v>
      </c>
      <c r="C25" s="30">
        <f>'Vol Data'!$I$14</f>
        <v>111340</v>
      </c>
      <c r="D25" s="11">
        <f>C25/$C$42</f>
        <v>9.5113316317042215E-3</v>
      </c>
      <c r="E25" s="2">
        <f>('MP Cost Adjustments'!$D$27*'MP Cost Adjustments'!$H$27+'MP Cost Adjustments'!$D$37*'MP Cost Adjustments'!$H$37)/('MP Cost Adjustments'!$D$27+'MP Cost Adjustments'!$D$37)</f>
        <v>0.41445108687163595</v>
      </c>
      <c r="F25" s="69"/>
      <c r="G25" s="65"/>
      <c r="U25" s="136"/>
    </row>
    <row r="26" spans="1:21" x14ac:dyDescent="0.25">
      <c r="A26" t="s">
        <v>492</v>
      </c>
      <c r="B26" s="1" t="s">
        <v>15</v>
      </c>
      <c r="C26" s="30">
        <f>'Vol Data'!$I$16</f>
        <v>111784</v>
      </c>
      <c r="D26" s="11">
        <f>C26/$C$42</f>
        <v>9.5492607788613681E-3</v>
      </c>
      <c r="E26" s="2">
        <f>('MP Cost Adjustments'!$D$29*'MP Cost Adjustments'!$H$29+'MP Cost Adjustments'!$D$39*'MP Cost Adjustments'!$H$39)/('MP Cost Adjustments'!$D$29+'MP Cost Adjustments'!$D$39)</f>
        <v>0.39145624839165161</v>
      </c>
      <c r="F26" s="69"/>
      <c r="G26" s="65" t="s">
        <v>90</v>
      </c>
      <c r="H26" s="30">
        <f>SUM(C9:C14)</f>
        <v>2844836</v>
      </c>
      <c r="I26" s="30"/>
      <c r="J26" s="65">
        <f>SUM('[1]MP Summary'!$D$9:$D$14)</f>
        <v>0.15032548167845527</v>
      </c>
      <c r="K26" s="65">
        <f>SUM('[2]MP Summary'!$D$9:$D$14)</f>
        <v>0.14022772459629973</v>
      </c>
      <c r="L26" s="65">
        <f>SUM('[3]MP Summary'!$D$9:$D$14)</f>
        <v>0.13582223454494313</v>
      </c>
      <c r="M26" s="65">
        <f>SUM('[4]MP Summary'!$D$9:$D$14)</f>
        <v>0.16126364439905999</v>
      </c>
      <c r="N26" s="65">
        <f>SUM('[5]MP Summary'!$D$9:$D$14)</f>
        <v>0.19976711444336342</v>
      </c>
      <c r="O26" s="65">
        <f>SUM('[6]MP Summary'!$D$9:$D$14)</f>
        <v>0.18849858136222541</v>
      </c>
      <c r="P26" s="65">
        <f>SUM('[7]MP Summary'!$D$9:$D$14)</f>
        <v>0.2166139995554936</v>
      </c>
      <c r="Q26" s="65">
        <f>'[8]MP Summary'!$P$22</f>
        <v>0.19831926020941731</v>
      </c>
      <c r="R26" s="65">
        <f>'[9]MP Summary'!$P$22</f>
        <v>0.19831926020941731</v>
      </c>
      <c r="S26" s="65">
        <f>'[10]MP Summary'!$R$22</f>
        <v>0.25642046113273076</v>
      </c>
      <c r="T26" s="65">
        <f>'[11]MP Summary'!$T$22</f>
        <v>0.27539304187064551</v>
      </c>
      <c r="U26" s="136">
        <v>0.24576646106044364</v>
      </c>
    </row>
    <row r="27" spans="1:21" x14ac:dyDescent="0.25">
      <c r="A27" t="s">
        <v>492</v>
      </c>
      <c r="B27" s="1" t="s">
        <v>16</v>
      </c>
      <c r="C27" s="30">
        <f>'Vol Data'!$I$17</f>
        <v>2877</v>
      </c>
      <c r="D27" s="11">
        <f>C27/$C$42</f>
        <v>2.4577062245745507E-4</v>
      </c>
      <c r="E27" s="2">
        <f>('MP Cost Adjustments'!$D$30*'MP Cost Adjustments'!$H$30+'MP Cost Adjustments'!$D$40*'MP Cost Adjustments'!$H$40)/('MP Cost Adjustments'!$D$30+'MP Cost Adjustments'!$D$40)</f>
        <v>0.35894375797673644</v>
      </c>
      <c r="F27" s="69"/>
      <c r="G27" s="65" t="s">
        <v>91</v>
      </c>
      <c r="H27" s="87">
        <f>SUM(C19:C28)</f>
        <v>3290240</v>
      </c>
      <c r="I27" s="87"/>
      <c r="J27" s="65">
        <f>SUM('[1]MP Summary'!$D$17:$D$24)</f>
        <v>0.10722375646829846</v>
      </c>
      <c r="K27" s="65">
        <f>SUM('[2]MP Summary'!$D$17:$D$24)</f>
        <v>0.10702189429397221</v>
      </c>
      <c r="L27" s="65">
        <f>SUM('[3]MP Summary'!$D$17:$D$24)</f>
        <v>0.15373909049027074</v>
      </c>
      <c r="M27" s="65">
        <f>SUM('[4]MP Summary'!$D$17:$D$24)</f>
        <v>0.1404482122100939</v>
      </c>
      <c r="N27" s="65">
        <f>SUM('[5]MP Summary'!$D$17:$D$24)</f>
        <v>0.16275013212981138</v>
      </c>
      <c r="O27" s="65">
        <f>SUM('[6]MP Summary'!$D$17:$D$24)</f>
        <v>0.13547175531879971</v>
      </c>
      <c r="P27" s="65">
        <f>SUM('[7]MP Summary'!$D$17:$D$24)</f>
        <v>0.15088468217790715</v>
      </c>
      <c r="Q27" s="65">
        <f>'[8]MP Summary'!$P$23</f>
        <v>0.15412880894859329</v>
      </c>
      <c r="R27" s="65">
        <f>'[9]MP Summary'!$P$23</f>
        <v>0.15412880894859329</v>
      </c>
      <c r="S27" s="65">
        <f>'[10]MP Summary'!$R$23</f>
        <v>0.1623561749411406</v>
      </c>
      <c r="T27" s="65">
        <f>'[11]MP Summary'!$T$23</f>
        <v>0.18991485476685385</v>
      </c>
      <c r="U27" s="136">
        <v>0.27437273457428507</v>
      </c>
    </row>
    <row r="28" spans="1:21" x14ac:dyDescent="0.25">
      <c r="A28" s="154" t="s">
        <v>497</v>
      </c>
      <c r="B28" s="155"/>
      <c r="C28" s="156"/>
      <c r="D28" s="157"/>
      <c r="E28" s="158">
        <f>SUMPRODUCT(C25:C27,E25:E27)/SUM(C25:C27)</f>
        <v>0.40237083231578352</v>
      </c>
      <c r="F28" s="69"/>
      <c r="G28" s="65" t="s">
        <v>321</v>
      </c>
      <c r="H28" s="32">
        <f>SUM(C31:C40)</f>
        <v>5570961</v>
      </c>
      <c r="I28" s="32"/>
      <c r="J28" s="91">
        <f>SUM('[1]MP Summary'!$D$27:$D$34)</f>
        <v>0.74245076185324632</v>
      </c>
      <c r="K28" s="91">
        <f>SUM('[2]MP Summary'!$D$27:$D$34)</f>
        <v>0.75275038110972814</v>
      </c>
      <c r="L28" s="91">
        <f>SUM('[3]MP Summary'!$D$27:$D$34)</f>
        <v>0.71043867496478608</v>
      </c>
      <c r="M28" s="91">
        <f>SUM('[4]MP Summary'!$D$27:$D$34)</f>
        <v>0.69828814339084611</v>
      </c>
      <c r="N28" s="91">
        <f>SUM('[5]MP Summary'!$D$27:$D$34)</f>
        <v>0.63748275342682525</v>
      </c>
      <c r="O28" s="91">
        <f>SUM('[6]MP Summary'!$D$27:$D$34)</f>
        <v>0.67602966331897485</v>
      </c>
      <c r="P28" s="91">
        <f>SUM('[7]MP Summary'!$D$27:$D$34)</f>
        <v>0.63250131826659928</v>
      </c>
      <c r="Q28" s="91">
        <f>'[8]MP Summary'!$P$24</f>
        <v>0.64755193084198936</v>
      </c>
      <c r="R28" s="91">
        <f>'[9]MP Summary'!$P$24</f>
        <v>0.64755193084198936</v>
      </c>
      <c r="S28" s="91">
        <f>'[10]MP Summary'!$R$24</f>
        <v>0.58122336392612861</v>
      </c>
      <c r="T28" s="65">
        <f>'[11]MP Summary'!$T$24</f>
        <v>0.53469210336250061</v>
      </c>
      <c r="U28" s="137">
        <v>0.47986080436527129</v>
      </c>
    </row>
    <row r="29" spans="1:21" x14ac:dyDescent="0.25">
      <c r="F29" s="69"/>
      <c r="G29" s="65"/>
      <c r="H29" s="30">
        <f t="shared" ref="H29:N29" si="7">SUM(H26:H28)</f>
        <v>11706037</v>
      </c>
      <c r="I29" s="30"/>
      <c r="J29" s="65">
        <f t="shared" si="7"/>
        <v>1</v>
      </c>
      <c r="K29" s="65">
        <f t="shared" si="7"/>
        <v>1</v>
      </c>
      <c r="L29" s="65">
        <f t="shared" si="7"/>
        <v>1</v>
      </c>
      <c r="M29" s="65">
        <f t="shared" si="7"/>
        <v>1</v>
      </c>
      <c r="N29" s="65">
        <f t="shared" si="7"/>
        <v>1</v>
      </c>
      <c r="O29" s="65">
        <f t="shared" ref="O29" si="8">SUM(O26:O28)</f>
        <v>1</v>
      </c>
      <c r="P29" s="65">
        <f t="shared" ref="P29:Q29" si="9">SUM(P26:P28)</f>
        <v>1</v>
      </c>
      <c r="Q29" s="65">
        <f t="shared" si="9"/>
        <v>1</v>
      </c>
      <c r="R29" s="65">
        <f>SUM(R26:R28)</f>
        <v>1</v>
      </c>
      <c r="S29" s="65">
        <f>SUM(S26:S28)</f>
        <v>1</v>
      </c>
      <c r="T29" s="65">
        <f>SUM(T26:T28)</f>
        <v>1</v>
      </c>
      <c r="U29" s="136">
        <v>1</v>
      </c>
    </row>
    <row r="30" spans="1:21" x14ac:dyDescent="0.25">
      <c r="A30" s="6" t="s">
        <v>321</v>
      </c>
      <c r="F30" s="69"/>
      <c r="G30" s="65"/>
      <c r="U30" s="136"/>
    </row>
    <row r="31" spans="1:21" x14ac:dyDescent="0.25">
      <c r="A31" t="s">
        <v>318</v>
      </c>
      <c r="B31" s="1" t="s">
        <v>14</v>
      </c>
      <c r="C31" s="30">
        <f>'Vol Data'!$I$30</f>
        <v>2125950</v>
      </c>
      <c r="D31" s="11">
        <f>C31/$C$42</f>
        <v>0.18161141981697138</v>
      </c>
      <c r="E31" s="2">
        <f>('MP Cost Adjustments'!$D$43*'MP Cost Adjustments'!$H$43+'MP Cost Adjustments'!$D$53*'MP Cost Adjustments'!$H$53)/('MP Cost Adjustments'!$D$43+'MP Cost Adjustments'!$D$53)</f>
        <v>1.3304765394311173</v>
      </c>
      <c r="F31" s="69"/>
      <c r="G31" s="90" t="s">
        <v>483</v>
      </c>
      <c r="H31" s="69"/>
      <c r="I31" s="69"/>
      <c r="J31" s="69">
        <f>'[1]Cost Pool Data'!$F$77/100</f>
        <v>1.0565507940350636</v>
      </c>
      <c r="K31" s="69">
        <f>'[2]Cost Pool Data'!$F$77/100</f>
        <v>0.89565651923162382</v>
      </c>
      <c r="L31" s="69">
        <f>'[3]Cost Pool Data'!$F$77/100</f>
        <v>1.2418517433280862</v>
      </c>
      <c r="M31" s="69">
        <f>'[4]Cost Pool Data'!$F$77/100</f>
        <v>1.128129421028417</v>
      </c>
      <c r="N31" s="69">
        <f>'[5]Cost Pool Data'!$F$63/100</f>
        <v>1.3768074203421308</v>
      </c>
      <c r="O31" s="69">
        <f>'[6]Cost Pool Data'!$F$63/100</f>
        <v>1.5182103421558155</v>
      </c>
      <c r="P31" s="69">
        <f>'[7]Cost Pool Data'!$F$63/100</f>
        <v>1.1494665112197573</v>
      </c>
      <c r="Q31" s="69">
        <f>'[8]Cost Pool Data'!$F$63/100</f>
        <v>1.4488565702421641</v>
      </c>
      <c r="R31" s="69">
        <f>'[9]Cost Pool Data'!$F$63/100</f>
        <v>1.4518395492088314</v>
      </c>
      <c r="S31" s="69">
        <v>1.2992236144466411</v>
      </c>
      <c r="T31" s="69">
        <f>'[11]MP Summary'!$T$27</f>
        <v>1.5434505398054155</v>
      </c>
      <c r="U31" s="138">
        <f>'Cost Pool Data'!F63/100</f>
        <v>1.037336727705279</v>
      </c>
    </row>
    <row r="32" spans="1:21" x14ac:dyDescent="0.25">
      <c r="A32" t="s">
        <v>319</v>
      </c>
      <c r="B32" s="1" t="s">
        <v>14</v>
      </c>
      <c r="C32" s="30">
        <f>'Vol Data'!$I$31</f>
        <v>844739</v>
      </c>
      <c r="D32" s="11">
        <f>C32/$C$42</f>
        <v>7.2162679820677145E-2</v>
      </c>
      <c r="E32" s="2">
        <f>('MP Cost Adjustments'!$D$44*'MP Cost Adjustments'!$H$44+'MP Cost Adjustments'!$D$54*'MP Cost Adjustments'!$H$54)/('MP Cost Adjustments'!$D$44+'MP Cost Adjustments'!$D$54)</f>
        <v>1.0858395463923229</v>
      </c>
      <c r="F32" s="69"/>
      <c r="G32" s="90" t="s">
        <v>455</v>
      </c>
      <c r="U32" s="136"/>
    </row>
    <row r="33" spans="1:21" x14ac:dyDescent="0.25">
      <c r="A33" t="s">
        <v>319</v>
      </c>
      <c r="B33" s="1" t="s">
        <v>128</v>
      </c>
      <c r="C33" s="30">
        <f>'Vol Data'!$I$32</f>
        <v>136653</v>
      </c>
      <c r="D33" s="11">
        <f>C33/$C$42</f>
        <v>1.1673720149697118E-2</v>
      </c>
      <c r="E33" s="2">
        <f>('MP Cost Adjustments'!$D$45*'MP Cost Adjustments'!$H$45+'MP Cost Adjustments'!$D$55*'MP Cost Adjustments'!$H$55)/('MP Cost Adjustments'!$D$45+'MP Cost Adjustments'!$D$55)</f>
        <v>1.0822497632410935</v>
      </c>
      <c r="F33" s="69"/>
      <c r="G33" s="65"/>
      <c r="U33" s="136"/>
    </row>
    <row r="34" spans="1:21" x14ac:dyDescent="0.25">
      <c r="A34" s="9" t="s">
        <v>372</v>
      </c>
      <c r="B34" s="1" t="s">
        <v>484</v>
      </c>
      <c r="C34" s="30">
        <f>'Vol Data'!$I$34+'Vol Data'!I33</f>
        <v>29535</v>
      </c>
      <c r="D34" s="11">
        <f>C34/$C$42</f>
        <v>2.5230571200142286E-3</v>
      </c>
      <c r="E34" s="2">
        <f>('MP Cost Adjustments'!$D$46*'MP Cost Adjustments'!$H$46+'MP Cost Adjustments'!$D$56*'MP Cost Adjustments'!$H$56)/('MP Cost Adjustments'!$D$46+'MP Cost Adjustments'!$D$56)</f>
        <v>1.0387447837528245</v>
      </c>
      <c r="F34" s="69"/>
      <c r="G34" s="90" t="s">
        <v>456</v>
      </c>
      <c r="K34" s="35">
        <f>(K31-J31)/J31</f>
        <v>-0.15228257430858566</v>
      </c>
      <c r="L34" s="35">
        <f t="shared" ref="L34:S34" si="10">(L31-K31)/K31</f>
        <v>0.38652677300161942</v>
      </c>
      <c r="M34" s="35">
        <f t="shared" si="10"/>
        <v>-9.157479780549363E-2</v>
      </c>
      <c r="N34" s="35">
        <f t="shared" si="10"/>
        <v>0.22043392777312359</v>
      </c>
      <c r="O34" s="35">
        <f t="shared" si="10"/>
        <v>0.10270348614081896</v>
      </c>
      <c r="P34" s="35">
        <f t="shared" si="10"/>
        <v>-0.24288059480114757</v>
      </c>
      <c r="Q34" s="35">
        <f t="shared" si="10"/>
        <v>0.26046001001343555</v>
      </c>
      <c r="R34" s="35">
        <f t="shared" si="10"/>
        <v>2.0588504258697926E-3</v>
      </c>
      <c r="S34" s="35">
        <f t="shared" si="10"/>
        <v>-0.1051190090842732</v>
      </c>
      <c r="T34" s="35">
        <f>(T31-S31)/S31</f>
        <v>0.18797913049232426</v>
      </c>
      <c r="U34" s="35">
        <f>(U31-T31)/T31</f>
        <v>-0.3279106126484253</v>
      </c>
    </row>
    <row r="35" spans="1:21" x14ac:dyDescent="0.25">
      <c r="A35" s="9" t="s">
        <v>372</v>
      </c>
      <c r="B35" s="1" t="s">
        <v>15</v>
      </c>
      <c r="C35" s="30">
        <f>'Vol Data'!$I$36</f>
        <v>126230</v>
      </c>
      <c r="D35" s="11">
        <f>C35/$C$42</f>
        <v>1.0783324877582396E-2</v>
      </c>
      <c r="E35" s="2">
        <f>('MP Cost Adjustments'!$D$48*'MP Cost Adjustments'!$H$48+'MP Cost Adjustments'!$D$58*'MP Cost Adjustments'!$H$58)/('MP Cost Adjustments'!$D$48+'MP Cost Adjustments'!$D$58)</f>
        <v>1.037202219766594</v>
      </c>
      <c r="F35" s="69"/>
      <c r="G35" s="90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</row>
    <row r="36" spans="1:21" x14ac:dyDescent="0.25">
      <c r="A36" s="159" t="s">
        <v>498</v>
      </c>
      <c r="B36" s="155"/>
      <c r="C36" s="156"/>
      <c r="D36" s="157"/>
      <c r="E36" s="158">
        <f>SUMPRODUCT(C34:C35,E34:E35)/SUM(C34:C35)</f>
        <v>1.0374947092689426</v>
      </c>
      <c r="F36" s="69"/>
      <c r="G36" s="90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</row>
    <row r="37" spans="1:21" x14ac:dyDescent="0.25">
      <c r="A37" t="s">
        <v>320</v>
      </c>
      <c r="B37" s="1" t="s">
        <v>128</v>
      </c>
      <c r="C37" s="30">
        <f>'Vol Data'!I35</f>
        <v>30736</v>
      </c>
      <c r="D37" s="11">
        <f>C37/$C$42</f>
        <v>2.6256537545541673E-3</v>
      </c>
      <c r="E37" s="2">
        <f>('MP Cost Adjustments'!$D$47*'MP Cost Adjustments'!$H$47+'MP Cost Adjustments'!$D$57*'MP Cost Adjustments'!$H$57)/('MP Cost Adjustments'!$D$47+'MP Cost Adjustments'!$D$57)</f>
        <v>0.40988981123139984</v>
      </c>
      <c r="F37" s="69"/>
      <c r="G37" s="65"/>
      <c r="U37" s="136"/>
    </row>
    <row r="38" spans="1:21" ht="12.6" customHeight="1" x14ac:dyDescent="0.25">
      <c r="A38" t="s">
        <v>320</v>
      </c>
      <c r="B38" s="1" t="s">
        <v>15</v>
      </c>
      <c r="C38" s="30">
        <f>'Vol Data'!$I$37</f>
        <v>1982676</v>
      </c>
      <c r="D38" s="11">
        <f>C38/$C$42</f>
        <v>0.16937209407419437</v>
      </c>
      <c r="E38" s="2">
        <f>('MP Cost Adjustments'!$D$49*'MP Cost Adjustments'!$H$49+'MP Cost Adjustments'!$D$59*'MP Cost Adjustments'!$H$59)/('MP Cost Adjustments'!$D$49+'MP Cost Adjustments'!$D$59)</f>
        <v>0.38770436372773986</v>
      </c>
      <c r="F38" s="69"/>
      <c r="G38" s="90" t="s">
        <v>457</v>
      </c>
      <c r="H38" s="13"/>
      <c r="I38" s="13"/>
      <c r="J38" s="13">
        <f>'[1]MP Cost Adjustments'!$D$7</f>
        <v>2.3407223121225669</v>
      </c>
      <c r="K38" s="13">
        <f>'[2]MP Cost Adjustments'!$D$7</f>
        <v>2.0172628733429585</v>
      </c>
      <c r="L38" s="13">
        <f>'[3]MP Cost Adjustments'!$D$7</f>
        <v>2.3522075862682272</v>
      </c>
      <c r="M38" s="13">
        <f>'[4]MP Cost Adjustments'!$D$7</f>
        <v>2.12946300636888</v>
      </c>
      <c r="N38" s="13">
        <f>'[5]MP Cost Adjustments'!$D$7</f>
        <v>2.500513377039332</v>
      </c>
      <c r="O38" s="13">
        <f>'[6]MP Cost Adjustments'!$D$7</f>
        <v>2.7532281356653203</v>
      </c>
      <c r="P38" s="13">
        <f>'[7]MP Cost Adjustments'!$D$7</f>
        <v>1.7184008396918296</v>
      </c>
      <c r="Q38" s="13">
        <f>'[8]MP Cost Adjustments'!$D$7</f>
        <v>2.2645774974394626</v>
      </c>
      <c r="R38" s="13">
        <f>'[9]MP Cost Adjustments'!$D$7</f>
        <v>2.1552932982298727</v>
      </c>
      <c r="S38" s="13">
        <f>'[10]MP Cost Adjustments'!$D$7</f>
        <v>1.6520831287694115</v>
      </c>
      <c r="T38" s="13">
        <f>'[11]MP Summary'!$T$32</f>
        <v>1.6279591885203555</v>
      </c>
      <c r="U38" s="153">
        <f>'MP Cost Adjustments'!D7</f>
        <v>1.2422847911488399</v>
      </c>
    </row>
    <row r="39" spans="1:21" x14ac:dyDescent="0.25">
      <c r="A39" t="s">
        <v>320</v>
      </c>
      <c r="B39" s="1" t="s">
        <v>16</v>
      </c>
      <c r="C39" s="30">
        <f>'Vol Data'!$I$38</f>
        <v>294442</v>
      </c>
      <c r="D39" s="11">
        <f>C39/$C$42</f>
        <v>2.5153004385685778E-2</v>
      </c>
      <c r="E39" s="2">
        <f>('MP Cost Adjustments'!$D$50*'MP Cost Adjustments'!$H$50+'MP Cost Adjustments'!$D$60*'MP Cost Adjustments'!$H$60)/('MP Cost Adjustments'!$D$50+'MP Cost Adjustments'!$D$60)</f>
        <v>0.3581007792623237</v>
      </c>
      <c r="F39" s="69"/>
      <c r="G39" s="90" t="s">
        <v>458</v>
      </c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6"/>
    </row>
    <row r="40" spans="1:21" x14ac:dyDescent="0.25">
      <c r="A40" s="154" t="s">
        <v>499</v>
      </c>
      <c r="B40" s="155"/>
      <c r="C40" s="156"/>
      <c r="D40" s="157"/>
      <c r="E40" s="158">
        <f>SUMPRODUCT(C37:C39,E37:E39)/SUM(C37:C39)</f>
        <v>0.3842229274225431</v>
      </c>
      <c r="F40" s="69"/>
      <c r="G40" s="65"/>
      <c r="U40" s="136"/>
    </row>
    <row r="41" spans="1:21" x14ac:dyDescent="0.25">
      <c r="F41" s="69"/>
      <c r="G41" s="90" t="s">
        <v>456</v>
      </c>
      <c r="K41" s="35">
        <f>(K38-J38)/J38</f>
        <v>-0.13818787350571943</v>
      </c>
      <c r="L41" s="35">
        <f t="shared" ref="L41:R41" si="11">(L38-K38)/K38</f>
        <v>0.16603919962607877</v>
      </c>
      <c r="M41" s="35">
        <f t="shared" si="11"/>
        <v>-9.4695970372551647E-2</v>
      </c>
      <c r="N41" s="35">
        <f t="shared" si="11"/>
        <v>0.17424598105752495</v>
      </c>
      <c r="O41" s="35">
        <f t="shared" si="11"/>
        <v>0.10106514963947472</v>
      </c>
      <c r="P41" s="35">
        <f t="shared" si="11"/>
        <v>-0.37585962549500962</v>
      </c>
      <c r="Q41" s="35">
        <f t="shared" si="11"/>
        <v>0.31784007847993251</v>
      </c>
      <c r="R41" s="35">
        <f t="shared" si="11"/>
        <v>-4.8258096414521709E-2</v>
      </c>
      <c r="S41" s="35">
        <f t="shared" ref="S41" si="12">(S38-R38)/R38</f>
        <v>-0.233476422848688</v>
      </c>
      <c r="T41" s="35">
        <f t="shared" ref="T41:U41" si="13">(T38-S38)/S38</f>
        <v>-1.4602134619597067E-2</v>
      </c>
      <c r="U41" s="35">
        <f t="shared" si="13"/>
        <v>-0.236906674375574</v>
      </c>
    </row>
    <row r="42" spans="1:21" s="6" customFormat="1" x14ac:dyDescent="0.25">
      <c r="A42" s="6" t="s">
        <v>17</v>
      </c>
      <c r="B42" s="3"/>
      <c r="C42" s="34">
        <f>SUM(C9:C40)</f>
        <v>11706037</v>
      </c>
      <c r="D42" s="14">
        <f>SUM(D9:D40)</f>
        <v>1</v>
      </c>
      <c r="E42" s="50">
        <f>SUMPRODUCT(D9:D40,E9:E40)</f>
        <v>1.037336727705279</v>
      </c>
      <c r="F42" s="71"/>
      <c r="G42" s="65"/>
      <c r="J42" s="89"/>
      <c r="K42" s="89"/>
      <c r="L42" s="89"/>
      <c r="M42" s="89"/>
      <c r="N42" s="89"/>
      <c r="O42" s="89"/>
      <c r="P42" s="89"/>
      <c r="Q42" s="89"/>
      <c r="R42" s="89"/>
      <c r="S42" s="89"/>
      <c r="T42" s="89"/>
    </row>
    <row r="43" spans="1:21" x14ac:dyDescent="0.25">
      <c r="F43" s="69"/>
      <c r="G43" s="65"/>
    </row>
    <row r="44" spans="1:21" x14ac:dyDescent="0.25">
      <c r="E44" s="50" t="str">
        <f>"[4]"</f>
        <v>[4]</v>
      </c>
      <c r="F44" s="69"/>
      <c r="G44" s="65"/>
    </row>
    <row r="45" spans="1:21" x14ac:dyDescent="0.25">
      <c r="A45" s="6" t="s">
        <v>258</v>
      </c>
      <c r="E45" s="50">
        <f>'BC Savings'!F8</f>
        <v>5.0670398605181459E-2</v>
      </c>
      <c r="F45" s="69"/>
      <c r="G45" s="65"/>
    </row>
    <row r="48" spans="1:21" x14ac:dyDescent="0.25">
      <c r="A48" s="29" t="s">
        <v>259</v>
      </c>
    </row>
    <row r="49" spans="1:4" x14ac:dyDescent="0.25">
      <c r="A49" s="6" t="s">
        <v>272</v>
      </c>
      <c r="B49" s="4"/>
      <c r="D49" s="43"/>
    </row>
    <row r="50" spans="1:4" x14ac:dyDescent="0.25">
      <c r="A50" s="6" t="s">
        <v>273</v>
      </c>
      <c r="B50" s="4"/>
      <c r="D50" s="43"/>
    </row>
    <row r="51" spans="1:4" x14ac:dyDescent="0.25">
      <c r="A51" s="6" t="s">
        <v>274</v>
      </c>
      <c r="B51" s="4"/>
      <c r="C51" s="32"/>
      <c r="D51" s="51"/>
    </row>
    <row r="52" spans="1:4" x14ac:dyDescent="0.25">
      <c r="A52" s="6" t="s">
        <v>275</v>
      </c>
      <c r="B52" s="4"/>
      <c r="D52" s="43"/>
    </row>
    <row r="54" spans="1:4" x14ac:dyDescent="0.25">
      <c r="B54" s="4"/>
      <c r="C54" s="52"/>
    </row>
    <row r="55" spans="1:4" x14ac:dyDescent="0.25">
      <c r="B55" s="4"/>
      <c r="C55" s="24"/>
    </row>
    <row r="56" spans="1:4" x14ac:dyDescent="0.25">
      <c r="A56" s="6"/>
      <c r="B56" s="4"/>
    </row>
    <row r="57" spans="1:4" x14ac:dyDescent="0.25">
      <c r="B57" s="4"/>
      <c r="C57" s="24"/>
    </row>
    <row r="58" spans="1:4" x14ac:dyDescent="0.25">
      <c r="B58" s="4"/>
    </row>
  </sheetData>
  <phoneticPr fontId="3" type="noConversion"/>
  <printOptions horizontalCentered="1"/>
  <pageMargins left="0.75" right="0.75" top="1" bottom="1" header="0.5" footer="0.5"/>
  <pageSetup orientation="portrait" r:id="rId1"/>
  <headerFooter alignWithMargins="0">
    <oddHeader>&amp;RPage 1 of 50</oddHeader>
    <oddFooter>&amp;R&amp;F</oddFooter>
  </headerFooter>
  <ignoredErrors>
    <ignoredError sqref="Q13 Q21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M75"/>
  <sheetViews>
    <sheetView topLeftCell="A24" zoomScale="75" workbookViewId="0">
      <selection activeCell="U34" sqref="U34"/>
    </sheetView>
  </sheetViews>
  <sheetFormatPr defaultColWidth="9.109375" defaultRowHeight="13.2" x14ac:dyDescent="0.25"/>
  <cols>
    <col min="1" max="1" width="20.6640625" customWidth="1"/>
    <col min="2" max="2" width="10.6640625" style="1" customWidth="1"/>
    <col min="3" max="3" width="10.6640625" style="2" customWidth="1"/>
    <col min="4" max="4" width="15.6640625" style="30" customWidth="1"/>
    <col min="5" max="5" width="10.6640625" style="11" customWidth="1"/>
    <col min="6" max="6" width="15.6640625" style="4" customWidth="1"/>
    <col min="7" max="8" width="15.6640625" style="2" customWidth="1"/>
    <col min="10" max="10" width="17.109375" bestFit="1" customWidth="1"/>
    <col min="11" max="11" width="10.6640625" style="35" customWidth="1"/>
    <col min="12" max="14" width="10.6640625" customWidth="1"/>
  </cols>
  <sheetData>
    <row r="1" spans="1:13" ht="15.6" x14ac:dyDescent="0.3">
      <c r="A1" s="5" t="s">
        <v>375</v>
      </c>
      <c r="B1" s="3"/>
      <c r="C1" s="50"/>
    </row>
    <row r="5" spans="1:13" x14ac:dyDescent="0.25">
      <c r="A5" s="53" t="s">
        <v>24</v>
      </c>
      <c r="B5" s="54"/>
      <c r="C5" s="55"/>
      <c r="D5" s="56">
        <f>SUMPRODUCT(C15:C60,E15:E60)</f>
        <v>0.78718150894642758</v>
      </c>
      <c r="E5" s="14" t="s">
        <v>107</v>
      </c>
    </row>
    <row r="6" spans="1:13" x14ac:dyDescent="0.25">
      <c r="A6" s="57" t="s">
        <v>25</v>
      </c>
      <c r="D6" s="58">
        <f>'Cost Pool Data'!G63/100</f>
        <v>0.97790361643774137</v>
      </c>
      <c r="E6" s="14" t="s">
        <v>108</v>
      </c>
    </row>
    <row r="7" spans="1:13" x14ac:dyDescent="0.25">
      <c r="A7" s="57" t="s">
        <v>26</v>
      </c>
      <c r="D7" s="59">
        <f>D6/D5</f>
        <v>1.2422847911488399</v>
      </c>
      <c r="E7" s="14" t="s">
        <v>109</v>
      </c>
    </row>
    <row r="8" spans="1:13" x14ac:dyDescent="0.25">
      <c r="A8" s="60" t="s">
        <v>27</v>
      </c>
      <c r="B8" s="61"/>
      <c r="C8" s="48"/>
      <c r="D8" s="62">
        <f>'Cost Pool Data'!H63/100</f>
        <v>5.943311126753742E-2</v>
      </c>
      <c r="E8" s="14" t="s">
        <v>112</v>
      </c>
    </row>
    <row r="10" spans="1:13" x14ac:dyDescent="0.25">
      <c r="C10" s="50" t="s">
        <v>156</v>
      </c>
      <c r="D10" s="31" t="s">
        <v>157</v>
      </c>
      <c r="E10" s="14" t="s">
        <v>192</v>
      </c>
      <c r="F10" s="8" t="s">
        <v>193</v>
      </c>
      <c r="G10" s="50" t="s">
        <v>194</v>
      </c>
      <c r="H10" s="50" t="s">
        <v>195</v>
      </c>
    </row>
    <row r="11" spans="1:13" s="6" customFormat="1" x14ac:dyDescent="0.25">
      <c r="A11" s="6" t="s">
        <v>323</v>
      </c>
      <c r="B11" s="3" t="s">
        <v>12</v>
      </c>
      <c r="C11" s="50" t="s">
        <v>2</v>
      </c>
      <c r="D11" s="31"/>
      <c r="E11" s="14" t="s">
        <v>4</v>
      </c>
      <c r="F11" s="8" t="s">
        <v>19</v>
      </c>
      <c r="G11" s="50" t="s">
        <v>21</v>
      </c>
      <c r="H11" s="50" t="s">
        <v>22</v>
      </c>
      <c r="K11" s="63"/>
    </row>
    <row r="12" spans="1:13" s="6" customFormat="1" x14ac:dyDescent="0.25">
      <c r="A12" s="6" t="s">
        <v>0</v>
      </c>
      <c r="B12" s="3" t="s">
        <v>13</v>
      </c>
      <c r="C12" s="50" t="s">
        <v>3</v>
      </c>
      <c r="D12" s="31" t="s">
        <v>4</v>
      </c>
      <c r="E12" s="14" t="s">
        <v>18</v>
      </c>
      <c r="F12" s="8" t="s">
        <v>20</v>
      </c>
      <c r="G12" s="50" t="s">
        <v>20</v>
      </c>
      <c r="H12" s="50" t="s">
        <v>23</v>
      </c>
      <c r="K12" s="63"/>
    </row>
    <row r="13" spans="1:13" x14ac:dyDescent="0.25">
      <c r="K13"/>
    </row>
    <row r="14" spans="1:13" x14ac:dyDescent="0.25">
      <c r="A14" s="6" t="s">
        <v>90</v>
      </c>
      <c r="K14"/>
      <c r="M14" s="64"/>
    </row>
    <row r="15" spans="1:13" x14ac:dyDescent="0.25">
      <c r="A15" t="s">
        <v>129</v>
      </c>
      <c r="B15" s="1" t="s">
        <v>14</v>
      </c>
      <c r="C15" s="2">
        <f>'M-NONE-MNDC'!J89</f>
        <v>1.0169704757977469</v>
      </c>
      <c r="D15" s="30">
        <f>'Vol Data'!$I$20</f>
        <v>670396</v>
      </c>
      <c r="E15" s="11">
        <f t="shared" ref="E15:E20" si="0">D15/$D$62</f>
        <v>5.7269253462978127E-2</v>
      </c>
      <c r="F15" s="4">
        <f t="shared" ref="F15:F20" si="1">$D$7</f>
        <v>1.2422847911488399</v>
      </c>
      <c r="G15" s="2">
        <f t="shared" ref="G15:G20" si="2">$D$8</f>
        <v>5.943311126753742E-2</v>
      </c>
      <c r="H15" s="2">
        <f t="shared" ref="H15:H20" si="3">C15*F15+G15</f>
        <v>1.3228000663984778</v>
      </c>
      <c r="K15" s="65"/>
      <c r="M15" s="65"/>
    </row>
    <row r="16" spans="1:13" x14ac:dyDescent="0.25">
      <c r="A16" t="s">
        <v>130</v>
      </c>
      <c r="B16" s="1" t="s">
        <v>14</v>
      </c>
      <c r="C16" s="2">
        <f>'M-NONE-NDC'!J84</f>
        <v>0.73272595475960067</v>
      </c>
      <c r="D16" s="30">
        <f>'Vol Data'!$I$21</f>
        <v>400984</v>
      </c>
      <c r="E16" s="11">
        <f t="shared" si="0"/>
        <v>3.4254462035272916E-2</v>
      </c>
      <c r="F16" s="4">
        <f t="shared" si="1"/>
        <v>1.2422847911488399</v>
      </c>
      <c r="G16" s="2">
        <f t="shared" si="2"/>
        <v>5.943311126753742E-2</v>
      </c>
      <c r="H16" s="2">
        <f t="shared" si="3"/>
        <v>0.96968742094540228</v>
      </c>
      <c r="K16" s="65"/>
      <c r="M16" s="65"/>
    </row>
    <row r="17" spans="1:13" x14ac:dyDescent="0.25">
      <c r="A17" t="s">
        <v>130</v>
      </c>
      <c r="B17" s="1" t="s">
        <v>128</v>
      </c>
      <c r="C17" s="2">
        <f>'M-DNDC-NDC'!J56</f>
        <v>0.71940612145019012</v>
      </c>
      <c r="D17" s="30">
        <f>'Vol Data'!$I$22</f>
        <v>1729284</v>
      </c>
      <c r="E17" s="11">
        <f t="shared" si="0"/>
        <v>0.14772582728040243</v>
      </c>
      <c r="F17" s="4">
        <f t="shared" si="1"/>
        <v>1.2422847911488399</v>
      </c>
      <c r="G17" s="2">
        <f t="shared" si="2"/>
        <v>5.943311126753742E-2</v>
      </c>
      <c r="H17" s="2">
        <f t="shared" si="3"/>
        <v>0.95314039460448385</v>
      </c>
      <c r="J17" s="30"/>
      <c r="K17" s="65"/>
      <c r="M17" s="65"/>
    </row>
    <row r="18" spans="1:13" x14ac:dyDescent="0.25">
      <c r="A18" t="s">
        <v>1</v>
      </c>
      <c r="B18" s="1" t="s">
        <v>128</v>
      </c>
      <c r="C18" s="2">
        <f>'M-DNDC-5D'!J39</f>
        <v>0.30042353257327559</v>
      </c>
      <c r="D18" s="30">
        <f>'Vol Data'!$I$23</f>
        <v>6159</v>
      </c>
      <c r="E18" s="11">
        <f t="shared" si="0"/>
        <v>5.2613877779473964E-4</v>
      </c>
      <c r="F18" s="4">
        <f t="shared" si="1"/>
        <v>1.2422847911488399</v>
      </c>
      <c r="G18" s="2">
        <f t="shared" si="2"/>
        <v>5.943311126753742E-2</v>
      </c>
      <c r="H18" s="2">
        <f t="shared" si="3"/>
        <v>0.43264469668652578</v>
      </c>
      <c r="K18" s="65"/>
      <c r="M18" s="65"/>
    </row>
    <row r="19" spans="1:13" x14ac:dyDescent="0.25">
      <c r="A19" t="s">
        <v>1</v>
      </c>
      <c r="B19" s="1" t="s">
        <v>15</v>
      </c>
      <c r="C19" s="2">
        <f>'M-DSCF-5D'!J24</f>
        <v>0.28412359786943897</v>
      </c>
      <c r="D19" s="30">
        <f>'Vol Data'!$I$24</f>
        <v>32567</v>
      </c>
      <c r="E19" s="11">
        <f t="shared" si="0"/>
        <v>2.7820687735738412E-3</v>
      </c>
      <c r="F19" s="4">
        <f t="shared" si="1"/>
        <v>1.2422847911488399</v>
      </c>
      <c r="G19" s="2">
        <f t="shared" si="2"/>
        <v>5.943311126753742E-2</v>
      </c>
      <c r="H19" s="2">
        <f t="shared" si="3"/>
        <v>0.41239553570723042</v>
      </c>
      <c r="K19" s="65"/>
      <c r="L19" s="30"/>
      <c r="M19" s="65"/>
    </row>
    <row r="20" spans="1:13" x14ac:dyDescent="0.25">
      <c r="A20" t="s">
        <v>1</v>
      </c>
      <c r="B20" s="1" t="s">
        <v>16</v>
      </c>
      <c r="C20" s="2">
        <f>'M-DDU-5D'!J15</f>
        <v>0.24131589820456728</v>
      </c>
      <c r="D20" s="30">
        <f>'Vol Data'!$I$25</f>
        <v>5446</v>
      </c>
      <c r="E20" s="11">
        <f t="shared" si="0"/>
        <v>4.6523003472481771E-4</v>
      </c>
      <c r="F20" s="4">
        <f t="shared" si="1"/>
        <v>1.2422847911488399</v>
      </c>
      <c r="G20" s="2">
        <f t="shared" si="2"/>
        <v>5.943311126753742E-2</v>
      </c>
      <c r="H20" s="2">
        <f t="shared" si="3"/>
        <v>0.35921618146949302</v>
      </c>
      <c r="K20"/>
    </row>
    <row r="21" spans="1:13" x14ac:dyDescent="0.25">
      <c r="I21" s="66"/>
      <c r="K21"/>
    </row>
    <row r="22" spans="1:13" x14ac:dyDescent="0.25">
      <c r="A22" s="6" t="s">
        <v>494</v>
      </c>
      <c r="K22"/>
    </row>
    <row r="23" spans="1:13" x14ac:dyDescent="0.25">
      <c r="A23" t="s">
        <v>489</v>
      </c>
      <c r="B23" s="1" t="s">
        <v>14</v>
      </c>
      <c r="C23" s="2">
        <f>'IR-NONE-MNDC'!J49</f>
        <v>1.872804592702505</v>
      </c>
      <c r="D23" s="30">
        <f>'Vol Data'!$D$47*'Vol Data'!$I9</f>
        <v>141056.90603938152</v>
      </c>
      <c r="E23" s="11">
        <f t="shared" ref="E23:E30" si="4">D23/$D$62</f>
        <v>1.2049928258332135E-2</v>
      </c>
      <c r="F23" s="4">
        <f>$D$7</f>
        <v>1.2422847911488399</v>
      </c>
      <c r="G23" s="2">
        <f>$D$8</f>
        <v>5.943311126753742E-2</v>
      </c>
      <c r="H23" s="2">
        <f>C23*F23+G23</f>
        <v>2.3859897735755569</v>
      </c>
      <c r="K23"/>
    </row>
    <row r="24" spans="1:13" x14ac:dyDescent="0.25">
      <c r="A24" t="s">
        <v>490</v>
      </c>
      <c r="B24" s="1" t="s">
        <v>14</v>
      </c>
      <c r="C24" s="2">
        <f>'IR-NONE-NDC'!J49</f>
        <v>1.7986897855405104</v>
      </c>
      <c r="D24" s="30">
        <f>'Vol Data'!$D$47*'Vol Data'!$I$10</f>
        <v>42448.143782212239</v>
      </c>
      <c r="E24" s="11">
        <f t="shared" si="4"/>
        <v>3.6261754325748541E-3</v>
      </c>
      <c r="F24" s="4">
        <f t="shared" ref="F24:F29" si="5">$D$7</f>
        <v>1.2422847911488399</v>
      </c>
      <c r="G24" s="2">
        <f t="shared" ref="G24:G30" si="6">$D$8</f>
        <v>5.943311126753742E-2</v>
      </c>
      <c r="H24" s="2">
        <f t="shared" ref="H24:H30" si="7">C24*F24+G24</f>
        <v>2.2939180758392821</v>
      </c>
      <c r="K24"/>
    </row>
    <row r="25" spans="1:13" x14ac:dyDescent="0.25">
      <c r="A25" t="s">
        <v>490</v>
      </c>
      <c r="B25" s="1" t="s">
        <v>128</v>
      </c>
      <c r="C25" s="2">
        <f>'IR-DNDC-NDC'!J21</f>
        <v>1.7905114495377921</v>
      </c>
      <c r="D25" s="30">
        <f>'Vol Data'!$D$47*'Vol Data'!$I$11</f>
        <v>49080.241046649928</v>
      </c>
      <c r="E25" s="11">
        <f t="shared" si="4"/>
        <v>4.1927290206454958E-3</v>
      </c>
      <c r="F25" s="4">
        <f t="shared" si="5"/>
        <v>1.2422847911488399</v>
      </c>
      <c r="G25" s="2">
        <f t="shared" si="6"/>
        <v>5.943311126753742E-2</v>
      </c>
      <c r="H25" s="2">
        <f t="shared" si="7"/>
        <v>2.2837582534061998</v>
      </c>
      <c r="J25" s="30"/>
      <c r="K25"/>
    </row>
    <row r="26" spans="1:13" x14ac:dyDescent="0.25">
      <c r="A26" s="9" t="s">
        <v>491</v>
      </c>
      <c r="B26" s="97" t="s">
        <v>484</v>
      </c>
      <c r="C26" s="2">
        <f>'IR-DNDC-SCF'!J25</f>
        <v>1.6057617865998608</v>
      </c>
      <c r="D26" s="30">
        <f>'Vol Data'!$D$47*('Vol Data'!$I$13+'Vol Data'!I12)</f>
        <v>40649.685212105192</v>
      </c>
      <c r="E26" s="11">
        <f t="shared" si="4"/>
        <v>3.4725402979766079E-3</v>
      </c>
      <c r="F26" s="4">
        <f t="shared" si="5"/>
        <v>1.2422847911488399</v>
      </c>
      <c r="G26" s="2">
        <f t="shared" si="6"/>
        <v>5.943311126753742E-2</v>
      </c>
      <c r="H26" s="2">
        <f t="shared" si="7"/>
        <v>2.0542465569685335</v>
      </c>
      <c r="K26"/>
    </row>
    <row r="27" spans="1:13" x14ac:dyDescent="0.25">
      <c r="A27" t="s">
        <v>492</v>
      </c>
      <c r="B27" s="1" t="s">
        <v>128</v>
      </c>
      <c r="C27" s="2">
        <f>'IR-DNDC-5D'!J31</f>
        <v>0.28790721542992981</v>
      </c>
      <c r="D27" s="30">
        <f>'Vol Data'!$D$47*'Vol Data'!$I$14</f>
        <v>11653.40029073609</v>
      </c>
      <c r="E27" s="11">
        <f t="shared" si="4"/>
        <v>9.9550345610013814E-4</v>
      </c>
      <c r="F27" s="4">
        <f t="shared" si="5"/>
        <v>1.2422847911488399</v>
      </c>
      <c r="G27" s="2">
        <f t="shared" si="6"/>
        <v>5.943311126753742E-2</v>
      </c>
      <c r="H27" s="2">
        <f t="shared" si="7"/>
        <v>0.41709586625815182</v>
      </c>
      <c r="K27"/>
    </row>
    <row r="28" spans="1:13" x14ac:dyDescent="0.25">
      <c r="A28" s="9" t="s">
        <v>491</v>
      </c>
      <c r="B28" s="1" t="s">
        <v>15</v>
      </c>
      <c r="C28" s="2">
        <f>'IR-DSCF-SCF'!J18</f>
        <v>1.6022400862498336</v>
      </c>
      <c r="D28" s="30">
        <f>'Vol Data'!$D$47*'Vol Data'!$I$15</f>
        <v>47483.5765825294</v>
      </c>
      <c r="E28" s="11">
        <f t="shared" si="4"/>
        <v>4.056332350780149E-3</v>
      </c>
      <c r="F28" s="4">
        <f t="shared" si="5"/>
        <v>1.2422847911488399</v>
      </c>
      <c r="G28" s="2">
        <f t="shared" si="6"/>
        <v>5.943311126753742E-2</v>
      </c>
      <c r="H28" s="2">
        <f t="shared" si="7"/>
        <v>2.049871602184711</v>
      </c>
      <c r="K28"/>
    </row>
    <row r="29" spans="1:13" x14ac:dyDescent="0.25">
      <c r="A29" t="s">
        <v>492</v>
      </c>
      <c r="B29" s="1" t="s">
        <v>15</v>
      </c>
      <c r="C29" s="2">
        <f>'IR-DSCF-5D'!J24</f>
        <v>0.26893968558383119</v>
      </c>
      <c r="D29" s="30">
        <f>'Vol Data'!$D$47*'Vol Data'!$I$16</f>
        <v>11699.871547508919</v>
      </c>
      <c r="E29" s="11">
        <f t="shared" si="4"/>
        <v>9.9947331001165639E-4</v>
      </c>
      <c r="F29" s="4">
        <f t="shared" si="5"/>
        <v>1.2422847911488399</v>
      </c>
      <c r="G29" s="2">
        <f t="shared" si="6"/>
        <v>5.943311126753742E-2</v>
      </c>
      <c r="H29" s="2">
        <f t="shared" si="7"/>
        <v>0.39353279240468181</v>
      </c>
      <c r="K29"/>
    </row>
    <row r="30" spans="1:13" x14ac:dyDescent="0.25">
      <c r="A30" t="s">
        <v>492</v>
      </c>
      <c r="B30" s="1" t="s">
        <v>16</v>
      </c>
      <c r="C30" s="2">
        <f>'IR -DDU-5D'!J15</f>
        <v>0.24148945545283251</v>
      </c>
      <c r="D30" s="30">
        <f>'Vol Data'!$D$47*'Vol Data'!$I$17</f>
        <v>301.12118408880667</v>
      </c>
      <c r="E30" s="11">
        <f t="shared" si="4"/>
        <v>2.5723580413149791E-5</v>
      </c>
      <c r="F30" s="4">
        <f>$D$7</f>
        <v>1.2422847911488399</v>
      </c>
      <c r="G30" s="2">
        <f t="shared" si="6"/>
        <v>5.943311126753742E-2</v>
      </c>
      <c r="H30" s="2">
        <f t="shared" si="7"/>
        <v>0.35943178899940653</v>
      </c>
      <c r="K30"/>
    </row>
    <row r="31" spans="1:13" x14ac:dyDescent="0.25">
      <c r="I31" s="66"/>
      <c r="K31"/>
    </row>
    <row r="32" spans="1:13" x14ac:dyDescent="0.25">
      <c r="A32" s="6" t="s">
        <v>495</v>
      </c>
      <c r="K32"/>
    </row>
    <row r="33" spans="1:11" x14ac:dyDescent="0.25">
      <c r="A33" t="s">
        <v>489</v>
      </c>
      <c r="B33" s="1" t="s">
        <v>14</v>
      </c>
      <c r="C33" s="2">
        <f>'IO-NONE-MNDC'!J51</f>
        <v>1.0570275386129719</v>
      </c>
      <c r="D33" s="30">
        <f>(1-'Vol Data'!$D$47)*'Vol Data'!$I$9</f>
        <v>1206642.0939606186</v>
      </c>
      <c r="E33" s="11">
        <f t="shared" ref="E33:E40" si="8">D33/$D$62</f>
        <v>0.10307861609873767</v>
      </c>
      <c r="F33" s="4">
        <f>$D$7</f>
        <v>1.2422847911488399</v>
      </c>
      <c r="G33" s="2">
        <f>$D$8</f>
        <v>5.943311126753742E-2</v>
      </c>
      <c r="H33" s="2">
        <f>C33*F33+G33</f>
        <v>1.3725623463119256</v>
      </c>
      <c r="K33"/>
    </row>
    <row r="34" spans="1:11" x14ac:dyDescent="0.25">
      <c r="A34" t="s">
        <v>490</v>
      </c>
      <c r="B34" s="1" t="s">
        <v>14</v>
      </c>
      <c r="C34" s="2">
        <f>'IO-NONE-NDC'!J51</f>
        <v>0.98333871040338328</v>
      </c>
      <c r="D34" s="30">
        <f>(1-'Vol Data'!$D$47)*'Vol Data'!$I$10</f>
        <v>363113.85621778778</v>
      </c>
      <c r="E34" s="11">
        <f t="shared" si="8"/>
        <v>3.1019366863250804E-2</v>
      </c>
      <c r="F34" s="4">
        <f t="shared" ref="F34:F39" si="9">$D$7</f>
        <v>1.2422847911488399</v>
      </c>
      <c r="G34" s="2">
        <f t="shared" ref="G34:G40" si="10">$D$8</f>
        <v>5.943311126753742E-2</v>
      </c>
      <c r="H34" s="2">
        <f t="shared" ref="H34:H40" si="11">C34*F34+G34</f>
        <v>1.2810198357495741</v>
      </c>
      <c r="K34"/>
    </row>
    <row r="35" spans="1:11" x14ac:dyDescent="0.25">
      <c r="A35" t="s">
        <v>490</v>
      </c>
      <c r="B35" s="1" t="s">
        <v>128</v>
      </c>
      <c r="C35" s="2">
        <f>'IO-DNDC-NDC'!J23</f>
        <v>0.97658552755031014</v>
      </c>
      <c r="D35" s="30">
        <f>(1-'Vol Data'!$D$47)*'Vol Data'!$I$11</f>
        <v>419846.75895335007</v>
      </c>
      <c r="E35" s="11">
        <f t="shared" si="8"/>
        <v>3.586583221574903E-2</v>
      </c>
      <c r="F35" s="4">
        <f t="shared" si="9"/>
        <v>1.2422847911488399</v>
      </c>
      <c r="G35" s="2">
        <f t="shared" si="10"/>
        <v>5.943311126753742E-2</v>
      </c>
      <c r="H35" s="2">
        <f t="shared" si="11"/>
        <v>1.2726304593993543</v>
      </c>
      <c r="K35"/>
    </row>
    <row r="36" spans="1:11" x14ac:dyDescent="0.25">
      <c r="A36" s="9" t="s">
        <v>491</v>
      </c>
      <c r="B36" s="97" t="s">
        <v>484</v>
      </c>
      <c r="C36" s="2">
        <f>'IO-DNDC-SCF'!J27</f>
        <v>0.79267256572621325</v>
      </c>
      <c r="D36" s="30">
        <f>(1-'Vol Data'!$D$47)*('Vol Data'!$I$13+'Vol Data'!I12)</f>
        <v>347729.31478789484</v>
      </c>
      <c r="E36" s="11">
        <f t="shared" si="8"/>
        <v>2.9705126917666063E-2</v>
      </c>
      <c r="F36" s="4">
        <f t="shared" si="9"/>
        <v>1.2422847911488399</v>
      </c>
      <c r="G36" s="2">
        <f t="shared" si="10"/>
        <v>5.943311126753742E-2</v>
      </c>
      <c r="H36" s="2">
        <f t="shared" si="11"/>
        <v>1.0441581840301413</v>
      </c>
      <c r="K36"/>
    </row>
    <row r="37" spans="1:11" x14ac:dyDescent="0.25">
      <c r="A37" t="s">
        <v>492</v>
      </c>
      <c r="B37" s="1" t="s">
        <v>128</v>
      </c>
      <c r="C37" s="2">
        <f>'IO-DNDC-5D'!J31</f>
        <v>0.2855293749429661</v>
      </c>
      <c r="D37" s="30">
        <f>(1-'Vol Data'!$D$47)*'Vol Data'!$I$14</f>
        <v>99686.599709263915</v>
      </c>
      <c r="E37" s="11">
        <f t="shared" si="8"/>
        <v>8.5158281756040864E-3</v>
      </c>
      <c r="F37" s="4">
        <f t="shared" si="9"/>
        <v>1.2422847911488399</v>
      </c>
      <c r="G37" s="2">
        <f t="shared" si="10"/>
        <v>5.943311126753742E-2</v>
      </c>
      <c r="H37" s="2">
        <f t="shared" si="11"/>
        <v>0.41414191118541888</v>
      </c>
      <c r="K37"/>
    </row>
    <row r="38" spans="1:11" x14ac:dyDescent="0.25">
      <c r="A38" s="9" t="s">
        <v>491</v>
      </c>
      <c r="B38" s="1" t="s">
        <v>15</v>
      </c>
      <c r="C38" s="2">
        <f>'IO-DSCF-SCF'!J20</f>
        <v>0.7897043384792497</v>
      </c>
      <c r="D38" s="30">
        <f>(1-'Vol Data'!$D$47)*'Vol Data'!$I$15</f>
        <v>406188.42341747059</v>
      </c>
      <c r="E38" s="11">
        <f t="shared" si="8"/>
        <v>3.4699055147140799E-2</v>
      </c>
      <c r="F38" s="4">
        <f t="shared" si="9"/>
        <v>1.2422847911488399</v>
      </c>
      <c r="G38" s="2">
        <f t="shared" si="10"/>
        <v>5.943311126753742E-2</v>
      </c>
      <c r="H38" s="2">
        <f t="shared" si="11"/>
        <v>1.0404708004645649</v>
      </c>
      <c r="K38"/>
    </row>
    <row r="39" spans="1:11" x14ac:dyDescent="0.25">
      <c r="A39" t="s">
        <v>492</v>
      </c>
      <c r="B39" s="1" t="s">
        <v>15</v>
      </c>
      <c r="C39" s="2">
        <f>'IO-DSCF-5D'!J24</f>
        <v>0.26707272819134709</v>
      </c>
      <c r="D39" s="30">
        <f>(1-'Vol Data'!$D$47)*'Vol Data'!$I$16</f>
        <v>100084.12845249109</v>
      </c>
      <c r="E39" s="11">
        <f t="shared" si="8"/>
        <v>8.5497874688497139E-3</v>
      </c>
      <c r="F39" s="4">
        <f t="shared" si="9"/>
        <v>1.2422847911488399</v>
      </c>
      <c r="G39" s="2">
        <f t="shared" si="10"/>
        <v>5.943311126753742E-2</v>
      </c>
      <c r="H39" s="2">
        <f t="shared" si="11"/>
        <v>0.39121349963027591</v>
      </c>
      <c r="K39"/>
    </row>
    <row r="40" spans="1:11" x14ac:dyDescent="0.25">
      <c r="A40" t="s">
        <v>492</v>
      </c>
      <c r="B40" s="1" t="s">
        <v>16</v>
      </c>
      <c r="C40" s="2">
        <f>'IO-DDU-5D'!J15</f>
        <v>0.24105068164413007</v>
      </c>
      <c r="D40" s="30">
        <f>(1-'Vol Data'!$D$47)*'Vol Data'!$I$17</f>
        <v>2575.8788159111937</v>
      </c>
      <c r="E40" s="11">
        <f t="shared" si="8"/>
        <v>2.2004704204430536E-4</v>
      </c>
      <c r="F40" s="4">
        <f>$D$7</f>
        <v>1.2422847911488399</v>
      </c>
      <c r="G40" s="2">
        <f t="shared" si="10"/>
        <v>5.943311126753742E-2</v>
      </c>
      <c r="H40" s="2">
        <f t="shared" si="11"/>
        <v>0.35888670697010105</v>
      </c>
      <c r="K40"/>
    </row>
    <row r="41" spans="1:11" x14ac:dyDescent="0.25">
      <c r="I41" s="66"/>
      <c r="K41"/>
    </row>
    <row r="42" spans="1:11" x14ac:dyDescent="0.25">
      <c r="A42" s="6" t="s">
        <v>324</v>
      </c>
      <c r="K42"/>
    </row>
    <row r="43" spans="1:11" x14ac:dyDescent="0.25">
      <c r="A43" t="s">
        <v>318</v>
      </c>
      <c r="B43" s="1" t="s">
        <v>14</v>
      </c>
      <c r="C43" s="2">
        <f>'MO-NONE-MNDC'!J51</f>
        <v>1.0484016642841134</v>
      </c>
      <c r="D43" s="30">
        <f>(1-'Vol Data'!$C$46)*'Vol Data'!$I$30</f>
        <v>929617.40313324111</v>
      </c>
      <c r="E43" s="11">
        <f t="shared" ref="E43:E50" si="12">D43/$D$62</f>
        <v>7.9413502890281415E-2</v>
      </c>
      <c r="F43" s="4">
        <f>$D$7</f>
        <v>1.2422847911488399</v>
      </c>
      <c r="G43" s="2">
        <f>$D$8</f>
        <v>5.943311126753742E-2</v>
      </c>
      <c r="H43" s="2">
        <f>C43*F43+G43</f>
        <v>1.3618465538228235</v>
      </c>
    </row>
    <row r="44" spans="1:11" x14ac:dyDescent="0.25">
      <c r="A44" t="s">
        <v>319</v>
      </c>
      <c r="B44" s="1" t="s">
        <v>14</v>
      </c>
      <c r="C44" s="2">
        <f>'MO-NONE-NDC'!J51</f>
        <v>0.97539282596170285</v>
      </c>
      <c r="D44" s="30">
        <f>(1-'Vol Data'!$C$46)*'Vol Data'!$I$31</f>
        <v>369380.31256867328</v>
      </c>
      <c r="E44" s="11">
        <f t="shared" si="12"/>
        <v>3.1554685208040376E-2</v>
      </c>
      <c r="F44" s="4">
        <f t="shared" ref="F44:F49" si="13">$D$7</f>
        <v>1.2422847911488399</v>
      </c>
      <c r="G44" s="2">
        <f t="shared" ref="G44:G50" si="14">$D$8</f>
        <v>5.943311126753742E-2</v>
      </c>
      <c r="H44" s="2">
        <f t="shared" ref="H44:H50" si="15">C44*F44+G44</f>
        <v>1.2711487843554483</v>
      </c>
    </row>
    <row r="45" spans="1:11" x14ac:dyDescent="0.25">
      <c r="A45" t="s">
        <v>319</v>
      </c>
      <c r="B45" s="1" t="s">
        <v>128</v>
      </c>
      <c r="C45" s="2">
        <f>'MO-DNDC-NDC'!J23</f>
        <v>0.97185653503444669</v>
      </c>
      <c r="D45" s="30">
        <f>(1-'Vol Data'!$C$46)*'Vol Data'!$I$32</f>
        <v>59754.465998902517</v>
      </c>
      <c r="E45" s="11">
        <f t="shared" si="12"/>
        <v>5.1045854373177298E-3</v>
      </c>
      <c r="F45" s="4">
        <f t="shared" si="13"/>
        <v>1.2422847911488399</v>
      </c>
      <c r="G45" s="2">
        <f t="shared" si="14"/>
        <v>5.943311126753742E-2</v>
      </c>
      <c r="H45" s="2">
        <f t="shared" si="15"/>
        <v>1.2667557039194404</v>
      </c>
    </row>
    <row r="46" spans="1:11" x14ac:dyDescent="0.25">
      <c r="A46" s="9" t="s">
        <v>372</v>
      </c>
      <c r="B46" s="97" t="s">
        <v>484</v>
      </c>
      <c r="C46" s="2">
        <f>'MO-DNDC-SCF'!J27</f>
        <v>0.7883149495693651</v>
      </c>
      <c r="D46" s="30">
        <f>(1-'Vol Data'!$C$46)*('Vol Data'!$I$34+'Vol Data'!$I$33)</f>
        <v>12914.814554218245</v>
      </c>
      <c r="E46" s="11">
        <f t="shared" si="12"/>
        <v>1.1032610399418904E-3</v>
      </c>
      <c r="F46" s="4">
        <f t="shared" si="13"/>
        <v>1.2422847911488399</v>
      </c>
      <c r="G46" s="2">
        <f t="shared" si="14"/>
        <v>5.943311126753742E-2</v>
      </c>
      <c r="H46" s="2">
        <f t="shared" si="15"/>
        <v>1.0387447837528245</v>
      </c>
    </row>
    <row r="47" spans="1:11" x14ac:dyDescent="0.25">
      <c r="A47" t="s">
        <v>320</v>
      </c>
      <c r="B47" s="1" t="s">
        <v>128</v>
      </c>
      <c r="C47" s="2">
        <f>'MO-DNDC-5D'!J31</f>
        <v>0.28210656884865115</v>
      </c>
      <c r="D47" s="30">
        <f>(1-'Vol Data'!$C$46)*'Vol Data'!$I$35</f>
        <v>13439.977658319011</v>
      </c>
      <c r="E47" s="11">
        <f t="shared" si="12"/>
        <v>1.1481236270070745E-3</v>
      </c>
      <c r="F47" s="4">
        <f t="shared" si="13"/>
        <v>1.2422847911488399</v>
      </c>
      <c r="G47" s="2">
        <f t="shared" si="14"/>
        <v>5.943311126753742E-2</v>
      </c>
      <c r="H47" s="2">
        <f t="shared" si="15"/>
        <v>0.40988981123139984</v>
      </c>
    </row>
    <row r="48" spans="1:11" x14ac:dyDescent="0.25">
      <c r="A48" s="9" t="s">
        <v>372</v>
      </c>
      <c r="B48" s="1" t="s">
        <v>15</v>
      </c>
      <c r="C48" s="2">
        <f>'MO-DSCF-SCF'!J20</f>
        <v>0.78707323430631015</v>
      </c>
      <c r="D48" s="30">
        <f>(1-'Vol Data'!$C$46)*'Vol Data'!$I$36</f>
        <v>55196.784871473472</v>
      </c>
      <c r="E48" s="11">
        <f t="shared" si="12"/>
        <v>4.7152409369177186E-3</v>
      </c>
      <c r="F48" s="4">
        <f t="shared" si="13"/>
        <v>1.2422847911488399</v>
      </c>
      <c r="G48" s="2">
        <f t="shared" si="14"/>
        <v>5.943311126753742E-2</v>
      </c>
      <c r="H48" s="2">
        <f t="shared" si="15"/>
        <v>1.037202219766594</v>
      </c>
    </row>
    <row r="49" spans="1:11" x14ac:dyDescent="0.25">
      <c r="A49" t="s">
        <v>320</v>
      </c>
      <c r="B49" s="1" t="s">
        <v>15</v>
      </c>
      <c r="C49" s="2">
        <f>'MO-DSCF-5D'!J24</f>
        <v>0.26424798468040794</v>
      </c>
      <c r="D49" s="30">
        <f>(1-'Vol Data'!$C$46)*'Vol Data'!$I$37</f>
        <v>866967.76235311362</v>
      </c>
      <c r="E49" s="11">
        <f t="shared" si="12"/>
        <v>7.4061594231516079E-2</v>
      </c>
      <c r="F49" s="4">
        <f t="shared" si="13"/>
        <v>1.2422847911488399</v>
      </c>
      <c r="G49" s="2">
        <f t="shared" si="14"/>
        <v>5.943311126753742E-2</v>
      </c>
      <c r="H49" s="2">
        <f t="shared" si="15"/>
        <v>0.38770436372773986</v>
      </c>
    </row>
    <row r="50" spans="1:11" x14ac:dyDescent="0.25">
      <c r="A50" t="s">
        <v>320</v>
      </c>
      <c r="B50" s="1" t="s">
        <v>16</v>
      </c>
      <c r="C50" s="2">
        <f>'MO-DDU-5D'!J15</f>
        <v>0.24041803467511216</v>
      </c>
      <c r="D50" s="30">
        <f>(1-'Vol Data'!$C$46)*'Vol Data'!$I$38</f>
        <v>128751.10299553507</v>
      </c>
      <c r="E50" s="11">
        <f t="shared" si="12"/>
        <v>1.0998692640005758E-2</v>
      </c>
      <c r="F50" s="4">
        <f>$D$7</f>
        <v>1.2422847911488399</v>
      </c>
      <c r="G50" s="2">
        <f t="shared" si="14"/>
        <v>5.943311126753742E-2</v>
      </c>
      <c r="H50" s="2">
        <f t="shared" si="15"/>
        <v>0.3581007792623237</v>
      </c>
    </row>
    <row r="51" spans="1:11" x14ac:dyDescent="0.25">
      <c r="I51" s="66"/>
    </row>
    <row r="52" spans="1:11" x14ac:dyDescent="0.25">
      <c r="A52" s="6" t="s">
        <v>325</v>
      </c>
      <c r="K52"/>
    </row>
    <row r="53" spans="1:11" x14ac:dyDescent="0.25">
      <c r="A53" t="s">
        <v>318</v>
      </c>
      <c r="B53" s="1" t="s">
        <v>14</v>
      </c>
      <c r="C53" s="2">
        <f>'M&gt;6-NONE-MNDC'!J89</f>
        <v>1.0035276771057433</v>
      </c>
      <c r="D53" s="30">
        <f>'Vol Data'!$C$46*'Vol Data'!$I$30</f>
        <v>1196332.5968667588</v>
      </c>
      <c r="E53" s="11">
        <f t="shared" ref="E53:E60" si="16">D53/$D$62</f>
        <v>0.10219791692668996</v>
      </c>
      <c r="F53" s="4">
        <f>$D$7</f>
        <v>1.2422847911488399</v>
      </c>
      <c r="G53" s="2">
        <f>$D$8</f>
        <v>5.943311126753742E-2</v>
      </c>
      <c r="H53" s="2">
        <f>C53*F53+G53</f>
        <v>1.3061002820329264</v>
      </c>
    </row>
    <row r="54" spans="1:11" x14ac:dyDescent="0.25">
      <c r="A54" t="s">
        <v>319</v>
      </c>
      <c r="B54" s="1" t="s">
        <v>14</v>
      </c>
      <c r="C54" s="2">
        <f>'M&gt;6-NONE-NDC'!J84</f>
        <v>0.7103127955684323</v>
      </c>
      <c r="D54" s="30">
        <f>'Vol Data'!$C$46*'Vol Data'!$I$31</f>
        <v>475358.68743132672</v>
      </c>
      <c r="E54" s="11">
        <f t="shared" si="16"/>
        <v>4.0607994612636776E-2</v>
      </c>
      <c r="F54" s="4">
        <f t="shared" ref="F54:F59" si="17">$D$7</f>
        <v>1.2422847911488399</v>
      </c>
      <c r="G54" s="2">
        <f t="shared" ref="G54:G60" si="18">$D$8</f>
        <v>5.943311126753742E-2</v>
      </c>
      <c r="H54" s="2">
        <f t="shared" ref="H54:H60" si="19">C54*F54+G54</f>
        <v>0.94184389416061598</v>
      </c>
    </row>
    <row r="55" spans="1:11" x14ac:dyDescent="0.25">
      <c r="A55" t="s">
        <v>319</v>
      </c>
      <c r="B55" s="1" t="s">
        <v>128</v>
      </c>
      <c r="C55" s="2">
        <f>'M&gt;6-DNDC-NDC'!J56</f>
        <v>0.70792560044991459</v>
      </c>
      <c r="D55" s="30">
        <f>'Vol Data'!$C$46*'Vol Data'!$I$32</f>
        <v>76898.534001097491</v>
      </c>
      <c r="E55" s="11">
        <f t="shared" si="16"/>
        <v>6.5691347123793906E-3</v>
      </c>
      <c r="F55" s="4">
        <f t="shared" si="17"/>
        <v>1.2422847911488399</v>
      </c>
      <c r="G55" s="2">
        <f t="shared" si="18"/>
        <v>5.943311126753742E-2</v>
      </c>
      <c r="H55" s="2">
        <f t="shared" si="19"/>
        <v>0.93887831797137666</v>
      </c>
    </row>
    <row r="56" spans="1:11" x14ac:dyDescent="0.25">
      <c r="A56" s="9" t="s">
        <v>372</v>
      </c>
      <c r="B56" s="97" t="s">
        <v>484</v>
      </c>
      <c r="C56" s="2">
        <f>'M&gt;6-DNDC-SCF'!J27</f>
        <v>0.7883149495693651</v>
      </c>
      <c r="D56" s="30">
        <f>'Vol Data'!$C$46*('Vol Data'!$I$34+'Vol Data'!$I$33)</f>
        <v>16620.185445781757</v>
      </c>
      <c r="E56" s="11">
        <f t="shared" si="16"/>
        <v>1.4197960800723388E-3</v>
      </c>
      <c r="F56" s="4">
        <f t="shared" si="17"/>
        <v>1.2422847911488399</v>
      </c>
      <c r="G56" s="2">
        <f t="shared" si="18"/>
        <v>5.943311126753742E-2</v>
      </c>
      <c r="H56" s="2">
        <f t="shared" si="19"/>
        <v>1.0387447837528245</v>
      </c>
    </row>
    <row r="57" spans="1:11" x14ac:dyDescent="0.25">
      <c r="A57" t="s">
        <v>320</v>
      </c>
      <c r="B57" s="1" t="s">
        <v>128</v>
      </c>
      <c r="C57" s="2">
        <f>'M&gt;6-DNDC-5D'!J31</f>
        <v>0.28210656884865115</v>
      </c>
      <c r="D57" s="30">
        <f>'Vol Data'!$C$46*'Vol Data'!$I$35</f>
        <v>17296.022341680989</v>
      </c>
      <c r="E57" s="11">
        <f t="shared" si="16"/>
        <v>1.4775301275470932E-3</v>
      </c>
      <c r="F57" s="4">
        <f t="shared" si="17"/>
        <v>1.2422847911488399</v>
      </c>
      <c r="G57" s="2">
        <f t="shared" si="18"/>
        <v>5.943311126753742E-2</v>
      </c>
      <c r="H57" s="2">
        <f t="shared" si="19"/>
        <v>0.40988981123139984</v>
      </c>
    </row>
    <row r="58" spans="1:11" x14ac:dyDescent="0.25">
      <c r="A58" s="9" t="s">
        <v>372</v>
      </c>
      <c r="B58" s="1" t="s">
        <v>15</v>
      </c>
      <c r="C58" s="2">
        <f>'M&gt;6-DSCF-SCF'!J20</f>
        <v>0.78707323430631015</v>
      </c>
      <c r="D58" s="30">
        <f>'Vol Data'!$C$46*'Vol Data'!$I$36</f>
        <v>71033.215128526528</v>
      </c>
      <c r="E58" s="11">
        <f t="shared" si="16"/>
        <v>6.0680839406646791E-3</v>
      </c>
      <c r="F58" s="4">
        <f t="shared" si="17"/>
        <v>1.2422847911488399</v>
      </c>
      <c r="G58" s="2">
        <f t="shared" si="18"/>
        <v>5.943311126753742E-2</v>
      </c>
      <c r="H58" s="2">
        <f t="shared" si="19"/>
        <v>1.037202219766594</v>
      </c>
    </row>
    <row r="59" spans="1:11" x14ac:dyDescent="0.25">
      <c r="A59" t="s">
        <v>320</v>
      </c>
      <c r="B59" s="1" t="s">
        <v>15</v>
      </c>
      <c r="C59" s="2">
        <f>'M&gt;6-DSCF-5D'!J24</f>
        <v>0.26424798468040794</v>
      </c>
      <c r="D59" s="30">
        <f>'Vol Data'!$C$46*'Vol Data'!$I$37</f>
        <v>1115708.2376468864</v>
      </c>
      <c r="E59" s="11">
        <f t="shared" si="16"/>
        <v>9.5310499842678323E-2</v>
      </c>
      <c r="F59" s="4">
        <f t="shared" si="17"/>
        <v>1.2422847911488399</v>
      </c>
      <c r="G59" s="2">
        <f t="shared" si="18"/>
        <v>5.943311126753742E-2</v>
      </c>
      <c r="H59" s="2">
        <f t="shared" si="19"/>
        <v>0.38770436372773986</v>
      </c>
    </row>
    <row r="60" spans="1:11" x14ac:dyDescent="0.25">
      <c r="A60" t="s">
        <v>320</v>
      </c>
      <c r="B60" s="1" t="s">
        <v>16</v>
      </c>
      <c r="C60" s="2">
        <f>'M&gt;6-DDU-5D'!J15</f>
        <v>0.24041803467511216</v>
      </c>
      <c r="D60" s="30">
        <f>'Vol Data'!$C$46*'Vol Data'!$I$38</f>
        <v>165690.89700446493</v>
      </c>
      <c r="E60" s="11">
        <f t="shared" si="16"/>
        <v>1.4154311745680024E-2</v>
      </c>
      <c r="F60" s="4">
        <f>$D$7</f>
        <v>1.2422847911488399</v>
      </c>
      <c r="G60" s="2">
        <f t="shared" si="18"/>
        <v>5.943311126753742E-2</v>
      </c>
      <c r="H60" s="2">
        <f t="shared" si="19"/>
        <v>0.3581007792623237</v>
      </c>
    </row>
    <row r="61" spans="1:11" x14ac:dyDescent="0.25">
      <c r="I61" s="66"/>
    </row>
    <row r="62" spans="1:11" s="6" customFormat="1" x14ac:dyDescent="0.25">
      <c r="A62" s="6" t="s">
        <v>17</v>
      </c>
      <c r="B62" s="3"/>
      <c r="C62" s="50"/>
      <c r="D62" s="34">
        <f>SUM(D15:D60)</f>
        <v>11706036.999999998</v>
      </c>
      <c r="E62" s="14">
        <f>SUM(E15:E60)</f>
        <v>1</v>
      </c>
      <c r="F62" s="8"/>
      <c r="G62" s="50"/>
      <c r="H62" s="50">
        <f>SUMPRODUCT(H15:H60,E15:E60)</f>
        <v>1.0373367277052787</v>
      </c>
      <c r="K62" s="63"/>
    </row>
    <row r="65" spans="1:5" x14ac:dyDescent="0.25">
      <c r="A65" s="29" t="s">
        <v>259</v>
      </c>
    </row>
    <row r="66" spans="1:5" x14ac:dyDescent="0.25">
      <c r="A66" s="6" t="s">
        <v>262</v>
      </c>
      <c r="B66" s="4"/>
      <c r="E66" s="43"/>
    </row>
    <row r="67" spans="1:5" x14ac:dyDescent="0.25">
      <c r="A67" s="6" t="s">
        <v>263</v>
      </c>
      <c r="B67" s="4"/>
      <c r="E67" s="43"/>
    </row>
    <row r="68" spans="1:5" x14ac:dyDescent="0.25">
      <c r="A68" s="6" t="s">
        <v>264</v>
      </c>
      <c r="B68" s="4"/>
      <c r="D68" s="32"/>
      <c r="E68" s="51"/>
    </row>
    <row r="69" spans="1:5" x14ac:dyDescent="0.25">
      <c r="A69" s="6" t="s">
        <v>265</v>
      </c>
      <c r="B69" s="4"/>
      <c r="E69" s="43"/>
    </row>
    <row r="70" spans="1:5" x14ac:dyDescent="0.25">
      <c r="A70" s="6" t="s">
        <v>266</v>
      </c>
    </row>
    <row r="71" spans="1:5" x14ac:dyDescent="0.25">
      <c r="A71" s="6" t="s">
        <v>267</v>
      </c>
      <c r="B71" s="4"/>
      <c r="C71" s="67"/>
      <c r="D71" s="52"/>
    </row>
    <row r="72" spans="1:5" x14ac:dyDescent="0.25">
      <c r="A72" s="6" t="s">
        <v>268</v>
      </c>
      <c r="B72" s="4"/>
      <c r="C72" s="67"/>
      <c r="D72" s="24"/>
    </row>
    <row r="73" spans="1:5" x14ac:dyDescent="0.25">
      <c r="A73" s="6" t="s">
        <v>269</v>
      </c>
      <c r="B73" s="4"/>
      <c r="C73" s="67"/>
    </row>
    <row r="74" spans="1:5" x14ac:dyDescent="0.25">
      <c r="A74" s="6" t="s">
        <v>270</v>
      </c>
      <c r="B74" s="4"/>
      <c r="C74" s="67"/>
      <c r="D74" s="24"/>
    </row>
    <row r="75" spans="1:5" x14ac:dyDescent="0.25">
      <c r="A75" s="6" t="s">
        <v>271</v>
      </c>
      <c r="B75" s="4"/>
    </row>
  </sheetData>
  <phoneticPr fontId="3" type="noConversion"/>
  <printOptions horizontalCentered="1"/>
  <pageMargins left="0.75" right="0.75" top="1" bottom="1" header="0.5" footer="0.5"/>
  <pageSetup scale="69" orientation="portrait" r:id="rId1"/>
  <headerFooter alignWithMargins="0">
    <oddHeader>&amp;RPage 2 of 50</oddHeader>
    <oddFooter>&amp;R&amp;F</oddFooter>
  </headerFooter>
  <ignoredErrors>
    <ignoredError sqref="D7 H42:H60 F15:H20 F23:H30 H33:H40 F33:F40 F42:F60" evalErro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P72"/>
  <sheetViews>
    <sheetView topLeftCell="A21" zoomScale="75" workbookViewId="0">
      <selection activeCell="R18" sqref="R10:T18"/>
    </sheetView>
  </sheetViews>
  <sheetFormatPr defaultColWidth="9.109375" defaultRowHeight="13.2" x14ac:dyDescent="0.25"/>
  <cols>
    <col min="1" max="1" width="6.6640625" style="97" customWidth="1"/>
    <col min="2" max="2" width="12.6640625" style="9" customWidth="1"/>
    <col min="3" max="3" width="13.6640625" style="9" customWidth="1"/>
    <col min="4" max="5" width="13.6640625" style="101" customWidth="1"/>
    <col min="6" max="6" width="13.6640625" style="4" customWidth="1"/>
    <col min="7" max="8" width="13.6640625" style="101" customWidth="1"/>
    <col min="9" max="11" width="13.6640625" style="4" customWidth="1"/>
    <col min="12" max="12" width="9.109375" style="15"/>
    <col min="16" max="16" width="9.88671875" bestFit="1" customWidth="1"/>
  </cols>
  <sheetData>
    <row r="1" spans="1:16" s="95" customFormat="1" ht="15.6" x14ac:dyDescent="0.3">
      <c r="A1" s="5" t="s">
        <v>376</v>
      </c>
      <c r="B1" s="5"/>
      <c r="C1" s="5"/>
      <c r="D1" s="92"/>
      <c r="E1" s="92"/>
      <c r="F1" s="93"/>
      <c r="G1" s="92"/>
      <c r="H1" s="92"/>
      <c r="I1" s="93"/>
      <c r="J1" s="93"/>
      <c r="K1" s="93"/>
      <c r="L1" s="94"/>
    </row>
    <row r="2" spans="1:16" s="6" customFormat="1" x14ac:dyDescent="0.25">
      <c r="A2" s="7"/>
      <c r="D2" s="96"/>
      <c r="E2" s="96"/>
      <c r="F2" s="8"/>
      <c r="G2" s="96"/>
      <c r="H2" s="96"/>
      <c r="I2" s="8"/>
      <c r="J2" s="8"/>
      <c r="K2" s="8"/>
      <c r="L2" s="15"/>
    </row>
    <row r="3" spans="1:16" s="6" customFormat="1" x14ac:dyDescent="0.25">
      <c r="A3" s="7"/>
      <c r="D3" s="96"/>
      <c r="E3" s="96"/>
      <c r="F3" s="8"/>
      <c r="G3" s="96"/>
      <c r="H3" s="96"/>
      <c r="I3" s="8"/>
      <c r="J3" s="8"/>
      <c r="K3" s="8"/>
      <c r="L3" s="15"/>
    </row>
    <row r="4" spans="1:16" x14ac:dyDescent="0.25">
      <c r="D4" s="96"/>
      <c r="E4" s="96"/>
      <c r="F4" s="8" t="s">
        <v>107</v>
      </c>
      <c r="G4" s="96" t="s">
        <v>108</v>
      </c>
      <c r="H4" s="96" t="s">
        <v>109</v>
      </c>
      <c r="I4" s="8" t="s">
        <v>112</v>
      </c>
      <c r="J4" s="8" t="s">
        <v>156</v>
      </c>
      <c r="K4" s="8" t="s">
        <v>157</v>
      </c>
    </row>
    <row r="5" spans="1:16" x14ac:dyDescent="0.25">
      <c r="A5" s="98" t="s">
        <v>3</v>
      </c>
      <c r="B5" s="99"/>
      <c r="C5" s="99"/>
      <c r="D5" s="96"/>
      <c r="E5" s="96"/>
      <c r="F5" s="100"/>
      <c r="G5" s="96"/>
      <c r="H5" s="96"/>
      <c r="I5" s="8" t="s">
        <v>4</v>
      </c>
      <c r="J5" s="8"/>
    </row>
    <row r="6" spans="1:16" x14ac:dyDescent="0.25">
      <c r="A6" s="98" t="s">
        <v>28</v>
      </c>
      <c r="B6" s="99"/>
      <c r="C6" s="99" t="s">
        <v>29</v>
      </c>
      <c r="D6" s="3" t="s">
        <v>19</v>
      </c>
      <c r="E6" s="3" t="s">
        <v>21</v>
      </c>
      <c r="F6" s="8" t="s">
        <v>7</v>
      </c>
      <c r="G6" s="3" t="s">
        <v>19</v>
      </c>
      <c r="H6" s="3" t="s">
        <v>21</v>
      </c>
      <c r="I6" s="8" t="s">
        <v>80</v>
      </c>
      <c r="J6" s="8" t="s">
        <v>370</v>
      </c>
      <c r="K6" s="8" t="s">
        <v>105</v>
      </c>
    </row>
    <row r="7" spans="1:16" s="12" customFormat="1" x14ac:dyDescent="0.25">
      <c r="A7" s="3" t="s">
        <v>30</v>
      </c>
      <c r="B7" s="6" t="s">
        <v>31</v>
      </c>
      <c r="C7" s="6" t="s">
        <v>32</v>
      </c>
      <c r="D7" s="96" t="s">
        <v>33</v>
      </c>
      <c r="E7" s="96" t="s">
        <v>33</v>
      </c>
      <c r="F7" s="8" t="s">
        <v>34</v>
      </c>
      <c r="G7" s="96" t="s">
        <v>34</v>
      </c>
      <c r="H7" s="96" t="s">
        <v>34</v>
      </c>
      <c r="I7" s="8" t="s">
        <v>110</v>
      </c>
      <c r="J7" s="8" t="s">
        <v>110</v>
      </c>
      <c r="K7" s="8" t="s">
        <v>110</v>
      </c>
      <c r="L7" s="15"/>
    </row>
    <row r="9" spans="1:16" x14ac:dyDescent="0.25">
      <c r="A9" s="97">
        <v>1</v>
      </c>
      <c r="B9" s="9" t="s">
        <v>448</v>
      </c>
      <c r="C9" s="9" t="s">
        <v>35</v>
      </c>
      <c r="E9" s="1" t="s">
        <v>36</v>
      </c>
      <c r="F9" s="85">
        <f>'[12]PARCEL Unit Costs W  Final Adj.'!$F$6</f>
        <v>9.5842081922923761</v>
      </c>
      <c r="G9" s="4">
        <f>F9*$G$69</f>
        <v>9.0350911151752573</v>
      </c>
      <c r="H9" s="4">
        <f>F9*$H$69</f>
        <v>0.54911707711711599</v>
      </c>
      <c r="I9" s="4">
        <f>'[13]8  MP Cost Pool Variabilities'!$E$9</f>
        <v>0.98913371999999999</v>
      </c>
      <c r="J9" s="4">
        <f>'[14]VII-3a. ovhead factors-MODS1&amp;2'!$G$9</f>
        <v>1.3893524811852758</v>
      </c>
      <c r="K9" s="85">
        <f>'[15]MP Piggybacks'!$J$7</f>
        <v>1.754359816131257</v>
      </c>
      <c r="P9" s="4"/>
    </row>
    <row r="10" spans="1:16" x14ac:dyDescent="0.25">
      <c r="A10" s="97">
        <f>A9+1</f>
        <v>2</v>
      </c>
      <c r="B10" t="s">
        <v>434</v>
      </c>
      <c r="C10" t="s">
        <v>37</v>
      </c>
      <c r="E10" s="1" t="s">
        <v>36</v>
      </c>
      <c r="F10" s="85">
        <f>'[12]PARCEL Unit Costs W  Final Adj.'!$F$7</f>
        <v>0.29633707465904707</v>
      </c>
      <c r="G10" s="4">
        <f>F10*$G$69</f>
        <v>0.27935875521800285</v>
      </c>
      <c r="H10" s="4">
        <f>F10*$H$69</f>
        <v>1.6978319441044179E-2</v>
      </c>
      <c r="I10" s="4">
        <f>'[13]8  MP Cost Pool Variabilities'!$E$12</f>
        <v>0.97340817999999996</v>
      </c>
      <c r="J10" s="4">
        <f>'[14]VII-3a. ovhead factors-MODS1&amp;2'!$G$12</f>
        <v>1.4309838345426646</v>
      </c>
      <c r="K10" s="4">
        <f>'[15]MP Piggybacks'!$J$8</f>
        <v>1.6305774272183733</v>
      </c>
      <c r="L10" s="102" t="s">
        <v>361</v>
      </c>
      <c r="P10" s="4"/>
    </row>
    <row r="11" spans="1:16" x14ac:dyDescent="0.25">
      <c r="A11" s="97">
        <f t="shared" ref="A11:A60" si="0">A10+1</f>
        <v>3</v>
      </c>
      <c r="B11" t="s">
        <v>434</v>
      </c>
      <c r="C11" t="s">
        <v>314</v>
      </c>
      <c r="E11" s="1" t="s">
        <v>36</v>
      </c>
      <c r="F11" s="85">
        <f>'[12]PARCEL Unit Costs W  Final Adj.'!$F$8</f>
        <v>0</v>
      </c>
      <c r="G11" s="4">
        <f>F11*$G$69</f>
        <v>0</v>
      </c>
      <c r="H11" s="4">
        <f>F11*$H$69</f>
        <v>0</v>
      </c>
      <c r="I11" s="4">
        <f>'[13]8  MP Cost Pool Variabilities'!$E$13</f>
        <v>0</v>
      </c>
      <c r="J11" s="4">
        <f>'[14]VII-3a. ovhead factors-MODS1&amp;2'!$G$15</f>
        <v>0</v>
      </c>
      <c r="K11" s="4">
        <f>'[15]MP Piggybacks'!$J$9</f>
        <v>0</v>
      </c>
      <c r="L11" s="103">
        <f>'[15]MP Piggybacks'!$J$78</f>
        <v>1.6056412614911089</v>
      </c>
      <c r="P11" s="4"/>
    </row>
    <row r="12" spans="1:16" x14ac:dyDescent="0.25">
      <c r="A12" s="97">
        <f t="shared" si="0"/>
        <v>4</v>
      </c>
      <c r="B12" t="s">
        <v>38</v>
      </c>
      <c r="C12" s="104" t="s">
        <v>429</v>
      </c>
      <c r="D12" s="101" t="s">
        <v>36</v>
      </c>
      <c r="E12" s="1"/>
      <c r="F12" s="85">
        <f>'[12]PARCEL Unit Costs W  Final Adj.'!$F$9</f>
        <v>3.5336097909329149</v>
      </c>
      <c r="G12" s="4">
        <f>F12</f>
        <v>3.5336097909329149</v>
      </c>
      <c r="H12" s="4"/>
      <c r="I12" s="4">
        <f>'[13]8  MP Cost Pool Variabilities'!$E$16</f>
        <v>0.96403554000000002</v>
      </c>
      <c r="J12" s="4">
        <f>'[14]VII-3a. ovhead factors-MODS1&amp;2'!$G$18</f>
        <v>1.4847803846613761</v>
      </c>
      <c r="K12" s="105">
        <f>'[15]MP Piggybacks'!$J$10</f>
        <v>1.6595872730679075</v>
      </c>
      <c r="L12" s="106"/>
      <c r="P12" s="4"/>
    </row>
    <row r="13" spans="1:16" x14ac:dyDescent="0.25">
      <c r="A13" s="97">
        <f t="shared" si="0"/>
        <v>5</v>
      </c>
      <c r="B13" t="s">
        <v>38</v>
      </c>
      <c r="C13" s="9" t="s">
        <v>430</v>
      </c>
      <c r="D13" s="101" t="s">
        <v>36</v>
      </c>
      <c r="E13" s="1"/>
      <c r="F13" s="85">
        <f>'[12]PARCEL Unit Costs W  Final Adj.'!$F$10</f>
        <v>13.343898469722438</v>
      </c>
      <c r="G13" s="4">
        <f>F13</f>
        <v>13.343898469722438</v>
      </c>
      <c r="H13" s="4"/>
      <c r="I13" s="4">
        <f>'[13]8  MP Cost Pool Variabilities'!$E$17</f>
        <v>0.96805898000000001</v>
      </c>
      <c r="J13" s="4">
        <f>'[14]VII-3a. ovhead factors-MODS1&amp;2'!$G$21</f>
        <v>1.5054165132383859</v>
      </c>
      <c r="K13" s="107">
        <f>'[15]MP Piggybacks'!$J$11</f>
        <v>1.6636637393337459</v>
      </c>
      <c r="L13" s="106"/>
      <c r="P13" s="4"/>
    </row>
    <row r="14" spans="1:16" x14ac:dyDescent="0.25">
      <c r="A14" s="97">
        <f t="shared" si="0"/>
        <v>6</v>
      </c>
      <c r="B14" t="s">
        <v>40</v>
      </c>
      <c r="C14" t="s">
        <v>41</v>
      </c>
      <c r="E14" s="1" t="s">
        <v>36</v>
      </c>
      <c r="F14" s="85">
        <f>'[12]PARCEL Unit Costs W  Final Adj.'!$F$13</f>
        <v>7.3209919873959944E-2</v>
      </c>
      <c r="G14" s="4">
        <f>F14*$G$69</f>
        <v>6.9015434903412581E-2</v>
      </c>
      <c r="H14" s="4">
        <f>F14*$H$69</f>
        <v>4.1944849705473491E-3</v>
      </c>
      <c r="I14" s="4">
        <f>'[13]8  MP Cost Pool Variabilities'!$E$20</f>
        <v>0.96758120000000003</v>
      </c>
      <c r="J14" s="4">
        <f>'[14]VII-3a. ovhead factors-MODS1&amp;2'!$G$24</f>
        <v>1.4612893338505064</v>
      </c>
      <c r="K14" s="4">
        <f>'[15]MP Piggybacks'!$J$14</f>
        <v>1.3622907328394676</v>
      </c>
      <c r="L14" s="108">
        <f>'[15]MP Piggybacks'!$J$84</f>
        <v>1.8052502472456198</v>
      </c>
      <c r="P14" s="4"/>
    </row>
    <row r="15" spans="1:16" x14ac:dyDescent="0.25">
      <c r="A15" s="97">
        <f t="shared" si="0"/>
        <v>7</v>
      </c>
      <c r="B15" t="s">
        <v>40</v>
      </c>
      <c r="C15" t="s">
        <v>42</v>
      </c>
      <c r="E15" s="1" t="s">
        <v>36</v>
      </c>
      <c r="F15" s="85">
        <f>'[12]PARCEL Unit Costs W  Final Adj.'!$F$14</f>
        <v>4.7377306626543658E-4</v>
      </c>
      <c r="G15" s="4">
        <f>F15*$G$69</f>
        <v>4.4662873924907338E-4</v>
      </c>
      <c r="H15" s="4">
        <f>F15*$H$69</f>
        <v>2.7144327016363075E-5</v>
      </c>
      <c r="I15" s="4">
        <f>'[13]8  MP Cost Pool Variabilities'!$E$21</f>
        <v>0.97238124999999997</v>
      </c>
      <c r="J15" s="4">
        <f>'[14]VII-3a. ovhead factors-MODS1&amp;2'!$G$27</f>
        <v>1.3647592087082534</v>
      </c>
      <c r="K15" s="4">
        <f>'[15]MP Piggybacks'!$J$15</f>
        <v>1.2988119246888874</v>
      </c>
      <c r="L15" s="109" t="s">
        <v>460</v>
      </c>
      <c r="P15" s="4"/>
    </row>
    <row r="16" spans="1:16" x14ac:dyDescent="0.25">
      <c r="A16" s="97">
        <f t="shared" si="0"/>
        <v>8</v>
      </c>
      <c r="B16" t="s">
        <v>40</v>
      </c>
      <c r="C16" t="s">
        <v>43</v>
      </c>
      <c r="D16" s="101" t="s">
        <v>36</v>
      </c>
      <c r="E16" s="1"/>
      <c r="F16" s="85">
        <f>'[12]PARCEL Unit Costs W  Final Adj.'!$F$15</f>
        <v>0</v>
      </c>
      <c r="G16" s="4">
        <f>F16</f>
        <v>0</v>
      </c>
      <c r="H16" s="4"/>
      <c r="I16" s="4">
        <f>'[13]8  MP Cost Pool Variabilities'!$E$22</f>
        <v>0.97225877999999999</v>
      </c>
      <c r="J16" s="4">
        <f>'[14]VII-3a. ovhead factors-MODS1&amp;2'!$G$30</f>
        <v>1.4652042476373826</v>
      </c>
      <c r="K16" s="4">
        <f>'[15]MP Piggybacks'!$J$16</f>
        <v>1.3208756008457678</v>
      </c>
      <c r="P16" s="4"/>
    </row>
    <row r="17" spans="1:16" x14ac:dyDescent="0.25">
      <c r="A17" s="97">
        <f t="shared" si="0"/>
        <v>9</v>
      </c>
      <c r="B17" t="s">
        <v>40</v>
      </c>
      <c r="C17" t="s">
        <v>44</v>
      </c>
      <c r="E17" s="1" t="s">
        <v>36</v>
      </c>
      <c r="F17" s="85">
        <f>'[12]PARCEL Unit Costs W  Final Adj.'!$F$16</f>
        <v>3.5705299117174478</v>
      </c>
      <c r="G17" s="4">
        <f>F17*$G$69</f>
        <v>3.3659601747559456</v>
      </c>
      <c r="H17" s="4">
        <f>F17*$H$69</f>
        <v>0.20456973696150152</v>
      </c>
      <c r="I17" s="4">
        <f>'[13]8  MP Cost Pool Variabilities'!$E$23</f>
        <v>0.96148710000000004</v>
      </c>
      <c r="J17" s="4">
        <f>'[14]VII-3a. ovhead factors-MODS1&amp;2'!$G$33</f>
        <v>1.5835820030709507</v>
      </c>
      <c r="K17" s="4">
        <f>'[15]MP Piggybacks'!$J$17</f>
        <v>1.3673172205996416</v>
      </c>
      <c r="P17" s="4"/>
    </row>
    <row r="18" spans="1:16" x14ac:dyDescent="0.25">
      <c r="A18" s="97">
        <f t="shared" si="0"/>
        <v>10</v>
      </c>
      <c r="B18" t="s">
        <v>45</v>
      </c>
      <c r="C18" t="s">
        <v>46</v>
      </c>
      <c r="E18" s="1" t="s">
        <v>36</v>
      </c>
      <c r="F18" s="85">
        <f>'[12]PARCEL Unit Costs W  Final Adj.'!$F$17</f>
        <v>0</v>
      </c>
      <c r="G18" s="4">
        <f>F18*$G$69</f>
        <v>0</v>
      </c>
      <c r="H18" s="4">
        <f>F18*$H$69</f>
        <v>0</v>
      </c>
      <c r="I18" s="4">
        <f>'[13]8  MP Cost Pool Variabilities'!$E$25</f>
        <v>0.87302999999999997</v>
      </c>
      <c r="J18" s="4" t="s">
        <v>433</v>
      </c>
      <c r="K18" s="4">
        <f>'[15]MP Piggybacks'!$J$18</f>
        <v>1.3915842531237421</v>
      </c>
      <c r="P18" s="4"/>
    </row>
    <row r="19" spans="1:16" x14ac:dyDescent="0.25">
      <c r="A19" s="97">
        <f t="shared" si="0"/>
        <v>11</v>
      </c>
      <c r="B19" t="s">
        <v>435</v>
      </c>
      <c r="C19" t="s">
        <v>424</v>
      </c>
      <c r="D19" s="101" t="s">
        <v>36</v>
      </c>
      <c r="E19" s="1"/>
      <c r="F19" s="85">
        <f>'[12]PARCEL Unit Costs W  Final Adj.'!$F$11</f>
        <v>1.9283303156660127E-3</v>
      </c>
      <c r="G19" s="4">
        <f>F19*$G$69</f>
        <v>1.8178486686264168E-3</v>
      </c>
      <c r="H19" s="4">
        <f>F19*$H$69</f>
        <v>1.1048164703959557E-4</v>
      </c>
      <c r="I19" s="4">
        <f>'[13]8  MP Cost Pool Variabilities'!$E$28</f>
        <v>0.95929235999999996</v>
      </c>
      <c r="J19" s="4">
        <f>'[14]VII-3a. ovhead factors-MODS1&amp;2'!$G$36</f>
        <v>1.4332178259213497</v>
      </c>
      <c r="K19" s="4">
        <f>'[15]MP Piggybacks'!$J$12</f>
        <v>1.5773008471152119</v>
      </c>
      <c r="L19"/>
      <c r="P19" s="4"/>
    </row>
    <row r="20" spans="1:16" x14ac:dyDescent="0.25">
      <c r="A20" s="97">
        <f t="shared" si="0"/>
        <v>12</v>
      </c>
      <c r="B20" t="s">
        <v>435</v>
      </c>
      <c r="C20" t="s">
        <v>39</v>
      </c>
      <c r="E20" s="1" t="s">
        <v>36</v>
      </c>
      <c r="F20" s="85">
        <f>'[12]PARCEL Unit Costs W  Final Adj.'!$F$12</f>
        <v>0.30732047919646038</v>
      </c>
      <c r="G20" s="4">
        <f>F20*$G$69</f>
        <v>0.28971287720276567</v>
      </c>
      <c r="H20" s="4">
        <f>F20*$H$69</f>
        <v>1.7607601993694644E-2</v>
      </c>
      <c r="I20" s="4">
        <f>'[13]8  MP Cost Pool Variabilities'!$E$29</f>
        <v>0.94974594999999995</v>
      </c>
      <c r="J20" s="4">
        <f>'[14]VII-3a. ovhead factors-MODS1&amp;2'!$G$39</f>
        <v>1.5774849866081868</v>
      </c>
      <c r="K20" s="4">
        <f>'[15]MP Piggybacks'!$J$13</f>
        <v>1.5358044573278811</v>
      </c>
      <c r="L20"/>
      <c r="P20" s="4"/>
    </row>
    <row r="21" spans="1:16" x14ac:dyDescent="0.25">
      <c r="A21" s="97">
        <f t="shared" si="0"/>
        <v>13</v>
      </c>
      <c r="B21" t="s">
        <v>47</v>
      </c>
      <c r="C21" t="s">
        <v>48</v>
      </c>
      <c r="E21" s="1" t="s">
        <v>36</v>
      </c>
      <c r="F21" s="85">
        <f>'[12]PARCEL Unit Costs W  Final Adj.'!$F$18</f>
        <v>0.16556736471778924</v>
      </c>
      <c r="G21" s="4"/>
      <c r="H21" s="4">
        <f>F21</f>
        <v>0.16556736471778924</v>
      </c>
      <c r="I21" s="4">
        <f>'[13]8  MP Cost Pool Variabilities'!$E$32</f>
        <v>0.97853723000000004</v>
      </c>
      <c r="J21" s="4">
        <f>'[14]VII-3a. ovhead factors-MODS1&amp;2'!$G$42</f>
        <v>1.4757547428161326</v>
      </c>
      <c r="K21" s="4">
        <f>'[15]MP Piggybacks'!$J$19</f>
        <v>2.1937318420478604</v>
      </c>
      <c r="P21" s="4"/>
    </row>
    <row r="22" spans="1:16" x14ac:dyDescent="0.25">
      <c r="A22" s="97">
        <f t="shared" si="0"/>
        <v>14</v>
      </c>
      <c r="B22" t="s">
        <v>47</v>
      </c>
      <c r="C22" t="s">
        <v>49</v>
      </c>
      <c r="E22" s="1" t="s">
        <v>36</v>
      </c>
      <c r="F22" s="85">
        <f>'[12]PARCEL Unit Costs W  Final Adj.'!$F$19</f>
        <v>0.21112398392678886</v>
      </c>
      <c r="G22" s="4"/>
      <c r="H22" s="4">
        <f>F22</f>
        <v>0.21112398392678886</v>
      </c>
      <c r="I22" s="4">
        <f>'[13]8  MP Cost Pool Variabilities'!$E$33</f>
        <v>0.96402405999999996</v>
      </c>
      <c r="J22" s="4">
        <f>'[14]VII-3a. ovhead factors-MODS1&amp;2'!$G$45</f>
        <v>1.6294675102506313</v>
      </c>
      <c r="K22" s="4">
        <f>'[15]MP Piggybacks'!$J$20</f>
        <v>1.9963030491866973</v>
      </c>
      <c r="P22" s="4"/>
    </row>
    <row r="23" spans="1:16" x14ac:dyDescent="0.25">
      <c r="A23" s="97">
        <f t="shared" si="0"/>
        <v>15</v>
      </c>
      <c r="B23" t="s">
        <v>47</v>
      </c>
      <c r="C23" t="s">
        <v>50</v>
      </c>
      <c r="E23" s="1" t="s">
        <v>36</v>
      </c>
      <c r="F23" s="85">
        <f>'[12]PARCEL Unit Costs W  Final Adj.'!$F$20</f>
        <v>0</v>
      </c>
      <c r="G23" s="4">
        <f t="shared" ref="G23:G31" si="1">F23*$G$69</f>
        <v>0</v>
      </c>
      <c r="H23" s="4">
        <f t="shared" ref="H23:H31" si="2">F23*$H$69</f>
        <v>0</v>
      </c>
      <c r="I23" s="4">
        <f>'[13]8  MP Cost Pool Variabilities'!$E$34</f>
        <v>0.95316197999999996</v>
      </c>
      <c r="J23" s="4">
        <f>'[14]VII-3a. ovhead factors-MODS1&amp;2'!$G$48</f>
        <v>1.3566500232891203</v>
      </c>
      <c r="K23" s="4">
        <f>'[15]MP Piggybacks'!$J$21</f>
        <v>1.4592078249027221</v>
      </c>
      <c r="P23" s="4"/>
    </row>
    <row r="24" spans="1:16" x14ac:dyDescent="0.25">
      <c r="A24" s="97">
        <f t="shared" si="0"/>
        <v>16</v>
      </c>
      <c r="B24" t="s">
        <v>47</v>
      </c>
      <c r="C24" t="s">
        <v>51</v>
      </c>
      <c r="E24" s="1" t="s">
        <v>36</v>
      </c>
      <c r="F24" s="85">
        <f>'[12]PARCEL Unit Costs W  Final Adj.'!$F$21</f>
        <v>1.8926323520668292E-2</v>
      </c>
      <c r="G24" s="4">
        <f t="shared" si="1"/>
        <v>1.7841959821160991E-2</v>
      </c>
      <c r="H24" s="4">
        <f t="shared" si="2"/>
        <v>1.0843636995072964E-3</v>
      </c>
      <c r="I24" s="4">
        <f>'[13]8  MP Cost Pool Variabilities'!$E$35</f>
        <v>0.98981850999999998</v>
      </c>
      <c r="J24" s="4">
        <f>'[14]VII-3a. ovhead factors-MODS1&amp;2'!$G$51</f>
        <v>1.5382884783036643</v>
      </c>
      <c r="K24" s="4">
        <f>'[15]MP Piggybacks'!$J$22</f>
        <v>1.5480484240671368</v>
      </c>
      <c r="P24" s="4"/>
    </row>
    <row r="25" spans="1:16" x14ac:dyDescent="0.25">
      <c r="A25" s="97">
        <f t="shared" si="0"/>
        <v>17</v>
      </c>
      <c r="B25" t="s">
        <v>47</v>
      </c>
      <c r="C25" t="s">
        <v>52</v>
      </c>
      <c r="E25" s="1" t="s">
        <v>36</v>
      </c>
      <c r="F25" s="85">
        <f>'[12]PARCEL Unit Costs W  Final Adj.'!$F$22</f>
        <v>0.18282580957222336</v>
      </c>
      <c r="G25" s="4">
        <f t="shared" si="1"/>
        <v>0.17235099807401258</v>
      </c>
      <c r="H25" s="4">
        <f t="shared" si="2"/>
        <v>1.0474811498210739E-2</v>
      </c>
      <c r="I25" s="4">
        <f>'[13]8  MP Cost Pool Variabilities'!$E$36</f>
        <v>0.96735625000000003</v>
      </c>
      <c r="J25" s="4">
        <f>'[14]VII-3a. ovhead factors-MODS1&amp;2'!$G$54</f>
        <v>1.5365022331773068</v>
      </c>
      <c r="K25" s="4">
        <f>'[15]MP Piggybacks'!$J$23</f>
        <v>1.329782450145587</v>
      </c>
      <c r="P25" s="4"/>
    </row>
    <row r="26" spans="1:16" x14ac:dyDescent="0.25">
      <c r="A26" s="97">
        <f t="shared" si="0"/>
        <v>18</v>
      </c>
      <c r="B26" t="s">
        <v>47</v>
      </c>
      <c r="C26" t="s">
        <v>53</v>
      </c>
      <c r="E26" s="1" t="s">
        <v>36</v>
      </c>
      <c r="F26" s="85">
        <f>'[12]PARCEL Unit Costs W  Final Adj.'!$F$23</f>
        <v>0.11753503442720251</v>
      </c>
      <c r="G26" s="4">
        <f t="shared" si="1"/>
        <v>0.11080098887345204</v>
      </c>
      <c r="H26" s="4">
        <f t="shared" si="2"/>
        <v>6.7340455537504432E-3</v>
      </c>
      <c r="I26" s="4">
        <f>'[13]8  MP Cost Pool Variabilities'!$E$37</f>
        <v>0.92643885999999998</v>
      </c>
      <c r="J26" s="4">
        <f>'[14]VII-3a. ovhead factors-MODS1&amp;2'!$G$57</f>
        <v>1.6313962539357518</v>
      </c>
      <c r="K26" s="4">
        <f>'[15]MP Piggybacks'!$J$24</f>
        <v>1.3430299336376534</v>
      </c>
      <c r="P26" s="4"/>
    </row>
    <row r="27" spans="1:16" x14ac:dyDescent="0.25">
      <c r="A27" s="97">
        <f t="shared" si="0"/>
        <v>19</v>
      </c>
      <c r="B27" t="s">
        <v>47</v>
      </c>
      <c r="C27" t="s">
        <v>54</v>
      </c>
      <c r="D27" s="101" t="s">
        <v>36</v>
      </c>
      <c r="E27" s="1"/>
      <c r="F27" s="85">
        <f>'[12]PARCEL Unit Costs W  Final Adj.'!$F$24</f>
        <v>15.888002710507511</v>
      </c>
      <c r="G27" s="4">
        <f t="shared" si="1"/>
        <v>14.977716390074814</v>
      </c>
      <c r="H27" s="4">
        <f t="shared" si="2"/>
        <v>0.9102863204326932</v>
      </c>
      <c r="I27" s="4">
        <f>'[13]8  MP Cost Pool Variabilities'!$E$38</f>
        <v>0.91687624999999995</v>
      </c>
      <c r="J27" s="4">
        <f>'[14]VII-3a. ovhead factors-MODS1&amp;2'!$G$60</f>
        <v>1.4478254824587882</v>
      </c>
      <c r="K27" s="4">
        <f>'[15]MP Piggybacks'!$J$25</f>
        <v>1.3606061934437479</v>
      </c>
      <c r="P27" s="4"/>
    </row>
    <row r="28" spans="1:16" x14ac:dyDescent="0.25">
      <c r="A28" s="97">
        <f t="shared" si="0"/>
        <v>20</v>
      </c>
      <c r="B28" t="s">
        <v>47</v>
      </c>
      <c r="C28" t="s">
        <v>55</v>
      </c>
      <c r="D28" s="101" t="s">
        <v>36</v>
      </c>
      <c r="E28" s="1"/>
      <c r="F28" s="85">
        <f>'[12]PARCEL Unit Costs W  Final Adj.'!$F$25</f>
        <v>1.1427104064069309E-2</v>
      </c>
      <c r="G28" s="4">
        <f t="shared" si="1"/>
        <v>1.0772400216064307E-2</v>
      </c>
      <c r="H28" s="4">
        <f t="shared" si="2"/>
        <v>6.5470384800499931E-4</v>
      </c>
      <c r="I28" s="4">
        <f>'[13]8  MP Cost Pool Variabilities'!$E$39</f>
        <v>0.94237641000000005</v>
      </c>
      <c r="J28" s="4">
        <f>'[14]VII-3a. ovhead factors-MODS1&amp;2'!$G$63</f>
        <v>1.3718327722393713</v>
      </c>
      <c r="K28" s="4">
        <f>'[15]MP Piggybacks'!$J$26</f>
        <v>1.5985378657336238</v>
      </c>
      <c r="P28" s="4"/>
    </row>
    <row r="29" spans="1:16" x14ac:dyDescent="0.25">
      <c r="A29" s="97">
        <f t="shared" si="0"/>
        <v>21</v>
      </c>
      <c r="B29" t="s">
        <v>47</v>
      </c>
      <c r="C29" t="s">
        <v>56</v>
      </c>
      <c r="E29" s="1" t="s">
        <v>36</v>
      </c>
      <c r="F29" s="85">
        <f>'[12]PARCEL Unit Costs W  Final Adj.'!$F$26</f>
        <v>1.1481221387342347E-2</v>
      </c>
      <c r="G29" s="4">
        <f t="shared" si="1"/>
        <v>1.0823416944506675E-2</v>
      </c>
      <c r="H29" s="4">
        <f t="shared" si="2"/>
        <v>6.5780444283566994E-4</v>
      </c>
      <c r="I29" s="4">
        <f>'[13]8  MP Cost Pool Variabilities'!$E$40</f>
        <v>0.95326085000000005</v>
      </c>
      <c r="J29" s="4">
        <f>'[14]VII-3a. ovhead factors-MODS1&amp;2'!$G$66</f>
        <v>1.3920853604407273</v>
      </c>
      <c r="K29" s="4">
        <f>'[15]MP Piggybacks'!$J$27</f>
        <v>1.3835777822483029</v>
      </c>
      <c r="P29" s="4"/>
    </row>
    <row r="30" spans="1:16" x14ac:dyDescent="0.25">
      <c r="A30" s="97">
        <f t="shared" si="0"/>
        <v>22</v>
      </c>
      <c r="B30" t="s">
        <v>47</v>
      </c>
      <c r="C30" t="s">
        <v>57</v>
      </c>
      <c r="D30" s="101" t="s">
        <v>36</v>
      </c>
      <c r="E30" s="1"/>
      <c r="F30" s="85">
        <f>'[12]PARCEL Unit Costs W  Final Adj.'!$F$27</f>
        <v>5.056705335746936E-2</v>
      </c>
      <c r="G30" s="4">
        <f t="shared" si="1"/>
        <v>4.7669867488697296E-2</v>
      </c>
      <c r="H30" s="4">
        <f t="shared" si="2"/>
        <v>2.8971858687720539E-3</v>
      </c>
      <c r="I30" s="4">
        <f>'[13]8  MP Cost Pool Variabilities'!$E$41</f>
        <v>0.94605620000000001</v>
      </c>
      <c r="J30" s="4">
        <f>'[14]VII-3a. ovhead factors-MODS1&amp;2'!$G$69</f>
        <v>1.6529863797990982</v>
      </c>
      <c r="K30" s="4">
        <f>'[15]MP Piggybacks'!$J$28</f>
        <v>1.2805162995566952</v>
      </c>
      <c r="P30" s="4"/>
    </row>
    <row r="31" spans="1:16" x14ac:dyDescent="0.25">
      <c r="A31" s="97">
        <f t="shared" si="0"/>
        <v>23</v>
      </c>
      <c r="B31" t="s">
        <v>47</v>
      </c>
      <c r="C31" t="s">
        <v>58</v>
      </c>
      <c r="E31" s="1" t="s">
        <v>36</v>
      </c>
      <c r="F31" s="85">
        <f>'[12]PARCEL Unit Costs W  Final Adj.'!$F$28</f>
        <v>0.24846401395730944</v>
      </c>
      <c r="G31" s="4">
        <f t="shared" si="1"/>
        <v>0.23422853092358878</v>
      </c>
      <c r="H31" s="4">
        <f t="shared" si="2"/>
        <v>1.4235483033720598E-2</v>
      </c>
      <c r="I31" s="4">
        <f>'[13]8  MP Cost Pool Variabilities'!$E$42</f>
        <v>0.98882842000000004</v>
      </c>
      <c r="J31" s="4">
        <f>'[14]VII-3a. ovhead factors-MODS1&amp;2'!$G$72</f>
        <v>1.5133583852605874</v>
      </c>
      <c r="K31" s="4">
        <f>'[15]MP Piggybacks'!$J$29</f>
        <v>1.7604648143981843</v>
      </c>
      <c r="P31" s="4"/>
    </row>
    <row r="32" spans="1:16" x14ac:dyDescent="0.25">
      <c r="A32" s="97">
        <f t="shared" si="0"/>
        <v>24</v>
      </c>
      <c r="B32" t="s">
        <v>59</v>
      </c>
      <c r="C32" t="s">
        <v>60</v>
      </c>
      <c r="E32" s="1" t="s">
        <v>36</v>
      </c>
      <c r="F32" s="85">
        <f>'[12]PARCEL Unit Costs W  Final Adj.'!$F$29</f>
        <v>0</v>
      </c>
      <c r="G32" s="4"/>
      <c r="H32" s="4">
        <f>F32</f>
        <v>0</v>
      </c>
      <c r="I32" s="4">
        <f>'[13]8  MP Cost Pool Variabilities'!$E$45</f>
        <v>0.98872015000000002</v>
      </c>
      <c r="J32" s="4">
        <f>'[14]VII-3a. ovhead factors-MODS1&amp;2'!$G$75</f>
        <v>1.1470045461256118</v>
      </c>
      <c r="K32" s="4">
        <f>'[15]MP Piggybacks'!$J$30</f>
        <v>1.2907912016362046</v>
      </c>
      <c r="P32" s="4"/>
    </row>
    <row r="33" spans="1:16" x14ac:dyDescent="0.25">
      <c r="A33" s="97">
        <f t="shared" si="0"/>
        <v>25</v>
      </c>
      <c r="B33" t="s">
        <v>59</v>
      </c>
      <c r="C33" t="s">
        <v>61</v>
      </c>
      <c r="E33" s="1" t="s">
        <v>36</v>
      </c>
      <c r="F33" s="85">
        <f>'[12]PARCEL Unit Costs W  Final Adj.'!$F$30</f>
        <v>9.3944502177294392E-4</v>
      </c>
      <c r="G33" s="4">
        <f>F33*$G$69</f>
        <v>8.8562051231758326E-4</v>
      </c>
      <c r="H33" s="4">
        <f>F33*$H$69</f>
        <v>5.3824509455360485E-5</v>
      </c>
      <c r="I33" s="4">
        <f>'[13]8  MP Cost Pool Variabilities'!$E$46</f>
        <v>0.89440664999999997</v>
      </c>
      <c r="J33" s="4">
        <f>'[14]VII-3a. ovhead factors-MODS1&amp;2'!$G$78</f>
        <v>1.5379311449232593</v>
      </c>
      <c r="K33" s="4">
        <f>'[15]MP Piggybacks'!$J$31</f>
        <v>1.3454731811702236</v>
      </c>
      <c r="P33" s="4"/>
    </row>
    <row r="34" spans="1:16" x14ac:dyDescent="0.25">
      <c r="A34" s="97">
        <f t="shared" si="0"/>
        <v>26</v>
      </c>
      <c r="B34" t="s">
        <v>59</v>
      </c>
      <c r="C34" t="s">
        <v>62</v>
      </c>
      <c r="E34" s="1" t="s">
        <v>36</v>
      </c>
      <c r="F34" s="85">
        <f>'[12]PARCEL Unit Costs W  Final Adj.'!$F$31</f>
        <v>4.0357607133699501E-3</v>
      </c>
      <c r="G34" s="4"/>
      <c r="H34" s="4">
        <f>F34</f>
        <v>4.0357607133699501E-3</v>
      </c>
      <c r="I34" s="4">
        <f>'[13]8  MP Cost Pool Variabilities'!$E$47</f>
        <v>0.45629614000000002</v>
      </c>
      <c r="J34" s="4">
        <f>'[14]VII-3a. ovhead factors-MODS1&amp;2'!$G$81</f>
        <v>1.6743714070158875</v>
      </c>
      <c r="K34" s="4">
        <f>'[15]MP Piggybacks'!$J$32</f>
        <v>1.4574114779200835</v>
      </c>
      <c r="P34" s="4"/>
    </row>
    <row r="35" spans="1:16" x14ac:dyDescent="0.25">
      <c r="A35" s="97">
        <f t="shared" si="0"/>
        <v>27</v>
      </c>
      <c r="B35" t="s">
        <v>59</v>
      </c>
      <c r="C35" t="s">
        <v>63</v>
      </c>
      <c r="E35" s="1" t="s">
        <v>36</v>
      </c>
      <c r="F35" s="85">
        <f>'[12]PARCEL Unit Costs W  Final Adj.'!$F$32</f>
        <v>1.7455898664041286E-3</v>
      </c>
      <c r="G35" s="4">
        <f>F35*$G$69</f>
        <v>1.6455781402339952E-3</v>
      </c>
      <c r="H35" s="4">
        <f>F35*$H$69</f>
        <v>1.0001172617013317E-4</v>
      </c>
      <c r="I35" s="4">
        <f>'[13]8  MP Cost Pool Variabilities'!$E$48</f>
        <v>0.96803835999999999</v>
      </c>
      <c r="J35" s="4">
        <f>'[14]VII-3a. ovhead factors-MODS1&amp;2'!$G$84</f>
        <v>1.4335548635962263</v>
      </c>
      <c r="K35" s="4">
        <f>'[15]MP Piggybacks'!$J$33</f>
        <v>1.3190103788853187</v>
      </c>
      <c r="P35" s="4"/>
    </row>
    <row r="36" spans="1:16" x14ac:dyDescent="0.25">
      <c r="A36" s="97">
        <f t="shared" si="0"/>
        <v>28</v>
      </c>
      <c r="B36" t="s">
        <v>59</v>
      </c>
      <c r="C36" t="s">
        <v>64</v>
      </c>
      <c r="E36" s="1" t="s">
        <v>36</v>
      </c>
      <c r="F36" s="85">
        <f>'[12]PARCEL Unit Costs W  Final Adj.'!$F$33</f>
        <v>0.37797182692627801</v>
      </c>
      <c r="G36" s="4">
        <f>F36*$G$69</f>
        <v>0.356316330648423</v>
      </c>
      <c r="H36" s="4">
        <f>F36*$H$69</f>
        <v>2.1655496277854926E-2</v>
      </c>
      <c r="I36" s="4">
        <f>'[13]8  MP Cost Pool Variabilities'!$E$49</f>
        <v>0.98854348000000003</v>
      </c>
      <c r="J36" s="4">
        <f>'[14]VII-3a. ovhead factors-MODS1&amp;2'!$G$87</f>
        <v>2.890956870159493</v>
      </c>
      <c r="K36" s="4">
        <f>'[15]MP Piggybacks'!$J$34</f>
        <v>1.7174723886329033</v>
      </c>
      <c r="P36" s="4"/>
    </row>
    <row r="37" spans="1:16" x14ac:dyDescent="0.25">
      <c r="A37" s="97">
        <f t="shared" si="0"/>
        <v>29</v>
      </c>
      <c r="B37" t="s">
        <v>59</v>
      </c>
      <c r="C37" t="s">
        <v>65</v>
      </c>
      <c r="E37" s="1" t="s">
        <v>36</v>
      </c>
      <c r="F37" s="85">
        <f>'[12]PARCEL Unit Costs W  Final Adj.'!$F$34</f>
        <v>0.12316530022017236</v>
      </c>
      <c r="G37" s="4">
        <f>F37*$G$69</f>
        <v>0.11610867453944651</v>
      </c>
      <c r="H37" s="4">
        <f>F37*$H$69</f>
        <v>7.0566256807258164E-3</v>
      </c>
      <c r="I37" s="4">
        <f>'[13]8  MP Cost Pool Variabilities'!$E$50</f>
        <v>0.94447460999999999</v>
      </c>
      <c r="J37" s="4">
        <f>'[14]VII-3a. ovhead factors-MODS1&amp;2'!$G$90</f>
        <v>1.5458014742285053</v>
      </c>
      <c r="K37" s="4">
        <f>'[15]MP Piggybacks'!$J$35</f>
        <v>1.2712452079894261</v>
      </c>
      <c r="P37" s="4"/>
    </row>
    <row r="38" spans="1:16" x14ac:dyDescent="0.25">
      <c r="A38" s="97">
        <f t="shared" si="0"/>
        <v>30</v>
      </c>
      <c r="B38" t="s">
        <v>59</v>
      </c>
      <c r="C38" t="s">
        <v>66</v>
      </c>
      <c r="E38" s="1" t="s">
        <v>36</v>
      </c>
      <c r="F38" s="85">
        <f>'[12]PARCEL Unit Costs W  Final Adj.'!$F$35</f>
        <v>0.13783211718259283</v>
      </c>
      <c r="G38" s="4">
        <f>F38*$G$69</f>
        <v>0.12993517172798175</v>
      </c>
      <c r="H38" s="4">
        <f>F38*$H$69</f>
        <v>7.896945454611044E-3</v>
      </c>
      <c r="I38" s="4">
        <f>'[13]8  MP Cost Pool Variabilities'!$E$51</f>
        <v>0.80783514999999995</v>
      </c>
      <c r="J38" s="4">
        <f>'[14]VII-3a. ovhead factors-MODS1&amp;2'!$G$93</f>
        <v>1.574849868424012</v>
      </c>
      <c r="K38" s="4">
        <f>'[15]MP Piggybacks'!$J$36</f>
        <v>1.2900243484249196</v>
      </c>
      <c r="P38" s="4"/>
    </row>
    <row r="39" spans="1:16" x14ac:dyDescent="0.25">
      <c r="A39" s="97">
        <f t="shared" si="0"/>
        <v>31</v>
      </c>
      <c r="B39" t="s">
        <v>439</v>
      </c>
      <c r="C39" t="s">
        <v>67</v>
      </c>
      <c r="E39" s="1" t="s">
        <v>36</v>
      </c>
      <c r="F39" s="85">
        <f>'[12]PARCEL Unit Costs W  Final Adj.'!$F$36</f>
        <v>0</v>
      </c>
      <c r="G39" s="4"/>
      <c r="H39" s="4">
        <f>F39</f>
        <v>0</v>
      </c>
      <c r="I39" s="4">
        <f>'[13]8  MP Cost Pool Variabilities'!$E$53</f>
        <v>0.91490899000000003</v>
      </c>
      <c r="J39" s="4">
        <f>'[14]VII-3a. ovhead factors-MODS1&amp;2'!$G$96</f>
        <v>1.4057198665005615</v>
      </c>
      <c r="K39" s="4">
        <f>'[15]MP Piggybacks'!$J$37</f>
        <v>1.5816647277035631</v>
      </c>
      <c r="P39" s="4"/>
    </row>
    <row r="40" spans="1:16" x14ac:dyDescent="0.25">
      <c r="A40" s="97">
        <f t="shared" si="0"/>
        <v>32</v>
      </c>
      <c r="B40" t="s">
        <v>436</v>
      </c>
      <c r="C40" t="s">
        <v>314</v>
      </c>
      <c r="D40" s="11"/>
      <c r="E40" s="11" t="s">
        <v>36</v>
      </c>
      <c r="F40" s="85">
        <f>'[12]PARCEL Unit Costs W  Final Adj.'!$F$37</f>
        <v>0</v>
      </c>
      <c r="G40" s="4">
        <f>F40*$G$69</f>
        <v>0</v>
      </c>
      <c r="H40" s="4">
        <f>F40*$H$69</f>
        <v>0</v>
      </c>
      <c r="I40" s="4">
        <f>'[13]8  MP Cost Pool Variabilities'!$E$63</f>
        <v>0</v>
      </c>
      <c r="J40" s="4">
        <f>'[14]VII-3c. Ovhead Factors NDCs'!$H$8</f>
        <v>0</v>
      </c>
      <c r="K40" s="4">
        <f>'[15]MP Piggybacks'!$J$38</f>
        <v>0</v>
      </c>
      <c r="P40" s="4"/>
    </row>
    <row r="41" spans="1:16" x14ac:dyDescent="0.25">
      <c r="A41" s="97">
        <f t="shared" si="0"/>
        <v>33</v>
      </c>
      <c r="B41" t="s">
        <v>437</v>
      </c>
      <c r="C41" t="s">
        <v>43</v>
      </c>
      <c r="D41" s="11" t="s">
        <v>36</v>
      </c>
      <c r="E41" s="11"/>
      <c r="F41" s="85">
        <f>'[12]PARCEL Unit Costs W  Final Adj.'!$F$38</f>
        <v>6.0594019687725204E-3</v>
      </c>
      <c r="G41" s="4">
        <f t="shared" ref="G41:G48" si="3">F41</f>
        <v>6.0594019687725204E-3</v>
      </c>
      <c r="H41" s="4"/>
      <c r="I41" s="4">
        <f>'[13]8  MP Cost Pool Variabilities'!$E$64</f>
        <v>0.91586805999999998</v>
      </c>
      <c r="J41" s="4">
        <f>'[14]VII-3c. Ovhead Factors NDCs'!$H$11</f>
        <v>1.5946397062330107</v>
      </c>
      <c r="K41" s="4">
        <f>'[15]MP Piggybacks'!$J$39</f>
        <v>1.4774316541145593</v>
      </c>
      <c r="P41" s="4"/>
    </row>
    <row r="42" spans="1:16" x14ac:dyDescent="0.25">
      <c r="A42" s="97">
        <f t="shared" si="0"/>
        <v>34</v>
      </c>
      <c r="B42" t="s">
        <v>438</v>
      </c>
      <c r="C42" t="s">
        <v>68</v>
      </c>
      <c r="D42" s="11" t="s">
        <v>36</v>
      </c>
      <c r="E42" s="11"/>
      <c r="F42" s="85">
        <f>'[12]PARCEL Unit Costs W  Final Adj.'!$F$39</f>
        <v>9.9326252566659293E-2</v>
      </c>
      <c r="G42" s="4">
        <f t="shared" si="3"/>
        <v>9.9326252566659293E-2</v>
      </c>
      <c r="H42" s="4"/>
      <c r="I42" s="4">
        <f>'[13]8  MP Cost Pool Variabilities'!$E$65</f>
        <v>0.91140966000000001</v>
      </c>
      <c r="J42" s="4">
        <f>'[14]VII-3c. Ovhead Factors NDCs'!$H$14</f>
        <v>1.5517735475278043</v>
      </c>
      <c r="K42" s="4">
        <f>'[15]MP Piggybacks'!$J$40</f>
        <v>1.51761435929636</v>
      </c>
      <c r="L42" s="110" t="s">
        <v>77</v>
      </c>
      <c r="P42" s="4"/>
    </row>
    <row r="43" spans="1:16" x14ac:dyDescent="0.25">
      <c r="A43" s="97">
        <f t="shared" si="0"/>
        <v>35</v>
      </c>
      <c r="B43" t="s">
        <v>440</v>
      </c>
      <c r="C43" t="s">
        <v>69</v>
      </c>
      <c r="D43" s="11" t="s">
        <v>36</v>
      </c>
      <c r="E43" s="11"/>
      <c r="F43" s="85">
        <f>'[12]PARCEL Unit Costs W  Final Adj.'!$F$40</f>
        <v>1.454841512774588</v>
      </c>
      <c r="G43" s="4">
        <f t="shared" si="3"/>
        <v>1.454841512774588</v>
      </c>
      <c r="H43" s="4"/>
      <c r="I43" s="4">
        <f>'[13]8  MP Cost Pool Variabilities'!$E$66</f>
        <v>0.88894222000000001</v>
      </c>
      <c r="J43" s="4">
        <f>'[14]VII-3c. Ovhead Factors NDCs'!$H$17</f>
        <v>1.4041375843201531</v>
      </c>
      <c r="K43" s="4">
        <f>'[15]MP Piggybacks'!$J$41</f>
        <v>1.386023903258889</v>
      </c>
      <c r="L43" s="106">
        <f>'[15]MP Piggybacks'!$J$63</f>
        <v>1.9204979181524358</v>
      </c>
      <c r="P43" s="4"/>
    </row>
    <row r="44" spans="1:16" x14ac:dyDescent="0.25">
      <c r="A44" s="97">
        <f t="shared" si="0"/>
        <v>36</v>
      </c>
      <c r="B44" t="s">
        <v>441</v>
      </c>
      <c r="C44" t="s">
        <v>70</v>
      </c>
      <c r="D44" s="101" t="s">
        <v>36</v>
      </c>
      <c r="F44" s="85">
        <f>'[12]PARCEL Unit Costs W  Final Adj.'!$F$41</f>
        <v>0.28368975718074935</v>
      </c>
      <c r="G44" s="4">
        <f t="shared" si="3"/>
        <v>0.28368975718074935</v>
      </c>
      <c r="H44" s="4"/>
      <c r="I44" s="4">
        <f>'[13]8  MP Cost Pool Variabilities'!$E$67</f>
        <v>0.9584975</v>
      </c>
      <c r="J44" s="4">
        <f>'[14]VII-3c. Ovhead Factors NDCs'!$H$20</f>
        <v>1.4843513578083938</v>
      </c>
      <c r="K44" s="111">
        <f>'[15]MP Piggybacks'!$J$42</f>
        <v>2.035366262612941</v>
      </c>
      <c r="L44" s="106"/>
      <c r="P44" s="4"/>
    </row>
    <row r="45" spans="1:16" s="12" customFormat="1" x14ac:dyDescent="0.25">
      <c r="A45" s="97">
        <f t="shared" si="0"/>
        <v>37</v>
      </c>
      <c r="B45" t="s">
        <v>441</v>
      </c>
      <c r="C45" t="s">
        <v>361</v>
      </c>
      <c r="D45" s="112" t="s">
        <v>36</v>
      </c>
      <c r="E45" s="112"/>
      <c r="F45" s="85">
        <f>'[12]PARCEL Unit Costs W  Final Adj.'!$F$42</f>
        <v>5.1614040199107176</v>
      </c>
      <c r="G45" s="4">
        <f t="shared" si="3"/>
        <v>5.1614040199107176</v>
      </c>
      <c r="H45" s="4"/>
      <c r="I45" s="10">
        <f>'[13]8  MP Cost Pool Variabilities'!$E$68</f>
        <v>0.96007445000000002</v>
      </c>
      <c r="J45" s="10">
        <f>'[14]VII-3c. Ovhead Factors NDCs'!$H$23</f>
        <v>1.5180378654724356</v>
      </c>
      <c r="K45" s="85">
        <f>'[15]MP Piggybacks'!$J$43</f>
        <v>1.4922245136324837</v>
      </c>
      <c r="L45" s="108">
        <f>'[15]MP Piggybacks'!$J$64</f>
        <v>2.0700178145522989</v>
      </c>
      <c r="P45" s="4"/>
    </row>
    <row r="46" spans="1:16" s="99" customFormat="1" x14ac:dyDescent="0.25">
      <c r="A46" s="97">
        <f t="shared" si="0"/>
        <v>38</v>
      </c>
      <c r="B46" s="9" t="s">
        <v>449</v>
      </c>
      <c r="C46" s="9" t="s">
        <v>424</v>
      </c>
      <c r="D46" s="112" t="s">
        <v>36</v>
      </c>
      <c r="E46" s="112"/>
      <c r="F46" s="85">
        <f>'[12]PARCEL Unit Costs W  Final Adj.'!$F$43</f>
        <v>0</v>
      </c>
      <c r="G46" s="4">
        <f t="shared" si="3"/>
        <v>0</v>
      </c>
      <c r="H46" s="4"/>
      <c r="I46" s="10">
        <f>'[13]8  MP Cost Pool Variabilities'!$E$69</f>
        <v>0.928342</v>
      </c>
      <c r="J46" s="10">
        <f>'[14]VII-3c. Ovhead Factors NDCs'!$H$26</f>
        <v>1.4950151046528088</v>
      </c>
      <c r="K46" s="85">
        <f>'[15]MP Piggybacks'!$J$44</f>
        <v>1.6196174573049362</v>
      </c>
      <c r="L46" s="15" t="s">
        <v>78</v>
      </c>
      <c r="P46" s="4"/>
    </row>
    <row r="47" spans="1:16" s="99" customFormat="1" x14ac:dyDescent="0.25">
      <c r="A47" s="97">
        <f t="shared" si="0"/>
        <v>39</v>
      </c>
      <c r="B47" s="9" t="s">
        <v>449</v>
      </c>
      <c r="C47" t="s">
        <v>72</v>
      </c>
      <c r="D47" s="112" t="s">
        <v>36</v>
      </c>
      <c r="E47" s="112"/>
      <c r="F47" s="85">
        <f>'[12]PARCEL Unit Costs W  Final Adj.'!$F$44</f>
        <v>4.0449452315100536E-3</v>
      </c>
      <c r="G47" s="4">
        <f t="shared" si="3"/>
        <v>4.0449452315100536E-3</v>
      </c>
      <c r="H47" s="4"/>
      <c r="I47" s="10">
        <f>'[13]8  MP Cost Pool Variabilities'!$E$70</f>
        <v>0.86648111999999999</v>
      </c>
      <c r="J47" s="10">
        <f>'[14]VII-3c. Ovhead Factors NDCs'!$H$29</f>
        <v>1.4706734503311836</v>
      </c>
      <c r="K47" s="85">
        <f>'[15]MP Piggybacks'!$J$45</f>
        <v>1.8711128783813997</v>
      </c>
      <c r="L47" s="15"/>
      <c r="P47" s="4"/>
    </row>
    <row r="48" spans="1:16" s="6" customFormat="1" x14ac:dyDescent="0.25">
      <c r="A48" s="97">
        <f t="shared" si="0"/>
        <v>40</v>
      </c>
      <c r="B48" t="s">
        <v>442</v>
      </c>
      <c r="C48" t="s">
        <v>73</v>
      </c>
      <c r="D48" s="112" t="s">
        <v>36</v>
      </c>
      <c r="E48" s="112"/>
      <c r="F48" s="85">
        <f>'[12]PARCEL Unit Costs W  Final Adj.'!$F$45</f>
        <v>10.6712491355257</v>
      </c>
      <c r="G48" s="4">
        <f t="shared" si="3"/>
        <v>10.6712491355257</v>
      </c>
      <c r="H48" s="4"/>
      <c r="I48" s="10">
        <f>'[13]8  MP Cost Pool Variabilities'!$E$77</f>
        <v>0.92642031000000002</v>
      </c>
      <c r="J48" s="10">
        <f>'[14]VII-3b. Ovhead Factrs-NonMODS'!$G$10</f>
        <v>1.639965597331799</v>
      </c>
      <c r="K48" s="85">
        <f>'[15]MP Piggybacks'!$J$46</f>
        <v>1.6214860636540271</v>
      </c>
      <c r="L48" s="15"/>
      <c r="P48" s="4"/>
    </row>
    <row r="49" spans="1:16" x14ac:dyDescent="0.25">
      <c r="A49" s="97">
        <f t="shared" si="0"/>
        <v>41</v>
      </c>
      <c r="B49" t="s">
        <v>442</v>
      </c>
      <c r="C49" s="9" t="s">
        <v>431</v>
      </c>
      <c r="D49" s="112"/>
      <c r="E49" s="112" t="s">
        <v>36</v>
      </c>
      <c r="F49" s="85">
        <f>'[12]PARCEL Unit Costs W  Final Adj.'!$F$46</f>
        <v>0.99268486086893293</v>
      </c>
      <c r="G49" s="4"/>
      <c r="H49" s="4">
        <f>F49</f>
        <v>0.99268486086893293</v>
      </c>
      <c r="I49" s="10">
        <f>'[13]8  MP Cost Pool Variabilities'!$E$78</f>
        <v>0.95643783000000004</v>
      </c>
      <c r="J49" s="10">
        <f>'[14]VII-3b. Ovhead Factrs-NonMODS'!$G$11</f>
        <v>1.3775640113646008</v>
      </c>
      <c r="K49" s="85">
        <f>'[15]MP Piggybacks'!$J$47</f>
        <v>1.4978878089199297</v>
      </c>
      <c r="P49" s="4"/>
    </row>
    <row r="50" spans="1:16" x14ac:dyDescent="0.25">
      <c r="A50" s="97">
        <f t="shared" si="0"/>
        <v>42</v>
      </c>
      <c r="B50" t="s">
        <v>442</v>
      </c>
      <c r="C50" s="9" t="s">
        <v>432</v>
      </c>
      <c r="D50" s="112"/>
      <c r="E50" s="112" t="s">
        <v>36</v>
      </c>
      <c r="F50" s="85">
        <f>'[12]PARCEL Unit Costs W  Final Adj.'!$F$47</f>
        <v>2.3200139485439557</v>
      </c>
      <c r="G50" s="4"/>
      <c r="H50" s="4">
        <f>F50</f>
        <v>2.3200139485439557</v>
      </c>
      <c r="I50" s="10">
        <f>'[13]8  MP Cost Pool Variabilities'!$E$79</f>
        <v>0.19555653000000001</v>
      </c>
      <c r="J50" s="10">
        <f>'[14]VII-3b. Ovhead Factrs-NonMODS'!$G$12</f>
        <v>1.1836974679494443</v>
      </c>
      <c r="K50" s="85">
        <f>'[15]MP Piggybacks'!$J$48</f>
        <v>2.7152513461318581</v>
      </c>
      <c r="P50" s="4"/>
    </row>
    <row r="51" spans="1:16" x14ac:dyDescent="0.25">
      <c r="A51" s="97">
        <f t="shared" si="0"/>
        <v>43</v>
      </c>
      <c r="B51" t="s">
        <v>442</v>
      </c>
      <c r="C51" t="s">
        <v>60</v>
      </c>
      <c r="D51" s="112"/>
      <c r="E51" s="112" t="s">
        <v>36</v>
      </c>
      <c r="F51" s="85">
        <f>'[12]PARCEL Unit Costs W  Final Adj.'!$F$48</f>
        <v>9.9018908595649852E-3</v>
      </c>
      <c r="G51" s="4">
        <f>F51*$G$69</f>
        <v>9.3345724898419961E-3</v>
      </c>
      <c r="H51" s="4">
        <f>F51*$H$69</f>
        <v>5.673183697229875E-4</v>
      </c>
      <c r="I51" s="10">
        <f>'[13]8  MP Cost Pool Variabilities'!$E$80</f>
        <v>0.99745216000000003</v>
      </c>
      <c r="J51" s="10">
        <f>'[14]VII-3b. Ovhead Factrs-NonMODS'!$G$13</f>
        <v>1.1805242016503081</v>
      </c>
      <c r="K51" s="85">
        <f>'[15]MP Piggybacks'!$J$49</f>
        <v>1.5940040162919518</v>
      </c>
      <c r="P51" s="4"/>
    </row>
    <row r="52" spans="1:16" x14ac:dyDescent="0.25">
      <c r="A52" s="97">
        <f t="shared" si="0"/>
        <v>44</v>
      </c>
      <c r="B52" t="s">
        <v>442</v>
      </c>
      <c r="C52" t="s">
        <v>315</v>
      </c>
      <c r="D52" s="112"/>
      <c r="E52" s="112" t="s">
        <v>36</v>
      </c>
      <c r="F52" s="85">
        <f>'[12]PARCEL Unit Costs W  Final Adj.'!$F$49</f>
        <v>0.20532665466911867</v>
      </c>
      <c r="G52" s="4"/>
      <c r="H52" s="4">
        <f>F52</f>
        <v>0.20532665466911867</v>
      </c>
      <c r="I52" s="10">
        <f>'[13]8  MP Cost Pool Variabilities'!$E$81</f>
        <v>1</v>
      </c>
      <c r="J52" s="10">
        <f>'[14]VII-3b. Ovhead Factrs-NonMODS'!$G$14</f>
        <v>1.192752920806754</v>
      </c>
      <c r="K52" s="85">
        <f>'[15]MP Piggybacks'!$J$50</f>
        <v>1.7750950887377657</v>
      </c>
      <c r="P52" s="4"/>
    </row>
    <row r="53" spans="1:16" x14ac:dyDescent="0.25">
      <c r="A53" s="97">
        <f t="shared" si="0"/>
        <v>45</v>
      </c>
      <c r="B53" t="s">
        <v>442</v>
      </c>
      <c r="C53" t="s">
        <v>316</v>
      </c>
      <c r="D53" s="112"/>
      <c r="E53" s="112" t="s">
        <v>36</v>
      </c>
      <c r="F53" s="85">
        <f>'[12]PARCEL Unit Costs W  Final Adj.'!$F$50</f>
        <v>3.6972507448612716E-3</v>
      </c>
      <c r="G53" s="4"/>
      <c r="H53" s="4">
        <f>F53</f>
        <v>3.6972507448612716E-3</v>
      </c>
      <c r="I53" s="10">
        <f>'[13]8  MP Cost Pool Variabilities'!$E$82</f>
        <v>0.98203649999999998</v>
      </c>
      <c r="J53" s="10">
        <f>'[14]VII-3b. Ovhead Factrs-NonMODS'!$G$15</f>
        <v>1.1979797373581853</v>
      </c>
      <c r="K53" s="85">
        <f>'[15]MP Piggybacks'!$J$51</f>
        <v>1.743186205242375</v>
      </c>
      <c r="P53" s="4"/>
    </row>
    <row r="54" spans="1:16" x14ac:dyDescent="0.25">
      <c r="A54" s="97">
        <f t="shared" si="0"/>
        <v>46</v>
      </c>
      <c r="B54" t="s">
        <v>442</v>
      </c>
      <c r="C54" t="s">
        <v>61</v>
      </c>
      <c r="D54" s="112"/>
      <c r="E54" s="112" t="s">
        <v>36</v>
      </c>
      <c r="F54" s="85">
        <f>'[12]PARCEL Unit Costs W  Final Adj.'!$F$51</f>
        <v>0</v>
      </c>
      <c r="G54" s="4">
        <f>F54*$G$69</f>
        <v>0</v>
      </c>
      <c r="H54" s="4">
        <f>F54*$H$69</f>
        <v>0</v>
      </c>
      <c r="I54" s="10">
        <f>'[13]8  MP Cost Pool Variabilities'!$E$83</f>
        <v>0.71239828999999999</v>
      </c>
      <c r="J54" s="10">
        <f>'[14]VII-3b. Ovhead Factrs-NonMODS'!$G$16</f>
        <v>1.2270183496466078</v>
      </c>
      <c r="K54" s="85">
        <f>'[15]MP Piggybacks'!$J$52</f>
        <v>1.368369834646356</v>
      </c>
      <c r="P54" s="4"/>
    </row>
    <row r="55" spans="1:16" x14ac:dyDescent="0.25">
      <c r="A55" s="97">
        <f t="shared" si="0"/>
        <v>47</v>
      </c>
      <c r="B55" t="s">
        <v>442</v>
      </c>
      <c r="C55" t="s">
        <v>41</v>
      </c>
      <c r="D55" s="112"/>
      <c r="E55" s="112" t="s">
        <v>36</v>
      </c>
      <c r="F55" s="85">
        <f>'[12]PARCEL Unit Costs W  Final Adj.'!$F$52</f>
        <v>0</v>
      </c>
      <c r="G55" s="4">
        <f>F55*$G$69</f>
        <v>0</v>
      </c>
      <c r="H55" s="4">
        <f>F55*$H$69</f>
        <v>0</v>
      </c>
      <c r="I55" s="10">
        <f>'[13]8  MP Cost Pool Variabilities'!$E$84</f>
        <v>0.97377163</v>
      </c>
      <c r="J55" s="10">
        <f>'[14]VII-3b. Ovhead Factrs-NonMODS'!$G$17</f>
        <v>1.2109269444518154</v>
      </c>
      <c r="K55" s="85">
        <f>'[15]MP Piggybacks'!$J$53</f>
        <v>1.5675506909733425</v>
      </c>
      <c r="P55" s="4"/>
    </row>
    <row r="56" spans="1:16" x14ac:dyDescent="0.25">
      <c r="A56" s="97">
        <f t="shared" si="0"/>
        <v>48</v>
      </c>
      <c r="B56" t="s">
        <v>442</v>
      </c>
      <c r="C56" t="s">
        <v>42</v>
      </c>
      <c r="D56" s="112"/>
      <c r="E56" s="112" t="s">
        <v>36</v>
      </c>
      <c r="F56" s="85">
        <f>'[12]PARCEL Unit Costs W  Final Adj.'!$F$53</f>
        <v>3.8544869574035003E-2</v>
      </c>
      <c r="G56" s="4">
        <f>F56*$G$69</f>
        <v>3.6336482016742992E-2</v>
      </c>
      <c r="H56" s="4">
        <f>F56*$H$69</f>
        <v>2.2083875572920025E-3</v>
      </c>
      <c r="I56" s="10">
        <f>'[13]8  MP Cost Pool Variabilities'!$E$85</f>
        <v>0.97149797999999998</v>
      </c>
      <c r="J56" s="10">
        <f>'[14]VII-3b. Ovhead Factrs-NonMODS'!$G$18</f>
        <v>1.197908591081329</v>
      </c>
      <c r="K56" s="85">
        <f>'[15]MP Piggybacks'!$J$54</f>
        <v>1.4234618489304431</v>
      </c>
      <c r="P56" s="4"/>
    </row>
    <row r="57" spans="1:16" x14ac:dyDescent="0.25">
      <c r="A57" s="97">
        <f t="shared" si="0"/>
        <v>49</v>
      </c>
      <c r="B57" t="s">
        <v>442</v>
      </c>
      <c r="C57" t="s">
        <v>43</v>
      </c>
      <c r="D57" s="112" t="s">
        <v>36</v>
      </c>
      <c r="E57" s="112"/>
      <c r="F57" s="4">
        <f>'[12]PARCEL Unit Costs W  Final Adj.'!$F$54</f>
        <v>29.793568904912487</v>
      </c>
      <c r="G57" s="4">
        <f>F57</f>
        <v>29.793568904912487</v>
      </c>
      <c r="H57" s="4"/>
      <c r="I57" s="10">
        <f>'[13]8  MP Cost Pool Variabilities'!$E$86</f>
        <v>0.96152245999999997</v>
      </c>
      <c r="J57" s="10">
        <f>'[14]VII-3b. Ovhead Factrs-NonMODS'!$G$19</f>
        <v>1.2883112264883447</v>
      </c>
      <c r="K57" s="85">
        <f>'[15]MP Piggybacks'!$J$55</f>
        <v>1.4957786551922303</v>
      </c>
      <c r="P57" s="4"/>
    </row>
    <row r="58" spans="1:16" x14ac:dyDescent="0.25">
      <c r="A58" s="97">
        <f t="shared" si="0"/>
        <v>50</v>
      </c>
      <c r="B58" t="s">
        <v>442</v>
      </c>
      <c r="C58" t="s">
        <v>74</v>
      </c>
      <c r="D58" s="112"/>
      <c r="E58" s="112" t="s">
        <v>36</v>
      </c>
      <c r="F58" s="4">
        <f>'[12]PARCEL Unit Costs W  Final Adj.'!$F$55</f>
        <v>4.4176014406857016</v>
      </c>
      <c r="G58" s="4">
        <f>F58*$G$69</f>
        <v>4.1644996358930513</v>
      </c>
      <c r="H58" s="4">
        <f>F58*$H$69</f>
        <v>0.2531018047926491</v>
      </c>
      <c r="I58" s="10">
        <f>'[13]8  MP Cost Pool Variabilities'!$E$87</f>
        <v>0.96306144000000005</v>
      </c>
      <c r="J58" s="10">
        <f>'[14]VII-3b. Ovhead Factrs-NonMODS'!$G$20</f>
        <v>1.2037147008850342</v>
      </c>
      <c r="K58" s="85">
        <f>'[15]MP Piggybacks'!$J$56</f>
        <v>1.5940040162919524</v>
      </c>
      <c r="P58" s="4"/>
    </row>
    <row r="59" spans="1:16" x14ac:dyDescent="0.25">
      <c r="A59" s="97">
        <f t="shared" si="0"/>
        <v>51</v>
      </c>
      <c r="B59" t="s">
        <v>442</v>
      </c>
      <c r="C59" t="s">
        <v>317</v>
      </c>
      <c r="D59" s="112"/>
      <c r="E59" s="112" t="s">
        <v>36</v>
      </c>
      <c r="F59" s="4">
        <f>'[12]PARCEL Unit Costs W  Final Adj.'!$F$56</f>
        <v>8.5913233649895348E-3</v>
      </c>
      <c r="G59" s="4"/>
      <c r="H59" s="4">
        <f>F59</f>
        <v>8.5913233649895348E-3</v>
      </c>
      <c r="I59" s="10">
        <f>'[13]8  MP Cost Pool Variabilities'!$E$88</f>
        <v>0.24950933</v>
      </c>
      <c r="J59" s="10">
        <f>'[14]VII-3b. Ovhead Factrs-NonMODS'!$G$21</f>
        <v>1.1783262838350408</v>
      </c>
      <c r="K59" s="85">
        <f>'[15]MP Piggybacks'!$J$57</f>
        <v>1.5940040162919527</v>
      </c>
      <c r="P59" s="4"/>
    </row>
    <row r="60" spans="1:16" x14ac:dyDescent="0.25">
      <c r="A60" s="97">
        <f t="shared" si="0"/>
        <v>52</v>
      </c>
      <c r="B60" t="s">
        <v>442</v>
      </c>
      <c r="C60" t="s">
        <v>62</v>
      </c>
      <c r="D60" s="112"/>
      <c r="E60" s="112" t="s">
        <v>36</v>
      </c>
      <c r="F60" s="4">
        <f>'[12]PARCEL Unit Costs W  Final Adj.'!$F$57</f>
        <v>0</v>
      </c>
      <c r="G60" s="4"/>
      <c r="H60" s="4">
        <f>F60</f>
        <v>0</v>
      </c>
      <c r="I60" s="10">
        <f>'[13]8  MP Cost Pool Variabilities'!$E$89</f>
        <v>0.48256776000000001</v>
      </c>
      <c r="J60" s="10">
        <f>'[14]VII-3b. Ovhead Factrs-NonMODS'!$G$22</f>
        <v>1.2329903747304578</v>
      </c>
      <c r="K60" s="85">
        <f>'[15]MP Piggybacks'!$J$58</f>
        <v>3.5156084078143586</v>
      </c>
      <c r="P60" s="4"/>
    </row>
    <row r="61" spans="1:16" x14ac:dyDescent="0.25">
      <c r="F61"/>
      <c r="I61" s="10"/>
      <c r="J61" s="10"/>
      <c r="K61" s="10"/>
    </row>
    <row r="62" spans="1:16" x14ac:dyDescent="0.25">
      <c r="F62" s="8"/>
      <c r="G62" s="8"/>
      <c r="H62" s="8"/>
      <c r="I62" s="10"/>
      <c r="J62" s="10"/>
      <c r="K62" s="10"/>
    </row>
    <row r="63" spans="1:16" x14ac:dyDescent="0.25">
      <c r="F63" s="8">
        <f>SUM(F9:F60)</f>
        <v>103.7336727705279</v>
      </c>
      <c r="G63" s="8">
        <f>SUM(G9:G60)</f>
        <v>97.790361643774133</v>
      </c>
      <c r="H63" s="8">
        <f>SUM(H9:H60)</f>
        <v>5.9433111267537422</v>
      </c>
      <c r="I63" s="10"/>
      <c r="J63" s="10"/>
      <c r="K63" s="10"/>
    </row>
    <row r="64" spans="1:16" x14ac:dyDescent="0.25">
      <c r="E64" s="113"/>
      <c r="I64" s="10"/>
      <c r="J64" s="10"/>
      <c r="K64" s="10"/>
    </row>
    <row r="65" spans="1:11" x14ac:dyDescent="0.25">
      <c r="F65" s="8"/>
      <c r="G65" s="14">
        <f>G63/$F$63</f>
        <v>0.94270605707848476</v>
      </c>
      <c r="H65" s="14">
        <f>H63/$F$63</f>
        <v>5.7293942921515018E-2</v>
      </c>
      <c r="I65" s="10"/>
      <c r="J65" s="10"/>
      <c r="K65" s="10"/>
    </row>
    <row r="66" spans="1:11" x14ac:dyDescent="0.25">
      <c r="A66" s="28" t="s">
        <v>259</v>
      </c>
      <c r="F66" s="8"/>
      <c r="G66" s="14"/>
      <c r="H66" s="14"/>
    </row>
    <row r="67" spans="1:11" x14ac:dyDescent="0.25">
      <c r="A67" s="7" t="s">
        <v>476</v>
      </c>
      <c r="B67" s="6"/>
    </row>
    <row r="68" spans="1:11" x14ac:dyDescent="0.25">
      <c r="A68" s="7" t="s">
        <v>477</v>
      </c>
      <c r="B68" s="6"/>
      <c r="E68" s="101" t="s">
        <v>303</v>
      </c>
      <c r="F68" s="101">
        <f>SUM(F12:F13,F16,F21:F22,F32,F34,F39,F41:F50,F52:F53,F57,F59:F60)</f>
        <v>68.262733338276362</v>
      </c>
      <c r="G68" s="101">
        <f>SUM(G12:G13,G16,G21:G22,G32,G34,G39,G41:G50,G52:G53,G57,G59:G60)</f>
        <v>64.351692190726538</v>
      </c>
      <c r="H68" s="101">
        <f>SUM(H12:H13,H16,H21:H22,H32,H34,H39,H41:H50,H52:H53,H57,H59:H60)</f>
        <v>3.9110411475498061</v>
      </c>
    </row>
    <row r="69" spans="1:11" x14ac:dyDescent="0.25">
      <c r="A69" s="7" t="s">
        <v>478</v>
      </c>
      <c r="B69" s="6"/>
      <c r="E69" s="101" t="s">
        <v>304</v>
      </c>
      <c r="G69" s="36">
        <f>G68/F68</f>
        <v>0.94270605707848476</v>
      </c>
      <c r="H69" s="36">
        <f>H68/F68</f>
        <v>5.7293942921515018E-2</v>
      </c>
    </row>
    <row r="70" spans="1:11" x14ac:dyDescent="0.25">
      <c r="A70" s="7" t="s">
        <v>479</v>
      </c>
      <c r="B70" s="6"/>
    </row>
    <row r="71" spans="1:11" x14ac:dyDescent="0.25">
      <c r="A71" s="7" t="s">
        <v>480</v>
      </c>
      <c r="B71" s="6"/>
    </row>
    <row r="72" spans="1:11" x14ac:dyDescent="0.25">
      <c r="A72" s="7" t="s">
        <v>481</v>
      </c>
    </row>
  </sheetData>
  <phoneticPr fontId="3" type="noConversion"/>
  <printOptions horizontalCentered="1"/>
  <pageMargins left="0.75" right="0.75" top="1" bottom="1" header="0.5" footer="0.5"/>
  <pageSetup scale="58" orientation="portrait" r:id="rId1"/>
  <headerFooter alignWithMargins="0">
    <oddHeader>&amp;RPage 3 of 50</oddHeader>
    <oddFooter>&amp;R&amp;F</oddFooter>
  </headerFooter>
  <ignoredErrors>
    <ignoredError sqref="G57 H51" formula="1"/>
    <ignoredError sqref="G16 H39 H34 H32:H33" evalError="1" formula="1"/>
    <ignoredError sqref="G9:G13 G21:G40 H21:H31 H35:H38 H40 H9:H13 G17:G18 G14:G15 H14:H18" evalErro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pageSetUpPr fitToPage="1"/>
  </sheetPr>
  <dimension ref="A1:N61"/>
  <sheetViews>
    <sheetView topLeftCell="A4" zoomScale="75" workbookViewId="0">
      <selection activeCell="P18" sqref="P18"/>
    </sheetView>
  </sheetViews>
  <sheetFormatPr defaultColWidth="9.109375" defaultRowHeight="13.2" x14ac:dyDescent="0.25"/>
  <cols>
    <col min="1" max="1" width="30.6640625" customWidth="1"/>
    <col min="2" max="2" width="12.5546875" style="1" customWidth="1"/>
    <col min="3" max="9" width="15.6640625" style="114" customWidth="1"/>
    <col min="11" max="14" width="15.5546875" style="30" customWidth="1"/>
  </cols>
  <sheetData>
    <row r="1" spans="1:14" ht="15.6" x14ac:dyDescent="0.3">
      <c r="A1" s="5" t="s">
        <v>377</v>
      </c>
      <c r="B1" s="3"/>
    </row>
    <row r="3" spans="1:14" x14ac:dyDescent="0.25">
      <c r="C3" s="115" t="s">
        <v>107</v>
      </c>
      <c r="D3" s="115" t="s">
        <v>108</v>
      </c>
      <c r="E3" s="115" t="s">
        <v>109</v>
      </c>
      <c r="F3" s="115" t="s">
        <v>112</v>
      </c>
      <c r="G3" s="115" t="s">
        <v>156</v>
      </c>
      <c r="H3" s="115" t="s">
        <v>157</v>
      </c>
      <c r="I3" s="115" t="s">
        <v>192</v>
      </c>
    </row>
    <row r="5" spans="1:14" s="6" customFormat="1" x14ac:dyDescent="0.25">
      <c r="B5" s="3"/>
      <c r="C5" s="115" t="s">
        <v>5</v>
      </c>
      <c r="D5" s="115" t="s">
        <v>5</v>
      </c>
      <c r="E5" s="115" t="s">
        <v>5</v>
      </c>
      <c r="F5" s="115" t="s">
        <v>6</v>
      </c>
      <c r="G5" s="115" t="s">
        <v>6</v>
      </c>
      <c r="H5" s="115" t="s">
        <v>6</v>
      </c>
      <c r="I5" s="115" t="s">
        <v>10</v>
      </c>
      <c r="K5" s="34"/>
      <c r="L5" s="34"/>
      <c r="M5" s="34"/>
      <c r="N5" s="34"/>
    </row>
    <row r="6" spans="1:14" s="6" customFormat="1" x14ac:dyDescent="0.25">
      <c r="B6" s="3" t="s">
        <v>12</v>
      </c>
      <c r="C6" s="115" t="s">
        <v>8</v>
      </c>
      <c r="D6" s="115" t="s">
        <v>9</v>
      </c>
      <c r="E6" s="115" t="s">
        <v>7</v>
      </c>
      <c r="F6" s="115" t="s">
        <v>8</v>
      </c>
      <c r="G6" s="115" t="s">
        <v>9</v>
      </c>
      <c r="H6" s="115" t="s">
        <v>7</v>
      </c>
      <c r="I6" s="115" t="s">
        <v>7</v>
      </c>
      <c r="K6" s="34"/>
      <c r="L6" s="34"/>
      <c r="M6" s="34"/>
      <c r="N6" s="34"/>
    </row>
    <row r="7" spans="1:14" s="6" customFormat="1" x14ac:dyDescent="0.25">
      <c r="A7" s="6" t="s">
        <v>0</v>
      </c>
      <c r="B7" s="3" t="s">
        <v>13</v>
      </c>
      <c r="C7" s="115" t="s">
        <v>4</v>
      </c>
      <c r="D7" s="115" t="s">
        <v>4</v>
      </c>
      <c r="E7" s="115" t="s">
        <v>4</v>
      </c>
      <c r="F7" s="115" t="s">
        <v>4</v>
      </c>
      <c r="G7" s="115" t="s">
        <v>4</v>
      </c>
      <c r="H7" s="115" t="s">
        <v>4</v>
      </c>
      <c r="I7" s="115" t="s">
        <v>4</v>
      </c>
      <c r="K7" s="34"/>
      <c r="L7" s="34"/>
      <c r="M7" s="34"/>
      <c r="N7" s="34"/>
    </row>
    <row r="9" spans="1:14" x14ac:dyDescent="0.25">
      <c r="A9" t="s">
        <v>489</v>
      </c>
      <c r="B9" s="1" t="s">
        <v>14</v>
      </c>
      <c r="C9" s="114">
        <v>0</v>
      </c>
      <c r="D9" s="114">
        <v>0</v>
      </c>
      <c r="E9" s="114">
        <f t="shared" ref="E9:E17" si="0">C9+D9</f>
        <v>0</v>
      </c>
      <c r="F9" s="114">
        <f>[16]Parcels!$E$113</f>
        <v>244203</v>
      </c>
      <c r="G9" s="114">
        <f>[16]Parcels!$E$130</f>
        <v>1103496</v>
      </c>
      <c r="H9" s="114">
        <f>F9+G9</f>
        <v>1347699</v>
      </c>
      <c r="I9" s="114">
        <f t="shared" ref="I9:I17" si="1">E9+H9</f>
        <v>1347699</v>
      </c>
      <c r="K9" s="87"/>
    </row>
    <row r="10" spans="1:14" x14ac:dyDescent="0.25">
      <c r="A10" t="s">
        <v>490</v>
      </c>
      <c r="B10" s="1" t="s">
        <v>14</v>
      </c>
      <c r="C10" s="114">
        <v>0</v>
      </c>
      <c r="D10" s="114">
        <v>0</v>
      </c>
      <c r="E10" s="114">
        <f t="shared" si="0"/>
        <v>0</v>
      </c>
      <c r="F10" s="114">
        <f>[16]Parcels!$E$115</f>
        <v>4087</v>
      </c>
      <c r="G10" s="114">
        <f>[16]Parcels!$E$132</f>
        <v>401475</v>
      </c>
      <c r="H10" s="114">
        <f t="shared" ref="H10:H17" si="2">F10+G10</f>
        <v>405562</v>
      </c>
      <c r="I10" s="114">
        <f t="shared" si="1"/>
        <v>405562</v>
      </c>
      <c r="K10" s="87"/>
    </row>
    <row r="11" spans="1:14" x14ac:dyDescent="0.25">
      <c r="A11" t="s">
        <v>490</v>
      </c>
      <c r="B11" s="1" t="s">
        <v>128</v>
      </c>
      <c r="C11" s="114">
        <v>0</v>
      </c>
      <c r="D11" s="114">
        <v>0</v>
      </c>
      <c r="E11" s="114">
        <f t="shared" si="0"/>
        <v>0</v>
      </c>
      <c r="F11" s="114">
        <f>[16]Parcels!$E$116</f>
        <v>18753</v>
      </c>
      <c r="G11" s="114">
        <f>[16]Parcels!$E$133</f>
        <v>450174</v>
      </c>
      <c r="H11" s="114">
        <f t="shared" si="2"/>
        <v>468927</v>
      </c>
      <c r="I11" s="114">
        <f t="shared" si="1"/>
        <v>468927</v>
      </c>
      <c r="K11" s="87"/>
    </row>
    <row r="12" spans="1:14" x14ac:dyDescent="0.25">
      <c r="A12" s="9" t="s">
        <v>491</v>
      </c>
      <c r="B12" s="1" t="s">
        <v>14</v>
      </c>
      <c r="C12" s="114">
        <v>0</v>
      </c>
      <c r="D12" s="114">
        <v>0</v>
      </c>
      <c r="E12" s="114">
        <f t="shared" ref="E12" si="3">C12+D12</f>
        <v>0</v>
      </c>
      <c r="F12" s="114">
        <f>[16]Parcels!$E$118</f>
        <v>9</v>
      </c>
      <c r="G12" s="114">
        <f>[16]Parcels!$E$135</f>
        <v>114267</v>
      </c>
      <c r="H12" s="114">
        <f t="shared" ref="H12" si="4">F12+G12</f>
        <v>114276</v>
      </c>
      <c r="I12" s="114">
        <f t="shared" ref="I12" si="5">E12+H12</f>
        <v>114276</v>
      </c>
      <c r="K12" s="87"/>
    </row>
    <row r="13" spans="1:14" ht="13.95" customHeight="1" x14ac:dyDescent="0.25">
      <c r="A13" s="9" t="s">
        <v>491</v>
      </c>
      <c r="B13" s="1" t="s">
        <v>128</v>
      </c>
      <c r="C13" s="114">
        <v>0</v>
      </c>
      <c r="D13" s="114">
        <v>0</v>
      </c>
      <c r="E13" s="114">
        <f t="shared" si="0"/>
        <v>0</v>
      </c>
      <c r="F13" s="114">
        <f>[16]Parcels!$E$119</f>
        <v>28</v>
      </c>
      <c r="G13" s="114">
        <f>[16]Parcels!$E$136</f>
        <v>274075</v>
      </c>
      <c r="H13" s="114">
        <f t="shared" si="2"/>
        <v>274103</v>
      </c>
      <c r="I13" s="114">
        <f t="shared" si="1"/>
        <v>274103</v>
      </c>
      <c r="K13" s="87"/>
    </row>
    <row r="14" spans="1:14" x14ac:dyDescent="0.25">
      <c r="A14" t="s">
        <v>492</v>
      </c>
      <c r="B14" s="1" t="s">
        <v>128</v>
      </c>
      <c r="C14" s="114">
        <v>0</v>
      </c>
      <c r="D14" s="114">
        <v>0</v>
      </c>
      <c r="E14" s="114">
        <f t="shared" si="0"/>
        <v>0</v>
      </c>
      <c r="F14" s="114">
        <f>[16]Parcels!$E$122</f>
        <v>711</v>
      </c>
      <c r="G14" s="114">
        <f>[16]Parcels!$E$139</f>
        <v>110629</v>
      </c>
      <c r="H14" s="114">
        <f t="shared" si="2"/>
        <v>111340</v>
      </c>
      <c r="I14" s="114">
        <f t="shared" si="1"/>
        <v>111340</v>
      </c>
      <c r="K14" s="87"/>
    </row>
    <row r="15" spans="1:14" x14ac:dyDescent="0.25">
      <c r="A15" s="9" t="s">
        <v>491</v>
      </c>
      <c r="B15" s="1" t="s">
        <v>15</v>
      </c>
      <c r="C15" s="114">
        <v>0</v>
      </c>
      <c r="D15" s="114">
        <v>0</v>
      </c>
      <c r="E15" s="114">
        <f t="shared" si="0"/>
        <v>0</v>
      </c>
      <c r="F15" s="114">
        <f>[16]Parcels!$E$120</f>
        <v>4687</v>
      </c>
      <c r="G15" s="114">
        <f>[16]Parcels!$E$137</f>
        <v>448985</v>
      </c>
      <c r="H15" s="114">
        <f t="shared" si="2"/>
        <v>453672</v>
      </c>
      <c r="I15" s="114">
        <f t="shared" si="1"/>
        <v>453672</v>
      </c>
      <c r="K15" s="87"/>
    </row>
    <row r="16" spans="1:14" x14ac:dyDescent="0.25">
      <c r="A16" t="s">
        <v>492</v>
      </c>
      <c r="B16" s="1" t="s">
        <v>15</v>
      </c>
      <c r="C16" s="114">
        <v>0</v>
      </c>
      <c r="D16" s="114">
        <v>0</v>
      </c>
      <c r="E16" s="114">
        <f t="shared" si="0"/>
        <v>0</v>
      </c>
      <c r="F16" s="114">
        <f>[16]Parcels!$E$123</f>
        <v>738</v>
      </c>
      <c r="G16" s="114">
        <f>[16]Parcels!$E$140</f>
        <v>111046</v>
      </c>
      <c r="H16" s="114">
        <f t="shared" si="2"/>
        <v>111784</v>
      </c>
      <c r="I16" s="114">
        <f t="shared" si="1"/>
        <v>111784</v>
      </c>
    </row>
    <row r="17" spans="1:14" x14ac:dyDescent="0.25">
      <c r="A17" t="s">
        <v>492</v>
      </c>
      <c r="B17" s="1" t="s">
        <v>16</v>
      </c>
      <c r="C17" s="116">
        <v>0</v>
      </c>
      <c r="D17" s="116">
        <v>0</v>
      </c>
      <c r="E17" s="116">
        <f t="shared" si="0"/>
        <v>0</v>
      </c>
      <c r="F17" s="114">
        <f>[16]Parcels!$E$124</f>
        <v>1650</v>
      </c>
      <c r="G17" s="114">
        <f>[16]Parcels!$E$141</f>
        <v>1227</v>
      </c>
      <c r="H17" s="116">
        <f t="shared" si="2"/>
        <v>2877</v>
      </c>
      <c r="I17" s="116">
        <f t="shared" si="1"/>
        <v>2877</v>
      </c>
    </row>
    <row r="18" spans="1:14" x14ac:dyDescent="0.25">
      <c r="C18" s="114">
        <f t="shared" ref="C18:I18" si="6">SUM(C9:C17)</f>
        <v>0</v>
      </c>
      <c r="D18" s="114">
        <f t="shared" si="6"/>
        <v>0</v>
      </c>
      <c r="E18" s="114">
        <f t="shared" si="6"/>
        <v>0</v>
      </c>
      <c r="F18" s="114">
        <f t="shared" si="6"/>
        <v>274866</v>
      </c>
      <c r="G18" s="114">
        <f t="shared" si="6"/>
        <v>3015374</v>
      </c>
      <c r="H18" s="114">
        <f t="shared" si="6"/>
        <v>3290240</v>
      </c>
      <c r="I18" s="114">
        <f t="shared" si="6"/>
        <v>3290240</v>
      </c>
    </row>
    <row r="20" spans="1:14" x14ac:dyDescent="0.25">
      <c r="A20" t="s">
        <v>129</v>
      </c>
      <c r="B20" s="1" t="s">
        <v>14</v>
      </c>
      <c r="C20" s="114">
        <v>0</v>
      </c>
      <c r="D20" s="114">
        <v>0</v>
      </c>
      <c r="E20" s="114">
        <f t="shared" ref="E20:E25" si="7">C20+D20</f>
        <v>0</v>
      </c>
      <c r="F20" s="114">
        <v>0</v>
      </c>
      <c r="G20" s="114">
        <f>[16]Parcels!$E$100</f>
        <v>670396</v>
      </c>
      <c r="H20" s="114">
        <f t="shared" ref="H20:H25" si="8">F20+G20</f>
        <v>670396</v>
      </c>
      <c r="I20" s="114">
        <f t="shared" ref="I20:I25" si="9">E20+H20</f>
        <v>670396</v>
      </c>
    </row>
    <row r="21" spans="1:14" x14ac:dyDescent="0.25">
      <c r="A21" t="s">
        <v>130</v>
      </c>
      <c r="B21" s="1" t="s">
        <v>14</v>
      </c>
      <c r="C21" s="114">
        <v>0</v>
      </c>
      <c r="D21" s="114">
        <v>0</v>
      </c>
      <c r="E21" s="114">
        <f t="shared" si="7"/>
        <v>0</v>
      </c>
      <c r="F21" s="114">
        <v>0</v>
      </c>
      <c r="G21" s="114">
        <f>[16]Parcels!$E$102</f>
        <v>400984</v>
      </c>
      <c r="H21" s="114">
        <f t="shared" si="8"/>
        <v>400984</v>
      </c>
      <c r="I21" s="114">
        <f t="shared" si="9"/>
        <v>400984</v>
      </c>
    </row>
    <row r="22" spans="1:14" x14ac:dyDescent="0.25">
      <c r="A22" t="s">
        <v>130</v>
      </c>
      <c r="B22" s="1" t="s">
        <v>128</v>
      </c>
      <c r="C22" s="114">
        <v>0</v>
      </c>
      <c r="D22" s="114">
        <v>0</v>
      </c>
      <c r="E22" s="114">
        <f t="shared" si="7"/>
        <v>0</v>
      </c>
      <c r="F22" s="114">
        <v>0</v>
      </c>
      <c r="G22" s="114">
        <f>[16]Parcels!$E$103</f>
        <v>1729284</v>
      </c>
      <c r="H22" s="114">
        <f t="shared" si="8"/>
        <v>1729284</v>
      </c>
      <c r="I22" s="114">
        <f t="shared" si="9"/>
        <v>1729284</v>
      </c>
    </row>
    <row r="23" spans="1:14" x14ac:dyDescent="0.25">
      <c r="A23" t="s">
        <v>1</v>
      </c>
      <c r="B23" s="1" t="s">
        <v>128</v>
      </c>
      <c r="C23" s="114">
        <v>0</v>
      </c>
      <c r="D23" s="114">
        <v>0</v>
      </c>
      <c r="E23" s="114">
        <f t="shared" si="7"/>
        <v>0</v>
      </c>
      <c r="F23" s="114">
        <v>0</v>
      </c>
      <c r="G23" s="114">
        <f>[16]Parcels!$E$105</f>
        <v>6159</v>
      </c>
      <c r="H23" s="114">
        <f t="shared" si="8"/>
        <v>6159</v>
      </c>
      <c r="I23" s="114">
        <f t="shared" si="9"/>
        <v>6159</v>
      </c>
    </row>
    <row r="24" spans="1:14" x14ac:dyDescent="0.25">
      <c r="A24" t="s">
        <v>1</v>
      </c>
      <c r="B24" s="1" t="s">
        <v>15</v>
      </c>
      <c r="C24" s="114">
        <v>0</v>
      </c>
      <c r="D24" s="114">
        <v>0</v>
      </c>
      <c r="E24" s="114">
        <f t="shared" si="7"/>
        <v>0</v>
      </c>
      <c r="F24" s="114">
        <v>0</v>
      </c>
      <c r="G24" s="114">
        <f>[16]Parcels!$E$106</f>
        <v>32567</v>
      </c>
      <c r="H24" s="114">
        <f t="shared" si="8"/>
        <v>32567</v>
      </c>
      <c r="I24" s="114">
        <f t="shared" si="9"/>
        <v>32567</v>
      </c>
    </row>
    <row r="25" spans="1:14" x14ac:dyDescent="0.25">
      <c r="A25" t="s">
        <v>1</v>
      </c>
      <c r="B25" s="1" t="s">
        <v>16</v>
      </c>
      <c r="C25" s="116">
        <v>0</v>
      </c>
      <c r="D25" s="116">
        <v>0</v>
      </c>
      <c r="E25" s="116">
        <f t="shared" si="7"/>
        <v>0</v>
      </c>
      <c r="F25" s="116">
        <v>0</v>
      </c>
      <c r="G25" s="114">
        <f>[16]Parcels!$E$107</f>
        <v>5446</v>
      </c>
      <c r="H25" s="116">
        <f t="shared" si="8"/>
        <v>5446</v>
      </c>
      <c r="I25" s="116">
        <f t="shared" si="9"/>
        <v>5446</v>
      </c>
    </row>
    <row r="26" spans="1:14" x14ac:dyDescent="0.25">
      <c r="C26" s="114">
        <f t="shared" ref="C26:I26" si="10">SUM(C20:C25)</f>
        <v>0</v>
      </c>
      <c r="D26" s="114">
        <f t="shared" si="10"/>
        <v>0</v>
      </c>
      <c r="E26" s="114">
        <f t="shared" si="10"/>
        <v>0</v>
      </c>
      <c r="F26" s="114">
        <f t="shared" si="10"/>
        <v>0</v>
      </c>
      <c r="G26" s="114">
        <f t="shared" si="10"/>
        <v>2844836</v>
      </c>
      <c r="H26" s="114">
        <f t="shared" si="10"/>
        <v>2844836</v>
      </c>
      <c r="I26" s="114">
        <f t="shared" si="10"/>
        <v>2844836</v>
      </c>
    </row>
    <row r="28" spans="1:14" s="6" customFormat="1" x14ac:dyDescent="0.25">
      <c r="A28" s="6" t="s">
        <v>11</v>
      </c>
      <c r="B28" s="3"/>
      <c r="C28" s="115">
        <f t="shared" ref="C28:I28" si="11">C26+C18</f>
        <v>0</v>
      </c>
      <c r="D28" s="115">
        <f t="shared" si="11"/>
        <v>0</v>
      </c>
      <c r="E28" s="115">
        <f t="shared" si="11"/>
        <v>0</v>
      </c>
      <c r="F28" s="115">
        <f t="shared" si="11"/>
        <v>274866</v>
      </c>
      <c r="G28" s="115">
        <f t="shared" si="11"/>
        <v>5860210</v>
      </c>
      <c r="H28" s="115">
        <f t="shared" si="11"/>
        <v>6135076</v>
      </c>
      <c r="I28" s="115">
        <f t="shared" si="11"/>
        <v>6135076</v>
      </c>
      <c r="K28" s="30"/>
      <c r="L28" s="30"/>
      <c r="M28" s="34"/>
      <c r="N28" s="34"/>
    </row>
    <row r="30" spans="1:14" x14ac:dyDescent="0.25">
      <c r="A30" t="s">
        <v>318</v>
      </c>
      <c r="B30" s="1" t="s">
        <v>14</v>
      </c>
      <c r="C30" s="114">
        <f>[16]Parcels!$E$7</f>
        <v>451593</v>
      </c>
      <c r="D30" s="114">
        <f>[16]Parcels!$E$41</f>
        <v>1119890</v>
      </c>
      <c r="E30" s="114">
        <f t="shared" ref="E30:E38" si="12">C30+D30</f>
        <v>1571483</v>
      </c>
      <c r="F30" s="114">
        <f>[16]Parcels!$E$24</f>
        <v>118623</v>
      </c>
      <c r="G30" s="114">
        <f>[16]Parcels!$E$58</f>
        <v>435844</v>
      </c>
      <c r="H30" s="114">
        <f t="shared" ref="H30:H38" si="13">F30+G30</f>
        <v>554467</v>
      </c>
      <c r="I30" s="114">
        <f t="shared" ref="I30:I38" si="14">E30+H30</f>
        <v>2125950</v>
      </c>
      <c r="K30" s="87"/>
      <c r="L30" s="87"/>
    </row>
    <row r="31" spans="1:14" x14ac:dyDescent="0.25">
      <c r="A31" t="s">
        <v>319</v>
      </c>
      <c r="B31" s="1" t="s">
        <v>14</v>
      </c>
      <c r="C31" s="114">
        <f>[16]Parcels!$E$9</f>
        <v>92446</v>
      </c>
      <c r="D31" s="114">
        <f>[16]Parcels!$E$43</f>
        <v>642181</v>
      </c>
      <c r="E31" s="114">
        <f t="shared" si="12"/>
        <v>734627</v>
      </c>
      <c r="F31" s="114">
        <f>[16]Parcels!$E$26</f>
        <v>7295</v>
      </c>
      <c r="G31" s="114">
        <f>[16]Parcels!$E$60</f>
        <v>102817</v>
      </c>
      <c r="H31" s="114">
        <f t="shared" si="13"/>
        <v>110112</v>
      </c>
      <c r="I31" s="114">
        <f t="shared" si="14"/>
        <v>844739</v>
      </c>
      <c r="K31" s="87"/>
      <c r="L31" s="87"/>
    </row>
    <row r="32" spans="1:14" x14ac:dyDescent="0.25">
      <c r="A32" t="s">
        <v>319</v>
      </c>
      <c r="B32" s="1" t="s">
        <v>128</v>
      </c>
      <c r="C32" s="114">
        <f>[16]Parcels!$E$10</f>
        <v>72762</v>
      </c>
      <c r="D32" s="114">
        <f>[16]Parcels!$E$44</f>
        <v>46921</v>
      </c>
      <c r="E32" s="114">
        <f t="shared" si="12"/>
        <v>119683</v>
      </c>
      <c r="F32" s="114">
        <f>[16]Parcels!$E$27</f>
        <v>2145</v>
      </c>
      <c r="G32" s="114">
        <f>[16]Parcels!$E$61</f>
        <v>14825</v>
      </c>
      <c r="H32" s="114">
        <f t="shared" si="13"/>
        <v>16970</v>
      </c>
      <c r="I32" s="114">
        <f t="shared" si="14"/>
        <v>136653</v>
      </c>
      <c r="K32" s="87"/>
      <c r="L32" s="87"/>
    </row>
    <row r="33" spans="1:14" x14ac:dyDescent="0.25">
      <c r="A33" s="9" t="s">
        <v>372</v>
      </c>
      <c r="B33" s="1" t="s">
        <v>14</v>
      </c>
      <c r="C33" s="114">
        <f>[16]Parcels!$E$12</f>
        <v>0</v>
      </c>
      <c r="D33" s="114">
        <f>[16]Parcels!$E$46</f>
        <v>8726</v>
      </c>
      <c r="E33" s="114">
        <f t="shared" si="12"/>
        <v>8726</v>
      </c>
      <c r="F33" s="114">
        <f>[16]Parcels!$E$29</f>
        <v>218</v>
      </c>
      <c r="G33" s="114">
        <f>[16]Parcels!$E$63</f>
        <v>7454</v>
      </c>
      <c r="H33" s="114">
        <f t="shared" si="13"/>
        <v>7672</v>
      </c>
      <c r="I33" s="114">
        <f t="shared" si="14"/>
        <v>16398</v>
      </c>
      <c r="K33" s="87"/>
      <c r="L33" s="87"/>
    </row>
    <row r="34" spans="1:14" x14ac:dyDescent="0.25">
      <c r="A34" s="9" t="s">
        <v>372</v>
      </c>
      <c r="B34" s="1" t="s">
        <v>128</v>
      </c>
      <c r="C34" s="114">
        <f>[16]Parcels!$E$13</f>
        <v>7219</v>
      </c>
      <c r="D34" s="114">
        <f>[16]Parcels!$E$47</f>
        <v>5738</v>
      </c>
      <c r="E34" s="114">
        <f t="shared" si="12"/>
        <v>12957</v>
      </c>
      <c r="F34" s="114">
        <f>[16]Parcels!$E$30</f>
        <v>0</v>
      </c>
      <c r="G34" s="114">
        <f>[16]Parcels!$E$64</f>
        <v>180</v>
      </c>
      <c r="H34" s="114">
        <f t="shared" si="13"/>
        <v>180</v>
      </c>
      <c r="I34" s="114">
        <f t="shared" si="14"/>
        <v>13137</v>
      </c>
      <c r="K34" s="87"/>
      <c r="L34" s="87"/>
    </row>
    <row r="35" spans="1:14" x14ac:dyDescent="0.25">
      <c r="A35" t="s">
        <v>320</v>
      </c>
      <c r="B35" s="1" t="s">
        <v>128</v>
      </c>
      <c r="C35" s="114">
        <f>[16]Parcels!$E$16</f>
        <v>5413</v>
      </c>
      <c r="D35" s="114">
        <f>[16]Parcels!$E$50</f>
        <v>17426</v>
      </c>
      <c r="E35" s="114">
        <f t="shared" si="12"/>
        <v>22839</v>
      </c>
      <c r="F35" s="114">
        <f>[16]Parcels!$E$33</f>
        <v>5179</v>
      </c>
      <c r="G35" s="114">
        <f>[16]Parcels!$E$67</f>
        <v>2718</v>
      </c>
      <c r="H35" s="114">
        <f t="shared" si="13"/>
        <v>7897</v>
      </c>
      <c r="I35" s="114">
        <f t="shared" si="14"/>
        <v>30736</v>
      </c>
      <c r="K35" s="87"/>
      <c r="L35" s="87"/>
    </row>
    <row r="36" spans="1:14" x14ac:dyDescent="0.25">
      <c r="A36" s="9" t="s">
        <v>372</v>
      </c>
      <c r="B36" s="1" t="s">
        <v>15</v>
      </c>
      <c r="C36" s="114">
        <f>[16]Parcels!$E$14</f>
        <v>43751</v>
      </c>
      <c r="D36" s="114">
        <f>[16]Parcels!$E$48</f>
        <v>63030</v>
      </c>
      <c r="E36" s="114">
        <f t="shared" si="12"/>
        <v>106781</v>
      </c>
      <c r="F36" s="114">
        <f>[16]Parcels!$E$31</f>
        <v>7190</v>
      </c>
      <c r="G36" s="114">
        <f>[16]Parcels!$E$65</f>
        <v>12259</v>
      </c>
      <c r="H36" s="114">
        <f t="shared" si="13"/>
        <v>19449</v>
      </c>
      <c r="I36" s="114">
        <f t="shared" si="14"/>
        <v>126230</v>
      </c>
      <c r="K36" s="87"/>
      <c r="L36" s="87"/>
    </row>
    <row r="37" spans="1:14" x14ac:dyDescent="0.25">
      <c r="A37" t="s">
        <v>320</v>
      </c>
      <c r="B37" s="1" t="s">
        <v>15</v>
      </c>
      <c r="C37" s="114">
        <f>[16]Parcels!$E$17</f>
        <v>1363639</v>
      </c>
      <c r="D37" s="114">
        <f>[16]Parcels!$E$51</f>
        <v>603421</v>
      </c>
      <c r="E37" s="114">
        <f t="shared" si="12"/>
        <v>1967060</v>
      </c>
      <c r="F37" s="114">
        <f>[16]Parcels!$E$34</f>
        <v>5859</v>
      </c>
      <c r="G37" s="114">
        <f>[16]Parcels!$E$68</f>
        <v>9757</v>
      </c>
      <c r="H37" s="114">
        <f t="shared" si="13"/>
        <v>15616</v>
      </c>
      <c r="I37" s="114">
        <f t="shared" si="14"/>
        <v>1982676</v>
      </c>
      <c r="K37" s="87"/>
      <c r="L37" s="87"/>
    </row>
    <row r="38" spans="1:14" x14ac:dyDescent="0.25">
      <c r="A38" t="s">
        <v>320</v>
      </c>
      <c r="B38" s="1" t="s">
        <v>16</v>
      </c>
      <c r="C38" s="114">
        <f>[16]Parcels!$E$18</f>
        <v>193234</v>
      </c>
      <c r="D38" s="114">
        <f>[16]Parcels!$E$52</f>
        <v>92232</v>
      </c>
      <c r="E38" s="116">
        <f t="shared" si="12"/>
        <v>285466</v>
      </c>
      <c r="F38" s="114">
        <f>[16]Parcels!$E$35</f>
        <v>1116</v>
      </c>
      <c r="G38" s="114">
        <f>[16]Parcels!$E$69</f>
        <v>7860</v>
      </c>
      <c r="H38" s="116">
        <f t="shared" si="13"/>
        <v>8976</v>
      </c>
      <c r="I38" s="116">
        <f t="shared" si="14"/>
        <v>294442</v>
      </c>
      <c r="K38" s="87"/>
      <c r="L38" s="87"/>
    </row>
    <row r="39" spans="1:14" s="6" customFormat="1" x14ac:dyDescent="0.25">
      <c r="A39" s="6" t="s">
        <v>366</v>
      </c>
      <c r="B39" s="3"/>
      <c r="C39" s="115">
        <f t="shared" ref="C39:I39" si="15">SUM(C30:C38)</f>
        <v>2230057</v>
      </c>
      <c r="D39" s="115">
        <f t="shared" si="15"/>
        <v>2599565</v>
      </c>
      <c r="E39" s="115">
        <f t="shared" si="15"/>
        <v>4829622</v>
      </c>
      <c r="F39" s="115">
        <f t="shared" si="15"/>
        <v>147625</v>
      </c>
      <c r="G39" s="115">
        <f t="shared" si="15"/>
        <v>593714</v>
      </c>
      <c r="H39" s="115">
        <f t="shared" si="15"/>
        <v>741339</v>
      </c>
      <c r="I39" s="115">
        <f t="shared" si="15"/>
        <v>5570961</v>
      </c>
      <c r="K39" s="30"/>
      <c r="L39" s="30"/>
      <c r="M39" s="34"/>
      <c r="N39" s="34"/>
    </row>
    <row r="41" spans="1:14" x14ac:dyDescent="0.25">
      <c r="D41" s="117"/>
      <c r="K41" s="34"/>
      <c r="L41" s="34"/>
    </row>
    <row r="42" spans="1:14" s="6" customFormat="1" x14ac:dyDescent="0.25">
      <c r="A42" s="6" t="s">
        <v>203</v>
      </c>
      <c r="B42" s="3"/>
      <c r="C42" s="115">
        <f t="shared" ref="C42:I42" si="16">C28+C39</f>
        <v>2230057</v>
      </c>
      <c r="D42" s="115">
        <f t="shared" si="16"/>
        <v>2599565</v>
      </c>
      <c r="E42" s="115">
        <f t="shared" si="16"/>
        <v>4829622</v>
      </c>
      <c r="F42" s="115">
        <f t="shared" si="16"/>
        <v>422491</v>
      </c>
      <c r="G42" s="115">
        <f t="shared" si="16"/>
        <v>6453924</v>
      </c>
      <c r="H42" s="115">
        <f t="shared" si="16"/>
        <v>6876415</v>
      </c>
      <c r="I42" s="115">
        <f t="shared" si="16"/>
        <v>11706037</v>
      </c>
      <c r="K42" s="30"/>
      <c r="L42" s="30"/>
      <c r="M42" s="34"/>
      <c r="N42" s="34"/>
    </row>
    <row r="44" spans="1:14" x14ac:dyDescent="0.25">
      <c r="C44" s="115" t="s">
        <v>193</v>
      </c>
      <c r="D44" s="115" t="s">
        <v>194</v>
      </c>
      <c r="E44" s="115" t="s">
        <v>195</v>
      </c>
      <c r="K44" s="34"/>
      <c r="L44" s="34"/>
    </row>
    <row r="45" spans="1:14" x14ac:dyDescent="0.25">
      <c r="C45" s="115"/>
      <c r="I45" s="118"/>
    </row>
    <row r="46" spans="1:14" x14ac:dyDescent="0.25">
      <c r="B46" s="70" t="s">
        <v>322</v>
      </c>
      <c r="C46" s="119">
        <f>[17]MarketingMail2025!$J$77</f>
        <v>0.56272847285531591</v>
      </c>
      <c r="D46" s="119"/>
    </row>
    <row r="47" spans="1:14" x14ac:dyDescent="0.25">
      <c r="B47" s="70" t="s">
        <v>251</v>
      </c>
      <c r="C47" s="120"/>
      <c r="D47" s="119">
        <f>'[18]Miscellaneous Data'!$B$3</f>
        <v>0.10466499273159773</v>
      </c>
    </row>
    <row r="48" spans="1:14" x14ac:dyDescent="0.25">
      <c r="B48" s="70" t="s">
        <v>452</v>
      </c>
      <c r="E48" s="114">
        <f>'[19]Adjusted RPW Rpt'!$I$32</f>
        <v>4941.2060000000001</v>
      </c>
    </row>
    <row r="51" spans="1:1" x14ac:dyDescent="0.25">
      <c r="A51" s="29" t="s">
        <v>259</v>
      </c>
    </row>
    <row r="52" spans="1:1" x14ac:dyDescent="0.25">
      <c r="A52" s="6" t="s">
        <v>468</v>
      </c>
    </row>
    <row r="53" spans="1:1" x14ac:dyDescent="0.25">
      <c r="A53" s="6" t="s">
        <v>469</v>
      </c>
    </row>
    <row r="54" spans="1:1" x14ac:dyDescent="0.25">
      <c r="A54" s="6" t="s">
        <v>470</v>
      </c>
    </row>
    <row r="55" spans="1:1" x14ac:dyDescent="0.25">
      <c r="A55" s="6" t="s">
        <v>471</v>
      </c>
    </row>
    <row r="56" spans="1:1" x14ac:dyDescent="0.25">
      <c r="A56" s="6" t="s">
        <v>472</v>
      </c>
    </row>
    <row r="57" spans="1:1" x14ac:dyDescent="0.25">
      <c r="A57" s="6" t="s">
        <v>473</v>
      </c>
    </row>
    <row r="58" spans="1:1" x14ac:dyDescent="0.25">
      <c r="A58" s="6" t="s">
        <v>474</v>
      </c>
    </row>
    <row r="59" spans="1:1" x14ac:dyDescent="0.25">
      <c r="A59" s="6" t="s">
        <v>368</v>
      </c>
    </row>
    <row r="60" spans="1:1" x14ac:dyDescent="0.25">
      <c r="A60" s="6" t="s">
        <v>261</v>
      </c>
    </row>
    <row r="61" spans="1:1" x14ac:dyDescent="0.25">
      <c r="A61" s="6" t="s">
        <v>373</v>
      </c>
    </row>
  </sheetData>
  <phoneticPr fontId="3" type="noConversion"/>
  <printOptions horizontalCentered="1"/>
  <pageMargins left="0.75" right="0.75" top="1" bottom="1" header="0.5" footer="0.5"/>
  <pageSetup scale="59" orientation="portrait" r:id="rId1"/>
  <headerFooter alignWithMargins="0">
    <oddHeader>&amp;RPage 4 of 50</oddHeader>
    <oddFooter>&amp;R&amp;F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>
    <pageSetUpPr fitToPage="1"/>
  </sheetPr>
  <dimension ref="A1:I57"/>
  <sheetViews>
    <sheetView topLeftCell="A23" zoomScale="75" workbookViewId="0">
      <selection activeCell="N37" sqref="N37"/>
    </sheetView>
  </sheetViews>
  <sheetFormatPr defaultColWidth="8.88671875" defaultRowHeight="13.2" x14ac:dyDescent="0.25"/>
  <cols>
    <col min="1" max="1" width="50.5546875" style="130" customWidth="1"/>
    <col min="2" max="2" width="12.6640625" style="131" customWidth="1"/>
    <col min="3" max="9" width="12.6640625" style="123" customWidth="1"/>
    <col min="10" max="16384" width="8.88671875" style="124"/>
  </cols>
  <sheetData>
    <row r="1" spans="1:9" ht="15.6" x14ac:dyDescent="0.3">
      <c r="A1" s="5" t="s">
        <v>378</v>
      </c>
      <c r="B1" s="121"/>
      <c r="C1" s="122"/>
      <c r="D1" s="122"/>
      <c r="E1" s="122"/>
      <c r="F1" s="122"/>
      <c r="G1" s="122"/>
    </row>
    <row r="2" spans="1:9" x14ac:dyDescent="0.25">
      <c r="A2" s="125"/>
      <c r="B2" s="121"/>
      <c r="C2" s="122"/>
      <c r="D2" s="122"/>
      <c r="E2" s="122"/>
      <c r="F2" s="122"/>
      <c r="G2" s="122"/>
    </row>
    <row r="3" spans="1:9" x14ac:dyDescent="0.25">
      <c r="A3" s="125"/>
      <c r="B3" s="121"/>
      <c r="C3" s="122"/>
      <c r="D3" s="122"/>
      <c r="E3" s="122"/>
      <c r="F3" s="122"/>
      <c r="G3" s="122"/>
    </row>
    <row r="4" spans="1:9" x14ac:dyDescent="0.25">
      <c r="A4" s="125"/>
      <c r="B4" s="121"/>
      <c r="C4" s="126" t="s">
        <v>107</v>
      </c>
      <c r="D4" s="126" t="s">
        <v>108</v>
      </c>
      <c r="E4" s="126" t="s">
        <v>109</v>
      </c>
      <c r="F4" s="126" t="s">
        <v>112</v>
      </c>
      <c r="G4" s="126" t="s">
        <v>156</v>
      </c>
      <c r="H4" s="126" t="s">
        <v>157</v>
      </c>
      <c r="I4" s="122" t="s">
        <v>192</v>
      </c>
    </row>
    <row r="5" spans="1:9" x14ac:dyDescent="0.25">
      <c r="A5" s="125"/>
      <c r="B5" s="121"/>
      <c r="C5" s="122"/>
      <c r="D5" s="122"/>
      <c r="E5" s="122"/>
      <c r="F5" s="122"/>
      <c r="G5" s="122"/>
    </row>
    <row r="6" spans="1:9" x14ac:dyDescent="0.25">
      <c r="A6" s="125"/>
      <c r="B6" s="121"/>
      <c r="C6" s="122"/>
      <c r="D6" s="122"/>
      <c r="E6" s="122"/>
      <c r="F6" s="122"/>
      <c r="G6" s="122"/>
      <c r="H6" s="126" t="s">
        <v>4</v>
      </c>
      <c r="I6" s="126"/>
    </row>
    <row r="7" spans="1:9" x14ac:dyDescent="0.25">
      <c r="A7" s="125" t="s">
        <v>76</v>
      </c>
      <c r="B7" s="121" t="s">
        <v>84</v>
      </c>
      <c r="C7" s="122" t="s">
        <v>106</v>
      </c>
      <c r="D7" s="122" t="s">
        <v>466</v>
      </c>
      <c r="E7" s="122" t="s">
        <v>142</v>
      </c>
      <c r="F7" s="122" t="s">
        <v>370</v>
      </c>
      <c r="G7" s="122" t="s">
        <v>155</v>
      </c>
      <c r="H7" s="126" t="s">
        <v>80</v>
      </c>
      <c r="I7" s="126" t="s">
        <v>82</v>
      </c>
    </row>
    <row r="8" spans="1:9" x14ac:dyDescent="0.25">
      <c r="A8" s="125" t="s">
        <v>75</v>
      </c>
      <c r="B8" s="121" t="s">
        <v>83</v>
      </c>
      <c r="C8" s="122" t="s">
        <v>79</v>
      </c>
      <c r="D8" s="122" t="s">
        <v>79</v>
      </c>
      <c r="E8" s="122" t="s">
        <v>79</v>
      </c>
      <c r="F8" s="122" t="s">
        <v>81</v>
      </c>
      <c r="G8" s="122" t="s">
        <v>79</v>
      </c>
      <c r="H8" s="122" t="s">
        <v>81</v>
      </c>
      <c r="I8" s="122" t="s">
        <v>79</v>
      </c>
    </row>
    <row r="9" spans="1:9" x14ac:dyDescent="0.25">
      <c r="A9" s="127"/>
      <c r="B9" s="128"/>
      <c r="C9" s="129"/>
      <c r="D9" s="129"/>
      <c r="E9" s="129"/>
      <c r="F9" s="129"/>
      <c r="G9" s="129"/>
      <c r="H9" s="129"/>
      <c r="I9" s="129"/>
    </row>
    <row r="10" spans="1:9" x14ac:dyDescent="0.25">
      <c r="A10" s="130" t="s">
        <v>113</v>
      </c>
      <c r="B10" s="131" t="s">
        <v>86</v>
      </c>
      <c r="C10" s="135">
        <f>'[20]FY25 Table'!$I$62</f>
        <v>236.38446052932412</v>
      </c>
      <c r="D10" s="123" t="str">
        <f t="shared" ref="D10:G22" si="0">"---"</f>
        <v>---</v>
      </c>
      <c r="E10" s="123" t="str">
        <f t="shared" si="0"/>
        <v>---</v>
      </c>
      <c r="F10" s="123" t="str">
        <f t="shared" si="0"/>
        <v>---</v>
      </c>
      <c r="G10" s="123" t="str">
        <f t="shared" si="0"/>
        <v>---</v>
      </c>
      <c r="H10" s="123">
        <f>'Cost Pool Data'!$I$12</f>
        <v>0.96403554000000002</v>
      </c>
      <c r="I10" s="123">
        <f t="shared" ref="I10:I21" si="1">C10/H10</f>
        <v>245.20305602978507</v>
      </c>
    </row>
    <row r="11" spans="1:9" x14ac:dyDescent="0.25">
      <c r="A11" s="130" t="s">
        <v>362</v>
      </c>
      <c r="B11" s="131" t="s">
        <v>86</v>
      </c>
      <c r="C11" s="135">
        <f>('[20]FY25 Table'!$F$59+'[20]FY25 Table'!$F$60)/('[20]FY25 Table'!$H$59+'[20]FY25 Table'!$H$60)</f>
        <v>183.94300578433436</v>
      </c>
      <c r="D11" s="123" t="str">
        <f t="shared" si="0"/>
        <v>---</v>
      </c>
      <c r="E11" s="123" t="str">
        <f t="shared" si="0"/>
        <v>---</v>
      </c>
      <c r="F11" s="123" t="str">
        <f t="shared" si="0"/>
        <v>---</v>
      </c>
      <c r="G11" s="123" t="str">
        <f t="shared" si="0"/>
        <v>---</v>
      </c>
      <c r="H11" s="123">
        <f>'Cost Pool Data'!$I$12</f>
        <v>0.96403554000000002</v>
      </c>
      <c r="I11" s="123">
        <f>C11/H11</f>
        <v>190.80521220652753</v>
      </c>
    </row>
    <row r="12" spans="1:9" x14ac:dyDescent="0.25">
      <c r="A12" s="130" t="s">
        <v>351</v>
      </c>
      <c r="B12" s="131" t="s">
        <v>86</v>
      </c>
      <c r="C12" s="135">
        <f>'[20]FY25 Table'!$I$11</f>
        <v>85.837148173784783</v>
      </c>
      <c r="D12" s="123" t="str">
        <f t="shared" si="0"/>
        <v>---</v>
      </c>
      <c r="E12" s="123" t="str">
        <f t="shared" si="0"/>
        <v>---</v>
      </c>
      <c r="F12" s="123" t="str">
        <f t="shared" si="0"/>
        <v>---</v>
      </c>
      <c r="G12" s="123" t="str">
        <f t="shared" si="0"/>
        <v>---</v>
      </c>
      <c r="H12" s="123">
        <f>'Cost Pool Data'!$I$20</f>
        <v>0.94974594999999995</v>
      </c>
      <c r="I12" s="123">
        <f t="shared" ref="I12:I13" si="2">C12/H12</f>
        <v>90.379062078427168</v>
      </c>
    </row>
    <row r="13" spans="1:9" x14ac:dyDescent="0.25">
      <c r="A13" s="130" t="s">
        <v>352</v>
      </c>
      <c r="B13" s="131" t="s">
        <v>86</v>
      </c>
      <c r="C13" s="135">
        <f>'[20]FY25 Table'!$I$12</f>
        <v>60.943313184596953</v>
      </c>
      <c r="D13" s="123" t="str">
        <f t="shared" si="0"/>
        <v>---</v>
      </c>
      <c r="E13" s="123" t="str">
        <f t="shared" si="0"/>
        <v>---</v>
      </c>
      <c r="F13" s="123" t="str">
        <f t="shared" si="0"/>
        <v>---</v>
      </c>
      <c r="G13" s="123" t="str">
        <f t="shared" si="0"/>
        <v>---</v>
      </c>
      <c r="H13" s="123">
        <f>'Cost Pool Data'!$I$20</f>
        <v>0.94974594999999995</v>
      </c>
      <c r="I13" s="123">
        <f t="shared" si="2"/>
        <v>64.168015862133402</v>
      </c>
    </row>
    <row r="14" spans="1:9" x14ac:dyDescent="0.25">
      <c r="A14" s="130" t="s">
        <v>201</v>
      </c>
      <c r="B14" s="131" t="s">
        <v>86</v>
      </c>
      <c r="C14" s="135">
        <f>'[20]FY25 Table'!$I$57</f>
        <v>46.663258890611651</v>
      </c>
      <c r="D14" s="123" t="str">
        <f t="shared" si="0"/>
        <v>---</v>
      </c>
      <c r="E14" s="123" t="str">
        <f t="shared" si="0"/>
        <v>---</v>
      </c>
      <c r="F14" s="123" t="str">
        <f t="shared" si="0"/>
        <v>---</v>
      </c>
      <c r="G14" s="123" t="str">
        <f t="shared" si="0"/>
        <v>---</v>
      </c>
      <c r="H14" s="123">
        <f>'Cost Pool Data'!$I$30</f>
        <v>0.94605620000000001</v>
      </c>
      <c r="I14" s="123">
        <f>C14/H14</f>
        <v>49.323981905738421</v>
      </c>
    </row>
    <row r="15" spans="1:9" x14ac:dyDescent="0.25">
      <c r="A15" s="130" t="s">
        <v>154</v>
      </c>
      <c r="B15" s="131" t="s">
        <v>86</v>
      </c>
      <c r="C15" s="135">
        <f>'[20]FY25 Table'!$I$57</f>
        <v>46.663258890611651</v>
      </c>
      <c r="D15" s="123" t="str">
        <f t="shared" si="0"/>
        <v>---</v>
      </c>
      <c r="E15" s="123" t="str">
        <f t="shared" si="0"/>
        <v>---</v>
      </c>
      <c r="F15" s="123" t="str">
        <f t="shared" si="0"/>
        <v>---</v>
      </c>
      <c r="G15" s="123" t="str">
        <f t="shared" si="0"/>
        <v>---</v>
      </c>
      <c r="H15" s="123">
        <f>'Cost Pool Data'!$I$16</f>
        <v>0.97225877999999999</v>
      </c>
      <c r="I15" s="123">
        <f t="shared" si="1"/>
        <v>47.994690148863093</v>
      </c>
    </row>
    <row r="16" spans="1:9" x14ac:dyDescent="0.25">
      <c r="A16" s="130" t="s">
        <v>141</v>
      </c>
      <c r="B16" s="131" t="s">
        <v>86</v>
      </c>
      <c r="C16" s="135">
        <f>'[20]FY25 Table'!$I$57</f>
        <v>46.663258890611651</v>
      </c>
      <c r="D16" s="123" t="str">
        <f t="shared" si="0"/>
        <v>---</v>
      </c>
      <c r="E16" s="123" t="str">
        <f t="shared" si="0"/>
        <v>---</v>
      </c>
      <c r="F16" s="123" t="str">
        <f t="shared" si="0"/>
        <v>---</v>
      </c>
      <c r="G16" s="123" t="str">
        <f t="shared" si="0"/>
        <v>---</v>
      </c>
      <c r="H16" s="123">
        <f>'Cost Pool Data'!$I$16</f>
        <v>0.97225877999999999</v>
      </c>
      <c r="I16" s="123">
        <f t="shared" si="1"/>
        <v>47.994690148863093</v>
      </c>
    </row>
    <row r="17" spans="1:9" x14ac:dyDescent="0.25">
      <c r="A17" s="124" t="s">
        <v>116</v>
      </c>
      <c r="B17" s="131" t="s">
        <v>131</v>
      </c>
      <c r="C17" s="135">
        <f>'[21]Table FY25'!$I$8</f>
        <v>392.67992073335415</v>
      </c>
      <c r="D17" s="123" t="str">
        <f t="shared" si="0"/>
        <v>---</v>
      </c>
      <c r="E17" s="123" t="str">
        <f t="shared" si="0"/>
        <v>---</v>
      </c>
      <c r="F17" s="123" t="str">
        <f t="shared" si="0"/>
        <v>---</v>
      </c>
      <c r="G17" s="123" t="str">
        <f t="shared" si="0"/>
        <v>---</v>
      </c>
      <c r="H17" s="123">
        <f>'Cost Pool Data'!$I$44</f>
        <v>0.9584975</v>
      </c>
      <c r="I17" s="123">
        <f t="shared" si="1"/>
        <v>409.68278032374019</v>
      </c>
    </row>
    <row r="18" spans="1:9" x14ac:dyDescent="0.25">
      <c r="A18" s="124" t="s">
        <v>117</v>
      </c>
      <c r="B18" s="131" t="s">
        <v>131</v>
      </c>
      <c r="C18" s="135">
        <f>'[21]Table FY25'!$I$9</f>
        <v>317.61233559757812</v>
      </c>
      <c r="D18" s="123" t="str">
        <f t="shared" si="0"/>
        <v>---</v>
      </c>
      <c r="E18" s="123" t="str">
        <f t="shared" si="0"/>
        <v>---</v>
      </c>
      <c r="F18" s="123" t="str">
        <f t="shared" si="0"/>
        <v>---</v>
      </c>
      <c r="G18" s="123" t="str">
        <f t="shared" si="0"/>
        <v>---</v>
      </c>
      <c r="H18" s="123">
        <f>'Cost Pool Data'!$I$44</f>
        <v>0.9584975</v>
      </c>
      <c r="I18" s="123">
        <f t="shared" si="1"/>
        <v>331.36480334855139</v>
      </c>
    </row>
    <row r="19" spans="1:9" x14ac:dyDescent="0.25">
      <c r="A19" s="124" t="s">
        <v>115</v>
      </c>
      <c r="B19" s="131" t="s">
        <v>131</v>
      </c>
      <c r="C19" s="135">
        <f>'[21]Table FY25'!$I$10</f>
        <v>2848.2562213136207</v>
      </c>
      <c r="D19" s="123" t="str">
        <f t="shared" si="0"/>
        <v>---</v>
      </c>
      <c r="E19" s="123" t="str">
        <f t="shared" si="0"/>
        <v>---</v>
      </c>
      <c r="F19" s="123" t="str">
        <f t="shared" si="0"/>
        <v>---</v>
      </c>
      <c r="G19" s="123" t="str">
        <f t="shared" si="0"/>
        <v>---</v>
      </c>
      <c r="H19" s="123">
        <f>'Cost Pool Data'!$I$46</f>
        <v>0.928342</v>
      </c>
      <c r="I19" s="123">
        <f t="shared" si="1"/>
        <v>3068.1109131264348</v>
      </c>
    </row>
    <row r="20" spans="1:9" x14ac:dyDescent="0.25">
      <c r="A20" s="130" t="s">
        <v>154</v>
      </c>
      <c r="B20" s="131" t="s">
        <v>131</v>
      </c>
      <c r="C20" s="135">
        <f>'[21]Table FY25'!$I$11</f>
        <v>48.365821921553106</v>
      </c>
      <c r="D20" s="123" t="str">
        <f t="shared" si="0"/>
        <v>---</v>
      </c>
      <c r="E20" s="123" t="str">
        <f t="shared" si="0"/>
        <v>---</v>
      </c>
      <c r="F20" s="123" t="str">
        <f t="shared" si="0"/>
        <v>---</v>
      </c>
      <c r="G20" s="123" t="str">
        <f t="shared" si="0"/>
        <v>---</v>
      </c>
      <c r="H20" s="123">
        <f>'Cost Pool Data'!$I$41</f>
        <v>0.91586805999999998</v>
      </c>
      <c r="I20" s="123">
        <f t="shared" si="1"/>
        <v>52.808722166327222</v>
      </c>
    </row>
    <row r="21" spans="1:9" ht="13.5" customHeight="1" x14ac:dyDescent="0.25">
      <c r="A21" t="s">
        <v>114</v>
      </c>
      <c r="B21" s="131" t="s">
        <v>131</v>
      </c>
      <c r="C21" s="135">
        <f>'[21]Table FY25'!$I$12</f>
        <v>368.91056676018411</v>
      </c>
      <c r="D21" s="123" t="str">
        <f t="shared" si="0"/>
        <v>---</v>
      </c>
      <c r="E21" s="123" t="str">
        <f t="shared" si="0"/>
        <v>---</v>
      </c>
      <c r="F21" s="123" t="str">
        <f t="shared" si="0"/>
        <v>---</v>
      </c>
      <c r="G21" s="123" t="str">
        <f t="shared" si="0"/>
        <v>---</v>
      </c>
      <c r="H21" s="123">
        <f>'Cost Pool Data'!$I$41</f>
        <v>0.91586805999999998</v>
      </c>
      <c r="I21" s="123">
        <f t="shared" si="1"/>
        <v>402.79881226580181</v>
      </c>
    </row>
    <row r="22" spans="1:9" s="142" customFormat="1" x14ac:dyDescent="0.25">
      <c r="A22" s="139" t="s">
        <v>135</v>
      </c>
      <c r="B22" s="140" t="s">
        <v>85</v>
      </c>
      <c r="C22" s="141" t="str">
        <f t="shared" ref="C22:D47" si="3">"---"</f>
        <v>---</v>
      </c>
      <c r="D22" s="141">
        <f>'[22]FY25 F4 Manual Productivity'!$D$6</f>
        <v>295.82991061998308</v>
      </c>
      <c r="E22" s="141" t="str">
        <f t="shared" si="0"/>
        <v>---</v>
      </c>
      <c r="F22" s="141" t="str">
        <f t="shared" si="0"/>
        <v>---</v>
      </c>
      <c r="G22" s="141" t="str">
        <f t="shared" si="0"/>
        <v>---</v>
      </c>
      <c r="H22" s="141">
        <f>'Cost Pool Data'!$I$57</f>
        <v>0.96152245999999997</v>
      </c>
      <c r="I22" s="141">
        <f>D22/H22</f>
        <v>307.66822713635111</v>
      </c>
    </row>
    <row r="23" spans="1:9" x14ac:dyDescent="0.25">
      <c r="A23" s="68" t="s">
        <v>127</v>
      </c>
      <c r="B23" s="1" t="s">
        <v>85</v>
      </c>
      <c r="C23" s="123" t="str">
        <f>"---"</f>
        <v>---</v>
      </c>
      <c r="D23" s="123" t="str">
        <f>"---"</f>
        <v>---</v>
      </c>
      <c r="E23" s="123">
        <f>'[23]Productivity Summary'!$E$7</f>
        <v>104.16917653916197</v>
      </c>
      <c r="F23" s="123">
        <f>'Cost Pool Data'!$J$48</f>
        <v>1.639965597331799</v>
      </c>
      <c r="G23" s="123">
        <f>E23/F23</f>
        <v>63.519123028338981</v>
      </c>
      <c r="H23" s="123">
        <f>'Cost Pool Data'!$I$48</f>
        <v>0.92642031000000002</v>
      </c>
      <c r="I23" s="123">
        <f>G23/H23</f>
        <v>68.564044141410264</v>
      </c>
    </row>
    <row r="24" spans="1:9" x14ac:dyDescent="0.25">
      <c r="A24" s="132" t="s">
        <v>132</v>
      </c>
      <c r="B24" s="1" t="s">
        <v>85</v>
      </c>
      <c r="C24" s="123" t="str">
        <f t="shared" si="3"/>
        <v>---</v>
      </c>
      <c r="D24" s="123" t="str">
        <f t="shared" si="3"/>
        <v>---</v>
      </c>
      <c r="E24" s="123">
        <f>'[23]Productivity Summary'!$E$8</f>
        <v>65.538638727300679</v>
      </c>
      <c r="F24" s="123">
        <f>'Cost Pool Data'!$J$48</f>
        <v>1.639965597331799</v>
      </c>
      <c r="G24" s="123">
        <f t="shared" ref="G24:G46" si="4">E24/F24</f>
        <v>39.963422911999572</v>
      </c>
      <c r="H24" s="123">
        <f>'Cost Pool Data'!$I$48</f>
        <v>0.92642031000000002</v>
      </c>
      <c r="I24" s="123">
        <f t="shared" ref="I24:I46" si="5">G24/H24</f>
        <v>43.137464151665213</v>
      </c>
    </row>
    <row r="25" spans="1:9" x14ac:dyDescent="0.25">
      <c r="A25" s="68" t="s">
        <v>133</v>
      </c>
      <c r="B25" s="1" t="s">
        <v>85</v>
      </c>
      <c r="C25" s="123" t="str">
        <f t="shared" si="3"/>
        <v>---</v>
      </c>
      <c r="D25" s="123" t="str">
        <f t="shared" si="3"/>
        <v>---</v>
      </c>
      <c r="E25" s="123">
        <f>'[23]Productivity Summary'!$E$9</f>
        <v>91.663151541453388</v>
      </c>
      <c r="F25" s="123">
        <f>'Cost Pool Data'!$J$48</f>
        <v>1.639965597331799</v>
      </c>
      <c r="G25" s="123">
        <f t="shared" si="4"/>
        <v>55.893338061839863</v>
      </c>
      <c r="H25" s="123">
        <f>'Cost Pool Data'!$I$48</f>
        <v>0.92642031000000002</v>
      </c>
      <c r="I25" s="123">
        <f t="shared" si="5"/>
        <v>60.332591436644847</v>
      </c>
    </row>
    <row r="26" spans="1:9" x14ac:dyDescent="0.25">
      <c r="A26" s="68" t="s">
        <v>134</v>
      </c>
      <c r="B26" s="1" t="s">
        <v>85</v>
      </c>
      <c r="C26" s="123" t="str">
        <f t="shared" si="3"/>
        <v>---</v>
      </c>
      <c r="D26" s="123" t="str">
        <f t="shared" si="3"/>
        <v>---</v>
      </c>
      <c r="E26" s="123">
        <f>'[23]Productivity Summary'!$E$10</f>
        <v>73.807992575804732</v>
      </c>
      <c r="F26" s="123">
        <f>'Cost Pool Data'!$J$48</f>
        <v>1.639965597331799</v>
      </c>
      <c r="G26" s="123">
        <f t="shared" si="4"/>
        <v>45.005817619521594</v>
      </c>
      <c r="H26" s="123">
        <f>'Cost Pool Data'!$I$48</f>
        <v>0.92642031000000002</v>
      </c>
      <c r="I26" s="123">
        <f t="shared" si="5"/>
        <v>48.58034429266948</v>
      </c>
    </row>
    <row r="27" spans="1:9" x14ac:dyDescent="0.25">
      <c r="A27" s="68" t="s">
        <v>133</v>
      </c>
      <c r="B27" s="1" t="s">
        <v>86</v>
      </c>
      <c r="C27" s="123" t="str">
        <f t="shared" si="3"/>
        <v>---</v>
      </c>
      <c r="D27" s="123" t="str">
        <f t="shared" si="3"/>
        <v>---</v>
      </c>
      <c r="E27" s="123">
        <f>'[23]Productivity Summary'!$E$12</f>
        <v>108.68526730873657</v>
      </c>
      <c r="F27" s="123">
        <f>'Cost Pool Data'!$J$27</f>
        <v>1.4478254824587882</v>
      </c>
      <c r="G27" s="123">
        <f t="shared" si="4"/>
        <v>75.067933687809131</v>
      </c>
      <c r="H27" s="123">
        <f>'Cost Pool Data'!$I$27</f>
        <v>0.91687624999999995</v>
      </c>
      <c r="I27" s="123">
        <f t="shared" si="5"/>
        <v>81.873572020007202</v>
      </c>
    </row>
    <row r="28" spans="1:9" x14ac:dyDescent="0.25">
      <c r="A28" s="68" t="s">
        <v>134</v>
      </c>
      <c r="B28" s="1" t="s">
        <v>86</v>
      </c>
      <c r="C28" s="123" t="str">
        <f t="shared" si="3"/>
        <v>---</v>
      </c>
      <c r="D28" s="123" t="str">
        <f t="shared" si="3"/>
        <v>---</v>
      </c>
      <c r="E28" s="123">
        <f>'[23]Productivity Summary'!$E$13</f>
        <v>77.202048819228565</v>
      </c>
      <c r="F28" s="123">
        <f>'Cost Pool Data'!$J$27</f>
        <v>1.4478254824587882</v>
      </c>
      <c r="G28" s="123">
        <f t="shared" si="4"/>
        <v>53.322758685058645</v>
      </c>
      <c r="H28" s="123">
        <f>'Cost Pool Data'!$I$27</f>
        <v>0.91687624999999995</v>
      </c>
      <c r="I28" s="123">
        <f t="shared" si="5"/>
        <v>58.156985400220201</v>
      </c>
    </row>
    <row r="29" spans="1:9" x14ac:dyDescent="0.25">
      <c r="A29" s="68" t="s">
        <v>136</v>
      </c>
      <c r="B29" s="1" t="s">
        <v>86</v>
      </c>
      <c r="C29" s="123" t="str">
        <f t="shared" si="3"/>
        <v>---</v>
      </c>
      <c r="D29" s="123" t="str">
        <f t="shared" si="3"/>
        <v>---</v>
      </c>
      <c r="E29" s="123">
        <f>'[23]Productivity Summary'!$E$14</f>
        <v>67.388556642500745</v>
      </c>
      <c r="F29" s="123">
        <f>'Cost Pool Data'!$J$27</f>
        <v>1.4478254824587882</v>
      </c>
      <c r="G29" s="123">
        <f t="shared" si="4"/>
        <v>46.544668165431972</v>
      </c>
      <c r="H29" s="123">
        <f>'Cost Pool Data'!$I$27</f>
        <v>0.91687624999999995</v>
      </c>
      <c r="I29" s="123">
        <f t="shared" si="5"/>
        <v>50.764395048330648</v>
      </c>
    </row>
    <row r="30" spans="1:9" x14ac:dyDescent="0.25">
      <c r="A30" s="68" t="s">
        <v>137</v>
      </c>
      <c r="B30" s="1" t="s">
        <v>86</v>
      </c>
      <c r="C30" s="123" t="str">
        <f t="shared" si="3"/>
        <v>---</v>
      </c>
      <c r="D30" s="123" t="str">
        <f t="shared" si="3"/>
        <v>---</v>
      </c>
      <c r="E30" s="123">
        <f>'[23]Productivity Summary'!$E$15</f>
        <v>52.965330313097581</v>
      </c>
      <c r="F30" s="123">
        <f>'Cost Pool Data'!$J$27</f>
        <v>1.4478254824587882</v>
      </c>
      <c r="G30" s="123">
        <f t="shared" si="4"/>
        <v>36.582675850647782</v>
      </c>
      <c r="H30" s="123">
        <f>'Cost Pool Data'!$I$27</f>
        <v>0.91687624999999995</v>
      </c>
      <c r="I30" s="123">
        <f t="shared" si="5"/>
        <v>39.899251235537818</v>
      </c>
    </row>
    <row r="31" spans="1:9" x14ac:dyDescent="0.25">
      <c r="A31" s="68" t="s">
        <v>127</v>
      </c>
      <c r="B31" s="1" t="s">
        <v>86</v>
      </c>
      <c r="C31" s="123" t="str">
        <f t="shared" si="3"/>
        <v>---</v>
      </c>
      <c r="D31" s="123" t="str">
        <f t="shared" si="3"/>
        <v>---</v>
      </c>
      <c r="E31" s="123">
        <f>'[23]Productivity Summary'!$E$16</f>
        <v>120.89541997432931</v>
      </c>
      <c r="F31" s="123">
        <f>'Cost Pool Data'!$J$27</f>
        <v>1.4478254824587882</v>
      </c>
      <c r="G31" s="123">
        <f t="shared" si="4"/>
        <v>83.501375986985067</v>
      </c>
      <c r="H31" s="123">
        <f>'Cost Pool Data'!$I$27</f>
        <v>0.91687624999999995</v>
      </c>
      <c r="I31" s="123">
        <f t="shared" si="5"/>
        <v>91.071587890934111</v>
      </c>
    </row>
    <row r="32" spans="1:9" x14ac:dyDescent="0.25">
      <c r="A32" s="68" t="s">
        <v>132</v>
      </c>
      <c r="B32" s="1" t="s">
        <v>86</v>
      </c>
      <c r="C32" s="123" t="str">
        <f t="shared" si="3"/>
        <v>---</v>
      </c>
      <c r="D32" s="123" t="str">
        <f t="shared" si="3"/>
        <v>---</v>
      </c>
      <c r="E32" s="123">
        <f>'[23]Productivity Summary'!$E$17</f>
        <v>81.943083767101797</v>
      </c>
      <c r="F32" s="123">
        <f>'Cost Pool Data'!$J$27</f>
        <v>1.4478254824587882</v>
      </c>
      <c r="G32" s="123">
        <f t="shared" si="4"/>
        <v>56.597348755003885</v>
      </c>
      <c r="H32" s="123">
        <f>'Cost Pool Data'!$I$27</f>
        <v>0.91687624999999995</v>
      </c>
      <c r="I32" s="123">
        <f t="shared" si="5"/>
        <v>61.728448910094343</v>
      </c>
    </row>
    <row r="33" spans="1:9" x14ac:dyDescent="0.25">
      <c r="A33" s="68" t="s">
        <v>133</v>
      </c>
      <c r="B33" s="97" t="s">
        <v>244</v>
      </c>
      <c r="C33" s="123" t="str">
        <f t="shared" si="3"/>
        <v>---</v>
      </c>
      <c r="D33" s="123" t="str">
        <f t="shared" si="3"/>
        <v>---</v>
      </c>
      <c r="E33" s="123">
        <f>'[23]Productivity Summary'!$E$18</f>
        <v>99.080106636178257</v>
      </c>
      <c r="F33" s="123">
        <f>'Cost Pool Data'!$J$27</f>
        <v>1.4478254824587882</v>
      </c>
      <c r="G33" s="123">
        <f t="shared" ref="G33:G36" si="6">E33/F33</f>
        <v>68.433735858768145</v>
      </c>
      <c r="H33" s="123">
        <f>'Cost Pool Data'!$I$27</f>
        <v>0.91687624999999995</v>
      </c>
      <c r="I33" s="123">
        <f t="shared" ref="I33:I36" si="7">G33/H33</f>
        <v>74.637919630667881</v>
      </c>
    </row>
    <row r="34" spans="1:9" x14ac:dyDescent="0.25">
      <c r="A34" s="68" t="s">
        <v>134</v>
      </c>
      <c r="B34" s="97" t="s">
        <v>244</v>
      </c>
      <c r="C34" s="123" t="str">
        <f t="shared" si="3"/>
        <v>---</v>
      </c>
      <c r="D34" s="123" t="str">
        <f t="shared" si="3"/>
        <v>---</v>
      </c>
      <c r="E34" s="123">
        <f>'[23]Productivity Summary'!$E$19</f>
        <v>78.221149993452627</v>
      </c>
      <c r="F34" s="123">
        <f>'Cost Pool Data'!$J$27</f>
        <v>1.4478254824587882</v>
      </c>
      <c r="G34" s="123">
        <f t="shared" si="6"/>
        <v>54.02664267285347</v>
      </c>
      <c r="H34" s="123">
        <f>'Cost Pool Data'!$I$27</f>
        <v>0.91687624999999995</v>
      </c>
      <c r="I34" s="123">
        <f t="shared" si="7"/>
        <v>58.924683317790674</v>
      </c>
    </row>
    <row r="35" spans="1:9" x14ac:dyDescent="0.25">
      <c r="A35" s="68" t="s">
        <v>127</v>
      </c>
      <c r="B35" s="97" t="s">
        <v>244</v>
      </c>
      <c r="C35" s="123" t="str">
        <f t="shared" si="3"/>
        <v>---</v>
      </c>
      <c r="D35" s="123" t="str">
        <f t="shared" si="3"/>
        <v>---</v>
      </c>
      <c r="E35" s="123">
        <f>'[23]Productivity Summary'!$E$20</f>
        <v>108.93753679298504</v>
      </c>
      <c r="F35" s="123">
        <f>'Cost Pool Data'!$J$27</f>
        <v>1.4478254824587882</v>
      </c>
      <c r="G35" s="123">
        <f t="shared" si="6"/>
        <v>75.242173944873855</v>
      </c>
      <c r="H35" s="123">
        <f>'Cost Pool Data'!$I$27</f>
        <v>0.91687624999999995</v>
      </c>
      <c r="I35" s="123">
        <f t="shared" si="7"/>
        <v>82.063608851111439</v>
      </c>
    </row>
    <row r="36" spans="1:9" x14ac:dyDescent="0.25">
      <c r="A36" s="68" t="s">
        <v>132</v>
      </c>
      <c r="B36" s="97" t="s">
        <v>244</v>
      </c>
      <c r="C36" s="123" t="str">
        <f t="shared" si="3"/>
        <v>---</v>
      </c>
      <c r="D36" s="123" t="str">
        <f t="shared" si="3"/>
        <v>---</v>
      </c>
      <c r="E36" s="123">
        <f>'[23]Productivity Summary'!$E$21</f>
        <v>76.602996744213343</v>
      </c>
      <c r="F36" s="123">
        <f>'Cost Pool Data'!$J$27</f>
        <v>1.4478254824587882</v>
      </c>
      <c r="G36" s="123">
        <f t="shared" si="6"/>
        <v>52.90899882085327</v>
      </c>
      <c r="H36" s="123">
        <f>'Cost Pool Data'!$I$27</f>
        <v>0.91687624999999995</v>
      </c>
      <c r="I36" s="123">
        <f t="shared" si="7"/>
        <v>57.705714179916072</v>
      </c>
    </row>
    <row r="37" spans="1:9" x14ac:dyDescent="0.25">
      <c r="A37" s="68" t="s">
        <v>133</v>
      </c>
      <c r="B37" s="1" t="s">
        <v>131</v>
      </c>
      <c r="C37" s="123" t="str">
        <f t="shared" si="3"/>
        <v>---</v>
      </c>
      <c r="D37" s="123" t="str">
        <f t="shared" si="3"/>
        <v>---</v>
      </c>
      <c r="E37" s="123">
        <f>'[23]Productivity Summary'!$E$22</f>
        <v>69.894969745842175</v>
      </c>
      <c r="F37" s="123">
        <f>'Cost Pool Data'!$J$43</f>
        <v>1.4041375843201531</v>
      </c>
      <c r="G37" s="123">
        <f t="shared" si="4"/>
        <v>49.777864025827284</v>
      </c>
      <c r="H37" s="123">
        <f>'Cost Pool Data'!$I$43</f>
        <v>0.88894222000000001</v>
      </c>
      <c r="I37" s="123">
        <f t="shared" si="5"/>
        <v>55.996737364805647</v>
      </c>
    </row>
    <row r="38" spans="1:9" x14ac:dyDescent="0.25">
      <c r="A38" s="68" t="s">
        <v>134</v>
      </c>
      <c r="B38" s="1" t="s">
        <v>131</v>
      </c>
      <c r="C38" s="123" t="str">
        <f t="shared" si="3"/>
        <v>---</v>
      </c>
      <c r="D38" s="123" t="str">
        <f t="shared" si="3"/>
        <v>---</v>
      </c>
      <c r="E38" s="123">
        <f>'[23]Productivity Summary'!$E$23</f>
        <v>58.010029294804525</v>
      </c>
      <c r="F38" s="123">
        <f>'Cost Pool Data'!$J$43</f>
        <v>1.4041375843201531</v>
      </c>
      <c r="G38" s="123">
        <f t="shared" si="4"/>
        <v>41.313636172548911</v>
      </c>
      <c r="H38" s="123">
        <f>'Cost Pool Data'!$I$43</f>
        <v>0.88894222000000001</v>
      </c>
      <c r="I38" s="123">
        <f t="shared" si="5"/>
        <v>46.475052307166727</v>
      </c>
    </row>
    <row r="39" spans="1:9" x14ac:dyDescent="0.25">
      <c r="A39" s="68" t="s">
        <v>126</v>
      </c>
      <c r="B39" s="1" t="s">
        <v>131</v>
      </c>
      <c r="C39" s="123" t="str">
        <f t="shared" si="3"/>
        <v>---</v>
      </c>
      <c r="D39" s="123" t="str">
        <f t="shared" si="3"/>
        <v>---</v>
      </c>
      <c r="E39" s="123">
        <f>'[23]Productivity Summary'!$E$24</f>
        <v>66.337248698610736</v>
      </c>
      <c r="F39" s="123">
        <f>'Cost Pool Data'!$J$43</f>
        <v>1.4041375843201531</v>
      </c>
      <c r="G39" s="123">
        <f t="shared" si="4"/>
        <v>47.244122968711437</v>
      </c>
      <c r="H39" s="123">
        <f>'Cost Pool Data'!$I$43</f>
        <v>0.88894222000000001</v>
      </c>
      <c r="I39" s="123">
        <f t="shared" si="5"/>
        <v>53.146449685685347</v>
      </c>
    </row>
    <row r="40" spans="1:9" x14ac:dyDescent="0.25">
      <c r="A40" s="68" t="s">
        <v>138</v>
      </c>
      <c r="B40" s="1" t="s">
        <v>131</v>
      </c>
      <c r="C40" s="123" t="str">
        <f t="shared" si="3"/>
        <v>---</v>
      </c>
      <c r="D40" s="123" t="str">
        <f t="shared" si="3"/>
        <v>---</v>
      </c>
      <c r="E40" s="123">
        <f>'[23]Productivity Summary'!$E$25</f>
        <v>32.622170469924953</v>
      </c>
      <c r="F40" s="123">
        <f>'Cost Pool Data'!$J$42</f>
        <v>1.5517735475278043</v>
      </c>
      <c r="G40" s="123">
        <f t="shared" si="4"/>
        <v>21.022507131853551</v>
      </c>
      <c r="H40" s="123">
        <f>'Cost Pool Data'!$I$42</f>
        <v>0.91140966000000001</v>
      </c>
      <c r="I40" s="123">
        <f t="shared" si="5"/>
        <v>23.065925296264197</v>
      </c>
    </row>
    <row r="41" spans="1:9" x14ac:dyDescent="0.25">
      <c r="A41" s="68" t="s">
        <v>139</v>
      </c>
      <c r="B41" s="1" t="s">
        <v>131</v>
      </c>
      <c r="C41" s="123" t="str">
        <f t="shared" si="3"/>
        <v>---</v>
      </c>
      <c r="D41" s="123" t="str">
        <f t="shared" si="3"/>
        <v>---</v>
      </c>
      <c r="E41" s="123">
        <f>'[23]Productivity Summary'!$E$26</f>
        <v>23.313311532462347</v>
      </c>
      <c r="F41" s="123">
        <f>'Cost Pool Data'!$J$42</f>
        <v>1.5517735475278043</v>
      </c>
      <c r="G41" s="123">
        <f t="shared" si="4"/>
        <v>15.023655719356579</v>
      </c>
      <c r="H41" s="123">
        <f>'Cost Pool Data'!$I$42</f>
        <v>0.91140966000000001</v>
      </c>
      <c r="I41" s="123">
        <f t="shared" si="5"/>
        <v>16.483976831402664</v>
      </c>
    </row>
    <row r="42" spans="1:9" x14ac:dyDescent="0.25">
      <c r="A42" s="68" t="s">
        <v>140</v>
      </c>
      <c r="B42" s="1" t="s">
        <v>131</v>
      </c>
      <c r="C42" s="123" t="str">
        <f t="shared" si="3"/>
        <v>---</v>
      </c>
      <c r="D42" s="123" t="str">
        <f t="shared" si="3"/>
        <v>---</v>
      </c>
      <c r="E42" s="123">
        <f>'[23]Productivity Summary'!$E$27</f>
        <v>23.543443131311111</v>
      </c>
      <c r="F42" s="123">
        <f>'Cost Pool Data'!$J$42</f>
        <v>1.5517735475278043</v>
      </c>
      <c r="G42" s="123">
        <f t="shared" si="4"/>
        <v>15.171958027522225</v>
      </c>
      <c r="H42" s="123">
        <f>'Cost Pool Data'!$I$42</f>
        <v>0.91140966000000001</v>
      </c>
      <c r="I42" s="123">
        <f t="shared" si="5"/>
        <v>16.646694338879648</v>
      </c>
    </row>
    <row r="43" spans="1:9" x14ac:dyDescent="0.25">
      <c r="A43" s="132" t="s">
        <v>355</v>
      </c>
      <c r="B43" s="1" t="s">
        <v>131</v>
      </c>
      <c r="C43" s="123" t="str">
        <f t="shared" si="3"/>
        <v>---</v>
      </c>
      <c r="D43" s="123" t="str">
        <f t="shared" si="3"/>
        <v>---</v>
      </c>
      <c r="E43" s="123">
        <f>'[23]Productivity Summary'!$E$28</f>
        <v>207.56223149354486</v>
      </c>
      <c r="F43" s="123">
        <f>'Cost Pool Data'!$J$42</f>
        <v>1.5517735475278043</v>
      </c>
      <c r="G43" s="123">
        <f t="shared" si="4"/>
        <v>133.75806787286777</v>
      </c>
      <c r="H43" s="123">
        <f>'Cost Pool Data'!$I$42</f>
        <v>0.91140966000000001</v>
      </c>
      <c r="I43" s="123">
        <f t="shared" si="5"/>
        <v>146.75954594651517</v>
      </c>
    </row>
    <row r="44" spans="1:9" x14ac:dyDescent="0.25">
      <c r="A44" s="68" t="s">
        <v>127</v>
      </c>
      <c r="B44" s="1" t="s">
        <v>131</v>
      </c>
      <c r="C44" s="123" t="str">
        <f t="shared" si="3"/>
        <v>---</v>
      </c>
      <c r="D44" s="123" t="str">
        <f t="shared" si="3"/>
        <v>---</v>
      </c>
      <c r="E44" s="123">
        <f>'[23]Productivity Summary'!$E$29</f>
        <v>88.133732877426098</v>
      </c>
      <c r="F44" s="123">
        <f>'Cost Pool Data'!$J$43</f>
        <v>1.4041375843201531</v>
      </c>
      <c r="G44" s="123">
        <f t="shared" si="4"/>
        <v>62.767163176604349</v>
      </c>
      <c r="H44" s="123">
        <f>'Cost Pool Data'!$I$43</f>
        <v>0.88894222000000001</v>
      </c>
      <c r="I44" s="123">
        <f t="shared" si="5"/>
        <v>70.608822220868689</v>
      </c>
    </row>
    <row r="45" spans="1:9" x14ac:dyDescent="0.25">
      <c r="A45" s="68" t="s">
        <v>132</v>
      </c>
      <c r="B45" s="1" t="s">
        <v>131</v>
      </c>
      <c r="C45" s="123" t="str">
        <f t="shared" si="3"/>
        <v>---</v>
      </c>
      <c r="D45" s="123" t="str">
        <f t="shared" si="3"/>
        <v>---</v>
      </c>
      <c r="E45" s="123">
        <f>'[23]Productivity Summary'!$E$30</f>
        <v>69.377615729538263</v>
      </c>
      <c r="F45" s="123">
        <f>'Cost Pool Data'!$J$43</f>
        <v>1.4041375843201531</v>
      </c>
      <c r="G45" s="123">
        <f t="shared" si="4"/>
        <v>49.409414365280377</v>
      </c>
      <c r="H45" s="123">
        <f>'Cost Pool Data'!$I$43</f>
        <v>0.88894222000000001</v>
      </c>
      <c r="I45" s="123">
        <f t="shared" si="5"/>
        <v>55.582256364514194</v>
      </c>
    </row>
    <row r="46" spans="1:9" x14ac:dyDescent="0.25">
      <c r="A46" s="68" t="s">
        <v>125</v>
      </c>
      <c r="B46" s="1" t="s">
        <v>131</v>
      </c>
      <c r="C46" s="123" t="str">
        <f t="shared" si="3"/>
        <v>---</v>
      </c>
      <c r="D46" s="123" t="str">
        <f t="shared" si="3"/>
        <v>---</v>
      </c>
      <c r="E46" s="123">
        <f>'[23]Productivity Summary'!$E$31</f>
        <v>25.976475512547825</v>
      </c>
      <c r="F46" s="123">
        <f>'Cost Pool Data'!$J$43</f>
        <v>1.4041375843201531</v>
      </c>
      <c r="G46" s="123">
        <f t="shared" si="4"/>
        <v>18.499950291641085</v>
      </c>
      <c r="H46" s="123">
        <f>'Cost Pool Data'!$I$43</f>
        <v>0.88894222000000001</v>
      </c>
      <c r="I46" s="123">
        <f t="shared" si="5"/>
        <v>20.811195458396703</v>
      </c>
    </row>
    <row r="47" spans="1:9" x14ac:dyDescent="0.25">
      <c r="A47" s="68" t="s">
        <v>353</v>
      </c>
      <c r="B47" s="97" t="s">
        <v>131</v>
      </c>
      <c r="C47" s="123" t="str">
        <f t="shared" si="3"/>
        <v>---</v>
      </c>
      <c r="D47" s="123" t="str">
        <f t="shared" si="3"/>
        <v>---</v>
      </c>
      <c r="E47" s="123">
        <f>'[23]Productivity Summary'!$E$32</f>
        <v>313.09993840015119</v>
      </c>
      <c r="F47" s="123">
        <f>'Cost Pool Data'!$J$42</f>
        <v>1.5517735475278043</v>
      </c>
      <c r="G47" s="123">
        <f t="shared" ref="G47" si="8">E47/F47</f>
        <v>201.76909117890551</v>
      </c>
      <c r="H47" s="123">
        <f>'Cost Pool Data'!$I$42</f>
        <v>0.91140966000000001</v>
      </c>
      <c r="I47" s="123">
        <f t="shared" ref="I47" si="9">G47/H47</f>
        <v>221.38133929687064</v>
      </c>
    </row>
    <row r="50" spans="1:9" x14ac:dyDescent="0.25">
      <c r="A50" s="133" t="s">
        <v>259</v>
      </c>
    </row>
    <row r="51" spans="1:9" x14ac:dyDescent="0.25">
      <c r="A51" s="125" t="s">
        <v>487</v>
      </c>
    </row>
    <row r="52" spans="1:9" x14ac:dyDescent="0.25">
      <c r="A52" s="125" t="s">
        <v>463</v>
      </c>
    </row>
    <row r="53" spans="1:9" x14ac:dyDescent="0.25">
      <c r="A53" s="125" t="s">
        <v>464</v>
      </c>
    </row>
    <row r="54" spans="1:9" x14ac:dyDescent="0.25">
      <c r="A54" s="125" t="s">
        <v>265</v>
      </c>
    </row>
    <row r="55" spans="1:9" x14ac:dyDescent="0.25">
      <c r="A55" s="125" t="s">
        <v>465</v>
      </c>
    </row>
    <row r="56" spans="1:9" x14ac:dyDescent="0.25">
      <c r="A56" s="125" t="s">
        <v>462</v>
      </c>
      <c r="B56" s="124"/>
      <c r="C56" s="124"/>
      <c r="D56" s="124"/>
      <c r="E56" s="124"/>
      <c r="F56" s="124"/>
      <c r="G56" s="124"/>
      <c r="H56" s="124"/>
      <c r="I56" s="124"/>
    </row>
    <row r="57" spans="1:9" x14ac:dyDescent="0.25">
      <c r="A57" s="125" t="s">
        <v>467</v>
      </c>
    </row>
  </sheetData>
  <phoneticPr fontId="3" type="noConversion"/>
  <printOptions horizontalCentered="1"/>
  <pageMargins left="0.75" right="0.75" top="1" bottom="1" header="0.5" footer="0.5"/>
  <pageSetup scale="65" orientation="portrait" r:id="rId1"/>
  <headerFooter alignWithMargins="0">
    <oddHeader>&amp;RPage 5 of 50</oddHeader>
    <oddFooter>&amp;R&amp;F</oddFooter>
  </headerFooter>
  <ignoredErrors>
    <ignoredError sqref="H37:H47 H22:H26 H33:H36 H27:H32" formula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7">
    <pageSetUpPr fitToPage="1"/>
  </sheetPr>
  <dimension ref="A1:D16"/>
  <sheetViews>
    <sheetView zoomScale="75" workbookViewId="0">
      <selection activeCell="B9" sqref="B9"/>
    </sheetView>
  </sheetViews>
  <sheetFormatPr defaultColWidth="8.6640625" defaultRowHeight="13.2" x14ac:dyDescent="0.25"/>
  <cols>
    <col min="1" max="1" width="35.6640625" customWidth="1"/>
    <col min="2" max="2" width="10.6640625" style="1" customWidth="1"/>
    <col min="3" max="3" width="10.6640625" style="2" customWidth="1"/>
    <col min="4" max="4" width="10.5546875" style="65" customWidth="1"/>
  </cols>
  <sheetData>
    <row r="1" spans="1:3" ht="15.6" x14ac:dyDescent="0.3">
      <c r="A1" s="5" t="s">
        <v>379</v>
      </c>
    </row>
    <row r="3" spans="1:3" x14ac:dyDescent="0.25">
      <c r="B3" s="3" t="s">
        <v>107</v>
      </c>
      <c r="C3" s="50" t="s">
        <v>108</v>
      </c>
    </row>
    <row r="5" spans="1:3" x14ac:dyDescent="0.25">
      <c r="A5" s="6" t="s">
        <v>75</v>
      </c>
      <c r="B5" s="3" t="s">
        <v>118</v>
      </c>
      <c r="C5" s="50" t="s">
        <v>118</v>
      </c>
    </row>
    <row r="7" spans="1:3" x14ac:dyDescent="0.25">
      <c r="A7" t="s">
        <v>119</v>
      </c>
      <c r="B7" s="2">
        <f>'[24]Disaggregated wage rates'!$C$8</f>
        <v>50.10717457546064</v>
      </c>
    </row>
    <row r="9" spans="1:3" x14ac:dyDescent="0.25">
      <c r="A9" t="s">
        <v>120</v>
      </c>
      <c r="B9" s="4">
        <f>'[24]Premium Pay Fctrs'!$D$22</f>
        <v>0.98098316405724495</v>
      </c>
    </row>
    <row r="11" spans="1:3" x14ac:dyDescent="0.25">
      <c r="A11" t="s">
        <v>153</v>
      </c>
      <c r="B11" s="2"/>
      <c r="C11" s="2">
        <f>B7*B9</f>
        <v>49.154294657004115</v>
      </c>
    </row>
    <row r="12" spans="1:3" x14ac:dyDescent="0.25">
      <c r="B12" s="2"/>
    </row>
    <row r="14" spans="1:3" x14ac:dyDescent="0.25">
      <c r="A14" s="29" t="s">
        <v>259</v>
      </c>
    </row>
    <row r="15" spans="1:3" x14ac:dyDescent="0.25">
      <c r="A15" s="6" t="s">
        <v>475</v>
      </c>
    </row>
    <row r="16" spans="1:3" x14ac:dyDescent="0.25">
      <c r="A16" s="6" t="s">
        <v>278</v>
      </c>
    </row>
  </sheetData>
  <phoneticPr fontId="3" type="noConversion"/>
  <printOptions horizontalCentered="1"/>
  <pageMargins left="0.75" right="0.75" top="1" bottom="1" header="0.5" footer="0.5"/>
  <pageSetup orientation="portrait" r:id="rId1"/>
  <headerFooter alignWithMargins="0">
    <oddHeader>&amp;RPage 6 of 50</oddHeader>
    <oddFooter>&amp;R&amp;F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8">
    <pageSetUpPr fitToPage="1"/>
  </sheetPr>
  <dimension ref="A1:I64"/>
  <sheetViews>
    <sheetView topLeftCell="A3" zoomScale="75" workbookViewId="0">
      <selection activeCell="Y22" sqref="Y22"/>
    </sheetView>
  </sheetViews>
  <sheetFormatPr defaultColWidth="9.109375" defaultRowHeight="13.2" x14ac:dyDescent="0.25"/>
  <cols>
    <col min="1" max="1" width="25.6640625" customWidth="1"/>
    <col min="2" max="2" width="10.6640625" style="1" customWidth="1"/>
    <col min="3" max="7" width="15.6640625" style="33" customWidth="1"/>
    <col min="8" max="8" width="2.6640625" style="39" customWidth="1"/>
    <col min="9" max="9" width="15.6640625" style="40" customWidth="1"/>
  </cols>
  <sheetData>
    <row r="1" spans="1:9" ht="15.6" x14ac:dyDescent="0.3">
      <c r="A1" s="5" t="s">
        <v>380</v>
      </c>
    </row>
    <row r="4" spans="1:9" x14ac:dyDescent="0.25">
      <c r="C4" s="31" t="s">
        <v>107</v>
      </c>
      <c r="D4" s="31" t="s">
        <v>108</v>
      </c>
      <c r="E4" s="31" t="s">
        <v>109</v>
      </c>
      <c r="F4" s="31" t="s">
        <v>112</v>
      </c>
      <c r="G4" s="31" t="s">
        <v>156</v>
      </c>
      <c r="H4" s="31"/>
      <c r="I4" s="8" t="s">
        <v>157</v>
      </c>
    </row>
    <row r="5" spans="1:9" x14ac:dyDescent="0.25">
      <c r="A5" s="6" t="s">
        <v>369</v>
      </c>
      <c r="B5" s="3" t="s">
        <v>12</v>
      </c>
      <c r="C5" s="31" t="s">
        <v>122</v>
      </c>
      <c r="D5" s="31" t="s">
        <v>208</v>
      </c>
      <c r="E5" s="31" t="s">
        <v>209</v>
      </c>
      <c r="F5" s="31" t="s">
        <v>98</v>
      </c>
      <c r="G5" s="31" t="s">
        <v>7</v>
      </c>
      <c r="H5" s="41"/>
      <c r="I5" s="8" t="s">
        <v>95</v>
      </c>
    </row>
    <row r="6" spans="1:9" x14ac:dyDescent="0.25">
      <c r="A6" s="6" t="s">
        <v>0</v>
      </c>
      <c r="B6" s="3" t="s">
        <v>13</v>
      </c>
      <c r="C6" s="31" t="s">
        <v>18</v>
      </c>
      <c r="D6" s="31" t="s">
        <v>18</v>
      </c>
      <c r="E6" s="31" t="s">
        <v>18</v>
      </c>
      <c r="F6" s="31" t="s">
        <v>18</v>
      </c>
      <c r="G6" s="31" t="s">
        <v>18</v>
      </c>
      <c r="H6" s="41"/>
      <c r="I6" s="8" t="s">
        <v>98</v>
      </c>
    </row>
    <row r="8" spans="1:9" x14ac:dyDescent="0.25">
      <c r="A8" t="s">
        <v>129</v>
      </c>
      <c r="B8" s="1" t="s">
        <v>14</v>
      </c>
      <c r="C8" s="42">
        <f>'[18]Arrival Profile Summary'!$C$36</f>
        <v>2.6058631921824105E-2</v>
      </c>
      <c r="D8" s="42">
        <f>'[18]Arrival Profile Summary'!$D$36</f>
        <v>0.97394136807817588</v>
      </c>
      <c r="E8" s="42">
        <f>'[18]Arrival Profile Summary'!$E$36</f>
        <v>0</v>
      </c>
      <c r="F8" s="42">
        <f>'[18]Arrival Profile Summary'!$F$36</f>
        <v>0</v>
      </c>
      <c r="G8" s="42">
        <f t="shared" ref="G8:G13" si="0">SUM(C8:F8)</f>
        <v>1</v>
      </c>
      <c r="I8" s="4" t="str">
        <f>"---"</f>
        <v>---</v>
      </c>
    </row>
    <row r="9" spans="1:9" x14ac:dyDescent="0.25">
      <c r="A9" t="s">
        <v>130</v>
      </c>
      <c r="B9" s="1" t="s">
        <v>14</v>
      </c>
      <c r="C9" s="42">
        <f>'[18]Arrival Profile Summary'!$C$37</f>
        <v>1</v>
      </c>
      <c r="D9" s="42">
        <f>'[18]Arrival Profile Summary'!$D$37</f>
        <v>0</v>
      </c>
      <c r="E9" s="42">
        <f>'[18]Arrival Profile Summary'!$E$37</f>
        <v>0</v>
      </c>
      <c r="F9" s="42">
        <f>'[18]Arrival Profile Summary'!$F$37</f>
        <v>0</v>
      </c>
      <c r="G9" s="42">
        <f t="shared" si="0"/>
        <v>1</v>
      </c>
      <c r="I9" s="4" t="str">
        <f>"---"</f>
        <v>---</v>
      </c>
    </row>
    <row r="10" spans="1:9" x14ac:dyDescent="0.25">
      <c r="A10" t="s">
        <v>130</v>
      </c>
      <c r="B10" s="1" t="s">
        <v>128</v>
      </c>
      <c r="C10" s="42">
        <f>'[18]Arrival Profile Summary'!$C$38</f>
        <v>0.493107963121238</v>
      </c>
      <c r="D10" s="42">
        <f>'[18]Arrival Profile Summary'!$D$38</f>
        <v>0.46621265297957848</v>
      </c>
      <c r="E10" s="42">
        <f>'[18]Arrival Profile Summary'!$E$38</f>
        <v>1.2311105453619683E-2</v>
      </c>
      <c r="F10" s="42">
        <f>'[18]Arrival Profile Summary'!$F$38</f>
        <v>2.8368278445563819E-2</v>
      </c>
      <c r="G10" s="42">
        <f t="shared" si="0"/>
        <v>1</v>
      </c>
      <c r="I10" s="4">
        <f>'[18]Sack Pieces Summary'!$C$10</f>
        <v>17.049180327868854</v>
      </c>
    </row>
    <row r="11" spans="1:9" x14ac:dyDescent="0.25">
      <c r="A11" t="s">
        <v>1</v>
      </c>
      <c r="B11" s="1" t="s">
        <v>128</v>
      </c>
      <c r="C11" s="42">
        <f>'[18]Arrival Profile Summary'!$C$39</f>
        <v>0</v>
      </c>
      <c r="D11" s="42">
        <f>'[18]Arrival Profile Summary'!$D$39</f>
        <v>4.5113611294948161E-2</v>
      </c>
      <c r="E11" s="42">
        <f>'[18]Arrival Profile Summary'!$E$39</f>
        <v>0.95488638870505183</v>
      </c>
      <c r="F11" s="42">
        <f>'[18]Arrival Profile Summary'!$F$39</f>
        <v>0</v>
      </c>
      <c r="G11" s="42">
        <f t="shared" si="0"/>
        <v>1</v>
      </c>
      <c r="I11" s="4">
        <f>'[18]Sack Pieces Summary'!$C$11</f>
        <v>33.104838709677416</v>
      </c>
    </row>
    <row r="12" spans="1:9" x14ac:dyDescent="0.25">
      <c r="A12" t="s">
        <v>1</v>
      </c>
      <c r="B12" s="1" t="s">
        <v>15</v>
      </c>
      <c r="C12" s="42">
        <f>'[18]Arrival Profile Summary'!$C$40</f>
        <v>9.4705276820480688E-2</v>
      </c>
      <c r="D12" s="42">
        <f>'[18]Arrival Profile Summary'!$D$40</f>
        <v>3.8938369959271357E-2</v>
      </c>
      <c r="E12" s="42">
        <f>'[18]Arrival Profile Summary'!$E$40</f>
        <v>0.83717495412433429</v>
      </c>
      <c r="F12" s="42">
        <f>'[18]Arrival Profile Summary'!$F$40</f>
        <v>2.9181399095913708E-2</v>
      </c>
      <c r="G12" s="42">
        <f t="shared" si="0"/>
        <v>1</v>
      </c>
      <c r="I12" s="4">
        <f>'[18]Sack Pieces Summary'!$C$12</f>
        <v>33.104838709677416</v>
      </c>
    </row>
    <row r="13" spans="1:9" x14ac:dyDescent="0.25">
      <c r="A13" t="s">
        <v>1</v>
      </c>
      <c r="B13" s="1" t="s">
        <v>16</v>
      </c>
      <c r="C13" s="42">
        <f>'[18]Arrival Profile Summary'!$C$41</f>
        <v>0</v>
      </c>
      <c r="D13" s="42">
        <f>'[18]Arrival Profile Summary'!$D$41</f>
        <v>0.53848009650180939</v>
      </c>
      <c r="E13" s="42">
        <f>'[18]Arrival Profile Summary'!$E$41</f>
        <v>0</v>
      </c>
      <c r="F13" s="42">
        <f>'[18]Arrival Profile Summary'!$F$41</f>
        <v>0.46151990349819061</v>
      </c>
      <c r="G13" s="42">
        <f t="shared" si="0"/>
        <v>1</v>
      </c>
      <c r="I13" s="4">
        <f>'[18]Sack Pieces Summary'!$C$13</f>
        <v>22.773809523809526</v>
      </c>
    </row>
    <row r="14" spans="1:9" x14ac:dyDescent="0.25">
      <c r="I14" s="4"/>
    </row>
    <row r="15" spans="1:9" x14ac:dyDescent="0.25">
      <c r="A15" t="s">
        <v>489</v>
      </c>
      <c r="B15" s="1" t="s">
        <v>14</v>
      </c>
      <c r="C15" s="42">
        <f>'[18]Arrival Profile Summary'!$C$43</f>
        <v>0.39277925854131329</v>
      </c>
      <c r="D15" s="42">
        <f>'[18]Arrival Profile Summary'!$D$43</f>
        <v>0.55270172037799858</v>
      </c>
      <c r="E15" s="42">
        <f>'[18]Arrival Profile Summary'!$E$43</f>
        <v>0</v>
      </c>
      <c r="F15" s="42">
        <f>'[18]Arrival Profile Summary'!$F$43</f>
        <v>5.4519021080688151E-2</v>
      </c>
      <c r="G15" s="42">
        <f t="shared" ref="G15:G22" si="1">SUM(C15:F15)</f>
        <v>1</v>
      </c>
      <c r="I15" s="4">
        <f>'[18]Sack Pieces Summary'!$C$15</f>
        <v>45</v>
      </c>
    </row>
    <row r="16" spans="1:9" x14ac:dyDescent="0.25">
      <c r="A16" t="s">
        <v>490</v>
      </c>
      <c r="B16" s="1" t="s">
        <v>14</v>
      </c>
      <c r="C16" s="42">
        <f>'[18]Arrival Profile Summary'!$C$44</f>
        <v>0.16173006923131825</v>
      </c>
      <c r="D16" s="42">
        <f>'[18]Arrival Profile Summary'!$D$44</f>
        <v>0.68745985297266432</v>
      </c>
      <c r="E16" s="42">
        <f>'[18]Arrival Profile Summary'!$E$44</f>
        <v>9.6709728070801512E-2</v>
      </c>
      <c r="F16" s="42">
        <f>'[18]Arrival Profile Summary'!$F$44</f>
        <v>5.41003497252159E-2</v>
      </c>
      <c r="G16" s="42">
        <f t="shared" si="1"/>
        <v>1</v>
      </c>
      <c r="I16" s="4">
        <f>'[18]Sack Pieces Summary'!$C$16</f>
        <v>50.533333333333331</v>
      </c>
    </row>
    <row r="17" spans="1:9" x14ac:dyDescent="0.25">
      <c r="A17" t="s">
        <v>490</v>
      </c>
      <c r="B17" s="1" t="s">
        <v>128</v>
      </c>
      <c r="C17" s="42">
        <f>'[18]Arrival Profile Summary'!$C$45</f>
        <v>0.16173006923131825</v>
      </c>
      <c r="D17" s="42">
        <f>'[18]Arrival Profile Summary'!$D$45</f>
        <v>0.68745985297266432</v>
      </c>
      <c r="E17" s="42">
        <f>'[18]Arrival Profile Summary'!$E$45</f>
        <v>9.6709728070801512E-2</v>
      </c>
      <c r="F17" s="42">
        <f>'[18]Arrival Profile Summary'!$F$45</f>
        <v>5.41003497252159E-2</v>
      </c>
      <c r="G17" s="42">
        <f t="shared" si="1"/>
        <v>1</v>
      </c>
      <c r="I17" s="4">
        <f>'[18]Sack Pieces Summary'!$C$17</f>
        <v>50.533333333333331</v>
      </c>
    </row>
    <row r="18" spans="1:9" x14ac:dyDescent="0.25">
      <c r="A18" t="s">
        <v>491</v>
      </c>
      <c r="B18" s="1" t="s">
        <v>128</v>
      </c>
      <c r="C18" s="42">
        <f>'[18]Arrival Profile Summary'!$C$46</f>
        <v>0</v>
      </c>
      <c r="D18" s="42">
        <f>'[18]Arrival Profile Summary'!$D$46</f>
        <v>0</v>
      </c>
      <c r="E18" s="42">
        <f>'[18]Arrival Profile Summary'!$E$46</f>
        <v>1</v>
      </c>
      <c r="F18" s="42">
        <f>'[18]Arrival Profile Summary'!$F$46</f>
        <v>0</v>
      </c>
      <c r="G18" s="42">
        <f t="shared" si="1"/>
        <v>1</v>
      </c>
      <c r="I18" s="4">
        <f>'[18]Sack Pieces Summary'!$C$18</f>
        <v>78.272727272727266</v>
      </c>
    </row>
    <row r="19" spans="1:9" x14ac:dyDescent="0.25">
      <c r="A19" t="s">
        <v>492</v>
      </c>
      <c r="B19" s="1" t="s">
        <v>128</v>
      </c>
      <c r="C19" s="42">
        <f>'[18]Arrival Profile Summary'!$C$47</f>
        <v>0</v>
      </c>
      <c r="D19" s="42">
        <f>'[18]Arrival Profile Summary'!$D$47</f>
        <v>0</v>
      </c>
      <c r="E19" s="42">
        <f>'[18]Arrival Profile Summary'!$E$47</f>
        <v>0.77812316831422346</v>
      </c>
      <c r="F19" s="42">
        <f>'[18]Arrival Profile Summary'!$F$47</f>
        <v>0.22187683168577657</v>
      </c>
      <c r="G19" s="42">
        <f t="shared" si="1"/>
        <v>1</v>
      </c>
      <c r="I19" s="4">
        <f>'[18]Sack Pieces Summary'!$C$19</f>
        <v>36.926829268292686</v>
      </c>
    </row>
    <row r="20" spans="1:9" x14ac:dyDescent="0.25">
      <c r="A20" t="s">
        <v>491</v>
      </c>
      <c r="B20" s="1" t="s">
        <v>15</v>
      </c>
      <c r="C20" s="42">
        <f>'[18]Arrival Profile Summary'!$C$48</f>
        <v>3.9651766771526813E-2</v>
      </c>
      <c r="D20" s="42">
        <f>'[18]Arrival Profile Summary'!$D$48</f>
        <v>4.7479698588045946E-2</v>
      </c>
      <c r="E20" s="42">
        <f>'[18]Arrival Profile Summary'!$E$48</f>
        <v>0</v>
      </c>
      <c r="F20" s="42">
        <f>'[18]Arrival Profile Summary'!$F$48</f>
        <v>0.91286853464042728</v>
      </c>
      <c r="G20" s="42">
        <f t="shared" si="1"/>
        <v>1</v>
      </c>
      <c r="I20" s="4">
        <f>'[18]Sack Pieces Summary'!$C$20</f>
        <v>89.82683982683983</v>
      </c>
    </row>
    <row r="21" spans="1:9" x14ac:dyDescent="0.25">
      <c r="A21" t="s">
        <v>492</v>
      </c>
      <c r="B21" s="1" t="s">
        <v>15</v>
      </c>
      <c r="C21" s="42">
        <f>'[18]Arrival Profile Summary'!$C$49</f>
        <v>0</v>
      </c>
      <c r="D21" s="42">
        <f>'[18]Arrival Profile Summary'!$D$49</f>
        <v>0</v>
      </c>
      <c r="E21" s="42">
        <f>'[18]Arrival Profile Summary'!$E$49</f>
        <v>0.77812316831422346</v>
      </c>
      <c r="F21" s="42">
        <f>'[18]Arrival Profile Summary'!$F$49</f>
        <v>0.22187683168577657</v>
      </c>
      <c r="G21" s="42">
        <f t="shared" si="1"/>
        <v>1</v>
      </c>
      <c r="I21" s="4">
        <f>'[18]Sack Pieces Summary'!$C$21</f>
        <v>66.275974025974023</v>
      </c>
    </row>
    <row r="22" spans="1:9" x14ac:dyDescent="0.25">
      <c r="A22" t="s">
        <v>492</v>
      </c>
      <c r="B22" s="1" t="s">
        <v>16</v>
      </c>
      <c r="C22" s="42">
        <f>'[18]Arrival Profile Summary'!$C$50</f>
        <v>0</v>
      </c>
      <c r="D22" s="42">
        <f>'[18]Arrival Profile Summary'!$D$50</f>
        <v>0</v>
      </c>
      <c r="E22" s="42">
        <f>'[18]Arrival Profile Summary'!$E$50</f>
        <v>0</v>
      </c>
      <c r="F22" s="42">
        <f>'[18]Arrival Profile Summary'!$F$50</f>
        <v>1</v>
      </c>
      <c r="G22" s="42">
        <f t="shared" si="1"/>
        <v>1</v>
      </c>
      <c r="I22" s="4">
        <f>'[18]Sack Pieces Summary'!$C$22</f>
        <v>36.926829268292686</v>
      </c>
    </row>
    <row r="23" spans="1:9" x14ac:dyDescent="0.25">
      <c r="C23" s="42"/>
      <c r="D23" s="42"/>
      <c r="E23" s="42"/>
      <c r="F23" s="42"/>
      <c r="G23" s="42"/>
      <c r="I23" s="4"/>
    </row>
    <row r="24" spans="1:9" x14ac:dyDescent="0.25">
      <c r="A24" t="s">
        <v>318</v>
      </c>
      <c r="B24" s="1" t="s">
        <v>14</v>
      </c>
      <c r="C24" s="42">
        <f>'[18]Arrival Profile Summary'!$C$52</f>
        <v>2.4763879290486065E-2</v>
      </c>
      <c r="D24" s="42">
        <f>'[18]Arrival Profile Summary'!$D$52</f>
        <v>0.81674729325040318</v>
      </c>
      <c r="E24" s="42">
        <f>'[18]Arrival Profile Summary'!$E$52</f>
        <v>0.11011287721723105</v>
      </c>
      <c r="F24" s="42">
        <f>'[18]Arrival Profile Summary'!$F$52</f>
        <v>4.8375950241879753E-2</v>
      </c>
      <c r="G24" s="42">
        <f t="shared" ref="G24:G31" si="2">SUM(C24:F24)</f>
        <v>1</v>
      </c>
      <c r="I24" s="4">
        <f>'[18]Sack Pieces Summary'!$C$24</f>
        <v>45</v>
      </c>
    </row>
    <row r="25" spans="1:9" x14ac:dyDescent="0.25">
      <c r="A25" t="s">
        <v>319</v>
      </c>
      <c r="B25" s="1" t="s">
        <v>14</v>
      </c>
      <c r="C25" s="42">
        <f>'[18]Arrival Profile Summary'!$C$53</f>
        <v>0.10645613141474596</v>
      </c>
      <c r="D25" s="42">
        <f>'[18]Arrival Profile Summary'!$D$53</f>
        <v>0.86712084553673752</v>
      </c>
      <c r="E25" s="42">
        <f>'[18]Arrival Profile Summary'!$E$53</f>
        <v>0</v>
      </c>
      <c r="F25" s="42">
        <f>'[18]Arrival Profile Summary'!$F$53</f>
        <v>2.642302304851649E-2</v>
      </c>
      <c r="G25" s="42">
        <f t="shared" si="2"/>
        <v>1</v>
      </c>
      <c r="I25" s="4">
        <f>'[18]Sack Pieces Summary'!$C$25</f>
        <v>50.533333333333331</v>
      </c>
    </row>
    <row r="26" spans="1:9" x14ac:dyDescent="0.25">
      <c r="A26" t="s">
        <v>319</v>
      </c>
      <c r="B26" s="1" t="s">
        <v>128</v>
      </c>
      <c r="C26" s="42">
        <f>'[18]Arrival Profile Summary'!$C$54</f>
        <v>1.1095125991803994E-2</v>
      </c>
      <c r="D26" s="42">
        <f>'[18]Arrival Profile Summary'!$D$54</f>
        <v>0.86038451477896938</v>
      </c>
      <c r="E26" s="42">
        <f>'[18]Arrival Profile Summary'!$E$54</f>
        <v>1.4822565175690993E-3</v>
      </c>
      <c r="F26" s="42">
        <f>'[18]Arrival Profile Summary'!$F$54</f>
        <v>0.12703810271165752</v>
      </c>
      <c r="G26" s="42">
        <f t="shared" si="2"/>
        <v>0.99999999999999989</v>
      </c>
      <c r="I26" s="4">
        <f>'[18]Sack Pieces Summary'!$C$26</f>
        <v>50.533333333333331</v>
      </c>
    </row>
    <row r="27" spans="1:9" x14ac:dyDescent="0.25">
      <c r="A27" t="s">
        <v>372</v>
      </c>
      <c r="B27" s="1" t="s">
        <v>128</v>
      </c>
      <c r="C27" s="42">
        <f>'[18]Arrival Profile Summary'!$C$55</f>
        <v>0</v>
      </c>
      <c r="D27" s="42">
        <f>'[18]Arrival Profile Summary'!$D$55</f>
        <v>1</v>
      </c>
      <c r="E27" s="42">
        <f>'[18]Arrival Profile Summary'!$E$55</f>
        <v>0</v>
      </c>
      <c r="F27" s="42">
        <f>'[18]Arrival Profile Summary'!$F$55</f>
        <v>0</v>
      </c>
      <c r="G27" s="42">
        <f t="shared" si="2"/>
        <v>1</v>
      </c>
      <c r="I27" s="4" t="str">
        <f>"---"</f>
        <v>---</v>
      </c>
    </row>
    <row r="28" spans="1:9" x14ac:dyDescent="0.25">
      <c r="A28" t="s">
        <v>320</v>
      </c>
      <c r="B28" s="1" t="s">
        <v>128</v>
      </c>
      <c r="C28" s="42">
        <f>'[18]Arrival Profile Summary'!$C$56</f>
        <v>0</v>
      </c>
      <c r="D28" s="42">
        <f>'[18]Arrival Profile Summary'!$D$56</f>
        <v>0</v>
      </c>
      <c r="E28" s="88">
        <f>'[18]Arrival Profile Summary'!$E$56</f>
        <v>1</v>
      </c>
      <c r="F28" s="42">
        <f>'[18]Arrival Profile Summary'!$F$56</f>
        <v>0</v>
      </c>
      <c r="G28" s="42">
        <f t="shared" si="2"/>
        <v>1</v>
      </c>
      <c r="I28" s="4">
        <f>'[18]Sack Pieces Summary'!$C$28</f>
        <v>36.926829268292686</v>
      </c>
    </row>
    <row r="29" spans="1:9" x14ac:dyDescent="0.25">
      <c r="A29" t="s">
        <v>372</v>
      </c>
      <c r="B29" s="1" t="s">
        <v>15</v>
      </c>
      <c r="C29" s="42">
        <f>'[18]Arrival Profile Summary'!$C$57</f>
        <v>0</v>
      </c>
      <c r="D29" s="42">
        <f>'[18]Arrival Profile Summary'!$D$57</f>
        <v>0</v>
      </c>
      <c r="E29" s="42">
        <f>'[18]Arrival Profile Summary'!$E$57</f>
        <v>0</v>
      </c>
      <c r="F29" s="42">
        <f>'[18]Arrival Profile Summary'!$F$57</f>
        <v>1</v>
      </c>
      <c r="G29" s="42">
        <f t="shared" si="2"/>
        <v>1</v>
      </c>
      <c r="I29" s="4">
        <f>'[18]Sack Pieces Summary'!$C$29</f>
        <v>89.82683982683983</v>
      </c>
    </row>
    <row r="30" spans="1:9" x14ac:dyDescent="0.25">
      <c r="A30" t="s">
        <v>320</v>
      </c>
      <c r="B30" s="1" t="s">
        <v>15</v>
      </c>
      <c r="C30" s="42">
        <f>'[18]Arrival Profile Summary'!$C$58</f>
        <v>0</v>
      </c>
      <c r="D30" s="42">
        <f>'[18]Arrival Profile Summary'!$D$58</f>
        <v>0</v>
      </c>
      <c r="E30" s="42">
        <f>'[18]Arrival Profile Summary'!$E$58</f>
        <v>0</v>
      </c>
      <c r="F30" s="42">
        <f>'[18]Arrival Profile Summary'!$F$58</f>
        <v>1</v>
      </c>
      <c r="G30" s="42">
        <f t="shared" si="2"/>
        <v>1</v>
      </c>
      <c r="I30" s="4">
        <f>'[18]Sack Pieces Summary'!$C$30</f>
        <v>66.275974025974023</v>
      </c>
    </row>
    <row r="31" spans="1:9" x14ac:dyDescent="0.25">
      <c r="A31" t="s">
        <v>320</v>
      </c>
      <c r="B31" s="1" t="s">
        <v>16</v>
      </c>
      <c r="C31" s="42">
        <f>'[18]Arrival Profile Summary'!$C$59</f>
        <v>0</v>
      </c>
      <c r="D31" s="42">
        <f>'[18]Arrival Profile Summary'!$D$59</f>
        <v>0</v>
      </c>
      <c r="E31" s="42">
        <f>'[18]Arrival Profile Summary'!$E$59</f>
        <v>0</v>
      </c>
      <c r="F31" s="42">
        <f>'[18]Arrival Profile Summary'!$F$59</f>
        <v>1</v>
      </c>
      <c r="G31" s="42">
        <f t="shared" si="2"/>
        <v>1</v>
      </c>
      <c r="I31" s="4">
        <f>'[18]Sack Pieces Summary'!$C$31</f>
        <v>36.926829268292686</v>
      </c>
    </row>
    <row r="32" spans="1:9" x14ac:dyDescent="0.25">
      <c r="C32" s="43"/>
      <c r="D32" s="43"/>
      <c r="E32" s="43"/>
      <c r="F32" s="43"/>
      <c r="G32" s="43"/>
    </row>
    <row r="33" spans="1:9" x14ac:dyDescent="0.25">
      <c r="C33" s="43"/>
      <c r="D33" s="43"/>
      <c r="E33" s="43"/>
      <c r="F33" s="43"/>
      <c r="G33" s="44" t="s">
        <v>341</v>
      </c>
      <c r="I33" s="4">
        <f>(I10*'MP Summary'!D11+I11*'MP Summary'!D12+I12*'MP Summary'!D13+I13*'MP Summary'!D14+I15*'MP Summary'!D19+I16^'MP Summary'!D20+I17*'MP Summary'!D21+I18*'MP Summary'!D22+I19*'MP Summary'!D25+I20*'MP Summary'!D26+I21*'MP Summary'!D27+I22*'MP Summary'!D28+I24*'MP Summary'!D31+I25*'MP Summary'!D32+I26*'MP Summary'!D33+I28*'MP Summary'!D37+I29*'MP Summary'!D38+I30*'MP Summary'!D39+I31*'MP Summary'!D40)/((SUM('MP Summary'!D9:D40)-'MP Summary'!D9-'MP Summary'!D10-'MP Summary'!D34))</f>
        <v>48.787027953216125</v>
      </c>
    </row>
    <row r="34" spans="1:9" x14ac:dyDescent="0.25">
      <c r="C34" s="43"/>
      <c r="D34" s="43"/>
      <c r="E34" s="43"/>
      <c r="F34" s="43"/>
      <c r="G34" s="43"/>
    </row>
    <row r="35" spans="1:9" x14ac:dyDescent="0.25">
      <c r="B35" s="3" t="s">
        <v>192</v>
      </c>
      <c r="C35" s="14" t="s">
        <v>193</v>
      </c>
      <c r="D35" s="43"/>
      <c r="E35" s="43"/>
      <c r="F35" s="43"/>
      <c r="G35" s="43"/>
    </row>
    <row r="36" spans="1:9" x14ac:dyDescent="0.25">
      <c r="B36" s="3" t="s">
        <v>253</v>
      </c>
      <c r="C36" s="14" t="s">
        <v>97</v>
      </c>
      <c r="D36" s="43"/>
      <c r="E36" s="43"/>
      <c r="F36" s="43"/>
      <c r="G36" s="43"/>
    </row>
    <row r="37" spans="1:9" x14ac:dyDescent="0.25">
      <c r="A37" s="6" t="s">
        <v>165</v>
      </c>
      <c r="B37" s="3" t="s">
        <v>166</v>
      </c>
      <c r="C37" s="14" t="s">
        <v>18</v>
      </c>
      <c r="D37" s="43"/>
      <c r="E37" s="43"/>
      <c r="F37" s="43"/>
      <c r="G37" s="43"/>
    </row>
    <row r="38" spans="1:9" x14ac:dyDescent="0.25">
      <c r="A38" s="6" t="s">
        <v>164</v>
      </c>
      <c r="B38" s="3" t="s">
        <v>183</v>
      </c>
      <c r="C38" s="14" t="s">
        <v>167</v>
      </c>
      <c r="D38" s="43"/>
      <c r="E38" s="43"/>
      <c r="F38" s="43"/>
      <c r="G38" s="43"/>
    </row>
    <row r="39" spans="1:9" x14ac:dyDescent="0.25">
      <c r="C39" s="43"/>
      <c r="D39" s="43"/>
      <c r="E39" s="43"/>
      <c r="F39" s="43"/>
      <c r="G39" s="43"/>
    </row>
    <row r="40" spans="1:9" x14ac:dyDescent="0.25">
      <c r="A40" t="s">
        <v>122</v>
      </c>
      <c r="B40" s="4">
        <f>'[18]Container Statistics'!$B$8</f>
        <v>45.309278350515463</v>
      </c>
      <c r="C40" s="42">
        <f>'[18]Container Statistics'!$C$8</f>
        <v>0.82439862542955344</v>
      </c>
      <c r="D40" s="43"/>
      <c r="E40" s="43"/>
      <c r="F40" s="43"/>
      <c r="G40" s="43"/>
    </row>
    <row r="41" spans="1:9" x14ac:dyDescent="0.25">
      <c r="A41" t="s">
        <v>94</v>
      </c>
      <c r="B41" s="4">
        <f>'[18]Container Statistics'!$B$9</f>
        <v>38.478260869565219</v>
      </c>
      <c r="C41" s="42">
        <f>'[18]Container Statistics'!$C$9</f>
        <v>1</v>
      </c>
      <c r="D41" s="43"/>
      <c r="E41" s="43"/>
      <c r="F41" s="43"/>
      <c r="G41" s="43"/>
    </row>
    <row r="42" spans="1:9" x14ac:dyDescent="0.25">
      <c r="A42" t="s">
        <v>168</v>
      </c>
      <c r="B42" s="1" t="s">
        <v>169</v>
      </c>
      <c r="C42" s="42">
        <f>'[18]Container Statistics'!$C$10</f>
        <v>0.89999999999999991</v>
      </c>
      <c r="D42" s="43"/>
      <c r="E42" s="43"/>
      <c r="F42" s="43"/>
      <c r="G42" s="43"/>
    </row>
    <row r="43" spans="1:9" x14ac:dyDescent="0.25">
      <c r="C43" s="42"/>
      <c r="D43" s="43"/>
      <c r="E43" s="43"/>
      <c r="F43" s="43"/>
      <c r="G43" s="43"/>
    </row>
    <row r="44" spans="1:9" x14ac:dyDescent="0.25">
      <c r="C44" s="17" t="s">
        <v>194</v>
      </c>
      <c r="D44" s="14" t="s">
        <v>195</v>
      </c>
      <c r="E44" s="43"/>
      <c r="F44" s="43"/>
      <c r="G44" s="43"/>
    </row>
    <row r="45" spans="1:9" x14ac:dyDescent="0.25">
      <c r="C45" s="17" t="s">
        <v>327</v>
      </c>
      <c r="D45" s="14" t="s">
        <v>321</v>
      </c>
      <c r="E45" s="43"/>
      <c r="F45" s="43"/>
      <c r="G45" s="43"/>
    </row>
    <row r="46" spans="1:9" x14ac:dyDescent="0.25">
      <c r="A46" s="6" t="s">
        <v>158</v>
      </c>
      <c r="B46" s="3"/>
      <c r="C46" s="17" t="s">
        <v>18</v>
      </c>
      <c r="D46" s="14" t="s">
        <v>18</v>
      </c>
      <c r="E46" s="43"/>
      <c r="F46" s="43"/>
      <c r="G46" s="43"/>
    </row>
    <row r="47" spans="1:9" x14ac:dyDescent="0.25">
      <c r="A47" t="s">
        <v>85</v>
      </c>
      <c r="C47" s="42">
        <v>0.43072278246750956</v>
      </c>
      <c r="D47" s="42">
        <v>0.19092012367410452</v>
      </c>
      <c r="E47" s="43"/>
      <c r="F47" s="43"/>
      <c r="G47" s="43"/>
    </row>
    <row r="48" spans="1:9" x14ac:dyDescent="0.25">
      <c r="A48" t="s">
        <v>86</v>
      </c>
      <c r="C48" s="42">
        <v>0.21570480355037777</v>
      </c>
      <c r="D48" s="42">
        <v>0.35983934715479915</v>
      </c>
      <c r="E48" s="43"/>
      <c r="F48" s="43"/>
      <c r="G48" s="43"/>
    </row>
    <row r="49" spans="1:7" x14ac:dyDescent="0.25">
      <c r="A49" t="s">
        <v>131</v>
      </c>
      <c r="B49" s="45"/>
      <c r="C49" s="46">
        <v>0.35357241398211264</v>
      </c>
      <c r="D49" s="46">
        <v>0.44924052917109641</v>
      </c>
      <c r="E49" s="43"/>
      <c r="F49" s="43"/>
      <c r="G49" s="43"/>
    </row>
    <row r="50" spans="1:7" x14ac:dyDescent="0.25">
      <c r="C50" s="42">
        <f>SUM(C47:C49)</f>
        <v>1</v>
      </c>
      <c r="D50" s="42">
        <f>SUM(D47:D49)</f>
        <v>1</v>
      </c>
      <c r="E50" s="43"/>
      <c r="F50" s="43"/>
      <c r="G50" s="43"/>
    </row>
    <row r="51" spans="1:7" x14ac:dyDescent="0.25">
      <c r="C51" s="42"/>
      <c r="D51" s="43"/>
      <c r="E51" s="43"/>
      <c r="F51" s="43"/>
      <c r="G51" s="43"/>
    </row>
    <row r="52" spans="1:7" x14ac:dyDescent="0.25">
      <c r="C52" s="43"/>
      <c r="D52" s="43"/>
      <c r="E52" s="43"/>
      <c r="F52" s="43"/>
      <c r="G52" s="43"/>
    </row>
    <row r="53" spans="1:7" x14ac:dyDescent="0.25">
      <c r="A53" s="29" t="s">
        <v>259</v>
      </c>
      <c r="C53" s="43"/>
      <c r="D53" s="43"/>
      <c r="E53" s="43"/>
      <c r="F53" s="43"/>
      <c r="G53" s="43"/>
    </row>
    <row r="54" spans="1:7" x14ac:dyDescent="0.25">
      <c r="A54" s="7" t="s">
        <v>279</v>
      </c>
      <c r="C54" s="43"/>
      <c r="D54" s="43"/>
      <c r="E54" s="43"/>
      <c r="F54" s="43"/>
      <c r="G54" s="43"/>
    </row>
    <row r="55" spans="1:7" x14ac:dyDescent="0.25">
      <c r="A55" s="7" t="s">
        <v>276</v>
      </c>
      <c r="C55" s="43"/>
      <c r="D55" s="43"/>
      <c r="E55" s="43"/>
      <c r="F55" s="43"/>
      <c r="G55" s="43"/>
    </row>
    <row r="56" spans="1:7" x14ac:dyDescent="0.25">
      <c r="A56" s="7" t="s">
        <v>280</v>
      </c>
      <c r="C56" s="43"/>
      <c r="D56" s="43"/>
      <c r="E56" s="43"/>
      <c r="F56" s="43"/>
      <c r="G56" s="43"/>
    </row>
    <row r="57" spans="1:7" x14ac:dyDescent="0.25">
      <c r="A57" s="7" t="s">
        <v>281</v>
      </c>
      <c r="C57" s="43"/>
      <c r="D57" s="43"/>
      <c r="E57" s="43"/>
      <c r="F57" s="43"/>
      <c r="G57" s="43"/>
    </row>
    <row r="58" spans="1:7" x14ac:dyDescent="0.25">
      <c r="A58" s="7" t="s">
        <v>282</v>
      </c>
      <c r="C58" s="43"/>
      <c r="D58" s="43"/>
      <c r="E58" s="43"/>
      <c r="F58" s="43"/>
      <c r="G58" s="43"/>
    </row>
    <row r="59" spans="1:7" x14ac:dyDescent="0.25">
      <c r="A59" s="7" t="s">
        <v>283</v>
      </c>
      <c r="C59" s="43"/>
      <c r="D59" s="43"/>
      <c r="E59" s="43"/>
      <c r="F59" s="43"/>
      <c r="G59" s="43"/>
    </row>
    <row r="60" spans="1:7" x14ac:dyDescent="0.25">
      <c r="A60" s="7" t="s">
        <v>342</v>
      </c>
      <c r="C60" s="43"/>
      <c r="D60" s="43"/>
      <c r="E60" s="43"/>
      <c r="F60" s="43"/>
      <c r="G60" s="43"/>
    </row>
    <row r="61" spans="1:7" x14ac:dyDescent="0.25">
      <c r="A61" s="7" t="s">
        <v>284</v>
      </c>
      <c r="C61" s="43"/>
      <c r="D61" s="43"/>
      <c r="E61" s="43"/>
      <c r="F61" s="43"/>
      <c r="G61" s="43"/>
    </row>
    <row r="62" spans="1:7" x14ac:dyDescent="0.25">
      <c r="A62" s="7" t="s">
        <v>285</v>
      </c>
      <c r="C62" s="43"/>
      <c r="D62" s="43"/>
      <c r="E62" s="43"/>
      <c r="F62" s="43"/>
      <c r="G62" s="43"/>
    </row>
    <row r="63" spans="1:7" x14ac:dyDescent="0.25">
      <c r="A63" s="6" t="s">
        <v>286</v>
      </c>
      <c r="C63" s="43"/>
      <c r="D63" s="43"/>
      <c r="E63" s="43"/>
      <c r="F63" s="43"/>
      <c r="G63" s="43"/>
    </row>
    <row r="64" spans="1:7" x14ac:dyDescent="0.25">
      <c r="A64" s="7" t="s">
        <v>287</v>
      </c>
      <c r="C64" s="43"/>
      <c r="D64" s="43"/>
      <c r="E64" s="43"/>
      <c r="F64" s="43"/>
      <c r="G64" s="43"/>
    </row>
  </sheetData>
  <phoneticPr fontId="3" type="noConversion"/>
  <printOptions horizontalCentered="1"/>
  <pageMargins left="0.75" right="0.75" top="1" bottom="1" header="0.5" footer="0.5"/>
  <pageSetup scale="68" orientation="portrait" r:id="rId1"/>
  <headerFooter alignWithMargins="0">
    <oddHeader>&amp;RPage 7 of 50</oddHeader>
    <oddFooter>&amp;R&amp;F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34">
    <pageSetUpPr fitToPage="1"/>
  </sheetPr>
  <dimension ref="A1:D36"/>
  <sheetViews>
    <sheetView zoomScale="75" workbookViewId="0">
      <selection activeCell="B8" sqref="B8"/>
    </sheetView>
  </sheetViews>
  <sheetFormatPr defaultColWidth="9.109375" defaultRowHeight="13.2" x14ac:dyDescent="0.25"/>
  <cols>
    <col min="1" max="1" width="25.6640625" customWidth="1"/>
    <col min="2" max="3" width="12.6640625" style="16" customWidth="1"/>
    <col min="4" max="4" width="25.6640625" customWidth="1"/>
  </cols>
  <sheetData>
    <row r="1" spans="1:3" ht="15.6" x14ac:dyDescent="0.3">
      <c r="A1" s="5" t="s">
        <v>381</v>
      </c>
    </row>
    <row r="2" spans="1:3" x14ac:dyDescent="0.25">
      <c r="A2" s="6"/>
    </row>
    <row r="3" spans="1:3" x14ac:dyDescent="0.25">
      <c r="B3" s="17" t="s">
        <v>107</v>
      </c>
      <c r="C3" s="17" t="s">
        <v>108</v>
      </c>
    </row>
    <row r="4" spans="1:3" x14ac:dyDescent="0.25">
      <c r="C4" s="17" t="s">
        <v>97</v>
      </c>
    </row>
    <row r="5" spans="1:3" x14ac:dyDescent="0.25">
      <c r="A5" s="6" t="s">
        <v>170</v>
      </c>
      <c r="B5" s="17" t="s">
        <v>18</v>
      </c>
      <c r="C5" s="17" t="s">
        <v>18</v>
      </c>
    </row>
    <row r="6" spans="1:3" x14ac:dyDescent="0.25">
      <c r="A6" s="6" t="s">
        <v>164</v>
      </c>
      <c r="B6" s="17" t="s">
        <v>171</v>
      </c>
      <c r="C6" s="17" t="s">
        <v>167</v>
      </c>
    </row>
    <row r="8" spans="1:3" x14ac:dyDescent="0.25">
      <c r="A8" t="s">
        <v>172</v>
      </c>
      <c r="B8" s="16">
        <f>'[23]Profile Summary'!$F$10</f>
        <v>0.48199537332303888</v>
      </c>
      <c r="C8" s="16">
        <f>'[23]Profile Summary'!$H$10</f>
        <v>0.63807339449541312</v>
      </c>
    </row>
    <row r="9" spans="1:3" x14ac:dyDescent="0.25">
      <c r="A9" t="s">
        <v>87</v>
      </c>
      <c r="B9" s="16">
        <f>'[23]Profile Summary'!$F$11</f>
        <v>0.32269216311913879</v>
      </c>
      <c r="C9" s="16">
        <f>'[23]Profile Summary'!$H$11</f>
        <v>0.73206521739130448</v>
      </c>
    </row>
    <row r="10" spans="1:3" x14ac:dyDescent="0.25">
      <c r="A10" t="s">
        <v>123</v>
      </c>
      <c r="B10" s="86">
        <f>'[23]Profile Summary'!$F$12</f>
        <v>0.19531246355782239</v>
      </c>
      <c r="C10" s="16">
        <f>'[23]Profile Summary'!$H$12</f>
        <v>0.79536082474226844</v>
      </c>
    </row>
    <row r="11" spans="1:3" x14ac:dyDescent="0.25">
      <c r="B11" s="16">
        <f>SUM(B8:B10)</f>
        <v>1</v>
      </c>
    </row>
    <row r="13" spans="1:3" x14ac:dyDescent="0.25">
      <c r="C13" s="17" t="s">
        <v>97</v>
      </c>
    </row>
    <row r="14" spans="1:3" x14ac:dyDescent="0.25">
      <c r="A14" s="6" t="s">
        <v>173</v>
      </c>
      <c r="B14" s="17" t="s">
        <v>18</v>
      </c>
      <c r="C14" s="17" t="s">
        <v>18</v>
      </c>
    </row>
    <row r="15" spans="1:3" x14ac:dyDescent="0.25">
      <c r="A15" s="6" t="s">
        <v>164</v>
      </c>
      <c r="B15" s="17" t="s">
        <v>171</v>
      </c>
      <c r="C15" s="17" t="s">
        <v>167</v>
      </c>
    </row>
    <row r="17" spans="1:4" x14ac:dyDescent="0.25">
      <c r="A17" s="6"/>
    </row>
    <row r="18" spans="1:4" x14ac:dyDescent="0.25">
      <c r="A18" t="s">
        <v>174</v>
      </c>
      <c r="B18" s="16">
        <v>1</v>
      </c>
      <c r="C18" s="16">
        <f>'[18]Container Statistics'!$C$26</f>
        <v>0.98309859154929569</v>
      </c>
      <c r="D18" s="6" t="s">
        <v>175</v>
      </c>
    </row>
    <row r="21" spans="1:4" x14ac:dyDescent="0.25">
      <c r="A21" t="s">
        <v>122</v>
      </c>
      <c r="B21" s="16">
        <f>'[23]Profile Summary'!$F$19</f>
        <v>0.11896971780053392</v>
      </c>
      <c r="C21" s="16">
        <f>'[23]Profile Summary'!$H$19</f>
        <v>0.80756302521008438</v>
      </c>
      <c r="D21" s="6" t="s">
        <v>190</v>
      </c>
    </row>
    <row r="22" spans="1:4" x14ac:dyDescent="0.25">
      <c r="A22" t="s">
        <v>172</v>
      </c>
      <c r="B22" s="16">
        <f>'[23]Profile Summary'!$F$20</f>
        <v>8.0349918340229934E-2</v>
      </c>
      <c r="C22" s="16">
        <f>'[23]Profile Summary'!$H$20</f>
        <v>0.68650000000000022</v>
      </c>
    </row>
    <row r="23" spans="1:4" x14ac:dyDescent="0.25">
      <c r="A23" t="s">
        <v>87</v>
      </c>
      <c r="B23" s="16">
        <f>'[23]Profile Summary'!$F$21</f>
        <v>0.60164685859127154</v>
      </c>
      <c r="C23" s="16">
        <f>'[23]Profile Summary'!$H$21</f>
        <v>0.81419491525423671</v>
      </c>
    </row>
    <row r="24" spans="1:4" x14ac:dyDescent="0.25">
      <c r="A24" t="s">
        <v>123</v>
      </c>
      <c r="B24" s="86">
        <f>'[23]Profile Summary'!$F$22</f>
        <v>0.19903350526796459</v>
      </c>
      <c r="C24" s="16">
        <f>'[23]Profile Summary'!$H$22</f>
        <v>0.72893382352941183</v>
      </c>
    </row>
    <row r="25" spans="1:4" x14ac:dyDescent="0.25">
      <c r="B25" s="16">
        <f>SUM(B21:B24)</f>
        <v>1</v>
      </c>
    </row>
    <row r="27" spans="1:4" x14ac:dyDescent="0.25">
      <c r="C27" s="17"/>
    </row>
    <row r="28" spans="1:4" x14ac:dyDescent="0.25">
      <c r="A28" s="29" t="s">
        <v>259</v>
      </c>
      <c r="C28" s="17"/>
    </row>
    <row r="29" spans="1:4" x14ac:dyDescent="0.25">
      <c r="A29" s="47" t="s">
        <v>359</v>
      </c>
      <c r="C29" s="17"/>
    </row>
    <row r="30" spans="1:4" x14ac:dyDescent="0.25">
      <c r="A30" s="47" t="s">
        <v>360</v>
      </c>
      <c r="C30" s="17"/>
    </row>
    <row r="31" spans="1:4" x14ac:dyDescent="0.25">
      <c r="A31" s="6"/>
      <c r="C31" s="17"/>
    </row>
    <row r="32" spans="1:4" x14ac:dyDescent="0.25">
      <c r="A32" s="12"/>
    </row>
    <row r="33" spans="1:3" x14ac:dyDescent="0.25">
      <c r="A33" s="12"/>
    </row>
    <row r="34" spans="1:3" x14ac:dyDescent="0.25">
      <c r="A34" s="12"/>
    </row>
    <row r="36" spans="1:3" x14ac:dyDescent="0.25">
      <c r="A36" s="6"/>
      <c r="C36" s="17"/>
    </row>
  </sheetData>
  <phoneticPr fontId="3" type="noConversion"/>
  <printOptions horizontalCentered="1"/>
  <pageMargins left="0.75" right="0.75" top="1" bottom="1" header="0.5" footer="0.5"/>
  <pageSetup scale="95" orientation="portrait" r:id="rId1"/>
  <headerFooter alignWithMargins="0">
    <oddHeader>&amp;RPage 8 of 50</oddHeader>
    <oddFooter>&amp;R&amp;F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>
    <pageSetUpPr fitToPage="1"/>
  </sheetPr>
  <dimension ref="A1:C48"/>
  <sheetViews>
    <sheetView topLeftCell="A13" zoomScale="75" workbookViewId="0">
      <selection activeCell="B17" sqref="B17"/>
    </sheetView>
  </sheetViews>
  <sheetFormatPr defaultColWidth="8.6640625" defaultRowHeight="13.2" x14ac:dyDescent="0.25"/>
  <cols>
    <col min="1" max="1" width="35.6640625" customWidth="1"/>
    <col min="2" max="2" width="10.6640625" style="16" customWidth="1"/>
    <col min="3" max="3" width="40.6640625" customWidth="1"/>
  </cols>
  <sheetData>
    <row r="1" spans="1:3" ht="15.6" x14ac:dyDescent="0.3">
      <c r="A1" s="5" t="s">
        <v>382</v>
      </c>
    </row>
    <row r="3" spans="1:3" x14ac:dyDescent="0.25">
      <c r="A3" s="6"/>
    </row>
    <row r="4" spans="1:3" x14ac:dyDescent="0.25">
      <c r="A4" s="6" t="s">
        <v>205</v>
      </c>
    </row>
    <row r="5" spans="1:3" x14ac:dyDescent="0.25">
      <c r="A5" s="6"/>
    </row>
    <row r="6" spans="1:3" x14ac:dyDescent="0.25">
      <c r="A6" s="29" t="s">
        <v>147</v>
      </c>
      <c r="B6" s="134" t="s">
        <v>18</v>
      </c>
      <c r="C6" s="29" t="s">
        <v>31</v>
      </c>
    </row>
    <row r="7" spans="1:3" x14ac:dyDescent="0.25">
      <c r="A7" t="s">
        <v>77</v>
      </c>
      <c r="B7" s="16">
        <f>1-[25]Parcels!$C$4</f>
        <v>0.13138088889214539</v>
      </c>
      <c r="C7" s="9" t="s">
        <v>485</v>
      </c>
    </row>
    <row r="8" spans="1:3" x14ac:dyDescent="0.25">
      <c r="A8" t="s">
        <v>78</v>
      </c>
      <c r="B8" s="16">
        <f>1-[25]Parcels!$C$5</f>
        <v>0.12028717498262087</v>
      </c>
      <c r="C8" s="9" t="s">
        <v>485</v>
      </c>
    </row>
    <row r="9" spans="1:3" x14ac:dyDescent="0.25">
      <c r="A9" t="s">
        <v>71</v>
      </c>
      <c r="B9" s="16">
        <f>1-[25]Parcels!$C$6</f>
        <v>4.2386534457432234E-2</v>
      </c>
      <c r="C9" s="9" t="s">
        <v>485</v>
      </c>
    </row>
    <row r="10" spans="1:3" x14ac:dyDescent="0.25">
      <c r="A10" t="s">
        <v>111</v>
      </c>
      <c r="B10" s="16">
        <f>1-[25]Flats!$H$11</f>
        <v>0.11837114851385577</v>
      </c>
      <c r="C10" s="9" t="s">
        <v>485</v>
      </c>
    </row>
    <row r="11" spans="1:3" x14ac:dyDescent="0.25">
      <c r="A11" t="s">
        <v>367</v>
      </c>
      <c r="B11" s="16">
        <f>1-[25]Flats!$H$11</f>
        <v>0.11837114851385577</v>
      </c>
      <c r="C11" s="9" t="s">
        <v>485</v>
      </c>
    </row>
    <row r="13" spans="1:3" x14ac:dyDescent="0.25">
      <c r="A13" s="6"/>
    </row>
    <row r="14" spans="1:3" x14ac:dyDescent="0.25">
      <c r="A14" s="6" t="s">
        <v>163</v>
      </c>
    </row>
    <row r="15" spans="1:3" x14ac:dyDescent="0.25">
      <c r="A15" s="6"/>
    </row>
    <row r="16" spans="1:3" x14ac:dyDescent="0.25">
      <c r="A16" s="29" t="s">
        <v>147</v>
      </c>
      <c r="B16" s="134" t="s">
        <v>18</v>
      </c>
      <c r="C16" s="29" t="s">
        <v>31</v>
      </c>
    </row>
    <row r="17" spans="1:3" x14ac:dyDescent="0.25">
      <c r="A17" t="s">
        <v>111</v>
      </c>
      <c r="B17" s="16">
        <f>'[26]Coverage Factors'!$D$9</f>
        <v>3.6727712318755636E-2</v>
      </c>
      <c r="C17" s="9" t="s">
        <v>486</v>
      </c>
    </row>
    <row r="18" spans="1:3" x14ac:dyDescent="0.25">
      <c r="A18" t="s">
        <v>367</v>
      </c>
      <c r="B18" s="16">
        <f>'[26]Coverage Factors'!$D$10</f>
        <v>2.3835550423699774E-2</v>
      </c>
      <c r="C18" s="9" t="s">
        <v>486</v>
      </c>
    </row>
    <row r="19" spans="1:3" x14ac:dyDescent="0.25">
      <c r="A19" t="s">
        <v>146</v>
      </c>
      <c r="B19" s="86">
        <f>'[26]Coverage Factors'!$D$11</f>
        <v>3.4773485341240841E-2</v>
      </c>
      <c r="C19" s="9" t="s">
        <v>486</v>
      </c>
    </row>
    <row r="20" spans="1:3" x14ac:dyDescent="0.25">
      <c r="B20" s="16">
        <f>SUM(B17:B19)</f>
        <v>9.5336748083696243E-2</v>
      </c>
    </row>
    <row r="23" spans="1:3" x14ac:dyDescent="0.25">
      <c r="A23" s="6" t="s">
        <v>161</v>
      </c>
      <c r="B23" s="16">
        <f>'[26]Coverage Factors'!$D$18</f>
        <v>5.279665233179142E-2</v>
      </c>
      <c r="C23" s="9" t="s">
        <v>486</v>
      </c>
    </row>
    <row r="24" spans="1:3" x14ac:dyDescent="0.25">
      <c r="A24" s="6" t="s">
        <v>152</v>
      </c>
    </row>
    <row r="26" spans="1:3" x14ac:dyDescent="0.25">
      <c r="A26" s="6"/>
    </row>
    <row r="27" spans="1:3" x14ac:dyDescent="0.25">
      <c r="A27" s="6" t="s">
        <v>162</v>
      </c>
    </row>
    <row r="28" spans="1:3" x14ac:dyDescent="0.25">
      <c r="A28" s="6"/>
    </row>
    <row r="29" spans="1:3" x14ac:dyDescent="0.25">
      <c r="A29" s="29" t="s">
        <v>147</v>
      </c>
      <c r="B29" s="134" t="s">
        <v>18</v>
      </c>
      <c r="C29" s="29" t="s">
        <v>31</v>
      </c>
    </row>
    <row r="30" spans="1:3" x14ac:dyDescent="0.25">
      <c r="A30" t="s">
        <v>111</v>
      </c>
      <c r="B30" s="16">
        <f>'[26]Coverage Factors'!$D$26</f>
        <v>0.3789013010017413</v>
      </c>
      <c r="C30" s="9" t="s">
        <v>486</v>
      </c>
    </row>
    <row r="31" spans="1:3" x14ac:dyDescent="0.25">
      <c r="A31" t="s">
        <v>367</v>
      </c>
      <c r="B31" s="16">
        <f>'[26]Coverage Factors'!$D$27</f>
        <v>0.50718024430472242</v>
      </c>
      <c r="C31" s="9" t="s">
        <v>486</v>
      </c>
    </row>
    <row r="32" spans="1:3" x14ac:dyDescent="0.25">
      <c r="A32" t="s">
        <v>146</v>
      </c>
      <c r="B32" s="86">
        <f>'[26]Coverage Factors'!$D$28</f>
        <v>0.11391845469353627</v>
      </c>
      <c r="C32" s="9" t="s">
        <v>486</v>
      </c>
    </row>
    <row r="33" spans="1:3" x14ac:dyDescent="0.25">
      <c r="B33" s="16">
        <f>SUM(B30:B32)</f>
        <v>0.99999999999999989</v>
      </c>
    </row>
    <row r="36" spans="1:3" x14ac:dyDescent="0.25">
      <c r="A36" s="6" t="s">
        <v>159</v>
      </c>
      <c r="B36" s="16">
        <v>0.40960620514681251</v>
      </c>
      <c r="C36" t="s">
        <v>150</v>
      </c>
    </row>
    <row r="37" spans="1:3" x14ac:dyDescent="0.25">
      <c r="A37" s="6"/>
    </row>
    <row r="38" spans="1:3" x14ac:dyDescent="0.25">
      <c r="A38" s="6" t="s">
        <v>160</v>
      </c>
      <c r="B38" s="16">
        <v>3.9119557525076253E-2</v>
      </c>
      <c r="C38" t="s">
        <v>150</v>
      </c>
    </row>
    <row r="40" spans="1:3" x14ac:dyDescent="0.25">
      <c r="A40" s="6" t="s">
        <v>176</v>
      </c>
      <c r="B40" s="16">
        <f>'[18]Container Statistics'!$C$39</f>
        <v>0.64404798753417358</v>
      </c>
      <c r="C40" t="s">
        <v>151</v>
      </c>
    </row>
    <row r="41" spans="1:3" x14ac:dyDescent="0.25">
      <c r="A41" t="s">
        <v>178</v>
      </c>
    </row>
    <row r="42" spans="1:3" x14ac:dyDescent="0.25">
      <c r="A42" s="12" t="s">
        <v>179</v>
      </c>
    </row>
    <row r="44" spans="1:3" x14ac:dyDescent="0.25">
      <c r="A44" s="6" t="s">
        <v>176</v>
      </c>
      <c r="B44" s="16">
        <v>1</v>
      </c>
      <c r="C44" t="s">
        <v>151</v>
      </c>
    </row>
    <row r="45" spans="1:3" x14ac:dyDescent="0.25">
      <c r="A45" t="s">
        <v>187</v>
      </c>
    </row>
    <row r="46" spans="1:3" x14ac:dyDescent="0.25">
      <c r="A46" s="12"/>
    </row>
    <row r="48" spans="1:3" x14ac:dyDescent="0.25">
      <c r="A48" s="6" t="s">
        <v>247</v>
      </c>
      <c r="B48" s="16">
        <f>'[18]Miscellaneous Data'!$B$5</f>
        <v>0.39751958224543082</v>
      </c>
      <c r="C48" t="s">
        <v>151</v>
      </c>
    </row>
  </sheetData>
  <phoneticPr fontId="3" type="noConversion"/>
  <printOptions horizontalCentered="1"/>
  <pageMargins left="0.75" right="0.75" top="1" bottom="1" header="0.5" footer="0.5"/>
  <pageSetup orientation="portrait" r:id="rId1"/>
  <headerFooter alignWithMargins="0">
    <oddHeader>&amp;RPage 9 of 50</oddHeader>
    <oddFooter>&amp;R&amp;F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>
    <pageSetUpPr fitToPage="1"/>
  </sheetPr>
  <dimension ref="A1:N70"/>
  <sheetViews>
    <sheetView topLeftCell="A33" zoomScale="75" workbookViewId="0"/>
  </sheetViews>
  <sheetFormatPr defaultColWidth="9.109375" defaultRowHeight="13.2" x14ac:dyDescent="0.25"/>
  <cols>
    <col min="1" max="1" width="20.6640625" customWidth="1"/>
    <col min="2" max="5" width="10.6640625" style="4" customWidth="1"/>
    <col min="6" max="7" width="10.6640625" style="16" customWidth="1"/>
    <col min="8" max="8" width="10.6640625" style="4" customWidth="1"/>
    <col min="9" max="9" width="12.6640625" style="20" customWidth="1"/>
    <col min="10" max="14" width="12.6640625" style="24" customWidth="1"/>
  </cols>
  <sheetData>
    <row r="1" spans="1:14" ht="15.6" x14ac:dyDescent="0.3">
      <c r="A1" s="5" t="s">
        <v>383</v>
      </c>
      <c r="J1" s="20"/>
      <c r="K1" s="20"/>
      <c r="L1" s="20"/>
    </row>
    <row r="2" spans="1:14" x14ac:dyDescent="0.25">
      <c r="J2" s="20"/>
      <c r="K2" s="20"/>
      <c r="L2" s="20"/>
    </row>
    <row r="3" spans="1:14" x14ac:dyDescent="0.25">
      <c r="B3" s="8" t="s">
        <v>107</v>
      </c>
      <c r="J3" s="20"/>
      <c r="K3" s="20"/>
      <c r="L3" s="20"/>
    </row>
    <row r="4" spans="1:14" x14ac:dyDescent="0.25">
      <c r="A4" s="6"/>
      <c r="B4" s="8" t="s">
        <v>92</v>
      </c>
      <c r="C4" s="8"/>
      <c r="D4" s="8"/>
      <c r="E4" s="8"/>
      <c r="F4" s="17"/>
      <c r="G4" s="17"/>
      <c r="H4" s="8"/>
      <c r="I4" s="21"/>
      <c r="J4" s="21"/>
      <c r="K4" s="21"/>
      <c r="L4" s="21"/>
    </row>
    <row r="5" spans="1:14" x14ac:dyDescent="0.25">
      <c r="A5" s="6" t="s">
        <v>89</v>
      </c>
      <c r="B5" s="8" t="s">
        <v>93</v>
      </c>
      <c r="C5" s="8"/>
      <c r="D5" s="8"/>
      <c r="E5" s="8"/>
      <c r="F5" s="17"/>
      <c r="G5" s="17"/>
      <c r="H5" s="8"/>
      <c r="I5" s="21"/>
      <c r="J5" s="21"/>
      <c r="K5" s="21"/>
      <c r="L5" s="21"/>
    </row>
    <row r="6" spans="1:14" x14ac:dyDescent="0.25">
      <c r="A6" t="s">
        <v>90</v>
      </c>
      <c r="B6" s="4">
        <f>'[23]Cubic Feet Summary'!$C$8</f>
        <v>5.0051979210507871E-2</v>
      </c>
      <c r="J6" s="20"/>
      <c r="K6" s="20"/>
      <c r="L6" s="20"/>
    </row>
    <row r="7" spans="1:14" x14ac:dyDescent="0.25">
      <c r="A7" t="s">
        <v>148</v>
      </c>
      <c r="B7" s="4">
        <f>'[23]Cubic Feet Summary'!$C$9</f>
        <v>4.4396436227224015E-2</v>
      </c>
      <c r="J7" s="20"/>
      <c r="K7" s="20"/>
      <c r="L7" s="20"/>
    </row>
    <row r="8" spans="1:14" x14ac:dyDescent="0.25">
      <c r="A8" t="s">
        <v>149</v>
      </c>
      <c r="B8" s="4">
        <f>'[23]Cubic Feet Summary'!$C$10</f>
        <v>3.6659933239181562E-2</v>
      </c>
      <c r="J8" s="20"/>
      <c r="K8" s="20"/>
      <c r="L8" s="20"/>
    </row>
    <row r="9" spans="1:14" x14ac:dyDescent="0.25">
      <c r="A9" t="s">
        <v>321</v>
      </c>
      <c r="B9" s="4">
        <f>'[23]Cubic Feet Summary'!$C$11</f>
        <v>2.5505039603535756E-2</v>
      </c>
      <c r="J9" s="20"/>
      <c r="K9" s="20"/>
      <c r="L9" s="20"/>
    </row>
    <row r="10" spans="1:14" x14ac:dyDescent="0.25">
      <c r="J10" s="20"/>
      <c r="K10" s="20"/>
      <c r="L10" s="20"/>
    </row>
    <row r="11" spans="1:14" x14ac:dyDescent="0.25">
      <c r="J11" s="20"/>
      <c r="K11" s="20"/>
      <c r="L11" s="20"/>
    </row>
    <row r="12" spans="1:14" x14ac:dyDescent="0.25">
      <c r="A12" s="6" t="s">
        <v>177</v>
      </c>
      <c r="J12" s="20"/>
      <c r="K12" s="20"/>
      <c r="L12" s="20"/>
    </row>
    <row r="13" spans="1:14" x14ac:dyDescent="0.25">
      <c r="A13" s="6"/>
      <c r="J13" s="20"/>
      <c r="K13" s="20"/>
      <c r="L13" s="20"/>
    </row>
    <row r="14" spans="1:14" x14ac:dyDescent="0.25">
      <c r="A14" s="6"/>
      <c r="B14" s="8" t="s">
        <v>108</v>
      </c>
      <c r="C14" s="8" t="s">
        <v>109</v>
      </c>
      <c r="D14" s="8" t="s">
        <v>112</v>
      </c>
      <c r="E14" s="8" t="s">
        <v>156</v>
      </c>
      <c r="F14" s="8" t="s">
        <v>157</v>
      </c>
      <c r="G14" s="8" t="s">
        <v>192</v>
      </c>
      <c r="H14" s="8" t="s">
        <v>193</v>
      </c>
      <c r="I14" s="21" t="s">
        <v>194</v>
      </c>
      <c r="J14" s="21" t="s">
        <v>195</v>
      </c>
      <c r="K14" s="21" t="s">
        <v>196</v>
      </c>
      <c r="L14" s="21" t="s">
        <v>197</v>
      </c>
      <c r="M14" s="21" t="s">
        <v>340</v>
      </c>
      <c r="N14" s="21" t="s">
        <v>345</v>
      </c>
    </row>
    <row r="15" spans="1:14" x14ac:dyDescent="0.25">
      <c r="A15" s="6"/>
      <c r="B15" s="8"/>
      <c r="C15" s="8"/>
      <c r="D15" s="8"/>
      <c r="E15" s="8"/>
      <c r="F15" s="8"/>
      <c r="G15" s="8"/>
      <c r="H15" s="8"/>
      <c r="I15" s="21"/>
      <c r="J15" s="21"/>
      <c r="K15" s="21"/>
      <c r="L15" s="21"/>
    </row>
    <row r="16" spans="1:14" x14ac:dyDescent="0.25">
      <c r="H16" s="8" t="s">
        <v>100</v>
      </c>
      <c r="I16" s="21" t="s">
        <v>191</v>
      </c>
      <c r="J16" s="21" t="s">
        <v>185</v>
      </c>
      <c r="K16" s="21" t="s">
        <v>186</v>
      </c>
      <c r="L16" s="21" t="s">
        <v>326</v>
      </c>
      <c r="M16" s="21" t="s">
        <v>339</v>
      </c>
      <c r="N16" s="21" t="s">
        <v>339</v>
      </c>
    </row>
    <row r="17" spans="1:14" x14ac:dyDescent="0.25">
      <c r="B17" s="8" t="s">
        <v>180</v>
      </c>
      <c r="C17" s="8" t="s">
        <v>180</v>
      </c>
      <c r="D17" s="8" t="s">
        <v>180</v>
      </c>
      <c r="E17" s="8" t="s">
        <v>180</v>
      </c>
      <c r="F17" s="17" t="s">
        <v>97</v>
      </c>
      <c r="G17" s="17" t="s">
        <v>124</v>
      </c>
      <c r="H17" s="8" t="s">
        <v>180</v>
      </c>
      <c r="I17" s="21" t="s">
        <v>121</v>
      </c>
      <c r="J17" s="21" t="s">
        <v>121</v>
      </c>
      <c r="K17" s="21" t="s">
        <v>121</v>
      </c>
      <c r="L17" s="21" t="s">
        <v>121</v>
      </c>
      <c r="M17" s="21" t="s">
        <v>121</v>
      </c>
      <c r="N17" s="21" t="s">
        <v>346</v>
      </c>
    </row>
    <row r="18" spans="1:14" x14ac:dyDescent="0.25">
      <c r="B18" s="8" t="s">
        <v>181</v>
      </c>
      <c r="C18" s="8" t="s">
        <v>182</v>
      </c>
      <c r="D18" s="8" t="s">
        <v>166</v>
      </c>
      <c r="E18" s="8" t="s">
        <v>4</v>
      </c>
      <c r="F18" s="17" t="s">
        <v>18</v>
      </c>
      <c r="G18" s="17" t="s">
        <v>99</v>
      </c>
      <c r="H18" s="8" t="s">
        <v>4</v>
      </c>
      <c r="I18" s="21" t="s">
        <v>206</v>
      </c>
      <c r="J18" s="21" t="s">
        <v>206</v>
      </c>
      <c r="K18" s="21" t="s">
        <v>206</v>
      </c>
      <c r="L18" s="21" t="s">
        <v>206</v>
      </c>
      <c r="M18" s="21" t="s">
        <v>206</v>
      </c>
      <c r="N18" s="21" t="s">
        <v>206</v>
      </c>
    </row>
    <row r="19" spans="1:14" x14ac:dyDescent="0.25">
      <c r="A19" s="6" t="s">
        <v>164</v>
      </c>
      <c r="B19" s="8" t="s">
        <v>183</v>
      </c>
      <c r="C19" s="8" t="s">
        <v>183</v>
      </c>
      <c r="D19" s="8" t="s">
        <v>183</v>
      </c>
      <c r="E19" s="8" t="s">
        <v>184</v>
      </c>
      <c r="F19" s="17" t="s">
        <v>167</v>
      </c>
      <c r="G19" s="17" t="s">
        <v>18</v>
      </c>
      <c r="H19" s="8" t="s">
        <v>184</v>
      </c>
      <c r="I19" s="21" t="s">
        <v>96</v>
      </c>
      <c r="J19" s="21" t="s">
        <v>96</v>
      </c>
      <c r="K19" s="21" t="s">
        <v>96</v>
      </c>
      <c r="L19" s="21" t="s">
        <v>96</v>
      </c>
      <c r="M19" s="21" t="s">
        <v>96</v>
      </c>
      <c r="N19" s="21" t="s">
        <v>96</v>
      </c>
    </row>
    <row r="20" spans="1:14" s="12" customFormat="1" x14ac:dyDescent="0.25">
      <c r="A20" s="12" t="s">
        <v>122</v>
      </c>
      <c r="B20" s="10">
        <v>48</v>
      </c>
      <c r="C20" s="10">
        <v>40</v>
      </c>
      <c r="D20" s="10">
        <f>'Mailer Arrival Profile'!$B$40</f>
        <v>45.309278350515463</v>
      </c>
      <c r="E20" s="10">
        <f>(B20/12)*(C20/12)*(D20/12)</f>
        <v>50.343642611683848</v>
      </c>
      <c r="F20" s="18">
        <f>'Mailer Arrival Profile'!$C$40</f>
        <v>0.82439862542955344</v>
      </c>
      <c r="G20" s="18">
        <f>'Other Inputs'!$B$40</f>
        <v>0.64404798753417358</v>
      </c>
      <c r="H20" s="10">
        <f>E20*F20*G20</f>
        <v>26.730071608370441</v>
      </c>
      <c r="I20" s="22">
        <f>H20/$B$6</f>
        <v>534.04624612244606</v>
      </c>
      <c r="J20" s="22">
        <f>H20/$B$7</f>
        <v>602.07696562769354</v>
      </c>
      <c r="K20" s="22">
        <f>H20/$B$8</f>
        <v>729.1358506840312</v>
      </c>
      <c r="L20" s="22">
        <f>H20/$B$9</f>
        <v>1048.0309783429961</v>
      </c>
      <c r="M20" s="22">
        <f>I20*SUM('MP Cost Adjustments'!$E$15:$E$20)+J20*SUM('MP Cost Adjustments'!$E$23:$E$30)+K20*SUM('MP Cost Adjustments'!$E$33:$E$40)+L20*SUM('MP Cost Adjustments'!$E$43:$E$60)</f>
        <v>829.75049477521463</v>
      </c>
      <c r="N20" s="22"/>
    </row>
    <row r="21" spans="1:14" s="12" customFormat="1" x14ac:dyDescent="0.25">
      <c r="A21" s="12" t="s">
        <v>208</v>
      </c>
      <c r="B21" s="10">
        <v>48</v>
      </c>
      <c r="C21" s="10">
        <v>40</v>
      </c>
      <c r="D21" s="10">
        <f>'Mailer Arrival Profile'!$B$41</f>
        <v>38.478260869565219</v>
      </c>
      <c r="E21" s="10">
        <f>(B21/12)*(C21/12)*(D21/12)</f>
        <v>42.753623188405804</v>
      </c>
      <c r="F21" s="18">
        <f>'Mailer Arrival Profile'!$C$41</f>
        <v>1</v>
      </c>
      <c r="G21" s="18">
        <f>'Other Inputs'!$B$44</f>
        <v>1</v>
      </c>
      <c r="H21" s="10">
        <f>E21*F21*G21</f>
        <v>42.753623188405804</v>
      </c>
      <c r="I21" s="22">
        <f>H21/$B$6</f>
        <v>854.1844670835743</v>
      </c>
      <c r="J21" s="22">
        <f>H21/$B$7</f>
        <v>962.99673626031199</v>
      </c>
      <c r="K21" s="22">
        <f>H21/$B$8</f>
        <v>1166.2220689128642</v>
      </c>
      <c r="L21" s="22">
        <f>H21/$B$9</f>
        <v>1676.2813880312062</v>
      </c>
      <c r="M21" s="22">
        <f>I21*SUM('MP Cost Adjustments'!$E$15:$E$20)+J21*SUM('MP Cost Adjustments'!$E$23:$E$30)+K21*SUM('MP Cost Adjustments'!$E$33:$E$40)+L21*SUM('MP Cost Adjustments'!$E$43:$E$60)</f>
        <v>1327.1509524465309</v>
      </c>
      <c r="N21" s="22"/>
    </row>
    <row r="22" spans="1:14" s="12" customFormat="1" x14ac:dyDescent="0.25">
      <c r="A22" s="12" t="s">
        <v>209</v>
      </c>
      <c r="B22" s="10">
        <v>48</v>
      </c>
      <c r="C22" s="10">
        <v>40</v>
      </c>
      <c r="D22" s="10">
        <f>'Mailer Arrival Profile'!$B$41</f>
        <v>38.478260869565219</v>
      </c>
      <c r="E22" s="10">
        <f>(B22/12)*(C22/12)*(D22/12)</f>
        <v>42.753623188405804</v>
      </c>
      <c r="F22" s="18">
        <f>'Mailer Arrival Profile'!$C$41</f>
        <v>1</v>
      </c>
      <c r="G22" s="18">
        <f>'Other Inputs'!$B$40</f>
        <v>0.64404798753417358</v>
      </c>
      <c r="H22" s="10">
        <f>E22*F22*G22</f>
        <v>27.535384974287137</v>
      </c>
      <c r="I22" s="22">
        <f>H22/$B$6</f>
        <v>550.13578700812661</v>
      </c>
      <c r="J22" s="22">
        <f>H22/$B$7</f>
        <v>620.21610999043128</v>
      </c>
      <c r="K22" s="22">
        <f>H22/$B$8</f>
        <v>751.10297650127052</v>
      </c>
      <c r="L22" s="22">
        <f>H22/$B$9</f>
        <v>1079.6056545024896</v>
      </c>
      <c r="M22" s="22">
        <f>I22*SUM('MP Cost Adjustments'!$E$15:$E$20)+J22*SUM('MP Cost Adjustments'!$E$23:$E$30)+K22*SUM('MP Cost Adjustments'!$E$33:$E$40)+L22*SUM('MP Cost Adjustments'!$E$43:$E$60)</f>
        <v>854.74890007725003</v>
      </c>
      <c r="N22" s="22">
        <f>M22/'Mailer Arrival Profile'!$I$33</f>
        <v>17.520003491438416</v>
      </c>
    </row>
    <row r="23" spans="1:14" s="12" customFormat="1" x14ac:dyDescent="0.25">
      <c r="A23" s="12" t="s">
        <v>210</v>
      </c>
      <c r="B23" s="10">
        <v>40</v>
      </c>
      <c r="C23" s="10">
        <v>28</v>
      </c>
      <c r="D23" s="10">
        <v>62</v>
      </c>
      <c r="E23" s="10">
        <f>(B23/12)*(C23/12)*(D23/12)</f>
        <v>40.18518518518519</v>
      </c>
      <c r="F23" s="18">
        <f>'Mailer Arrival Profile'!$C$42</f>
        <v>0.89999999999999991</v>
      </c>
      <c r="G23" s="18">
        <f>'Other Inputs'!$B$40</f>
        <v>0.64404798753417358</v>
      </c>
      <c r="H23" s="10">
        <f>E23*F23*G23</f>
        <v>23.293068882485944</v>
      </c>
      <c r="I23" s="22">
        <f>H23/$B$6</f>
        <v>465.37757846738288</v>
      </c>
      <c r="J23" s="22">
        <f>H23/$B$7</f>
        <v>524.66078050207489</v>
      </c>
      <c r="K23" s="22">
        <f>H23/$B$8</f>
        <v>635.38219588437971</v>
      </c>
      <c r="L23" s="22">
        <f>H23/$B$9</f>
        <v>913.27319010541089</v>
      </c>
      <c r="M23" s="22">
        <f>I23*SUM('MP Cost Adjustments'!$E$15:$E$20)+J23*SUM('MP Cost Adjustments'!$E$23:$E$30)+K23*SUM('MP Cost Adjustments'!$E$33:$E$40)+L23*SUM('MP Cost Adjustments'!$E$43:$E$60)</f>
        <v>723.05962038738198</v>
      </c>
      <c r="N23" s="22">
        <f>M23/'Mailer Arrival Profile'!$I$33</f>
        <v>14.820735156910017</v>
      </c>
    </row>
    <row r="24" spans="1:14" s="12" customFormat="1" x14ac:dyDescent="0.25">
      <c r="B24" s="10"/>
      <c r="C24" s="10"/>
      <c r="D24" s="10"/>
      <c r="E24" s="10"/>
      <c r="F24" s="19"/>
      <c r="G24" s="18"/>
      <c r="H24" s="10"/>
      <c r="I24" s="22"/>
      <c r="J24" s="22"/>
      <c r="K24" s="22"/>
      <c r="L24" s="22"/>
      <c r="M24" s="23"/>
      <c r="N24" s="23"/>
    </row>
    <row r="25" spans="1:14" s="12" customFormat="1" x14ac:dyDescent="0.25">
      <c r="B25" s="10"/>
      <c r="C25" s="10"/>
      <c r="D25" s="10"/>
      <c r="E25" s="10"/>
      <c r="F25" s="18"/>
      <c r="G25" s="18"/>
      <c r="H25" s="10"/>
      <c r="I25" s="22"/>
      <c r="J25" s="22"/>
      <c r="K25" s="22"/>
      <c r="L25" s="22"/>
      <c r="M25" s="23"/>
      <c r="N25" s="23"/>
    </row>
    <row r="26" spans="1:14" s="12" customFormat="1" x14ac:dyDescent="0.25">
      <c r="A26" s="6" t="s">
        <v>189</v>
      </c>
      <c r="B26" s="10"/>
      <c r="C26" s="10"/>
      <c r="D26" s="10"/>
      <c r="E26" s="10"/>
      <c r="F26" s="18"/>
      <c r="G26" s="18"/>
      <c r="H26" s="10"/>
      <c r="I26" s="22"/>
      <c r="J26" s="22"/>
      <c r="K26" s="22"/>
      <c r="L26" s="22"/>
      <c r="M26" s="23"/>
      <c r="N26" s="23"/>
    </row>
    <row r="27" spans="1:14" s="12" customFormat="1" x14ac:dyDescent="0.25">
      <c r="B27" s="10"/>
      <c r="C27" s="10"/>
      <c r="D27" s="10"/>
      <c r="E27" s="10"/>
      <c r="F27" s="18"/>
      <c r="G27" s="18"/>
      <c r="H27" s="10"/>
      <c r="I27" s="22"/>
      <c r="J27" s="22"/>
      <c r="K27" s="22"/>
      <c r="L27" s="22"/>
      <c r="M27" s="23"/>
      <c r="N27" s="23"/>
    </row>
    <row r="28" spans="1:14" x14ac:dyDescent="0.25">
      <c r="H28" s="8" t="s">
        <v>100</v>
      </c>
      <c r="I28" s="21" t="s">
        <v>191</v>
      </c>
      <c r="J28" s="21" t="s">
        <v>185</v>
      </c>
      <c r="K28" s="21" t="s">
        <v>186</v>
      </c>
      <c r="L28" s="21" t="s">
        <v>326</v>
      </c>
    </row>
    <row r="29" spans="1:14" x14ac:dyDescent="0.25">
      <c r="B29" s="8" t="s">
        <v>180</v>
      </c>
      <c r="C29" s="8" t="s">
        <v>180</v>
      </c>
      <c r="D29" s="8" t="s">
        <v>180</v>
      </c>
      <c r="E29" s="8" t="s">
        <v>180</v>
      </c>
      <c r="F29" s="17" t="s">
        <v>97</v>
      </c>
      <c r="G29" s="17" t="s">
        <v>124</v>
      </c>
      <c r="H29" s="8" t="s">
        <v>180</v>
      </c>
      <c r="I29" s="21" t="s">
        <v>121</v>
      </c>
      <c r="J29" s="21" t="s">
        <v>121</v>
      </c>
      <c r="K29" s="21" t="s">
        <v>121</v>
      </c>
      <c r="L29" s="21" t="s">
        <v>121</v>
      </c>
    </row>
    <row r="30" spans="1:14" x14ac:dyDescent="0.25">
      <c r="B30" s="8" t="s">
        <v>181</v>
      </c>
      <c r="C30" s="8" t="s">
        <v>182</v>
      </c>
      <c r="D30" s="8" t="s">
        <v>166</v>
      </c>
      <c r="E30" s="8" t="s">
        <v>4</v>
      </c>
      <c r="F30" s="17" t="s">
        <v>18</v>
      </c>
      <c r="G30" s="17" t="s">
        <v>99</v>
      </c>
      <c r="H30" s="8" t="s">
        <v>4</v>
      </c>
      <c r="I30" s="21" t="s">
        <v>206</v>
      </c>
      <c r="J30" s="21" t="s">
        <v>206</v>
      </c>
      <c r="K30" s="21" t="s">
        <v>206</v>
      </c>
      <c r="L30" s="21" t="s">
        <v>206</v>
      </c>
    </row>
    <row r="31" spans="1:14" x14ac:dyDescent="0.25">
      <c r="A31" s="6" t="s">
        <v>164</v>
      </c>
      <c r="B31" s="8" t="s">
        <v>183</v>
      </c>
      <c r="C31" s="8" t="s">
        <v>183</v>
      </c>
      <c r="D31" s="8" t="s">
        <v>183</v>
      </c>
      <c r="E31" s="8" t="s">
        <v>184</v>
      </c>
      <c r="F31" s="17" t="s">
        <v>167</v>
      </c>
      <c r="G31" s="17" t="s">
        <v>18</v>
      </c>
      <c r="H31" s="8" t="s">
        <v>184</v>
      </c>
      <c r="I31" s="21" t="s">
        <v>96</v>
      </c>
      <c r="J31" s="21" t="s">
        <v>96</v>
      </c>
      <c r="K31" s="21" t="s">
        <v>96</v>
      </c>
      <c r="L31" s="21" t="s">
        <v>96</v>
      </c>
    </row>
    <row r="32" spans="1:14" s="12" customFormat="1" x14ac:dyDescent="0.25">
      <c r="A32" s="12" t="s">
        <v>172</v>
      </c>
      <c r="B32" s="10">
        <v>40</v>
      </c>
      <c r="C32" s="10">
        <v>28</v>
      </c>
      <c r="D32" s="10">
        <v>62</v>
      </c>
      <c r="E32" s="10">
        <f>(B32/12)*(C32/12)*(D32/12)</f>
        <v>40.18518518518519</v>
      </c>
      <c r="F32" s="18">
        <f>'Postal Arrival-Dispatch Profile'!$C$8</f>
        <v>0.63807339449541312</v>
      </c>
      <c r="G32" s="18">
        <f>'Other Inputs'!$B$40</f>
        <v>0.64404798753417358</v>
      </c>
      <c r="H32" s="10">
        <f>E32*F32*G32</f>
        <v>16.514097255625874</v>
      </c>
      <c r="I32" s="22">
        <f>H32/$B$6</f>
        <v>329.93894579415388</v>
      </c>
      <c r="J32" s="22">
        <f>H32/$B$7</f>
        <v>371.96898352619087</v>
      </c>
      <c r="K32" s="22">
        <f>H32/$B$8</f>
        <v>450.46719392210639</v>
      </c>
      <c r="L32" s="22">
        <f>H32/$B$9</f>
        <v>647.48369390246035</v>
      </c>
      <c r="M32" s="23"/>
      <c r="N32" s="23"/>
    </row>
    <row r="33" spans="1:14" s="12" customFormat="1" x14ac:dyDescent="0.25">
      <c r="A33" s="12" t="s">
        <v>87</v>
      </c>
      <c r="B33" s="10">
        <v>51</v>
      </c>
      <c r="C33" s="10">
        <v>40</v>
      </c>
      <c r="D33" s="10">
        <v>54</v>
      </c>
      <c r="E33" s="10">
        <f>(B33/12)*(C33/12)*(D33/12)</f>
        <v>63.750000000000007</v>
      </c>
      <c r="F33" s="18">
        <f>'Postal Arrival-Dispatch Profile'!$C$9</f>
        <v>0.73206521739130448</v>
      </c>
      <c r="G33" s="18">
        <f>'Other Inputs'!$B$40</f>
        <v>0.64404798753417358</v>
      </c>
      <c r="H33" s="10">
        <f>E33*F33*G33</f>
        <v>30.057177037795608</v>
      </c>
      <c r="I33" s="22">
        <f>H33/$B$6</f>
        <v>600.51925042527444</v>
      </c>
      <c r="J33" s="22">
        <f>H33/$B$7</f>
        <v>677.01778773325202</v>
      </c>
      <c r="K33" s="22">
        <f>H33/$B$8</f>
        <v>819.8917559858229</v>
      </c>
      <c r="L33" s="22">
        <f>H33/$B$9</f>
        <v>1178.4799202440286</v>
      </c>
      <c r="M33" s="23"/>
      <c r="N33" s="23"/>
    </row>
    <row r="34" spans="1:14" s="12" customFormat="1" x14ac:dyDescent="0.25">
      <c r="A34" s="12" t="s">
        <v>123</v>
      </c>
      <c r="B34" s="10">
        <v>47</v>
      </c>
      <c r="C34" s="10">
        <v>39</v>
      </c>
      <c r="D34" s="10">
        <v>34.5</v>
      </c>
      <c r="E34" s="10">
        <f>(B34/12)*(C34/12)*(D34/12)</f>
        <v>36.596354166666664</v>
      </c>
      <c r="F34" s="18">
        <f>'Postal Arrival-Dispatch Profile'!$C$10</f>
        <v>0.79536082474226844</v>
      </c>
      <c r="G34" s="18">
        <f>'Other Inputs'!$B$40</f>
        <v>0.64404798753417358</v>
      </c>
      <c r="H34" s="10">
        <f>E34*F34*G34</f>
        <v>18.746502130430869</v>
      </c>
      <c r="I34" s="22">
        <f>H34/$B$6</f>
        <v>374.54067603574896</v>
      </c>
      <c r="J34" s="22">
        <f>H34/$B$7</f>
        <v>422.25240860516328</v>
      </c>
      <c r="K34" s="22">
        <f>H34/$B$8</f>
        <v>511.36214591888296</v>
      </c>
      <c r="L34" s="22">
        <f>H34/$B$9</f>
        <v>735.01168482138121</v>
      </c>
      <c r="M34" s="23"/>
      <c r="N34" s="23"/>
    </row>
    <row r="35" spans="1:14" s="12" customFormat="1" x14ac:dyDescent="0.25">
      <c r="B35" s="10"/>
      <c r="C35" s="10"/>
      <c r="D35" s="10"/>
      <c r="E35" s="10"/>
      <c r="F35" s="18"/>
      <c r="G35" s="18"/>
      <c r="H35" s="10"/>
      <c r="I35" s="22"/>
      <c r="J35" s="22"/>
      <c r="K35" s="22"/>
      <c r="L35" s="22"/>
      <c r="M35" s="23"/>
      <c r="N35" s="23"/>
    </row>
    <row r="36" spans="1:14" s="12" customFormat="1" x14ac:dyDescent="0.25">
      <c r="B36" s="10"/>
      <c r="C36" s="10"/>
      <c r="D36" s="10"/>
      <c r="E36" s="10"/>
      <c r="F36" s="18"/>
      <c r="G36" s="18"/>
      <c r="H36" s="10"/>
      <c r="I36" s="22"/>
      <c r="J36" s="22"/>
      <c r="K36" s="22"/>
      <c r="L36" s="22"/>
      <c r="M36" s="23"/>
      <c r="N36" s="23"/>
    </row>
    <row r="37" spans="1:14" s="12" customFormat="1" x14ac:dyDescent="0.25">
      <c r="A37" s="6" t="s">
        <v>188</v>
      </c>
      <c r="B37" s="10"/>
      <c r="C37" s="10"/>
      <c r="D37" s="10"/>
      <c r="E37" s="10"/>
      <c r="F37" s="18"/>
      <c r="G37" s="18"/>
      <c r="H37" s="10"/>
      <c r="I37" s="22"/>
      <c r="J37" s="22"/>
      <c r="K37" s="22"/>
      <c r="L37" s="22"/>
      <c r="M37" s="23"/>
      <c r="N37" s="23"/>
    </row>
    <row r="38" spans="1:14" s="12" customFormat="1" x14ac:dyDescent="0.25">
      <c r="B38" s="10"/>
      <c r="C38" s="10"/>
      <c r="D38" s="10"/>
      <c r="E38" s="10"/>
      <c r="F38" s="18"/>
      <c r="G38" s="18"/>
      <c r="H38" s="10"/>
      <c r="I38" s="22"/>
      <c r="J38" s="22"/>
      <c r="K38" s="22"/>
      <c r="L38" s="22"/>
      <c r="M38" s="23"/>
      <c r="N38" s="23"/>
    </row>
    <row r="39" spans="1:14" x14ac:dyDescent="0.25">
      <c r="H39" s="8" t="s">
        <v>100</v>
      </c>
      <c r="I39" s="21" t="s">
        <v>191</v>
      </c>
      <c r="J39" s="21" t="s">
        <v>185</v>
      </c>
      <c r="K39" s="21" t="s">
        <v>186</v>
      </c>
      <c r="L39" s="21" t="s">
        <v>326</v>
      </c>
    </row>
    <row r="40" spans="1:14" x14ac:dyDescent="0.25">
      <c r="B40" s="8" t="s">
        <v>180</v>
      </c>
      <c r="C40" s="8" t="s">
        <v>180</v>
      </c>
      <c r="D40" s="8" t="s">
        <v>180</v>
      </c>
      <c r="E40" s="8" t="s">
        <v>180</v>
      </c>
      <c r="F40" s="17" t="s">
        <v>97</v>
      </c>
      <c r="G40" s="17" t="s">
        <v>124</v>
      </c>
      <c r="H40" s="8" t="s">
        <v>180</v>
      </c>
      <c r="I40" s="21" t="s">
        <v>121</v>
      </c>
      <c r="J40" s="21" t="s">
        <v>121</v>
      </c>
      <c r="K40" s="21" t="s">
        <v>121</v>
      </c>
      <c r="L40" s="21" t="s">
        <v>121</v>
      </c>
    </row>
    <row r="41" spans="1:14" x14ac:dyDescent="0.25">
      <c r="B41" s="8" t="s">
        <v>181</v>
      </c>
      <c r="C41" s="8" t="s">
        <v>182</v>
      </c>
      <c r="D41" s="8" t="s">
        <v>166</v>
      </c>
      <c r="E41" s="8" t="s">
        <v>4</v>
      </c>
      <c r="F41" s="17" t="s">
        <v>18</v>
      </c>
      <c r="G41" s="17" t="s">
        <v>99</v>
      </c>
      <c r="H41" s="8" t="s">
        <v>4</v>
      </c>
      <c r="I41" s="21" t="s">
        <v>206</v>
      </c>
      <c r="J41" s="21" t="s">
        <v>206</v>
      </c>
      <c r="K41" s="21" t="s">
        <v>206</v>
      </c>
      <c r="L41" s="21" t="s">
        <v>206</v>
      </c>
    </row>
    <row r="42" spans="1:14" x14ac:dyDescent="0.25">
      <c r="A42" s="6" t="s">
        <v>164</v>
      </c>
      <c r="B42" s="8" t="s">
        <v>183</v>
      </c>
      <c r="C42" s="8" t="s">
        <v>183</v>
      </c>
      <c r="D42" s="8" t="s">
        <v>183</v>
      </c>
      <c r="E42" s="8" t="s">
        <v>184</v>
      </c>
      <c r="F42" s="17" t="s">
        <v>167</v>
      </c>
      <c r="G42" s="17" t="s">
        <v>18</v>
      </c>
      <c r="H42" s="8" t="s">
        <v>184</v>
      </c>
      <c r="I42" s="21" t="s">
        <v>96</v>
      </c>
      <c r="J42" s="21" t="s">
        <v>96</v>
      </c>
      <c r="K42" s="21" t="s">
        <v>96</v>
      </c>
      <c r="L42" s="21" t="s">
        <v>96</v>
      </c>
    </row>
    <row r="43" spans="1:14" s="12" customFormat="1" x14ac:dyDescent="0.25">
      <c r="A43" s="12" t="s">
        <v>122</v>
      </c>
      <c r="B43" s="10">
        <v>48</v>
      </c>
      <c r="C43" s="10">
        <v>40</v>
      </c>
      <c r="D43" s="10">
        <f>'Mailer Arrival Profile'!B40</f>
        <v>45.309278350515463</v>
      </c>
      <c r="E43" s="10">
        <f t="shared" ref="E43:E48" si="0">(B43/12)*(C43/12)*(D43/12)</f>
        <v>50.343642611683848</v>
      </c>
      <c r="F43" s="18">
        <f>'Postal Arrival-Dispatch Profile'!$C$21</f>
        <v>0.80756302521008438</v>
      </c>
      <c r="G43" s="18">
        <f>'Other Inputs'!$B$40</f>
        <v>0.64404798753417358</v>
      </c>
      <c r="H43" s="10">
        <f t="shared" ref="H43:H49" si="1">E43*F43*G43</f>
        <v>26.184198792047116</v>
      </c>
      <c r="I43" s="22">
        <f t="shared" ref="I43:I49" si="2">H43/$B$6</f>
        <v>523.14012762456412</v>
      </c>
      <c r="J43" s="22">
        <f t="shared" ref="J43:J49" si="3">H43/$B$7</f>
        <v>589.78154593388047</v>
      </c>
      <c r="K43" s="22">
        <f t="shared" ref="K43:K49" si="4">H43/$B$8</f>
        <v>714.24567582304962</v>
      </c>
      <c r="L43" s="22">
        <f t="shared" ref="L43:L49" si="5">H43/$B$9</f>
        <v>1026.6284310500428</v>
      </c>
      <c r="M43" s="23"/>
      <c r="N43" s="23"/>
    </row>
    <row r="44" spans="1:14" s="12" customFormat="1" x14ac:dyDescent="0.25">
      <c r="A44" s="12" t="s">
        <v>172</v>
      </c>
      <c r="B44" s="10">
        <v>40</v>
      </c>
      <c r="C44" s="10">
        <v>28</v>
      </c>
      <c r="D44" s="10">
        <v>62</v>
      </c>
      <c r="E44" s="10">
        <f t="shared" si="0"/>
        <v>40.18518518518519</v>
      </c>
      <c r="F44" s="18">
        <f>'Postal Arrival-Dispatch Profile'!$C$22</f>
        <v>0.68650000000000022</v>
      </c>
      <c r="G44" s="18">
        <f>'Other Inputs'!$B$40</f>
        <v>0.64404798753417358</v>
      </c>
      <c r="H44" s="10">
        <f t="shared" si="1"/>
        <v>17.767435319807344</v>
      </c>
      <c r="I44" s="22">
        <f t="shared" si="2"/>
        <v>354.97967513095392</v>
      </c>
      <c r="J44" s="22">
        <f t="shared" si="3"/>
        <v>400.19958423852734</v>
      </c>
      <c r="K44" s="22">
        <f t="shared" si="4"/>
        <v>484.65541941625219</v>
      </c>
      <c r="L44" s="22">
        <f t="shared" si="5"/>
        <v>696.62449445262769</v>
      </c>
      <c r="M44" s="23"/>
      <c r="N44" s="23"/>
    </row>
    <row r="45" spans="1:14" s="12" customFormat="1" x14ac:dyDescent="0.25">
      <c r="A45" s="12" t="s">
        <v>87</v>
      </c>
      <c r="B45" s="10">
        <v>51</v>
      </c>
      <c r="C45" s="10">
        <v>40</v>
      </c>
      <c r="D45" s="10">
        <v>54</v>
      </c>
      <c r="E45" s="10">
        <f t="shared" si="0"/>
        <v>63.750000000000007</v>
      </c>
      <c r="F45" s="18">
        <f>'Postal Arrival-Dispatch Profile'!$C$23</f>
        <v>0.81419491525423671</v>
      </c>
      <c r="G45" s="18">
        <f>'Other Inputs'!$B$40</f>
        <v>0.64404798753417358</v>
      </c>
      <c r="H45" s="10">
        <f t="shared" si="1"/>
        <v>33.429263035165576</v>
      </c>
      <c r="I45" s="22">
        <f t="shared" si="2"/>
        <v>667.89093183646696</v>
      </c>
      <c r="J45" s="22">
        <f t="shared" si="3"/>
        <v>752.97176701463843</v>
      </c>
      <c r="K45" s="22">
        <f t="shared" si="4"/>
        <v>911.87462936885288</v>
      </c>
      <c r="L45" s="22">
        <f t="shared" si="5"/>
        <v>1310.6924574440295</v>
      </c>
      <c r="M45" s="23"/>
      <c r="N45" s="23"/>
    </row>
    <row r="46" spans="1:14" s="12" customFormat="1" x14ac:dyDescent="0.25">
      <c r="A46" s="12" t="s">
        <v>123</v>
      </c>
      <c r="B46" s="10">
        <v>47</v>
      </c>
      <c r="C46" s="10">
        <v>39</v>
      </c>
      <c r="D46" s="10">
        <v>34.5</v>
      </c>
      <c r="E46" s="10">
        <f t="shared" si="0"/>
        <v>36.596354166666664</v>
      </c>
      <c r="F46" s="18">
        <f>'Postal Arrival-Dispatch Profile'!$C$24</f>
        <v>0.72893382352941183</v>
      </c>
      <c r="G46" s="18">
        <f>'Other Inputs'!$B$40</f>
        <v>0.64404798753417358</v>
      </c>
      <c r="H46" s="10">
        <f t="shared" si="1"/>
        <v>17.180830449079863</v>
      </c>
      <c r="I46" s="22">
        <f t="shared" si="2"/>
        <v>343.25976155350384</v>
      </c>
      <c r="J46" s="22">
        <f t="shared" si="3"/>
        <v>386.98670229176031</v>
      </c>
      <c r="K46" s="22">
        <f t="shared" si="4"/>
        <v>468.65416630702595</v>
      </c>
      <c r="L46" s="22">
        <f t="shared" si="5"/>
        <v>673.62492731429006</v>
      </c>
      <c r="M46" s="23"/>
      <c r="N46" s="23"/>
    </row>
    <row r="47" spans="1:14" s="12" customFormat="1" x14ac:dyDescent="0.25">
      <c r="A47" s="12" t="s">
        <v>174</v>
      </c>
      <c r="B47" s="10">
        <v>48</v>
      </c>
      <c r="C47" s="10">
        <v>40</v>
      </c>
      <c r="D47" s="10">
        <v>69</v>
      </c>
      <c r="E47" s="10">
        <f t="shared" si="0"/>
        <v>76.666666666666671</v>
      </c>
      <c r="F47" s="18">
        <f>'Postal Arrival-Dispatch Profile'!$C$18</f>
        <v>0.98309859154929569</v>
      </c>
      <c r="G47" s="18">
        <f>'Other Inputs'!$B$40</f>
        <v>0.64404798753417358</v>
      </c>
      <c r="H47" s="10">
        <f t="shared" si="1"/>
        <v>48.542471323350341</v>
      </c>
      <c r="I47" s="22">
        <f t="shared" si="2"/>
        <v>969.84119487445514</v>
      </c>
      <c r="J47" s="22">
        <f t="shared" si="3"/>
        <v>1093.3866645265541</v>
      </c>
      <c r="K47" s="22">
        <f t="shared" si="4"/>
        <v>1324.1287431333592</v>
      </c>
      <c r="L47" s="22">
        <f t="shared" si="5"/>
        <v>1903.2501841957899</v>
      </c>
      <c r="M47" s="22">
        <f>I47*SUM('MP Cost Adjustments'!$E$15:$E$20)+J47*SUM('MP Cost Adjustments'!$E$23:$E$30)+K47*SUM('MP Cost Adjustments'!$E$33:$E$40)+L47*SUM('MP Cost Adjustments'!$E$43:$E$60)</f>
        <v>1506.8474259361369</v>
      </c>
      <c r="N47" s="22">
        <f>M47/'Mailer Arrival Profile'!$I$33</f>
        <v>30.886231220748158</v>
      </c>
    </row>
    <row r="48" spans="1:14" s="12" customFormat="1" x14ac:dyDescent="0.25">
      <c r="A48" s="12" t="s">
        <v>88</v>
      </c>
      <c r="B48" s="10">
        <v>48</v>
      </c>
      <c r="C48" s="10">
        <v>28</v>
      </c>
      <c r="D48" s="10">
        <v>28</v>
      </c>
      <c r="E48" s="10">
        <f t="shared" si="0"/>
        <v>21.777777777777782</v>
      </c>
      <c r="F48" s="18">
        <f>F46</f>
        <v>0.72893382352941183</v>
      </c>
      <c r="G48" s="18">
        <f>'Other Inputs'!$B$40</f>
        <v>0.64404798753417358</v>
      </c>
      <c r="H48" s="10">
        <f t="shared" si="1"/>
        <v>10.223977663286979</v>
      </c>
      <c r="I48" s="22">
        <f t="shared" si="2"/>
        <v>204.26720030964461</v>
      </c>
      <c r="J48" s="22">
        <f t="shared" si="3"/>
        <v>230.28825131278461</v>
      </c>
      <c r="K48" s="22">
        <f t="shared" si="4"/>
        <v>278.88696895824546</v>
      </c>
      <c r="L48" s="22">
        <f t="shared" si="5"/>
        <v>400.86107774048043</v>
      </c>
      <c r="M48" s="23"/>
      <c r="N48" s="23"/>
    </row>
    <row r="49" spans="1:14" s="12" customFormat="1" x14ac:dyDescent="0.25">
      <c r="A49" s="12" t="s">
        <v>302</v>
      </c>
      <c r="B49" s="10">
        <v>34</v>
      </c>
      <c r="C49" s="10">
        <f>(61*7)/(2*22)</f>
        <v>9.704545454545455</v>
      </c>
      <c r="D49" s="10" t="str">
        <f>"---"</f>
        <v>---</v>
      </c>
      <c r="E49" s="10">
        <f>(22/7)*(C49/12)^2*(B49/12)</f>
        <v>5.8238504840067344</v>
      </c>
      <c r="F49" s="18">
        <v>1</v>
      </c>
      <c r="G49" s="18">
        <f>'Other Inputs'!$B$40</f>
        <v>0.64404798753417358</v>
      </c>
      <c r="H49" s="10">
        <f t="shared" si="1"/>
        <v>3.7508391839244601</v>
      </c>
      <c r="I49" s="22">
        <f t="shared" si="2"/>
        <v>74.938878403773728</v>
      </c>
      <c r="J49" s="22">
        <f t="shared" si="3"/>
        <v>84.485141211051427</v>
      </c>
      <c r="K49" s="22">
        <f t="shared" si="4"/>
        <v>102.3144030146684</v>
      </c>
      <c r="L49" s="22">
        <f t="shared" si="5"/>
        <v>147.06266848550521</v>
      </c>
      <c r="M49" s="23"/>
      <c r="N49" s="23"/>
    </row>
    <row r="50" spans="1:14" s="12" customFormat="1" x14ac:dyDescent="0.25">
      <c r="B50" s="10"/>
      <c r="C50" s="10"/>
      <c r="D50" s="10"/>
      <c r="E50" s="10"/>
      <c r="F50" s="18"/>
      <c r="G50" s="18"/>
      <c r="H50" s="10"/>
      <c r="I50" s="22"/>
      <c r="J50" s="22"/>
      <c r="K50" s="22"/>
      <c r="L50" s="22"/>
      <c r="M50" s="23"/>
      <c r="N50" s="23"/>
    </row>
    <row r="51" spans="1:14" s="12" customFormat="1" x14ac:dyDescent="0.25">
      <c r="B51" s="10"/>
      <c r="C51" s="10"/>
      <c r="D51" s="10"/>
      <c r="E51" s="10"/>
      <c r="F51" s="18"/>
      <c r="G51" s="18"/>
      <c r="H51" s="10"/>
      <c r="I51" s="22"/>
      <c r="J51" s="22"/>
      <c r="K51" s="22"/>
      <c r="L51" s="22"/>
      <c r="M51" s="23"/>
      <c r="N51" s="23"/>
    </row>
    <row r="52" spans="1:14" s="12" customFormat="1" x14ac:dyDescent="0.25">
      <c r="A52" s="29" t="s">
        <v>259</v>
      </c>
      <c r="B52" s="10"/>
      <c r="C52" s="10"/>
      <c r="D52" s="10"/>
      <c r="E52" s="10"/>
      <c r="F52" s="18"/>
      <c r="G52" s="18"/>
      <c r="H52" s="10"/>
      <c r="I52" s="22"/>
      <c r="J52" s="22"/>
      <c r="K52" s="22"/>
      <c r="L52" s="22"/>
      <c r="M52" s="23"/>
      <c r="N52" s="23"/>
    </row>
    <row r="53" spans="1:14" s="12" customFormat="1" x14ac:dyDescent="0.25">
      <c r="A53" s="6" t="s">
        <v>359</v>
      </c>
      <c r="B53" s="10"/>
      <c r="C53" s="10"/>
      <c r="D53" s="10"/>
      <c r="E53" s="10"/>
      <c r="F53" s="18"/>
      <c r="G53" s="18"/>
      <c r="H53" s="10"/>
      <c r="I53" s="22"/>
      <c r="J53" s="22"/>
      <c r="K53" s="22"/>
      <c r="L53" s="22"/>
      <c r="M53" s="23"/>
      <c r="N53" s="23"/>
    </row>
    <row r="54" spans="1:14" s="12" customFormat="1" x14ac:dyDescent="0.25">
      <c r="A54" s="6" t="s">
        <v>356</v>
      </c>
      <c r="B54" s="10"/>
      <c r="C54" s="10"/>
      <c r="D54" s="10"/>
      <c r="E54" s="10"/>
      <c r="F54" s="18"/>
      <c r="G54" s="18"/>
      <c r="H54" s="10"/>
      <c r="I54" s="22"/>
      <c r="J54" s="22"/>
      <c r="K54" s="22"/>
      <c r="L54" s="22"/>
      <c r="M54" s="23"/>
      <c r="N54" s="23"/>
    </row>
    <row r="55" spans="1:14" s="12" customFormat="1" x14ac:dyDescent="0.25">
      <c r="A55" s="6" t="s">
        <v>357</v>
      </c>
      <c r="B55" s="10"/>
      <c r="C55" s="10"/>
      <c r="D55" s="10"/>
      <c r="E55" s="10"/>
      <c r="F55" s="18"/>
      <c r="G55" s="18"/>
      <c r="H55" s="10"/>
      <c r="I55" s="22"/>
      <c r="J55" s="22"/>
      <c r="K55" s="22"/>
      <c r="L55" s="22"/>
      <c r="M55" s="23"/>
      <c r="N55" s="23"/>
    </row>
    <row r="56" spans="1:14" s="12" customFormat="1" x14ac:dyDescent="0.25">
      <c r="A56" s="6" t="s">
        <v>358</v>
      </c>
      <c r="B56" s="10"/>
      <c r="C56" s="10"/>
      <c r="D56" s="10"/>
      <c r="E56" s="10"/>
      <c r="F56" s="18"/>
      <c r="G56" s="18"/>
      <c r="H56" s="10"/>
      <c r="I56" s="22"/>
      <c r="J56" s="22"/>
      <c r="K56" s="22"/>
      <c r="L56" s="22"/>
      <c r="M56" s="23"/>
      <c r="N56" s="23"/>
    </row>
    <row r="57" spans="1:14" s="12" customFormat="1" x14ac:dyDescent="0.25">
      <c r="A57" s="6" t="s">
        <v>288</v>
      </c>
      <c r="B57" s="10"/>
      <c r="C57" s="10"/>
      <c r="D57" s="10"/>
      <c r="E57" s="10"/>
      <c r="F57" s="18"/>
      <c r="G57" s="18"/>
      <c r="H57" s="10"/>
      <c r="I57" s="22"/>
      <c r="J57" s="22"/>
      <c r="K57" s="22"/>
      <c r="L57" s="22"/>
      <c r="M57" s="23"/>
      <c r="N57" s="23"/>
    </row>
    <row r="58" spans="1:14" s="12" customFormat="1" x14ac:dyDescent="0.25">
      <c r="A58" s="6" t="s">
        <v>289</v>
      </c>
      <c r="B58" s="10"/>
      <c r="C58" s="10"/>
      <c r="D58" s="10"/>
      <c r="E58" s="10"/>
      <c r="F58" s="18"/>
      <c r="G58" s="18"/>
      <c r="H58" s="10"/>
      <c r="I58" s="22"/>
      <c r="J58" s="23"/>
      <c r="K58" s="23"/>
      <c r="L58" s="23"/>
      <c r="M58" s="23"/>
      <c r="N58" s="23"/>
    </row>
    <row r="59" spans="1:14" s="12" customFormat="1" x14ac:dyDescent="0.25">
      <c r="A59" s="6" t="s">
        <v>290</v>
      </c>
      <c r="B59" s="10"/>
      <c r="C59" s="10"/>
      <c r="D59" s="10"/>
      <c r="E59" s="10"/>
      <c r="F59" s="18"/>
      <c r="G59" s="18"/>
      <c r="H59" s="10"/>
      <c r="I59" s="22"/>
      <c r="J59" s="23"/>
      <c r="K59" s="23"/>
      <c r="L59" s="23"/>
      <c r="M59" s="23"/>
      <c r="N59" s="23"/>
    </row>
    <row r="60" spans="1:14" s="12" customFormat="1" x14ac:dyDescent="0.25">
      <c r="A60" s="6" t="s">
        <v>291</v>
      </c>
      <c r="B60" s="10"/>
      <c r="C60" s="10"/>
      <c r="D60" s="10"/>
      <c r="E60" s="10"/>
      <c r="F60" s="18"/>
      <c r="G60" s="18"/>
      <c r="H60" s="10"/>
      <c r="I60" s="22"/>
      <c r="J60" s="23"/>
      <c r="K60" s="23"/>
      <c r="L60" s="23"/>
      <c r="M60" s="23"/>
      <c r="N60" s="23"/>
    </row>
    <row r="61" spans="1:14" s="12" customFormat="1" x14ac:dyDescent="0.25">
      <c r="A61" s="6" t="s">
        <v>292</v>
      </c>
      <c r="B61" s="10"/>
      <c r="C61" s="10"/>
      <c r="D61" s="10"/>
      <c r="E61" s="10"/>
      <c r="F61" s="18"/>
      <c r="G61" s="18"/>
      <c r="H61" s="10"/>
      <c r="I61" s="23"/>
      <c r="J61" s="23"/>
      <c r="K61" s="23"/>
      <c r="L61" s="23"/>
      <c r="M61" s="23"/>
      <c r="N61" s="23"/>
    </row>
    <row r="62" spans="1:14" s="12" customFormat="1" x14ac:dyDescent="0.25">
      <c r="A62" s="6" t="s">
        <v>293</v>
      </c>
      <c r="B62" s="10"/>
      <c r="C62" s="10"/>
      <c r="D62" s="10"/>
      <c r="E62" s="10"/>
      <c r="F62" s="18"/>
      <c r="G62" s="18"/>
      <c r="H62" s="10"/>
      <c r="I62" s="23"/>
      <c r="J62" s="23"/>
      <c r="K62" s="23"/>
      <c r="L62" s="23"/>
      <c r="M62" s="23"/>
      <c r="N62" s="23"/>
    </row>
    <row r="63" spans="1:14" s="12" customFormat="1" x14ac:dyDescent="0.25">
      <c r="A63" s="6" t="s">
        <v>294</v>
      </c>
      <c r="B63" s="10"/>
      <c r="C63" s="10"/>
      <c r="D63" s="10"/>
      <c r="E63" s="10"/>
      <c r="F63" s="18"/>
      <c r="G63" s="18"/>
      <c r="H63" s="10"/>
      <c r="I63" s="23"/>
      <c r="J63" s="23"/>
      <c r="K63" s="23"/>
      <c r="L63" s="23"/>
      <c r="M63" s="23"/>
      <c r="N63" s="23"/>
    </row>
    <row r="64" spans="1:14" s="12" customFormat="1" x14ac:dyDescent="0.25">
      <c r="A64" s="6" t="s">
        <v>295</v>
      </c>
      <c r="B64" s="10"/>
      <c r="C64" s="10"/>
      <c r="D64" s="10"/>
      <c r="E64" s="10"/>
      <c r="F64" s="18"/>
      <c r="G64" s="18"/>
      <c r="H64" s="10"/>
      <c r="I64" s="23"/>
      <c r="J64" s="23"/>
      <c r="K64" s="23"/>
      <c r="L64" s="23"/>
      <c r="M64" s="23"/>
      <c r="N64" s="23"/>
    </row>
    <row r="65" spans="1:14" s="12" customFormat="1" x14ac:dyDescent="0.25">
      <c r="A65" s="6" t="s">
        <v>344</v>
      </c>
      <c r="B65" s="10"/>
      <c r="C65" s="10"/>
      <c r="D65" s="10"/>
      <c r="E65" s="10"/>
      <c r="F65" s="18"/>
      <c r="G65" s="18"/>
      <c r="H65" s="10"/>
      <c r="I65" s="23"/>
      <c r="J65" s="23"/>
      <c r="K65" s="23"/>
      <c r="L65" s="23"/>
      <c r="M65" s="23"/>
      <c r="N65" s="23"/>
    </row>
    <row r="66" spans="1:14" s="12" customFormat="1" x14ac:dyDescent="0.25">
      <c r="A66" s="6" t="s">
        <v>364</v>
      </c>
      <c r="B66" s="10"/>
      <c r="C66" s="10"/>
      <c r="D66" s="10"/>
      <c r="E66" s="10"/>
      <c r="F66" s="18"/>
      <c r="G66" s="18"/>
      <c r="H66" s="10"/>
      <c r="I66" s="23"/>
      <c r="J66" s="23"/>
      <c r="K66" s="23"/>
      <c r="L66" s="23"/>
      <c r="M66" s="23"/>
      <c r="N66" s="23"/>
    </row>
    <row r="67" spans="1:14" s="12" customFormat="1" x14ac:dyDescent="0.25">
      <c r="B67" s="10"/>
      <c r="C67" s="10"/>
      <c r="D67" s="10"/>
      <c r="E67" s="10"/>
      <c r="F67" s="18"/>
      <c r="G67" s="18"/>
      <c r="H67" s="10"/>
      <c r="I67" s="23"/>
      <c r="J67" s="23"/>
      <c r="K67" s="23"/>
      <c r="L67" s="23"/>
      <c r="M67" s="23"/>
      <c r="N67" s="23"/>
    </row>
    <row r="68" spans="1:14" s="12" customFormat="1" x14ac:dyDescent="0.25">
      <c r="B68" s="10"/>
      <c r="C68" s="10"/>
      <c r="D68" s="10"/>
      <c r="E68" s="10"/>
      <c r="F68" s="18"/>
      <c r="G68" s="18"/>
      <c r="H68" s="10"/>
      <c r="I68" s="23"/>
      <c r="J68" s="23"/>
      <c r="K68" s="23"/>
      <c r="L68" s="23"/>
      <c r="M68" s="23"/>
      <c r="N68" s="23"/>
    </row>
    <row r="69" spans="1:14" s="12" customFormat="1" x14ac:dyDescent="0.25">
      <c r="B69" s="10"/>
      <c r="C69" s="10"/>
      <c r="D69" s="10"/>
      <c r="E69" s="10"/>
      <c r="F69" s="18"/>
      <c r="G69" s="18"/>
      <c r="H69" s="10"/>
      <c r="I69" s="22"/>
      <c r="J69" s="23"/>
      <c r="K69" s="23"/>
      <c r="L69" s="23"/>
      <c r="M69" s="23"/>
      <c r="N69" s="23"/>
    </row>
    <row r="70" spans="1:14" s="12" customFormat="1" x14ac:dyDescent="0.25">
      <c r="B70" s="10"/>
      <c r="C70" s="10"/>
      <c r="D70" s="10"/>
      <c r="E70" s="10"/>
      <c r="F70" s="18"/>
      <c r="G70" s="18"/>
      <c r="H70" s="10"/>
      <c r="I70" s="22"/>
      <c r="J70" s="23"/>
      <c r="K70" s="23"/>
      <c r="L70" s="23"/>
      <c r="M70" s="23"/>
      <c r="N70" s="23"/>
    </row>
  </sheetData>
  <phoneticPr fontId="3" type="noConversion"/>
  <printOptions horizontalCentered="1"/>
  <pageMargins left="0.75" right="0.75" top="1" bottom="1" header="0.5" footer="0.5"/>
  <pageSetup scale="53" orientation="portrait" r:id="rId1"/>
  <headerFooter alignWithMargins="0">
    <oddHeader>&amp;RPage 10 of 50</oddHeader>
    <oddFooter>&amp;R&amp;F</oddFooter>
  </headerFooter>
  <ignoredErrors>
    <ignoredError sqref="G21" formula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20">
    <pageSetUpPr fitToPage="1"/>
  </sheetPr>
  <dimension ref="A1:J96"/>
  <sheetViews>
    <sheetView zoomScale="75" workbookViewId="0">
      <selection activeCell="Q75" sqref="Q75"/>
    </sheetView>
  </sheetViews>
  <sheetFormatPr defaultColWidth="9.109375" defaultRowHeight="13.2" x14ac:dyDescent="0.25"/>
  <cols>
    <col min="1" max="1" width="15.6640625" style="6" customWidth="1"/>
    <col min="2" max="2" width="35.6640625" style="6" customWidth="1"/>
    <col min="3" max="5" width="12.6640625" style="4" customWidth="1"/>
    <col min="6" max="6" width="12.6640625" style="2" customWidth="1"/>
    <col min="7" max="7" width="12.6640625" style="4" customWidth="1"/>
    <col min="8" max="9" width="12.6640625" style="2" customWidth="1"/>
    <col min="10" max="10" width="12.6640625" style="69" customWidth="1"/>
  </cols>
  <sheetData>
    <row r="1" spans="1:10" ht="15.6" x14ac:dyDescent="0.3">
      <c r="A1" s="5" t="s">
        <v>384</v>
      </c>
      <c r="B1" s="5"/>
    </row>
    <row r="4" spans="1:10" x14ac:dyDescent="0.25">
      <c r="C4" s="8" t="s">
        <v>107</v>
      </c>
      <c r="D4" s="8" t="s">
        <v>108</v>
      </c>
      <c r="E4" s="8" t="s">
        <v>109</v>
      </c>
      <c r="F4" s="50" t="s">
        <v>112</v>
      </c>
      <c r="G4" s="8" t="s">
        <v>156</v>
      </c>
      <c r="H4" s="50" t="s">
        <v>157</v>
      </c>
      <c r="I4" s="50" t="s">
        <v>192</v>
      </c>
    </row>
    <row r="5" spans="1:10" x14ac:dyDescent="0.25">
      <c r="A5" s="70"/>
      <c r="F5" s="50" t="s">
        <v>155</v>
      </c>
      <c r="H5" s="50" t="s">
        <v>3</v>
      </c>
      <c r="I5" s="50" t="s">
        <v>3</v>
      </c>
    </row>
    <row r="6" spans="1:10" s="6" customFormat="1" x14ac:dyDescent="0.25">
      <c r="C6" s="8"/>
      <c r="D6" s="8" t="s">
        <v>202</v>
      </c>
      <c r="E6" s="8" t="s">
        <v>101</v>
      </c>
      <c r="F6" s="50" t="s">
        <v>103</v>
      </c>
      <c r="G6" s="8" t="s">
        <v>105</v>
      </c>
      <c r="H6" s="50" t="s">
        <v>207</v>
      </c>
      <c r="I6" s="50" t="s">
        <v>206</v>
      </c>
      <c r="J6" s="71"/>
    </row>
    <row r="7" spans="1:10" s="6" customFormat="1" x14ac:dyDescent="0.25">
      <c r="A7" s="6" t="s">
        <v>84</v>
      </c>
      <c r="B7" s="6" t="s">
        <v>76</v>
      </c>
      <c r="C7" s="8" t="s">
        <v>199</v>
      </c>
      <c r="D7" s="8" t="s">
        <v>81</v>
      </c>
      <c r="E7" s="8" t="s">
        <v>102</v>
      </c>
      <c r="F7" s="50" t="s">
        <v>104</v>
      </c>
      <c r="G7" s="8" t="s">
        <v>81</v>
      </c>
      <c r="H7" s="50" t="s">
        <v>76</v>
      </c>
      <c r="I7" s="50" t="s">
        <v>84</v>
      </c>
      <c r="J7" s="71"/>
    </row>
    <row r="8" spans="1:10" x14ac:dyDescent="0.25">
      <c r="A8" s="72"/>
      <c r="B8" s="72"/>
      <c r="C8" s="49"/>
      <c r="D8" s="49"/>
      <c r="E8" s="49"/>
      <c r="F8" s="48"/>
      <c r="G8" s="49"/>
      <c r="H8" s="48"/>
      <c r="I8" s="48"/>
      <c r="J8" s="73"/>
    </row>
    <row r="9" spans="1:10" x14ac:dyDescent="0.25">
      <c r="A9" s="6" t="s">
        <v>240</v>
      </c>
      <c r="B9" s="12" t="s">
        <v>211</v>
      </c>
      <c r="C9" s="4">
        <f>'Mailer Arrival Profile'!$C$47*'Mailer Arrival Profile'!$C$8</f>
        <v>1.1224046448664744E-2</v>
      </c>
      <c r="D9" s="4">
        <f>'Conversion Factors'!$I$20</f>
        <v>534.04624612244606</v>
      </c>
      <c r="E9" s="4">
        <f>'Productivity Data'!$I$26</f>
        <v>48.58034429266948</v>
      </c>
      <c r="F9" s="2">
        <f>'Wage Data'!$C$11</f>
        <v>49.154294657004115</v>
      </c>
      <c r="G9" s="4">
        <f>'Cost Pool Data'!$K$48</f>
        <v>1.6214860636540271</v>
      </c>
      <c r="H9" s="2">
        <f t="shared" ref="H9:H16" si="0">(F9*G9)/(D9*E9)</f>
        <v>3.0720991901515026E-3</v>
      </c>
      <c r="I9" s="2">
        <f t="shared" ref="I9:I16" si="1">C9*H9</f>
        <v>3.4481384005165811E-5</v>
      </c>
    </row>
    <row r="10" spans="1:10" x14ac:dyDescent="0.25">
      <c r="A10" s="6" t="s">
        <v>85</v>
      </c>
      <c r="B10" s="12" t="s">
        <v>212</v>
      </c>
      <c r="C10" s="4">
        <f>'Mailer Arrival Profile'!$C$47*'Mailer Arrival Profile'!$D$8</f>
        <v>0.4194987360188448</v>
      </c>
      <c r="D10" s="4">
        <f>'Conversion Factors'!$I$21</f>
        <v>854.1844670835743</v>
      </c>
      <c r="E10" s="4">
        <f>'Productivity Data'!$I$26</f>
        <v>48.58034429266948</v>
      </c>
      <c r="F10" s="2">
        <f>'Wage Data'!$C$11</f>
        <v>49.154294657004115</v>
      </c>
      <c r="G10" s="4">
        <f>'Cost Pool Data'!$K$48</f>
        <v>1.6214860636540271</v>
      </c>
      <c r="H10" s="2">
        <f t="shared" si="0"/>
        <v>1.9207128008518262E-3</v>
      </c>
      <c r="I10" s="2">
        <f t="shared" si="1"/>
        <v>8.0573659221255627E-4</v>
      </c>
    </row>
    <row r="11" spans="1:10" x14ac:dyDescent="0.25">
      <c r="B11" s="12" t="s">
        <v>213</v>
      </c>
      <c r="C11" s="4">
        <f>'Mailer Arrival Profile'!$C$47*'Mailer Arrival Profile'!$E$8</f>
        <v>0</v>
      </c>
      <c r="D11" s="4">
        <f>'Conversion Factors'!$I$22</f>
        <v>550.13578700812661</v>
      </c>
      <c r="E11" s="4">
        <f>'Productivity Data'!$I$26</f>
        <v>48.58034429266948</v>
      </c>
      <c r="F11" s="2">
        <f>'Wage Data'!$C$11</f>
        <v>49.154294657004115</v>
      </c>
      <c r="G11" s="4">
        <f>'Cost Pool Data'!$K$48</f>
        <v>1.6214860636540271</v>
      </c>
      <c r="H11" s="2">
        <f t="shared" si="0"/>
        <v>2.9822510713922723E-3</v>
      </c>
      <c r="I11" s="2">
        <f t="shared" si="1"/>
        <v>0</v>
      </c>
    </row>
    <row r="12" spans="1:10" x14ac:dyDescent="0.25">
      <c r="B12" s="12" t="s">
        <v>214</v>
      </c>
      <c r="C12" s="4">
        <f>'Mailer Arrival Profile'!$C$47*'Mailer Arrival Profile'!$F$8</f>
        <v>0</v>
      </c>
      <c r="D12" s="4">
        <f>'Conversion Factors'!$I$23</f>
        <v>465.37757846738288</v>
      </c>
      <c r="E12" s="4">
        <f>'Productivity Data'!$I$25</f>
        <v>60.332591436644847</v>
      </c>
      <c r="F12" s="2">
        <f>'Wage Data'!$C$11</f>
        <v>49.154294657004115</v>
      </c>
      <c r="G12" s="4">
        <f>'Cost Pool Data'!$K$48</f>
        <v>1.6214860636540271</v>
      </c>
      <c r="H12" s="2">
        <f t="shared" si="0"/>
        <v>2.8386853317621699E-3</v>
      </c>
      <c r="I12" s="2">
        <f t="shared" si="1"/>
        <v>0</v>
      </c>
    </row>
    <row r="13" spans="1:10" x14ac:dyDescent="0.25">
      <c r="B13" t="s">
        <v>223</v>
      </c>
      <c r="C13" s="4">
        <f>C9</f>
        <v>1.1224046448664744E-2</v>
      </c>
      <c r="D13" s="4">
        <f>'Conversion Factors'!$I$20</f>
        <v>534.04624612244606</v>
      </c>
      <c r="E13" s="4">
        <f>'Productivity Data'!$I$24</f>
        <v>43.137464151665213</v>
      </c>
      <c r="F13" s="2">
        <f>'Wage Data'!$C$11</f>
        <v>49.154294657004115</v>
      </c>
      <c r="G13" s="4">
        <f>'Cost Pool Data'!$K$48</f>
        <v>1.6214860636540271</v>
      </c>
      <c r="H13" s="2">
        <f t="shared" si="0"/>
        <v>3.4597220604825449E-3</v>
      </c>
      <c r="I13" s="2">
        <f t="shared" si="1"/>
        <v>3.8832081106326181E-5</v>
      </c>
    </row>
    <row r="14" spans="1:10" x14ac:dyDescent="0.25">
      <c r="B14" t="s">
        <v>224</v>
      </c>
      <c r="C14" s="4">
        <f>C10</f>
        <v>0.4194987360188448</v>
      </c>
      <c r="D14" s="4">
        <f>'Conversion Factors'!$I$21</f>
        <v>854.1844670835743</v>
      </c>
      <c r="E14" s="4">
        <f>'Productivity Data'!$I$24</f>
        <v>43.137464151665213</v>
      </c>
      <c r="F14" s="2">
        <f>'Wage Data'!$C$11</f>
        <v>49.154294657004115</v>
      </c>
      <c r="G14" s="4">
        <f>'Cost Pool Data'!$K$48</f>
        <v>1.6214860636540271</v>
      </c>
      <c r="H14" s="2">
        <f t="shared" si="0"/>
        <v>2.1630592105427986E-3</v>
      </c>
      <c r="I14" s="2">
        <f t="shared" si="1"/>
        <v>9.0740060475662427E-4</v>
      </c>
    </row>
    <row r="15" spans="1:10" x14ac:dyDescent="0.25">
      <c r="B15" s="12" t="s">
        <v>225</v>
      </c>
      <c r="C15" s="4">
        <f>C11</f>
        <v>0</v>
      </c>
      <c r="D15" s="4">
        <f>'Conversion Factors'!$I$22</f>
        <v>550.13578700812661</v>
      </c>
      <c r="E15" s="4">
        <f>'Productivity Data'!$I$24</f>
        <v>43.137464151665213</v>
      </c>
      <c r="F15" s="2">
        <f>'Wage Data'!$C$11</f>
        <v>49.154294657004115</v>
      </c>
      <c r="G15" s="4">
        <f>'Cost Pool Data'!$K$48</f>
        <v>1.6214860636540271</v>
      </c>
      <c r="H15" s="2">
        <f t="shared" si="0"/>
        <v>3.3585373332573683E-3</v>
      </c>
      <c r="I15" s="2">
        <f t="shared" si="1"/>
        <v>0</v>
      </c>
    </row>
    <row r="16" spans="1:10" x14ac:dyDescent="0.25">
      <c r="A16" s="72"/>
      <c r="B16" s="74" t="s">
        <v>226</v>
      </c>
      <c r="C16" s="49">
        <f>C12</f>
        <v>0</v>
      </c>
      <c r="D16" s="49">
        <f>'Conversion Factors'!$I$23</f>
        <v>465.37757846738288</v>
      </c>
      <c r="E16" s="49">
        <f>'Productivity Data'!$I$23</f>
        <v>68.564044141410264</v>
      </c>
      <c r="F16" s="48">
        <f>'Wage Data'!$C$11</f>
        <v>49.154294657004115</v>
      </c>
      <c r="G16" s="49">
        <f>'Cost Pool Data'!$K$48</f>
        <v>1.6214860636540271</v>
      </c>
      <c r="H16" s="48">
        <f t="shared" si="0"/>
        <v>2.49788711391027E-3</v>
      </c>
      <c r="I16" s="75">
        <f t="shared" si="1"/>
        <v>0</v>
      </c>
      <c r="J16" s="76">
        <f>SUM(I9:I16)</f>
        <v>1.7864506620806726E-3</v>
      </c>
    </row>
    <row r="17" spans="1:10" x14ac:dyDescent="0.25">
      <c r="A17" s="6" t="s">
        <v>240</v>
      </c>
      <c r="B17" t="s">
        <v>211</v>
      </c>
      <c r="C17" s="4">
        <f>'Mailer Arrival Profile'!$C$48*'Mailer Arrival Profile'!$C$8+C13</f>
        <v>1.6845018528153417E-2</v>
      </c>
      <c r="D17" s="4">
        <f>'Conversion Factors'!$I$20</f>
        <v>534.04624612244606</v>
      </c>
      <c r="E17" s="4">
        <f>'Productivity Data'!$I$28</f>
        <v>58.156985400220201</v>
      </c>
      <c r="F17" s="2">
        <f>'Wage Data'!$C$11</f>
        <v>49.154294657004115</v>
      </c>
      <c r="G17" s="4">
        <f>'Cost Pool Data'!$K$27</f>
        <v>1.3606061934437479</v>
      </c>
      <c r="H17" s="2">
        <f t="shared" ref="H17:H28" si="2">(F17*G17)/(D17*E17)</f>
        <v>2.1533427319512669E-3</v>
      </c>
      <c r="I17" s="2">
        <f t="shared" ref="I17:I28" si="3">C17*H17</f>
        <v>3.6273098217183589E-5</v>
      </c>
    </row>
    <row r="18" spans="1:10" x14ac:dyDescent="0.25">
      <c r="A18" s="6" t="s">
        <v>241</v>
      </c>
      <c r="B18" t="s">
        <v>212</v>
      </c>
      <c r="C18" s="4">
        <f>'Mailer Arrival Profile'!$C$48*'Mailer Arrival Profile'!$D$8+C14</f>
        <v>0.62958256748973396</v>
      </c>
      <c r="D18" s="4">
        <f>'Conversion Factors'!$I$21</f>
        <v>854.1844670835743</v>
      </c>
      <c r="E18" s="4">
        <f>'Productivity Data'!$I$28</f>
        <v>58.156985400220201</v>
      </c>
      <c r="F18" s="2">
        <f>'Wage Data'!$C$11</f>
        <v>49.154294657004115</v>
      </c>
      <c r="G18" s="4">
        <f>'Cost Pool Data'!$K$27</f>
        <v>1.3606061934437479</v>
      </c>
      <c r="H18" s="2">
        <f t="shared" si="2"/>
        <v>1.3462953810668055E-3</v>
      </c>
      <c r="I18" s="2">
        <f t="shared" si="3"/>
        <v>8.4760410261160916E-4</v>
      </c>
    </row>
    <row r="19" spans="1:10" x14ac:dyDescent="0.25">
      <c r="B19" t="s">
        <v>213</v>
      </c>
      <c r="C19" s="4">
        <f>'Mailer Arrival Profile'!$C$48*'Mailer Arrival Profile'!$E$8+C15</f>
        <v>0</v>
      </c>
      <c r="D19" s="4">
        <f>'Conversion Factors'!$I$22</f>
        <v>550.13578700812661</v>
      </c>
      <c r="E19" s="4">
        <f>'Productivity Data'!$I$28</f>
        <v>58.156985400220201</v>
      </c>
      <c r="F19" s="2">
        <f>'Wage Data'!$C$11</f>
        <v>49.154294657004115</v>
      </c>
      <c r="G19" s="4">
        <f>'Cost Pool Data'!$K$27</f>
        <v>1.3606061934437479</v>
      </c>
      <c r="H19" s="2">
        <f t="shared" si="2"/>
        <v>2.0903650149133803E-3</v>
      </c>
      <c r="I19" s="2">
        <f t="shared" si="3"/>
        <v>0</v>
      </c>
    </row>
    <row r="20" spans="1:10" x14ac:dyDescent="0.25">
      <c r="B20" t="s">
        <v>214</v>
      </c>
      <c r="C20" s="4">
        <f>'Mailer Arrival Profile'!$C$48*'Mailer Arrival Profile'!$F$8+C16</f>
        <v>0</v>
      </c>
      <c r="D20" s="4">
        <f>'Conversion Factors'!$I$23</f>
        <v>465.37757846738288</v>
      </c>
      <c r="E20" s="4">
        <f>'Productivity Data'!$I$27</f>
        <v>81.873572020007202</v>
      </c>
      <c r="F20" s="2">
        <f>'Wage Data'!$C$11</f>
        <v>49.154294657004115</v>
      </c>
      <c r="G20" s="4">
        <f>'Cost Pool Data'!$K$27</f>
        <v>1.3606061934437479</v>
      </c>
      <c r="H20" s="2">
        <f t="shared" si="2"/>
        <v>1.755273184732433E-3</v>
      </c>
      <c r="I20" s="2">
        <f t="shared" si="3"/>
        <v>0</v>
      </c>
    </row>
    <row r="21" spans="1:10" x14ac:dyDescent="0.25">
      <c r="B21" t="s">
        <v>227</v>
      </c>
      <c r="C21" s="4">
        <f t="shared" ref="C21:C28" si="4">C17</f>
        <v>1.6845018528153417E-2</v>
      </c>
      <c r="D21" s="4">
        <f>'Conversion Factors'!$I$20</f>
        <v>534.04624612244606</v>
      </c>
      <c r="E21" s="4">
        <f>'Productivity Data'!$I$30</f>
        <v>39.899251235537818</v>
      </c>
      <c r="F21" s="2">
        <f>'Wage Data'!$C$11</f>
        <v>49.154294657004115</v>
      </c>
      <c r="G21" s="4">
        <f>'Cost Pool Data'!$K$27</f>
        <v>1.3606061934437479</v>
      </c>
      <c r="H21" s="2">
        <f t="shared" si="2"/>
        <v>3.1387035582316251E-3</v>
      </c>
      <c r="I21" s="2">
        <f t="shared" si="3"/>
        <v>5.2871519592792778E-5</v>
      </c>
    </row>
    <row r="22" spans="1:10" x14ac:dyDescent="0.25">
      <c r="B22" t="s">
        <v>228</v>
      </c>
      <c r="C22" s="4">
        <f t="shared" si="4"/>
        <v>0.62958256748973396</v>
      </c>
      <c r="D22" s="4">
        <f>'Conversion Factors'!$I$21</f>
        <v>854.1844670835743</v>
      </c>
      <c r="E22" s="4">
        <f>'Productivity Data'!$I$30</f>
        <v>39.899251235537818</v>
      </c>
      <c r="F22" s="2">
        <f>'Wage Data'!$C$11</f>
        <v>49.154294657004115</v>
      </c>
      <c r="G22" s="4">
        <f>'Cost Pool Data'!$K$27</f>
        <v>1.3606061934437479</v>
      </c>
      <c r="H22" s="2">
        <f t="shared" si="2"/>
        <v>1.9623546406642408E-3</v>
      </c>
      <c r="I22" s="2">
        <f t="shared" si="3"/>
        <v>1.2354642729947871E-3</v>
      </c>
    </row>
    <row r="23" spans="1:10" x14ac:dyDescent="0.25">
      <c r="B23" t="s">
        <v>229</v>
      </c>
      <c r="C23" s="4">
        <f t="shared" si="4"/>
        <v>0</v>
      </c>
      <c r="D23" s="4">
        <f>'Conversion Factors'!$I$22</f>
        <v>550.13578700812661</v>
      </c>
      <c r="E23" s="4">
        <f>'Productivity Data'!$I$30</f>
        <v>39.899251235537818</v>
      </c>
      <c r="F23" s="2">
        <f>'Wage Data'!$C$11</f>
        <v>49.154294657004115</v>
      </c>
      <c r="G23" s="4">
        <f>'Cost Pool Data'!$K$27</f>
        <v>1.3606061934437479</v>
      </c>
      <c r="H23" s="2">
        <f t="shared" si="2"/>
        <v>3.0469074954762084E-3</v>
      </c>
      <c r="I23" s="2">
        <f t="shared" si="3"/>
        <v>0</v>
      </c>
    </row>
    <row r="24" spans="1:10" x14ac:dyDescent="0.25">
      <c r="B24" t="s">
        <v>230</v>
      </c>
      <c r="C24" s="4">
        <f t="shared" si="4"/>
        <v>0</v>
      </c>
      <c r="D24" s="4">
        <f>'Conversion Factors'!$I$23</f>
        <v>465.37757846738288</v>
      </c>
      <c r="E24" s="4">
        <f>'Productivity Data'!$I$29</f>
        <v>50.764395048330648</v>
      </c>
      <c r="F24" s="2">
        <f>'Wage Data'!$C$11</f>
        <v>49.154294657004115</v>
      </c>
      <c r="G24" s="4">
        <f>'Cost Pool Data'!$K$27</f>
        <v>1.3606061934437479</v>
      </c>
      <c r="H24" s="2">
        <f t="shared" si="2"/>
        <v>2.8309307215846373E-3</v>
      </c>
      <c r="I24" s="2">
        <f t="shared" si="3"/>
        <v>0</v>
      </c>
    </row>
    <row r="25" spans="1:10" x14ac:dyDescent="0.25">
      <c r="B25" t="s">
        <v>223</v>
      </c>
      <c r="C25" s="4">
        <f t="shared" si="4"/>
        <v>1.6845018528153417E-2</v>
      </c>
      <c r="D25" s="4">
        <f>'Conversion Factors'!$I$20</f>
        <v>534.04624612244606</v>
      </c>
      <c r="E25" s="4">
        <f>'Productivity Data'!$I$32</f>
        <v>61.728448910094343</v>
      </c>
      <c r="F25" s="2">
        <f>'Wage Data'!$C$11</f>
        <v>49.154294657004115</v>
      </c>
      <c r="G25" s="4">
        <f>'Cost Pool Data'!$K$27</f>
        <v>1.3606061934437479</v>
      </c>
      <c r="H25" s="2">
        <f t="shared" si="2"/>
        <v>2.0287553637733016E-3</v>
      </c>
      <c r="I25" s="2">
        <f t="shared" si="3"/>
        <v>3.417442169185189E-5</v>
      </c>
    </row>
    <row r="26" spans="1:10" x14ac:dyDescent="0.25">
      <c r="B26" t="s">
        <v>224</v>
      </c>
      <c r="C26" s="4">
        <f t="shared" si="4"/>
        <v>0.62958256748973396</v>
      </c>
      <c r="D26" s="4">
        <f>'Conversion Factors'!$I$21</f>
        <v>854.1844670835743</v>
      </c>
      <c r="E26" s="4">
        <f>'Productivity Data'!$I$32</f>
        <v>61.728448910094343</v>
      </c>
      <c r="F26" s="2">
        <f>'Wage Data'!$C$11</f>
        <v>49.154294657004115</v>
      </c>
      <c r="G26" s="4">
        <f>'Cost Pool Data'!$K$27</f>
        <v>1.3606061934437479</v>
      </c>
      <c r="H26" s="2">
        <f t="shared" si="2"/>
        <v>1.2684018828194208E-3</v>
      </c>
      <c r="I26" s="2">
        <f t="shared" si="3"/>
        <v>7.9856371399426363E-4</v>
      </c>
    </row>
    <row r="27" spans="1:10" x14ac:dyDescent="0.25">
      <c r="B27" s="12" t="s">
        <v>225</v>
      </c>
      <c r="C27" s="4">
        <f t="shared" si="4"/>
        <v>0</v>
      </c>
      <c r="D27" s="4">
        <f>'Conversion Factors'!$I$22</f>
        <v>550.13578700812661</v>
      </c>
      <c r="E27" s="4">
        <f>'Productivity Data'!$I$32</f>
        <v>61.728448910094343</v>
      </c>
      <c r="F27" s="2">
        <f>'Wage Data'!$C$11</f>
        <v>49.154294657004115</v>
      </c>
      <c r="G27" s="4">
        <f>'Cost Pool Data'!$K$27</f>
        <v>1.3606061934437479</v>
      </c>
      <c r="H27" s="2">
        <f t="shared" si="2"/>
        <v>1.9694213899738621E-3</v>
      </c>
      <c r="I27" s="2">
        <f t="shared" si="3"/>
        <v>0</v>
      </c>
    </row>
    <row r="28" spans="1:10" x14ac:dyDescent="0.25">
      <c r="A28" s="72"/>
      <c r="B28" s="74" t="s">
        <v>226</v>
      </c>
      <c r="C28" s="49">
        <f t="shared" si="4"/>
        <v>0</v>
      </c>
      <c r="D28" s="49">
        <f>'Conversion Factors'!$I$23</f>
        <v>465.37757846738288</v>
      </c>
      <c r="E28" s="49">
        <f>'Productivity Data'!$I$31</f>
        <v>91.071587890934111</v>
      </c>
      <c r="F28" s="48">
        <f>'Wage Data'!$C$11</f>
        <v>49.154294657004115</v>
      </c>
      <c r="G28" s="49">
        <f>'Cost Pool Data'!$K$27</f>
        <v>1.3606061934437479</v>
      </c>
      <c r="H28" s="48">
        <f t="shared" si="2"/>
        <v>1.5779947273685802E-3</v>
      </c>
      <c r="I28" s="75">
        <f t="shared" si="3"/>
        <v>0</v>
      </c>
      <c r="J28" s="76">
        <f>SUM(I17:I28)</f>
        <v>3.0049511291024879E-3</v>
      </c>
    </row>
    <row r="29" spans="1:10" x14ac:dyDescent="0.25">
      <c r="A29" s="6" t="s">
        <v>242</v>
      </c>
      <c r="B29" t="s">
        <v>211</v>
      </c>
      <c r="C29" s="4">
        <f>'Mailer Arrival Profile'!$C$49*'Mailer Arrival Profile'!$C$8+C25</f>
        <v>2.6058631921824105E-2</v>
      </c>
      <c r="D29" s="4">
        <f>'Conversion Factors'!$I$20</f>
        <v>534.04624612244606</v>
      </c>
      <c r="E29" s="4">
        <f>'Productivity Data'!$I$38</f>
        <v>46.475052307166727</v>
      </c>
      <c r="F29" s="2">
        <f>'Wage Data'!$C$11</f>
        <v>49.154294657004115</v>
      </c>
      <c r="G29" s="4">
        <f>'Cost Pool Data'!$K$43</f>
        <v>1.386023903258889</v>
      </c>
      <c r="H29" s="2">
        <f t="shared" ref="H29:H49" si="5">(F29*G29)/(D29*E29)</f>
        <v>2.7449436585658881E-3</v>
      </c>
      <c r="I29" s="2">
        <f t="shared" ref="I29:I49" si="6">C29*H29</f>
        <v>7.1529476444713705E-5</v>
      </c>
    </row>
    <row r="30" spans="1:10" x14ac:dyDescent="0.25">
      <c r="A30" s="6" t="s">
        <v>131</v>
      </c>
      <c r="B30" t="s">
        <v>212</v>
      </c>
      <c r="C30" s="4">
        <f>'Mailer Arrival Profile'!$C$49*'Mailer Arrival Profile'!$D$8+C26</f>
        <v>0.97394136807817588</v>
      </c>
      <c r="D30" s="4">
        <f>'Conversion Factors'!$I$21</f>
        <v>854.1844670835743</v>
      </c>
      <c r="E30" s="4">
        <f>'Productivity Data'!$I$38</f>
        <v>46.475052307166727</v>
      </c>
      <c r="F30" s="2">
        <f>'Wage Data'!$C$11</f>
        <v>49.154294657004115</v>
      </c>
      <c r="G30" s="4">
        <f>'Cost Pool Data'!$K$43</f>
        <v>1.386023903258889</v>
      </c>
      <c r="H30" s="2">
        <f t="shared" si="5"/>
        <v>1.7161712875437924E-3</v>
      </c>
      <c r="I30" s="2">
        <f t="shared" si="6"/>
        <v>1.6714502116468857E-3</v>
      </c>
    </row>
    <row r="31" spans="1:10" x14ac:dyDescent="0.25">
      <c r="B31" t="s">
        <v>213</v>
      </c>
      <c r="C31" s="4">
        <f>'Mailer Arrival Profile'!$C$49*'Mailer Arrival Profile'!$E$8+C27</f>
        <v>0</v>
      </c>
      <c r="D31" s="4">
        <f>'Conversion Factors'!$I$22</f>
        <v>550.13578700812661</v>
      </c>
      <c r="E31" s="4">
        <f>'Productivity Data'!$I$38</f>
        <v>46.475052307166727</v>
      </c>
      <c r="F31" s="2">
        <f>'Wage Data'!$C$11</f>
        <v>49.154294657004115</v>
      </c>
      <c r="G31" s="4">
        <f>'Cost Pool Data'!$K$43</f>
        <v>1.386023903258889</v>
      </c>
      <c r="H31" s="2">
        <f t="shared" si="5"/>
        <v>2.6646636908445138E-3</v>
      </c>
      <c r="I31" s="2">
        <f t="shared" si="6"/>
        <v>0</v>
      </c>
    </row>
    <row r="32" spans="1:10" x14ac:dyDescent="0.25">
      <c r="B32" t="s">
        <v>214</v>
      </c>
      <c r="C32" s="4">
        <f>'Mailer Arrival Profile'!$C$49*'Mailer Arrival Profile'!$F$8+C28</f>
        <v>0</v>
      </c>
      <c r="D32" s="4">
        <f>'Conversion Factors'!$I$23</f>
        <v>465.37757846738288</v>
      </c>
      <c r="E32" s="4">
        <f>'Productivity Data'!$I$37</f>
        <v>55.996737364805647</v>
      </c>
      <c r="F32" s="2">
        <f>'Wage Data'!$C$11</f>
        <v>49.154294657004115</v>
      </c>
      <c r="G32" s="4">
        <f>'Cost Pool Data'!$K$43</f>
        <v>1.386023903258889</v>
      </c>
      <c r="H32" s="2">
        <f t="shared" si="5"/>
        <v>2.6143516889286828E-3</v>
      </c>
      <c r="I32" s="2">
        <f t="shared" si="6"/>
        <v>0</v>
      </c>
    </row>
    <row r="33" spans="2:10" x14ac:dyDescent="0.25">
      <c r="B33" t="s">
        <v>231</v>
      </c>
      <c r="C33" s="4">
        <f>C29</f>
        <v>2.6058631921824105E-2</v>
      </c>
      <c r="D33" s="4">
        <f>'Conversion Factors'!$I$20</f>
        <v>534.04624612244606</v>
      </c>
      <c r="E33" s="4">
        <f>'Productivity Data'!$I$41</f>
        <v>16.483976831402664</v>
      </c>
      <c r="F33" s="2">
        <f>'Wage Data'!$C$11</f>
        <v>49.154294657004115</v>
      </c>
      <c r="G33" s="4">
        <f>'Cost Pool Data'!$K$42</f>
        <v>1.51761435929636</v>
      </c>
      <c r="H33" s="2">
        <f t="shared" si="5"/>
        <v>8.4738746126541906E-3</v>
      </c>
      <c r="I33" s="2">
        <f t="shared" si="6"/>
        <v>2.2081757948284536E-4</v>
      </c>
    </row>
    <row r="34" spans="2:10" x14ac:dyDescent="0.25">
      <c r="B34" t="s">
        <v>232</v>
      </c>
      <c r="C34" s="4">
        <f>C30</f>
        <v>0.97394136807817588</v>
      </c>
      <c r="D34" s="4">
        <f>'Conversion Factors'!$I$21</f>
        <v>854.1844670835743</v>
      </c>
      <c r="E34" s="4">
        <f>'Productivity Data'!$I$41</f>
        <v>16.483976831402664</v>
      </c>
      <c r="F34" s="2">
        <f>'Wage Data'!$C$11</f>
        <v>49.154294657004115</v>
      </c>
      <c r="G34" s="4">
        <f>'Cost Pool Data'!$K$42</f>
        <v>1.51761435929636</v>
      </c>
      <c r="H34" s="2">
        <f t="shared" si="5"/>
        <v>5.2979667757848533E-3</v>
      </c>
      <c r="I34" s="2">
        <f t="shared" si="6"/>
        <v>5.1599090096406224E-3</v>
      </c>
    </row>
    <row r="35" spans="2:10" x14ac:dyDescent="0.25">
      <c r="B35" t="s">
        <v>233</v>
      </c>
      <c r="C35" s="4">
        <f>C31</f>
        <v>0</v>
      </c>
      <c r="D35" s="4">
        <f>'Conversion Factors'!$I$22</f>
        <v>550.13578700812661</v>
      </c>
      <c r="E35" s="4">
        <f>'Productivity Data'!$I$41</f>
        <v>16.483976831402664</v>
      </c>
      <c r="F35" s="2">
        <f>'Wage Data'!$C$11</f>
        <v>49.154294657004115</v>
      </c>
      <c r="G35" s="4">
        <f>'Cost Pool Data'!$K$42</f>
        <v>1.51761435929636</v>
      </c>
      <c r="H35" s="2">
        <f t="shared" si="5"/>
        <v>8.2260435221121458E-3</v>
      </c>
      <c r="I35" s="2">
        <f t="shared" si="6"/>
        <v>0</v>
      </c>
    </row>
    <row r="36" spans="2:10" x14ac:dyDescent="0.25">
      <c r="B36" t="s">
        <v>234</v>
      </c>
      <c r="C36" s="4">
        <f>C32</f>
        <v>0</v>
      </c>
      <c r="D36" s="4">
        <f>'Conversion Factors'!$I$23</f>
        <v>465.37757846738288</v>
      </c>
      <c r="E36" s="4">
        <f>'Productivity Data'!$I$40</f>
        <v>23.065925296264197</v>
      </c>
      <c r="F36" s="2">
        <f>'Wage Data'!$C$11</f>
        <v>49.154294657004115</v>
      </c>
      <c r="G36" s="4">
        <f>'Cost Pool Data'!$K$42</f>
        <v>1.51761435929636</v>
      </c>
      <c r="H36" s="2">
        <f t="shared" si="5"/>
        <v>6.9493879841800018E-3</v>
      </c>
      <c r="I36" s="2">
        <f t="shared" si="6"/>
        <v>0</v>
      </c>
    </row>
    <row r="37" spans="2:10" x14ac:dyDescent="0.25">
      <c r="B37" t="s">
        <v>143</v>
      </c>
      <c r="C37" s="4">
        <f>(C35+C36)*(1+'Other Inputs'!$B$9)</f>
        <v>0</v>
      </c>
      <c r="D37" s="4">
        <f>'Conversion Factors'!$I$49</f>
        <v>74.938878403773728</v>
      </c>
      <c r="E37" s="4">
        <f>'Productivity Data'!$I$19</f>
        <v>3068.1109131264348</v>
      </c>
      <c r="F37" s="2">
        <f>'Wage Data'!$C$11</f>
        <v>49.154294657004115</v>
      </c>
      <c r="G37" s="4">
        <f>'Cost Pool Data'!$K$46</f>
        <v>1.6196174573049362</v>
      </c>
      <c r="H37" s="2">
        <f t="shared" si="5"/>
        <v>3.4625469712241453E-4</v>
      </c>
      <c r="I37" s="2">
        <f t="shared" si="6"/>
        <v>0</v>
      </c>
    </row>
    <row r="38" spans="2:10" x14ac:dyDescent="0.25">
      <c r="B38" s="9" t="s">
        <v>355</v>
      </c>
      <c r="C38" s="4">
        <f>(C35+C36)</f>
        <v>0</v>
      </c>
      <c r="D38" s="4">
        <f>'Conversion Factors'!$I$49</f>
        <v>74.938878403773728</v>
      </c>
      <c r="E38" s="4">
        <f>'Productivity Data'!$I$43</f>
        <v>146.75954594651517</v>
      </c>
      <c r="F38" s="2">
        <f>'Wage Data'!$C$11</f>
        <v>49.154294657004115</v>
      </c>
      <c r="G38" s="4">
        <f>'Cost Pool Data'!$K$42</f>
        <v>1.51761435929636</v>
      </c>
      <c r="H38" s="2">
        <f t="shared" si="5"/>
        <v>6.7828052459986887E-3</v>
      </c>
      <c r="I38" s="2">
        <f t="shared" si="6"/>
        <v>0</v>
      </c>
    </row>
    <row r="39" spans="2:10" x14ac:dyDescent="0.25">
      <c r="B39" t="s">
        <v>144</v>
      </c>
      <c r="C39" s="4">
        <f>(C33+C34+C38)*(1+'Other Inputs'!$B$7)</f>
        <v>1.1313808888921453</v>
      </c>
      <c r="D39" s="4">
        <v>1</v>
      </c>
      <c r="E39" s="4">
        <f>'Productivity Data'!$I$17</f>
        <v>409.68278032374019</v>
      </c>
      <c r="F39" s="2">
        <f>'Wage Data'!$C$11</f>
        <v>49.154294657004115</v>
      </c>
      <c r="G39" s="4">
        <f>'Cost Pool Data'!$L$43</f>
        <v>1.9204979181524358</v>
      </c>
      <c r="H39" s="2">
        <f t="shared" si="5"/>
        <v>0.23042394040196248</v>
      </c>
      <c r="I39" s="2">
        <f t="shared" si="6"/>
        <v>0.260697242514003</v>
      </c>
      <c r="J39"/>
    </row>
    <row r="40" spans="2:10" x14ac:dyDescent="0.25">
      <c r="B40" s="68" t="s">
        <v>353</v>
      </c>
      <c r="C40" s="4">
        <f>(C33+C34+C38)*'Other Inputs'!$B$7</f>
        <v>0.13138088889214539</v>
      </c>
      <c r="D40" s="4">
        <v>1</v>
      </c>
      <c r="E40" s="4">
        <f>'Productivity Data'!$I$47</f>
        <v>221.38133929687064</v>
      </c>
      <c r="F40" s="2">
        <f>'Wage Data'!$C$11</f>
        <v>49.154294657004115</v>
      </c>
      <c r="G40" s="4">
        <f>'Cost Pool Data'!$K$42</f>
        <v>1.51761435929636</v>
      </c>
      <c r="H40" s="2">
        <f t="shared" ref="H40:H41" si="7">(F40*G40)/(D40*E40)</f>
        <v>0.33696274324422376</v>
      </c>
      <c r="I40" s="2">
        <f t="shared" ref="I40:I41" si="8">C40*H40</f>
        <v>4.4270464730961877E-2</v>
      </c>
      <c r="J40"/>
    </row>
    <row r="41" spans="2:10" x14ac:dyDescent="0.25">
      <c r="B41" s="9" t="s">
        <v>354</v>
      </c>
      <c r="C41" s="4">
        <f>C40</f>
        <v>0.13138088889214539</v>
      </c>
      <c r="D41" s="4">
        <f>'Conversion Factors'!$I$34</f>
        <v>374.54067603574896</v>
      </c>
      <c r="E41" s="4">
        <f>'Productivity Data'!$I$40</f>
        <v>23.065925296264197</v>
      </c>
      <c r="F41" s="2">
        <f>'Wage Data'!$C$11</f>
        <v>49.154294657004115</v>
      </c>
      <c r="G41" s="4">
        <f>'Cost Pool Data'!$K$42</f>
        <v>1.51761435929636</v>
      </c>
      <c r="H41" s="2">
        <f t="shared" si="7"/>
        <v>8.6348147446589502E-3</v>
      </c>
      <c r="I41" s="2">
        <f t="shared" si="8"/>
        <v>1.1344496365722962E-3</v>
      </c>
      <c r="J41"/>
    </row>
    <row r="42" spans="2:10" x14ac:dyDescent="0.25">
      <c r="B42" t="s">
        <v>145</v>
      </c>
      <c r="C42" s="4">
        <f>((C33+C34+C38)*'Other Inputs'!$B$36)*(1+'Other Inputs'!$B$8)</f>
        <v>0.45887657841927443</v>
      </c>
      <c r="D42" s="4">
        <v>1</v>
      </c>
      <c r="E42" s="4">
        <f>'Productivity Data'!$I$18</f>
        <v>331.36480334855139</v>
      </c>
      <c r="F42" s="2">
        <f>'Wage Data'!$C$11</f>
        <v>49.154294657004115</v>
      </c>
      <c r="G42" s="4">
        <f>'Cost Pool Data'!$L$45</f>
        <v>2.0700178145522989</v>
      </c>
      <c r="H42" s="2">
        <f t="shared" si="5"/>
        <v>0.30706419201294521</v>
      </c>
      <c r="I42" s="2">
        <f t="shared" si="6"/>
        <v>0.1409045657859794</v>
      </c>
      <c r="J42"/>
    </row>
    <row r="43" spans="2:10" x14ac:dyDescent="0.25">
      <c r="B43" s="68" t="s">
        <v>353</v>
      </c>
      <c r="C43" s="4">
        <f>((C33+C34+C38)*'Other Inputs'!$B$36)*('Other Inputs'!$B$8)</f>
        <v>4.9270373272461934E-2</v>
      </c>
      <c r="D43" s="4">
        <v>1</v>
      </c>
      <c r="E43" s="4">
        <f>'Productivity Data'!$I$47</f>
        <v>221.38133929687064</v>
      </c>
      <c r="F43" s="2">
        <f>'Wage Data'!$C$11</f>
        <v>49.154294657004115</v>
      </c>
      <c r="G43" s="4">
        <f>'Cost Pool Data'!$K$42</f>
        <v>1.51761435929636</v>
      </c>
      <c r="H43" s="2">
        <f t="shared" si="5"/>
        <v>0.33696274324422376</v>
      </c>
      <c r="I43" s="2">
        <f t="shared" si="6"/>
        <v>1.6602280138555657E-2</v>
      </c>
      <c r="J43"/>
    </row>
    <row r="44" spans="2:10" x14ac:dyDescent="0.25">
      <c r="B44" s="9" t="s">
        <v>354</v>
      </c>
      <c r="C44" s="4">
        <f>C43</f>
        <v>4.9270373272461934E-2</v>
      </c>
      <c r="D44" s="4">
        <f>'Conversion Factors'!$I$34</f>
        <v>374.54067603574896</v>
      </c>
      <c r="E44" s="4">
        <f>'Productivity Data'!$I$40</f>
        <v>23.065925296264197</v>
      </c>
      <c r="F44" s="2">
        <f>'Wage Data'!$C$11</f>
        <v>49.154294657004115</v>
      </c>
      <c r="G44" s="4">
        <f>'Cost Pool Data'!$K$42</f>
        <v>1.51761435929636</v>
      </c>
      <c r="H44" s="2">
        <f t="shared" si="5"/>
        <v>8.6348147446589502E-3</v>
      </c>
      <c r="I44" s="2">
        <f t="shared" si="6"/>
        <v>4.2544054560790458E-4</v>
      </c>
      <c r="J44"/>
    </row>
    <row r="45" spans="2:10" x14ac:dyDescent="0.25">
      <c r="B45" t="s">
        <v>235</v>
      </c>
      <c r="C45" s="4">
        <f>(1-C49)*'Postal Arrival-Dispatch Profile'!$B$21</f>
        <v>5.3384777354903969E-2</v>
      </c>
      <c r="D45" s="4">
        <f>'Conversion Factors'!$I$43</f>
        <v>523.14012762456412</v>
      </c>
      <c r="E45" s="4">
        <f>'Productivity Data'!$I$45</f>
        <v>55.582256364514194</v>
      </c>
      <c r="F45" s="2">
        <f>'Wage Data'!$C$11</f>
        <v>49.154294657004115</v>
      </c>
      <c r="G45" s="4">
        <f>'Cost Pool Data'!$K$43</f>
        <v>1.386023903258889</v>
      </c>
      <c r="H45" s="2">
        <f t="shared" si="5"/>
        <v>2.3430307141906188E-3</v>
      </c>
      <c r="I45" s="2">
        <f t="shared" si="6"/>
        <v>1.2508217301276781E-4</v>
      </c>
      <c r="J45"/>
    </row>
    <row r="46" spans="2:10" x14ac:dyDescent="0.25">
      <c r="B46" t="s">
        <v>238</v>
      </c>
      <c r="C46" s="4">
        <f>(1-C49)*'Postal Arrival-Dispatch Profile'!$B$22</f>
        <v>3.6055078387843664E-2</v>
      </c>
      <c r="D46" s="4">
        <f>'Conversion Factors'!$I$44</f>
        <v>354.97967513095392</v>
      </c>
      <c r="E46" s="4">
        <f>'Productivity Data'!$I$44</f>
        <v>70.608822220868689</v>
      </c>
      <c r="F46" s="2">
        <f>'Wage Data'!$C$11</f>
        <v>49.154294657004115</v>
      </c>
      <c r="G46" s="4">
        <f>'Cost Pool Data'!$K$43</f>
        <v>1.386023903258889</v>
      </c>
      <c r="H46" s="2">
        <f t="shared" si="5"/>
        <v>2.718126932015983E-3</v>
      </c>
      <c r="I46" s="2">
        <f t="shared" si="6"/>
        <v>9.8002279601945276E-5</v>
      </c>
      <c r="J46"/>
    </row>
    <row r="47" spans="2:10" x14ac:dyDescent="0.25">
      <c r="B47" t="s">
        <v>236</v>
      </c>
      <c r="C47" s="4">
        <f>(1-C49)*'Postal Arrival-Dispatch Profile'!$B$23</f>
        <v>0.26997444548051436</v>
      </c>
      <c r="D47" s="4">
        <f>'Conversion Factors'!$I$45</f>
        <v>667.89093183646696</v>
      </c>
      <c r="E47" s="4">
        <f>'Productivity Data'!$I$44</f>
        <v>70.608822220868689</v>
      </c>
      <c r="F47" s="2">
        <f>'Wage Data'!$C$11</f>
        <v>49.154294657004115</v>
      </c>
      <c r="G47" s="4">
        <f>'Cost Pool Data'!$K$43</f>
        <v>1.386023903258889</v>
      </c>
      <c r="H47" s="2">
        <f t="shared" si="5"/>
        <v>1.444666740179639E-3</v>
      </c>
      <c r="I47" s="2">
        <f t="shared" si="6"/>
        <v>3.9002310208414032E-4</v>
      </c>
      <c r="J47"/>
    </row>
    <row r="48" spans="2:10" x14ac:dyDescent="0.25">
      <c r="B48" t="s">
        <v>237</v>
      </c>
      <c r="C48" s="4">
        <f>(1-C49)*'Postal Arrival-Dispatch Profile'!$B$24</f>
        <v>8.9311461448626811E-2</v>
      </c>
      <c r="D48" s="4">
        <f>'Conversion Factors'!$I$46</f>
        <v>343.25976155350384</v>
      </c>
      <c r="E48" s="4">
        <f>'Productivity Data'!$I$44</f>
        <v>70.608822220868689</v>
      </c>
      <c r="F48" s="2">
        <f>'Wage Data'!$C$11</f>
        <v>49.154294657004115</v>
      </c>
      <c r="G48" s="4">
        <f>'Cost Pool Data'!$K$43</f>
        <v>1.386023903258889</v>
      </c>
      <c r="H48" s="2">
        <f t="shared" si="5"/>
        <v>2.8109319045289106E-3</v>
      </c>
      <c r="I48" s="2">
        <f t="shared" si="6"/>
        <v>2.5104843642604892E-4</v>
      </c>
      <c r="J48"/>
    </row>
    <row r="49" spans="1:10" s="12" customFormat="1" x14ac:dyDescent="0.25">
      <c r="A49" s="72"/>
      <c r="B49" s="74" t="s">
        <v>125</v>
      </c>
      <c r="C49" s="77">
        <f>(C33+C34+C38)*(1-'Other Inputs'!$B$36-'Other Inputs'!$B$38)</f>
        <v>0.55127423732811121</v>
      </c>
      <c r="D49" s="77">
        <f>'Conversion Factors'!$I$47</f>
        <v>969.84119487445514</v>
      </c>
      <c r="E49" s="77">
        <f>'Productivity Data'!$I$46</f>
        <v>20.811195458396703</v>
      </c>
      <c r="F49" s="78">
        <f>'Wage Data'!$C$11</f>
        <v>49.154294657004115</v>
      </c>
      <c r="G49" s="77">
        <f>'Cost Pool Data'!$K$43</f>
        <v>1.386023903258889</v>
      </c>
      <c r="H49" s="78">
        <f t="shared" si="5"/>
        <v>3.3754721829668158E-3</v>
      </c>
      <c r="I49" s="78">
        <f t="shared" si="6"/>
        <v>1.8608108532872859E-3</v>
      </c>
      <c r="J49" s="76">
        <f>SUM(I29:I49)</f>
        <v>0.47388311647330733</v>
      </c>
    </row>
    <row r="50" spans="1:10" x14ac:dyDescent="0.25">
      <c r="A50" s="6" t="s">
        <v>243</v>
      </c>
      <c r="B50" t="s">
        <v>126</v>
      </c>
      <c r="C50" s="4">
        <f>C49</f>
        <v>0.55127423732811121</v>
      </c>
      <c r="D50" s="4">
        <f>'Conversion Factors'!$I$47</f>
        <v>969.84119487445514</v>
      </c>
      <c r="E50" s="4">
        <f>'Productivity Data'!$I$39</f>
        <v>53.146449685685347</v>
      </c>
      <c r="F50" s="2">
        <f>'Wage Data'!$C$11</f>
        <v>49.154294657004115</v>
      </c>
      <c r="G50" s="4">
        <f>'Cost Pool Data'!$K$43</f>
        <v>1.386023903258889</v>
      </c>
      <c r="H50" s="2">
        <f t="shared" ref="H50:H58" si="9">(F50*G50)/(D50*E50)</f>
        <v>1.3217743006269736E-3</v>
      </c>
      <c r="I50" s="2">
        <f t="shared" ref="I50:I58" si="10">C50*H50</f>
        <v>7.2866011949803246E-4</v>
      </c>
    </row>
    <row r="51" spans="1:10" x14ac:dyDescent="0.25">
      <c r="A51" s="6" t="s">
        <v>131</v>
      </c>
      <c r="B51" t="s">
        <v>140</v>
      </c>
      <c r="C51" s="4">
        <f>C50</f>
        <v>0.55127423732811121</v>
      </c>
      <c r="D51" s="4">
        <f>'Conversion Factors'!$I$47</f>
        <v>969.84119487445514</v>
      </c>
      <c r="E51" s="4">
        <f>'Productivity Data'!$I$42</f>
        <v>16.646694338879648</v>
      </c>
      <c r="F51" s="2">
        <f>'Wage Data'!$C$11</f>
        <v>49.154294657004115</v>
      </c>
      <c r="G51" s="4">
        <f>'Cost Pool Data'!$K$42</f>
        <v>1.51761435929636</v>
      </c>
      <c r="H51" s="2">
        <f t="shared" si="9"/>
        <v>4.6205562662376886E-3</v>
      </c>
      <c r="I51" s="2">
        <f t="shared" si="10"/>
        <v>2.5471936317018069E-3</v>
      </c>
    </row>
    <row r="52" spans="1:10" x14ac:dyDescent="0.25">
      <c r="B52" t="s">
        <v>145</v>
      </c>
      <c r="C52" s="4">
        <f>C51*(1+'Other Inputs'!$B$8)</f>
        <v>0.61758545797700859</v>
      </c>
      <c r="D52" s="4">
        <v>1</v>
      </c>
      <c r="E52" s="4">
        <f>'Productivity Data'!$I$18</f>
        <v>331.36480334855139</v>
      </c>
      <c r="F52" s="2">
        <f>'Wage Data'!$C$11</f>
        <v>49.154294657004115</v>
      </c>
      <c r="G52" s="4">
        <f>'Cost Pool Data'!$L$45</f>
        <v>2.0700178145522989</v>
      </c>
      <c r="H52" s="2">
        <f t="shared" si="9"/>
        <v>0.30706419201294521</v>
      </c>
      <c r="I52" s="2">
        <f t="shared" si="10"/>
        <v>0.18963837965265487</v>
      </c>
    </row>
    <row r="53" spans="1:10" x14ac:dyDescent="0.25">
      <c r="B53" s="68" t="s">
        <v>353</v>
      </c>
      <c r="C53" s="4">
        <f>C51*('Other Inputs'!$B$8)</f>
        <v>6.6311220648897384E-2</v>
      </c>
      <c r="D53" s="4">
        <v>1</v>
      </c>
      <c r="E53" s="4">
        <f>'Productivity Data'!$I$47</f>
        <v>221.38133929687064</v>
      </c>
      <c r="F53" s="2">
        <f>'Wage Data'!$C$11</f>
        <v>49.154294657004115</v>
      </c>
      <c r="G53" s="4">
        <f>'Cost Pool Data'!$K$42</f>
        <v>1.51761435929636</v>
      </c>
      <c r="H53" s="2">
        <f t="shared" si="9"/>
        <v>0.33696274324422376</v>
      </c>
      <c r="I53" s="2">
        <f t="shared" si="10"/>
        <v>2.234441081772548E-2</v>
      </c>
    </row>
    <row r="54" spans="1:10" x14ac:dyDescent="0.25">
      <c r="B54" s="9" t="s">
        <v>354</v>
      </c>
      <c r="C54" s="4">
        <f>C53</f>
        <v>6.6311220648897384E-2</v>
      </c>
      <c r="D54" s="4">
        <f>'Conversion Factors'!$I$34</f>
        <v>374.54067603574896</v>
      </c>
      <c r="E54" s="4">
        <f>'Productivity Data'!$I$40</f>
        <v>23.065925296264197</v>
      </c>
      <c r="F54" s="2">
        <f>'Wage Data'!$C$11</f>
        <v>49.154294657004115</v>
      </c>
      <c r="G54" s="4">
        <f>'Cost Pool Data'!$K$42</f>
        <v>1.51761435929636</v>
      </c>
      <c r="H54" s="2">
        <f t="shared" si="9"/>
        <v>8.6348147446589502E-3</v>
      </c>
      <c r="I54" s="2">
        <f t="shared" si="10"/>
        <v>5.7258510579543222E-4</v>
      </c>
    </row>
    <row r="55" spans="1:10" x14ac:dyDescent="0.25">
      <c r="B55" t="s">
        <v>235</v>
      </c>
      <c r="C55" s="4">
        <f>C51*'Postal Arrival-Dispatch Profile'!$B$21</f>
        <v>6.5584940445629958E-2</v>
      </c>
      <c r="D55" s="4">
        <f>'Conversion Factors'!$I$43</f>
        <v>523.14012762456412</v>
      </c>
      <c r="E55" s="4">
        <f>'Productivity Data'!$I$45</f>
        <v>55.582256364514194</v>
      </c>
      <c r="F55" s="2">
        <f>'Wage Data'!$C$11</f>
        <v>49.154294657004115</v>
      </c>
      <c r="G55" s="4">
        <f>'Cost Pool Data'!$K$43</f>
        <v>1.386023903258889</v>
      </c>
      <c r="H55" s="2">
        <f t="shared" si="9"/>
        <v>2.3430307141906188E-3</v>
      </c>
      <c r="I55" s="2">
        <f t="shared" si="10"/>
        <v>1.5366752985247357E-4</v>
      </c>
    </row>
    <row r="56" spans="1:10" x14ac:dyDescent="0.25">
      <c r="B56" t="s">
        <v>238</v>
      </c>
      <c r="C56" s="4">
        <f>C51*'Postal Arrival-Dispatch Profile'!$B$22</f>
        <v>4.429483995238627E-2</v>
      </c>
      <c r="D56" s="4">
        <f>'Conversion Factors'!$I$44</f>
        <v>354.97967513095392</v>
      </c>
      <c r="E56" s="4">
        <f>'Productivity Data'!$I$44</f>
        <v>70.608822220868689</v>
      </c>
      <c r="F56" s="2">
        <f>'Wage Data'!$C$11</f>
        <v>49.154294657004115</v>
      </c>
      <c r="G56" s="4">
        <f>'Cost Pool Data'!$K$43</f>
        <v>1.386023903258889</v>
      </c>
      <c r="H56" s="2">
        <f t="shared" si="9"/>
        <v>2.718126932015983E-3</v>
      </c>
      <c r="I56" s="2">
        <f t="shared" si="10"/>
        <v>1.2039899742391868E-4</v>
      </c>
    </row>
    <row r="57" spans="1:10" x14ac:dyDescent="0.25">
      <c r="B57" t="s">
        <v>236</v>
      </c>
      <c r="C57" s="4">
        <f>C51*'Postal Arrival-Dispatch Profile'!$B$23</f>
        <v>0.33167241311075718</v>
      </c>
      <c r="D57" s="4">
        <f>'Conversion Factors'!$I$45</f>
        <v>667.89093183646696</v>
      </c>
      <c r="E57" s="4">
        <f>'Productivity Data'!$I$44</f>
        <v>70.608822220868689</v>
      </c>
      <c r="F57" s="2">
        <f>'Wage Data'!$C$11</f>
        <v>49.154294657004115</v>
      </c>
      <c r="G57" s="4">
        <f>'Cost Pool Data'!$K$43</f>
        <v>1.386023903258889</v>
      </c>
      <c r="H57" s="2">
        <f t="shared" si="9"/>
        <v>1.444666740179639E-3</v>
      </c>
      <c r="I57" s="2">
        <f t="shared" si="10"/>
        <v>4.791561038562321E-4</v>
      </c>
    </row>
    <row r="58" spans="1:10" x14ac:dyDescent="0.25">
      <c r="A58" s="72"/>
      <c r="B58" s="79" t="s">
        <v>237</v>
      </c>
      <c r="C58" s="49">
        <f>C51*'Postal Arrival-Dispatch Profile'!$B$24</f>
        <v>0.10972204381933778</v>
      </c>
      <c r="D58" s="49">
        <f>'Conversion Factors'!$I$46</f>
        <v>343.25976155350384</v>
      </c>
      <c r="E58" s="49">
        <f>'Productivity Data'!$I$44</f>
        <v>70.608822220868689</v>
      </c>
      <c r="F58" s="48">
        <f>'Wage Data'!$C$11</f>
        <v>49.154294657004115</v>
      </c>
      <c r="G58" s="49">
        <f>'Cost Pool Data'!$K$43</f>
        <v>1.386023903258889</v>
      </c>
      <c r="H58" s="48">
        <f t="shared" si="9"/>
        <v>2.8109319045289106E-3</v>
      </c>
      <c r="I58" s="75">
        <f t="shared" si="10"/>
        <v>3.0842119360189571E-4</v>
      </c>
      <c r="J58" s="76">
        <f>SUM(I50:I58)</f>
        <v>0.21689287315211014</v>
      </c>
    </row>
    <row r="59" spans="1:10" x14ac:dyDescent="0.25">
      <c r="A59" s="6" t="s">
        <v>243</v>
      </c>
      <c r="B59" t="s">
        <v>215</v>
      </c>
      <c r="C59" s="4">
        <f>(C45+C55)*'Other Inputs'!$B$20</f>
        <v>1.1342186015537934E-2</v>
      </c>
      <c r="D59" s="4">
        <f>'Conversion Factors'!$I$43</f>
        <v>523.14012762456412</v>
      </c>
      <c r="E59" s="4">
        <f>'Productivity Data'!$I$34</f>
        <v>58.924683317790674</v>
      </c>
      <c r="F59" s="2">
        <f>'Wage Data'!$C$11</f>
        <v>49.154294657004115</v>
      </c>
      <c r="G59" s="4">
        <f>'Cost Pool Data'!$K$27</f>
        <v>1.3606061934437479</v>
      </c>
      <c r="H59" s="2">
        <f t="shared" ref="H59:H66" si="11">(F59*G59)/(D59*E59)</f>
        <v>2.1695947482195926E-3</v>
      </c>
      <c r="I59" s="2">
        <f t="shared" ref="I59:I66" si="12">C59*H59</f>
        <v>2.4607947212640808E-5</v>
      </c>
    </row>
    <row r="60" spans="1:10" x14ac:dyDescent="0.25">
      <c r="A60" s="6" t="s">
        <v>244</v>
      </c>
      <c r="B60" t="s">
        <v>216</v>
      </c>
      <c r="C60" s="4">
        <f>(C46+C56)*'Other Inputs'!$B$20</f>
        <v>7.6602999233480662E-3</v>
      </c>
      <c r="D60" s="4">
        <f>'Conversion Factors'!$I$44</f>
        <v>354.97967513095392</v>
      </c>
      <c r="E60" s="4">
        <f>'Productivity Data'!$I$33</f>
        <v>74.637919630667881</v>
      </c>
      <c r="F60" s="2">
        <f>'Wage Data'!$C$11</f>
        <v>49.154294657004115</v>
      </c>
      <c r="G60" s="4">
        <f>'Cost Pool Data'!$K$27</f>
        <v>1.3606061934437479</v>
      </c>
      <c r="H60" s="2">
        <f t="shared" si="11"/>
        <v>2.5242414770189521E-3</v>
      </c>
      <c r="I60" s="2">
        <f t="shared" si="12"/>
        <v>1.9336446792920287E-5</v>
      </c>
    </row>
    <row r="61" spans="1:10" x14ac:dyDescent="0.25">
      <c r="B61" t="s">
        <v>217</v>
      </c>
      <c r="C61" s="4">
        <f>(C47+C57)*'Other Inputs'!$B$20</f>
        <v>5.735905499286327E-2</v>
      </c>
      <c r="D61" s="4">
        <f>'Conversion Factors'!$I$45</f>
        <v>667.89093183646696</v>
      </c>
      <c r="E61" s="4">
        <f>'Productivity Data'!$I$33</f>
        <v>74.637919630667881</v>
      </c>
      <c r="F61" s="2">
        <f>'Wage Data'!$C$11</f>
        <v>49.154294657004115</v>
      </c>
      <c r="G61" s="4">
        <f>'Cost Pool Data'!$K$27</f>
        <v>1.3606061934437479</v>
      </c>
      <c r="H61" s="2">
        <f t="shared" si="11"/>
        <v>1.3416178851244917E-3</v>
      </c>
      <c r="I61" s="2">
        <f t="shared" si="12"/>
        <v>7.6953934052264645E-5</v>
      </c>
    </row>
    <row r="62" spans="1:10" x14ac:dyDescent="0.25">
      <c r="B62" t="s">
        <v>218</v>
      </c>
      <c r="C62" s="4">
        <f>(C48+C58)*'Other Inputs'!$B$20</f>
        <v>1.897520715194697E-2</v>
      </c>
      <c r="D62" s="4">
        <f>'Conversion Factors'!$I$46</f>
        <v>343.25976155350384</v>
      </c>
      <c r="E62" s="4">
        <f>'Productivity Data'!$I$33</f>
        <v>74.637919630667881</v>
      </c>
      <c r="F62" s="2">
        <f>'Wage Data'!$C$11</f>
        <v>49.154294657004115</v>
      </c>
      <c r="G62" s="4">
        <f>'Cost Pool Data'!$K$27</f>
        <v>1.3606061934437479</v>
      </c>
      <c r="H62" s="2">
        <f t="shared" si="11"/>
        <v>2.6104266209618018E-3</v>
      </c>
      <c r="I62" s="2">
        <f t="shared" si="12"/>
        <v>4.9533385887707146E-5</v>
      </c>
    </row>
    <row r="63" spans="1:10" x14ac:dyDescent="0.25">
      <c r="B63" t="s">
        <v>204</v>
      </c>
      <c r="C63" s="4">
        <f>'Other Inputs'!$B$17*(1+'Other Inputs'!$B$10)</f>
        <v>4.1075213808213225E-2</v>
      </c>
      <c r="D63" s="4">
        <v>1</v>
      </c>
      <c r="E63" s="4">
        <f>'Productivity Data'!$I$10</f>
        <v>245.20305602978507</v>
      </c>
      <c r="F63" s="2">
        <f>'Wage Data'!$C$11</f>
        <v>49.154294657004115</v>
      </c>
      <c r="G63" s="4">
        <f>'Cost Pool Data'!$L$14</f>
        <v>1.8052502472456198</v>
      </c>
      <c r="H63" s="2">
        <f t="shared" si="11"/>
        <v>0.36188701731336453</v>
      </c>
      <c r="I63" s="2">
        <f t="shared" si="12"/>
        <v>1.4864586610563009E-2</v>
      </c>
    </row>
    <row r="64" spans="1:10" x14ac:dyDescent="0.25">
      <c r="B64" s="9" t="s">
        <v>363</v>
      </c>
      <c r="C64" s="4">
        <f>'Other Inputs'!$B$18*(1+'Other Inputs'!$B$11)</f>
        <v>2.6656991902813034E-2</v>
      </c>
      <c r="D64" s="4">
        <v>1</v>
      </c>
      <c r="E64" s="4">
        <f>'Productivity Data'!$I$11</f>
        <v>190.80521220652753</v>
      </c>
      <c r="F64" s="2">
        <f>'Wage Data'!$C$11</f>
        <v>49.154294657004115</v>
      </c>
      <c r="G64" s="4">
        <f>'Cost Pool Data'!$L$11</f>
        <v>1.6056412614911089</v>
      </c>
      <c r="H64" s="2">
        <f t="shared" si="11"/>
        <v>0.41363735700967258</v>
      </c>
      <c r="I64" s="2">
        <f t="shared" si="12"/>
        <v>1.1026327676507826E-2</v>
      </c>
    </row>
    <row r="65" spans="1:10" x14ac:dyDescent="0.25">
      <c r="B65" t="s">
        <v>245</v>
      </c>
      <c r="C65" s="4">
        <f>'Other Inputs'!$B$19</f>
        <v>3.4773485341240841E-2</v>
      </c>
      <c r="D65" s="4">
        <v>1</v>
      </c>
      <c r="E65" s="4">
        <f>'Productivity Data'!$I$15</f>
        <v>47.994690148863093</v>
      </c>
      <c r="F65" s="2">
        <f>'Wage Data'!$C$11</f>
        <v>49.154294657004115</v>
      </c>
      <c r="G65" s="4">
        <f>'Cost Pool Data'!$K$16</f>
        <v>1.3208756008457678</v>
      </c>
      <c r="H65" s="2">
        <f t="shared" si="11"/>
        <v>1.3527894083249588</v>
      </c>
      <c r="I65" s="2">
        <f t="shared" si="12"/>
        <v>4.7041202660173823E-2</v>
      </c>
    </row>
    <row r="66" spans="1:10" x14ac:dyDescent="0.25">
      <c r="A66" s="72"/>
      <c r="B66" s="79" t="s">
        <v>248</v>
      </c>
      <c r="C66" s="49">
        <f>SUM(C59:C62)</f>
        <v>9.5336748083696243E-2</v>
      </c>
      <c r="D66" s="49">
        <f>'Conversion Factors'!$I$48</f>
        <v>204.26720030964461</v>
      </c>
      <c r="E66" s="49">
        <f>'Productivity Data'!$I$35</f>
        <v>82.063608851111439</v>
      </c>
      <c r="F66" s="48">
        <f>'Wage Data'!$C$11</f>
        <v>49.154294657004115</v>
      </c>
      <c r="G66" s="49">
        <f>'Cost Pool Data'!$K$27</f>
        <v>1.3606061934437479</v>
      </c>
      <c r="H66" s="48">
        <f t="shared" si="11"/>
        <v>3.9897406339358659E-3</v>
      </c>
      <c r="I66" s="75">
        <f t="shared" si="12"/>
        <v>3.803688977368302E-4</v>
      </c>
      <c r="J66" s="76">
        <f>SUM(I59:I66)</f>
        <v>7.3482917558927024E-2</v>
      </c>
    </row>
    <row r="67" spans="1:10" x14ac:dyDescent="0.25">
      <c r="A67" s="6" t="s">
        <v>243</v>
      </c>
      <c r="B67" t="s">
        <v>215</v>
      </c>
      <c r="C67" s="4">
        <f>(C45+C55)*(1-'Other Inputs'!$B$20)</f>
        <v>0.107627531784996</v>
      </c>
      <c r="D67" s="4">
        <f>'Conversion Factors'!$I$43</f>
        <v>523.14012762456412</v>
      </c>
      <c r="E67" s="4">
        <f>'Productivity Data'!$I$28</f>
        <v>58.156985400220201</v>
      </c>
      <c r="F67" s="2">
        <f>'Wage Data'!$C$11</f>
        <v>49.154294657004115</v>
      </c>
      <c r="G67" s="4">
        <f>'Cost Pool Data'!$K$27</f>
        <v>1.3606061934437479</v>
      </c>
      <c r="H67" s="2">
        <f>(F67*G67)/(D67*E67)</f>
        <v>2.1982343580397691E-3</v>
      </c>
      <c r="I67" s="2">
        <f t="shared" ref="I67:I77" si="13">C67*H67</f>
        <v>2.3659053824079553E-4</v>
      </c>
    </row>
    <row r="68" spans="1:10" x14ac:dyDescent="0.25">
      <c r="A68" s="6" t="s">
        <v>241</v>
      </c>
      <c r="B68" t="s">
        <v>216</v>
      </c>
      <c r="C68" s="4">
        <f>(C46+C56)*(1-'Other Inputs'!$B$20)</f>
        <v>7.2689618416881874E-2</v>
      </c>
      <c r="D68" s="4">
        <f>'Conversion Factors'!$I$44</f>
        <v>354.97967513095392</v>
      </c>
      <c r="E68" s="4">
        <f>'Productivity Data'!$I$27</f>
        <v>81.873572020007202</v>
      </c>
      <c r="F68" s="2">
        <f>'Wage Data'!$C$11</f>
        <v>49.154294657004115</v>
      </c>
      <c r="G68" s="4">
        <f>'Cost Pool Data'!$K$27</f>
        <v>1.3606061934437479</v>
      </c>
      <c r="H68" s="2">
        <f>(F68*G68)/(D68*E68)</f>
        <v>2.3011593099187019E-3</v>
      </c>
      <c r="I68" s="2">
        <f t="shared" si="13"/>
        <v>1.6727039215444565E-4</v>
      </c>
    </row>
    <row r="69" spans="1:10" x14ac:dyDescent="0.25">
      <c r="B69" t="s">
        <v>217</v>
      </c>
      <c r="C69" s="4">
        <f>(C47+C57)*(1-'Other Inputs'!$B$20)</f>
        <v>0.54428780359840834</v>
      </c>
      <c r="D69" s="4">
        <f>'Conversion Factors'!$I$45</f>
        <v>667.89093183646696</v>
      </c>
      <c r="E69" s="4">
        <f>'Productivity Data'!$I$27</f>
        <v>81.873572020007202</v>
      </c>
      <c r="F69" s="2">
        <f>'Wage Data'!$C$11</f>
        <v>49.154294657004115</v>
      </c>
      <c r="G69" s="4">
        <f>'Cost Pool Data'!$K$27</f>
        <v>1.3606061934437479</v>
      </c>
      <c r="H69" s="2">
        <f>(F69*G69)/(D69*E69)</f>
        <v>1.2230511679705216E-3</v>
      </c>
      <c r="I69" s="2">
        <f t="shared" si="13"/>
        <v>6.656918339031432E-4</v>
      </c>
    </row>
    <row r="70" spans="1:10" x14ac:dyDescent="0.25">
      <c r="B70" t="s">
        <v>218</v>
      </c>
      <c r="C70" s="4">
        <f>(C48+C58)*(1-'Other Inputs'!$B$20)</f>
        <v>0.18005829811601765</v>
      </c>
      <c r="D70" s="4">
        <f>'Conversion Factors'!$I$46</f>
        <v>343.25976155350384</v>
      </c>
      <c r="E70" s="4">
        <f>'Productivity Data'!$I$27</f>
        <v>81.873572020007202</v>
      </c>
      <c r="F70" s="2">
        <f>'Wage Data'!$C$11</f>
        <v>49.154294657004115</v>
      </c>
      <c r="G70" s="4">
        <f>'Cost Pool Data'!$K$27</f>
        <v>1.3606061934437479</v>
      </c>
      <c r="H70" s="2">
        <f>(F70*G70)/(D70*E70)</f>
        <v>2.3797277623295978E-3</v>
      </c>
      <c r="I70" s="2">
        <f t="shared" si="13"/>
        <v>4.2848973086450628E-4</v>
      </c>
    </row>
    <row r="71" spans="1:10" x14ac:dyDescent="0.25">
      <c r="B71" t="s">
        <v>249</v>
      </c>
      <c r="C71" s="4">
        <f>'Other Inputs'!$B$23</f>
        <v>5.279665233179142E-2</v>
      </c>
      <c r="D71" s="4">
        <f>'Conversion Factors'!$I$48</f>
        <v>204.26720030964461</v>
      </c>
      <c r="E71" s="4">
        <f>'Productivity Data'!$I$31</f>
        <v>91.071587890934111</v>
      </c>
      <c r="F71" s="2">
        <f>'Wage Data'!$C$11</f>
        <v>49.154294657004115</v>
      </c>
      <c r="G71" s="4">
        <f>'Cost Pool Data'!$K$27</f>
        <v>1.3606061934437479</v>
      </c>
      <c r="H71" s="2">
        <f>(F71*G71)/(D71*E71)</f>
        <v>3.5951115203218188E-3</v>
      </c>
      <c r="I71" s="2">
        <f>C71*H71</f>
        <v>1.8980985303244916E-4</v>
      </c>
    </row>
    <row r="72" spans="1:10" x14ac:dyDescent="0.25">
      <c r="B72" t="s">
        <v>219</v>
      </c>
      <c r="C72" s="4">
        <f t="shared" ref="C72:C85" si="14">C67</f>
        <v>0.107627531784996</v>
      </c>
      <c r="D72" s="4">
        <f>'Conversion Factors'!$I$43</f>
        <v>523.14012762456412</v>
      </c>
      <c r="E72" s="4">
        <f>'Productivity Data'!$I$30</f>
        <v>39.899251235537818</v>
      </c>
      <c r="F72" s="2">
        <f>'Wage Data'!$C$11</f>
        <v>49.154294657004115</v>
      </c>
      <c r="G72" s="4">
        <f>'Cost Pool Data'!$K$27</f>
        <v>1.3606061934437479</v>
      </c>
      <c r="H72" s="2">
        <f t="shared" ref="H72:H81" si="15">(F72*G72)/(D72*E72)</f>
        <v>3.2041374087971165E-3</v>
      </c>
      <c r="I72" s="2">
        <f t="shared" si="13"/>
        <v>3.4485340080880639E-4</v>
      </c>
    </row>
    <row r="73" spans="1:10" x14ac:dyDescent="0.25">
      <c r="B73" t="s">
        <v>220</v>
      </c>
      <c r="C73" s="4">
        <f t="shared" si="14"/>
        <v>7.2689618416881874E-2</v>
      </c>
      <c r="D73" s="4">
        <f>'Conversion Factors'!$I$44</f>
        <v>354.97967513095392</v>
      </c>
      <c r="E73" s="4">
        <f>'Productivity Data'!$I$29</f>
        <v>50.764395048330648</v>
      </c>
      <c r="F73" s="2">
        <f>'Wage Data'!$C$11</f>
        <v>49.154294657004115</v>
      </c>
      <c r="G73" s="4">
        <f>'Cost Pool Data'!$K$27</f>
        <v>1.3606061934437479</v>
      </c>
      <c r="H73" s="2">
        <f t="shared" si="15"/>
        <v>3.71134399042414E-3</v>
      </c>
      <c r="I73" s="2">
        <f t="shared" si="13"/>
        <v>2.6977617847771844E-4</v>
      </c>
    </row>
    <row r="74" spans="1:10" x14ac:dyDescent="0.25">
      <c r="B74" t="s">
        <v>221</v>
      </c>
      <c r="C74" s="4">
        <f t="shared" si="14"/>
        <v>0.54428780359840834</v>
      </c>
      <c r="D74" s="4">
        <f>'Conversion Factors'!$I$45</f>
        <v>667.89093183646696</v>
      </c>
      <c r="E74" s="4">
        <f>'Productivity Data'!$I$29</f>
        <v>50.764395048330648</v>
      </c>
      <c r="F74" s="2">
        <f>'Wage Data'!$C$11</f>
        <v>49.154294657004115</v>
      </c>
      <c r="G74" s="4">
        <f>'Cost Pool Data'!$K$27</f>
        <v>1.3606061934437479</v>
      </c>
      <c r="H74" s="2">
        <f t="shared" si="15"/>
        <v>1.9725551302178144E-3</v>
      </c>
      <c r="I74" s="2">
        <f t="shared" si="13"/>
        <v>1.0736376993030266E-3</v>
      </c>
    </row>
    <row r="75" spans="1:10" x14ac:dyDescent="0.25">
      <c r="B75" t="s">
        <v>222</v>
      </c>
      <c r="C75" s="4">
        <f t="shared" si="14"/>
        <v>0.18005829811601765</v>
      </c>
      <c r="D75" s="4">
        <f>'Conversion Factors'!$I$46</f>
        <v>343.25976155350384</v>
      </c>
      <c r="E75" s="4">
        <f>'Productivity Data'!$I$29</f>
        <v>50.764395048330648</v>
      </c>
      <c r="F75" s="2">
        <f>'Wage Data'!$C$11</f>
        <v>49.154294657004115</v>
      </c>
      <c r="G75" s="4">
        <f>'Cost Pool Data'!$K$27</f>
        <v>1.3606061934437479</v>
      </c>
      <c r="H75" s="2">
        <f t="shared" si="15"/>
        <v>3.8380603600536752E-3</v>
      </c>
      <c r="I75" s="2">
        <f t="shared" si="13"/>
        <v>6.9107461649781468E-4</v>
      </c>
    </row>
    <row r="76" spans="1:10" x14ac:dyDescent="0.25">
      <c r="B76" t="s">
        <v>252</v>
      </c>
      <c r="C76" s="4">
        <f t="shared" si="14"/>
        <v>5.279665233179142E-2</v>
      </c>
      <c r="D76" s="4">
        <f>'Conversion Factors'!$I$48</f>
        <v>204.26720030964461</v>
      </c>
      <c r="E76" s="4">
        <f>'Productivity Data'!$I$29</f>
        <v>50.764395048330648</v>
      </c>
      <c r="F76" s="2">
        <f>'Wage Data'!$C$11</f>
        <v>49.154294657004115</v>
      </c>
      <c r="G76" s="4">
        <f>'Cost Pool Data'!$K$27</f>
        <v>1.3606061934437479</v>
      </c>
      <c r="H76" s="2">
        <f>(F76*G76)/(D76*E76)</f>
        <v>6.4496487053373255E-3</v>
      </c>
      <c r="I76" s="2">
        <f t="shared" si="13"/>
        <v>3.4051986035788342E-4</v>
      </c>
    </row>
    <row r="77" spans="1:10" x14ac:dyDescent="0.25">
      <c r="B77" t="s">
        <v>235</v>
      </c>
      <c r="C77" s="4">
        <f t="shared" si="14"/>
        <v>0.107627531784996</v>
      </c>
      <c r="D77" s="4">
        <f>'Conversion Factors'!$I$43</f>
        <v>523.14012762456412</v>
      </c>
      <c r="E77" s="4">
        <f>'Productivity Data'!$I$32</f>
        <v>61.728448910094343</v>
      </c>
      <c r="F77" s="2">
        <f>'Wage Data'!$C$11</f>
        <v>49.154294657004115</v>
      </c>
      <c r="G77" s="4">
        <f>'Cost Pool Data'!$K$27</f>
        <v>1.3606061934437479</v>
      </c>
      <c r="H77" s="2">
        <f t="shared" si="15"/>
        <v>2.0710496654950841E-3</v>
      </c>
      <c r="I77" s="2">
        <f t="shared" si="13"/>
        <v>2.229019637013775E-4</v>
      </c>
    </row>
    <row r="78" spans="1:10" x14ac:dyDescent="0.25">
      <c r="B78" t="s">
        <v>238</v>
      </c>
      <c r="C78" s="4">
        <f t="shared" si="14"/>
        <v>7.2689618416881874E-2</v>
      </c>
      <c r="D78" s="4">
        <f>'Conversion Factors'!$I$44</f>
        <v>354.97967513095392</v>
      </c>
      <c r="E78" s="4">
        <f>'Productivity Data'!$I$31</f>
        <v>91.071587890934111</v>
      </c>
      <c r="F78" s="2">
        <f>'Wage Data'!$C$11</f>
        <v>49.154294657004115</v>
      </c>
      <c r="G78" s="4">
        <f>'Cost Pool Data'!$K$27</f>
        <v>1.3606061934437479</v>
      </c>
      <c r="H78" s="2">
        <f t="shared" si="15"/>
        <v>2.0687476396674749E-3</v>
      </c>
      <c r="I78" s="2">
        <f t="shared" ref="I78:I87" si="16">C78*H78</f>
        <v>1.5037647652825379E-4</v>
      </c>
    </row>
    <row r="79" spans="1:10" x14ac:dyDescent="0.25">
      <c r="B79" t="s">
        <v>236</v>
      </c>
      <c r="C79" s="4">
        <f t="shared" si="14"/>
        <v>0.54428780359840834</v>
      </c>
      <c r="D79" s="4">
        <f>'Conversion Factors'!$I$45</f>
        <v>667.89093183646696</v>
      </c>
      <c r="E79" s="4">
        <f>'Productivity Data'!$I$31</f>
        <v>91.071587890934111</v>
      </c>
      <c r="F79" s="2">
        <f>'Wage Data'!$C$11</f>
        <v>49.154294657004115</v>
      </c>
      <c r="G79" s="4">
        <f>'Cost Pool Data'!$K$27</f>
        <v>1.3606061934437479</v>
      </c>
      <c r="H79" s="2">
        <f t="shared" si="15"/>
        <v>1.0995258807270298E-3</v>
      </c>
      <c r="I79" s="2">
        <f t="shared" si="16"/>
        <v>5.9845852662052058E-4</v>
      </c>
    </row>
    <row r="80" spans="1:10" x14ac:dyDescent="0.25">
      <c r="B80" t="s">
        <v>237</v>
      </c>
      <c r="C80" s="4">
        <f t="shared" si="14"/>
        <v>0.18005829811601765</v>
      </c>
      <c r="D80" s="4">
        <f>'Conversion Factors'!$I$46</f>
        <v>343.25976155350384</v>
      </c>
      <c r="E80" s="4">
        <f>'Productivity Data'!$I$31</f>
        <v>91.071587890934111</v>
      </c>
      <c r="F80" s="2">
        <f>'Wage Data'!$C$11</f>
        <v>49.154294657004115</v>
      </c>
      <c r="G80" s="4">
        <f>'Cost Pool Data'!$K$27</f>
        <v>1.3606061934437479</v>
      </c>
      <c r="H80" s="2">
        <f>(F80*G80)/(D80*E80)</f>
        <v>2.1393808634415858E-3</v>
      </c>
      <c r="I80" s="2">
        <f>C80*H80</f>
        <v>3.8521327729326829E-4</v>
      </c>
    </row>
    <row r="81" spans="1:10" x14ac:dyDescent="0.25">
      <c r="A81" s="72"/>
      <c r="B81" s="79" t="s">
        <v>248</v>
      </c>
      <c r="C81" s="49">
        <f t="shared" si="14"/>
        <v>5.279665233179142E-2</v>
      </c>
      <c r="D81" s="49">
        <f>'Conversion Factors'!$I$48</f>
        <v>204.26720030964461</v>
      </c>
      <c r="E81" s="49">
        <f>'Productivity Data'!$I$31</f>
        <v>91.071587890934111</v>
      </c>
      <c r="F81" s="48">
        <f>'Wage Data'!$C$11</f>
        <v>49.154294657004115</v>
      </c>
      <c r="G81" s="49">
        <f>'Cost Pool Data'!$K$27</f>
        <v>1.3606061934437479</v>
      </c>
      <c r="H81" s="48">
        <f t="shared" si="15"/>
        <v>3.5951115203218188E-3</v>
      </c>
      <c r="I81" s="75">
        <f t="shared" si="16"/>
        <v>1.8980985303244916E-4</v>
      </c>
      <c r="J81" s="76">
        <f>SUM(I67:I81)</f>
        <v>5.9544742008164585E-3</v>
      </c>
    </row>
    <row r="82" spans="1:10" x14ac:dyDescent="0.25">
      <c r="A82" s="6" t="s">
        <v>243</v>
      </c>
      <c r="B82" t="s">
        <v>215</v>
      </c>
      <c r="C82" s="4">
        <f t="shared" si="14"/>
        <v>0.107627531784996</v>
      </c>
      <c r="D82" s="4">
        <f>'Conversion Factors'!$I$43</f>
        <v>523.14012762456412</v>
      </c>
      <c r="E82" s="4">
        <f>'Productivity Data'!$I$26</f>
        <v>48.58034429266948</v>
      </c>
      <c r="F82" s="2">
        <f>'Wage Data'!$C$11</f>
        <v>49.154294657004115</v>
      </c>
      <c r="G82" s="4">
        <f>'Cost Pool Data'!$K$48</f>
        <v>1.6214860636540271</v>
      </c>
      <c r="H82" s="2">
        <f t="shared" ref="H82:H87" si="17">(F82*G82)/(D82*E82)</f>
        <v>3.136144511922507E-3</v>
      </c>
      <c r="I82" s="2">
        <f t="shared" si="16"/>
        <v>3.3753549313928036E-4</v>
      </c>
    </row>
    <row r="83" spans="1:10" x14ac:dyDescent="0.25">
      <c r="A83" s="6" t="s">
        <v>85</v>
      </c>
      <c r="B83" t="s">
        <v>216</v>
      </c>
      <c r="C83" s="4">
        <f t="shared" si="14"/>
        <v>7.2689618416881874E-2</v>
      </c>
      <c r="D83" s="4">
        <f>'Conversion Factors'!$I$44</f>
        <v>354.97967513095392</v>
      </c>
      <c r="E83" s="4">
        <f>'Productivity Data'!$I$25</f>
        <v>60.332591436644847</v>
      </c>
      <c r="F83" s="2">
        <f>'Wage Data'!$C$11</f>
        <v>49.154294657004115</v>
      </c>
      <c r="G83" s="4">
        <f>'Cost Pool Data'!$K$48</f>
        <v>1.6214860636540271</v>
      </c>
      <c r="H83" s="2">
        <f t="shared" si="17"/>
        <v>3.7215102674230905E-3</v>
      </c>
      <c r="I83" s="2">
        <f t="shared" si="16"/>
        <v>2.7051516127349248E-4</v>
      </c>
    </row>
    <row r="84" spans="1:10" x14ac:dyDescent="0.25">
      <c r="B84" t="s">
        <v>217</v>
      </c>
      <c r="C84" s="4">
        <f t="shared" si="14"/>
        <v>0.54428780359840834</v>
      </c>
      <c r="D84" s="4">
        <f>'Conversion Factors'!$I$45</f>
        <v>667.89093183646696</v>
      </c>
      <c r="E84" s="4">
        <f>'Productivity Data'!$I$25</f>
        <v>60.332591436644847</v>
      </c>
      <c r="F84" s="2">
        <f>'Wage Data'!$C$11</f>
        <v>49.154294657004115</v>
      </c>
      <c r="G84" s="4">
        <f>'Cost Pool Data'!$K$48</f>
        <v>1.6214860636540271</v>
      </c>
      <c r="H84" s="2">
        <f t="shared" si="17"/>
        <v>1.9779584401511527E-3</v>
      </c>
      <c r="I84" s="2">
        <f t="shared" si="16"/>
        <v>1.0765786549988047E-3</v>
      </c>
    </row>
    <row r="85" spans="1:10" x14ac:dyDescent="0.25">
      <c r="B85" t="s">
        <v>218</v>
      </c>
      <c r="C85" s="4">
        <f t="shared" si="14"/>
        <v>0.18005829811601765</v>
      </c>
      <c r="D85" s="4">
        <f>'Conversion Factors'!$I$46</f>
        <v>343.25976155350384</v>
      </c>
      <c r="E85" s="4">
        <f>'Productivity Data'!$I$25</f>
        <v>60.332591436644847</v>
      </c>
      <c r="F85" s="2">
        <f>'Wage Data'!$C$11</f>
        <v>49.154294657004115</v>
      </c>
      <c r="G85" s="4">
        <f>'Cost Pool Data'!$K$48</f>
        <v>1.6214860636540271</v>
      </c>
      <c r="H85" s="2">
        <f t="shared" si="17"/>
        <v>3.8485737441160714E-3</v>
      </c>
      <c r="I85" s="2">
        <f t="shared" si="16"/>
        <v>6.929676385395298E-4</v>
      </c>
    </row>
    <row r="86" spans="1:10" x14ac:dyDescent="0.25">
      <c r="B86" t="s">
        <v>249</v>
      </c>
      <c r="C86" s="4">
        <f>C66</f>
        <v>9.5336748083696243E-2</v>
      </c>
      <c r="D86" s="4">
        <f>'Conversion Factors'!$I$48</f>
        <v>204.26720030964461</v>
      </c>
      <c r="E86" s="4">
        <f>'Productivity Data'!$I$25</f>
        <v>60.332591436644847</v>
      </c>
      <c r="F86" s="2">
        <f>'Wage Data'!$C$11</f>
        <v>49.154294657004115</v>
      </c>
      <c r="G86" s="4">
        <f>'Cost Pool Data'!$K$48</f>
        <v>1.6214860636540271</v>
      </c>
      <c r="H86" s="2">
        <f t="shared" si="17"/>
        <v>6.4673158672747689E-3</v>
      </c>
      <c r="I86" s="2">
        <f>C86*H86</f>
        <v>6.1657286361606616E-4</v>
      </c>
    </row>
    <row r="87" spans="1:10" x14ac:dyDescent="0.25">
      <c r="A87" s="72"/>
      <c r="B87" s="79" t="s">
        <v>135</v>
      </c>
      <c r="C87" s="49">
        <f>SUM(C82:C86)</f>
        <v>1</v>
      </c>
      <c r="D87" s="49">
        <v>1</v>
      </c>
      <c r="E87" s="49">
        <f>'Productivity Data'!$I$22</f>
        <v>307.66822713635111</v>
      </c>
      <c r="F87" s="48">
        <f>'Wage Data'!$C$11</f>
        <v>49.154294657004115</v>
      </c>
      <c r="G87" s="49">
        <f>'Cost Pool Data'!$K$57</f>
        <v>1.4957786551922303</v>
      </c>
      <c r="H87" s="48">
        <f t="shared" si="17"/>
        <v>0.23897152280983572</v>
      </c>
      <c r="I87" s="75">
        <f t="shared" si="16"/>
        <v>0.23897152280983572</v>
      </c>
      <c r="J87" s="76">
        <f>SUM(I82:I87)</f>
        <v>0.24196569262140288</v>
      </c>
    </row>
    <row r="89" spans="1:10" x14ac:dyDescent="0.25">
      <c r="A89" s="29" t="s">
        <v>259</v>
      </c>
      <c r="I89" s="80" t="s">
        <v>203</v>
      </c>
      <c r="J89" s="81">
        <f>J16+J28+J49+J58+J66+J81+J87</f>
        <v>1.0169704757977469</v>
      </c>
    </row>
    <row r="90" spans="1:10" x14ac:dyDescent="0.25">
      <c r="A90" s="6" t="s">
        <v>296</v>
      </c>
    </row>
    <row r="91" spans="1:10" x14ac:dyDescent="0.25">
      <c r="A91" s="6" t="s">
        <v>297</v>
      </c>
    </row>
    <row r="92" spans="1:10" x14ac:dyDescent="0.25">
      <c r="A92" s="6" t="s">
        <v>298</v>
      </c>
    </row>
    <row r="93" spans="1:10" x14ac:dyDescent="0.25">
      <c r="A93" s="6" t="s">
        <v>299</v>
      </c>
    </row>
    <row r="94" spans="1:10" x14ac:dyDescent="0.25">
      <c r="A94" s="6" t="s">
        <v>277</v>
      </c>
    </row>
    <row r="95" spans="1:10" x14ac:dyDescent="0.25">
      <c r="A95" s="6" t="s">
        <v>300</v>
      </c>
    </row>
    <row r="96" spans="1:10" x14ac:dyDescent="0.25">
      <c r="A96" s="6" t="s">
        <v>301</v>
      </c>
    </row>
  </sheetData>
  <phoneticPr fontId="3" type="noConversion"/>
  <printOptions horizontalCentered="1"/>
  <pageMargins left="0.75" right="0.75" top="1" bottom="1" header="0.5" footer="0.5"/>
  <pageSetup scale="54" orientation="portrait" r:id="rId1"/>
  <headerFooter alignWithMargins="0">
    <oddHeader>&amp;RPage 11 of 50</oddHeader>
    <oddFooter>&amp;R&amp;F</oddFooter>
  </headerFooter>
  <ignoredErrors>
    <ignoredError sqref="G37 E67 E82 G39 G42 G52" formula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21">
    <pageSetUpPr fitToPage="1"/>
  </sheetPr>
  <dimension ref="A1:J91"/>
  <sheetViews>
    <sheetView topLeftCell="A55" zoomScale="75" workbookViewId="0">
      <selection activeCell="J84" sqref="J84"/>
    </sheetView>
  </sheetViews>
  <sheetFormatPr defaultColWidth="9.109375" defaultRowHeight="13.2" x14ac:dyDescent="0.25"/>
  <cols>
    <col min="1" max="1" width="15.6640625" style="6" customWidth="1"/>
    <col min="2" max="2" width="30.6640625" style="6" customWidth="1"/>
    <col min="3" max="5" width="12.6640625" style="4" customWidth="1"/>
    <col min="6" max="6" width="12.6640625" style="2" customWidth="1"/>
    <col min="7" max="7" width="12.6640625" style="4" customWidth="1"/>
    <col min="8" max="9" width="12.6640625" style="2" customWidth="1"/>
    <col min="10" max="10" width="12.6640625" style="69" customWidth="1"/>
  </cols>
  <sheetData>
    <row r="1" spans="1:10" ht="15.6" x14ac:dyDescent="0.3">
      <c r="A1" s="5" t="s">
        <v>385</v>
      </c>
      <c r="B1" s="5"/>
    </row>
    <row r="4" spans="1:10" x14ac:dyDescent="0.25">
      <c r="C4" s="8" t="s">
        <v>107</v>
      </c>
      <c r="D4" s="8" t="s">
        <v>108</v>
      </c>
      <c r="E4" s="8" t="s">
        <v>109</v>
      </c>
      <c r="F4" s="50" t="s">
        <v>112</v>
      </c>
      <c r="G4" s="8" t="s">
        <v>156</v>
      </c>
      <c r="H4" s="50" t="s">
        <v>157</v>
      </c>
      <c r="I4" s="50" t="s">
        <v>192</v>
      </c>
    </row>
    <row r="5" spans="1:10" x14ac:dyDescent="0.25">
      <c r="A5" s="70"/>
      <c r="F5" s="50" t="s">
        <v>155</v>
      </c>
      <c r="H5" s="50" t="s">
        <v>3</v>
      </c>
      <c r="I5" s="50" t="s">
        <v>3</v>
      </c>
    </row>
    <row r="6" spans="1:10" s="6" customFormat="1" x14ac:dyDescent="0.25">
      <c r="C6" s="8"/>
      <c r="D6" s="8" t="s">
        <v>202</v>
      </c>
      <c r="E6" s="8" t="s">
        <v>101</v>
      </c>
      <c r="F6" s="50" t="s">
        <v>103</v>
      </c>
      <c r="G6" s="8" t="s">
        <v>105</v>
      </c>
      <c r="H6" s="50" t="s">
        <v>207</v>
      </c>
      <c r="I6" s="50" t="s">
        <v>206</v>
      </c>
      <c r="J6" s="71"/>
    </row>
    <row r="7" spans="1:10" s="6" customFormat="1" x14ac:dyDescent="0.25">
      <c r="A7" s="6" t="s">
        <v>84</v>
      </c>
      <c r="B7" s="6" t="s">
        <v>76</v>
      </c>
      <c r="C7" s="8" t="s">
        <v>199</v>
      </c>
      <c r="D7" s="8" t="s">
        <v>81</v>
      </c>
      <c r="E7" s="8" t="s">
        <v>102</v>
      </c>
      <c r="F7" s="50" t="s">
        <v>104</v>
      </c>
      <c r="G7" s="8" t="s">
        <v>81</v>
      </c>
      <c r="H7" s="50" t="s">
        <v>76</v>
      </c>
      <c r="I7" s="50" t="s">
        <v>84</v>
      </c>
      <c r="J7" s="71"/>
    </row>
    <row r="8" spans="1:10" x14ac:dyDescent="0.25">
      <c r="A8" s="72"/>
      <c r="B8" s="72"/>
      <c r="C8" s="49"/>
      <c r="D8" s="49"/>
      <c r="E8" s="49"/>
      <c r="F8" s="48"/>
      <c r="G8" s="49"/>
      <c r="H8" s="48"/>
      <c r="I8" s="48"/>
      <c r="J8" s="73"/>
    </row>
    <row r="9" spans="1:10" x14ac:dyDescent="0.25">
      <c r="A9" s="6" t="s">
        <v>240</v>
      </c>
      <c r="B9" s="12" t="s">
        <v>211</v>
      </c>
      <c r="C9" s="4">
        <f>'Mailer Arrival Profile'!$C$47*'Mailer Arrival Profile'!$C$9</f>
        <v>0.43072278246750956</v>
      </c>
      <c r="D9" s="4">
        <f>'Conversion Factors'!$I$20</f>
        <v>534.04624612244606</v>
      </c>
      <c r="E9" s="4">
        <f>'Productivity Data'!$I$26</f>
        <v>48.58034429266948</v>
      </c>
      <c r="F9" s="2">
        <f>'Wage Data'!$C$11</f>
        <v>49.154294657004115</v>
      </c>
      <c r="G9" s="4">
        <f>'Cost Pool Data'!$K$48</f>
        <v>1.6214860636540271</v>
      </c>
      <c r="H9" s="2">
        <f t="shared" ref="H9:H16" si="0">(F9*G9)/(D9*E9)</f>
        <v>3.0720991901515026E-3</v>
      </c>
      <c r="I9" s="2">
        <f t="shared" ref="I9:I16" si="1">C9*H9</f>
        <v>1.323223111198238E-3</v>
      </c>
    </row>
    <row r="10" spans="1:10" x14ac:dyDescent="0.25">
      <c r="A10" s="6" t="s">
        <v>85</v>
      </c>
      <c r="B10" s="12" t="s">
        <v>212</v>
      </c>
      <c r="C10" s="4">
        <f>'Mailer Arrival Profile'!$C$47*'Mailer Arrival Profile'!$D$9</f>
        <v>0</v>
      </c>
      <c r="D10" s="4">
        <f>'Conversion Factors'!$I$21</f>
        <v>854.1844670835743</v>
      </c>
      <c r="E10" s="4">
        <f>'Productivity Data'!$I$26</f>
        <v>48.58034429266948</v>
      </c>
      <c r="F10" s="2">
        <f>'Wage Data'!$C$11</f>
        <v>49.154294657004115</v>
      </c>
      <c r="G10" s="4">
        <f>'Cost Pool Data'!$K$48</f>
        <v>1.6214860636540271</v>
      </c>
      <c r="H10" s="2">
        <f t="shared" si="0"/>
        <v>1.9207128008518262E-3</v>
      </c>
      <c r="I10" s="2">
        <f t="shared" si="1"/>
        <v>0</v>
      </c>
    </row>
    <row r="11" spans="1:10" x14ac:dyDescent="0.25">
      <c r="B11" s="12" t="s">
        <v>213</v>
      </c>
      <c r="C11" s="4">
        <f>'Mailer Arrival Profile'!$C$47*'Mailer Arrival Profile'!$E$9</f>
        <v>0</v>
      </c>
      <c r="D11" s="4">
        <f>'Conversion Factors'!$I$22</f>
        <v>550.13578700812661</v>
      </c>
      <c r="E11" s="4">
        <f>'Productivity Data'!$I$26</f>
        <v>48.58034429266948</v>
      </c>
      <c r="F11" s="2">
        <f>'Wage Data'!$C$11</f>
        <v>49.154294657004115</v>
      </c>
      <c r="G11" s="4">
        <f>'Cost Pool Data'!$K$48</f>
        <v>1.6214860636540271</v>
      </c>
      <c r="H11" s="2">
        <f t="shared" si="0"/>
        <v>2.9822510713922723E-3</v>
      </c>
      <c r="I11" s="2">
        <f t="shared" si="1"/>
        <v>0</v>
      </c>
    </row>
    <row r="12" spans="1:10" x14ac:dyDescent="0.25">
      <c r="B12" s="12" t="s">
        <v>214</v>
      </c>
      <c r="C12" s="4">
        <f>'Mailer Arrival Profile'!$C$47*'Mailer Arrival Profile'!$F$9</f>
        <v>0</v>
      </c>
      <c r="D12" s="4">
        <f>'Conversion Factors'!$I$23</f>
        <v>465.37757846738288</v>
      </c>
      <c r="E12" s="4">
        <f>'Productivity Data'!$I$25</f>
        <v>60.332591436644847</v>
      </c>
      <c r="F12" s="2">
        <f>'Wage Data'!$C$11</f>
        <v>49.154294657004115</v>
      </c>
      <c r="G12" s="4">
        <f>'Cost Pool Data'!$K$48</f>
        <v>1.6214860636540271</v>
      </c>
      <c r="H12" s="2">
        <f t="shared" si="0"/>
        <v>2.8386853317621699E-3</v>
      </c>
      <c r="I12" s="2">
        <f t="shared" si="1"/>
        <v>0</v>
      </c>
    </row>
    <row r="13" spans="1:10" x14ac:dyDescent="0.25">
      <c r="B13" t="s">
        <v>223</v>
      </c>
      <c r="C13" s="4">
        <f>C9</f>
        <v>0.43072278246750956</v>
      </c>
      <c r="D13" s="4">
        <f>'Conversion Factors'!$I$20</f>
        <v>534.04624612244606</v>
      </c>
      <c r="E13" s="4">
        <f>'Productivity Data'!$I$24</f>
        <v>43.137464151665213</v>
      </c>
      <c r="F13" s="2">
        <f>'Wage Data'!$C$11</f>
        <v>49.154294657004115</v>
      </c>
      <c r="G13" s="4">
        <f>'Cost Pool Data'!$K$48</f>
        <v>1.6214860636540271</v>
      </c>
      <c r="H13" s="2">
        <f t="shared" si="0"/>
        <v>3.4597220604825449E-3</v>
      </c>
      <c r="I13" s="2">
        <f t="shared" si="1"/>
        <v>1.490181112455267E-3</v>
      </c>
    </row>
    <row r="14" spans="1:10" x14ac:dyDescent="0.25">
      <c r="B14" t="s">
        <v>224</v>
      </c>
      <c r="C14" s="4">
        <f>C10</f>
        <v>0</v>
      </c>
      <c r="D14" s="4">
        <f>'Conversion Factors'!$I$21</f>
        <v>854.1844670835743</v>
      </c>
      <c r="E14" s="4">
        <f>'Productivity Data'!$I$24</f>
        <v>43.137464151665213</v>
      </c>
      <c r="F14" s="2">
        <f>'Wage Data'!$C$11</f>
        <v>49.154294657004115</v>
      </c>
      <c r="G14" s="4">
        <f>'Cost Pool Data'!$K$48</f>
        <v>1.6214860636540271</v>
      </c>
      <c r="H14" s="2">
        <f t="shared" si="0"/>
        <v>2.1630592105427986E-3</v>
      </c>
      <c r="I14" s="2">
        <f t="shared" si="1"/>
        <v>0</v>
      </c>
    </row>
    <row r="15" spans="1:10" x14ac:dyDescent="0.25">
      <c r="B15" s="12" t="s">
        <v>225</v>
      </c>
      <c r="C15" s="4">
        <f>C11</f>
        <v>0</v>
      </c>
      <c r="D15" s="4">
        <f>'Conversion Factors'!$I$22</f>
        <v>550.13578700812661</v>
      </c>
      <c r="E15" s="4">
        <f>'Productivity Data'!$I$24</f>
        <v>43.137464151665213</v>
      </c>
      <c r="F15" s="2">
        <f>'Wage Data'!$C$11</f>
        <v>49.154294657004115</v>
      </c>
      <c r="G15" s="4">
        <f>'Cost Pool Data'!$K$48</f>
        <v>1.6214860636540271</v>
      </c>
      <c r="H15" s="2">
        <f t="shared" si="0"/>
        <v>3.3585373332573683E-3</v>
      </c>
      <c r="I15" s="2">
        <f t="shared" si="1"/>
        <v>0</v>
      </c>
    </row>
    <row r="16" spans="1:10" x14ac:dyDescent="0.25">
      <c r="A16" s="72"/>
      <c r="B16" s="74" t="s">
        <v>226</v>
      </c>
      <c r="C16" s="49">
        <f>C12</f>
        <v>0</v>
      </c>
      <c r="D16" s="49">
        <f>'Conversion Factors'!$I$23</f>
        <v>465.37757846738288</v>
      </c>
      <c r="E16" s="49">
        <f>'Productivity Data'!$I$23</f>
        <v>68.564044141410264</v>
      </c>
      <c r="F16" s="48">
        <f>'Wage Data'!$C$11</f>
        <v>49.154294657004115</v>
      </c>
      <c r="G16" s="49">
        <f>'Cost Pool Data'!$K$48</f>
        <v>1.6214860636540271</v>
      </c>
      <c r="H16" s="48">
        <f t="shared" si="0"/>
        <v>2.49788711391027E-3</v>
      </c>
      <c r="I16" s="75">
        <f t="shared" si="1"/>
        <v>0</v>
      </c>
      <c r="J16" s="76">
        <f>SUM(I9:I16)</f>
        <v>2.8134042236535048E-3</v>
      </c>
    </row>
    <row r="17" spans="1:10" x14ac:dyDescent="0.25">
      <c r="A17" s="6" t="s">
        <v>240</v>
      </c>
      <c r="B17" t="s">
        <v>211</v>
      </c>
      <c r="C17" s="4">
        <f>'Mailer Arrival Profile'!$C$48*'Mailer Arrival Profile'!$C$9+C13</f>
        <v>0.6464275860178873</v>
      </c>
      <c r="D17" s="4">
        <f>'Conversion Factors'!$I$20</f>
        <v>534.04624612244606</v>
      </c>
      <c r="E17" s="4">
        <f>'Productivity Data'!$I$28</f>
        <v>58.156985400220201</v>
      </c>
      <c r="F17" s="2">
        <f>'Wage Data'!$C$11</f>
        <v>49.154294657004115</v>
      </c>
      <c r="G17" s="4">
        <f>'Cost Pool Data'!$K$27</f>
        <v>1.3606061934437479</v>
      </c>
      <c r="H17" s="2">
        <f t="shared" ref="H17:H28" si="2">(F17*G17)/(D17*E17)</f>
        <v>2.1533427319512669E-3</v>
      </c>
      <c r="I17" s="2">
        <f t="shared" ref="I17:I28" si="3">C17*H17</f>
        <v>1.3919801440844201E-3</v>
      </c>
    </row>
    <row r="18" spans="1:10" x14ac:dyDescent="0.25">
      <c r="A18" s="6" t="s">
        <v>241</v>
      </c>
      <c r="B18" t="s">
        <v>212</v>
      </c>
      <c r="C18" s="4">
        <f>'Mailer Arrival Profile'!$C$48*'Mailer Arrival Profile'!$D$9+C14</f>
        <v>0</v>
      </c>
      <c r="D18" s="4">
        <f>'Conversion Factors'!$I$21</f>
        <v>854.1844670835743</v>
      </c>
      <c r="E18" s="4">
        <f>'Productivity Data'!$I$28</f>
        <v>58.156985400220201</v>
      </c>
      <c r="F18" s="2">
        <f>'Wage Data'!$C$11</f>
        <v>49.154294657004115</v>
      </c>
      <c r="G18" s="4">
        <f>'Cost Pool Data'!$K$27</f>
        <v>1.3606061934437479</v>
      </c>
      <c r="H18" s="2">
        <f t="shared" si="2"/>
        <v>1.3462953810668055E-3</v>
      </c>
      <c r="I18" s="2">
        <f t="shared" si="3"/>
        <v>0</v>
      </c>
    </row>
    <row r="19" spans="1:10" x14ac:dyDescent="0.25">
      <c r="B19" t="s">
        <v>213</v>
      </c>
      <c r="C19" s="4">
        <f>'Mailer Arrival Profile'!$C$48*'Mailer Arrival Profile'!$E$9+C15</f>
        <v>0</v>
      </c>
      <c r="D19" s="4">
        <f>'Conversion Factors'!$I$22</f>
        <v>550.13578700812661</v>
      </c>
      <c r="E19" s="4">
        <f>'Productivity Data'!$I$28</f>
        <v>58.156985400220201</v>
      </c>
      <c r="F19" s="2">
        <f>'Wage Data'!$C$11</f>
        <v>49.154294657004115</v>
      </c>
      <c r="G19" s="4">
        <f>'Cost Pool Data'!$K$27</f>
        <v>1.3606061934437479</v>
      </c>
      <c r="H19" s="2">
        <f t="shared" si="2"/>
        <v>2.0903650149133803E-3</v>
      </c>
      <c r="I19" s="2">
        <f t="shared" si="3"/>
        <v>0</v>
      </c>
    </row>
    <row r="20" spans="1:10" x14ac:dyDescent="0.25">
      <c r="B20" t="s">
        <v>214</v>
      </c>
      <c r="C20" s="4">
        <f>'Mailer Arrival Profile'!$C$48*'Mailer Arrival Profile'!$F$9+C16</f>
        <v>0</v>
      </c>
      <c r="D20" s="4">
        <f>'Conversion Factors'!$I$23</f>
        <v>465.37757846738288</v>
      </c>
      <c r="E20" s="4">
        <f>'Productivity Data'!$I$27</f>
        <v>81.873572020007202</v>
      </c>
      <c r="F20" s="2">
        <f>'Wage Data'!$C$11</f>
        <v>49.154294657004115</v>
      </c>
      <c r="G20" s="4">
        <f>'Cost Pool Data'!$K$27</f>
        <v>1.3606061934437479</v>
      </c>
      <c r="H20" s="2">
        <f t="shared" si="2"/>
        <v>1.755273184732433E-3</v>
      </c>
      <c r="I20" s="2">
        <f t="shared" si="3"/>
        <v>0</v>
      </c>
    </row>
    <row r="21" spans="1:10" x14ac:dyDescent="0.25">
      <c r="B21" t="s">
        <v>227</v>
      </c>
      <c r="C21" s="4">
        <f t="shared" ref="C21:C28" si="4">C17</f>
        <v>0.6464275860178873</v>
      </c>
      <c r="D21" s="4">
        <f>'Conversion Factors'!$I$20</f>
        <v>534.04624612244606</v>
      </c>
      <c r="E21" s="4">
        <f>'Productivity Data'!$I$30</f>
        <v>39.899251235537818</v>
      </c>
      <c r="F21" s="2">
        <f>'Wage Data'!$C$11</f>
        <v>49.154294657004115</v>
      </c>
      <c r="G21" s="4">
        <f>'Cost Pool Data'!$K$27</f>
        <v>1.3606061934437479</v>
      </c>
      <c r="H21" s="2">
        <f t="shared" si="2"/>
        <v>3.1387035582316251E-3</v>
      </c>
      <c r="I21" s="2">
        <f t="shared" si="3"/>
        <v>2.0289445643734225E-3</v>
      </c>
    </row>
    <row r="22" spans="1:10" x14ac:dyDescent="0.25">
      <c r="B22" t="s">
        <v>228</v>
      </c>
      <c r="C22" s="4">
        <f t="shared" si="4"/>
        <v>0</v>
      </c>
      <c r="D22" s="4">
        <f>'Conversion Factors'!$I$21</f>
        <v>854.1844670835743</v>
      </c>
      <c r="E22" s="4">
        <f>'Productivity Data'!$I$30</f>
        <v>39.899251235537818</v>
      </c>
      <c r="F22" s="2">
        <f>'Wage Data'!$C$11</f>
        <v>49.154294657004115</v>
      </c>
      <c r="G22" s="4">
        <f>'Cost Pool Data'!$K$27</f>
        <v>1.3606061934437479</v>
      </c>
      <c r="H22" s="2">
        <f t="shared" si="2"/>
        <v>1.9623546406642408E-3</v>
      </c>
      <c r="I22" s="2">
        <f t="shared" si="3"/>
        <v>0</v>
      </c>
    </row>
    <row r="23" spans="1:10" x14ac:dyDescent="0.25">
      <c r="B23" t="s">
        <v>229</v>
      </c>
      <c r="C23" s="4">
        <f t="shared" si="4"/>
        <v>0</v>
      </c>
      <c r="D23" s="4">
        <f>'Conversion Factors'!$I$22</f>
        <v>550.13578700812661</v>
      </c>
      <c r="E23" s="4">
        <f>'Productivity Data'!$I$30</f>
        <v>39.899251235537818</v>
      </c>
      <c r="F23" s="2">
        <f>'Wage Data'!$C$11</f>
        <v>49.154294657004115</v>
      </c>
      <c r="G23" s="4">
        <f>'Cost Pool Data'!$K$27</f>
        <v>1.3606061934437479</v>
      </c>
      <c r="H23" s="2">
        <f t="shared" si="2"/>
        <v>3.0469074954762084E-3</v>
      </c>
      <c r="I23" s="2">
        <f t="shared" si="3"/>
        <v>0</v>
      </c>
    </row>
    <row r="24" spans="1:10" x14ac:dyDescent="0.25">
      <c r="B24" t="s">
        <v>230</v>
      </c>
      <c r="C24" s="4">
        <f t="shared" si="4"/>
        <v>0</v>
      </c>
      <c r="D24" s="4">
        <f>'Conversion Factors'!$I$23</f>
        <v>465.37757846738288</v>
      </c>
      <c r="E24" s="4">
        <f>'Productivity Data'!$I$29</f>
        <v>50.764395048330648</v>
      </c>
      <c r="F24" s="2">
        <f>'Wage Data'!$C$11</f>
        <v>49.154294657004115</v>
      </c>
      <c r="G24" s="4">
        <f>'Cost Pool Data'!$K$27</f>
        <v>1.3606061934437479</v>
      </c>
      <c r="H24" s="2">
        <f t="shared" si="2"/>
        <v>2.8309307215846373E-3</v>
      </c>
      <c r="I24" s="2">
        <f t="shared" si="3"/>
        <v>0</v>
      </c>
    </row>
    <row r="25" spans="1:10" x14ac:dyDescent="0.25">
      <c r="B25" t="s">
        <v>223</v>
      </c>
      <c r="C25" s="4">
        <f t="shared" si="4"/>
        <v>0.6464275860178873</v>
      </c>
      <c r="D25" s="4">
        <f>'Conversion Factors'!$I$20</f>
        <v>534.04624612244606</v>
      </c>
      <c r="E25" s="4">
        <f>'Productivity Data'!$I$32</f>
        <v>61.728448910094343</v>
      </c>
      <c r="F25" s="2">
        <f>'Wage Data'!$C$11</f>
        <v>49.154294657004115</v>
      </c>
      <c r="G25" s="4">
        <f>'Cost Pool Data'!$K$27</f>
        <v>1.3606061934437479</v>
      </c>
      <c r="H25" s="2">
        <f t="shared" si="2"/>
        <v>2.0287553637733016E-3</v>
      </c>
      <c r="I25" s="2">
        <f t="shared" si="3"/>
        <v>1.311443432424816E-3</v>
      </c>
    </row>
    <row r="26" spans="1:10" x14ac:dyDescent="0.25">
      <c r="B26" t="s">
        <v>224</v>
      </c>
      <c r="C26" s="4">
        <f t="shared" si="4"/>
        <v>0</v>
      </c>
      <c r="D26" s="4">
        <f>'Conversion Factors'!$I$21</f>
        <v>854.1844670835743</v>
      </c>
      <c r="E26" s="4">
        <f>'Productivity Data'!$I$32</f>
        <v>61.728448910094343</v>
      </c>
      <c r="F26" s="2">
        <f>'Wage Data'!$C$11</f>
        <v>49.154294657004115</v>
      </c>
      <c r="G26" s="4">
        <f>'Cost Pool Data'!$K$27</f>
        <v>1.3606061934437479</v>
      </c>
      <c r="H26" s="2">
        <f t="shared" si="2"/>
        <v>1.2684018828194208E-3</v>
      </c>
      <c r="I26" s="2">
        <f t="shared" si="3"/>
        <v>0</v>
      </c>
    </row>
    <row r="27" spans="1:10" x14ac:dyDescent="0.25">
      <c r="B27" s="12" t="s">
        <v>225</v>
      </c>
      <c r="C27" s="4">
        <f t="shared" si="4"/>
        <v>0</v>
      </c>
      <c r="D27" s="4">
        <f>'Conversion Factors'!$I$22</f>
        <v>550.13578700812661</v>
      </c>
      <c r="E27" s="4">
        <f>'Productivity Data'!$I$32</f>
        <v>61.728448910094343</v>
      </c>
      <c r="F27" s="2">
        <f>'Wage Data'!$C$11</f>
        <v>49.154294657004115</v>
      </c>
      <c r="G27" s="4">
        <f>'Cost Pool Data'!$K$27</f>
        <v>1.3606061934437479</v>
      </c>
      <c r="H27" s="2">
        <f t="shared" si="2"/>
        <v>1.9694213899738621E-3</v>
      </c>
      <c r="I27" s="2">
        <f t="shared" si="3"/>
        <v>0</v>
      </c>
    </row>
    <row r="28" spans="1:10" x14ac:dyDescent="0.25">
      <c r="A28" s="72"/>
      <c r="B28" s="74" t="s">
        <v>226</v>
      </c>
      <c r="C28" s="77">
        <f t="shared" si="4"/>
        <v>0</v>
      </c>
      <c r="D28" s="77">
        <f>'Conversion Factors'!$I$23</f>
        <v>465.37757846738288</v>
      </c>
      <c r="E28" s="77">
        <f>'Productivity Data'!$I$31</f>
        <v>91.071587890934111</v>
      </c>
      <c r="F28" s="78">
        <f>'Wage Data'!$C$11</f>
        <v>49.154294657004115</v>
      </c>
      <c r="G28" s="77">
        <f>'Cost Pool Data'!$K$27</f>
        <v>1.3606061934437479</v>
      </c>
      <c r="H28" s="78">
        <f t="shared" si="2"/>
        <v>1.5779947273685802E-3</v>
      </c>
      <c r="I28" s="78">
        <f t="shared" si="3"/>
        <v>0</v>
      </c>
      <c r="J28" s="76">
        <f>SUM(I17:I28)</f>
        <v>4.7323681408826587E-3</v>
      </c>
    </row>
    <row r="29" spans="1:10" x14ac:dyDescent="0.25">
      <c r="A29" s="6" t="s">
        <v>242</v>
      </c>
      <c r="B29" t="s">
        <v>211</v>
      </c>
      <c r="C29" s="4">
        <f>'Mailer Arrival Profile'!$C$49*'Mailer Arrival Profile'!$C$9+C25</f>
        <v>1</v>
      </c>
      <c r="D29" s="4">
        <f>'Conversion Factors'!$I$20</f>
        <v>534.04624612244606</v>
      </c>
      <c r="E29" s="4">
        <f>'Productivity Data'!$I$38</f>
        <v>46.475052307166727</v>
      </c>
      <c r="F29" s="2">
        <f>'Wage Data'!$C$11</f>
        <v>49.154294657004115</v>
      </c>
      <c r="G29" s="4">
        <f>'Cost Pool Data'!$K$43</f>
        <v>1.386023903258889</v>
      </c>
      <c r="H29" s="2">
        <f t="shared" ref="H29:H36" si="5">(F29*G29)/(D29*E29)</f>
        <v>2.7449436585658881E-3</v>
      </c>
      <c r="I29" s="2">
        <f t="shared" ref="I29:I36" si="6">C29*H29</f>
        <v>2.7449436585658881E-3</v>
      </c>
    </row>
    <row r="30" spans="1:10" x14ac:dyDescent="0.25">
      <c r="A30" s="6" t="s">
        <v>131</v>
      </c>
      <c r="B30" t="s">
        <v>212</v>
      </c>
      <c r="C30" s="4">
        <f>'Mailer Arrival Profile'!$C$49*'Mailer Arrival Profile'!$D$9+C26</f>
        <v>0</v>
      </c>
      <c r="D30" s="4">
        <f>'Conversion Factors'!$I$21</f>
        <v>854.1844670835743</v>
      </c>
      <c r="E30" s="4">
        <f>'Productivity Data'!$I$38</f>
        <v>46.475052307166727</v>
      </c>
      <c r="F30" s="2">
        <f>'Wage Data'!$C$11</f>
        <v>49.154294657004115</v>
      </c>
      <c r="G30" s="4">
        <f>'Cost Pool Data'!$K$43</f>
        <v>1.386023903258889</v>
      </c>
      <c r="H30" s="2">
        <f t="shared" si="5"/>
        <v>1.7161712875437924E-3</v>
      </c>
      <c r="I30" s="2">
        <f t="shared" si="6"/>
        <v>0</v>
      </c>
    </row>
    <row r="31" spans="1:10" x14ac:dyDescent="0.25">
      <c r="B31" t="s">
        <v>213</v>
      </c>
      <c r="C31" s="4">
        <f>'Mailer Arrival Profile'!$C$49*'Mailer Arrival Profile'!$E$9+C27</f>
        <v>0</v>
      </c>
      <c r="D31" s="4">
        <f>'Conversion Factors'!$I$22</f>
        <v>550.13578700812661</v>
      </c>
      <c r="E31" s="4">
        <f>'Productivity Data'!$I$38</f>
        <v>46.475052307166727</v>
      </c>
      <c r="F31" s="2">
        <f>'Wage Data'!$C$11</f>
        <v>49.154294657004115</v>
      </c>
      <c r="G31" s="4">
        <f>'Cost Pool Data'!$K$43</f>
        <v>1.386023903258889</v>
      </c>
      <c r="H31" s="2">
        <f t="shared" si="5"/>
        <v>2.6646636908445138E-3</v>
      </c>
      <c r="I31" s="2">
        <f t="shared" si="6"/>
        <v>0</v>
      </c>
    </row>
    <row r="32" spans="1:10" x14ac:dyDescent="0.25">
      <c r="B32" t="s">
        <v>214</v>
      </c>
      <c r="C32" s="4">
        <f>'Mailer Arrival Profile'!$C$49*'Mailer Arrival Profile'!$F$9+C28</f>
        <v>0</v>
      </c>
      <c r="D32" s="4">
        <f>'Conversion Factors'!$I$23</f>
        <v>465.37757846738288</v>
      </c>
      <c r="E32" s="4">
        <f>'Productivity Data'!$I$37</f>
        <v>55.996737364805647</v>
      </c>
      <c r="F32" s="2">
        <f>'Wage Data'!$C$11</f>
        <v>49.154294657004115</v>
      </c>
      <c r="G32" s="4">
        <f>'Cost Pool Data'!$K$43</f>
        <v>1.386023903258889</v>
      </c>
      <c r="H32" s="2">
        <f t="shared" si="5"/>
        <v>2.6143516889286828E-3</v>
      </c>
      <c r="I32" s="2">
        <f t="shared" si="6"/>
        <v>0</v>
      </c>
    </row>
    <row r="33" spans="1:10" x14ac:dyDescent="0.25">
      <c r="B33" t="s">
        <v>223</v>
      </c>
      <c r="C33" s="4">
        <f t="shared" ref="C33:C44" si="7">C29</f>
        <v>1</v>
      </c>
      <c r="D33" s="4">
        <f>'Conversion Factors'!$I$20</f>
        <v>534.04624612244606</v>
      </c>
      <c r="E33" s="4">
        <f>'Productivity Data'!$I$45</f>
        <v>55.582256364514194</v>
      </c>
      <c r="F33" s="2">
        <f>'Wage Data'!$C$11</f>
        <v>49.154294657004115</v>
      </c>
      <c r="G33" s="4">
        <f>'Cost Pool Data'!$K$43</f>
        <v>1.386023903258889</v>
      </c>
      <c r="H33" s="2">
        <f t="shared" si="5"/>
        <v>2.2951821040774023E-3</v>
      </c>
      <c r="I33" s="2">
        <f t="shared" si="6"/>
        <v>2.2951821040774023E-3</v>
      </c>
    </row>
    <row r="34" spans="1:10" x14ac:dyDescent="0.25">
      <c r="B34" t="s">
        <v>224</v>
      </c>
      <c r="C34" s="4">
        <f t="shared" si="7"/>
        <v>0</v>
      </c>
      <c r="D34" s="4">
        <f>'Conversion Factors'!$I$21</f>
        <v>854.1844670835743</v>
      </c>
      <c r="E34" s="4">
        <f>'Productivity Data'!$I$44</f>
        <v>70.608822220868689</v>
      </c>
      <c r="F34" s="2">
        <f>'Wage Data'!$C$11</f>
        <v>49.154294657004115</v>
      </c>
      <c r="G34" s="4">
        <f>'Cost Pool Data'!$K$43</f>
        <v>1.386023903258889</v>
      </c>
      <c r="H34" s="2">
        <f t="shared" si="5"/>
        <v>1.1295918533687469E-3</v>
      </c>
      <c r="I34" s="2">
        <f t="shared" si="6"/>
        <v>0</v>
      </c>
    </row>
    <row r="35" spans="1:10" x14ac:dyDescent="0.25">
      <c r="B35" t="s">
        <v>225</v>
      </c>
      <c r="C35" s="4">
        <f t="shared" si="7"/>
        <v>0</v>
      </c>
      <c r="D35" s="4">
        <f>'Conversion Factors'!$I$22</f>
        <v>550.13578700812661</v>
      </c>
      <c r="E35" s="4">
        <f>'Productivity Data'!$I$44</f>
        <v>70.608822220868689</v>
      </c>
      <c r="F35" s="2">
        <f>'Wage Data'!$C$11</f>
        <v>49.154294657004115</v>
      </c>
      <c r="G35" s="4">
        <f>'Cost Pool Data'!$K$43</f>
        <v>1.386023903258889</v>
      </c>
      <c r="H35" s="2">
        <f t="shared" si="5"/>
        <v>1.7538939259690023E-3</v>
      </c>
      <c r="I35" s="2">
        <f t="shared" si="6"/>
        <v>0</v>
      </c>
    </row>
    <row r="36" spans="1:10" x14ac:dyDescent="0.25">
      <c r="A36" s="72"/>
      <c r="B36" s="79" t="s">
        <v>226</v>
      </c>
      <c r="C36" s="49">
        <f t="shared" si="7"/>
        <v>0</v>
      </c>
      <c r="D36" s="49">
        <f>'Conversion Factors'!$I$23</f>
        <v>465.37757846738288</v>
      </c>
      <c r="E36" s="49">
        <f>'Productivity Data'!$I$44</f>
        <v>70.608822220868689</v>
      </c>
      <c r="F36" s="48">
        <f>'Wage Data'!$C$11</f>
        <v>49.154294657004115</v>
      </c>
      <c r="G36" s="49">
        <f>'Cost Pool Data'!$K$43</f>
        <v>1.386023903258889</v>
      </c>
      <c r="H36" s="48">
        <f t="shared" si="5"/>
        <v>2.0733268209210814E-3</v>
      </c>
      <c r="I36" s="48">
        <f t="shared" si="6"/>
        <v>0</v>
      </c>
      <c r="J36" s="76">
        <f>SUM(I29:I36)</f>
        <v>5.04012576264329E-3</v>
      </c>
    </row>
    <row r="37" spans="1:10" x14ac:dyDescent="0.25">
      <c r="A37" s="6" t="s">
        <v>243</v>
      </c>
      <c r="B37" t="s">
        <v>211</v>
      </c>
      <c r="C37" s="4">
        <f t="shared" si="7"/>
        <v>1</v>
      </c>
      <c r="D37" s="4">
        <f>'Conversion Factors'!$I$20</f>
        <v>534.04624612244606</v>
      </c>
      <c r="E37" s="4">
        <f>'Productivity Data'!$I$38</f>
        <v>46.475052307166727</v>
      </c>
      <c r="F37" s="2">
        <f>'Wage Data'!$C$11</f>
        <v>49.154294657004115</v>
      </c>
      <c r="G37" s="4">
        <f>'Cost Pool Data'!$K$43</f>
        <v>1.386023903258889</v>
      </c>
      <c r="H37" s="2">
        <f t="shared" ref="H37:H53" si="8">(F37*G37)/(D37*E37)</f>
        <v>2.7449436585658881E-3</v>
      </c>
      <c r="I37" s="2">
        <f t="shared" ref="I37:I53" si="9">C37*H37</f>
        <v>2.7449436585658881E-3</v>
      </c>
    </row>
    <row r="38" spans="1:10" x14ac:dyDescent="0.25">
      <c r="A38" s="6" t="s">
        <v>131</v>
      </c>
      <c r="B38" t="s">
        <v>212</v>
      </c>
      <c r="C38" s="4">
        <f t="shared" si="7"/>
        <v>0</v>
      </c>
      <c r="D38" s="4">
        <f>'Conversion Factors'!$I$21</f>
        <v>854.1844670835743</v>
      </c>
      <c r="E38" s="4">
        <f>'Productivity Data'!$I$38</f>
        <v>46.475052307166727</v>
      </c>
      <c r="F38" s="2">
        <f>'Wage Data'!$C$11</f>
        <v>49.154294657004115</v>
      </c>
      <c r="G38" s="4">
        <f>'Cost Pool Data'!$K$43</f>
        <v>1.386023903258889</v>
      </c>
      <c r="H38" s="2">
        <f t="shared" si="8"/>
        <v>1.7161712875437924E-3</v>
      </c>
      <c r="I38" s="2">
        <f t="shared" si="9"/>
        <v>0</v>
      </c>
    </row>
    <row r="39" spans="1:10" x14ac:dyDescent="0.25">
      <c r="B39" t="s">
        <v>213</v>
      </c>
      <c r="C39" s="4">
        <f t="shared" si="7"/>
        <v>0</v>
      </c>
      <c r="D39" s="4">
        <f>'Conversion Factors'!$I$22</f>
        <v>550.13578700812661</v>
      </c>
      <c r="E39" s="4">
        <f>'Productivity Data'!$I$38</f>
        <v>46.475052307166727</v>
      </c>
      <c r="F39" s="2">
        <f>'Wage Data'!$C$11</f>
        <v>49.154294657004115</v>
      </c>
      <c r="G39" s="4">
        <f>'Cost Pool Data'!$K$43</f>
        <v>1.386023903258889</v>
      </c>
      <c r="H39" s="2">
        <f t="shared" si="8"/>
        <v>2.6646636908445138E-3</v>
      </c>
      <c r="I39" s="2">
        <f t="shared" si="9"/>
        <v>0</v>
      </c>
    </row>
    <row r="40" spans="1:10" x14ac:dyDescent="0.25">
      <c r="B40" t="s">
        <v>214</v>
      </c>
      <c r="C40" s="4">
        <f t="shared" si="7"/>
        <v>0</v>
      </c>
      <c r="D40" s="4">
        <f>'Conversion Factors'!$I$23</f>
        <v>465.37757846738288</v>
      </c>
      <c r="E40" s="4">
        <f>'Productivity Data'!$I$37</f>
        <v>55.996737364805647</v>
      </c>
      <c r="F40" s="2">
        <f>'Wage Data'!$C$11</f>
        <v>49.154294657004115</v>
      </c>
      <c r="G40" s="4">
        <f>'Cost Pool Data'!$K$43</f>
        <v>1.386023903258889</v>
      </c>
      <c r="H40" s="2">
        <f t="shared" si="8"/>
        <v>2.6143516889286828E-3</v>
      </c>
      <c r="I40" s="2">
        <f t="shared" si="9"/>
        <v>0</v>
      </c>
    </row>
    <row r="41" spans="1:10" x14ac:dyDescent="0.25">
      <c r="B41" t="s">
        <v>231</v>
      </c>
      <c r="C41" s="4">
        <f t="shared" si="7"/>
        <v>1</v>
      </c>
      <c r="D41" s="4">
        <f>'Conversion Factors'!$I$20</f>
        <v>534.04624612244606</v>
      </c>
      <c r="E41" s="4">
        <f>'Productivity Data'!$I$41</f>
        <v>16.483976831402664</v>
      </c>
      <c r="F41" s="2">
        <f>'Wage Data'!$C$11</f>
        <v>49.154294657004115</v>
      </c>
      <c r="G41" s="4">
        <f>'Cost Pool Data'!$K$42</f>
        <v>1.51761435929636</v>
      </c>
      <c r="H41" s="2">
        <f t="shared" si="8"/>
        <v>8.4738746126541906E-3</v>
      </c>
      <c r="I41" s="2">
        <f t="shared" si="9"/>
        <v>8.4738746126541906E-3</v>
      </c>
    </row>
    <row r="42" spans="1:10" x14ac:dyDescent="0.25">
      <c r="B42" t="s">
        <v>232</v>
      </c>
      <c r="C42" s="4">
        <f t="shared" si="7"/>
        <v>0</v>
      </c>
      <c r="D42" s="4">
        <f>'Conversion Factors'!$I$21</f>
        <v>854.1844670835743</v>
      </c>
      <c r="E42" s="4">
        <f>'Productivity Data'!$I$41</f>
        <v>16.483976831402664</v>
      </c>
      <c r="F42" s="2">
        <f>'Wage Data'!$C$11</f>
        <v>49.154294657004115</v>
      </c>
      <c r="G42" s="4">
        <f>'Cost Pool Data'!$K$42</f>
        <v>1.51761435929636</v>
      </c>
      <c r="H42" s="2">
        <f t="shared" si="8"/>
        <v>5.2979667757848533E-3</v>
      </c>
      <c r="I42" s="2">
        <f t="shared" si="9"/>
        <v>0</v>
      </c>
    </row>
    <row r="43" spans="1:10" x14ac:dyDescent="0.25">
      <c r="B43" t="s">
        <v>233</v>
      </c>
      <c r="C43" s="4">
        <f t="shared" si="7"/>
        <v>0</v>
      </c>
      <c r="D43" s="4">
        <f>'Conversion Factors'!$I$22</f>
        <v>550.13578700812661</v>
      </c>
      <c r="E43" s="4">
        <f>'Productivity Data'!$I$41</f>
        <v>16.483976831402664</v>
      </c>
      <c r="F43" s="2">
        <f>'Wage Data'!$C$11</f>
        <v>49.154294657004115</v>
      </c>
      <c r="G43" s="4">
        <f>'Cost Pool Data'!$K$42</f>
        <v>1.51761435929636</v>
      </c>
      <c r="H43" s="2">
        <f t="shared" si="8"/>
        <v>8.2260435221121458E-3</v>
      </c>
      <c r="I43" s="2">
        <f t="shared" si="9"/>
        <v>0</v>
      </c>
    </row>
    <row r="44" spans="1:10" x14ac:dyDescent="0.25">
      <c r="B44" t="s">
        <v>234</v>
      </c>
      <c r="C44" s="4">
        <f t="shared" si="7"/>
        <v>0</v>
      </c>
      <c r="D44" s="4">
        <f>'Conversion Factors'!$I$23</f>
        <v>465.37757846738288</v>
      </c>
      <c r="E44" s="4">
        <f>'Productivity Data'!$I$40</f>
        <v>23.065925296264197</v>
      </c>
      <c r="F44" s="2">
        <f>'Wage Data'!$C$11</f>
        <v>49.154294657004115</v>
      </c>
      <c r="G44" s="4">
        <f>'Cost Pool Data'!$K$42</f>
        <v>1.51761435929636</v>
      </c>
      <c r="H44" s="2">
        <f t="shared" si="8"/>
        <v>6.9493879841800018E-3</v>
      </c>
      <c r="I44" s="2">
        <f t="shared" si="9"/>
        <v>0</v>
      </c>
    </row>
    <row r="45" spans="1:10" x14ac:dyDescent="0.25">
      <c r="B45" t="s">
        <v>143</v>
      </c>
      <c r="C45" s="4">
        <f>(C43+C44)*(1+'Other Inputs'!$B$9)</f>
        <v>0</v>
      </c>
      <c r="D45" s="4">
        <f>'Conversion Factors'!$I$49</f>
        <v>74.938878403773728</v>
      </c>
      <c r="E45" s="4">
        <f>'Productivity Data'!$I$19</f>
        <v>3068.1109131264348</v>
      </c>
      <c r="F45" s="2">
        <f>'Wage Data'!$C$11</f>
        <v>49.154294657004115</v>
      </c>
      <c r="G45" s="4">
        <f>'Cost Pool Data'!$K$46</f>
        <v>1.6196174573049362</v>
      </c>
      <c r="H45" s="2">
        <f t="shared" si="8"/>
        <v>3.4625469712241453E-4</v>
      </c>
      <c r="I45" s="2">
        <f t="shared" si="9"/>
        <v>0</v>
      </c>
    </row>
    <row r="46" spans="1:10" x14ac:dyDescent="0.25">
      <c r="B46" s="9" t="s">
        <v>355</v>
      </c>
      <c r="C46" s="4">
        <f>C43+C44</f>
        <v>0</v>
      </c>
      <c r="D46" s="4">
        <f>'Conversion Factors'!$I$49</f>
        <v>74.938878403773728</v>
      </c>
      <c r="E46" s="4">
        <f>'Productivity Data'!$I$43</f>
        <v>146.75954594651517</v>
      </c>
      <c r="F46" s="2">
        <f>'Wage Data'!$C$11</f>
        <v>49.154294657004115</v>
      </c>
      <c r="G46" s="4">
        <f>'Cost Pool Data'!$K$42</f>
        <v>1.51761435929636</v>
      </c>
      <c r="H46" s="2">
        <f t="shared" si="8"/>
        <v>6.7828052459986887E-3</v>
      </c>
      <c r="I46" s="2">
        <f t="shared" si="9"/>
        <v>0</v>
      </c>
    </row>
    <row r="47" spans="1:10" x14ac:dyDescent="0.25">
      <c r="B47" t="s">
        <v>145</v>
      </c>
      <c r="C47" s="4">
        <f>(C41+C42+C46)*(1+'Other Inputs'!$B$8)</f>
        <v>1.1202871749826209</v>
      </c>
      <c r="D47" s="4">
        <v>1</v>
      </c>
      <c r="E47" s="4">
        <f>'Productivity Data'!$I$18</f>
        <v>331.36480334855139</v>
      </c>
      <c r="F47" s="2">
        <f>'Wage Data'!$C$11</f>
        <v>49.154294657004115</v>
      </c>
      <c r="G47" s="4">
        <f>'Cost Pool Data'!$L$45</f>
        <v>2.0700178145522989</v>
      </c>
      <c r="H47" s="2">
        <f t="shared" si="8"/>
        <v>0.30706419201294521</v>
      </c>
      <c r="I47" s="2">
        <f t="shared" si="9"/>
        <v>0.34400007620850342</v>
      </c>
    </row>
    <row r="48" spans="1:10" x14ac:dyDescent="0.25">
      <c r="B48" s="68" t="s">
        <v>353</v>
      </c>
      <c r="C48" s="4">
        <f>(C41+C42+C46)*('Other Inputs'!$B$8)</f>
        <v>0.12028717498262087</v>
      </c>
      <c r="D48" s="4">
        <v>1</v>
      </c>
      <c r="E48" s="4">
        <f>'Productivity Data'!$I$47</f>
        <v>221.38133929687064</v>
      </c>
      <c r="F48" s="2">
        <f>'Wage Data'!$C$11</f>
        <v>49.154294657004115</v>
      </c>
      <c r="G48" s="4">
        <f>'Cost Pool Data'!$K$42</f>
        <v>1.51761435929636</v>
      </c>
      <c r="H48" s="2">
        <f t="shared" si="8"/>
        <v>0.33696274324422376</v>
      </c>
      <c r="I48" s="2">
        <f t="shared" si="9"/>
        <v>4.053229645924189E-2</v>
      </c>
    </row>
    <row r="49" spans="1:10" x14ac:dyDescent="0.25">
      <c r="B49" s="9" t="s">
        <v>354</v>
      </c>
      <c r="C49" s="4">
        <f>C48</f>
        <v>0.12028717498262087</v>
      </c>
      <c r="D49" s="4">
        <f>'Conversion Factors'!$I$34</f>
        <v>374.54067603574896</v>
      </c>
      <c r="E49" s="4">
        <f>'Productivity Data'!$I$40</f>
        <v>23.065925296264197</v>
      </c>
      <c r="F49" s="2">
        <f>'Wage Data'!$C$11</f>
        <v>49.154294657004115</v>
      </c>
      <c r="G49" s="4">
        <f>'Cost Pool Data'!$K$42</f>
        <v>1.51761435929636</v>
      </c>
      <c r="H49" s="2">
        <f t="shared" si="8"/>
        <v>8.6348147446589502E-3</v>
      </c>
      <c r="I49" s="2">
        <f t="shared" si="9"/>
        <v>1.0386574721333059E-3</v>
      </c>
    </row>
    <row r="50" spans="1:10" x14ac:dyDescent="0.25">
      <c r="B50" t="s">
        <v>235</v>
      </c>
      <c r="C50" s="4">
        <f>(C41+C42+C46)*'Postal Arrival-Dispatch Profile'!$B$21</f>
        <v>0.11896971780053392</v>
      </c>
      <c r="D50" s="4">
        <f>'Conversion Factors'!$I$43</f>
        <v>523.14012762456412</v>
      </c>
      <c r="E50" s="4">
        <f>'Productivity Data'!$I$45</f>
        <v>55.582256364514194</v>
      </c>
      <c r="F50" s="2">
        <f>'Wage Data'!$C$11</f>
        <v>49.154294657004115</v>
      </c>
      <c r="G50" s="4">
        <f>'Cost Pool Data'!$K$43</f>
        <v>1.386023903258889</v>
      </c>
      <c r="H50" s="2">
        <f t="shared" si="8"/>
        <v>2.3430307141906188E-3</v>
      </c>
      <c r="I50" s="2">
        <f t="shared" si="9"/>
        <v>2.7874970286524139E-4</v>
      </c>
    </row>
    <row r="51" spans="1:10" x14ac:dyDescent="0.25">
      <c r="B51" t="s">
        <v>238</v>
      </c>
      <c r="C51" s="4">
        <f>(C41+C42+C46)*'Postal Arrival-Dispatch Profile'!$B$22</f>
        <v>8.0349918340229934E-2</v>
      </c>
      <c r="D51" s="4">
        <f>'Conversion Factors'!$I$44</f>
        <v>354.97967513095392</v>
      </c>
      <c r="E51" s="4">
        <f>'Productivity Data'!$I$44</f>
        <v>70.608822220868689</v>
      </c>
      <c r="F51" s="2">
        <f>'Wage Data'!$C$11</f>
        <v>49.154294657004115</v>
      </c>
      <c r="G51" s="4">
        <f>'Cost Pool Data'!$K$43</f>
        <v>1.386023903258889</v>
      </c>
      <c r="H51" s="2">
        <f t="shared" si="8"/>
        <v>2.718126932015983E-3</v>
      </c>
      <c r="I51" s="2">
        <f t="shared" si="9"/>
        <v>2.1840127702586396E-4</v>
      </c>
    </row>
    <row r="52" spans="1:10" x14ac:dyDescent="0.25">
      <c r="B52" t="s">
        <v>236</v>
      </c>
      <c r="C52" s="4">
        <f>(C41+C42+C46)*'Postal Arrival-Dispatch Profile'!$B$23</f>
        <v>0.60164685859127154</v>
      </c>
      <c r="D52" s="4">
        <f>'Conversion Factors'!$I$45</f>
        <v>667.89093183646696</v>
      </c>
      <c r="E52" s="4">
        <f>'Productivity Data'!$I$44</f>
        <v>70.608822220868689</v>
      </c>
      <c r="F52" s="2">
        <f>'Wage Data'!$C$11</f>
        <v>49.154294657004115</v>
      </c>
      <c r="G52" s="4">
        <f>'Cost Pool Data'!$K$43</f>
        <v>1.386023903258889</v>
      </c>
      <c r="H52" s="2">
        <f t="shared" si="8"/>
        <v>1.444666740179639E-3</v>
      </c>
      <c r="I52" s="2">
        <f t="shared" si="9"/>
        <v>8.6917920594037248E-4</v>
      </c>
    </row>
    <row r="53" spans="1:10" x14ac:dyDescent="0.25">
      <c r="A53" s="72"/>
      <c r="B53" s="74" t="s">
        <v>237</v>
      </c>
      <c r="C53" s="77">
        <f>(C41+C42+C46)*'Postal Arrival-Dispatch Profile'!$B$24</f>
        <v>0.19903350526796459</v>
      </c>
      <c r="D53" s="77">
        <f>'Conversion Factors'!$I$46</f>
        <v>343.25976155350384</v>
      </c>
      <c r="E53" s="77">
        <f>'Productivity Data'!$I$44</f>
        <v>70.608822220868689</v>
      </c>
      <c r="F53" s="78">
        <f>'Wage Data'!$C$11</f>
        <v>49.154294657004115</v>
      </c>
      <c r="G53" s="77">
        <f>'Cost Pool Data'!$K$43</f>
        <v>1.386023903258889</v>
      </c>
      <c r="H53" s="78">
        <f t="shared" si="8"/>
        <v>2.8109319045289106E-3</v>
      </c>
      <c r="I53" s="78">
        <f t="shared" si="9"/>
        <v>5.5946963002794468E-4</v>
      </c>
      <c r="J53" s="76">
        <f>SUM(I37:I53)</f>
        <v>0.39871564822695815</v>
      </c>
    </row>
    <row r="54" spans="1:10" x14ac:dyDescent="0.25">
      <c r="A54" s="6" t="s">
        <v>243</v>
      </c>
      <c r="B54" t="s">
        <v>215</v>
      </c>
      <c r="C54" s="4">
        <f>C50*'Other Inputs'!$B$20</f>
        <v>1.1342186015537934E-2</v>
      </c>
      <c r="D54" s="4">
        <f>'Conversion Factors'!$I$43</f>
        <v>523.14012762456412</v>
      </c>
      <c r="E54" s="4">
        <f>'Productivity Data'!$I$34</f>
        <v>58.924683317790674</v>
      </c>
      <c r="F54" s="2">
        <f>'Wage Data'!$C$11</f>
        <v>49.154294657004115</v>
      </c>
      <c r="G54" s="4">
        <f>'Cost Pool Data'!$K$27</f>
        <v>1.3606061934437479</v>
      </c>
      <c r="H54" s="2">
        <f t="shared" ref="H54:H61" si="10">(F54*G54)/(D54*E54)</f>
        <v>2.1695947482195926E-3</v>
      </c>
      <c r="I54" s="2">
        <f t="shared" ref="I54:I61" si="11">C54*H54</f>
        <v>2.4607947212640808E-5</v>
      </c>
    </row>
    <row r="55" spans="1:10" x14ac:dyDescent="0.25">
      <c r="A55" s="6" t="s">
        <v>244</v>
      </c>
      <c r="B55" t="s">
        <v>216</v>
      </c>
      <c r="C55" s="4">
        <f>C51*'Other Inputs'!$B$20</f>
        <v>7.6602999233480662E-3</v>
      </c>
      <c r="D55" s="4">
        <f>'Conversion Factors'!$I$44</f>
        <v>354.97967513095392</v>
      </c>
      <c r="E55" s="4">
        <f>'Productivity Data'!$I$33</f>
        <v>74.637919630667881</v>
      </c>
      <c r="F55" s="2">
        <f>'Wage Data'!$C$11</f>
        <v>49.154294657004115</v>
      </c>
      <c r="G55" s="4">
        <f>'Cost Pool Data'!$K$27</f>
        <v>1.3606061934437479</v>
      </c>
      <c r="H55" s="2">
        <f t="shared" si="10"/>
        <v>2.5242414770189521E-3</v>
      </c>
      <c r="I55" s="2">
        <f t="shared" si="11"/>
        <v>1.9336446792920287E-5</v>
      </c>
    </row>
    <row r="56" spans="1:10" x14ac:dyDescent="0.25">
      <c r="B56" t="s">
        <v>217</v>
      </c>
      <c r="C56" s="4">
        <f>C52*'Other Inputs'!$B$20</f>
        <v>5.735905499286327E-2</v>
      </c>
      <c r="D56" s="4">
        <f>'Conversion Factors'!$I$45</f>
        <v>667.89093183646696</v>
      </c>
      <c r="E56" s="4">
        <f>'Productivity Data'!$I$33</f>
        <v>74.637919630667881</v>
      </c>
      <c r="F56" s="2">
        <f>'Wage Data'!$C$11</f>
        <v>49.154294657004115</v>
      </c>
      <c r="G56" s="4">
        <f>'Cost Pool Data'!$K$27</f>
        <v>1.3606061934437479</v>
      </c>
      <c r="H56" s="2">
        <f t="shared" si="10"/>
        <v>1.3416178851244917E-3</v>
      </c>
      <c r="I56" s="2">
        <f t="shared" si="11"/>
        <v>7.6953934052264645E-5</v>
      </c>
    </row>
    <row r="57" spans="1:10" x14ac:dyDescent="0.25">
      <c r="B57" t="s">
        <v>218</v>
      </c>
      <c r="C57" s="4">
        <f>C53*'Other Inputs'!$B$20</f>
        <v>1.897520715194697E-2</v>
      </c>
      <c r="D57" s="4">
        <f>'Conversion Factors'!$I$46</f>
        <v>343.25976155350384</v>
      </c>
      <c r="E57" s="4">
        <f>'Productivity Data'!$I$33</f>
        <v>74.637919630667881</v>
      </c>
      <c r="F57" s="2">
        <f>'Wage Data'!$C$11</f>
        <v>49.154294657004115</v>
      </c>
      <c r="G57" s="4">
        <f>'Cost Pool Data'!$K$27</f>
        <v>1.3606061934437479</v>
      </c>
      <c r="H57" s="2">
        <f t="shared" si="10"/>
        <v>2.6104266209618018E-3</v>
      </c>
      <c r="I57" s="2">
        <f t="shared" si="11"/>
        <v>4.9533385887707146E-5</v>
      </c>
    </row>
    <row r="58" spans="1:10" x14ac:dyDescent="0.25">
      <c r="B58" t="s">
        <v>204</v>
      </c>
      <c r="C58" s="4">
        <f>'Other Inputs'!$B$17*(1+'Other Inputs'!$B$10)</f>
        <v>4.1075213808213225E-2</v>
      </c>
      <c r="D58" s="4">
        <v>1</v>
      </c>
      <c r="E58" s="4">
        <f>'Productivity Data'!$I$10</f>
        <v>245.20305602978507</v>
      </c>
      <c r="F58" s="2">
        <f>'Wage Data'!$C$11</f>
        <v>49.154294657004115</v>
      </c>
      <c r="G58" s="4">
        <f>'Cost Pool Data'!$L$14</f>
        <v>1.8052502472456198</v>
      </c>
      <c r="H58" s="2">
        <f t="shared" si="10"/>
        <v>0.36188701731336453</v>
      </c>
      <c r="I58" s="2">
        <f t="shared" si="11"/>
        <v>1.4864586610563009E-2</v>
      </c>
    </row>
    <row r="59" spans="1:10" x14ac:dyDescent="0.25">
      <c r="B59" s="9" t="s">
        <v>363</v>
      </c>
      <c r="C59" s="4">
        <f>'Other Inputs'!$B$18*(1+'Other Inputs'!$B$11)</f>
        <v>2.6656991902813034E-2</v>
      </c>
      <c r="D59" s="4">
        <v>1</v>
      </c>
      <c r="E59" s="4">
        <f>'Productivity Data'!$I$11</f>
        <v>190.80521220652753</v>
      </c>
      <c r="F59" s="2">
        <f>'Wage Data'!$C$11</f>
        <v>49.154294657004115</v>
      </c>
      <c r="G59" s="4">
        <f>'Cost Pool Data'!$L$11</f>
        <v>1.6056412614911089</v>
      </c>
      <c r="H59" s="2">
        <f t="shared" si="10"/>
        <v>0.41363735700967258</v>
      </c>
      <c r="I59" s="2">
        <f t="shared" si="11"/>
        <v>1.1026327676507826E-2</v>
      </c>
    </row>
    <row r="60" spans="1:10" x14ac:dyDescent="0.25">
      <c r="B60" t="s">
        <v>245</v>
      </c>
      <c r="C60" s="4">
        <f>'Other Inputs'!$B$19</f>
        <v>3.4773485341240841E-2</v>
      </c>
      <c r="D60" s="4">
        <v>1</v>
      </c>
      <c r="E60" s="4">
        <f>'Productivity Data'!$I$15</f>
        <v>47.994690148863093</v>
      </c>
      <c r="F60" s="2">
        <f>'Wage Data'!$C$11</f>
        <v>49.154294657004115</v>
      </c>
      <c r="G60" s="4">
        <f>'Cost Pool Data'!$K$16</f>
        <v>1.3208756008457678</v>
      </c>
      <c r="H60" s="2">
        <f t="shared" si="10"/>
        <v>1.3527894083249588</v>
      </c>
      <c r="I60" s="2">
        <f t="shared" si="11"/>
        <v>4.7041202660173823E-2</v>
      </c>
    </row>
    <row r="61" spans="1:10" x14ac:dyDescent="0.25">
      <c r="A61" s="72"/>
      <c r="B61" s="79" t="s">
        <v>248</v>
      </c>
      <c r="C61" s="49">
        <f>SUM(C54:C57)</f>
        <v>9.5336748083696243E-2</v>
      </c>
      <c r="D61" s="49">
        <f>'Conversion Factors'!$I$48</f>
        <v>204.26720030964461</v>
      </c>
      <c r="E61" s="49">
        <f>'Productivity Data'!$I$35</f>
        <v>82.063608851111439</v>
      </c>
      <c r="F61" s="48">
        <f>'Wage Data'!$C$11</f>
        <v>49.154294657004115</v>
      </c>
      <c r="G61" s="49">
        <f>'Cost Pool Data'!$K$27</f>
        <v>1.3606061934437479</v>
      </c>
      <c r="H61" s="48">
        <f t="shared" si="10"/>
        <v>3.9897406339358659E-3</v>
      </c>
      <c r="I61" s="75">
        <f t="shared" si="11"/>
        <v>3.803688977368302E-4</v>
      </c>
      <c r="J61" s="76">
        <f>SUM(I54:I61)</f>
        <v>7.3482917558927024E-2</v>
      </c>
    </row>
    <row r="62" spans="1:10" x14ac:dyDescent="0.25">
      <c r="A62" s="6" t="s">
        <v>243</v>
      </c>
      <c r="B62" t="s">
        <v>215</v>
      </c>
      <c r="C62" s="4">
        <f>C50*(1-'Other Inputs'!$B$20)</f>
        <v>0.107627531784996</v>
      </c>
      <c r="D62" s="4">
        <f>'Conversion Factors'!$I$43</f>
        <v>523.14012762456412</v>
      </c>
      <c r="E62" s="4">
        <f>'Productivity Data'!$I$28</f>
        <v>58.156985400220201</v>
      </c>
      <c r="F62" s="2">
        <f>'Wage Data'!$C$11</f>
        <v>49.154294657004115</v>
      </c>
      <c r="G62" s="4">
        <f>'Cost Pool Data'!$K$27</f>
        <v>1.3606061934437479</v>
      </c>
      <c r="H62" s="2">
        <f t="shared" ref="H62:H76" si="12">(F62*G62)/(D62*E62)</f>
        <v>2.1982343580397691E-3</v>
      </c>
      <c r="I62" s="2">
        <f t="shared" ref="I62:I76" si="13">C62*H62</f>
        <v>2.3659053824079553E-4</v>
      </c>
    </row>
    <row r="63" spans="1:10" x14ac:dyDescent="0.25">
      <c r="A63" s="6" t="s">
        <v>241</v>
      </c>
      <c r="B63" t="s">
        <v>216</v>
      </c>
      <c r="C63" s="4">
        <f>C51*(1-'Other Inputs'!$B$20)</f>
        <v>7.2689618416881874E-2</v>
      </c>
      <c r="D63" s="4">
        <f>'Conversion Factors'!$I$44</f>
        <v>354.97967513095392</v>
      </c>
      <c r="E63" s="4">
        <f>'Productivity Data'!$I$27</f>
        <v>81.873572020007202</v>
      </c>
      <c r="F63" s="2">
        <f>'Wage Data'!$C$11</f>
        <v>49.154294657004115</v>
      </c>
      <c r="G63" s="4">
        <f>'Cost Pool Data'!$K$27</f>
        <v>1.3606061934437479</v>
      </c>
      <c r="H63" s="2">
        <f t="shared" si="12"/>
        <v>2.3011593099187019E-3</v>
      </c>
      <c r="I63" s="2">
        <f t="shared" si="13"/>
        <v>1.6727039215444565E-4</v>
      </c>
    </row>
    <row r="64" spans="1:10" x14ac:dyDescent="0.25">
      <c r="B64" t="s">
        <v>217</v>
      </c>
      <c r="C64" s="4">
        <f>C52*(1-'Other Inputs'!$B$20)</f>
        <v>0.54428780359840834</v>
      </c>
      <c r="D64" s="4">
        <f>'Conversion Factors'!$I$45</f>
        <v>667.89093183646696</v>
      </c>
      <c r="E64" s="4">
        <f>'Productivity Data'!$I$27</f>
        <v>81.873572020007202</v>
      </c>
      <c r="F64" s="2">
        <f>'Wage Data'!$C$11</f>
        <v>49.154294657004115</v>
      </c>
      <c r="G64" s="4">
        <f>'Cost Pool Data'!$K$27</f>
        <v>1.3606061934437479</v>
      </c>
      <c r="H64" s="2">
        <f t="shared" si="12"/>
        <v>1.2230511679705216E-3</v>
      </c>
      <c r="I64" s="2">
        <f t="shared" si="13"/>
        <v>6.656918339031432E-4</v>
      </c>
    </row>
    <row r="65" spans="1:10" x14ac:dyDescent="0.25">
      <c r="B65" t="s">
        <v>218</v>
      </c>
      <c r="C65" s="4">
        <f>C53*(1-'Other Inputs'!$B$20)</f>
        <v>0.18005829811601765</v>
      </c>
      <c r="D65" s="4">
        <f>'Conversion Factors'!$I$46</f>
        <v>343.25976155350384</v>
      </c>
      <c r="E65" s="4">
        <f>'Productivity Data'!$I$27</f>
        <v>81.873572020007202</v>
      </c>
      <c r="F65" s="2">
        <f>'Wage Data'!$C$11</f>
        <v>49.154294657004115</v>
      </c>
      <c r="G65" s="4">
        <f>'Cost Pool Data'!$K$27</f>
        <v>1.3606061934437479</v>
      </c>
      <c r="H65" s="2">
        <f t="shared" si="12"/>
        <v>2.3797277623295978E-3</v>
      </c>
      <c r="I65" s="2">
        <f t="shared" si="13"/>
        <v>4.2848973086450628E-4</v>
      </c>
    </row>
    <row r="66" spans="1:10" x14ac:dyDescent="0.25">
      <c r="B66" t="s">
        <v>249</v>
      </c>
      <c r="C66" s="4">
        <f>'Other Inputs'!$B$23</f>
        <v>5.279665233179142E-2</v>
      </c>
      <c r="D66" s="4">
        <f>'Conversion Factors'!$I$48</f>
        <v>204.26720030964461</v>
      </c>
      <c r="E66" s="4">
        <f>'Productivity Data'!$I$27</f>
        <v>81.873572020007202</v>
      </c>
      <c r="F66" s="2">
        <f>'Wage Data'!$C$11</f>
        <v>49.154294657004115</v>
      </c>
      <c r="G66" s="4">
        <f>'Cost Pool Data'!$K$27</f>
        <v>1.3606061934437479</v>
      </c>
      <c r="H66" s="2">
        <f>(F66*G66)/(D66*E66)</f>
        <v>3.9990012249702441E-3</v>
      </c>
      <c r="I66" s="2">
        <f>C66*H66</f>
        <v>2.1113387734916198E-4</v>
      </c>
    </row>
    <row r="67" spans="1:10" x14ac:dyDescent="0.25">
      <c r="B67" t="s">
        <v>219</v>
      </c>
      <c r="C67" s="4">
        <f t="shared" ref="C67:C80" si="14">C62</f>
        <v>0.107627531784996</v>
      </c>
      <c r="D67" s="4">
        <f>'Conversion Factors'!$I$43</f>
        <v>523.14012762456412</v>
      </c>
      <c r="E67" s="4">
        <f>'Productivity Data'!$I$30</f>
        <v>39.899251235537818</v>
      </c>
      <c r="F67" s="2">
        <f>'Wage Data'!$C$11</f>
        <v>49.154294657004115</v>
      </c>
      <c r="G67" s="4">
        <f>'Cost Pool Data'!$K$27</f>
        <v>1.3606061934437479</v>
      </c>
      <c r="H67" s="2">
        <f t="shared" si="12"/>
        <v>3.2041374087971165E-3</v>
      </c>
      <c r="I67" s="2">
        <f t="shared" si="13"/>
        <v>3.4485340080880639E-4</v>
      </c>
    </row>
    <row r="68" spans="1:10" x14ac:dyDescent="0.25">
      <c r="B68" t="s">
        <v>220</v>
      </c>
      <c r="C68" s="4">
        <f t="shared" si="14"/>
        <v>7.2689618416881874E-2</v>
      </c>
      <c r="D68" s="4">
        <f>'Conversion Factors'!$I$44</f>
        <v>354.97967513095392</v>
      </c>
      <c r="E68" s="4">
        <f>'Productivity Data'!$I$29</f>
        <v>50.764395048330648</v>
      </c>
      <c r="F68" s="2">
        <f>'Wage Data'!$C$11</f>
        <v>49.154294657004115</v>
      </c>
      <c r="G68" s="4">
        <f>'Cost Pool Data'!$K$27</f>
        <v>1.3606061934437479</v>
      </c>
      <c r="H68" s="2">
        <f t="shared" si="12"/>
        <v>3.71134399042414E-3</v>
      </c>
      <c r="I68" s="2">
        <f t="shared" si="13"/>
        <v>2.6977617847771844E-4</v>
      </c>
    </row>
    <row r="69" spans="1:10" x14ac:dyDescent="0.25">
      <c r="B69" t="s">
        <v>221</v>
      </c>
      <c r="C69" s="4">
        <f t="shared" si="14"/>
        <v>0.54428780359840834</v>
      </c>
      <c r="D69" s="4">
        <f>'Conversion Factors'!$I$45</f>
        <v>667.89093183646696</v>
      </c>
      <c r="E69" s="4">
        <f>'Productivity Data'!$I$29</f>
        <v>50.764395048330648</v>
      </c>
      <c r="F69" s="2">
        <f>'Wage Data'!$C$11</f>
        <v>49.154294657004115</v>
      </c>
      <c r="G69" s="4">
        <f>'Cost Pool Data'!$K$27</f>
        <v>1.3606061934437479</v>
      </c>
      <c r="H69" s="2">
        <f t="shared" si="12"/>
        <v>1.9725551302178144E-3</v>
      </c>
      <c r="I69" s="2">
        <f t="shared" si="13"/>
        <v>1.0736376993030266E-3</v>
      </c>
    </row>
    <row r="70" spans="1:10" x14ac:dyDescent="0.25">
      <c r="B70" t="s">
        <v>222</v>
      </c>
      <c r="C70" s="4">
        <f t="shared" si="14"/>
        <v>0.18005829811601765</v>
      </c>
      <c r="D70" s="4">
        <f>'Conversion Factors'!$I$46</f>
        <v>343.25976155350384</v>
      </c>
      <c r="E70" s="4">
        <f>'Productivity Data'!$I$29</f>
        <v>50.764395048330648</v>
      </c>
      <c r="F70" s="2">
        <f>'Wage Data'!$C$11</f>
        <v>49.154294657004115</v>
      </c>
      <c r="G70" s="4">
        <f>'Cost Pool Data'!$K$27</f>
        <v>1.3606061934437479</v>
      </c>
      <c r="H70" s="2">
        <f t="shared" si="12"/>
        <v>3.8380603600536752E-3</v>
      </c>
      <c r="I70" s="2">
        <f t="shared" si="13"/>
        <v>6.9107461649781468E-4</v>
      </c>
    </row>
    <row r="71" spans="1:10" x14ac:dyDescent="0.25">
      <c r="B71" t="s">
        <v>252</v>
      </c>
      <c r="C71" s="4">
        <f t="shared" si="14"/>
        <v>5.279665233179142E-2</v>
      </c>
      <c r="D71" s="4">
        <f>'Conversion Factors'!$I$48</f>
        <v>204.26720030964461</v>
      </c>
      <c r="E71" s="4">
        <f>'Productivity Data'!$I$29</f>
        <v>50.764395048330648</v>
      </c>
      <c r="F71" s="2">
        <f>'Wage Data'!$C$11</f>
        <v>49.154294657004115</v>
      </c>
      <c r="G71" s="4">
        <f>'Cost Pool Data'!$K$27</f>
        <v>1.3606061934437479</v>
      </c>
      <c r="H71" s="2">
        <f>(F71*G71)/(D71*E71)</f>
        <v>6.4496487053373255E-3</v>
      </c>
      <c r="I71" s="2">
        <f>C71*H71</f>
        <v>3.4051986035788342E-4</v>
      </c>
    </row>
    <row r="72" spans="1:10" x14ac:dyDescent="0.25">
      <c r="B72" t="s">
        <v>235</v>
      </c>
      <c r="C72" s="4">
        <f t="shared" si="14"/>
        <v>0.107627531784996</v>
      </c>
      <c r="D72" s="4">
        <f>'Conversion Factors'!$I$43</f>
        <v>523.14012762456412</v>
      </c>
      <c r="E72" s="4">
        <f>'Productivity Data'!$I$32</f>
        <v>61.728448910094343</v>
      </c>
      <c r="F72" s="2">
        <f>'Wage Data'!$C$11</f>
        <v>49.154294657004115</v>
      </c>
      <c r="G72" s="4">
        <f>'Cost Pool Data'!$K$27</f>
        <v>1.3606061934437479</v>
      </c>
      <c r="H72" s="2">
        <f t="shared" si="12"/>
        <v>2.0710496654950841E-3</v>
      </c>
      <c r="I72" s="2">
        <f t="shared" si="13"/>
        <v>2.229019637013775E-4</v>
      </c>
    </row>
    <row r="73" spans="1:10" x14ac:dyDescent="0.25">
      <c r="B73" t="s">
        <v>238</v>
      </c>
      <c r="C73" s="4">
        <f t="shared" si="14"/>
        <v>7.2689618416881874E-2</v>
      </c>
      <c r="D73" s="4">
        <f>'Conversion Factors'!$I$44</f>
        <v>354.97967513095392</v>
      </c>
      <c r="E73" s="4">
        <f>'Productivity Data'!$I$31</f>
        <v>91.071587890934111</v>
      </c>
      <c r="F73" s="2">
        <f>'Wage Data'!$C$11</f>
        <v>49.154294657004115</v>
      </c>
      <c r="G73" s="4">
        <f>'Cost Pool Data'!$K$27</f>
        <v>1.3606061934437479</v>
      </c>
      <c r="H73" s="2">
        <f t="shared" si="12"/>
        <v>2.0687476396674749E-3</v>
      </c>
      <c r="I73" s="2">
        <f t="shared" si="13"/>
        <v>1.5037647652825379E-4</v>
      </c>
    </row>
    <row r="74" spans="1:10" x14ac:dyDescent="0.25">
      <c r="B74" t="s">
        <v>236</v>
      </c>
      <c r="C74" s="4">
        <f t="shared" si="14"/>
        <v>0.54428780359840834</v>
      </c>
      <c r="D74" s="4">
        <f>'Conversion Factors'!$I$45</f>
        <v>667.89093183646696</v>
      </c>
      <c r="E74" s="4">
        <f>'Productivity Data'!$I$31</f>
        <v>91.071587890934111</v>
      </c>
      <c r="F74" s="2">
        <f>'Wage Data'!$C$11</f>
        <v>49.154294657004115</v>
      </c>
      <c r="G74" s="4">
        <f>'Cost Pool Data'!$K$27</f>
        <v>1.3606061934437479</v>
      </c>
      <c r="H74" s="2">
        <f t="shared" si="12"/>
        <v>1.0995258807270298E-3</v>
      </c>
      <c r="I74" s="2">
        <f t="shared" si="13"/>
        <v>5.9845852662052058E-4</v>
      </c>
    </row>
    <row r="75" spans="1:10" x14ac:dyDescent="0.25">
      <c r="B75" t="s">
        <v>237</v>
      </c>
      <c r="C75" s="4">
        <f t="shared" si="14"/>
        <v>0.18005829811601765</v>
      </c>
      <c r="D75" s="4">
        <f>'Conversion Factors'!$I$46</f>
        <v>343.25976155350384</v>
      </c>
      <c r="E75" s="4">
        <f>'Productivity Data'!$I$31</f>
        <v>91.071587890934111</v>
      </c>
      <c r="F75" s="2">
        <f>'Wage Data'!$C$11</f>
        <v>49.154294657004115</v>
      </c>
      <c r="G75" s="4">
        <f>'Cost Pool Data'!$K$27</f>
        <v>1.3606061934437479</v>
      </c>
      <c r="H75" s="2">
        <f>(F75*G75)/(D75*E75)</f>
        <v>2.1393808634415858E-3</v>
      </c>
      <c r="I75" s="2">
        <f>C75*H75</f>
        <v>3.8521327729326829E-4</v>
      </c>
    </row>
    <row r="76" spans="1:10" x14ac:dyDescent="0.25">
      <c r="A76" s="72"/>
      <c r="B76" s="79" t="s">
        <v>248</v>
      </c>
      <c r="C76" s="49">
        <f t="shared" si="14"/>
        <v>5.279665233179142E-2</v>
      </c>
      <c r="D76" s="49">
        <f>'Conversion Factors'!$I$48</f>
        <v>204.26720030964461</v>
      </c>
      <c r="E76" s="49">
        <f>'Productivity Data'!$I$31</f>
        <v>91.071587890934111</v>
      </c>
      <c r="F76" s="48">
        <f>'Wage Data'!$C$11</f>
        <v>49.154294657004115</v>
      </c>
      <c r="G76" s="49">
        <f>'Cost Pool Data'!$K$27</f>
        <v>1.3606061934437479</v>
      </c>
      <c r="H76" s="48">
        <f t="shared" si="12"/>
        <v>3.5951115203218188E-3</v>
      </c>
      <c r="I76" s="75">
        <f t="shared" si="13"/>
        <v>1.8980985303244916E-4</v>
      </c>
      <c r="J76" s="76">
        <f>SUM(I62:I76)</f>
        <v>5.9757982251331708E-3</v>
      </c>
    </row>
    <row r="77" spans="1:10" x14ac:dyDescent="0.25">
      <c r="A77" s="6" t="s">
        <v>243</v>
      </c>
      <c r="B77" t="s">
        <v>215</v>
      </c>
      <c r="C77" s="4">
        <f t="shared" si="14"/>
        <v>0.107627531784996</v>
      </c>
      <c r="D77" s="4">
        <f>'Conversion Factors'!$I$43</f>
        <v>523.14012762456412</v>
      </c>
      <c r="E77" s="4">
        <f>'Productivity Data'!$I$26</f>
        <v>48.58034429266948</v>
      </c>
      <c r="F77" s="2">
        <f>'Wage Data'!$C$11</f>
        <v>49.154294657004115</v>
      </c>
      <c r="G77" s="4">
        <f>'Cost Pool Data'!$K$48</f>
        <v>1.6214860636540271</v>
      </c>
      <c r="H77" s="2">
        <f t="shared" ref="H77:H82" si="15">(F77*G77)/(D77*E77)</f>
        <v>3.136144511922507E-3</v>
      </c>
      <c r="I77" s="2">
        <f t="shared" ref="I77:I82" si="16">C77*H77</f>
        <v>3.3753549313928036E-4</v>
      </c>
    </row>
    <row r="78" spans="1:10" x14ac:dyDescent="0.25">
      <c r="A78" s="6" t="s">
        <v>85</v>
      </c>
      <c r="B78" t="s">
        <v>216</v>
      </c>
      <c r="C78" s="4">
        <f t="shared" si="14"/>
        <v>7.2689618416881874E-2</v>
      </c>
      <c r="D78" s="4">
        <f>'Conversion Factors'!$I$44</f>
        <v>354.97967513095392</v>
      </c>
      <c r="E78" s="4">
        <f>'Productivity Data'!$I$25</f>
        <v>60.332591436644847</v>
      </c>
      <c r="F78" s="2">
        <f>'Wage Data'!$C$11</f>
        <v>49.154294657004115</v>
      </c>
      <c r="G78" s="4">
        <f>'Cost Pool Data'!$K$48</f>
        <v>1.6214860636540271</v>
      </c>
      <c r="H78" s="2">
        <f t="shared" si="15"/>
        <v>3.7215102674230905E-3</v>
      </c>
      <c r="I78" s="2">
        <f t="shared" si="16"/>
        <v>2.7051516127349248E-4</v>
      </c>
    </row>
    <row r="79" spans="1:10" x14ac:dyDescent="0.25">
      <c r="B79" t="s">
        <v>217</v>
      </c>
      <c r="C79" s="4">
        <f t="shared" si="14"/>
        <v>0.54428780359840834</v>
      </c>
      <c r="D79" s="4">
        <f>'Conversion Factors'!$I$45</f>
        <v>667.89093183646696</v>
      </c>
      <c r="E79" s="4">
        <f>'Productivity Data'!$I$25</f>
        <v>60.332591436644847</v>
      </c>
      <c r="F79" s="2">
        <f>'Wage Data'!$C$11</f>
        <v>49.154294657004115</v>
      </c>
      <c r="G79" s="4">
        <f>'Cost Pool Data'!$K$48</f>
        <v>1.6214860636540271</v>
      </c>
      <c r="H79" s="2">
        <f t="shared" si="15"/>
        <v>1.9779584401511527E-3</v>
      </c>
      <c r="I79" s="2">
        <f t="shared" si="16"/>
        <v>1.0765786549988047E-3</v>
      </c>
    </row>
    <row r="80" spans="1:10" x14ac:dyDescent="0.25">
      <c r="B80" t="s">
        <v>218</v>
      </c>
      <c r="C80" s="4">
        <f t="shared" si="14"/>
        <v>0.18005829811601765</v>
      </c>
      <c r="D80" s="4">
        <f>'Conversion Factors'!$I$46</f>
        <v>343.25976155350384</v>
      </c>
      <c r="E80" s="4">
        <f>'Productivity Data'!$I$25</f>
        <v>60.332591436644847</v>
      </c>
      <c r="F80" s="2">
        <f>'Wage Data'!$C$11</f>
        <v>49.154294657004115</v>
      </c>
      <c r="G80" s="4">
        <f>'Cost Pool Data'!$K$48</f>
        <v>1.6214860636540271</v>
      </c>
      <c r="H80" s="2">
        <f t="shared" si="15"/>
        <v>3.8485737441160714E-3</v>
      </c>
      <c r="I80" s="2">
        <f t="shared" si="16"/>
        <v>6.929676385395298E-4</v>
      </c>
    </row>
    <row r="81" spans="1:10" x14ac:dyDescent="0.25">
      <c r="B81" t="s">
        <v>249</v>
      </c>
      <c r="C81" s="4">
        <f>C61</f>
        <v>9.5336748083696243E-2</v>
      </c>
      <c r="D81" s="4">
        <f>'Conversion Factors'!$I$48</f>
        <v>204.26720030964461</v>
      </c>
      <c r="E81" s="4">
        <f>'Productivity Data'!$I$25</f>
        <v>60.332591436644847</v>
      </c>
      <c r="F81" s="2">
        <f>'Wage Data'!$C$11</f>
        <v>49.154294657004115</v>
      </c>
      <c r="G81" s="4">
        <f>'Cost Pool Data'!$K$48</f>
        <v>1.6214860636540271</v>
      </c>
      <c r="H81" s="2">
        <f t="shared" si="15"/>
        <v>6.4673158672747689E-3</v>
      </c>
      <c r="I81" s="2">
        <f t="shared" si="16"/>
        <v>6.1657286361606616E-4</v>
      </c>
    </row>
    <row r="82" spans="1:10" x14ac:dyDescent="0.25">
      <c r="A82" s="72"/>
      <c r="B82" s="79" t="s">
        <v>135</v>
      </c>
      <c r="C82" s="49">
        <f>SUM(C77:C81)</f>
        <v>1</v>
      </c>
      <c r="D82" s="49">
        <v>1</v>
      </c>
      <c r="E82" s="49">
        <f>'Productivity Data'!$I$22</f>
        <v>307.66822713635111</v>
      </c>
      <c r="F82" s="48">
        <f>'Wage Data'!$C$11</f>
        <v>49.154294657004115</v>
      </c>
      <c r="G82" s="49">
        <f>'Cost Pool Data'!$K$57</f>
        <v>1.4957786551922303</v>
      </c>
      <c r="H82" s="48">
        <f t="shared" si="15"/>
        <v>0.23897152280983572</v>
      </c>
      <c r="I82" s="75">
        <f t="shared" si="16"/>
        <v>0.23897152280983572</v>
      </c>
      <c r="J82" s="76">
        <f>SUM(I77:I82)</f>
        <v>0.24196569262140288</v>
      </c>
    </row>
    <row r="84" spans="1:10" ht="15" customHeight="1" x14ac:dyDescent="0.25">
      <c r="A84" s="29" t="s">
        <v>259</v>
      </c>
      <c r="I84" s="80" t="s">
        <v>203</v>
      </c>
      <c r="J84" s="81">
        <f>J16+J28+J36+J53+J61+J76+J82</f>
        <v>0.73272595475960067</v>
      </c>
    </row>
    <row r="85" spans="1:10" x14ac:dyDescent="0.25">
      <c r="A85" s="6" t="s">
        <v>296</v>
      </c>
      <c r="G85"/>
      <c r="H85"/>
      <c r="I85"/>
    </row>
    <row r="86" spans="1:10" x14ac:dyDescent="0.25">
      <c r="A86" s="6" t="s">
        <v>297</v>
      </c>
    </row>
    <row r="87" spans="1:10" x14ac:dyDescent="0.25">
      <c r="A87" s="6" t="s">
        <v>298</v>
      </c>
    </row>
    <row r="88" spans="1:10" x14ac:dyDescent="0.25">
      <c r="A88" s="6" t="s">
        <v>299</v>
      </c>
    </row>
    <row r="89" spans="1:10" x14ac:dyDescent="0.25">
      <c r="A89" s="6" t="s">
        <v>277</v>
      </c>
    </row>
    <row r="90" spans="1:10" x14ac:dyDescent="0.25">
      <c r="A90" s="6" t="s">
        <v>300</v>
      </c>
    </row>
    <row r="91" spans="1:10" x14ac:dyDescent="0.25">
      <c r="A91" s="6" t="s">
        <v>301</v>
      </c>
    </row>
  </sheetData>
  <phoneticPr fontId="3" type="noConversion"/>
  <printOptions horizontalCentered="1"/>
  <pageMargins left="0.75" right="0.75" top="1" bottom="1" header="0.5" footer="0.5"/>
  <pageSetup scale="57" orientation="portrait" r:id="rId1"/>
  <headerFooter alignWithMargins="0">
    <oddHeader xml:space="preserve">&amp;RPage 12 of 50
</oddHeader>
    <oddFooter>&amp;R&amp;F</oddFooter>
  </headerFooter>
  <ignoredErrors>
    <ignoredError sqref="E62 G45 G47" formula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22">
    <pageSetUpPr fitToPage="1"/>
  </sheetPr>
  <dimension ref="A1:J63"/>
  <sheetViews>
    <sheetView topLeftCell="A27" zoomScale="75" workbookViewId="0">
      <selection activeCell="R56" sqref="R56"/>
    </sheetView>
  </sheetViews>
  <sheetFormatPr defaultColWidth="9.109375" defaultRowHeight="13.2" x14ac:dyDescent="0.25"/>
  <cols>
    <col min="1" max="1" width="15.6640625" style="6" customWidth="1"/>
    <col min="2" max="2" width="30.6640625" style="6" customWidth="1"/>
    <col min="3" max="5" width="12.6640625" style="4" customWidth="1"/>
    <col min="6" max="6" width="12.6640625" style="2" customWidth="1"/>
    <col min="7" max="7" width="12.6640625" style="4" customWidth="1"/>
    <col min="8" max="9" width="12.6640625" style="2" customWidth="1"/>
    <col min="10" max="10" width="12.6640625" customWidth="1"/>
  </cols>
  <sheetData>
    <row r="1" spans="1:10" ht="15.6" x14ac:dyDescent="0.3">
      <c r="A1" s="5" t="s">
        <v>386</v>
      </c>
      <c r="B1" s="5"/>
    </row>
    <row r="4" spans="1:10" x14ac:dyDescent="0.25">
      <c r="C4" s="8" t="s">
        <v>107</v>
      </c>
      <c r="D4" s="8" t="s">
        <v>108</v>
      </c>
      <c r="E4" s="8" t="s">
        <v>109</v>
      </c>
      <c r="F4" s="50" t="s">
        <v>112</v>
      </c>
      <c r="G4" s="8" t="s">
        <v>156</v>
      </c>
      <c r="H4" s="50" t="s">
        <v>157</v>
      </c>
      <c r="I4" s="50" t="s">
        <v>192</v>
      </c>
    </row>
    <row r="5" spans="1:10" x14ac:dyDescent="0.25">
      <c r="A5" s="70"/>
      <c r="F5" s="50" t="s">
        <v>155</v>
      </c>
      <c r="H5" s="50" t="s">
        <v>3</v>
      </c>
      <c r="I5" s="50" t="s">
        <v>3</v>
      </c>
    </row>
    <row r="6" spans="1:10" s="6" customFormat="1" x14ac:dyDescent="0.25">
      <c r="C6" s="8"/>
      <c r="D6" s="8" t="s">
        <v>202</v>
      </c>
      <c r="E6" s="8" t="s">
        <v>101</v>
      </c>
      <c r="F6" s="50" t="s">
        <v>103</v>
      </c>
      <c r="G6" s="8" t="s">
        <v>105</v>
      </c>
      <c r="H6" s="50" t="s">
        <v>207</v>
      </c>
      <c r="I6" s="50" t="s">
        <v>206</v>
      </c>
    </row>
    <row r="7" spans="1:10" s="6" customFormat="1" x14ac:dyDescent="0.25">
      <c r="A7" s="6" t="s">
        <v>84</v>
      </c>
      <c r="B7" s="6" t="s">
        <v>76</v>
      </c>
      <c r="C7" s="8" t="s">
        <v>199</v>
      </c>
      <c r="D7" s="8" t="s">
        <v>81</v>
      </c>
      <c r="E7" s="8" t="s">
        <v>102</v>
      </c>
      <c r="F7" s="50" t="s">
        <v>104</v>
      </c>
      <c r="G7" s="8" t="s">
        <v>81</v>
      </c>
      <c r="H7" s="50" t="s">
        <v>76</v>
      </c>
      <c r="I7" s="50" t="s">
        <v>84</v>
      </c>
    </row>
    <row r="8" spans="1:10" x14ac:dyDescent="0.25">
      <c r="A8" s="72"/>
      <c r="B8" s="72"/>
      <c r="C8" s="49"/>
      <c r="D8" s="49"/>
      <c r="E8" s="49"/>
      <c r="F8" s="48"/>
      <c r="G8" s="49"/>
      <c r="H8" s="48"/>
      <c r="I8" s="48"/>
      <c r="J8" s="79"/>
    </row>
    <row r="9" spans="1:10" x14ac:dyDescent="0.25">
      <c r="A9" s="6" t="s">
        <v>243</v>
      </c>
      <c r="B9" t="s">
        <v>211</v>
      </c>
      <c r="C9" s="4">
        <f>'Mailer Arrival Profile'!$C$10</f>
        <v>0.493107963121238</v>
      </c>
      <c r="D9" s="4">
        <f>'Conversion Factors'!$I$20</f>
        <v>534.04624612244606</v>
      </c>
      <c r="E9" s="4">
        <f>'Productivity Data'!$I$38</f>
        <v>46.475052307166727</v>
      </c>
      <c r="F9" s="2">
        <f>'Wage Data'!$C$11</f>
        <v>49.154294657004115</v>
      </c>
      <c r="G9" s="4">
        <f>'Cost Pool Data'!$K$43</f>
        <v>1.386023903258889</v>
      </c>
      <c r="H9" s="2">
        <f t="shared" ref="H9:H32" si="0">(F9*G9)/(D9*E9)</f>
        <v>2.7449436585658881E-3</v>
      </c>
      <c r="I9" s="2">
        <f t="shared" ref="I9:I32" si="1">C9*H9</f>
        <v>1.3535535763579841E-3</v>
      </c>
    </row>
    <row r="10" spans="1:10" x14ac:dyDescent="0.25">
      <c r="A10" s="6" t="s">
        <v>131</v>
      </c>
      <c r="B10" t="s">
        <v>212</v>
      </c>
      <c r="C10" s="4">
        <f>'Mailer Arrival Profile'!$D$10</f>
        <v>0.46621265297957848</v>
      </c>
      <c r="D10" s="4">
        <f>'Conversion Factors'!$I$21</f>
        <v>854.1844670835743</v>
      </c>
      <c r="E10" s="4">
        <f>'Productivity Data'!$I$38</f>
        <v>46.475052307166727</v>
      </c>
      <c r="F10" s="2">
        <f>'Wage Data'!$C$11</f>
        <v>49.154294657004115</v>
      </c>
      <c r="G10" s="4">
        <f>'Cost Pool Data'!$K$43</f>
        <v>1.386023903258889</v>
      </c>
      <c r="H10" s="2">
        <f t="shared" si="0"/>
        <v>1.7161712875437924E-3</v>
      </c>
      <c r="I10" s="2">
        <f t="shared" si="1"/>
        <v>8.0010076893317049E-4</v>
      </c>
    </row>
    <row r="11" spans="1:10" x14ac:dyDescent="0.25">
      <c r="B11" t="s">
        <v>213</v>
      </c>
      <c r="C11" s="4">
        <f>'Mailer Arrival Profile'!$E$10</f>
        <v>1.2311105453619683E-2</v>
      </c>
      <c r="D11" s="4">
        <f>'Conversion Factors'!$I$22</f>
        <v>550.13578700812661</v>
      </c>
      <c r="E11" s="4">
        <f>'Productivity Data'!$I$38</f>
        <v>46.475052307166727</v>
      </c>
      <c r="F11" s="2">
        <f>'Wage Data'!$C$11</f>
        <v>49.154294657004115</v>
      </c>
      <c r="G11" s="4">
        <f>'Cost Pool Data'!$K$43</f>
        <v>1.386023903258889</v>
      </c>
      <c r="H11" s="2">
        <f t="shared" si="0"/>
        <v>2.6646636908445138E-3</v>
      </c>
      <c r="I11" s="2">
        <f t="shared" si="1"/>
        <v>3.2804955696418243E-5</v>
      </c>
    </row>
    <row r="12" spans="1:10" x14ac:dyDescent="0.25">
      <c r="B12" t="s">
        <v>214</v>
      </c>
      <c r="C12" s="4">
        <f>'Mailer Arrival Profile'!$F$10</f>
        <v>2.8368278445563819E-2</v>
      </c>
      <c r="D12" s="4">
        <f>'Conversion Factors'!$I$23</f>
        <v>465.37757846738288</v>
      </c>
      <c r="E12" s="4">
        <f>'Productivity Data'!$I$37</f>
        <v>55.996737364805647</v>
      </c>
      <c r="F12" s="2">
        <f>'Wage Data'!$C$11</f>
        <v>49.154294657004115</v>
      </c>
      <c r="G12" s="4">
        <f>'Cost Pool Data'!$K$43</f>
        <v>1.386023903258889</v>
      </c>
      <c r="H12" s="2">
        <f t="shared" si="0"/>
        <v>2.6143516889286828E-3</v>
      </c>
      <c r="I12" s="2">
        <f t="shared" si="1"/>
        <v>7.4164656666158912E-5</v>
      </c>
    </row>
    <row r="13" spans="1:10" x14ac:dyDescent="0.25">
      <c r="B13" t="s">
        <v>231</v>
      </c>
      <c r="C13" s="4">
        <f>C9</f>
        <v>0.493107963121238</v>
      </c>
      <c r="D13" s="4">
        <f>'Conversion Factors'!$I$20</f>
        <v>534.04624612244606</v>
      </c>
      <c r="E13" s="4">
        <f>'Productivity Data'!$I$41</f>
        <v>16.483976831402664</v>
      </c>
      <c r="F13" s="2">
        <f>'Wage Data'!$C$11</f>
        <v>49.154294657004115</v>
      </c>
      <c r="G13" s="4">
        <f>'Cost Pool Data'!$K$42</f>
        <v>1.51761435929636</v>
      </c>
      <c r="H13" s="2">
        <f t="shared" si="0"/>
        <v>8.4738746126541906E-3</v>
      </c>
      <c r="I13" s="2">
        <f t="shared" si="1"/>
        <v>4.178535049990678E-3</v>
      </c>
    </row>
    <row r="14" spans="1:10" x14ac:dyDescent="0.25">
      <c r="B14" t="s">
        <v>232</v>
      </c>
      <c r="C14" s="4">
        <f>C10</f>
        <v>0.46621265297957848</v>
      </c>
      <c r="D14" s="4">
        <f>'Conversion Factors'!$I$21</f>
        <v>854.1844670835743</v>
      </c>
      <c r="E14" s="4">
        <f>'Productivity Data'!$I$41</f>
        <v>16.483976831402664</v>
      </c>
      <c r="F14" s="2">
        <f>'Wage Data'!$C$11</f>
        <v>49.154294657004115</v>
      </c>
      <c r="G14" s="4">
        <f>'Cost Pool Data'!$K$42</f>
        <v>1.51761435929636</v>
      </c>
      <c r="H14" s="2">
        <f t="shared" si="0"/>
        <v>5.2979667757848533E-3</v>
      </c>
      <c r="I14" s="2">
        <f t="shared" si="1"/>
        <v>2.4699791459363201E-3</v>
      </c>
    </row>
    <row r="15" spans="1:10" x14ac:dyDescent="0.25">
      <c r="B15" t="s">
        <v>233</v>
      </c>
      <c r="C15" s="4">
        <f>C11</f>
        <v>1.2311105453619683E-2</v>
      </c>
      <c r="D15" s="4">
        <f>'Conversion Factors'!$I$22</f>
        <v>550.13578700812661</v>
      </c>
      <c r="E15" s="4">
        <f>'Productivity Data'!$I$41</f>
        <v>16.483976831402664</v>
      </c>
      <c r="F15" s="2">
        <f>'Wage Data'!$C$11</f>
        <v>49.154294657004115</v>
      </c>
      <c r="G15" s="4">
        <f>'Cost Pool Data'!$K$42</f>
        <v>1.51761435929636</v>
      </c>
      <c r="H15" s="2">
        <f t="shared" si="0"/>
        <v>8.2260435221121458E-3</v>
      </c>
      <c r="I15" s="2">
        <f t="shared" si="1"/>
        <v>1.012716892667877E-4</v>
      </c>
    </row>
    <row r="16" spans="1:10" x14ac:dyDescent="0.25">
      <c r="B16" t="s">
        <v>234</v>
      </c>
      <c r="C16" s="4">
        <f>C12</f>
        <v>2.8368278445563819E-2</v>
      </c>
      <c r="D16" s="4">
        <f>'Conversion Factors'!$I$23</f>
        <v>465.37757846738288</v>
      </c>
      <c r="E16" s="4">
        <f>'Productivity Data'!$I$40</f>
        <v>23.065925296264197</v>
      </c>
      <c r="F16" s="2">
        <f>'Wage Data'!$C$11</f>
        <v>49.154294657004115</v>
      </c>
      <c r="G16" s="4">
        <f>'Cost Pool Data'!$K$42</f>
        <v>1.51761435929636</v>
      </c>
      <c r="H16" s="2">
        <f t="shared" si="0"/>
        <v>6.9493879841800018E-3</v>
      </c>
      <c r="I16" s="2">
        <f t="shared" si="1"/>
        <v>1.9714217336147375E-4</v>
      </c>
    </row>
    <row r="17" spans="1:10" x14ac:dyDescent="0.25">
      <c r="B17" t="s">
        <v>143</v>
      </c>
      <c r="C17" s="4">
        <f>(C15+C16)*(1+'Other Inputs'!$B$9)</f>
        <v>4.2403642006533356E-2</v>
      </c>
      <c r="D17" s="4">
        <f>'Mailer Arrival Profile'!$I$10</f>
        <v>17.049180327868854</v>
      </c>
      <c r="E17" s="4">
        <f>'Productivity Data'!$I$19</f>
        <v>3068.1109131264348</v>
      </c>
      <c r="F17" s="2">
        <f>'Wage Data'!$C$11</f>
        <v>49.154294657004115</v>
      </c>
      <c r="G17" s="4">
        <f>'Cost Pool Data'!$K$46</f>
        <v>1.6196174573049362</v>
      </c>
      <c r="H17" s="2">
        <f t="shared" si="0"/>
        <v>1.5219464012576147E-3</v>
      </c>
      <c r="I17" s="2">
        <f t="shared" si="1"/>
        <v>6.4536070352059661E-5</v>
      </c>
    </row>
    <row r="18" spans="1:10" x14ac:dyDescent="0.25">
      <c r="B18" s="9" t="s">
        <v>355</v>
      </c>
      <c r="C18" s="4">
        <f>(C15+C16)</f>
        <v>4.0679383899183505E-2</v>
      </c>
      <c r="D18" s="4">
        <f>'Mailer Arrival Profile'!$I$10</f>
        <v>17.049180327868854</v>
      </c>
      <c r="E18" s="4">
        <f>'Productivity Data'!$I$43</f>
        <v>146.75954594651517</v>
      </c>
      <c r="F18" s="2">
        <f>'Wage Data'!$C$11</f>
        <v>49.154294657004115</v>
      </c>
      <c r="G18" s="4">
        <f>'Cost Pool Data'!$K$42</f>
        <v>1.51761435929636</v>
      </c>
      <c r="H18" s="2">
        <f t="shared" si="0"/>
        <v>2.9813504684181567E-2</v>
      </c>
      <c r="I18" s="2">
        <f t="shared" si="1"/>
        <v>1.2127950024279277E-3</v>
      </c>
    </row>
    <row r="19" spans="1:10" x14ac:dyDescent="0.25">
      <c r="B19" t="s">
        <v>145</v>
      </c>
      <c r="C19" s="4">
        <f>(C13+C14+C18)*(1+'Other Inputs'!$B$8)</f>
        <v>1.1202871749826209</v>
      </c>
      <c r="D19" s="4">
        <v>1</v>
      </c>
      <c r="E19" s="4">
        <f>'Productivity Data'!$I$18</f>
        <v>331.36480334855139</v>
      </c>
      <c r="F19" s="2">
        <f>'Wage Data'!$C$11</f>
        <v>49.154294657004115</v>
      </c>
      <c r="G19" s="4">
        <f>'Cost Pool Data'!$L$45</f>
        <v>2.0700178145522989</v>
      </c>
      <c r="H19" s="2">
        <f t="shared" si="0"/>
        <v>0.30706419201294521</v>
      </c>
      <c r="I19" s="2">
        <f t="shared" si="1"/>
        <v>0.34400007620850342</v>
      </c>
    </row>
    <row r="20" spans="1:10" x14ac:dyDescent="0.25">
      <c r="B20" s="68" t="s">
        <v>353</v>
      </c>
      <c r="C20" s="4">
        <f>(C13+C14+C18)*('Other Inputs'!$B$8)</f>
        <v>0.12028717498262087</v>
      </c>
      <c r="D20" s="4">
        <v>1</v>
      </c>
      <c r="E20" s="4">
        <f>'Productivity Data'!$I$47</f>
        <v>221.38133929687064</v>
      </c>
      <c r="F20" s="2">
        <f>'Wage Data'!$C$11</f>
        <v>49.154294657004115</v>
      </c>
      <c r="G20" s="4">
        <f>'Cost Pool Data'!$K$42</f>
        <v>1.51761435929636</v>
      </c>
      <c r="H20" s="2">
        <f t="shared" si="0"/>
        <v>0.33696274324422376</v>
      </c>
      <c r="I20" s="2">
        <f t="shared" si="1"/>
        <v>4.053229645924189E-2</v>
      </c>
    </row>
    <row r="21" spans="1:10" x14ac:dyDescent="0.25">
      <c r="B21" s="9" t="s">
        <v>354</v>
      </c>
      <c r="C21" s="4">
        <f>C20</f>
        <v>0.12028717498262087</v>
      </c>
      <c r="D21" s="4">
        <f>'Conversion Factors'!$I$34</f>
        <v>374.54067603574896</v>
      </c>
      <c r="E21" s="4">
        <f>'Productivity Data'!$I$40</f>
        <v>23.065925296264197</v>
      </c>
      <c r="F21" s="2">
        <f>'Wage Data'!$C$11</f>
        <v>49.154294657004115</v>
      </c>
      <c r="G21" s="4">
        <f>'Cost Pool Data'!$K$42</f>
        <v>1.51761435929636</v>
      </c>
      <c r="H21" s="2">
        <f t="shared" si="0"/>
        <v>8.6348147446589502E-3</v>
      </c>
      <c r="I21" s="2">
        <f t="shared" si="1"/>
        <v>1.0386574721333059E-3</v>
      </c>
    </row>
    <row r="22" spans="1:10" x14ac:dyDescent="0.25">
      <c r="B22" t="s">
        <v>235</v>
      </c>
      <c r="C22" s="4">
        <f>(C13+C14+C18)*'Postal Arrival-Dispatch Profile'!$B$21</f>
        <v>0.11896971780053392</v>
      </c>
      <c r="D22" s="4">
        <f>'Conversion Factors'!$I$43</f>
        <v>523.14012762456412</v>
      </c>
      <c r="E22" s="4">
        <f>'Productivity Data'!$I$45</f>
        <v>55.582256364514194</v>
      </c>
      <c r="F22" s="2">
        <f>'Wage Data'!$C$11</f>
        <v>49.154294657004115</v>
      </c>
      <c r="G22" s="4">
        <f>'Cost Pool Data'!$K$43</f>
        <v>1.386023903258889</v>
      </c>
      <c r="H22" s="2">
        <f t="shared" si="0"/>
        <v>2.3430307141906188E-3</v>
      </c>
      <c r="I22" s="2">
        <f t="shared" si="1"/>
        <v>2.7874970286524139E-4</v>
      </c>
    </row>
    <row r="23" spans="1:10" x14ac:dyDescent="0.25">
      <c r="B23" t="s">
        <v>238</v>
      </c>
      <c r="C23" s="4">
        <f>(C13+C14+C18)*'Postal Arrival-Dispatch Profile'!$B$22</f>
        <v>8.0349918340229934E-2</v>
      </c>
      <c r="D23" s="4">
        <f>'Conversion Factors'!$I$44</f>
        <v>354.97967513095392</v>
      </c>
      <c r="E23" s="4">
        <f>'Productivity Data'!$I$44</f>
        <v>70.608822220868689</v>
      </c>
      <c r="F23" s="2">
        <f>'Wage Data'!$C$11</f>
        <v>49.154294657004115</v>
      </c>
      <c r="G23" s="4">
        <f>'Cost Pool Data'!$K$43</f>
        <v>1.386023903258889</v>
      </c>
      <c r="H23" s="2">
        <f t="shared" si="0"/>
        <v>2.718126932015983E-3</v>
      </c>
      <c r="I23" s="2">
        <f t="shared" si="1"/>
        <v>2.1840127702586396E-4</v>
      </c>
    </row>
    <row r="24" spans="1:10" x14ac:dyDescent="0.25">
      <c r="A24" s="82"/>
      <c r="B24" t="s">
        <v>236</v>
      </c>
      <c r="C24" s="4">
        <f>(C13+C14+C18)*'Postal Arrival-Dispatch Profile'!$B$23</f>
        <v>0.60164685859127154</v>
      </c>
      <c r="D24" s="4">
        <f>'Conversion Factors'!$I$45</f>
        <v>667.89093183646696</v>
      </c>
      <c r="E24" s="4">
        <f>'Productivity Data'!$I$44</f>
        <v>70.608822220868689</v>
      </c>
      <c r="F24" s="2">
        <f>'Wage Data'!$C$11</f>
        <v>49.154294657004115</v>
      </c>
      <c r="G24" s="4">
        <f>'Cost Pool Data'!$K$43</f>
        <v>1.386023903258889</v>
      </c>
      <c r="H24" s="2">
        <f t="shared" si="0"/>
        <v>1.444666740179639E-3</v>
      </c>
      <c r="I24" s="2">
        <f t="shared" si="1"/>
        <v>8.6917920594037248E-4</v>
      </c>
    </row>
    <row r="25" spans="1:10" x14ac:dyDescent="0.25">
      <c r="A25" s="72"/>
      <c r="B25" s="79" t="s">
        <v>237</v>
      </c>
      <c r="C25" s="49">
        <f>(C13+C14+C18)*'Postal Arrival-Dispatch Profile'!$B$24</f>
        <v>0.19903350526796459</v>
      </c>
      <c r="D25" s="49">
        <f>'Conversion Factors'!$I$46</f>
        <v>343.25976155350384</v>
      </c>
      <c r="E25" s="49">
        <f>'Productivity Data'!$I$44</f>
        <v>70.608822220868689</v>
      </c>
      <c r="F25" s="48">
        <f>'Wage Data'!$C$11</f>
        <v>49.154294657004115</v>
      </c>
      <c r="G25" s="49">
        <f>'Cost Pool Data'!$K$43</f>
        <v>1.386023903258889</v>
      </c>
      <c r="H25" s="48">
        <f t="shared" si="0"/>
        <v>2.8109319045289106E-3</v>
      </c>
      <c r="I25" s="75">
        <f t="shared" si="1"/>
        <v>5.5946963002794468E-4</v>
      </c>
      <c r="J25" s="76">
        <f>SUM(I9:I25)</f>
        <v>0.39798171304472707</v>
      </c>
    </row>
    <row r="26" spans="1:10" x14ac:dyDescent="0.25">
      <c r="A26" s="6" t="s">
        <v>243</v>
      </c>
      <c r="B26" t="s">
        <v>215</v>
      </c>
      <c r="C26" s="4">
        <f>C22*'Other Inputs'!$B$20</f>
        <v>1.1342186015537934E-2</v>
      </c>
      <c r="D26" s="4">
        <f>'Conversion Factors'!$I$43</f>
        <v>523.14012762456412</v>
      </c>
      <c r="E26" s="4">
        <f>'Productivity Data'!$I$34</f>
        <v>58.924683317790674</v>
      </c>
      <c r="F26" s="2">
        <f>'Wage Data'!$C$11</f>
        <v>49.154294657004115</v>
      </c>
      <c r="G26" s="4">
        <f>'Cost Pool Data'!$K$27</f>
        <v>1.3606061934437479</v>
      </c>
      <c r="H26" s="2">
        <f t="shared" si="0"/>
        <v>2.1695947482195926E-3</v>
      </c>
      <c r="I26" s="2">
        <f t="shared" si="1"/>
        <v>2.4607947212640808E-5</v>
      </c>
    </row>
    <row r="27" spans="1:10" x14ac:dyDescent="0.25">
      <c r="A27" s="6" t="s">
        <v>244</v>
      </c>
      <c r="B27" t="s">
        <v>216</v>
      </c>
      <c r="C27" s="4">
        <f>C23*'Other Inputs'!$B$20</f>
        <v>7.6602999233480662E-3</v>
      </c>
      <c r="D27" s="4">
        <f>'Conversion Factors'!$I$44</f>
        <v>354.97967513095392</v>
      </c>
      <c r="E27" s="4">
        <f>'Productivity Data'!$I$33</f>
        <v>74.637919630667881</v>
      </c>
      <c r="F27" s="2">
        <f>'Wage Data'!$C$11</f>
        <v>49.154294657004115</v>
      </c>
      <c r="G27" s="4">
        <f>'Cost Pool Data'!$K$27</f>
        <v>1.3606061934437479</v>
      </c>
      <c r="H27" s="2">
        <f t="shared" si="0"/>
        <v>2.5242414770189521E-3</v>
      </c>
      <c r="I27" s="2">
        <f t="shared" si="1"/>
        <v>1.9336446792920287E-5</v>
      </c>
    </row>
    <row r="28" spans="1:10" x14ac:dyDescent="0.25">
      <c r="B28" t="s">
        <v>217</v>
      </c>
      <c r="C28" s="4">
        <f>C24*'Other Inputs'!$B$20</f>
        <v>5.735905499286327E-2</v>
      </c>
      <c r="D28" s="4">
        <f>'Conversion Factors'!$I$45</f>
        <v>667.89093183646696</v>
      </c>
      <c r="E28" s="4">
        <f>'Productivity Data'!$I$33</f>
        <v>74.637919630667881</v>
      </c>
      <c r="F28" s="2">
        <f>'Wage Data'!$C$11</f>
        <v>49.154294657004115</v>
      </c>
      <c r="G28" s="4">
        <f>'Cost Pool Data'!$K$27</f>
        <v>1.3606061934437479</v>
      </c>
      <c r="H28" s="2">
        <f t="shared" si="0"/>
        <v>1.3416178851244917E-3</v>
      </c>
      <c r="I28" s="2">
        <f t="shared" si="1"/>
        <v>7.6953934052264645E-5</v>
      </c>
    </row>
    <row r="29" spans="1:10" x14ac:dyDescent="0.25">
      <c r="B29" t="s">
        <v>218</v>
      </c>
      <c r="C29" s="4">
        <f>C25*'Other Inputs'!$B$20</f>
        <v>1.897520715194697E-2</v>
      </c>
      <c r="D29" s="4">
        <f>'Conversion Factors'!$I$46</f>
        <v>343.25976155350384</v>
      </c>
      <c r="E29" s="4">
        <f>'Productivity Data'!$I$33</f>
        <v>74.637919630667881</v>
      </c>
      <c r="F29" s="2">
        <f>'Wage Data'!$C$11</f>
        <v>49.154294657004115</v>
      </c>
      <c r="G29" s="4">
        <f>'Cost Pool Data'!$K$27</f>
        <v>1.3606061934437479</v>
      </c>
      <c r="H29" s="2">
        <f t="shared" si="0"/>
        <v>2.6104266209618018E-3</v>
      </c>
      <c r="I29" s="2">
        <f t="shared" si="1"/>
        <v>4.9533385887707146E-5</v>
      </c>
      <c r="J29" s="13"/>
    </row>
    <row r="30" spans="1:10" x14ac:dyDescent="0.25">
      <c r="B30" t="s">
        <v>204</v>
      </c>
      <c r="C30" s="4">
        <f>'Other Inputs'!$B$17*(1+'Other Inputs'!$B$10)</f>
        <v>4.1075213808213225E-2</v>
      </c>
      <c r="D30" s="4">
        <v>1</v>
      </c>
      <c r="E30" s="4">
        <f>'Productivity Data'!$I$10</f>
        <v>245.20305602978507</v>
      </c>
      <c r="F30" s="2">
        <f>'Wage Data'!$C$11</f>
        <v>49.154294657004115</v>
      </c>
      <c r="G30" s="4">
        <f>'Cost Pool Data'!$L$14</f>
        <v>1.8052502472456198</v>
      </c>
      <c r="H30" s="2">
        <f t="shared" si="0"/>
        <v>0.36188701731336453</v>
      </c>
      <c r="I30" s="2">
        <f t="shared" si="1"/>
        <v>1.4864586610563009E-2</v>
      </c>
    </row>
    <row r="31" spans="1:10" x14ac:dyDescent="0.25">
      <c r="B31" s="9" t="s">
        <v>363</v>
      </c>
      <c r="C31" s="4">
        <f>'Other Inputs'!$B$18*(1+'Other Inputs'!$B$11)</f>
        <v>2.6656991902813034E-2</v>
      </c>
      <c r="D31" s="4">
        <v>1</v>
      </c>
      <c r="E31" s="4">
        <f>'Productivity Data'!$I$11</f>
        <v>190.80521220652753</v>
      </c>
      <c r="F31" s="2">
        <f>'Wage Data'!$C$11</f>
        <v>49.154294657004115</v>
      </c>
      <c r="G31" s="4">
        <f>'Cost Pool Data'!$L$11</f>
        <v>1.6056412614911089</v>
      </c>
      <c r="H31" s="2">
        <f t="shared" si="0"/>
        <v>0.41363735700967258</v>
      </c>
      <c r="I31" s="2">
        <f t="shared" si="1"/>
        <v>1.1026327676507826E-2</v>
      </c>
    </row>
    <row r="32" spans="1:10" x14ac:dyDescent="0.25">
      <c r="B32" t="s">
        <v>245</v>
      </c>
      <c r="C32" s="4">
        <f>'Other Inputs'!$B$19</f>
        <v>3.4773485341240841E-2</v>
      </c>
      <c r="D32" s="4">
        <v>1</v>
      </c>
      <c r="E32" s="4">
        <f>'Productivity Data'!$I$15</f>
        <v>47.994690148863093</v>
      </c>
      <c r="F32" s="2">
        <f>'Wage Data'!$C$11</f>
        <v>49.154294657004115</v>
      </c>
      <c r="G32" s="4">
        <f>'Cost Pool Data'!$K$16</f>
        <v>1.3208756008457678</v>
      </c>
      <c r="H32" s="2">
        <f t="shared" si="0"/>
        <v>1.3527894083249588</v>
      </c>
      <c r="I32" s="2">
        <f t="shared" si="1"/>
        <v>4.7041202660173823E-2</v>
      </c>
    </row>
    <row r="33" spans="1:10" x14ac:dyDescent="0.25">
      <c r="A33" s="72"/>
      <c r="B33" s="79" t="s">
        <v>248</v>
      </c>
      <c r="C33" s="49">
        <f>SUM(C26:C29)</f>
        <v>9.5336748083696243E-2</v>
      </c>
      <c r="D33" s="49">
        <f>'Conversion Factors'!$I$48</f>
        <v>204.26720030964461</v>
      </c>
      <c r="E33" s="49">
        <f>'Productivity Data'!$I$35</f>
        <v>82.063608851111439</v>
      </c>
      <c r="F33" s="48">
        <f>'Wage Data'!$C$11</f>
        <v>49.154294657004115</v>
      </c>
      <c r="G33" s="49">
        <f>'Cost Pool Data'!$K$27</f>
        <v>1.3606061934437479</v>
      </c>
      <c r="H33" s="48">
        <f t="shared" ref="H33:H54" si="2">(F33*G33)/(D33*E33)</f>
        <v>3.9897406339358659E-3</v>
      </c>
      <c r="I33" s="75">
        <f t="shared" ref="I33:I54" si="3">C33*H33</f>
        <v>3.803688977368302E-4</v>
      </c>
      <c r="J33" s="76">
        <f>SUM(I26:I33)</f>
        <v>7.3482917558927024E-2</v>
      </c>
    </row>
    <row r="34" spans="1:10" x14ac:dyDescent="0.25">
      <c r="A34" s="6" t="s">
        <v>243</v>
      </c>
      <c r="B34" t="s">
        <v>215</v>
      </c>
      <c r="C34" s="4">
        <f>C22*(1-'Other Inputs'!$B$20)</f>
        <v>0.107627531784996</v>
      </c>
      <c r="D34" s="4">
        <f>'Conversion Factors'!$I$43</f>
        <v>523.14012762456412</v>
      </c>
      <c r="E34" s="4">
        <f>'Productivity Data'!$I$28</f>
        <v>58.156985400220201</v>
      </c>
      <c r="F34" s="2">
        <f>'Wage Data'!$C$11</f>
        <v>49.154294657004115</v>
      </c>
      <c r="G34" s="4">
        <f>'Cost Pool Data'!$K$27</f>
        <v>1.3606061934437479</v>
      </c>
      <c r="H34" s="2">
        <f t="shared" si="2"/>
        <v>2.1982343580397691E-3</v>
      </c>
      <c r="I34" s="2">
        <f>C34*H34</f>
        <v>2.3659053824079553E-4</v>
      </c>
      <c r="J34" s="13"/>
    </row>
    <row r="35" spans="1:10" x14ac:dyDescent="0.25">
      <c r="A35" s="6" t="s">
        <v>241</v>
      </c>
      <c r="B35" t="s">
        <v>216</v>
      </c>
      <c r="C35" s="4">
        <f>C23*(1-'Other Inputs'!$B$20)</f>
        <v>7.2689618416881874E-2</v>
      </c>
      <c r="D35" s="4">
        <f>'Conversion Factors'!$I$44</f>
        <v>354.97967513095392</v>
      </c>
      <c r="E35" s="4">
        <f>'Productivity Data'!$I$27</f>
        <v>81.873572020007202</v>
      </c>
      <c r="F35" s="2">
        <f>'Wage Data'!$C$11</f>
        <v>49.154294657004115</v>
      </c>
      <c r="G35" s="4">
        <f>'Cost Pool Data'!$K$27</f>
        <v>1.3606061934437479</v>
      </c>
      <c r="H35" s="2">
        <f t="shared" si="2"/>
        <v>2.3011593099187019E-3</v>
      </c>
      <c r="I35" s="2">
        <f>C35*H35</f>
        <v>1.6727039215444565E-4</v>
      </c>
    </row>
    <row r="36" spans="1:10" x14ac:dyDescent="0.25">
      <c r="B36" t="s">
        <v>217</v>
      </c>
      <c r="C36" s="4">
        <f>C24*(1-'Other Inputs'!$B$20)</f>
        <v>0.54428780359840834</v>
      </c>
      <c r="D36" s="4">
        <f>'Conversion Factors'!$I$45</f>
        <v>667.89093183646696</v>
      </c>
      <c r="E36" s="4">
        <f>'Productivity Data'!$I$27</f>
        <v>81.873572020007202</v>
      </c>
      <c r="F36" s="2">
        <f>'Wage Data'!$C$11</f>
        <v>49.154294657004115</v>
      </c>
      <c r="G36" s="4">
        <f>'Cost Pool Data'!$K$27</f>
        <v>1.3606061934437479</v>
      </c>
      <c r="H36" s="2">
        <f t="shared" si="2"/>
        <v>1.2230511679705216E-3</v>
      </c>
      <c r="I36" s="2">
        <f>C36*H36</f>
        <v>6.656918339031432E-4</v>
      </c>
    </row>
    <row r="37" spans="1:10" x14ac:dyDescent="0.25">
      <c r="B37" t="s">
        <v>218</v>
      </c>
      <c r="C37" s="4">
        <f>C25*(1-'Other Inputs'!$B$20)</f>
        <v>0.18005829811601765</v>
      </c>
      <c r="D37" s="4">
        <f>'Conversion Factors'!$I$46</f>
        <v>343.25976155350384</v>
      </c>
      <c r="E37" s="4">
        <f>'Productivity Data'!$I$27</f>
        <v>81.873572020007202</v>
      </c>
      <c r="F37" s="2">
        <f>'Wage Data'!$C$11</f>
        <v>49.154294657004115</v>
      </c>
      <c r="G37" s="4">
        <f>'Cost Pool Data'!$K$27</f>
        <v>1.3606061934437479</v>
      </c>
      <c r="H37" s="2">
        <f t="shared" si="2"/>
        <v>2.3797277623295978E-3</v>
      </c>
      <c r="I37" s="2">
        <f>C37*H37</f>
        <v>4.2848973086450628E-4</v>
      </c>
    </row>
    <row r="38" spans="1:10" x14ac:dyDescent="0.25">
      <c r="B38" t="s">
        <v>249</v>
      </c>
      <c r="C38" s="4">
        <f>'Other Inputs'!$B$23</f>
        <v>5.279665233179142E-2</v>
      </c>
      <c r="D38" s="4">
        <f>'Conversion Factors'!$I$48</f>
        <v>204.26720030964461</v>
      </c>
      <c r="E38" s="4">
        <f>'Productivity Data'!$I$27</f>
        <v>81.873572020007202</v>
      </c>
      <c r="F38" s="2">
        <f>'Wage Data'!$C$11</f>
        <v>49.154294657004115</v>
      </c>
      <c r="G38" s="4">
        <f>'Cost Pool Data'!$K$27</f>
        <v>1.3606061934437479</v>
      </c>
      <c r="H38" s="2">
        <f>(F38*G38)/(D38*E38)</f>
        <v>3.9990012249702441E-3</v>
      </c>
      <c r="I38" s="2">
        <f>C38*H38</f>
        <v>2.1113387734916198E-4</v>
      </c>
    </row>
    <row r="39" spans="1:10" x14ac:dyDescent="0.25">
      <c r="B39" t="s">
        <v>219</v>
      </c>
      <c r="C39" s="4">
        <f>C34</f>
        <v>0.107627531784996</v>
      </c>
      <c r="D39" s="4">
        <f>'Conversion Factors'!$I$43</f>
        <v>523.14012762456412</v>
      </c>
      <c r="E39" s="4">
        <f>'Productivity Data'!$I$30</f>
        <v>39.899251235537818</v>
      </c>
      <c r="F39" s="2">
        <f>'Wage Data'!$C$11</f>
        <v>49.154294657004115</v>
      </c>
      <c r="G39" s="4">
        <f>'Cost Pool Data'!$K$27</f>
        <v>1.3606061934437479</v>
      </c>
      <c r="H39" s="2">
        <f t="shared" si="2"/>
        <v>3.2041374087971165E-3</v>
      </c>
      <c r="I39" s="2">
        <f t="shared" si="3"/>
        <v>3.4485340080880639E-4</v>
      </c>
    </row>
    <row r="40" spans="1:10" x14ac:dyDescent="0.25">
      <c r="B40" t="s">
        <v>220</v>
      </c>
      <c r="C40" s="4">
        <f>C35</f>
        <v>7.2689618416881874E-2</v>
      </c>
      <c r="D40" s="4">
        <f>'Conversion Factors'!$I$44</f>
        <v>354.97967513095392</v>
      </c>
      <c r="E40" s="4">
        <f>'Productivity Data'!$I$29</f>
        <v>50.764395048330648</v>
      </c>
      <c r="F40" s="2">
        <f>'Wage Data'!$C$11</f>
        <v>49.154294657004115</v>
      </c>
      <c r="G40" s="4">
        <f>'Cost Pool Data'!$K$27</f>
        <v>1.3606061934437479</v>
      </c>
      <c r="H40" s="2">
        <f t="shared" si="2"/>
        <v>3.71134399042414E-3</v>
      </c>
      <c r="I40" s="2">
        <f t="shared" si="3"/>
        <v>2.6977617847771844E-4</v>
      </c>
    </row>
    <row r="41" spans="1:10" x14ac:dyDescent="0.25">
      <c r="B41" t="s">
        <v>221</v>
      </c>
      <c r="C41" s="4">
        <f>C36</f>
        <v>0.54428780359840834</v>
      </c>
      <c r="D41" s="4">
        <f>'Conversion Factors'!$I$45</f>
        <v>667.89093183646696</v>
      </c>
      <c r="E41" s="4">
        <f>'Productivity Data'!$I$29</f>
        <v>50.764395048330648</v>
      </c>
      <c r="F41" s="2">
        <f>'Wage Data'!$C$11</f>
        <v>49.154294657004115</v>
      </c>
      <c r="G41" s="4">
        <f>'Cost Pool Data'!$K$27</f>
        <v>1.3606061934437479</v>
      </c>
      <c r="H41" s="2">
        <f t="shared" si="2"/>
        <v>1.9725551302178144E-3</v>
      </c>
      <c r="I41" s="2">
        <f t="shared" si="3"/>
        <v>1.0736376993030266E-3</v>
      </c>
    </row>
    <row r="42" spans="1:10" x14ac:dyDescent="0.25">
      <c r="B42" t="s">
        <v>222</v>
      </c>
      <c r="C42" s="4">
        <f>C37</f>
        <v>0.18005829811601765</v>
      </c>
      <c r="D42" s="4">
        <f>'Conversion Factors'!$I$46</f>
        <v>343.25976155350384</v>
      </c>
      <c r="E42" s="4">
        <f>'Productivity Data'!$I$29</f>
        <v>50.764395048330648</v>
      </c>
      <c r="F42" s="2">
        <f>'Wage Data'!$C$11</f>
        <v>49.154294657004115</v>
      </c>
      <c r="G42" s="4">
        <f>'Cost Pool Data'!$K$27</f>
        <v>1.3606061934437479</v>
      </c>
      <c r="H42" s="2">
        <f t="shared" si="2"/>
        <v>3.8380603600536752E-3</v>
      </c>
      <c r="I42" s="2">
        <f t="shared" si="3"/>
        <v>6.9107461649781468E-4</v>
      </c>
    </row>
    <row r="43" spans="1:10" x14ac:dyDescent="0.25">
      <c r="B43" t="s">
        <v>252</v>
      </c>
      <c r="C43" s="4">
        <f>C38</f>
        <v>5.279665233179142E-2</v>
      </c>
      <c r="D43" s="4">
        <f>'Conversion Factors'!$I$48</f>
        <v>204.26720030964461</v>
      </c>
      <c r="E43" s="4">
        <f>'Productivity Data'!$I$29</f>
        <v>50.764395048330648</v>
      </c>
      <c r="F43" s="2">
        <f>'Wage Data'!$C$11</f>
        <v>49.154294657004115</v>
      </c>
      <c r="G43" s="4">
        <f>'Cost Pool Data'!$K$27</f>
        <v>1.3606061934437479</v>
      </c>
      <c r="H43" s="2">
        <f>(F43*G43)/(D43*E43)</f>
        <v>6.4496487053373255E-3</v>
      </c>
      <c r="I43" s="2">
        <f>C43*H43</f>
        <v>3.4051986035788342E-4</v>
      </c>
    </row>
    <row r="44" spans="1:10" x14ac:dyDescent="0.25">
      <c r="B44" t="s">
        <v>235</v>
      </c>
      <c r="C44" s="4">
        <f>C34</f>
        <v>0.107627531784996</v>
      </c>
      <c r="D44" s="4">
        <f>'Conversion Factors'!$I$43</f>
        <v>523.14012762456412</v>
      </c>
      <c r="E44" s="4">
        <f>'Productivity Data'!$I$32</f>
        <v>61.728448910094343</v>
      </c>
      <c r="F44" s="2">
        <f>'Wage Data'!$C$11</f>
        <v>49.154294657004115</v>
      </c>
      <c r="G44" s="4">
        <f>'Cost Pool Data'!$K$27</f>
        <v>1.3606061934437479</v>
      </c>
      <c r="H44" s="2">
        <f t="shared" si="2"/>
        <v>2.0710496654950841E-3</v>
      </c>
      <c r="I44" s="2">
        <f t="shared" si="3"/>
        <v>2.229019637013775E-4</v>
      </c>
    </row>
    <row r="45" spans="1:10" x14ac:dyDescent="0.25">
      <c r="B45" t="s">
        <v>238</v>
      </c>
      <c r="C45" s="4">
        <f>C35</f>
        <v>7.2689618416881874E-2</v>
      </c>
      <c r="D45" s="4">
        <f>'Conversion Factors'!$I$44</f>
        <v>354.97967513095392</v>
      </c>
      <c r="E45" s="4">
        <f>'Productivity Data'!$I$31</f>
        <v>91.071587890934111</v>
      </c>
      <c r="F45" s="2">
        <f>'Wage Data'!$C$11</f>
        <v>49.154294657004115</v>
      </c>
      <c r="G45" s="4">
        <f>'Cost Pool Data'!$K$27</f>
        <v>1.3606061934437479</v>
      </c>
      <c r="H45" s="2">
        <f t="shared" si="2"/>
        <v>2.0687476396674749E-3</v>
      </c>
      <c r="I45" s="2">
        <f t="shared" si="3"/>
        <v>1.5037647652825379E-4</v>
      </c>
    </row>
    <row r="46" spans="1:10" x14ac:dyDescent="0.25">
      <c r="B46" t="s">
        <v>236</v>
      </c>
      <c r="C46" s="4">
        <f>C36</f>
        <v>0.54428780359840834</v>
      </c>
      <c r="D46" s="4">
        <f>'Conversion Factors'!$I$45</f>
        <v>667.89093183646696</v>
      </c>
      <c r="E46" s="4">
        <f>'Productivity Data'!$I$31</f>
        <v>91.071587890934111</v>
      </c>
      <c r="F46" s="2">
        <f>'Wage Data'!$C$11</f>
        <v>49.154294657004115</v>
      </c>
      <c r="G46" s="4">
        <f>'Cost Pool Data'!$K$27</f>
        <v>1.3606061934437479</v>
      </c>
      <c r="H46" s="2">
        <f t="shared" si="2"/>
        <v>1.0995258807270298E-3</v>
      </c>
      <c r="I46" s="2">
        <f t="shared" si="3"/>
        <v>5.9845852662052058E-4</v>
      </c>
    </row>
    <row r="47" spans="1:10" x14ac:dyDescent="0.25">
      <c r="B47" t="s">
        <v>237</v>
      </c>
      <c r="C47" s="4">
        <f t="shared" ref="C47:C52" si="4">C42</f>
        <v>0.18005829811601765</v>
      </c>
      <c r="D47" s="4">
        <f>'Conversion Factors'!$I$46</f>
        <v>343.25976155350384</v>
      </c>
      <c r="E47" s="4">
        <f>'Productivity Data'!$I$31</f>
        <v>91.071587890934111</v>
      </c>
      <c r="F47" s="2">
        <f>'Wage Data'!$C$11</f>
        <v>49.154294657004115</v>
      </c>
      <c r="G47" s="4">
        <f>'Cost Pool Data'!$K$27</f>
        <v>1.3606061934437479</v>
      </c>
      <c r="H47" s="2">
        <f>(F47*G47)/(D47*E47)</f>
        <v>2.1393808634415858E-3</v>
      </c>
      <c r="I47" s="2">
        <f>C47*H47</f>
        <v>3.8521327729326829E-4</v>
      </c>
    </row>
    <row r="48" spans="1:10" x14ac:dyDescent="0.25">
      <c r="A48" s="72"/>
      <c r="B48" s="79" t="s">
        <v>248</v>
      </c>
      <c r="C48" s="49">
        <f t="shared" si="4"/>
        <v>5.279665233179142E-2</v>
      </c>
      <c r="D48" s="49">
        <f>'Conversion Factors'!$I$48</f>
        <v>204.26720030964461</v>
      </c>
      <c r="E48" s="49">
        <f>'Productivity Data'!$I$31</f>
        <v>91.071587890934111</v>
      </c>
      <c r="F48" s="48">
        <f>'Wage Data'!$C$11</f>
        <v>49.154294657004115</v>
      </c>
      <c r="G48" s="49">
        <f>'Cost Pool Data'!$K$27</f>
        <v>1.3606061934437479</v>
      </c>
      <c r="H48" s="48">
        <f t="shared" si="2"/>
        <v>3.5951115203218188E-3</v>
      </c>
      <c r="I48" s="75">
        <f t="shared" si="3"/>
        <v>1.8980985303244916E-4</v>
      </c>
      <c r="J48" s="76">
        <f>SUM(I34:I48)</f>
        <v>5.9757982251331708E-3</v>
      </c>
    </row>
    <row r="49" spans="1:10" x14ac:dyDescent="0.25">
      <c r="A49" s="6" t="s">
        <v>243</v>
      </c>
      <c r="B49" t="s">
        <v>215</v>
      </c>
      <c r="C49" s="4">
        <f t="shared" si="4"/>
        <v>0.107627531784996</v>
      </c>
      <c r="D49" s="4">
        <f>'Conversion Factors'!$I$43</f>
        <v>523.14012762456412</v>
      </c>
      <c r="E49" s="4">
        <f>'Productivity Data'!$I$26</f>
        <v>48.58034429266948</v>
      </c>
      <c r="F49" s="2">
        <f>'Wage Data'!$C$11</f>
        <v>49.154294657004115</v>
      </c>
      <c r="G49" s="4">
        <f>'Cost Pool Data'!$K$48</f>
        <v>1.6214860636540271</v>
      </c>
      <c r="H49" s="2">
        <f t="shared" si="2"/>
        <v>3.136144511922507E-3</v>
      </c>
      <c r="I49" s="2">
        <f t="shared" si="3"/>
        <v>3.3753549313928036E-4</v>
      </c>
    </row>
    <row r="50" spans="1:10" x14ac:dyDescent="0.25">
      <c r="A50" s="6" t="s">
        <v>85</v>
      </c>
      <c r="B50" t="s">
        <v>216</v>
      </c>
      <c r="C50" s="4">
        <f t="shared" si="4"/>
        <v>7.2689618416881874E-2</v>
      </c>
      <c r="D50" s="4">
        <f>'Conversion Factors'!$I$44</f>
        <v>354.97967513095392</v>
      </c>
      <c r="E50" s="4">
        <f>'Productivity Data'!$I$25</f>
        <v>60.332591436644847</v>
      </c>
      <c r="F50" s="2">
        <f>'Wage Data'!$C$11</f>
        <v>49.154294657004115</v>
      </c>
      <c r="G50" s="4">
        <f>'Cost Pool Data'!$K$48</f>
        <v>1.6214860636540271</v>
      </c>
      <c r="H50" s="2">
        <f t="shared" si="2"/>
        <v>3.7215102674230905E-3</v>
      </c>
      <c r="I50" s="2">
        <f t="shared" si="3"/>
        <v>2.7051516127349248E-4</v>
      </c>
    </row>
    <row r="51" spans="1:10" x14ac:dyDescent="0.25">
      <c r="B51" t="s">
        <v>217</v>
      </c>
      <c r="C51" s="4">
        <f t="shared" si="4"/>
        <v>0.54428780359840834</v>
      </c>
      <c r="D51" s="4">
        <f>'Conversion Factors'!$I$45</f>
        <v>667.89093183646696</v>
      </c>
      <c r="E51" s="4">
        <f>'Productivity Data'!$I$25</f>
        <v>60.332591436644847</v>
      </c>
      <c r="F51" s="2">
        <f>'Wage Data'!$C$11</f>
        <v>49.154294657004115</v>
      </c>
      <c r="G51" s="4">
        <f>'Cost Pool Data'!$K$48</f>
        <v>1.6214860636540271</v>
      </c>
      <c r="H51" s="2">
        <f t="shared" si="2"/>
        <v>1.9779584401511527E-3</v>
      </c>
      <c r="I51" s="2">
        <f t="shared" si="3"/>
        <v>1.0765786549988047E-3</v>
      </c>
    </row>
    <row r="52" spans="1:10" x14ac:dyDescent="0.25">
      <c r="B52" t="s">
        <v>218</v>
      </c>
      <c r="C52" s="4">
        <f t="shared" si="4"/>
        <v>0.18005829811601765</v>
      </c>
      <c r="D52" s="4">
        <f>'Conversion Factors'!$I$46</f>
        <v>343.25976155350384</v>
      </c>
      <c r="E52" s="4">
        <f>'Productivity Data'!$I$25</f>
        <v>60.332591436644847</v>
      </c>
      <c r="F52" s="2">
        <f>'Wage Data'!$C$11</f>
        <v>49.154294657004115</v>
      </c>
      <c r="G52" s="4">
        <f>'Cost Pool Data'!$K$48</f>
        <v>1.6214860636540271</v>
      </c>
      <c r="H52" s="2">
        <f t="shared" si="2"/>
        <v>3.8485737441160714E-3</v>
      </c>
      <c r="I52" s="2">
        <f t="shared" si="3"/>
        <v>6.929676385395298E-4</v>
      </c>
    </row>
    <row r="53" spans="1:10" x14ac:dyDescent="0.25">
      <c r="B53" t="s">
        <v>249</v>
      </c>
      <c r="C53" s="4">
        <f>C33</f>
        <v>9.5336748083696243E-2</v>
      </c>
      <c r="D53" s="4">
        <f>'Conversion Factors'!$I$48</f>
        <v>204.26720030964461</v>
      </c>
      <c r="E53" s="4">
        <f>'Productivity Data'!$I$25</f>
        <v>60.332591436644847</v>
      </c>
      <c r="F53" s="2">
        <f>'Wage Data'!$C$11</f>
        <v>49.154294657004115</v>
      </c>
      <c r="G53" s="4">
        <f>'Cost Pool Data'!$K$48</f>
        <v>1.6214860636540271</v>
      </c>
      <c r="H53" s="2">
        <f>(F53*G53)/(D53*E53)</f>
        <v>6.4673158672747689E-3</v>
      </c>
      <c r="I53" s="2">
        <f>C53*H53</f>
        <v>6.1657286361606616E-4</v>
      </c>
    </row>
    <row r="54" spans="1:10" x14ac:dyDescent="0.25">
      <c r="A54" s="72"/>
      <c r="B54" s="79" t="s">
        <v>135</v>
      </c>
      <c r="C54" s="49">
        <f>SUM(C49:C53)</f>
        <v>1</v>
      </c>
      <c r="D54" s="49">
        <v>1</v>
      </c>
      <c r="E54" s="49">
        <f>'Productivity Data'!$I$22</f>
        <v>307.66822713635111</v>
      </c>
      <c r="F54" s="48">
        <f>'Wage Data'!$C$11</f>
        <v>49.154294657004115</v>
      </c>
      <c r="G54" s="49">
        <f>'Cost Pool Data'!$K$57</f>
        <v>1.4957786551922303</v>
      </c>
      <c r="H54" s="48">
        <f t="shared" si="2"/>
        <v>0.23897152280983572</v>
      </c>
      <c r="I54" s="75">
        <f t="shared" si="3"/>
        <v>0.23897152280983572</v>
      </c>
      <c r="J54" s="76">
        <f>SUM(I49:I54)</f>
        <v>0.24196569262140288</v>
      </c>
    </row>
    <row r="56" spans="1:10" x14ac:dyDescent="0.25">
      <c r="A56" s="29" t="s">
        <v>259</v>
      </c>
      <c r="I56" s="80" t="s">
        <v>203</v>
      </c>
      <c r="J56" s="81">
        <f>J25+J33+J48+J54</f>
        <v>0.71940612145019012</v>
      </c>
    </row>
    <row r="57" spans="1:10" x14ac:dyDescent="0.25">
      <c r="A57" s="6" t="s">
        <v>296</v>
      </c>
      <c r="F57"/>
      <c r="G57"/>
      <c r="H57"/>
      <c r="I57"/>
    </row>
    <row r="58" spans="1:10" x14ac:dyDescent="0.25">
      <c r="A58" s="6" t="s">
        <v>297</v>
      </c>
    </row>
    <row r="59" spans="1:10" x14ac:dyDescent="0.25">
      <c r="A59" s="6" t="s">
        <v>298</v>
      </c>
    </row>
    <row r="60" spans="1:10" x14ac:dyDescent="0.25">
      <c r="A60" s="6" t="s">
        <v>299</v>
      </c>
    </row>
    <row r="61" spans="1:10" x14ac:dyDescent="0.25">
      <c r="A61" s="6" t="s">
        <v>277</v>
      </c>
    </row>
    <row r="62" spans="1:10" x14ac:dyDescent="0.25">
      <c r="A62" s="6" t="s">
        <v>300</v>
      </c>
    </row>
    <row r="63" spans="1:10" x14ac:dyDescent="0.25">
      <c r="A63" s="6" t="s">
        <v>301</v>
      </c>
    </row>
  </sheetData>
  <phoneticPr fontId="3" type="noConversion"/>
  <printOptions horizontalCentered="1"/>
  <pageMargins left="0.75" right="0.75" top="1" bottom="1" header="0.5" footer="0.5"/>
  <pageSetup scale="61" orientation="portrait" r:id="rId1"/>
  <headerFooter alignWithMargins="0">
    <oddHeader>&amp;RPage 13 of 50</oddHeader>
    <oddFooter>&amp;R&amp;F</oddFooter>
  </headerFooter>
  <ignoredErrors>
    <ignoredError sqref="G17 E34 E49 G19" formula="1"/>
  </ignoredError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23">
    <pageSetUpPr fitToPage="1"/>
  </sheetPr>
  <dimension ref="A1:J46"/>
  <sheetViews>
    <sheetView zoomScale="75" workbookViewId="0">
      <selection activeCell="J39" sqref="J39"/>
    </sheetView>
  </sheetViews>
  <sheetFormatPr defaultColWidth="9.109375" defaultRowHeight="13.2" x14ac:dyDescent="0.25"/>
  <cols>
    <col min="1" max="1" width="15.6640625" style="6" customWidth="1"/>
    <col min="2" max="2" width="30.6640625" style="6" customWidth="1"/>
    <col min="3" max="5" width="12.6640625" style="4" customWidth="1"/>
    <col min="6" max="6" width="12.6640625" style="2" customWidth="1"/>
    <col min="7" max="7" width="12.6640625" style="4" customWidth="1"/>
    <col min="8" max="9" width="12.6640625" style="2" customWidth="1"/>
    <col min="10" max="10" width="12.6640625" customWidth="1"/>
  </cols>
  <sheetData>
    <row r="1" spans="1:10" ht="15.6" x14ac:dyDescent="0.3">
      <c r="A1" s="5" t="s">
        <v>387</v>
      </c>
      <c r="B1" s="5"/>
    </row>
    <row r="4" spans="1:10" x14ac:dyDescent="0.25">
      <c r="C4" s="8" t="s">
        <v>107</v>
      </c>
      <c r="D4" s="8" t="s">
        <v>108</v>
      </c>
      <c r="E4" s="8" t="s">
        <v>109</v>
      </c>
      <c r="F4" s="50" t="s">
        <v>112</v>
      </c>
      <c r="G4" s="8" t="s">
        <v>156</v>
      </c>
      <c r="H4" s="50" t="s">
        <v>157</v>
      </c>
      <c r="I4" s="50" t="s">
        <v>192</v>
      </c>
    </row>
    <row r="5" spans="1:10" x14ac:dyDescent="0.25">
      <c r="A5" s="70"/>
      <c r="F5" s="50" t="s">
        <v>155</v>
      </c>
      <c r="H5" s="50" t="s">
        <v>3</v>
      </c>
      <c r="I5" s="50" t="s">
        <v>3</v>
      </c>
    </row>
    <row r="6" spans="1:10" s="6" customFormat="1" x14ac:dyDescent="0.25">
      <c r="C6" s="8"/>
      <c r="D6" s="8" t="s">
        <v>202</v>
      </c>
      <c r="E6" s="8" t="s">
        <v>101</v>
      </c>
      <c r="F6" s="50" t="s">
        <v>103</v>
      </c>
      <c r="G6" s="8" t="s">
        <v>105</v>
      </c>
      <c r="H6" s="50" t="s">
        <v>207</v>
      </c>
      <c r="I6" s="50" t="s">
        <v>206</v>
      </c>
    </row>
    <row r="7" spans="1:10" s="6" customFormat="1" x14ac:dyDescent="0.25">
      <c r="A7" s="6" t="s">
        <v>84</v>
      </c>
      <c r="B7" s="6" t="s">
        <v>76</v>
      </c>
      <c r="C7" s="8" t="s">
        <v>199</v>
      </c>
      <c r="D7" s="8" t="s">
        <v>81</v>
      </c>
      <c r="E7" s="8" t="s">
        <v>102</v>
      </c>
      <c r="F7" s="50" t="s">
        <v>104</v>
      </c>
      <c r="G7" s="8" t="s">
        <v>81</v>
      </c>
      <c r="H7" s="50" t="s">
        <v>76</v>
      </c>
      <c r="I7" s="50" t="s">
        <v>84</v>
      </c>
    </row>
    <row r="8" spans="1:10" x14ac:dyDescent="0.25">
      <c r="A8" s="72"/>
      <c r="B8" s="72"/>
      <c r="C8" s="49"/>
      <c r="D8" s="49"/>
      <c r="E8" s="49"/>
      <c r="F8" s="48"/>
      <c r="G8" s="49"/>
      <c r="H8" s="48"/>
      <c r="I8" s="48"/>
      <c r="J8" s="79"/>
    </row>
    <row r="9" spans="1:10" x14ac:dyDescent="0.25">
      <c r="A9" s="6" t="s">
        <v>243</v>
      </c>
      <c r="B9" t="s">
        <v>211</v>
      </c>
      <c r="C9" s="4">
        <f>'Mailer Arrival Profile'!$C$11</f>
        <v>0</v>
      </c>
      <c r="D9" s="4">
        <f>'Conversion Factors'!$I$20</f>
        <v>534.04624612244606</v>
      </c>
      <c r="E9" s="4">
        <f>'Productivity Data'!$I$38</f>
        <v>46.475052307166727</v>
      </c>
      <c r="F9" s="2">
        <f>'Wage Data'!$C$11</f>
        <v>49.154294657004115</v>
      </c>
      <c r="G9" s="4">
        <f>'Cost Pool Data'!$K$43</f>
        <v>1.386023903258889</v>
      </c>
      <c r="H9" s="2">
        <f t="shared" ref="H9:H22" si="0">(F9*G9)/(D9*E9)</f>
        <v>2.7449436585658881E-3</v>
      </c>
      <c r="I9" s="2">
        <f t="shared" ref="I9:I22" si="1">C9*H9</f>
        <v>0</v>
      </c>
    </row>
    <row r="10" spans="1:10" x14ac:dyDescent="0.25">
      <c r="A10" s="6" t="s">
        <v>131</v>
      </c>
      <c r="B10" t="s">
        <v>212</v>
      </c>
      <c r="C10" s="4">
        <f>'Mailer Arrival Profile'!$D$11</f>
        <v>4.5113611294948161E-2</v>
      </c>
      <c r="D10" s="4">
        <f>'Conversion Factors'!$I$21</f>
        <v>854.1844670835743</v>
      </c>
      <c r="E10" s="4">
        <f>'Productivity Data'!$I$38</f>
        <v>46.475052307166727</v>
      </c>
      <c r="F10" s="2">
        <f>'Wage Data'!$C$11</f>
        <v>49.154294657004115</v>
      </c>
      <c r="G10" s="4">
        <f>'Cost Pool Data'!$K$43</f>
        <v>1.386023903258889</v>
      </c>
      <c r="H10" s="2">
        <f t="shared" si="0"/>
        <v>1.7161712875437924E-3</v>
      </c>
      <c r="I10" s="2">
        <f t="shared" si="1"/>
        <v>7.7422684381801357E-5</v>
      </c>
    </row>
    <row r="11" spans="1:10" x14ac:dyDescent="0.25">
      <c r="B11" t="s">
        <v>213</v>
      </c>
      <c r="C11" s="4">
        <f>'Mailer Arrival Profile'!$E$11</f>
        <v>0.95488638870505183</v>
      </c>
      <c r="D11" s="4">
        <f>'Conversion Factors'!$I$22</f>
        <v>550.13578700812661</v>
      </c>
      <c r="E11" s="4">
        <f>'Productivity Data'!$I$38</f>
        <v>46.475052307166727</v>
      </c>
      <c r="F11" s="2">
        <f>'Wage Data'!$C$11</f>
        <v>49.154294657004115</v>
      </c>
      <c r="G11" s="4">
        <f>'Cost Pool Data'!$K$43</f>
        <v>1.386023903258889</v>
      </c>
      <c r="H11" s="2">
        <f t="shared" si="0"/>
        <v>2.6646636908445138E-3</v>
      </c>
      <c r="I11" s="2">
        <f t="shared" si="1"/>
        <v>2.5444510888639926E-3</v>
      </c>
    </row>
    <row r="12" spans="1:10" x14ac:dyDescent="0.25">
      <c r="B12" t="s">
        <v>214</v>
      </c>
      <c r="C12" s="4">
        <f>'Mailer Arrival Profile'!$F$11</f>
        <v>0</v>
      </c>
      <c r="D12" s="4">
        <f>'Conversion Factors'!$I$23</f>
        <v>465.37757846738288</v>
      </c>
      <c r="E12" s="4">
        <f>'Productivity Data'!$I$37</f>
        <v>55.996737364805647</v>
      </c>
      <c r="F12" s="2">
        <f>'Wage Data'!$C$11</f>
        <v>49.154294657004115</v>
      </c>
      <c r="G12" s="4">
        <f>'Cost Pool Data'!$K$43</f>
        <v>1.386023903258889</v>
      </c>
      <c r="H12" s="2">
        <f t="shared" si="0"/>
        <v>2.6143516889286828E-3</v>
      </c>
      <c r="I12" s="2">
        <f t="shared" si="1"/>
        <v>0</v>
      </c>
    </row>
    <row r="13" spans="1:10" x14ac:dyDescent="0.25">
      <c r="B13" t="s">
        <v>233</v>
      </c>
      <c r="C13" s="4">
        <f>C11</f>
        <v>0.95488638870505183</v>
      </c>
      <c r="D13" s="4">
        <f>'Conversion Factors'!$I$22</f>
        <v>550.13578700812661</v>
      </c>
      <c r="E13" s="4">
        <f>'Productivity Data'!$I$41</f>
        <v>16.483976831402664</v>
      </c>
      <c r="F13" s="2">
        <f>'Wage Data'!$C$11</f>
        <v>49.154294657004115</v>
      </c>
      <c r="G13" s="4">
        <f>'Cost Pool Data'!$K$42</f>
        <v>1.51761435929636</v>
      </c>
      <c r="H13" s="2">
        <f t="shared" si="0"/>
        <v>8.2260435221121458E-3</v>
      </c>
      <c r="I13" s="2">
        <f t="shared" si="1"/>
        <v>7.8549369921602514E-3</v>
      </c>
    </row>
    <row r="14" spans="1:10" x14ac:dyDescent="0.25">
      <c r="B14" t="s">
        <v>234</v>
      </c>
      <c r="C14" s="4">
        <f>C12</f>
        <v>0</v>
      </c>
      <c r="D14" s="4">
        <f>'Conversion Factors'!$I$23</f>
        <v>465.37757846738288</v>
      </c>
      <c r="E14" s="4">
        <f>'Productivity Data'!$I$40</f>
        <v>23.065925296264197</v>
      </c>
      <c r="F14" s="2">
        <f>'Wage Data'!$C$11</f>
        <v>49.154294657004115</v>
      </c>
      <c r="G14" s="4">
        <f>'Cost Pool Data'!$K$42</f>
        <v>1.51761435929636</v>
      </c>
      <c r="H14" s="2">
        <f t="shared" si="0"/>
        <v>6.9493879841800018E-3</v>
      </c>
      <c r="I14" s="2">
        <f t="shared" si="1"/>
        <v>0</v>
      </c>
    </row>
    <row r="15" spans="1:10" x14ac:dyDescent="0.25">
      <c r="B15" t="s">
        <v>143</v>
      </c>
      <c r="C15" s="4">
        <f>(C13+C14)*(1+'Other Inputs'!$B$9)</f>
        <v>0.9953607135228314</v>
      </c>
      <c r="D15" s="4">
        <f>'Mailer Arrival Profile'!$I$11</f>
        <v>33.104838709677416</v>
      </c>
      <c r="E15" s="4">
        <f>'Productivity Data'!$I$19</f>
        <v>3068.1109131264348</v>
      </c>
      <c r="F15" s="2">
        <f>'Wage Data'!$C$11</f>
        <v>49.154294657004115</v>
      </c>
      <c r="G15" s="4">
        <f>'Cost Pool Data'!$K$46</f>
        <v>1.6196174573049362</v>
      </c>
      <c r="H15" s="2">
        <f t="shared" si="0"/>
        <v>7.83811057711236E-4</v>
      </c>
      <c r="I15" s="2">
        <f t="shared" si="1"/>
        <v>7.80174733670541E-4</v>
      </c>
    </row>
    <row r="16" spans="1:10" x14ac:dyDescent="0.25">
      <c r="B16" t="s">
        <v>246</v>
      </c>
      <c r="C16" s="4">
        <f>C9</f>
        <v>0</v>
      </c>
      <c r="D16" s="4">
        <f>'Conversion Factors'!$I$20</f>
        <v>534.04624612244606</v>
      </c>
      <c r="E16" s="4">
        <f>'Productivity Data'!$I$45</f>
        <v>55.582256364514194</v>
      </c>
      <c r="F16" s="2">
        <f>'Wage Data'!$C$11</f>
        <v>49.154294657004115</v>
      </c>
      <c r="G16" s="4">
        <f>'Cost Pool Data'!$K$43</f>
        <v>1.386023903258889</v>
      </c>
      <c r="H16" s="2">
        <f>(F16*G16)/(D16*E16)</f>
        <v>2.2951821040774023E-3</v>
      </c>
      <c r="I16" s="2">
        <f>C16*H16</f>
        <v>0</v>
      </c>
    </row>
    <row r="17" spans="1:10" x14ac:dyDescent="0.25">
      <c r="B17" t="s">
        <v>224</v>
      </c>
      <c r="C17" s="4">
        <f>C10</f>
        <v>4.5113611294948161E-2</v>
      </c>
      <c r="D17" s="4">
        <f>'Conversion Factors'!$I$21</f>
        <v>854.1844670835743</v>
      </c>
      <c r="E17" s="4">
        <f>'Productivity Data'!$I$45</f>
        <v>55.582256364514194</v>
      </c>
      <c r="F17" s="2">
        <f>'Wage Data'!$C$11</f>
        <v>49.154294657004115</v>
      </c>
      <c r="G17" s="4">
        <f>'Cost Pool Data'!$K$43</f>
        <v>1.386023903258889</v>
      </c>
      <c r="H17" s="2">
        <f>(F17*G17)/(D17*E17)</f>
        <v>1.4349750365222069E-3</v>
      </c>
      <c r="I17" s="2">
        <f>C17*H17</f>
        <v>6.4736906015616885E-5</v>
      </c>
    </row>
    <row r="18" spans="1:10" x14ac:dyDescent="0.25">
      <c r="B18" t="s">
        <v>235</v>
      </c>
      <c r="C18" s="4">
        <f>(C13+C14)*'Postal Arrival-Dispatch Profile'!$B$21</f>
        <v>0.11360256419581095</v>
      </c>
      <c r="D18" s="4">
        <f>'Conversion Factors'!$I$43</f>
        <v>523.14012762456412</v>
      </c>
      <c r="E18" s="4">
        <f>'Productivity Data'!$I$45</f>
        <v>55.582256364514194</v>
      </c>
      <c r="F18" s="2">
        <f>'Wage Data'!$C$11</f>
        <v>49.154294657004115</v>
      </c>
      <c r="G18" s="4">
        <f>'Cost Pool Data'!$K$43</f>
        <v>1.386023903258889</v>
      </c>
      <c r="H18" s="2">
        <f t="shared" si="0"/>
        <v>2.3430307141906188E-3</v>
      </c>
      <c r="I18" s="2">
        <f t="shared" si="1"/>
        <v>2.6617429712159658E-4</v>
      </c>
    </row>
    <row r="19" spans="1:10" x14ac:dyDescent="0.25">
      <c r="B19" t="s">
        <v>238</v>
      </c>
      <c r="C19" s="4">
        <f>(C13+C14)*'Postal Arrival-Dispatch Profile'!$B$22</f>
        <v>7.6725043356647968E-2</v>
      </c>
      <c r="D19" s="4">
        <f>'Conversion Factors'!$I$44</f>
        <v>354.97967513095392</v>
      </c>
      <c r="E19" s="4">
        <f>'Productivity Data'!$I$44</f>
        <v>70.608822220868689</v>
      </c>
      <c r="F19" s="2">
        <f>'Wage Data'!$C$11</f>
        <v>49.154294657004115</v>
      </c>
      <c r="G19" s="4">
        <f>'Cost Pool Data'!$K$43</f>
        <v>1.386023903258889</v>
      </c>
      <c r="H19" s="2">
        <f t="shared" si="0"/>
        <v>2.718126932015983E-3</v>
      </c>
      <c r="I19" s="2">
        <f t="shared" si="1"/>
        <v>2.0854840670779881E-4</v>
      </c>
    </row>
    <row r="20" spans="1:10" x14ac:dyDescent="0.25">
      <c r="B20" t="s">
        <v>236</v>
      </c>
      <c r="C20" s="4">
        <f>(C13+C14)*'Postal Arrival-Dispatch Profile'!$B$23</f>
        <v>0.57450439607595827</v>
      </c>
      <c r="D20" s="4">
        <f>'Conversion Factors'!$I$45</f>
        <v>667.89093183646696</v>
      </c>
      <c r="E20" s="4">
        <f>'Productivity Data'!$I$44</f>
        <v>70.608822220868689</v>
      </c>
      <c r="F20" s="2">
        <f>'Wage Data'!$C$11</f>
        <v>49.154294657004115</v>
      </c>
      <c r="G20" s="4">
        <f>'Cost Pool Data'!$K$43</f>
        <v>1.386023903258889</v>
      </c>
      <c r="H20" s="2">
        <f t="shared" si="0"/>
        <v>1.444666740179639E-3</v>
      </c>
      <c r="I20" s="2">
        <f t="shared" si="1"/>
        <v>8.2996739309792685E-4</v>
      </c>
    </row>
    <row r="21" spans="1:10" x14ac:dyDescent="0.25">
      <c r="A21" s="83"/>
      <c r="B21" s="79" t="s">
        <v>237</v>
      </c>
      <c r="C21" s="49">
        <f>(C13+C14)*'Postal Arrival-Dispatch Profile'!$B$24</f>
        <v>0.19005438507663461</v>
      </c>
      <c r="D21" s="49">
        <f>'Conversion Factors'!$I$46</f>
        <v>343.25976155350384</v>
      </c>
      <c r="E21" s="49">
        <f>'Productivity Data'!$I$44</f>
        <v>70.608822220868689</v>
      </c>
      <c r="F21" s="48">
        <f>'Wage Data'!$C$11</f>
        <v>49.154294657004115</v>
      </c>
      <c r="G21" s="49">
        <f>'Cost Pool Data'!$K$43</f>
        <v>1.386023903258889</v>
      </c>
      <c r="H21" s="48">
        <f t="shared" si="0"/>
        <v>2.8109319045289106E-3</v>
      </c>
      <c r="I21" s="75">
        <f t="shared" si="1"/>
        <v>5.3422993460753546E-4</v>
      </c>
      <c r="J21" s="76">
        <f>SUM(I9:I21)</f>
        <v>1.3160642436627063E-2</v>
      </c>
    </row>
    <row r="22" spans="1:10" x14ac:dyDescent="0.25">
      <c r="A22" s="6" t="s">
        <v>243</v>
      </c>
      <c r="B22" t="s">
        <v>211</v>
      </c>
      <c r="C22" s="4">
        <f t="shared" ref="C22:C29" si="2">C16</f>
        <v>0</v>
      </c>
      <c r="D22" s="4">
        <f>'Conversion Factors'!$I$20</f>
        <v>534.04624612244606</v>
      </c>
      <c r="E22" s="4">
        <f>'Productivity Data'!$I$28</f>
        <v>58.156985400220201</v>
      </c>
      <c r="F22" s="2">
        <f>'Wage Data'!$C$11</f>
        <v>49.154294657004115</v>
      </c>
      <c r="G22" s="4">
        <f>'Cost Pool Data'!$K$27</f>
        <v>1.3606061934437479</v>
      </c>
      <c r="H22" s="2">
        <f t="shared" si="0"/>
        <v>2.1533427319512669E-3</v>
      </c>
      <c r="I22" s="2">
        <f t="shared" si="1"/>
        <v>0</v>
      </c>
    </row>
    <row r="23" spans="1:10" x14ac:dyDescent="0.25">
      <c r="A23" s="6" t="s">
        <v>241</v>
      </c>
      <c r="B23" t="s">
        <v>212</v>
      </c>
      <c r="C23" s="4">
        <f t="shared" si="2"/>
        <v>4.5113611294948161E-2</v>
      </c>
      <c r="D23" s="4">
        <f>'Conversion Factors'!$I$21</f>
        <v>854.1844670835743</v>
      </c>
      <c r="E23" s="4">
        <f>'Productivity Data'!$I$28</f>
        <v>58.156985400220201</v>
      </c>
      <c r="F23" s="2">
        <f>'Wage Data'!$C$11</f>
        <v>49.154294657004115</v>
      </c>
      <c r="G23" s="4">
        <f>'Cost Pool Data'!$K$27</f>
        <v>1.3606061934437479</v>
      </c>
      <c r="H23" s="2">
        <f t="shared" ref="H23:H37" si="3">(F23*G23)/(D23*E23)</f>
        <v>1.3462953810668055E-3</v>
      </c>
      <c r="I23" s="2">
        <f t="shared" ref="I23:I37" si="4">C23*H23</f>
        <v>6.0736246509631971E-5</v>
      </c>
    </row>
    <row r="24" spans="1:10" x14ac:dyDescent="0.25">
      <c r="B24" t="s">
        <v>215</v>
      </c>
      <c r="C24" s="4">
        <f t="shared" si="2"/>
        <v>0.11360256419581095</v>
      </c>
      <c r="D24" s="4">
        <f>'Conversion Factors'!$I$43</f>
        <v>523.14012762456412</v>
      </c>
      <c r="E24" s="4">
        <f>'Productivity Data'!$I$28</f>
        <v>58.156985400220201</v>
      </c>
      <c r="F24" s="2">
        <f>'Wage Data'!$C$11</f>
        <v>49.154294657004115</v>
      </c>
      <c r="G24" s="4">
        <f>'Cost Pool Data'!$K$27</f>
        <v>1.3606061934437479</v>
      </c>
      <c r="H24" s="2">
        <f t="shared" si="3"/>
        <v>2.1982343580397691E-3</v>
      </c>
      <c r="I24" s="2">
        <f t="shared" si="4"/>
        <v>2.4972505977665017E-4</v>
      </c>
    </row>
    <row r="25" spans="1:10" x14ac:dyDescent="0.25">
      <c r="B25" t="s">
        <v>216</v>
      </c>
      <c r="C25" s="4">
        <f t="shared" si="2"/>
        <v>7.6725043356647968E-2</v>
      </c>
      <c r="D25" s="4">
        <f>'Conversion Factors'!$I$44</f>
        <v>354.97967513095392</v>
      </c>
      <c r="E25" s="4">
        <f>'Productivity Data'!$I$27</f>
        <v>81.873572020007202</v>
      </c>
      <c r="F25" s="2">
        <f>'Wage Data'!$C$11</f>
        <v>49.154294657004115</v>
      </c>
      <c r="G25" s="4">
        <f>'Cost Pool Data'!$K$27</f>
        <v>1.3606061934437479</v>
      </c>
      <c r="H25" s="2">
        <f t="shared" si="3"/>
        <v>2.3011593099187019E-3</v>
      </c>
      <c r="I25" s="2">
        <f t="shared" si="4"/>
        <v>1.7655654782406651E-4</v>
      </c>
    </row>
    <row r="26" spans="1:10" x14ac:dyDescent="0.25">
      <c r="B26" t="s">
        <v>217</v>
      </c>
      <c r="C26" s="4">
        <f t="shared" si="2"/>
        <v>0.57450439607595827</v>
      </c>
      <c r="D26" s="4">
        <f>'Conversion Factors'!$I$45</f>
        <v>667.89093183646696</v>
      </c>
      <c r="E26" s="4">
        <f>'Productivity Data'!$I$27</f>
        <v>81.873572020007202</v>
      </c>
      <c r="F26" s="2">
        <f>'Wage Data'!$C$11</f>
        <v>49.154294657004115</v>
      </c>
      <c r="G26" s="4">
        <f>'Cost Pool Data'!$K$27</f>
        <v>1.3606061934437479</v>
      </c>
      <c r="H26" s="2">
        <f t="shared" si="3"/>
        <v>1.2230511679705216E-3</v>
      </c>
      <c r="I26" s="2">
        <f t="shared" si="4"/>
        <v>7.0264827262489992E-4</v>
      </c>
    </row>
    <row r="27" spans="1:10" x14ac:dyDescent="0.25">
      <c r="B27" t="s">
        <v>218</v>
      </c>
      <c r="C27" s="4">
        <f t="shared" si="2"/>
        <v>0.19005438507663461</v>
      </c>
      <c r="D27" s="4">
        <f>'Conversion Factors'!$I$46</f>
        <v>343.25976155350384</v>
      </c>
      <c r="E27" s="4">
        <f>'Productivity Data'!$I$27</f>
        <v>81.873572020007202</v>
      </c>
      <c r="F27" s="2">
        <f>'Wage Data'!$C$11</f>
        <v>49.154294657004115</v>
      </c>
      <c r="G27" s="4">
        <f>'Cost Pool Data'!$K$27</f>
        <v>1.3606061934437479</v>
      </c>
      <c r="H27" s="2">
        <f t="shared" si="3"/>
        <v>2.3797277623295978E-3</v>
      </c>
      <c r="I27" s="2">
        <f t="shared" si="4"/>
        <v>4.5227769651934736E-4</v>
      </c>
    </row>
    <row r="28" spans="1:10" x14ac:dyDescent="0.25">
      <c r="B28" t="s">
        <v>227</v>
      </c>
      <c r="C28" s="4">
        <f t="shared" si="2"/>
        <v>0</v>
      </c>
      <c r="D28" s="4">
        <f>'Conversion Factors'!$I$20</f>
        <v>534.04624612244606</v>
      </c>
      <c r="E28" s="4">
        <f>'Productivity Data'!$I$30</f>
        <v>39.899251235537818</v>
      </c>
      <c r="F28" s="2">
        <f>'Wage Data'!$C$11</f>
        <v>49.154294657004115</v>
      </c>
      <c r="G28" s="4">
        <f>'Cost Pool Data'!$K$27</f>
        <v>1.3606061934437479</v>
      </c>
      <c r="H28" s="2">
        <f t="shared" si="3"/>
        <v>3.1387035582316251E-3</v>
      </c>
      <c r="I28" s="2">
        <f t="shared" si="4"/>
        <v>0</v>
      </c>
    </row>
    <row r="29" spans="1:10" x14ac:dyDescent="0.25">
      <c r="B29" t="s">
        <v>228</v>
      </c>
      <c r="C29" s="4">
        <f t="shared" si="2"/>
        <v>4.5113611294948161E-2</v>
      </c>
      <c r="D29" s="4">
        <f>'Conversion Factors'!$I$21</f>
        <v>854.1844670835743</v>
      </c>
      <c r="E29" s="4">
        <f>'Productivity Data'!$I$30</f>
        <v>39.899251235537818</v>
      </c>
      <c r="F29" s="2">
        <f>'Wage Data'!$C$11</f>
        <v>49.154294657004115</v>
      </c>
      <c r="G29" s="4">
        <f>'Cost Pool Data'!$K$27</f>
        <v>1.3606061934437479</v>
      </c>
      <c r="H29" s="2">
        <f>(F29*G29)/(D29*E29)</f>
        <v>1.9623546406642408E-3</v>
      </c>
      <c r="I29" s="2">
        <f>C29*H29</f>
        <v>8.8528904481764229E-5</v>
      </c>
    </row>
    <row r="30" spans="1:10" x14ac:dyDescent="0.25">
      <c r="B30" t="s">
        <v>200</v>
      </c>
      <c r="C30" s="4">
        <f>SUM(C24:C27)</f>
        <v>0.95488638870505183</v>
      </c>
      <c r="D30" s="4">
        <f>'Mailer Arrival Profile'!$I$11</f>
        <v>33.104838709677416</v>
      </c>
      <c r="E30" s="4">
        <f>'Productivity Data'!$I$14</f>
        <v>49.323981905738421</v>
      </c>
      <c r="F30" s="2">
        <f>'Wage Data'!$C$11</f>
        <v>49.154294657004115</v>
      </c>
      <c r="G30" s="4">
        <f>'Cost Pool Data'!$K$30</f>
        <v>1.2805162995566952</v>
      </c>
      <c r="H30" s="2">
        <f t="shared" si="3"/>
        <v>3.8547567128934049E-2</v>
      </c>
      <c r="I30" s="2">
        <f t="shared" si="4"/>
        <v>3.6808547169113394E-2</v>
      </c>
    </row>
    <row r="31" spans="1:10" x14ac:dyDescent="0.25">
      <c r="B31" t="s">
        <v>246</v>
      </c>
      <c r="C31" s="4">
        <f t="shared" ref="C31:C36" si="5">C28</f>
        <v>0</v>
      </c>
      <c r="D31" s="4">
        <f>'Conversion Factors'!$I$20</f>
        <v>534.04624612244606</v>
      </c>
      <c r="E31" s="4">
        <f>'Productivity Data'!$I$32</f>
        <v>61.728448910094343</v>
      </c>
      <c r="F31" s="2">
        <f>'Wage Data'!$C$11</f>
        <v>49.154294657004115</v>
      </c>
      <c r="G31" s="4">
        <f>'Cost Pool Data'!$K$27</f>
        <v>1.3606061934437479</v>
      </c>
      <c r="H31" s="2">
        <f>(F31*G31)/(D31*E31)</f>
        <v>2.0287553637733016E-3</v>
      </c>
      <c r="I31" s="2">
        <f>C31*H31</f>
        <v>0</v>
      </c>
    </row>
    <row r="32" spans="1:10" x14ac:dyDescent="0.25">
      <c r="B32" t="s">
        <v>224</v>
      </c>
      <c r="C32" s="4">
        <f t="shared" si="5"/>
        <v>4.5113611294948161E-2</v>
      </c>
      <c r="D32" s="4">
        <f>'Conversion Factors'!$I$21</f>
        <v>854.1844670835743</v>
      </c>
      <c r="E32" s="4">
        <f>'Productivity Data'!$I$32</f>
        <v>61.728448910094343</v>
      </c>
      <c r="F32" s="2">
        <f>'Wage Data'!$C$11</f>
        <v>49.154294657004115</v>
      </c>
      <c r="G32" s="4">
        <f>'Cost Pool Data'!$K$27</f>
        <v>1.3606061934437479</v>
      </c>
      <c r="H32" s="2">
        <f>(F32*G32)/(D32*E32)</f>
        <v>1.2684018828194208E-3</v>
      </c>
      <c r="I32" s="2">
        <f>C32*H32</f>
        <v>5.7222189507295736E-5</v>
      </c>
    </row>
    <row r="33" spans="1:10" x14ac:dyDescent="0.25">
      <c r="A33" s="72"/>
      <c r="B33" s="79" t="s">
        <v>248</v>
      </c>
      <c r="C33" s="49">
        <f t="shared" si="5"/>
        <v>0.95488638870505183</v>
      </c>
      <c r="D33" s="49">
        <f>'Conversion Factors'!$I$48</f>
        <v>204.26720030964461</v>
      </c>
      <c r="E33" s="49">
        <f>'Productivity Data'!$I$31</f>
        <v>91.071587890934111</v>
      </c>
      <c r="F33" s="48">
        <f>'Wage Data'!$C$11</f>
        <v>49.154294657004115</v>
      </c>
      <c r="G33" s="49">
        <f>'Cost Pool Data'!$K$27</f>
        <v>1.3606061934437479</v>
      </c>
      <c r="H33" s="48">
        <f t="shared" si="3"/>
        <v>3.5951115203218188E-3</v>
      </c>
      <c r="I33" s="75">
        <f t="shared" si="4"/>
        <v>3.4329230566320303E-3</v>
      </c>
      <c r="J33" s="76">
        <f>SUM(I22:I33)</f>
        <v>4.2029165142989079E-2</v>
      </c>
    </row>
    <row r="34" spans="1:10" x14ac:dyDescent="0.25">
      <c r="A34" s="6" t="s">
        <v>243</v>
      </c>
      <c r="B34" t="s">
        <v>211</v>
      </c>
      <c r="C34" s="4">
        <f t="shared" si="5"/>
        <v>0</v>
      </c>
      <c r="D34" s="4">
        <f>'Conversion Factors'!$I$20</f>
        <v>534.04624612244606</v>
      </c>
      <c r="E34" s="4">
        <f>'Productivity Data'!$I$26</f>
        <v>48.58034429266948</v>
      </c>
      <c r="F34" s="2">
        <f>'Wage Data'!$C$11</f>
        <v>49.154294657004115</v>
      </c>
      <c r="G34" s="4">
        <f>'Cost Pool Data'!$K$48</f>
        <v>1.6214860636540271</v>
      </c>
      <c r="H34" s="2">
        <f t="shared" si="3"/>
        <v>3.0720991901515026E-3</v>
      </c>
      <c r="I34" s="2">
        <f t="shared" si="4"/>
        <v>0</v>
      </c>
    </row>
    <row r="35" spans="1:10" x14ac:dyDescent="0.25">
      <c r="A35" s="6" t="s">
        <v>85</v>
      </c>
      <c r="B35" t="s">
        <v>212</v>
      </c>
      <c r="C35" s="4">
        <f t="shared" si="5"/>
        <v>4.5113611294948161E-2</v>
      </c>
      <c r="D35" s="4">
        <f>'Conversion Factors'!$I$21</f>
        <v>854.1844670835743</v>
      </c>
      <c r="E35" s="4">
        <f>'Productivity Data'!$I$26</f>
        <v>48.58034429266948</v>
      </c>
      <c r="F35" s="2">
        <f>'Wage Data'!$C$11</f>
        <v>49.154294657004115</v>
      </c>
      <c r="G35" s="4">
        <f>'Cost Pool Data'!$K$48</f>
        <v>1.6214860636540271</v>
      </c>
      <c r="H35" s="2">
        <f t="shared" si="3"/>
        <v>1.9207128008518262E-3</v>
      </c>
      <c r="I35" s="2">
        <f t="shared" si="4"/>
        <v>8.6650290706860472E-5</v>
      </c>
    </row>
    <row r="36" spans="1:10" x14ac:dyDescent="0.25">
      <c r="B36" t="s">
        <v>249</v>
      </c>
      <c r="C36" s="4">
        <f t="shared" si="5"/>
        <v>0.95488638870505183</v>
      </c>
      <c r="D36" s="4">
        <f>'Conversion Factors'!$I$48</f>
        <v>204.26720030964461</v>
      </c>
      <c r="E36" s="4">
        <f>'Productivity Data'!$I$25</f>
        <v>60.332591436644847</v>
      </c>
      <c r="F36" s="2">
        <f>'Wage Data'!$C$11</f>
        <v>49.154294657004115</v>
      </c>
      <c r="G36" s="4">
        <f>'Cost Pool Data'!$K$48</f>
        <v>1.6214860636540271</v>
      </c>
      <c r="H36" s="2">
        <f t="shared" si="3"/>
        <v>6.4673158672747689E-3</v>
      </c>
      <c r="I36" s="2">
        <f t="shared" si="4"/>
        <v>6.1755518931168847E-3</v>
      </c>
    </row>
    <row r="37" spans="1:10" x14ac:dyDescent="0.25">
      <c r="A37" s="72"/>
      <c r="B37" s="79" t="s">
        <v>135</v>
      </c>
      <c r="C37" s="49">
        <f>SUM(C34:C36)</f>
        <v>1</v>
      </c>
      <c r="D37" s="49">
        <v>1</v>
      </c>
      <c r="E37" s="49">
        <f>'Productivity Data'!$I$22</f>
        <v>307.66822713635111</v>
      </c>
      <c r="F37" s="48">
        <f>'Wage Data'!$C$11</f>
        <v>49.154294657004115</v>
      </c>
      <c r="G37" s="49">
        <f>'Cost Pool Data'!$K$57</f>
        <v>1.4957786551922303</v>
      </c>
      <c r="H37" s="48">
        <f t="shared" si="3"/>
        <v>0.23897152280983572</v>
      </c>
      <c r="I37" s="75">
        <f t="shared" si="4"/>
        <v>0.23897152280983572</v>
      </c>
      <c r="J37" s="76">
        <f>SUM(I34:I37)</f>
        <v>0.24523372499365947</v>
      </c>
    </row>
    <row r="39" spans="1:10" x14ac:dyDescent="0.25">
      <c r="A39" s="29" t="s">
        <v>259</v>
      </c>
      <c r="I39" s="80" t="s">
        <v>203</v>
      </c>
      <c r="J39" s="81">
        <f>J21+J33+J37</f>
        <v>0.30042353257327559</v>
      </c>
    </row>
    <row r="40" spans="1:10" x14ac:dyDescent="0.25">
      <c r="A40" s="6" t="s">
        <v>296</v>
      </c>
      <c r="F40"/>
      <c r="G40"/>
      <c r="H40"/>
      <c r="I40"/>
    </row>
    <row r="41" spans="1:10" x14ac:dyDescent="0.25">
      <c r="A41" s="6" t="s">
        <v>297</v>
      </c>
    </row>
    <row r="42" spans="1:10" x14ac:dyDescent="0.25">
      <c r="A42" s="6" t="s">
        <v>298</v>
      </c>
    </row>
    <row r="43" spans="1:10" x14ac:dyDescent="0.25">
      <c r="A43" s="6" t="s">
        <v>299</v>
      </c>
    </row>
    <row r="44" spans="1:10" x14ac:dyDescent="0.25">
      <c r="A44" s="6" t="s">
        <v>277</v>
      </c>
    </row>
    <row r="45" spans="1:10" x14ac:dyDescent="0.25">
      <c r="A45" s="6" t="s">
        <v>300</v>
      </c>
    </row>
    <row r="46" spans="1:10" x14ac:dyDescent="0.25">
      <c r="A46" s="6" t="s">
        <v>301</v>
      </c>
    </row>
  </sheetData>
  <phoneticPr fontId="3" type="noConversion"/>
  <printOptions horizontalCentered="1"/>
  <pageMargins left="0.75" right="0.75" top="1" bottom="1" header="0.5" footer="0.5"/>
  <pageSetup scale="61" orientation="portrait" r:id="rId1"/>
  <headerFooter alignWithMargins="0">
    <oddHeader>&amp;RPage 14 of 50</oddHeader>
    <oddFooter>&amp;R&amp;F</oddFooter>
  </headerFooter>
  <ignoredErrors>
    <ignoredError sqref="D12:D13 G15 G30" formula="1"/>
  </ignoredError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24">
    <pageSetUpPr fitToPage="1"/>
  </sheetPr>
  <dimension ref="A1:J31"/>
  <sheetViews>
    <sheetView zoomScale="75" workbookViewId="0">
      <selection activeCell="T31" sqref="T31"/>
    </sheetView>
  </sheetViews>
  <sheetFormatPr defaultColWidth="9.109375" defaultRowHeight="13.2" x14ac:dyDescent="0.25"/>
  <cols>
    <col min="1" max="1" width="15.6640625" style="6" customWidth="1"/>
    <col min="2" max="2" width="30.6640625" style="6" customWidth="1"/>
    <col min="3" max="5" width="12.6640625" style="4" customWidth="1"/>
    <col min="6" max="6" width="12.6640625" style="2" customWidth="1"/>
    <col min="7" max="7" width="12.6640625" style="4" customWidth="1"/>
    <col min="8" max="9" width="12.6640625" style="2" customWidth="1"/>
    <col min="10" max="10" width="12.6640625" customWidth="1"/>
  </cols>
  <sheetData>
    <row r="1" spans="1:10" ht="15.6" x14ac:dyDescent="0.3">
      <c r="A1" s="5" t="s">
        <v>388</v>
      </c>
      <c r="B1" s="5"/>
    </row>
    <row r="4" spans="1:10" x14ac:dyDescent="0.25">
      <c r="C4" s="8" t="s">
        <v>107</v>
      </c>
      <c r="D4" s="8" t="s">
        <v>108</v>
      </c>
      <c r="E4" s="8" t="s">
        <v>109</v>
      </c>
      <c r="F4" s="50" t="s">
        <v>112</v>
      </c>
      <c r="G4" s="8" t="s">
        <v>156</v>
      </c>
      <c r="H4" s="50" t="s">
        <v>157</v>
      </c>
      <c r="I4" s="50" t="s">
        <v>192</v>
      </c>
    </row>
    <row r="5" spans="1:10" x14ac:dyDescent="0.25">
      <c r="A5" s="70"/>
      <c r="F5" s="50" t="s">
        <v>155</v>
      </c>
      <c r="H5" s="50" t="s">
        <v>3</v>
      </c>
      <c r="I5" s="50" t="s">
        <v>3</v>
      </c>
    </row>
    <row r="6" spans="1:10" s="6" customFormat="1" x14ac:dyDescent="0.25">
      <c r="C6" s="8"/>
      <c r="D6" s="8" t="s">
        <v>202</v>
      </c>
      <c r="E6" s="8" t="s">
        <v>101</v>
      </c>
      <c r="F6" s="50" t="s">
        <v>103</v>
      </c>
      <c r="G6" s="8" t="s">
        <v>105</v>
      </c>
      <c r="H6" s="50" t="s">
        <v>207</v>
      </c>
      <c r="I6" s="50" t="s">
        <v>206</v>
      </c>
    </row>
    <row r="7" spans="1:10" s="6" customFormat="1" x14ac:dyDescent="0.25">
      <c r="A7" s="6" t="s">
        <v>84</v>
      </c>
      <c r="B7" s="6" t="s">
        <v>76</v>
      </c>
      <c r="C7" s="8" t="s">
        <v>199</v>
      </c>
      <c r="D7" s="8" t="s">
        <v>81</v>
      </c>
      <c r="E7" s="8" t="s">
        <v>102</v>
      </c>
      <c r="F7" s="50" t="s">
        <v>104</v>
      </c>
      <c r="G7" s="8" t="s">
        <v>81</v>
      </c>
      <c r="H7" s="50" t="s">
        <v>76</v>
      </c>
      <c r="I7" s="50" t="s">
        <v>84</v>
      </c>
    </row>
    <row r="8" spans="1:10" x14ac:dyDescent="0.25">
      <c r="A8" s="72"/>
      <c r="B8" s="72"/>
      <c r="C8" s="49"/>
      <c r="D8" s="49"/>
      <c r="E8" s="49"/>
      <c r="F8" s="48"/>
      <c r="G8" s="49"/>
      <c r="H8" s="48"/>
      <c r="I8" s="48"/>
      <c r="J8" s="79"/>
    </row>
    <row r="9" spans="1:10" x14ac:dyDescent="0.25">
      <c r="A9" s="6" t="s">
        <v>243</v>
      </c>
      <c r="B9" t="s">
        <v>211</v>
      </c>
      <c r="C9" s="4">
        <f>'Mailer Arrival Profile'!$C$12</f>
        <v>9.4705276820480688E-2</v>
      </c>
      <c r="D9" s="4">
        <f>'Conversion Factors'!$I$20</f>
        <v>534.04624612244606</v>
      </c>
      <c r="E9" s="4">
        <f>'Productivity Data'!$I$28</f>
        <v>58.156985400220201</v>
      </c>
      <c r="F9" s="2">
        <f>'Wage Data'!$C$11</f>
        <v>49.154294657004115</v>
      </c>
      <c r="G9" s="4">
        <f>'Cost Pool Data'!$K$27</f>
        <v>1.3606061934437479</v>
      </c>
      <c r="H9" s="2">
        <f>(F9*G9)/(D9*E9)</f>
        <v>2.1533427319512669E-3</v>
      </c>
      <c r="I9" s="2">
        <f>C9*H9</f>
        <v>2.0393291951881489E-4</v>
      </c>
    </row>
    <row r="10" spans="1:10" x14ac:dyDescent="0.25">
      <c r="A10" s="6" t="s">
        <v>241</v>
      </c>
      <c r="B10" t="s">
        <v>212</v>
      </c>
      <c r="C10" s="4">
        <f>'Mailer Arrival Profile'!$D$12</f>
        <v>3.8938369959271357E-2</v>
      </c>
      <c r="D10" s="4">
        <f>'Conversion Factors'!$I$21</f>
        <v>854.1844670835743</v>
      </c>
      <c r="E10" s="4">
        <f>'Productivity Data'!$I$28</f>
        <v>58.156985400220201</v>
      </c>
      <c r="F10" s="2">
        <f>'Wage Data'!$C$11</f>
        <v>49.154294657004115</v>
      </c>
      <c r="G10" s="4">
        <f>'Cost Pool Data'!$K$27</f>
        <v>1.3606061934437479</v>
      </c>
      <c r="H10" s="2">
        <f t="shared" ref="H10:H22" si="0">(F10*G10)/(D10*E10)</f>
        <v>1.3462953810668055E-3</v>
      </c>
      <c r="I10" s="2">
        <f t="shared" ref="I10:I22" si="1">C10*H10</f>
        <v>5.2422547622437482E-5</v>
      </c>
    </row>
    <row r="11" spans="1:10" x14ac:dyDescent="0.25">
      <c r="B11" t="s">
        <v>213</v>
      </c>
      <c r="C11" s="4">
        <f>'Mailer Arrival Profile'!$E$12</f>
        <v>0.83717495412433429</v>
      </c>
      <c r="D11" s="4">
        <f>'Conversion Factors'!$I$22</f>
        <v>550.13578700812661</v>
      </c>
      <c r="E11" s="4">
        <f>'Productivity Data'!$I$28</f>
        <v>58.156985400220201</v>
      </c>
      <c r="F11" s="2">
        <f>'Wage Data'!$C$11</f>
        <v>49.154294657004115</v>
      </c>
      <c r="G11" s="4">
        <f>'Cost Pool Data'!$K$27</f>
        <v>1.3606061934437479</v>
      </c>
      <c r="H11" s="2">
        <f t="shared" si="0"/>
        <v>2.0903650149133803E-3</v>
      </c>
      <c r="I11" s="2">
        <f t="shared" si="1"/>
        <v>1.7500012354632224E-3</v>
      </c>
    </row>
    <row r="12" spans="1:10" x14ac:dyDescent="0.25">
      <c r="B12" t="s">
        <v>214</v>
      </c>
      <c r="C12" s="4">
        <f>'Mailer Arrival Profile'!$F$12</f>
        <v>2.9181399095913708E-2</v>
      </c>
      <c r="D12" s="4">
        <f>'Conversion Factors'!$I$23</f>
        <v>465.37757846738288</v>
      </c>
      <c r="E12" s="4">
        <f>'Productivity Data'!$I$27</f>
        <v>81.873572020007202</v>
      </c>
      <c r="F12" s="2">
        <f>'Wage Data'!$C$11</f>
        <v>49.154294657004115</v>
      </c>
      <c r="G12" s="4">
        <f>'Cost Pool Data'!$K$27</f>
        <v>1.3606061934437479</v>
      </c>
      <c r="H12" s="2">
        <f t="shared" si="0"/>
        <v>1.755273184732433E-3</v>
      </c>
      <c r="I12" s="2">
        <f t="shared" si="1"/>
        <v>5.1221327326032594E-5</v>
      </c>
    </row>
    <row r="13" spans="1:10" x14ac:dyDescent="0.25">
      <c r="B13" t="s">
        <v>227</v>
      </c>
      <c r="C13" s="4">
        <f>C9</f>
        <v>9.4705276820480688E-2</v>
      </c>
      <c r="D13" s="4">
        <f>'Conversion Factors'!$I$20</f>
        <v>534.04624612244606</v>
      </c>
      <c r="E13" s="4">
        <f>'Productivity Data'!$I$30</f>
        <v>39.899251235537818</v>
      </c>
      <c r="F13" s="2">
        <f>'Wage Data'!$C$11</f>
        <v>49.154294657004115</v>
      </c>
      <c r="G13" s="4">
        <f>'Cost Pool Data'!$K$27</f>
        <v>1.3606061934437479</v>
      </c>
      <c r="H13" s="2">
        <f t="shared" si="0"/>
        <v>3.1387035582316251E-3</v>
      </c>
      <c r="I13" s="2">
        <f t="shared" si="1"/>
        <v>2.9725178933975377E-4</v>
      </c>
    </row>
    <row r="14" spans="1:10" x14ac:dyDescent="0.25">
      <c r="B14" t="s">
        <v>228</v>
      </c>
      <c r="C14" s="4">
        <f>C10</f>
        <v>3.8938369959271357E-2</v>
      </c>
      <c r="D14" s="4">
        <f>'Conversion Factors'!$I$21</f>
        <v>854.1844670835743</v>
      </c>
      <c r="E14" s="4">
        <f>'Productivity Data'!$I$30</f>
        <v>39.899251235537818</v>
      </c>
      <c r="F14" s="2">
        <f>'Wage Data'!$C$11</f>
        <v>49.154294657004115</v>
      </c>
      <c r="G14" s="4">
        <f>'Cost Pool Data'!$K$27</f>
        <v>1.3606061934437479</v>
      </c>
      <c r="H14" s="2">
        <f t="shared" si="0"/>
        <v>1.9623546406642408E-3</v>
      </c>
      <c r="I14" s="2">
        <f t="shared" si="1"/>
        <v>7.6410890989477207E-5</v>
      </c>
    </row>
    <row r="15" spans="1:10" x14ac:dyDescent="0.25">
      <c r="B15" t="s">
        <v>200</v>
      </c>
      <c r="C15" s="4">
        <f>C11+C12</f>
        <v>0.86635635322024795</v>
      </c>
      <c r="D15" s="4">
        <f>'Mailer Arrival Profile'!$I$12</f>
        <v>33.104838709677416</v>
      </c>
      <c r="E15" s="4">
        <f>'Productivity Data'!$I$14</f>
        <v>49.323981905738421</v>
      </c>
      <c r="F15" s="2">
        <f>'Wage Data'!$C$11</f>
        <v>49.154294657004115</v>
      </c>
      <c r="G15" s="4">
        <f>'Cost Pool Data'!$K$30</f>
        <v>1.2805162995566952</v>
      </c>
      <c r="H15" s="2">
        <f t="shared" si="0"/>
        <v>3.8547567128934049E-2</v>
      </c>
      <c r="I15" s="2">
        <f t="shared" si="1"/>
        <v>3.3395929683336004E-2</v>
      </c>
    </row>
    <row r="16" spans="1:10" x14ac:dyDescent="0.25">
      <c r="B16" t="s">
        <v>223</v>
      </c>
      <c r="C16" s="4">
        <f t="shared" ref="C16:C21" si="2">C13</f>
        <v>9.4705276820480688E-2</v>
      </c>
      <c r="D16" s="4">
        <f>'Conversion Factors'!$I$20</f>
        <v>534.04624612244606</v>
      </c>
      <c r="E16" s="4">
        <f>'Productivity Data'!$I$32</f>
        <v>61.728448910094343</v>
      </c>
      <c r="F16" s="2">
        <f>'Wage Data'!$C$11</f>
        <v>49.154294657004115</v>
      </c>
      <c r="G16" s="4">
        <f>'Cost Pool Data'!$K$27</f>
        <v>1.3606061934437479</v>
      </c>
      <c r="H16" s="2">
        <f t="shared" si="0"/>
        <v>2.0287553637733016E-3</v>
      </c>
      <c r="I16" s="2">
        <f t="shared" si="1"/>
        <v>1.9213383832718551E-4</v>
      </c>
    </row>
    <row r="17" spans="1:10" x14ac:dyDescent="0.25">
      <c r="B17" t="s">
        <v>224</v>
      </c>
      <c r="C17" s="4">
        <f t="shared" si="2"/>
        <v>3.8938369959271357E-2</v>
      </c>
      <c r="D17" s="4">
        <f>'Conversion Factors'!$I$21</f>
        <v>854.1844670835743</v>
      </c>
      <c r="E17" s="4">
        <f>'Productivity Data'!$I$32</f>
        <v>61.728448910094343</v>
      </c>
      <c r="F17" s="2">
        <f>'Wage Data'!$C$11</f>
        <v>49.154294657004115</v>
      </c>
      <c r="G17" s="4">
        <f>'Cost Pool Data'!$K$27</f>
        <v>1.3606061934437479</v>
      </c>
      <c r="H17" s="2">
        <f t="shared" si="0"/>
        <v>1.2684018828194208E-3</v>
      </c>
      <c r="I17" s="2">
        <f t="shared" si="1"/>
        <v>4.9389501770258967E-5</v>
      </c>
    </row>
    <row r="18" spans="1:10" x14ac:dyDescent="0.25">
      <c r="A18" s="72"/>
      <c r="B18" s="79" t="s">
        <v>248</v>
      </c>
      <c r="C18" s="49">
        <f t="shared" si="2"/>
        <v>0.86635635322024795</v>
      </c>
      <c r="D18" s="49">
        <f>'Conversion Factors'!$I$48</f>
        <v>204.26720030964461</v>
      </c>
      <c r="E18" s="49">
        <f>'Productivity Data'!$I$31</f>
        <v>91.071587890934111</v>
      </c>
      <c r="F18" s="48">
        <f>'Wage Data'!$C$11</f>
        <v>49.154294657004115</v>
      </c>
      <c r="G18" s="49">
        <f>'Cost Pool Data'!$K$27</f>
        <v>1.3606061934437479</v>
      </c>
      <c r="H18" s="48">
        <f t="shared" si="0"/>
        <v>3.5951115203218188E-3</v>
      </c>
      <c r="I18" s="75">
        <f t="shared" si="1"/>
        <v>3.1146477061661125E-3</v>
      </c>
      <c r="J18" s="76">
        <f>SUM(I9:I18)</f>
        <v>3.9183341439859298E-2</v>
      </c>
    </row>
    <row r="19" spans="1:10" x14ac:dyDescent="0.25">
      <c r="A19" s="6" t="s">
        <v>243</v>
      </c>
      <c r="B19" t="s">
        <v>211</v>
      </c>
      <c r="C19" s="4">
        <f t="shared" si="2"/>
        <v>9.4705276820480688E-2</v>
      </c>
      <c r="D19" s="4">
        <f>'Conversion Factors'!$I$20</f>
        <v>534.04624612244606</v>
      </c>
      <c r="E19" s="4">
        <f>'Productivity Data'!$I$26</f>
        <v>48.58034429266948</v>
      </c>
      <c r="F19" s="2">
        <f>'Wage Data'!$C$11</f>
        <v>49.154294657004115</v>
      </c>
      <c r="G19" s="4">
        <f>'Cost Pool Data'!$K$48</f>
        <v>1.6214860636540271</v>
      </c>
      <c r="H19" s="2">
        <f t="shared" si="0"/>
        <v>3.0720991901515026E-3</v>
      </c>
      <c r="I19" s="2">
        <f t="shared" si="1"/>
        <v>2.9094400422327262E-4</v>
      </c>
    </row>
    <row r="20" spans="1:10" x14ac:dyDescent="0.25">
      <c r="A20" s="6" t="s">
        <v>85</v>
      </c>
      <c r="B20" t="s">
        <v>212</v>
      </c>
      <c r="C20" s="4">
        <f t="shared" si="2"/>
        <v>3.8938369959271357E-2</v>
      </c>
      <c r="D20" s="4">
        <f>'Conversion Factors'!$I$21</f>
        <v>854.1844670835743</v>
      </c>
      <c r="E20" s="4">
        <f>'Productivity Data'!$I$26</f>
        <v>48.58034429266948</v>
      </c>
      <c r="F20" s="2">
        <f>'Wage Data'!$C$11</f>
        <v>49.154294657004115</v>
      </c>
      <c r="G20" s="4">
        <f>'Cost Pool Data'!$K$48</f>
        <v>1.6214860636540271</v>
      </c>
      <c r="H20" s="2">
        <f t="shared" si="0"/>
        <v>1.9207128008518262E-3</v>
      </c>
      <c r="I20" s="2">
        <f t="shared" si="1"/>
        <v>7.4789425625076706E-5</v>
      </c>
    </row>
    <row r="21" spans="1:10" x14ac:dyDescent="0.25">
      <c r="B21" t="s">
        <v>249</v>
      </c>
      <c r="C21" s="4">
        <f t="shared" si="2"/>
        <v>0.86635635322024795</v>
      </c>
      <c r="D21" s="4">
        <f>'Conversion Factors'!$I$48</f>
        <v>204.26720030964461</v>
      </c>
      <c r="E21" s="4">
        <f>'Productivity Data'!$I$25</f>
        <v>60.332591436644847</v>
      </c>
      <c r="F21" s="2">
        <f>'Wage Data'!$C$11</f>
        <v>49.154294657004115</v>
      </c>
      <c r="G21" s="4">
        <f>'Cost Pool Data'!$K$48</f>
        <v>1.6214860636540271</v>
      </c>
      <c r="H21" s="2">
        <f t="shared" si="0"/>
        <v>6.4673158672747689E-3</v>
      </c>
      <c r="I21" s="2">
        <f t="shared" si="1"/>
        <v>5.6030001898956143E-3</v>
      </c>
    </row>
    <row r="22" spans="1:10" x14ac:dyDescent="0.25">
      <c r="A22" s="72"/>
      <c r="B22" s="79" t="s">
        <v>135</v>
      </c>
      <c r="C22" s="49">
        <f>SUM(C19:C21)</f>
        <v>1</v>
      </c>
      <c r="D22" s="49">
        <v>1</v>
      </c>
      <c r="E22" s="49">
        <f>'Productivity Data'!$I$22</f>
        <v>307.66822713635111</v>
      </c>
      <c r="F22" s="48">
        <f>'Wage Data'!$C$11</f>
        <v>49.154294657004115</v>
      </c>
      <c r="G22" s="49">
        <f>'Cost Pool Data'!$K$57</f>
        <v>1.4957786551922303</v>
      </c>
      <c r="H22" s="48">
        <f t="shared" si="0"/>
        <v>0.23897152280983572</v>
      </c>
      <c r="I22" s="75">
        <f t="shared" si="1"/>
        <v>0.23897152280983572</v>
      </c>
      <c r="J22" s="76">
        <f>SUM(I19:I22)</f>
        <v>0.24494025642957967</v>
      </c>
    </row>
    <row r="24" spans="1:10" x14ac:dyDescent="0.25">
      <c r="A24" s="29" t="s">
        <v>259</v>
      </c>
      <c r="I24" s="80" t="s">
        <v>203</v>
      </c>
      <c r="J24" s="81">
        <f>J18+J22</f>
        <v>0.28412359786943897</v>
      </c>
    </row>
    <row r="25" spans="1:10" x14ac:dyDescent="0.25">
      <c r="A25" s="6" t="s">
        <v>296</v>
      </c>
      <c r="F25"/>
      <c r="G25"/>
      <c r="H25"/>
      <c r="I25"/>
    </row>
    <row r="26" spans="1:10" x14ac:dyDescent="0.25">
      <c r="A26" s="6" t="s">
        <v>297</v>
      </c>
    </row>
    <row r="27" spans="1:10" x14ac:dyDescent="0.25">
      <c r="A27" s="6" t="s">
        <v>298</v>
      </c>
    </row>
    <row r="28" spans="1:10" x14ac:dyDescent="0.25">
      <c r="A28" s="6" t="s">
        <v>299</v>
      </c>
    </row>
    <row r="29" spans="1:10" x14ac:dyDescent="0.25">
      <c r="A29" s="6" t="s">
        <v>277</v>
      </c>
    </row>
    <row r="30" spans="1:10" x14ac:dyDescent="0.25">
      <c r="A30" s="6" t="s">
        <v>300</v>
      </c>
    </row>
    <row r="31" spans="1:10" x14ac:dyDescent="0.25">
      <c r="A31" s="6" t="s">
        <v>301</v>
      </c>
    </row>
  </sheetData>
  <phoneticPr fontId="3" type="noConversion"/>
  <printOptions horizontalCentered="1"/>
  <pageMargins left="0.75" right="0.75" top="1" bottom="1" header="0.5" footer="0.5"/>
  <pageSetup scale="61" orientation="portrait" r:id="rId1"/>
  <headerFooter alignWithMargins="0">
    <oddHeader>&amp;RPage 15 of 50</oddHeader>
    <oddFooter>&amp;R&amp;F</oddFooter>
  </headerFooter>
  <ignoredErrors>
    <ignoredError sqref="G15 E12" formula="1"/>
  </ignoredError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25">
    <pageSetUpPr fitToPage="1"/>
  </sheetPr>
  <dimension ref="A1:J22"/>
  <sheetViews>
    <sheetView zoomScale="75" workbookViewId="0">
      <selection activeCell="S28" sqref="S28"/>
    </sheetView>
  </sheetViews>
  <sheetFormatPr defaultColWidth="9.109375" defaultRowHeight="13.2" x14ac:dyDescent="0.25"/>
  <cols>
    <col min="1" max="1" width="15.6640625" style="6" customWidth="1"/>
    <col min="2" max="2" width="30.6640625" style="6" customWidth="1"/>
    <col min="3" max="5" width="12.6640625" style="4" customWidth="1"/>
    <col min="6" max="6" width="12.6640625" style="2" customWidth="1"/>
    <col min="7" max="7" width="12.6640625" style="4" customWidth="1"/>
    <col min="8" max="9" width="12.6640625" style="2" customWidth="1"/>
    <col min="10" max="10" width="12.6640625" customWidth="1"/>
  </cols>
  <sheetData>
    <row r="1" spans="1:10" ht="15.6" x14ac:dyDescent="0.3">
      <c r="A1" s="5" t="s">
        <v>389</v>
      </c>
      <c r="B1" s="5"/>
    </row>
    <row r="4" spans="1:10" x14ac:dyDescent="0.25">
      <c r="C4" s="8" t="s">
        <v>107</v>
      </c>
      <c r="D4" s="8" t="s">
        <v>108</v>
      </c>
      <c r="E4" s="8" t="s">
        <v>109</v>
      </c>
      <c r="F4" s="50" t="s">
        <v>112</v>
      </c>
      <c r="G4" s="8" t="s">
        <v>156</v>
      </c>
      <c r="H4" s="50" t="s">
        <v>157</v>
      </c>
      <c r="I4" s="50" t="s">
        <v>192</v>
      </c>
    </row>
    <row r="5" spans="1:10" x14ac:dyDescent="0.25">
      <c r="A5" s="70"/>
      <c r="F5" s="50" t="s">
        <v>155</v>
      </c>
      <c r="H5" s="50" t="s">
        <v>3</v>
      </c>
      <c r="I5" s="50" t="s">
        <v>3</v>
      </c>
    </row>
    <row r="6" spans="1:10" s="6" customFormat="1" x14ac:dyDescent="0.25">
      <c r="C6" s="8"/>
      <c r="D6" s="8" t="s">
        <v>202</v>
      </c>
      <c r="E6" s="8" t="s">
        <v>101</v>
      </c>
      <c r="F6" s="50" t="s">
        <v>103</v>
      </c>
      <c r="G6" s="8" t="s">
        <v>105</v>
      </c>
      <c r="H6" s="50" t="s">
        <v>207</v>
      </c>
      <c r="I6" s="50" t="s">
        <v>206</v>
      </c>
    </row>
    <row r="7" spans="1:10" s="6" customFormat="1" x14ac:dyDescent="0.25">
      <c r="A7" s="6" t="s">
        <v>84</v>
      </c>
      <c r="B7" s="6" t="s">
        <v>76</v>
      </c>
      <c r="C7" s="8" t="s">
        <v>199</v>
      </c>
      <c r="D7" s="8" t="s">
        <v>81</v>
      </c>
      <c r="E7" s="8" t="s">
        <v>102</v>
      </c>
      <c r="F7" s="50" t="s">
        <v>104</v>
      </c>
      <c r="G7" s="8" t="s">
        <v>81</v>
      </c>
      <c r="H7" s="50" t="s">
        <v>76</v>
      </c>
      <c r="I7" s="50" t="s">
        <v>84</v>
      </c>
    </row>
    <row r="8" spans="1:10" x14ac:dyDescent="0.25">
      <c r="A8" s="72"/>
      <c r="B8" s="72"/>
      <c r="C8" s="49"/>
      <c r="D8" s="49"/>
      <c r="E8" s="49"/>
      <c r="F8" s="48"/>
      <c r="G8" s="49"/>
      <c r="H8" s="48"/>
      <c r="I8" s="48"/>
      <c r="J8" s="79"/>
    </row>
    <row r="9" spans="1:10" x14ac:dyDescent="0.25">
      <c r="A9" s="6" t="s">
        <v>243</v>
      </c>
      <c r="B9" t="s">
        <v>211</v>
      </c>
      <c r="C9" s="4">
        <f>'Mailer Arrival Profile'!$C$13</f>
        <v>0</v>
      </c>
      <c r="D9" s="4">
        <f>'Conversion Factors'!$I$20</f>
        <v>534.04624612244606</v>
      </c>
      <c r="E9" s="4">
        <f>'Productivity Data'!$I$26</f>
        <v>48.58034429266948</v>
      </c>
      <c r="F9" s="2">
        <f>'Wage Data'!$C$11</f>
        <v>49.154294657004115</v>
      </c>
      <c r="G9" s="4">
        <f>'Cost Pool Data'!$K$48</f>
        <v>1.6214860636540271</v>
      </c>
      <c r="H9" s="2">
        <f>(F9*G9)/(D9*E9)</f>
        <v>3.0720991901515026E-3</v>
      </c>
      <c r="I9" s="2">
        <f>C9*H9</f>
        <v>0</v>
      </c>
    </row>
    <row r="10" spans="1:10" x14ac:dyDescent="0.25">
      <c r="A10" s="6" t="s">
        <v>85</v>
      </c>
      <c r="B10" t="s">
        <v>212</v>
      </c>
      <c r="C10" s="4">
        <f>'Mailer Arrival Profile'!$D$13</f>
        <v>0.53848009650180939</v>
      </c>
      <c r="D10" s="4">
        <f>'Conversion Factors'!$I$21</f>
        <v>854.1844670835743</v>
      </c>
      <c r="E10" s="4">
        <f>'Productivity Data'!$I$26</f>
        <v>48.58034429266948</v>
      </c>
      <c r="F10" s="2">
        <f>'Wage Data'!$C$11</f>
        <v>49.154294657004115</v>
      </c>
      <c r="G10" s="4">
        <f>'Cost Pool Data'!$K$48</f>
        <v>1.6214860636540271</v>
      </c>
      <c r="H10" s="2">
        <f>(F10*G10)/(D10*E10)</f>
        <v>1.9207128008518262E-3</v>
      </c>
      <c r="I10" s="2">
        <f>C10*H10</f>
        <v>1.034265614354952E-3</v>
      </c>
    </row>
    <row r="11" spans="1:10" x14ac:dyDescent="0.25">
      <c r="B11" t="s">
        <v>213</v>
      </c>
      <c r="C11" s="4">
        <f>'Mailer Arrival Profile'!$E$13</f>
        <v>0</v>
      </c>
      <c r="D11" s="4">
        <f>'Conversion Factors'!$I$22</f>
        <v>550.13578700812661</v>
      </c>
      <c r="E11" s="4">
        <f>'Productivity Data'!$I$26</f>
        <v>48.58034429266948</v>
      </c>
      <c r="F11" s="2">
        <f>'Wage Data'!$C$11</f>
        <v>49.154294657004115</v>
      </c>
      <c r="G11" s="4">
        <f>'Cost Pool Data'!$K$48</f>
        <v>1.6214860636540271</v>
      </c>
      <c r="H11" s="2">
        <f>(F11*G11)/(D11*E11)</f>
        <v>2.9822510713922723E-3</v>
      </c>
      <c r="I11" s="2">
        <f>C11*H11</f>
        <v>0</v>
      </c>
    </row>
    <row r="12" spans="1:10" x14ac:dyDescent="0.25">
      <c r="B12" t="s">
        <v>214</v>
      </c>
      <c r="C12" s="4">
        <f>'Mailer Arrival Profile'!$F$13</f>
        <v>0.46151990349819061</v>
      </c>
      <c r="D12" s="4">
        <f>'Conversion Factors'!$I$23</f>
        <v>465.37757846738288</v>
      </c>
      <c r="E12" s="4">
        <f>'Productivity Data'!$I$25</f>
        <v>60.332591436644847</v>
      </c>
      <c r="F12" s="2">
        <f>'Wage Data'!$C$11</f>
        <v>49.154294657004115</v>
      </c>
      <c r="G12" s="4">
        <f>'Cost Pool Data'!$K$48</f>
        <v>1.6214860636540271</v>
      </c>
      <c r="H12" s="2">
        <f>(F12*G12)/(D12*E12)</f>
        <v>2.8386853317621699E-3</v>
      </c>
      <c r="I12" s="2">
        <f>C12*H12</f>
        <v>1.3101097803766058E-3</v>
      </c>
    </row>
    <row r="13" spans="1:10" x14ac:dyDescent="0.25">
      <c r="A13" s="72"/>
      <c r="B13" s="79" t="s">
        <v>135</v>
      </c>
      <c r="C13" s="49">
        <f>SUM(C9:C12)</f>
        <v>1</v>
      </c>
      <c r="D13" s="49">
        <v>1</v>
      </c>
      <c r="E13" s="49">
        <f>'Productivity Data'!$I$22</f>
        <v>307.66822713635111</v>
      </c>
      <c r="F13" s="48">
        <f>'Wage Data'!$C$11</f>
        <v>49.154294657004115</v>
      </c>
      <c r="G13" s="49">
        <f>'Cost Pool Data'!$K$57</f>
        <v>1.4957786551922303</v>
      </c>
      <c r="H13" s="48">
        <f>(F13*G13)/(D13*E13)</f>
        <v>0.23897152280983572</v>
      </c>
      <c r="I13" s="75">
        <f>C13*H13</f>
        <v>0.23897152280983572</v>
      </c>
      <c r="J13" s="76">
        <f>SUM(I9:I13)</f>
        <v>0.24131589820456728</v>
      </c>
    </row>
    <row r="15" spans="1:10" x14ac:dyDescent="0.25">
      <c r="A15" s="29" t="s">
        <v>259</v>
      </c>
      <c r="I15" s="80" t="s">
        <v>203</v>
      </c>
      <c r="J15" s="81">
        <f>J13</f>
        <v>0.24131589820456728</v>
      </c>
    </row>
    <row r="16" spans="1:10" x14ac:dyDescent="0.25">
      <c r="A16" s="6" t="s">
        <v>296</v>
      </c>
      <c r="F16"/>
      <c r="G16"/>
      <c r="H16"/>
      <c r="I16"/>
    </row>
    <row r="17" spans="1:1" x14ac:dyDescent="0.25">
      <c r="A17" s="6" t="s">
        <v>297</v>
      </c>
    </row>
    <row r="18" spans="1:1" x14ac:dyDescent="0.25">
      <c r="A18" s="6" t="s">
        <v>298</v>
      </c>
    </row>
    <row r="19" spans="1:1" x14ac:dyDescent="0.25">
      <c r="A19" s="6" t="s">
        <v>299</v>
      </c>
    </row>
    <row r="20" spans="1:1" x14ac:dyDescent="0.25">
      <c r="A20" s="6" t="s">
        <v>277</v>
      </c>
    </row>
    <row r="21" spans="1:1" x14ac:dyDescent="0.25">
      <c r="A21" s="6" t="s">
        <v>300</v>
      </c>
    </row>
    <row r="22" spans="1:1" x14ac:dyDescent="0.25">
      <c r="A22" s="6" t="s">
        <v>301</v>
      </c>
    </row>
  </sheetData>
  <phoneticPr fontId="3" type="noConversion"/>
  <printOptions horizontalCentered="1"/>
  <pageMargins left="0.75" right="0.75" top="1" bottom="1" header="0.5" footer="0.5"/>
  <pageSetup scale="61" orientation="portrait" r:id="rId1"/>
  <headerFooter alignWithMargins="0">
    <oddHeader>&amp;RPage 16 of 50</oddHeader>
    <oddFooter>&amp;R&amp;F</oddFooter>
  </headerFooter>
  <ignoredErrors>
    <ignoredError sqref="E12" formula="1"/>
  </ignoredError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2">
    <pageSetUpPr fitToPage="1"/>
  </sheetPr>
  <dimension ref="A1:J56"/>
  <sheetViews>
    <sheetView topLeftCell="A20" zoomScale="75" workbookViewId="0">
      <selection activeCell="E47" sqref="E47:J50"/>
    </sheetView>
  </sheetViews>
  <sheetFormatPr defaultColWidth="9.109375" defaultRowHeight="13.2" x14ac:dyDescent="0.25"/>
  <cols>
    <col min="1" max="1" width="15.6640625" style="6" customWidth="1"/>
    <col min="2" max="2" width="30.6640625" style="6" customWidth="1"/>
    <col min="3" max="5" width="12.6640625" style="4" customWidth="1"/>
    <col min="6" max="6" width="12.6640625" style="2" customWidth="1"/>
    <col min="7" max="7" width="12.6640625" style="4" customWidth="1"/>
    <col min="8" max="9" width="12.6640625" style="2" customWidth="1"/>
    <col min="10" max="10" width="12.6640625" customWidth="1"/>
  </cols>
  <sheetData>
    <row r="1" spans="1:10" ht="15.6" x14ac:dyDescent="0.3">
      <c r="A1" s="5" t="s">
        <v>390</v>
      </c>
      <c r="B1" s="5"/>
    </row>
    <row r="4" spans="1:10" x14ac:dyDescent="0.25">
      <c r="C4" s="8" t="s">
        <v>107</v>
      </c>
      <c r="D4" s="8" t="s">
        <v>108</v>
      </c>
      <c r="E4" s="8" t="s">
        <v>109</v>
      </c>
      <c r="F4" s="50" t="s">
        <v>112</v>
      </c>
      <c r="G4" s="8" t="s">
        <v>156</v>
      </c>
      <c r="H4" s="50" t="s">
        <v>157</v>
      </c>
      <c r="I4" s="50" t="s">
        <v>192</v>
      </c>
    </row>
    <row r="5" spans="1:10" x14ac:dyDescent="0.25">
      <c r="A5" s="70"/>
      <c r="F5" s="50" t="s">
        <v>155</v>
      </c>
      <c r="H5" s="50" t="s">
        <v>3</v>
      </c>
      <c r="I5" s="50" t="s">
        <v>3</v>
      </c>
    </row>
    <row r="6" spans="1:10" s="6" customFormat="1" x14ac:dyDescent="0.25">
      <c r="C6" s="8"/>
      <c r="D6" s="8" t="s">
        <v>202</v>
      </c>
      <c r="E6" s="8" t="s">
        <v>101</v>
      </c>
      <c r="F6" s="50" t="s">
        <v>103</v>
      </c>
      <c r="G6" s="8" t="s">
        <v>105</v>
      </c>
      <c r="H6" s="50" t="s">
        <v>207</v>
      </c>
      <c r="I6" s="50" t="s">
        <v>206</v>
      </c>
    </row>
    <row r="7" spans="1:10" s="6" customFormat="1" x14ac:dyDescent="0.25">
      <c r="A7" s="6" t="s">
        <v>84</v>
      </c>
      <c r="B7" s="6" t="s">
        <v>76</v>
      </c>
      <c r="C7" s="8" t="s">
        <v>199</v>
      </c>
      <c r="D7" s="8" t="s">
        <v>81</v>
      </c>
      <c r="E7" s="8" t="s">
        <v>102</v>
      </c>
      <c r="F7" s="50" t="s">
        <v>104</v>
      </c>
      <c r="G7" s="8" t="s">
        <v>81</v>
      </c>
      <c r="H7" s="50" t="s">
        <v>76</v>
      </c>
      <c r="I7" s="50" t="s">
        <v>84</v>
      </c>
    </row>
    <row r="8" spans="1:10" x14ac:dyDescent="0.25">
      <c r="A8" s="72"/>
      <c r="B8" s="72"/>
      <c r="C8" s="49"/>
      <c r="D8" s="49"/>
      <c r="E8" s="49"/>
      <c r="F8" s="48"/>
      <c r="G8" s="49"/>
      <c r="H8" s="48"/>
      <c r="I8" s="48"/>
      <c r="J8" s="79"/>
    </row>
    <row r="9" spans="1:10" x14ac:dyDescent="0.25">
      <c r="A9" s="6" t="s">
        <v>240</v>
      </c>
      <c r="B9" s="12" t="s">
        <v>211</v>
      </c>
      <c r="C9" s="4">
        <f>'Mailer Arrival Profile'!$C$47*'Mailer Arrival Profile'!$C$15</f>
        <v>0.16917897513443977</v>
      </c>
      <c r="D9" s="4">
        <f>'Conversion Factors'!$J$20</f>
        <v>602.07696562769354</v>
      </c>
      <c r="E9" s="4">
        <f>'Productivity Data'!$I$26</f>
        <v>48.58034429266948</v>
      </c>
      <c r="F9" s="2">
        <f>'Wage Data'!$C$11</f>
        <v>49.154294657004115</v>
      </c>
      <c r="G9" s="4">
        <f>'Cost Pool Data'!$K$48</f>
        <v>1.6214860636540271</v>
      </c>
      <c r="H9" s="2">
        <f>(F9*G9)/(D9*E9)</f>
        <v>2.724972277432619E-3</v>
      </c>
      <c r="I9" s="2">
        <f>C9*H9</f>
        <v>4.6100801716581077E-4</v>
      </c>
    </row>
    <row r="10" spans="1:10" x14ac:dyDescent="0.25">
      <c r="A10" s="6" t="s">
        <v>85</v>
      </c>
      <c r="B10" s="12" t="s">
        <v>212</v>
      </c>
      <c r="C10" s="4">
        <f>'Mailer Arrival Profile'!$C$47*'Mailer Arrival Profile'!$D$15</f>
        <v>0.23806122287579098</v>
      </c>
      <c r="D10" s="4">
        <f>'Conversion Factors'!$J$21</f>
        <v>962.99673626031199</v>
      </c>
      <c r="E10" s="4">
        <f>'Productivity Data'!$I$26</f>
        <v>48.58034429266948</v>
      </c>
      <c r="F10" s="2">
        <f>'Wage Data'!$C$11</f>
        <v>49.154294657004115</v>
      </c>
      <c r="G10" s="4">
        <f>'Cost Pool Data'!$K$48</f>
        <v>1.6214860636540271</v>
      </c>
      <c r="H10" s="2">
        <f>(F10*G10)/(D10*E10)</f>
        <v>1.7036849435102623E-3</v>
      </c>
      <c r="I10" s="2">
        <f>C10*H10</f>
        <v>4.0558132104712591E-4</v>
      </c>
    </row>
    <row r="11" spans="1:10" x14ac:dyDescent="0.25">
      <c r="B11" s="12" t="s">
        <v>213</v>
      </c>
      <c r="C11" s="4">
        <f>'Mailer Arrival Profile'!$C$47*'Mailer Arrival Profile'!$E$15</f>
        <v>0</v>
      </c>
      <c r="D11" s="4">
        <f>'Conversion Factors'!$J$22</f>
        <v>620.21610999043128</v>
      </c>
      <c r="E11" s="4">
        <f>'Productivity Data'!$I$26</f>
        <v>48.58034429266948</v>
      </c>
      <c r="F11" s="2">
        <f>'Wage Data'!$C$11</f>
        <v>49.154294657004115</v>
      </c>
      <c r="G11" s="4">
        <f>'Cost Pool Data'!$K$48</f>
        <v>1.6214860636540271</v>
      </c>
      <c r="H11" s="2">
        <f>(F11*G11)/(D11*E11)</f>
        <v>2.6452764025131962E-3</v>
      </c>
      <c r="I11" s="2">
        <f>C11*H11</f>
        <v>0</v>
      </c>
    </row>
    <row r="12" spans="1:10" x14ac:dyDescent="0.25">
      <c r="B12" s="12" t="s">
        <v>214</v>
      </c>
      <c r="C12" s="4">
        <f>'Mailer Arrival Profile'!$C$47*'Mailer Arrival Profile'!$F$15</f>
        <v>2.3482584457278809E-2</v>
      </c>
      <c r="D12" s="4">
        <f>'Conversion Factors'!$J$23</f>
        <v>524.66078050207489</v>
      </c>
      <c r="E12" s="4">
        <f>'Productivity Data'!$I$25</f>
        <v>60.332591436644847</v>
      </c>
      <c r="F12" s="2">
        <f>'Wage Data'!$C$11</f>
        <v>49.154294657004115</v>
      </c>
      <c r="G12" s="4">
        <f>'Cost Pool Data'!$K$48</f>
        <v>1.6214860636540271</v>
      </c>
      <c r="H12" s="2">
        <f>(F12*G12)/(D12*E12)</f>
        <v>2.5179326429968091E-3</v>
      </c>
      <c r="I12" s="2">
        <f>C12*H12</f>
        <v>5.9127565946911824E-5</v>
      </c>
    </row>
    <row r="13" spans="1:10" x14ac:dyDescent="0.25">
      <c r="B13" t="s">
        <v>223</v>
      </c>
      <c r="C13" s="4">
        <f>C9</f>
        <v>0.16917897513443977</v>
      </c>
      <c r="D13" s="4">
        <f>'Conversion Factors'!$J$20</f>
        <v>602.07696562769354</v>
      </c>
      <c r="E13" s="4">
        <f>'Productivity Data'!$I$24</f>
        <v>43.137464151665213</v>
      </c>
      <c r="F13" s="2">
        <f>'Wage Data'!$C$11</f>
        <v>49.154294657004115</v>
      </c>
      <c r="G13" s="4">
        <f>'Cost Pool Data'!$K$48</f>
        <v>1.6214860636540271</v>
      </c>
      <c r="H13" s="2">
        <f>(F13*G13)/(D13*E13)</f>
        <v>3.0687963242397981E-3</v>
      </c>
      <c r="I13" s="2">
        <f>C13*H13</f>
        <v>5.1917581703122499E-4</v>
      </c>
    </row>
    <row r="14" spans="1:10" x14ac:dyDescent="0.25">
      <c r="B14" t="s">
        <v>224</v>
      </c>
      <c r="C14" s="4">
        <f>C10</f>
        <v>0.23806122287579098</v>
      </c>
      <c r="D14" s="4">
        <f>'Conversion Factors'!$J$21</f>
        <v>962.99673626031199</v>
      </c>
      <c r="E14" s="4">
        <f>'Productivity Data'!$I$24</f>
        <v>43.137464151665213</v>
      </c>
      <c r="F14" s="2">
        <f>'Wage Data'!$C$11</f>
        <v>49.154294657004115</v>
      </c>
      <c r="G14" s="4">
        <f>'Cost Pool Data'!$K$48</f>
        <v>1.6214860636540271</v>
      </c>
      <c r="H14" s="2">
        <f t="shared" ref="H14:H42" si="0">(F14*G14)/(D14*E14)</f>
        <v>1.9186478099633667E-3</v>
      </c>
      <c r="I14" s="2">
        <f t="shared" ref="I14:I42" si="1">C14*H14</f>
        <v>4.567556439078373E-4</v>
      </c>
    </row>
    <row r="15" spans="1:10" x14ac:dyDescent="0.25">
      <c r="B15" s="12" t="s">
        <v>225</v>
      </c>
      <c r="C15" s="4">
        <f>C11</f>
        <v>0</v>
      </c>
      <c r="D15" s="4">
        <f>'Conversion Factors'!$J$22</f>
        <v>620.21610999043128</v>
      </c>
      <c r="E15" s="4">
        <f>'Productivity Data'!$I$24</f>
        <v>43.137464151665213</v>
      </c>
      <c r="F15" s="2">
        <f>'Wage Data'!$C$11</f>
        <v>49.154294657004115</v>
      </c>
      <c r="G15" s="4">
        <f>'Cost Pool Data'!$K$48</f>
        <v>1.6214860636540271</v>
      </c>
      <c r="H15" s="2">
        <f t="shared" si="0"/>
        <v>2.9790448027159811E-3</v>
      </c>
      <c r="I15" s="2">
        <f t="shared" si="1"/>
        <v>0</v>
      </c>
    </row>
    <row r="16" spans="1:10" x14ac:dyDescent="0.25">
      <c r="A16" s="72"/>
      <c r="B16" s="74" t="s">
        <v>226</v>
      </c>
      <c r="C16" s="49">
        <f>C12</f>
        <v>2.3482584457278809E-2</v>
      </c>
      <c r="D16" s="49">
        <f>'Conversion Factors'!$J$23</f>
        <v>524.66078050207489</v>
      </c>
      <c r="E16" s="49">
        <f>'Productivity Data'!$I$23</f>
        <v>68.564044141410264</v>
      </c>
      <c r="F16" s="48">
        <f>'Wage Data'!$C$11</f>
        <v>49.154294657004115</v>
      </c>
      <c r="G16" s="49">
        <f>'Cost Pool Data'!$K$48</f>
        <v>1.6214860636540271</v>
      </c>
      <c r="H16" s="48">
        <f t="shared" si="0"/>
        <v>2.2156423722848556E-3</v>
      </c>
      <c r="I16" s="75">
        <f t="shared" si="1"/>
        <v>5.2029009134304701E-5</v>
      </c>
      <c r="J16" s="76">
        <f>SUM(I9:I16)</f>
        <v>1.9536773742332156E-3</v>
      </c>
    </row>
    <row r="17" spans="1:10" x14ac:dyDescent="0.25">
      <c r="A17" s="6" t="s">
        <v>240</v>
      </c>
      <c r="B17" t="s">
        <v>211</v>
      </c>
      <c r="C17" s="4">
        <f>'Mailer Arrival Profile'!$C$48*'Mailer Arrival Profile'!$C$15+C13</f>
        <v>0.25390334793675678</v>
      </c>
      <c r="D17" s="4">
        <f>'Conversion Factors'!$J$20</f>
        <v>602.07696562769354</v>
      </c>
      <c r="E17" s="4">
        <f>'Productivity Data'!$I$28</f>
        <v>58.156985400220201</v>
      </c>
      <c r="F17" s="2">
        <f>'Wage Data'!$C$11</f>
        <v>49.154294657004115</v>
      </c>
      <c r="G17" s="4">
        <f>'Cost Pool Data'!$K$27</f>
        <v>1.3606061934437479</v>
      </c>
      <c r="H17" s="2">
        <f t="shared" si="0"/>
        <v>1.9100292292609361E-3</v>
      </c>
      <c r="I17" s="2">
        <f t="shared" si="1"/>
        <v>4.8496281596641485E-4</v>
      </c>
    </row>
    <row r="18" spans="1:10" x14ac:dyDescent="0.25">
      <c r="A18" s="6" t="s">
        <v>241</v>
      </c>
      <c r="B18" t="s">
        <v>212</v>
      </c>
      <c r="C18" s="4">
        <f>'Mailer Arrival Profile'!$C$48*'Mailer Arrival Profile'!$D$15+C14</f>
        <v>0.35728163889188302</v>
      </c>
      <c r="D18" s="4">
        <f>'Conversion Factors'!$J$21</f>
        <v>962.99673626031199</v>
      </c>
      <c r="E18" s="4">
        <f>'Productivity Data'!$I$28</f>
        <v>58.156985400220201</v>
      </c>
      <c r="F18" s="2">
        <f>'Wage Data'!$C$11</f>
        <v>49.154294657004115</v>
      </c>
      <c r="G18" s="4">
        <f>'Cost Pool Data'!$K$27</f>
        <v>1.3606061934437479</v>
      </c>
      <c r="H18" s="2">
        <f t="shared" si="0"/>
        <v>1.1941728972825606E-3</v>
      </c>
      <c r="I18" s="2">
        <f t="shared" si="1"/>
        <v>4.2665604986138155E-4</v>
      </c>
    </row>
    <row r="19" spans="1:10" x14ac:dyDescent="0.25">
      <c r="B19" t="s">
        <v>213</v>
      </c>
      <c r="C19" s="4">
        <f>'Mailer Arrival Profile'!$C$48*'Mailer Arrival Profile'!$E$15+C15</f>
        <v>0</v>
      </c>
      <c r="D19" s="4">
        <f>'Conversion Factors'!$J$22</f>
        <v>620.21610999043128</v>
      </c>
      <c r="E19" s="4">
        <f>'Productivity Data'!$I$28</f>
        <v>58.156985400220201</v>
      </c>
      <c r="F19" s="2">
        <f>'Wage Data'!$C$11</f>
        <v>49.154294657004115</v>
      </c>
      <c r="G19" s="4">
        <f>'Cost Pool Data'!$K$27</f>
        <v>1.3606061934437479</v>
      </c>
      <c r="H19" s="2">
        <f t="shared" si="0"/>
        <v>1.8541675781871721E-3</v>
      </c>
      <c r="I19" s="2">
        <f t="shared" si="1"/>
        <v>0</v>
      </c>
    </row>
    <row r="20" spans="1:10" x14ac:dyDescent="0.25">
      <c r="B20" t="s">
        <v>214</v>
      </c>
      <c r="C20" s="4">
        <f>'Mailer Arrival Profile'!$C$48*'Mailer Arrival Profile'!$F$15+C16</f>
        <v>3.5242599189247548E-2</v>
      </c>
      <c r="D20" s="4">
        <f>'Conversion Factors'!$J$23</f>
        <v>524.66078050207489</v>
      </c>
      <c r="E20" s="4">
        <f>'Productivity Data'!$I$27</f>
        <v>81.873572020007202</v>
      </c>
      <c r="F20" s="2">
        <f>'Wage Data'!$C$11</f>
        <v>49.154294657004115</v>
      </c>
      <c r="G20" s="4">
        <f>'Cost Pool Data'!$K$27</f>
        <v>1.3606061934437479</v>
      </c>
      <c r="H20" s="2">
        <f t="shared" si="0"/>
        <v>1.5569389110385019E-3</v>
      </c>
      <c r="I20" s="2">
        <f t="shared" si="1"/>
        <v>5.4870574003873466E-5</v>
      </c>
    </row>
    <row r="21" spans="1:10" x14ac:dyDescent="0.25">
      <c r="B21" t="s">
        <v>227</v>
      </c>
      <c r="C21" s="4">
        <f t="shared" ref="C21:C28" si="2">C17</f>
        <v>0.25390334793675678</v>
      </c>
      <c r="D21" s="4">
        <f>'Conversion Factors'!$J$20</f>
        <v>602.07696562769354</v>
      </c>
      <c r="E21" s="4">
        <f>'Productivity Data'!$I$30</f>
        <v>39.899251235537818</v>
      </c>
      <c r="F21" s="2">
        <f>'Wage Data'!$C$11</f>
        <v>49.154294657004115</v>
      </c>
      <c r="G21" s="4">
        <f>'Cost Pool Data'!$K$27</f>
        <v>1.3606061934437479</v>
      </c>
      <c r="H21" s="2">
        <f t="shared" si="0"/>
        <v>2.7840507919402509E-3</v>
      </c>
      <c r="I21" s="2">
        <f t="shared" si="1"/>
        <v>7.0687981689960882E-4</v>
      </c>
    </row>
    <row r="22" spans="1:10" x14ac:dyDescent="0.25">
      <c r="B22" t="s">
        <v>228</v>
      </c>
      <c r="C22" s="4">
        <f t="shared" si="2"/>
        <v>0.35728163889188302</v>
      </c>
      <c r="D22" s="4">
        <f>'Conversion Factors'!$J$21</f>
        <v>962.99673626031199</v>
      </c>
      <c r="E22" s="4">
        <f>'Productivity Data'!$I$30</f>
        <v>39.899251235537818</v>
      </c>
      <c r="F22" s="2">
        <f>'Wage Data'!$C$11</f>
        <v>49.154294657004115</v>
      </c>
      <c r="G22" s="4">
        <f>'Cost Pool Data'!$K$27</f>
        <v>1.3606061934437479</v>
      </c>
      <c r="H22" s="2">
        <f t="shared" si="0"/>
        <v>1.7406215305299426E-3</v>
      </c>
      <c r="I22" s="2">
        <f t="shared" si="1"/>
        <v>6.2189211311823567E-4</v>
      </c>
    </row>
    <row r="23" spans="1:10" x14ac:dyDescent="0.25">
      <c r="B23" t="s">
        <v>229</v>
      </c>
      <c r="C23" s="4">
        <f t="shared" si="2"/>
        <v>0</v>
      </c>
      <c r="D23" s="4">
        <f>'Conversion Factors'!$J$22</f>
        <v>620.21610999043128</v>
      </c>
      <c r="E23" s="4">
        <f>'Productivity Data'!$I$30</f>
        <v>39.899251235537818</v>
      </c>
      <c r="F23" s="2">
        <f>'Wage Data'!$C$11</f>
        <v>49.154294657004115</v>
      </c>
      <c r="G23" s="4">
        <f>'Cost Pool Data'!$K$27</f>
        <v>1.3606061934437479</v>
      </c>
      <c r="H23" s="2">
        <f t="shared" si="0"/>
        <v>2.7026270778271531E-3</v>
      </c>
      <c r="I23" s="2">
        <f t="shared" si="1"/>
        <v>0</v>
      </c>
    </row>
    <row r="24" spans="1:10" x14ac:dyDescent="0.25">
      <c r="B24" t="s">
        <v>230</v>
      </c>
      <c r="C24" s="4">
        <f t="shared" si="2"/>
        <v>3.5242599189247548E-2</v>
      </c>
      <c r="D24" s="4">
        <f>'Conversion Factors'!$J$23</f>
        <v>524.66078050207489</v>
      </c>
      <c r="E24" s="4">
        <f>'Productivity Data'!$I$29</f>
        <v>50.764395048330648</v>
      </c>
      <c r="F24" s="2">
        <f>'Wage Data'!$C$11</f>
        <v>49.154294657004115</v>
      </c>
      <c r="G24" s="4">
        <f>'Cost Pool Data'!$K$27</f>
        <v>1.3606061934437479</v>
      </c>
      <c r="H24" s="2">
        <f t="shared" si="0"/>
        <v>2.5110542525386445E-3</v>
      </c>
      <c r="I24" s="2">
        <f t="shared" si="1"/>
        <v>8.8496078564675044E-5</v>
      </c>
    </row>
    <row r="25" spans="1:10" x14ac:dyDescent="0.25">
      <c r="B25" t="s">
        <v>223</v>
      </c>
      <c r="C25" s="4">
        <f t="shared" si="2"/>
        <v>0.25390334793675678</v>
      </c>
      <c r="D25" s="4">
        <f>'Conversion Factors'!$J$20</f>
        <v>602.07696562769354</v>
      </c>
      <c r="E25" s="4">
        <f>'Productivity Data'!$I$32</f>
        <v>61.728448910094343</v>
      </c>
      <c r="F25" s="2">
        <f>'Wage Data'!$C$11</f>
        <v>49.154294657004115</v>
      </c>
      <c r="G25" s="4">
        <f>'Cost Pool Data'!$K$27</f>
        <v>1.3606061934437479</v>
      </c>
      <c r="H25" s="2">
        <f t="shared" si="0"/>
        <v>1.7995194106028665E-3</v>
      </c>
      <c r="I25" s="2">
        <f t="shared" si="1"/>
        <v>4.569040030292471E-4</v>
      </c>
    </row>
    <row r="26" spans="1:10" x14ac:dyDescent="0.25">
      <c r="B26" t="s">
        <v>224</v>
      </c>
      <c r="C26" s="4">
        <f t="shared" si="2"/>
        <v>0.35728163889188302</v>
      </c>
      <c r="D26" s="4">
        <f>'Conversion Factors'!$J$21</f>
        <v>962.99673626031199</v>
      </c>
      <c r="E26" s="4">
        <f>'Productivity Data'!$I$32</f>
        <v>61.728448910094343</v>
      </c>
      <c r="F26" s="2">
        <f>'Wage Data'!$C$11</f>
        <v>49.154294657004115</v>
      </c>
      <c r="G26" s="4">
        <f>'Cost Pool Data'!$K$27</f>
        <v>1.3606061934437479</v>
      </c>
      <c r="H26" s="2">
        <f t="shared" si="0"/>
        <v>1.1250808497351304E-3</v>
      </c>
      <c r="I26" s="2">
        <f t="shared" si="1"/>
        <v>4.0197072987923976E-4</v>
      </c>
    </row>
    <row r="27" spans="1:10" x14ac:dyDescent="0.25">
      <c r="B27" s="12" t="s">
        <v>225</v>
      </c>
      <c r="C27" s="4">
        <f t="shared" si="2"/>
        <v>0</v>
      </c>
      <c r="D27" s="4">
        <f>'Conversion Factors'!$J$22</f>
        <v>620.21610999043128</v>
      </c>
      <c r="E27" s="4">
        <f>'Productivity Data'!$I$32</f>
        <v>61.728448910094343</v>
      </c>
      <c r="F27" s="2">
        <f>'Wage Data'!$C$11</f>
        <v>49.154294657004115</v>
      </c>
      <c r="G27" s="4">
        <f>'Cost Pool Data'!$K$27</f>
        <v>1.3606061934437479</v>
      </c>
      <c r="H27" s="2">
        <f t="shared" si="0"/>
        <v>1.7468897838539292E-3</v>
      </c>
      <c r="I27" s="2">
        <f t="shared" si="1"/>
        <v>0</v>
      </c>
    </row>
    <row r="28" spans="1:10" x14ac:dyDescent="0.25">
      <c r="A28" s="72"/>
      <c r="B28" s="74" t="s">
        <v>226</v>
      </c>
      <c r="C28" s="84">
        <f t="shared" si="2"/>
        <v>3.5242599189247548E-2</v>
      </c>
      <c r="D28" s="49">
        <f>'Conversion Factors'!$J$23</f>
        <v>524.66078050207489</v>
      </c>
      <c r="E28" s="49">
        <f>'Productivity Data'!$I$31</f>
        <v>91.071587890934111</v>
      </c>
      <c r="F28" s="48">
        <f>'Wage Data'!$C$11</f>
        <v>49.154294657004115</v>
      </c>
      <c r="G28" s="49">
        <f>'Cost Pool Data'!$K$27</f>
        <v>1.3606061934437479</v>
      </c>
      <c r="H28" s="48">
        <f t="shared" si="0"/>
        <v>1.3996917481698132E-3</v>
      </c>
      <c r="I28" s="75">
        <f t="shared" si="1"/>
        <v>4.9328775269245942E-5</v>
      </c>
      <c r="J28" s="76">
        <f>SUM(I17:I28)</f>
        <v>3.2919609565919225E-3</v>
      </c>
    </row>
    <row r="29" spans="1:10" x14ac:dyDescent="0.25">
      <c r="A29" s="6" t="s">
        <v>242</v>
      </c>
      <c r="B29" t="s">
        <v>211</v>
      </c>
      <c r="C29" s="4">
        <f>'Mailer Arrival Profile'!$C$49*'Mailer Arrival Profile'!$C$15+C25</f>
        <v>0.39277925854131324</v>
      </c>
      <c r="D29" s="4">
        <f>'Conversion Factors'!$J$20</f>
        <v>602.07696562769354</v>
      </c>
      <c r="E29" s="4">
        <f>'Productivity Data'!$I$38</f>
        <v>46.475052307166727</v>
      </c>
      <c r="F29" s="2">
        <f>'Wage Data'!$C$11</f>
        <v>49.154294657004115</v>
      </c>
      <c r="G29" s="4">
        <f>'Cost Pool Data'!$K$43</f>
        <v>1.386023903258889</v>
      </c>
      <c r="H29" s="2">
        <f t="shared" si="0"/>
        <v>2.4347831595690232E-3</v>
      </c>
      <c r="I29" s="2">
        <f t="shared" si="1"/>
        <v>9.5633232412439687E-4</v>
      </c>
      <c r="J29" s="13"/>
    </row>
    <row r="30" spans="1:10" x14ac:dyDescent="0.25">
      <c r="A30" s="6" t="s">
        <v>131</v>
      </c>
      <c r="B30" t="s">
        <v>212</v>
      </c>
      <c r="C30" s="4">
        <f>'Mailer Arrival Profile'!$C$49*'Mailer Arrival Profile'!$D$15+C26</f>
        <v>0.55270172037799858</v>
      </c>
      <c r="D30" s="4">
        <f>'Conversion Factors'!$J$21</f>
        <v>962.99673626031199</v>
      </c>
      <c r="E30" s="4">
        <f>'Productivity Data'!$I$38</f>
        <v>46.475052307166727</v>
      </c>
      <c r="F30" s="2">
        <f>'Wage Data'!$C$11</f>
        <v>49.154294657004115</v>
      </c>
      <c r="G30" s="4">
        <f>'Cost Pool Data'!$K$43</f>
        <v>1.386023903258889</v>
      </c>
      <c r="H30" s="2">
        <f t="shared" si="0"/>
        <v>1.5222552699061948E-3</v>
      </c>
      <c r="I30" s="2">
        <f t="shared" si="1"/>
        <v>8.4135310653162844E-4</v>
      </c>
    </row>
    <row r="31" spans="1:10" x14ac:dyDescent="0.25">
      <c r="B31" t="s">
        <v>213</v>
      </c>
      <c r="C31" s="4">
        <f>'Mailer Arrival Profile'!$C$49*'Mailer Arrival Profile'!$E$15+C27</f>
        <v>0</v>
      </c>
      <c r="D31" s="4">
        <f>'Conversion Factors'!$J$22</f>
        <v>620.21610999043128</v>
      </c>
      <c r="E31" s="4">
        <f>'Productivity Data'!$I$38</f>
        <v>46.475052307166727</v>
      </c>
      <c r="F31" s="2">
        <f>'Wage Data'!$C$11</f>
        <v>49.154294657004115</v>
      </c>
      <c r="G31" s="4">
        <f>'Cost Pool Data'!$K$43</f>
        <v>1.386023903258889</v>
      </c>
      <c r="H31" s="2">
        <f t="shared" si="0"/>
        <v>2.3635742978319963E-3</v>
      </c>
      <c r="I31" s="2">
        <f t="shared" si="1"/>
        <v>0</v>
      </c>
    </row>
    <row r="32" spans="1:10" x14ac:dyDescent="0.25">
      <c r="B32" t="s">
        <v>214</v>
      </c>
      <c r="C32" s="4">
        <f>'Mailer Arrival Profile'!$C$49*'Mailer Arrival Profile'!$F$15+C28</f>
        <v>5.4519021080688145E-2</v>
      </c>
      <c r="D32" s="4">
        <f>'Conversion Factors'!$J$23</f>
        <v>524.66078050207489</v>
      </c>
      <c r="E32" s="4">
        <f>'Productivity Data'!$I$37</f>
        <v>55.996737364805647</v>
      </c>
      <c r="F32" s="2">
        <f>'Wage Data'!$C$11</f>
        <v>49.154294657004115</v>
      </c>
      <c r="G32" s="4">
        <f>'Cost Pool Data'!$K$43</f>
        <v>1.386023903258889</v>
      </c>
      <c r="H32" s="2">
        <f t="shared" si="0"/>
        <v>2.318947219747315E-3</v>
      </c>
      <c r="I32" s="2">
        <f t="shared" si="1"/>
        <v>1.2642673235840703E-4</v>
      </c>
    </row>
    <row r="33" spans="1:10" x14ac:dyDescent="0.25">
      <c r="B33" t="s">
        <v>141</v>
      </c>
      <c r="C33" s="4">
        <f>SUM(C29:C32)</f>
        <v>1</v>
      </c>
      <c r="D33" s="4">
        <v>1</v>
      </c>
      <c r="E33" s="4">
        <f>'Productivity Data'!$I$21</f>
        <v>402.79881226580181</v>
      </c>
      <c r="F33" s="2">
        <f>'Wage Data'!$C$11</f>
        <v>49.154294657004115</v>
      </c>
      <c r="G33" s="4">
        <f>'Cost Pool Data'!$K$41</f>
        <v>1.4774316541145593</v>
      </c>
      <c r="H33" s="2">
        <f t="shared" si="0"/>
        <v>0.18029375621398216</v>
      </c>
      <c r="I33" s="2">
        <f t="shared" si="1"/>
        <v>0.18029375621398216</v>
      </c>
    </row>
    <row r="34" spans="1:10" x14ac:dyDescent="0.25">
      <c r="B34" t="s">
        <v>239</v>
      </c>
      <c r="C34" s="4">
        <f>C33*'Other Inputs'!$B$48</f>
        <v>0.39751958224543082</v>
      </c>
      <c r="D34" s="4">
        <f>'Conversion Factors'!$J$45</f>
        <v>752.97176701463843</v>
      </c>
      <c r="E34" s="4">
        <f>'Productivity Data'!$I$40</f>
        <v>23.065925296264197</v>
      </c>
      <c r="F34" s="2">
        <f>'Wage Data'!$C$11</f>
        <v>49.154294657004115</v>
      </c>
      <c r="G34" s="4">
        <f>'Cost Pool Data'!$K$42</f>
        <v>1.51761435929636</v>
      </c>
      <c r="H34" s="2">
        <f t="shared" si="0"/>
        <v>4.2951004188781792E-3</v>
      </c>
      <c r="I34" s="2">
        <f t="shared" si="1"/>
        <v>1.7073865242146287E-3</v>
      </c>
    </row>
    <row r="35" spans="1:10" x14ac:dyDescent="0.25">
      <c r="B35" t="s">
        <v>143</v>
      </c>
      <c r="C35" s="4">
        <f>C34*(1+'Other Inputs'!$B$9)</f>
        <v>0.41436905971578081</v>
      </c>
      <c r="D35" s="4">
        <f>'Conversion Factors'!$J$49</f>
        <v>84.485141211051427</v>
      </c>
      <c r="E35" s="4">
        <f>'Productivity Data'!$I$19</f>
        <v>3068.1109131264348</v>
      </c>
      <c r="F35" s="2">
        <f>'Wage Data'!$C$11</f>
        <v>49.154294657004115</v>
      </c>
      <c r="G35" s="4">
        <f>'Cost Pool Data'!$K$46</f>
        <v>1.6196174573049362</v>
      </c>
      <c r="H35" s="2">
        <f t="shared" si="0"/>
        <v>3.0713020387303198E-4</v>
      </c>
      <c r="I35" s="2">
        <f t="shared" si="1"/>
        <v>1.2726525378918432E-4</v>
      </c>
    </row>
    <row r="36" spans="1:10" x14ac:dyDescent="0.25">
      <c r="B36" t="s">
        <v>248</v>
      </c>
      <c r="C36" s="4">
        <f>C33*(1-'Other Inputs'!$B$48)</f>
        <v>0.60248041775456918</v>
      </c>
      <c r="D36" s="4">
        <f>'Conversion Factors'!$J$48</f>
        <v>230.28825131278461</v>
      </c>
      <c r="E36" s="4">
        <f>'Productivity Data'!$I$44</f>
        <v>70.608822220868689</v>
      </c>
      <c r="F36" s="2">
        <f>'Wage Data'!$C$11</f>
        <v>49.154294657004115</v>
      </c>
      <c r="G36" s="4">
        <f>'Cost Pool Data'!$K$43</f>
        <v>1.386023903258889</v>
      </c>
      <c r="H36" s="2">
        <f t="shared" si="0"/>
        <v>4.1898785968946398E-3</v>
      </c>
      <c r="I36" s="2">
        <f t="shared" si="1"/>
        <v>2.5243198073980106E-3</v>
      </c>
    </row>
    <row r="37" spans="1:10" x14ac:dyDescent="0.25">
      <c r="A37" s="72"/>
      <c r="B37" s="79" t="s">
        <v>125</v>
      </c>
      <c r="C37" s="49">
        <f>C34</f>
        <v>0.39751958224543082</v>
      </c>
      <c r="D37" s="49">
        <f>'Conversion Factors'!$J$47</f>
        <v>1093.3866645265541</v>
      </c>
      <c r="E37" s="49">
        <f>'Productivity Data'!$I$46</f>
        <v>20.811195458396703</v>
      </c>
      <c r="F37" s="48">
        <f>'Wage Data'!$C$11</f>
        <v>49.154294657004115</v>
      </c>
      <c r="G37" s="49">
        <f>'Cost Pool Data'!$K$43</f>
        <v>1.386023903258889</v>
      </c>
      <c r="H37" s="48">
        <f t="shared" si="0"/>
        <v>2.9940661262880413E-3</v>
      </c>
      <c r="I37" s="75">
        <f t="shared" si="1"/>
        <v>1.1901999157372175E-3</v>
      </c>
      <c r="J37" s="76">
        <f>SUM(I29:I37)</f>
        <v>0.18776703987813562</v>
      </c>
    </row>
    <row r="38" spans="1:10" x14ac:dyDescent="0.25">
      <c r="A38" s="6" t="s">
        <v>243</v>
      </c>
      <c r="B38" t="s">
        <v>126</v>
      </c>
      <c r="C38" s="4">
        <f>C37</f>
        <v>0.39751958224543082</v>
      </c>
      <c r="D38" s="4">
        <f>'Conversion Factors'!$J$47</f>
        <v>1093.3866645265541</v>
      </c>
      <c r="E38" s="4">
        <f>'Productivity Data'!$I$39</f>
        <v>53.146449685685347</v>
      </c>
      <c r="F38" s="2">
        <f>'Wage Data'!$C$11</f>
        <v>49.154294657004115</v>
      </c>
      <c r="G38" s="4">
        <f>'Cost Pool Data'!$K$43</f>
        <v>1.386023903258889</v>
      </c>
      <c r="H38" s="2">
        <f t="shared" si="0"/>
        <v>1.1724225369343516E-3</v>
      </c>
      <c r="I38" s="2">
        <f t="shared" si="1"/>
        <v>4.6606091709727163E-4</v>
      </c>
    </row>
    <row r="39" spans="1:10" x14ac:dyDescent="0.25">
      <c r="A39" s="6" t="s">
        <v>131</v>
      </c>
      <c r="B39" t="s">
        <v>140</v>
      </c>
      <c r="C39" s="4">
        <f>C38</f>
        <v>0.39751958224543082</v>
      </c>
      <c r="D39" s="4">
        <f>'Conversion Factors'!$J$47</f>
        <v>1093.3866645265541</v>
      </c>
      <c r="E39" s="4">
        <f>'Productivity Data'!$I$42</f>
        <v>16.646694338879648</v>
      </c>
      <c r="F39" s="2">
        <f>'Wage Data'!$C$11</f>
        <v>49.154294657004115</v>
      </c>
      <c r="G39" s="4">
        <f>'Cost Pool Data'!$K$42</f>
        <v>1.51761435929636</v>
      </c>
      <c r="H39" s="2">
        <f t="shared" si="0"/>
        <v>4.0984639337749854E-3</v>
      </c>
      <c r="I39" s="2">
        <f t="shared" si="1"/>
        <v>1.6292196708021973E-3</v>
      </c>
    </row>
    <row r="40" spans="1:10" x14ac:dyDescent="0.25">
      <c r="B40" t="s">
        <v>143</v>
      </c>
      <c r="C40" s="4">
        <f>C39*(1+'Other Inputs'!$B$9)</f>
        <v>0.41436905971578081</v>
      </c>
      <c r="D40" s="4">
        <f>'Conversion Factors'!$J$49</f>
        <v>84.485141211051427</v>
      </c>
      <c r="E40" s="4">
        <f>'Productivity Data'!$I$19</f>
        <v>3068.1109131264348</v>
      </c>
      <c r="F40" s="2">
        <f>'Wage Data'!$C$11</f>
        <v>49.154294657004115</v>
      </c>
      <c r="G40" s="4">
        <f>'Cost Pool Data'!$K$46</f>
        <v>1.6196174573049362</v>
      </c>
      <c r="H40" s="2">
        <f>(F40*G40)/(D40*E40)</f>
        <v>3.0713020387303198E-4</v>
      </c>
      <c r="I40" s="2">
        <f>C40*H40</f>
        <v>1.2726525378918432E-4</v>
      </c>
    </row>
    <row r="41" spans="1:10" x14ac:dyDescent="0.25">
      <c r="B41" t="s">
        <v>141</v>
      </c>
      <c r="C41" s="4">
        <f>C39</f>
        <v>0.39751958224543082</v>
      </c>
      <c r="D41" s="4">
        <v>1</v>
      </c>
      <c r="E41" s="4">
        <f>'Productivity Data'!$I$21</f>
        <v>402.79881226580181</v>
      </c>
      <c r="F41" s="2">
        <f>'Wage Data'!$C$11</f>
        <v>49.154294657004115</v>
      </c>
      <c r="G41" s="4">
        <f>'Cost Pool Data'!$K$41</f>
        <v>1.4774316541145593</v>
      </c>
      <c r="H41" s="2">
        <f t="shared" si="0"/>
        <v>0.18029375621398216</v>
      </c>
      <c r="I41" s="2">
        <f t="shared" si="1"/>
        <v>7.1670298651641734E-2</v>
      </c>
    </row>
    <row r="42" spans="1:10" x14ac:dyDescent="0.25">
      <c r="A42" s="72"/>
      <c r="B42" s="79" t="s">
        <v>248</v>
      </c>
      <c r="C42" s="49">
        <f>C41</f>
        <v>0.39751958224543082</v>
      </c>
      <c r="D42" s="84">
        <f>'Conversion Factors'!$J$48</f>
        <v>230.28825131278461</v>
      </c>
      <c r="E42" s="49">
        <f>'Productivity Data'!$I$44</f>
        <v>70.608822220868689</v>
      </c>
      <c r="F42" s="48">
        <f>'Wage Data'!$C$11</f>
        <v>49.154294657004115</v>
      </c>
      <c r="G42" s="49">
        <f>'Cost Pool Data'!$K$43</f>
        <v>1.386023903258889</v>
      </c>
      <c r="H42" s="48">
        <f t="shared" si="0"/>
        <v>4.1898785968946398E-3</v>
      </c>
      <c r="I42" s="75">
        <f t="shared" si="1"/>
        <v>1.665558789496629E-3</v>
      </c>
      <c r="J42" s="76">
        <f>SUM(I38:I42)</f>
        <v>7.5558403282827022E-2</v>
      </c>
    </row>
    <row r="43" spans="1:10" x14ac:dyDescent="0.25">
      <c r="A43" s="6" t="s">
        <v>243</v>
      </c>
      <c r="B43" t="s">
        <v>249</v>
      </c>
      <c r="C43" s="4">
        <f>C36+C42</f>
        <v>1</v>
      </c>
      <c r="D43" s="85">
        <f>'Conversion Factors'!$J$48</f>
        <v>230.28825131278461</v>
      </c>
      <c r="E43" s="4">
        <f>'Productivity Data'!$I$27</f>
        <v>81.873572020007202</v>
      </c>
      <c r="F43" s="2">
        <f>'Wage Data'!$C$11</f>
        <v>49.154294657004115</v>
      </c>
      <c r="G43" s="4">
        <f>'Cost Pool Data'!$K$27</f>
        <v>1.3606061934437479</v>
      </c>
      <c r="H43" s="2">
        <f>(F43*G43)/(D43*E43)</f>
        <v>3.5471405058785221E-3</v>
      </c>
      <c r="I43" s="2">
        <f>C43*H43</f>
        <v>3.5471405058785221E-3</v>
      </c>
    </row>
    <row r="44" spans="1:10" x14ac:dyDescent="0.25">
      <c r="A44" s="6" t="s">
        <v>241</v>
      </c>
      <c r="B44" t="s">
        <v>198</v>
      </c>
      <c r="C44" s="4">
        <f>C43</f>
        <v>1</v>
      </c>
      <c r="D44" s="4">
        <v>1</v>
      </c>
      <c r="E44" s="4">
        <f>'Productivity Data'!$I$16</f>
        <v>47.994690148863093</v>
      </c>
      <c r="F44" s="2">
        <f>'Wage Data'!$C$11</f>
        <v>49.154294657004115</v>
      </c>
      <c r="G44" s="4">
        <f>'Cost Pool Data'!$K$16</f>
        <v>1.3208756008457678</v>
      </c>
      <c r="H44" s="2">
        <f>(F44*G44)/(D44*E44)</f>
        <v>1.3527894083249588</v>
      </c>
      <c r="I44" s="2">
        <f>C44*H44</f>
        <v>1.3527894083249588</v>
      </c>
    </row>
    <row r="45" spans="1:10" x14ac:dyDescent="0.25">
      <c r="A45" s="72"/>
      <c r="B45" s="79" t="s">
        <v>248</v>
      </c>
      <c r="C45" s="49">
        <f>C44</f>
        <v>1</v>
      </c>
      <c r="D45" s="84">
        <f>'Conversion Factors'!$J$48</f>
        <v>230.28825131278461</v>
      </c>
      <c r="E45" s="49">
        <f>'Productivity Data'!$I$31</f>
        <v>91.071587890934111</v>
      </c>
      <c r="F45" s="48">
        <f>'Wage Data'!$C$11</f>
        <v>49.154294657004115</v>
      </c>
      <c r="G45" s="49">
        <f>'Cost Pool Data'!$K$27</f>
        <v>1.3606061934437479</v>
      </c>
      <c r="H45" s="48">
        <f>(F45*G45)/(D45*E45)</f>
        <v>3.1888876695652744E-3</v>
      </c>
      <c r="I45" s="75">
        <f>C45*H45</f>
        <v>3.1888876695652744E-3</v>
      </c>
      <c r="J45" s="76">
        <f>SUM(I43:I45)</f>
        <v>1.3595254365004026</v>
      </c>
    </row>
    <row r="46" spans="1:10" x14ac:dyDescent="0.25">
      <c r="A46" s="6" t="s">
        <v>243</v>
      </c>
      <c r="B46" t="s">
        <v>249</v>
      </c>
      <c r="C46" s="4">
        <f>C45</f>
        <v>1</v>
      </c>
      <c r="D46" s="85">
        <f>'Conversion Factors'!$J$48</f>
        <v>230.28825131278461</v>
      </c>
      <c r="E46" s="4">
        <f>'Productivity Data'!$I$25</f>
        <v>60.332591436644847</v>
      </c>
      <c r="F46" s="2">
        <f>'Wage Data'!$C$11</f>
        <v>49.154294657004115</v>
      </c>
      <c r="G46" s="4">
        <f>'Cost Pool Data'!$K$48</f>
        <v>1.6214860636540271</v>
      </c>
      <c r="H46" s="2">
        <f>(F46*G46)/(D46*E46)</f>
        <v>5.7365519004790779E-3</v>
      </c>
      <c r="I46" s="2">
        <f>C46*H46</f>
        <v>5.7365519004790779E-3</v>
      </c>
    </row>
    <row r="47" spans="1:10" x14ac:dyDescent="0.25">
      <c r="A47" s="72" t="s">
        <v>85</v>
      </c>
      <c r="B47" s="79" t="s">
        <v>135</v>
      </c>
      <c r="C47" s="49">
        <f>C46</f>
        <v>1</v>
      </c>
      <c r="D47" s="49">
        <v>1</v>
      </c>
      <c r="E47" s="49">
        <f>'Productivity Data'!$I$22</f>
        <v>307.66822713635111</v>
      </c>
      <c r="F47" s="48">
        <f>'Wage Data'!$C$11</f>
        <v>49.154294657004115</v>
      </c>
      <c r="G47" s="49">
        <f>'Cost Pool Data'!$K$57</f>
        <v>1.4957786551922303</v>
      </c>
      <c r="H47" s="48">
        <f>(F47*G47)/(D47*E47)</f>
        <v>0.23897152280983572</v>
      </c>
      <c r="I47" s="75">
        <f>C47*H47</f>
        <v>0.23897152280983572</v>
      </c>
      <c r="J47" s="76">
        <f>SUM(I46:I47)</f>
        <v>0.2447080747103148</v>
      </c>
    </row>
    <row r="49" spans="1:10" x14ac:dyDescent="0.25">
      <c r="A49" s="29" t="s">
        <v>259</v>
      </c>
      <c r="I49" s="80" t="s">
        <v>203</v>
      </c>
      <c r="J49" s="81">
        <f>J16+J28+J37+J42+J45+J47</f>
        <v>1.872804592702505</v>
      </c>
    </row>
    <row r="50" spans="1:10" x14ac:dyDescent="0.25">
      <c r="A50" s="6" t="s">
        <v>296</v>
      </c>
      <c r="F50"/>
      <c r="G50"/>
      <c r="H50"/>
      <c r="I50"/>
    </row>
    <row r="51" spans="1:10" x14ac:dyDescent="0.25">
      <c r="A51" s="6" t="s">
        <v>297</v>
      </c>
    </row>
    <row r="52" spans="1:10" x14ac:dyDescent="0.25">
      <c r="A52" s="6" t="s">
        <v>298</v>
      </c>
    </row>
    <row r="53" spans="1:10" x14ac:dyDescent="0.25">
      <c r="A53" s="6" t="s">
        <v>299</v>
      </c>
    </row>
    <row r="54" spans="1:10" x14ac:dyDescent="0.25">
      <c r="A54" s="6" t="s">
        <v>277</v>
      </c>
    </row>
    <row r="55" spans="1:10" x14ac:dyDescent="0.25">
      <c r="A55" s="6" t="s">
        <v>300</v>
      </c>
    </row>
    <row r="56" spans="1:10" x14ac:dyDescent="0.25">
      <c r="A56" s="6" t="s">
        <v>301</v>
      </c>
    </row>
  </sheetData>
  <phoneticPr fontId="3" type="noConversion"/>
  <printOptions horizontalCentered="1"/>
  <pageMargins left="0.75" right="0.75" top="1" bottom="1" header="0.5" footer="0.5"/>
  <pageSetup scale="61" orientation="portrait" r:id="rId1"/>
  <headerFooter alignWithMargins="0">
    <oddHeader>&amp;RPage 17 of 50</oddHeader>
    <oddFooter>&amp;R&amp;F</oddFooter>
  </headerFooter>
  <ignoredErrors>
    <ignoredError sqref="G35 C43 G44 C40" formula="1"/>
  </ignoredError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3">
    <pageSetUpPr fitToPage="1"/>
  </sheetPr>
  <dimension ref="A1:J56"/>
  <sheetViews>
    <sheetView topLeftCell="A20" zoomScale="75" workbookViewId="0">
      <selection activeCell="S45" sqref="S45"/>
    </sheetView>
  </sheetViews>
  <sheetFormatPr defaultColWidth="9.109375" defaultRowHeight="13.2" x14ac:dyDescent="0.25"/>
  <cols>
    <col min="1" max="1" width="15.6640625" style="6" customWidth="1"/>
    <col min="2" max="2" width="30.6640625" style="6" customWidth="1"/>
    <col min="3" max="5" width="12.6640625" style="4" customWidth="1"/>
    <col min="6" max="6" width="12.6640625" style="2" customWidth="1"/>
    <col min="7" max="7" width="12.6640625" style="4" customWidth="1"/>
    <col min="8" max="9" width="12.6640625" style="2" customWidth="1"/>
    <col min="10" max="10" width="12.6640625" customWidth="1"/>
  </cols>
  <sheetData>
    <row r="1" spans="1:10" ht="15.6" x14ac:dyDescent="0.3">
      <c r="A1" s="5" t="s">
        <v>391</v>
      </c>
      <c r="B1" s="5"/>
    </row>
    <row r="4" spans="1:10" x14ac:dyDescent="0.25">
      <c r="C4" s="8" t="s">
        <v>107</v>
      </c>
      <c r="D4" s="8" t="s">
        <v>108</v>
      </c>
      <c r="E4" s="8" t="s">
        <v>109</v>
      </c>
      <c r="F4" s="50" t="s">
        <v>112</v>
      </c>
      <c r="G4" s="8" t="s">
        <v>156</v>
      </c>
      <c r="H4" s="50" t="s">
        <v>157</v>
      </c>
      <c r="I4" s="50" t="s">
        <v>192</v>
      </c>
    </row>
    <row r="5" spans="1:10" x14ac:dyDescent="0.25">
      <c r="A5" s="70"/>
      <c r="F5" s="50" t="s">
        <v>155</v>
      </c>
      <c r="H5" s="50" t="s">
        <v>3</v>
      </c>
      <c r="I5" s="50" t="s">
        <v>3</v>
      </c>
    </row>
    <row r="6" spans="1:10" s="6" customFormat="1" x14ac:dyDescent="0.25">
      <c r="C6" s="8"/>
      <c r="D6" s="8" t="s">
        <v>202</v>
      </c>
      <c r="E6" s="8" t="s">
        <v>101</v>
      </c>
      <c r="F6" s="50" t="s">
        <v>103</v>
      </c>
      <c r="G6" s="8" t="s">
        <v>105</v>
      </c>
      <c r="H6" s="50" t="s">
        <v>207</v>
      </c>
      <c r="I6" s="50" t="s">
        <v>206</v>
      </c>
    </row>
    <row r="7" spans="1:10" s="6" customFormat="1" x14ac:dyDescent="0.25">
      <c r="A7" s="6" t="s">
        <v>84</v>
      </c>
      <c r="B7" s="6" t="s">
        <v>76</v>
      </c>
      <c r="C7" s="8" t="s">
        <v>199</v>
      </c>
      <c r="D7" s="8" t="s">
        <v>81</v>
      </c>
      <c r="E7" s="8" t="s">
        <v>102</v>
      </c>
      <c r="F7" s="50" t="s">
        <v>104</v>
      </c>
      <c r="G7" s="8" t="s">
        <v>81</v>
      </c>
      <c r="H7" s="50" t="s">
        <v>76</v>
      </c>
      <c r="I7" s="50" t="s">
        <v>84</v>
      </c>
    </row>
    <row r="8" spans="1:10" x14ac:dyDescent="0.25">
      <c r="A8" s="72"/>
      <c r="B8" s="72"/>
      <c r="C8" s="49"/>
      <c r="D8" s="49"/>
      <c r="E8" s="49"/>
      <c r="F8" s="48"/>
      <c r="G8" s="49"/>
      <c r="H8" s="48"/>
      <c r="I8" s="48"/>
      <c r="J8" s="79"/>
    </row>
    <row r="9" spans="1:10" x14ac:dyDescent="0.25">
      <c r="A9" s="6" t="s">
        <v>240</v>
      </c>
      <c r="B9" s="12" t="s">
        <v>211</v>
      </c>
      <c r="C9" s="4">
        <f>'Mailer Arrival Profile'!$C$47*'Mailer Arrival Profile'!$C$16</f>
        <v>6.9660825427976344E-2</v>
      </c>
      <c r="D9" s="4">
        <f>'Conversion Factors'!$J$20</f>
        <v>602.07696562769354</v>
      </c>
      <c r="E9" s="4">
        <f>'Productivity Data'!$I$26</f>
        <v>48.58034429266948</v>
      </c>
      <c r="F9" s="2">
        <f>'Wage Data'!$C$11</f>
        <v>49.154294657004115</v>
      </c>
      <c r="G9" s="4">
        <f>'Cost Pool Data'!$K$48</f>
        <v>1.6214860636540271</v>
      </c>
      <c r="H9" s="2">
        <f>(F9*G9)/(D9*E9)</f>
        <v>2.724972277432619E-3</v>
      </c>
      <c r="I9" s="2">
        <f>C9*H9</f>
        <v>1.8982381811430879E-4</v>
      </c>
    </row>
    <row r="10" spans="1:10" x14ac:dyDescent="0.25">
      <c r="A10" s="6" t="s">
        <v>85</v>
      </c>
      <c r="B10" s="12" t="s">
        <v>212</v>
      </c>
      <c r="C10" s="4">
        <f>'Mailer Arrival Profile'!$C$47*'Mailer Arrival Profile'!$D$16</f>
        <v>0.29610462070709098</v>
      </c>
      <c r="D10" s="4">
        <f>'Conversion Factors'!$J$21</f>
        <v>962.99673626031199</v>
      </c>
      <c r="E10" s="4">
        <f>'Productivity Data'!$I$26</f>
        <v>48.58034429266948</v>
      </c>
      <c r="F10" s="2">
        <f>'Wage Data'!$C$11</f>
        <v>49.154294657004115</v>
      </c>
      <c r="G10" s="4">
        <f>'Cost Pool Data'!$K$48</f>
        <v>1.6214860636540271</v>
      </c>
      <c r="H10" s="2">
        <f>(F10*G10)/(D10*E10)</f>
        <v>1.7036849435102623E-3</v>
      </c>
      <c r="I10" s="2">
        <f>C10*H10</f>
        <v>5.0446898400248799E-4</v>
      </c>
    </row>
    <row r="11" spans="1:10" x14ac:dyDescent="0.25">
      <c r="B11" s="12" t="s">
        <v>213</v>
      </c>
      <c r="C11" s="4">
        <f>'Mailer Arrival Profile'!$C$47*'Mailer Arrival Profile'!$E$16</f>
        <v>4.165508316633184E-2</v>
      </c>
      <c r="D11" s="4">
        <f>'Conversion Factors'!$J$22</f>
        <v>620.21610999043128</v>
      </c>
      <c r="E11" s="4">
        <f>'Productivity Data'!$I$26</f>
        <v>48.58034429266948</v>
      </c>
      <c r="F11" s="2">
        <f>'Wage Data'!$C$11</f>
        <v>49.154294657004115</v>
      </c>
      <c r="G11" s="4">
        <f>'Cost Pool Data'!$K$48</f>
        <v>1.6214860636540271</v>
      </c>
      <c r="H11" s="2">
        <f>(F11*G11)/(D11*E11)</f>
        <v>2.6452764025131962E-3</v>
      </c>
      <c r="I11" s="2">
        <f>C11*H11</f>
        <v>1.1018920854462228E-4</v>
      </c>
    </row>
    <row r="12" spans="1:10" x14ac:dyDescent="0.25">
      <c r="B12" s="12" t="s">
        <v>214</v>
      </c>
      <c r="C12" s="4">
        <f>'Mailer Arrival Profile'!$C$47*'Mailer Arrival Profile'!$F$16</f>
        <v>2.330225316611036E-2</v>
      </c>
      <c r="D12" s="4">
        <f>'Conversion Factors'!$J$23</f>
        <v>524.66078050207489</v>
      </c>
      <c r="E12" s="4">
        <f>'Productivity Data'!$I$25</f>
        <v>60.332591436644847</v>
      </c>
      <c r="F12" s="2">
        <f>'Wage Data'!$C$11</f>
        <v>49.154294657004115</v>
      </c>
      <c r="G12" s="4">
        <f>'Cost Pool Data'!$K$48</f>
        <v>1.6214860636540271</v>
      </c>
      <c r="H12" s="2">
        <f>(F12*G12)/(D12*E12)</f>
        <v>2.5179326429968091E-3</v>
      </c>
      <c r="I12" s="2">
        <f>C12*H12</f>
        <v>5.8673503902325023E-5</v>
      </c>
    </row>
    <row r="13" spans="1:10" x14ac:dyDescent="0.25">
      <c r="B13" t="s">
        <v>223</v>
      </c>
      <c r="C13" s="4">
        <f>C9</f>
        <v>6.9660825427976344E-2</v>
      </c>
      <c r="D13" s="4">
        <f>'Conversion Factors'!$J$20</f>
        <v>602.07696562769354</v>
      </c>
      <c r="E13" s="4">
        <f>'Productivity Data'!$I$24</f>
        <v>43.137464151665213</v>
      </c>
      <c r="F13" s="2">
        <f>'Wage Data'!$C$11</f>
        <v>49.154294657004115</v>
      </c>
      <c r="G13" s="4">
        <f>'Cost Pool Data'!$K$48</f>
        <v>1.6214860636540271</v>
      </c>
      <c r="H13" s="2">
        <f>(F13*G13)/(D13*E13)</f>
        <v>3.0687963242397981E-3</v>
      </c>
      <c r="I13" s="2">
        <f>C13*H13</f>
        <v>2.1377488501688407E-4</v>
      </c>
    </row>
    <row r="14" spans="1:10" x14ac:dyDescent="0.25">
      <c r="B14" t="s">
        <v>224</v>
      </c>
      <c r="C14" s="4">
        <f>C10</f>
        <v>0.29610462070709098</v>
      </c>
      <c r="D14" s="4">
        <f>'Conversion Factors'!$J$21</f>
        <v>962.99673626031199</v>
      </c>
      <c r="E14" s="4">
        <f>'Productivity Data'!$I$24</f>
        <v>43.137464151665213</v>
      </c>
      <c r="F14" s="2">
        <f>'Wage Data'!$C$11</f>
        <v>49.154294657004115</v>
      </c>
      <c r="G14" s="4">
        <f>'Cost Pool Data'!$K$48</f>
        <v>1.6214860636540271</v>
      </c>
      <c r="H14" s="2">
        <f t="shared" ref="H14:H43" si="0">(F14*G14)/(D14*E14)</f>
        <v>1.9186478099633667E-3</v>
      </c>
      <c r="I14" s="2">
        <f t="shared" ref="I14:I43" si="1">C14*H14</f>
        <v>5.6812048203969351E-4</v>
      </c>
    </row>
    <row r="15" spans="1:10" x14ac:dyDescent="0.25">
      <c r="B15" s="12" t="s">
        <v>225</v>
      </c>
      <c r="C15" s="4">
        <f>C11</f>
        <v>4.165508316633184E-2</v>
      </c>
      <c r="D15" s="4">
        <f>'Conversion Factors'!$J$22</f>
        <v>620.21610999043128</v>
      </c>
      <c r="E15" s="4">
        <f>'Productivity Data'!$I$24</f>
        <v>43.137464151665213</v>
      </c>
      <c r="F15" s="2">
        <f>'Wage Data'!$C$11</f>
        <v>49.154294657004115</v>
      </c>
      <c r="G15" s="4">
        <f>'Cost Pool Data'!$K$48</f>
        <v>1.6214860636540271</v>
      </c>
      <c r="H15" s="2">
        <f t="shared" si="0"/>
        <v>2.9790448027159811E-3</v>
      </c>
      <c r="I15" s="2">
        <f t="shared" si="1"/>
        <v>1.2409235901336281E-4</v>
      </c>
    </row>
    <row r="16" spans="1:10" x14ac:dyDescent="0.25">
      <c r="A16" s="72"/>
      <c r="B16" s="74" t="s">
        <v>226</v>
      </c>
      <c r="C16" s="49">
        <f>C12</f>
        <v>2.330225316611036E-2</v>
      </c>
      <c r="D16" s="49">
        <f>'Conversion Factors'!$J$23</f>
        <v>524.66078050207489</v>
      </c>
      <c r="E16" s="49">
        <f>'Productivity Data'!$I$23</f>
        <v>68.564044141410264</v>
      </c>
      <c r="F16" s="48">
        <f>'Wage Data'!$C$11</f>
        <v>49.154294657004115</v>
      </c>
      <c r="G16" s="49">
        <f>'Cost Pool Data'!$K$48</f>
        <v>1.6214860636540271</v>
      </c>
      <c r="H16" s="48">
        <f t="shared" si="0"/>
        <v>2.2156423722848556E-3</v>
      </c>
      <c r="I16" s="75">
        <f t="shared" si="1"/>
        <v>5.1629459484543048E-5</v>
      </c>
      <c r="J16" s="76">
        <f>SUM(I9:I16)</f>
        <v>1.8207727001182275E-3</v>
      </c>
    </row>
    <row r="17" spans="1:10" x14ac:dyDescent="0.25">
      <c r="A17" s="6" t="s">
        <v>240</v>
      </c>
      <c r="B17" t="s">
        <v>211</v>
      </c>
      <c r="C17" s="4">
        <f>'Mailer Arrival Profile'!$C$48*'Mailer Arrival Profile'!$C$16+C13</f>
        <v>0.10454677823970684</v>
      </c>
      <c r="D17" s="4">
        <f>'Conversion Factors'!$J$20</f>
        <v>602.07696562769354</v>
      </c>
      <c r="E17" s="4">
        <f>'Productivity Data'!$I$28</f>
        <v>58.156985400220201</v>
      </c>
      <c r="F17" s="2">
        <f>'Wage Data'!$C$11</f>
        <v>49.154294657004115</v>
      </c>
      <c r="G17" s="4">
        <f>'Cost Pool Data'!$K$27</f>
        <v>1.3606061934437479</v>
      </c>
      <c r="H17" s="2">
        <f t="shared" si="0"/>
        <v>1.9100292292609361E-3</v>
      </c>
      <c r="I17" s="2">
        <f t="shared" si="1"/>
        <v>1.9968740226290128E-4</v>
      </c>
    </row>
    <row r="18" spans="1:10" x14ac:dyDescent="0.25">
      <c r="A18" s="6" t="s">
        <v>241</v>
      </c>
      <c r="B18" t="s">
        <v>212</v>
      </c>
      <c r="C18" s="4">
        <f>'Mailer Arrival Profile'!$C$48*'Mailer Arrival Profile'!$D$16+C14</f>
        <v>0.44439301324133113</v>
      </c>
      <c r="D18" s="4">
        <f>'Conversion Factors'!$J$21</f>
        <v>962.99673626031199</v>
      </c>
      <c r="E18" s="4">
        <f>'Productivity Data'!$I$28</f>
        <v>58.156985400220201</v>
      </c>
      <c r="F18" s="2">
        <f>'Wage Data'!$C$11</f>
        <v>49.154294657004115</v>
      </c>
      <c r="G18" s="4">
        <f>'Cost Pool Data'!$K$27</f>
        <v>1.3606061934437479</v>
      </c>
      <c r="H18" s="2">
        <f t="shared" si="0"/>
        <v>1.1941728972825606E-3</v>
      </c>
      <c r="I18" s="2">
        <f t="shared" si="1"/>
        <v>5.306820921545277E-4</v>
      </c>
    </row>
    <row r="19" spans="1:10" x14ac:dyDescent="0.25">
      <c r="B19" t="s">
        <v>213</v>
      </c>
      <c r="C19" s="4">
        <f>'Mailer Arrival Profile'!$C$48*'Mailer Arrival Profile'!$E$16+C15</f>
        <v>6.2515836061254534E-2</v>
      </c>
      <c r="D19" s="4">
        <f>'Conversion Factors'!$J$22</f>
        <v>620.21610999043128</v>
      </c>
      <c r="E19" s="4">
        <f>'Productivity Data'!$I$28</f>
        <v>58.156985400220201</v>
      </c>
      <c r="F19" s="2">
        <f>'Wage Data'!$C$11</f>
        <v>49.154294657004115</v>
      </c>
      <c r="G19" s="4">
        <f>'Cost Pool Data'!$K$27</f>
        <v>1.3606061934437479</v>
      </c>
      <c r="H19" s="2">
        <f t="shared" si="0"/>
        <v>1.8541675781871721E-3</v>
      </c>
      <c r="I19" s="2">
        <f t="shared" si="1"/>
        <v>1.1591483634804259E-4</v>
      </c>
    </row>
    <row r="20" spans="1:10" x14ac:dyDescent="0.25">
      <c r="B20" t="s">
        <v>214</v>
      </c>
      <c r="C20" s="4">
        <f>'Mailer Arrival Profile'!$C$48*'Mailer Arrival Profile'!$F$16+C16</f>
        <v>3.497195847559479E-2</v>
      </c>
      <c r="D20" s="4">
        <f>'Conversion Factors'!$J$23</f>
        <v>524.66078050207489</v>
      </c>
      <c r="E20" s="4">
        <f>'Productivity Data'!$I$27</f>
        <v>81.873572020007202</v>
      </c>
      <c r="F20" s="2">
        <f>'Wage Data'!$C$11</f>
        <v>49.154294657004115</v>
      </c>
      <c r="G20" s="4">
        <f>'Cost Pool Data'!$K$27</f>
        <v>1.3606061934437479</v>
      </c>
      <c r="H20" s="2">
        <f t="shared" si="0"/>
        <v>1.5569389110385019E-3</v>
      </c>
      <c r="I20" s="2">
        <f t="shared" si="1"/>
        <v>5.4449202945876257E-5</v>
      </c>
    </row>
    <row r="21" spans="1:10" x14ac:dyDescent="0.25">
      <c r="B21" t="s">
        <v>227</v>
      </c>
      <c r="C21" s="4">
        <f t="shared" ref="C21:C28" si="2">C17</f>
        <v>0.10454677823970684</v>
      </c>
      <c r="D21" s="4">
        <f>'Conversion Factors'!$J$20</f>
        <v>602.07696562769354</v>
      </c>
      <c r="E21" s="4">
        <f>'Productivity Data'!$I$30</f>
        <v>39.899251235537818</v>
      </c>
      <c r="F21" s="2">
        <f>'Wage Data'!$C$11</f>
        <v>49.154294657004115</v>
      </c>
      <c r="G21" s="4">
        <f>'Cost Pool Data'!$K$27</f>
        <v>1.3606061934437479</v>
      </c>
      <c r="H21" s="2">
        <f t="shared" si="0"/>
        <v>2.7840507919402509E-3</v>
      </c>
      <c r="I21" s="2">
        <f t="shared" si="1"/>
        <v>2.9106354075305761E-4</v>
      </c>
    </row>
    <row r="22" spans="1:10" x14ac:dyDescent="0.25">
      <c r="B22" t="s">
        <v>228</v>
      </c>
      <c r="C22" s="4">
        <f t="shared" si="2"/>
        <v>0.44439301324133113</v>
      </c>
      <c r="D22" s="4">
        <f>'Conversion Factors'!$J$21</f>
        <v>962.99673626031199</v>
      </c>
      <c r="E22" s="4">
        <f>'Productivity Data'!$I$30</f>
        <v>39.899251235537818</v>
      </c>
      <c r="F22" s="2">
        <f>'Wage Data'!$C$11</f>
        <v>49.154294657004115</v>
      </c>
      <c r="G22" s="4">
        <f>'Cost Pool Data'!$K$27</f>
        <v>1.3606061934437479</v>
      </c>
      <c r="H22" s="2">
        <f t="shared" si="0"/>
        <v>1.7406215305299426E-3</v>
      </c>
      <c r="I22" s="2">
        <f t="shared" si="1"/>
        <v>7.7352004686493888E-4</v>
      </c>
    </row>
    <row r="23" spans="1:10" x14ac:dyDescent="0.25">
      <c r="B23" t="s">
        <v>229</v>
      </c>
      <c r="C23" s="4">
        <f t="shared" si="2"/>
        <v>6.2515836061254534E-2</v>
      </c>
      <c r="D23" s="4">
        <f>'Conversion Factors'!$J$22</f>
        <v>620.21610999043128</v>
      </c>
      <c r="E23" s="4">
        <f>'Productivity Data'!$I$30</f>
        <v>39.899251235537818</v>
      </c>
      <c r="F23" s="2">
        <f>'Wage Data'!$C$11</f>
        <v>49.154294657004115</v>
      </c>
      <c r="G23" s="4">
        <f>'Cost Pool Data'!$K$27</f>
        <v>1.3606061934437479</v>
      </c>
      <c r="H23" s="2">
        <f t="shared" si="0"/>
        <v>2.7026270778271531E-3</v>
      </c>
      <c r="I23" s="2">
        <f t="shared" si="1"/>
        <v>1.689569913321497E-4</v>
      </c>
    </row>
    <row r="24" spans="1:10" x14ac:dyDescent="0.25">
      <c r="B24" t="s">
        <v>230</v>
      </c>
      <c r="C24" s="4">
        <f t="shared" si="2"/>
        <v>3.497195847559479E-2</v>
      </c>
      <c r="D24" s="4">
        <f>'Conversion Factors'!$J$23</f>
        <v>524.66078050207489</v>
      </c>
      <c r="E24" s="4">
        <f>'Productivity Data'!$I$29</f>
        <v>50.764395048330648</v>
      </c>
      <c r="F24" s="2">
        <f>'Wage Data'!$C$11</f>
        <v>49.154294657004115</v>
      </c>
      <c r="G24" s="4">
        <f>'Cost Pool Data'!$K$27</f>
        <v>1.3606061934437479</v>
      </c>
      <c r="H24" s="2">
        <f t="shared" si="0"/>
        <v>2.5110542525386445E-3</v>
      </c>
      <c r="I24" s="2">
        <f t="shared" si="1"/>
        <v>8.7816485049747195E-5</v>
      </c>
    </row>
    <row r="25" spans="1:10" x14ac:dyDescent="0.25">
      <c r="B25" t="s">
        <v>223</v>
      </c>
      <c r="C25" s="4">
        <f t="shared" si="2"/>
        <v>0.10454677823970684</v>
      </c>
      <c r="D25" s="4">
        <f>'Conversion Factors'!$J$20</f>
        <v>602.07696562769354</v>
      </c>
      <c r="E25" s="4">
        <f>'Productivity Data'!$I$32</f>
        <v>61.728448910094343</v>
      </c>
      <c r="F25" s="2">
        <f>'Wage Data'!$C$11</f>
        <v>49.154294657004115</v>
      </c>
      <c r="G25" s="4">
        <f>'Cost Pool Data'!$K$27</f>
        <v>1.3606061934437479</v>
      </c>
      <c r="H25" s="2">
        <f t="shared" si="0"/>
        <v>1.7995194106028665E-3</v>
      </c>
      <c r="I25" s="2">
        <f t="shared" si="1"/>
        <v>1.8813395675834586E-4</v>
      </c>
    </row>
    <row r="26" spans="1:10" x14ac:dyDescent="0.25">
      <c r="B26" t="s">
        <v>224</v>
      </c>
      <c r="C26" s="4">
        <f t="shared" si="2"/>
        <v>0.44439301324133113</v>
      </c>
      <c r="D26" s="4">
        <f>'Conversion Factors'!$J$21</f>
        <v>962.99673626031199</v>
      </c>
      <c r="E26" s="4">
        <f>'Productivity Data'!$I$32</f>
        <v>61.728448910094343</v>
      </c>
      <c r="F26" s="2">
        <f>'Wage Data'!$C$11</f>
        <v>49.154294657004115</v>
      </c>
      <c r="G26" s="4">
        <f>'Cost Pool Data'!$K$27</f>
        <v>1.3606061934437479</v>
      </c>
      <c r="H26" s="2">
        <f t="shared" si="0"/>
        <v>1.1250808497351304E-3</v>
      </c>
      <c r="I26" s="2">
        <f t="shared" si="1"/>
        <v>4.9997806895391191E-4</v>
      </c>
    </row>
    <row r="27" spans="1:10" x14ac:dyDescent="0.25">
      <c r="B27" s="12" t="s">
        <v>225</v>
      </c>
      <c r="C27" s="4">
        <f t="shared" si="2"/>
        <v>6.2515836061254534E-2</v>
      </c>
      <c r="D27" s="4">
        <f>'Conversion Factors'!$J$22</f>
        <v>620.21610999043128</v>
      </c>
      <c r="E27" s="4">
        <f>'Productivity Data'!$I$32</f>
        <v>61.728448910094343</v>
      </c>
      <c r="F27" s="2">
        <f>'Wage Data'!$C$11</f>
        <v>49.154294657004115</v>
      </c>
      <c r="G27" s="4">
        <f>'Cost Pool Data'!$K$27</f>
        <v>1.3606061934437479</v>
      </c>
      <c r="H27" s="2">
        <f t="shared" si="0"/>
        <v>1.7468897838539292E-3</v>
      </c>
      <c r="I27" s="2">
        <f t="shared" si="1"/>
        <v>1.0920827534449261E-4</v>
      </c>
    </row>
    <row r="28" spans="1:10" x14ac:dyDescent="0.25">
      <c r="A28" s="72"/>
      <c r="B28" s="74" t="s">
        <v>226</v>
      </c>
      <c r="C28" s="49">
        <f t="shared" si="2"/>
        <v>3.497195847559479E-2</v>
      </c>
      <c r="D28" s="49">
        <f>'Conversion Factors'!$J$23</f>
        <v>524.66078050207489</v>
      </c>
      <c r="E28" s="49">
        <f>'Productivity Data'!$I$31</f>
        <v>91.071587890934111</v>
      </c>
      <c r="F28" s="48">
        <f>'Wage Data'!$C$11</f>
        <v>49.154294657004115</v>
      </c>
      <c r="G28" s="49">
        <f>'Cost Pool Data'!$K$27</f>
        <v>1.3606061934437479</v>
      </c>
      <c r="H28" s="48">
        <f t="shared" si="0"/>
        <v>1.3996917481698132E-3</v>
      </c>
      <c r="I28" s="75">
        <f t="shared" si="1"/>
        <v>4.8949961695627391E-5</v>
      </c>
      <c r="J28" s="76">
        <f>SUM(I17:I28)</f>
        <v>3.0683608604636192E-3</v>
      </c>
    </row>
    <row r="29" spans="1:10" x14ac:dyDescent="0.25">
      <c r="A29" s="6" t="s">
        <v>242</v>
      </c>
      <c r="B29" t="s">
        <v>211</v>
      </c>
      <c r="C29" s="4">
        <f>'Mailer Arrival Profile'!$C$49*'Mailer Arrival Profile'!$C$16+C25</f>
        <v>0.16173006923131825</v>
      </c>
      <c r="D29" s="4">
        <f>'Conversion Factors'!$J$20</f>
        <v>602.07696562769354</v>
      </c>
      <c r="E29" s="4">
        <f>'Productivity Data'!$I$38</f>
        <v>46.475052307166727</v>
      </c>
      <c r="F29" s="2">
        <f>'Wage Data'!$C$11</f>
        <v>49.154294657004115</v>
      </c>
      <c r="G29" s="4">
        <f>'Cost Pool Data'!$K$43</f>
        <v>1.386023903258889</v>
      </c>
      <c r="H29" s="2">
        <f t="shared" si="0"/>
        <v>2.4347831595690232E-3</v>
      </c>
      <c r="I29" s="2">
        <f t="shared" si="1"/>
        <v>3.937776489603459E-4</v>
      </c>
    </row>
    <row r="30" spans="1:10" x14ac:dyDescent="0.25">
      <c r="A30" s="6" t="s">
        <v>131</v>
      </c>
      <c r="B30" t="s">
        <v>212</v>
      </c>
      <c r="C30" s="4">
        <f>'Mailer Arrival Profile'!$C$49*'Mailer Arrival Profile'!$D$16+C26</f>
        <v>0.68745985297266432</v>
      </c>
      <c r="D30" s="4">
        <f>'Conversion Factors'!$J$21</f>
        <v>962.99673626031199</v>
      </c>
      <c r="E30" s="4">
        <f>'Productivity Data'!$I$38</f>
        <v>46.475052307166727</v>
      </c>
      <c r="F30" s="2">
        <f>'Wage Data'!$C$11</f>
        <v>49.154294657004115</v>
      </c>
      <c r="G30" s="4">
        <f>'Cost Pool Data'!$K$43</f>
        <v>1.386023903258889</v>
      </c>
      <c r="H30" s="2">
        <f t="shared" si="0"/>
        <v>1.5222552699061948E-3</v>
      </c>
      <c r="I30" s="2">
        <f t="shared" si="1"/>
        <v>1.046489384036576E-3</v>
      </c>
      <c r="J30" s="13"/>
    </row>
    <row r="31" spans="1:10" x14ac:dyDescent="0.25">
      <c r="B31" t="s">
        <v>213</v>
      </c>
      <c r="C31" s="4">
        <f>'Mailer Arrival Profile'!$C$49*'Mailer Arrival Profile'!$E$16+C27</f>
        <v>9.6709728070801498E-2</v>
      </c>
      <c r="D31" s="4">
        <f>'Conversion Factors'!$J$22</f>
        <v>620.21610999043128</v>
      </c>
      <c r="E31" s="4">
        <f>'Productivity Data'!$I$38</f>
        <v>46.475052307166727</v>
      </c>
      <c r="F31" s="2">
        <f>'Wage Data'!$C$11</f>
        <v>49.154294657004115</v>
      </c>
      <c r="G31" s="4">
        <f>'Cost Pool Data'!$K$43</f>
        <v>1.386023903258889</v>
      </c>
      <c r="H31" s="2">
        <f t="shared" si="0"/>
        <v>2.3635742978319963E-3</v>
      </c>
      <c r="I31" s="2">
        <f t="shared" si="1"/>
        <v>2.2858062761846795E-4</v>
      </c>
    </row>
    <row r="32" spans="1:10" x14ac:dyDescent="0.25">
      <c r="B32" t="s">
        <v>214</v>
      </c>
      <c r="C32" s="4">
        <f>'Mailer Arrival Profile'!$C$49*'Mailer Arrival Profile'!$F$16+C28</f>
        <v>5.41003497252159E-2</v>
      </c>
      <c r="D32" s="4">
        <f>'Conversion Factors'!$J$23</f>
        <v>524.66078050207489</v>
      </c>
      <c r="E32" s="4">
        <f>'Productivity Data'!$I$37</f>
        <v>55.996737364805647</v>
      </c>
      <c r="F32" s="2">
        <f>'Wage Data'!$C$11</f>
        <v>49.154294657004115</v>
      </c>
      <c r="G32" s="4">
        <f>'Cost Pool Data'!$K$43</f>
        <v>1.386023903258889</v>
      </c>
      <c r="H32" s="2">
        <f t="shared" si="0"/>
        <v>2.318947219747315E-3</v>
      </c>
      <c r="I32" s="2">
        <f t="shared" si="1"/>
        <v>1.2545585558264681E-4</v>
      </c>
    </row>
    <row r="33" spans="1:10" x14ac:dyDescent="0.25">
      <c r="B33" t="s">
        <v>223</v>
      </c>
      <c r="C33" s="4">
        <f t="shared" ref="C33:C40" si="3">C29</f>
        <v>0.16173006923131825</v>
      </c>
      <c r="D33" s="4">
        <f>'Conversion Factors'!$J$20</f>
        <v>602.07696562769354</v>
      </c>
      <c r="E33" s="4">
        <f>'Productivity Data'!$I$45</f>
        <v>55.582256364514194</v>
      </c>
      <c r="F33" s="2">
        <f>'Wage Data'!$C$11</f>
        <v>49.154294657004115</v>
      </c>
      <c r="G33" s="4">
        <f>'Cost Pool Data'!$K$43</f>
        <v>1.386023903258889</v>
      </c>
      <c r="H33" s="2">
        <f t="shared" si="0"/>
        <v>2.0358416893960876E-3</v>
      </c>
      <c r="I33" s="2">
        <f t="shared" si="1"/>
        <v>3.2925681737003314E-4</v>
      </c>
    </row>
    <row r="34" spans="1:10" x14ac:dyDescent="0.25">
      <c r="B34" t="s">
        <v>224</v>
      </c>
      <c r="C34" s="4">
        <f t="shared" si="3"/>
        <v>0.68745985297266432</v>
      </c>
      <c r="D34" s="4">
        <f>'Conversion Factors'!$J$21</f>
        <v>962.99673626031199</v>
      </c>
      <c r="E34" s="4">
        <f>'Productivity Data'!$I$45</f>
        <v>55.582256364514194</v>
      </c>
      <c r="F34" s="2">
        <f>'Wage Data'!$C$11</f>
        <v>49.154294657004115</v>
      </c>
      <c r="G34" s="4">
        <f>'Cost Pool Data'!$K$43</f>
        <v>1.386023903258889</v>
      </c>
      <c r="H34" s="2">
        <f t="shared" si="0"/>
        <v>1.2728323375320563E-3</v>
      </c>
      <c r="I34" s="2">
        <f t="shared" si="1"/>
        <v>8.7502113161864006E-4</v>
      </c>
    </row>
    <row r="35" spans="1:10" x14ac:dyDescent="0.25">
      <c r="B35" t="s">
        <v>225</v>
      </c>
      <c r="C35" s="4">
        <f t="shared" si="3"/>
        <v>9.6709728070801498E-2</v>
      </c>
      <c r="D35" s="4">
        <f>'Conversion Factors'!$J$22</f>
        <v>620.21610999043128</v>
      </c>
      <c r="E35" s="4">
        <f>'Productivity Data'!$I$45</f>
        <v>55.582256364514194</v>
      </c>
      <c r="F35" s="2">
        <f>'Wage Data'!$C$11</f>
        <v>49.154294657004115</v>
      </c>
      <c r="G35" s="4">
        <f>'Cost Pool Data'!$K$43</f>
        <v>1.386023903258889</v>
      </c>
      <c r="H35" s="2">
        <f t="shared" si="0"/>
        <v>1.9763004654439961E-3</v>
      </c>
      <c r="I35" s="2">
        <f t="shared" si="1"/>
        <v>1.9112748059928731E-4</v>
      </c>
    </row>
    <row r="36" spans="1:10" x14ac:dyDescent="0.25">
      <c r="A36" s="72"/>
      <c r="B36" s="79" t="s">
        <v>226</v>
      </c>
      <c r="C36" s="49">
        <f t="shared" si="3"/>
        <v>5.41003497252159E-2</v>
      </c>
      <c r="D36" s="49">
        <f>'Conversion Factors'!$J$23</f>
        <v>524.66078050207489</v>
      </c>
      <c r="E36" s="84">
        <f>'Productivity Data'!$I$44</f>
        <v>70.608822220868689</v>
      </c>
      <c r="F36" s="48">
        <f>'Wage Data'!$C$11</f>
        <v>49.154294657004115</v>
      </c>
      <c r="G36" s="49">
        <f>'Cost Pool Data'!$K$43</f>
        <v>1.386023903258889</v>
      </c>
      <c r="H36" s="48">
        <f t="shared" si="0"/>
        <v>1.8390545875534797E-3</v>
      </c>
      <c r="I36" s="75">
        <f t="shared" si="1"/>
        <v>9.9493496350405944E-5</v>
      </c>
      <c r="J36" s="76">
        <f>SUM(I29:I36)</f>
        <v>3.2892024421364036E-3</v>
      </c>
    </row>
    <row r="37" spans="1:10" x14ac:dyDescent="0.25">
      <c r="A37" s="6" t="s">
        <v>243</v>
      </c>
      <c r="B37" t="s">
        <v>211</v>
      </c>
      <c r="C37" s="4">
        <f t="shared" si="3"/>
        <v>0.16173006923131825</v>
      </c>
      <c r="D37" s="4">
        <f>'Conversion Factors'!$J$20</f>
        <v>602.07696562769354</v>
      </c>
      <c r="E37" s="4">
        <f>'Productivity Data'!$I$38</f>
        <v>46.475052307166727</v>
      </c>
      <c r="F37" s="2">
        <f>'Wage Data'!$C$11</f>
        <v>49.154294657004115</v>
      </c>
      <c r="G37" s="4">
        <f>'Cost Pool Data'!$K$43</f>
        <v>1.386023903258889</v>
      </c>
      <c r="H37" s="2">
        <f t="shared" si="0"/>
        <v>2.4347831595690232E-3</v>
      </c>
      <c r="I37" s="2">
        <f t="shared" si="1"/>
        <v>3.937776489603459E-4</v>
      </c>
    </row>
    <row r="38" spans="1:10" x14ac:dyDescent="0.25">
      <c r="A38" s="6" t="s">
        <v>131</v>
      </c>
      <c r="B38" t="s">
        <v>212</v>
      </c>
      <c r="C38" s="4">
        <f t="shared" si="3"/>
        <v>0.68745985297266432</v>
      </c>
      <c r="D38" s="4">
        <f>'Conversion Factors'!$J$21</f>
        <v>962.99673626031199</v>
      </c>
      <c r="E38" s="4">
        <f>'Productivity Data'!$I$38</f>
        <v>46.475052307166727</v>
      </c>
      <c r="F38" s="2">
        <f>'Wage Data'!$C$11</f>
        <v>49.154294657004115</v>
      </c>
      <c r="G38" s="4">
        <f>'Cost Pool Data'!$K$43</f>
        <v>1.386023903258889</v>
      </c>
      <c r="H38" s="2">
        <f t="shared" si="0"/>
        <v>1.5222552699061948E-3</v>
      </c>
      <c r="I38" s="2">
        <f t="shared" si="1"/>
        <v>1.046489384036576E-3</v>
      </c>
    </row>
    <row r="39" spans="1:10" x14ac:dyDescent="0.25">
      <c r="B39" t="s">
        <v>213</v>
      </c>
      <c r="C39" s="4">
        <f t="shared" si="3"/>
        <v>9.6709728070801498E-2</v>
      </c>
      <c r="D39" s="4">
        <f>'Conversion Factors'!$J$22</f>
        <v>620.21610999043128</v>
      </c>
      <c r="E39" s="4">
        <f>'Productivity Data'!$I$38</f>
        <v>46.475052307166727</v>
      </c>
      <c r="F39" s="2">
        <f>'Wage Data'!$C$11</f>
        <v>49.154294657004115</v>
      </c>
      <c r="G39" s="4">
        <f>'Cost Pool Data'!$K$43</f>
        <v>1.386023903258889</v>
      </c>
      <c r="H39" s="2">
        <f t="shared" si="0"/>
        <v>2.3635742978319963E-3</v>
      </c>
      <c r="I39" s="2">
        <f t="shared" si="1"/>
        <v>2.2858062761846795E-4</v>
      </c>
    </row>
    <row r="40" spans="1:10" x14ac:dyDescent="0.25">
      <c r="B40" t="s">
        <v>214</v>
      </c>
      <c r="C40" s="4">
        <f t="shared" si="3"/>
        <v>5.41003497252159E-2</v>
      </c>
      <c r="D40" s="4">
        <f>'Conversion Factors'!$J$23</f>
        <v>524.66078050207489</v>
      </c>
      <c r="E40" s="4">
        <f>'Productivity Data'!$I$37</f>
        <v>55.996737364805647</v>
      </c>
      <c r="F40" s="2">
        <f>'Wage Data'!$C$11</f>
        <v>49.154294657004115</v>
      </c>
      <c r="G40" s="4">
        <f>'Cost Pool Data'!$K$43</f>
        <v>1.386023903258889</v>
      </c>
      <c r="H40" s="2">
        <f t="shared" si="0"/>
        <v>2.318947219747315E-3</v>
      </c>
      <c r="I40" s="2">
        <f t="shared" si="1"/>
        <v>1.2545585558264681E-4</v>
      </c>
    </row>
    <row r="41" spans="1:10" x14ac:dyDescent="0.25">
      <c r="B41" t="s">
        <v>141</v>
      </c>
      <c r="C41" s="4">
        <f>SUM(C37:C40)</f>
        <v>1</v>
      </c>
      <c r="D41" s="4">
        <v>1</v>
      </c>
      <c r="E41" s="4">
        <f>'Productivity Data'!$I$21</f>
        <v>402.79881226580181</v>
      </c>
      <c r="F41" s="2">
        <f>'Wage Data'!$C$11</f>
        <v>49.154294657004115</v>
      </c>
      <c r="G41" s="4">
        <f>'Cost Pool Data'!$K$41</f>
        <v>1.4774316541145593</v>
      </c>
      <c r="H41" s="2">
        <f t="shared" si="0"/>
        <v>0.18029375621398216</v>
      </c>
      <c r="I41" s="2">
        <f t="shared" si="1"/>
        <v>0.18029375621398216</v>
      </c>
    </row>
    <row r="42" spans="1:10" x14ac:dyDescent="0.25">
      <c r="A42" s="72"/>
      <c r="B42" s="79" t="s">
        <v>248</v>
      </c>
      <c r="C42" s="49">
        <f t="shared" ref="C42:C47" si="4">C41</f>
        <v>1</v>
      </c>
      <c r="D42" s="49">
        <f>'Conversion Factors'!$J$48</f>
        <v>230.28825131278461</v>
      </c>
      <c r="E42" s="49">
        <f>'Productivity Data'!$I$44</f>
        <v>70.608822220868689</v>
      </c>
      <c r="F42" s="48">
        <f>'Wage Data'!$C$11</f>
        <v>49.154294657004115</v>
      </c>
      <c r="G42" s="49">
        <f>'Cost Pool Data'!$K$43</f>
        <v>1.386023903258889</v>
      </c>
      <c r="H42" s="48">
        <f t="shared" si="0"/>
        <v>4.1898785968946398E-3</v>
      </c>
      <c r="I42" s="75">
        <f t="shared" si="1"/>
        <v>4.1898785968946398E-3</v>
      </c>
      <c r="J42" s="76">
        <f>SUM(I37:I42)</f>
        <v>0.18627793832707484</v>
      </c>
    </row>
    <row r="43" spans="1:10" x14ac:dyDescent="0.25">
      <c r="A43" s="6" t="s">
        <v>243</v>
      </c>
      <c r="B43" t="s">
        <v>249</v>
      </c>
      <c r="C43" s="4">
        <f t="shared" si="4"/>
        <v>1</v>
      </c>
      <c r="D43" s="4">
        <f>'Conversion Factors'!$J$48</f>
        <v>230.28825131278461</v>
      </c>
      <c r="E43" s="4">
        <f>'Productivity Data'!$I$27</f>
        <v>81.873572020007202</v>
      </c>
      <c r="F43" s="2">
        <f>'Wage Data'!$C$11</f>
        <v>49.154294657004115</v>
      </c>
      <c r="G43" s="4">
        <f>'Cost Pool Data'!$K$27</f>
        <v>1.3606061934437479</v>
      </c>
      <c r="H43" s="2">
        <f t="shared" si="0"/>
        <v>3.5471405058785221E-3</v>
      </c>
      <c r="I43" s="2">
        <f t="shared" si="1"/>
        <v>3.5471405058785221E-3</v>
      </c>
    </row>
    <row r="44" spans="1:10" x14ac:dyDescent="0.25">
      <c r="A44" s="6" t="s">
        <v>241</v>
      </c>
      <c r="B44" t="s">
        <v>198</v>
      </c>
      <c r="C44" s="4">
        <f t="shared" si="4"/>
        <v>1</v>
      </c>
      <c r="D44" s="4">
        <v>1</v>
      </c>
      <c r="E44" s="4">
        <f>'Productivity Data'!$I$16</f>
        <v>47.994690148863093</v>
      </c>
      <c r="F44" s="2">
        <f>'Wage Data'!$C$11</f>
        <v>49.154294657004115</v>
      </c>
      <c r="G44" s="4">
        <f>'Cost Pool Data'!$K$16</f>
        <v>1.3208756008457678</v>
      </c>
      <c r="H44" s="2">
        <f>(F44*G44)/(D44*E44)</f>
        <v>1.3527894083249588</v>
      </c>
      <c r="I44" s="2">
        <f>C44*H44</f>
        <v>1.3527894083249588</v>
      </c>
    </row>
    <row r="45" spans="1:10" x14ac:dyDescent="0.25">
      <c r="A45" s="72"/>
      <c r="B45" s="79" t="s">
        <v>248</v>
      </c>
      <c r="C45" s="49">
        <f t="shared" si="4"/>
        <v>1</v>
      </c>
      <c r="D45" s="49">
        <f>'Conversion Factors'!$J$48</f>
        <v>230.28825131278461</v>
      </c>
      <c r="E45" s="49">
        <f>'Productivity Data'!$I$31</f>
        <v>91.071587890934111</v>
      </c>
      <c r="F45" s="48">
        <f>'Wage Data'!$C$11</f>
        <v>49.154294657004115</v>
      </c>
      <c r="G45" s="49">
        <f>'Cost Pool Data'!$K$27</f>
        <v>1.3606061934437479</v>
      </c>
      <c r="H45" s="48">
        <f>(F45*G45)/(D45*E45)</f>
        <v>3.1888876695652744E-3</v>
      </c>
      <c r="I45" s="75">
        <f>C45*H45</f>
        <v>3.1888876695652744E-3</v>
      </c>
      <c r="J45" s="76">
        <f>SUM(I43:I45)</f>
        <v>1.3595254365004026</v>
      </c>
    </row>
    <row r="46" spans="1:10" x14ac:dyDescent="0.25">
      <c r="A46" s="6" t="s">
        <v>243</v>
      </c>
      <c r="B46" t="s">
        <v>249</v>
      </c>
      <c r="C46" s="4">
        <f t="shared" si="4"/>
        <v>1</v>
      </c>
      <c r="D46" s="4">
        <f>'Conversion Factors'!$J$48</f>
        <v>230.28825131278461</v>
      </c>
      <c r="E46" s="4">
        <f>'Productivity Data'!$I$25</f>
        <v>60.332591436644847</v>
      </c>
      <c r="F46" s="2">
        <f>'Wage Data'!$C$11</f>
        <v>49.154294657004115</v>
      </c>
      <c r="G46" s="4">
        <f>'Cost Pool Data'!$K$48</f>
        <v>1.6214860636540271</v>
      </c>
      <c r="H46" s="2">
        <f>(F46*G46)/(D46*E46)</f>
        <v>5.7365519004790779E-3</v>
      </c>
      <c r="I46" s="2">
        <f>C46*H46</f>
        <v>5.7365519004790779E-3</v>
      </c>
    </row>
    <row r="47" spans="1:10" x14ac:dyDescent="0.25">
      <c r="A47" s="72" t="s">
        <v>85</v>
      </c>
      <c r="B47" s="79" t="s">
        <v>135</v>
      </c>
      <c r="C47" s="49">
        <f t="shared" si="4"/>
        <v>1</v>
      </c>
      <c r="D47" s="49">
        <v>1</v>
      </c>
      <c r="E47" s="143">
        <f>'Productivity Data'!$I$22</f>
        <v>307.66822713635111</v>
      </c>
      <c r="F47" s="144">
        <f>'Wage Data'!$C$11</f>
        <v>49.154294657004115</v>
      </c>
      <c r="G47" s="143">
        <f>'Cost Pool Data'!$K$57</f>
        <v>1.4957786551922303</v>
      </c>
      <c r="H47" s="144">
        <f>(F47*G47)/(D47*E47)</f>
        <v>0.23897152280983572</v>
      </c>
      <c r="I47" s="144">
        <f>C47*H47</f>
        <v>0.23897152280983572</v>
      </c>
      <c r="J47" s="145">
        <f>SUM(I46:I47)</f>
        <v>0.2447080747103148</v>
      </c>
    </row>
    <row r="48" spans="1:10" x14ac:dyDescent="0.25">
      <c r="E48" s="146"/>
      <c r="F48" s="147"/>
      <c r="G48" s="146"/>
      <c r="H48" s="147"/>
      <c r="I48" s="147"/>
      <c r="J48" s="139"/>
    </row>
    <row r="49" spans="1:10" x14ac:dyDescent="0.25">
      <c r="A49" s="29" t="s">
        <v>259</v>
      </c>
      <c r="E49" s="146"/>
      <c r="F49" s="147"/>
      <c r="G49" s="146"/>
      <c r="H49" s="147"/>
      <c r="I49" s="148" t="s">
        <v>203</v>
      </c>
      <c r="J49" s="149">
        <f>J16+J28+J36+J42+J45+J47</f>
        <v>1.7986897855405104</v>
      </c>
    </row>
    <row r="50" spans="1:10" x14ac:dyDescent="0.25">
      <c r="A50" s="6" t="s">
        <v>296</v>
      </c>
      <c r="F50"/>
      <c r="G50"/>
      <c r="H50"/>
      <c r="I50"/>
    </row>
    <row r="51" spans="1:10" x14ac:dyDescent="0.25">
      <c r="A51" s="6" t="s">
        <v>297</v>
      </c>
    </row>
    <row r="52" spans="1:10" x14ac:dyDescent="0.25">
      <c r="A52" s="6" t="s">
        <v>298</v>
      </c>
    </row>
    <row r="53" spans="1:10" x14ac:dyDescent="0.25">
      <c r="A53" s="6" t="s">
        <v>299</v>
      </c>
    </row>
    <row r="54" spans="1:10" x14ac:dyDescent="0.25">
      <c r="A54" s="6" t="s">
        <v>277</v>
      </c>
    </row>
    <row r="55" spans="1:10" x14ac:dyDescent="0.25">
      <c r="A55" s="6" t="s">
        <v>300</v>
      </c>
    </row>
    <row r="56" spans="1:10" x14ac:dyDescent="0.25">
      <c r="A56" s="6" t="s">
        <v>301</v>
      </c>
    </row>
  </sheetData>
  <phoneticPr fontId="3" type="noConversion"/>
  <printOptions horizontalCentered="1"/>
  <pageMargins left="0.75" right="0.75" top="1" bottom="1" header="0.5" footer="0.5"/>
  <pageSetup scale="61" orientation="portrait" r:id="rId1"/>
  <headerFooter alignWithMargins="0">
    <oddHeader>&amp;RPage 18 of 50</oddHeader>
    <oddFooter>&amp;R&amp;F</oddFooter>
  </headerFooter>
  <ignoredErrors>
    <ignoredError sqref="G41 G44" formula="1"/>
  </ignoredError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4">
    <pageSetUpPr fitToPage="1"/>
  </sheetPr>
  <dimension ref="A1:J28"/>
  <sheetViews>
    <sheetView zoomScale="75" workbookViewId="0">
      <selection activeCell="P28" sqref="P28"/>
    </sheetView>
  </sheetViews>
  <sheetFormatPr defaultColWidth="9.109375" defaultRowHeight="13.2" x14ac:dyDescent="0.25"/>
  <cols>
    <col min="1" max="1" width="15.6640625" style="6" customWidth="1"/>
    <col min="2" max="2" width="30.6640625" style="6" customWidth="1"/>
    <col min="3" max="5" width="12.6640625" style="4" customWidth="1"/>
    <col min="6" max="6" width="12.6640625" style="2" customWidth="1"/>
    <col min="7" max="7" width="12.6640625" style="4" customWidth="1"/>
    <col min="8" max="9" width="12.6640625" style="2" customWidth="1"/>
    <col min="10" max="10" width="12.6640625" customWidth="1"/>
  </cols>
  <sheetData>
    <row r="1" spans="1:10" ht="15.6" x14ac:dyDescent="0.3">
      <c r="A1" s="5" t="s">
        <v>392</v>
      </c>
      <c r="B1" s="5"/>
    </row>
    <row r="4" spans="1:10" x14ac:dyDescent="0.25">
      <c r="C4" s="8" t="s">
        <v>107</v>
      </c>
      <c r="D4" s="8" t="s">
        <v>108</v>
      </c>
      <c r="E4" s="8" t="s">
        <v>109</v>
      </c>
      <c r="F4" s="50" t="s">
        <v>112</v>
      </c>
      <c r="G4" s="8" t="s">
        <v>156</v>
      </c>
      <c r="H4" s="50" t="s">
        <v>157</v>
      </c>
      <c r="I4" s="50" t="s">
        <v>192</v>
      </c>
    </row>
    <row r="5" spans="1:10" x14ac:dyDescent="0.25">
      <c r="A5" s="70"/>
      <c r="F5" s="50" t="s">
        <v>155</v>
      </c>
      <c r="H5" s="50" t="s">
        <v>3</v>
      </c>
      <c r="I5" s="50" t="s">
        <v>3</v>
      </c>
    </row>
    <row r="6" spans="1:10" s="6" customFormat="1" x14ac:dyDescent="0.25">
      <c r="C6" s="8"/>
      <c r="D6" s="8" t="s">
        <v>202</v>
      </c>
      <c r="E6" s="8" t="s">
        <v>101</v>
      </c>
      <c r="F6" s="50" t="s">
        <v>103</v>
      </c>
      <c r="G6" s="8" t="s">
        <v>105</v>
      </c>
      <c r="H6" s="50" t="s">
        <v>207</v>
      </c>
      <c r="I6" s="50" t="s">
        <v>206</v>
      </c>
    </row>
    <row r="7" spans="1:10" s="6" customFormat="1" x14ac:dyDescent="0.25">
      <c r="A7" s="6" t="s">
        <v>84</v>
      </c>
      <c r="B7" s="6" t="s">
        <v>76</v>
      </c>
      <c r="C7" s="8" t="s">
        <v>199</v>
      </c>
      <c r="D7" s="8" t="s">
        <v>81</v>
      </c>
      <c r="E7" s="8" t="s">
        <v>102</v>
      </c>
      <c r="F7" s="50" t="s">
        <v>104</v>
      </c>
      <c r="G7" s="8" t="s">
        <v>81</v>
      </c>
      <c r="H7" s="50" t="s">
        <v>76</v>
      </c>
      <c r="I7" s="50" t="s">
        <v>84</v>
      </c>
    </row>
    <row r="8" spans="1:10" x14ac:dyDescent="0.25">
      <c r="A8" s="72"/>
      <c r="B8" s="72"/>
      <c r="C8" s="49"/>
      <c r="D8" s="49"/>
      <c r="E8" s="49"/>
      <c r="F8" s="48"/>
      <c r="G8" s="49"/>
      <c r="H8" s="48"/>
      <c r="I8" s="48"/>
      <c r="J8" s="79"/>
    </row>
    <row r="9" spans="1:10" x14ac:dyDescent="0.25">
      <c r="A9" s="6" t="s">
        <v>243</v>
      </c>
      <c r="B9" t="s">
        <v>211</v>
      </c>
      <c r="C9" s="4">
        <f>'Mailer Arrival Profile'!$C$17</f>
        <v>0.16173006923131825</v>
      </c>
      <c r="D9" s="4">
        <f>'Conversion Factors'!$J$20</f>
        <v>602.07696562769354</v>
      </c>
      <c r="E9" s="4">
        <f>'Productivity Data'!$I$38</f>
        <v>46.475052307166727</v>
      </c>
      <c r="F9" s="2">
        <f>'Wage Data'!$C$11</f>
        <v>49.154294657004115</v>
      </c>
      <c r="G9" s="4">
        <f>'Cost Pool Data'!$K$43</f>
        <v>1.386023903258889</v>
      </c>
      <c r="H9" s="2">
        <f t="shared" ref="H9:H15" si="0">(F9*G9)/(D9*E9)</f>
        <v>2.4347831595690232E-3</v>
      </c>
      <c r="I9" s="2">
        <f t="shared" ref="I9:I15" si="1">C9*H9</f>
        <v>3.937776489603459E-4</v>
      </c>
    </row>
    <row r="10" spans="1:10" x14ac:dyDescent="0.25">
      <c r="A10" s="6" t="s">
        <v>131</v>
      </c>
      <c r="B10" t="s">
        <v>212</v>
      </c>
      <c r="C10" s="4">
        <f>'Mailer Arrival Profile'!$D$17</f>
        <v>0.68745985297266432</v>
      </c>
      <c r="D10" s="4">
        <f>'Conversion Factors'!$J$21</f>
        <v>962.99673626031199</v>
      </c>
      <c r="E10" s="4">
        <f>'Productivity Data'!$I$38</f>
        <v>46.475052307166727</v>
      </c>
      <c r="F10" s="2">
        <f>'Wage Data'!$C$11</f>
        <v>49.154294657004115</v>
      </c>
      <c r="G10" s="4">
        <f>'Cost Pool Data'!$K$43</f>
        <v>1.386023903258889</v>
      </c>
      <c r="H10" s="2">
        <f t="shared" si="0"/>
        <v>1.5222552699061948E-3</v>
      </c>
      <c r="I10" s="2">
        <f t="shared" si="1"/>
        <v>1.046489384036576E-3</v>
      </c>
    </row>
    <row r="11" spans="1:10" x14ac:dyDescent="0.25">
      <c r="B11" t="s">
        <v>213</v>
      </c>
      <c r="C11" s="4">
        <f>'Mailer Arrival Profile'!$E$17</f>
        <v>9.6709728070801512E-2</v>
      </c>
      <c r="D11" s="4">
        <f>'Conversion Factors'!$J$22</f>
        <v>620.21610999043128</v>
      </c>
      <c r="E11" s="4">
        <f>'Productivity Data'!$I$38</f>
        <v>46.475052307166727</v>
      </c>
      <c r="F11" s="2">
        <f>'Wage Data'!$C$11</f>
        <v>49.154294657004115</v>
      </c>
      <c r="G11" s="4">
        <f>'Cost Pool Data'!$K$43</f>
        <v>1.386023903258889</v>
      </c>
      <c r="H11" s="2">
        <f t="shared" si="0"/>
        <v>2.3635742978319963E-3</v>
      </c>
      <c r="I11" s="2">
        <f t="shared" si="1"/>
        <v>2.2858062761846798E-4</v>
      </c>
    </row>
    <row r="12" spans="1:10" x14ac:dyDescent="0.25">
      <c r="B12" t="s">
        <v>214</v>
      </c>
      <c r="C12" s="4">
        <f>'Mailer Arrival Profile'!$F$17</f>
        <v>5.41003497252159E-2</v>
      </c>
      <c r="D12" s="4">
        <f>'Conversion Factors'!$J$23</f>
        <v>524.66078050207489</v>
      </c>
      <c r="E12" s="4">
        <f>'Productivity Data'!$I$37</f>
        <v>55.996737364805647</v>
      </c>
      <c r="F12" s="2">
        <f>'Wage Data'!$C$11</f>
        <v>49.154294657004115</v>
      </c>
      <c r="G12" s="4">
        <f>'Cost Pool Data'!$K$43</f>
        <v>1.386023903258889</v>
      </c>
      <c r="H12" s="2">
        <f t="shared" si="0"/>
        <v>2.318947219747315E-3</v>
      </c>
      <c r="I12" s="2">
        <f t="shared" si="1"/>
        <v>1.2545585558264681E-4</v>
      </c>
    </row>
    <row r="13" spans="1:10" x14ac:dyDescent="0.25">
      <c r="B13" t="s">
        <v>141</v>
      </c>
      <c r="C13" s="4">
        <f>SUM(C9:C12)</f>
        <v>1</v>
      </c>
      <c r="D13" s="4">
        <v>1</v>
      </c>
      <c r="E13" s="4">
        <f>'Productivity Data'!$I$21</f>
        <v>402.79881226580181</v>
      </c>
      <c r="F13" s="2">
        <f>'Wage Data'!$C$11</f>
        <v>49.154294657004115</v>
      </c>
      <c r="G13" s="4">
        <f>'Cost Pool Data'!$K$41</f>
        <v>1.4774316541145593</v>
      </c>
      <c r="H13" s="2">
        <f t="shared" si="0"/>
        <v>0.18029375621398216</v>
      </c>
      <c r="I13" s="2">
        <f t="shared" si="1"/>
        <v>0.18029375621398216</v>
      </c>
    </row>
    <row r="14" spans="1:10" x14ac:dyDescent="0.25">
      <c r="A14" s="72"/>
      <c r="B14" s="79" t="s">
        <v>248</v>
      </c>
      <c r="C14" s="49">
        <f>C13</f>
        <v>1</v>
      </c>
      <c r="D14" s="49">
        <f>'Conversion Factors'!$J$48</f>
        <v>230.28825131278461</v>
      </c>
      <c r="E14" s="49">
        <f>'Productivity Data'!$I$44</f>
        <v>70.608822220868689</v>
      </c>
      <c r="F14" s="48">
        <f>'Wage Data'!$C$11</f>
        <v>49.154294657004115</v>
      </c>
      <c r="G14" s="49">
        <f>'Cost Pool Data'!$K$43</f>
        <v>1.386023903258889</v>
      </c>
      <c r="H14" s="48">
        <f t="shared" si="0"/>
        <v>4.1898785968946398E-3</v>
      </c>
      <c r="I14" s="75">
        <f t="shared" si="1"/>
        <v>4.1898785968946398E-3</v>
      </c>
      <c r="J14" s="76">
        <f>SUM(I9:I14)</f>
        <v>0.18627793832707484</v>
      </c>
    </row>
    <row r="15" spans="1:10" x14ac:dyDescent="0.25">
      <c r="A15" s="6" t="s">
        <v>243</v>
      </c>
      <c r="B15" t="s">
        <v>249</v>
      </c>
      <c r="C15" s="4">
        <f>C14</f>
        <v>1</v>
      </c>
      <c r="D15" s="4">
        <f>'Conversion Factors'!$J$48</f>
        <v>230.28825131278461</v>
      </c>
      <c r="E15" s="4">
        <f>'Productivity Data'!$I$27</f>
        <v>81.873572020007202</v>
      </c>
      <c r="F15" s="2">
        <f>'Wage Data'!$C$11</f>
        <v>49.154294657004115</v>
      </c>
      <c r="G15" s="4">
        <f>'Cost Pool Data'!$K$27</f>
        <v>1.3606061934437479</v>
      </c>
      <c r="H15" s="2">
        <f t="shared" si="0"/>
        <v>3.5471405058785221E-3</v>
      </c>
      <c r="I15" s="2">
        <f t="shared" si="1"/>
        <v>3.5471405058785221E-3</v>
      </c>
    </row>
    <row r="16" spans="1:10" x14ac:dyDescent="0.25">
      <c r="A16" s="6" t="s">
        <v>241</v>
      </c>
      <c r="B16" t="s">
        <v>198</v>
      </c>
      <c r="C16" s="4">
        <f>C15</f>
        <v>1</v>
      </c>
      <c r="D16" s="4">
        <v>1</v>
      </c>
      <c r="E16" s="4">
        <f>'Productivity Data'!$I$16</f>
        <v>47.994690148863093</v>
      </c>
      <c r="F16" s="2">
        <f>'Wage Data'!$C$11</f>
        <v>49.154294657004115</v>
      </c>
      <c r="G16" s="4">
        <f>'Cost Pool Data'!$K$16</f>
        <v>1.3208756008457678</v>
      </c>
      <c r="H16" s="2">
        <f>(F16*G16)/(D16*E16)</f>
        <v>1.3527894083249588</v>
      </c>
      <c r="I16" s="2">
        <f>C16*H16</f>
        <v>1.3527894083249588</v>
      </c>
    </row>
    <row r="17" spans="1:10" x14ac:dyDescent="0.25">
      <c r="A17" s="72"/>
      <c r="B17" s="79" t="s">
        <v>248</v>
      </c>
      <c r="C17" s="49">
        <f>C16</f>
        <v>1</v>
      </c>
      <c r="D17" s="49">
        <f>'Conversion Factors'!$J$48</f>
        <v>230.28825131278461</v>
      </c>
      <c r="E17" s="49">
        <f>'Productivity Data'!$I$31</f>
        <v>91.071587890934111</v>
      </c>
      <c r="F17" s="48">
        <f>'Wage Data'!$C$11</f>
        <v>49.154294657004115</v>
      </c>
      <c r="G17" s="49">
        <f>'Cost Pool Data'!$K$27</f>
        <v>1.3606061934437479</v>
      </c>
      <c r="H17" s="48">
        <f>(F17*G17)/(D17*E17)</f>
        <v>3.1888876695652744E-3</v>
      </c>
      <c r="I17" s="75">
        <f>C17*H17</f>
        <v>3.1888876695652744E-3</v>
      </c>
      <c r="J17" s="76">
        <f>SUM(I15:I17)</f>
        <v>1.3595254365004026</v>
      </c>
    </row>
    <row r="18" spans="1:10" x14ac:dyDescent="0.25">
      <c r="A18" s="6" t="s">
        <v>243</v>
      </c>
      <c r="B18" t="s">
        <v>249</v>
      </c>
      <c r="C18" s="4">
        <f>C17</f>
        <v>1</v>
      </c>
      <c r="D18" s="4">
        <f>'Conversion Factors'!$J$48</f>
        <v>230.28825131278461</v>
      </c>
      <c r="E18" s="4">
        <f>'Productivity Data'!$I$25</f>
        <v>60.332591436644847</v>
      </c>
      <c r="F18" s="2">
        <f>'Wage Data'!$C$11</f>
        <v>49.154294657004115</v>
      </c>
      <c r="G18" s="4">
        <f>'Cost Pool Data'!$K$48</f>
        <v>1.6214860636540271</v>
      </c>
      <c r="H18" s="2">
        <f>(F18*G18)/(D18*E18)</f>
        <v>5.7365519004790779E-3</v>
      </c>
      <c r="I18" s="2">
        <f>C18*H18</f>
        <v>5.7365519004790779E-3</v>
      </c>
    </row>
    <row r="19" spans="1:10" x14ac:dyDescent="0.25">
      <c r="A19" s="72" t="s">
        <v>85</v>
      </c>
      <c r="B19" s="79" t="s">
        <v>135</v>
      </c>
      <c r="C19" s="49">
        <f>C17</f>
        <v>1</v>
      </c>
      <c r="D19" s="49">
        <v>1</v>
      </c>
      <c r="E19" s="143">
        <f>'Productivity Data'!$I$22</f>
        <v>307.66822713635111</v>
      </c>
      <c r="F19" s="144">
        <f>'Wage Data'!$C$11</f>
        <v>49.154294657004115</v>
      </c>
      <c r="G19" s="143">
        <f>'Cost Pool Data'!$K$57</f>
        <v>1.4957786551922303</v>
      </c>
      <c r="H19" s="144">
        <f>(F19*G19)/(D19*E19)</f>
        <v>0.23897152280983572</v>
      </c>
      <c r="I19" s="144">
        <f>C19*H19</f>
        <v>0.23897152280983572</v>
      </c>
      <c r="J19" s="145">
        <f>SUM(I18:I19)</f>
        <v>0.2447080747103148</v>
      </c>
    </row>
    <row r="20" spans="1:10" x14ac:dyDescent="0.25">
      <c r="E20" s="146"/>
      <c r="F20" s="147"/>
      <c r="G20" s="146"/>
      <c r="H20" s="147"/>
      <c r="I20" s="147"/>
      <c r="J20" s="139"/>
    </row>
    <row r="21" spans="1:10" x14ac:dyDescent="0.25">
      <c r="A21" s="29" t="s">
        <v>259</v>
      </c>
      <c r="E21" s="146"/>
      <c r="F21" s="147"/>
      <c r="G21" s="146"/>
      <c r="H21" s="147"/>
      <c r="I21" s="148" t="s">
        <v>203</v>
      </c>
      <c r="J21" s="149">
        <f>J14+J17+J19</f>
        <v>1.7905114495377921</v>
      </c>
    </row>
    <row r="22" spans="1:10" x14ac:dyDescent="0.25">
      <c r="A22" s="6" t="s">
        <v>296</v>
      </c>
      <c r="F22"/>
      <c r="G22"/>
      <c r="H22"/>
      <c r="I22"/>
    </row>
    <row r="23" spans="1:10" x14ac:dyDescent="0.25">
      <c r="A23" s="6" t="s">
        <v>297</v>
      </c>
    </row>
    <row r="24" spans="1:10" x14ac:dyDescent="0.25">
      <c r="A24" s="6" t="s">
        <v>298</v>
      </c>
    </row>
    <row r="25" spans="1:10" x14ac:dyDescent="0.25">
      <c r="A25" s="6" t="s">
        <v>299</v>
      </c>
    </row>
    <row r="26" spans="1:10" x14ac:dyDescent="0.25">
      <c r="A26" s="6" t="s">
        <v>277</v>
      </c>
    </row>
    <row r="27" spans="1:10" x14ac:dyDescent="0.25">
      <c r="A27" s="6" t="s">
        <v>300</v>
      </c>
    </row>
    <row r="28" spans="1:10" x14ac:dyDescent="0.25">
      <c r="A28" s="6" t="s">
        <v>301</v>
      </c>
    </row>
  </sheetData>
  <phoneticPr fontId="3" type="noConversion"/>
  <printOptions horizontalCentered="1"/>
  <pageMargins left="0.75" right="0.75" top="1" bottom="1" header="0.5" footer="0.5"/>
  <pageSetup scale="61" orientation="portrait" r:id="rId1"/>
  <headerFooter alignWithMargins="0">
    <oddHeader>&amp;RPage 19 of 50</oddHeader>
    <oddFooter>&amp;R&amp;F</oddFooter>
  </headerFooter>
  <ignoredErrors>
    <ignoredError sqref="G13 G16" formula="1"/>
  </ignoredError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15">
    <pageSetUpPr fitToPage="1"/>
  </sheetPr>
  <dimension ref="A1:J32"/>
  <sheetViews>
    <sheetView zoomScale="75" workbookViewId="0">
      <selection activeCell="R23" sqref="R23"/>
    </sheetView>
  </sheetViews>
  <sheetFormatPr defaultColWidth="9.109375" defaultRowHeight="13.2" x14ac:dyDescent="0.25"/>
  <cols>
    <col min="1" max="1" width="15.6640625" style="6" customWidth="1"/>
    <col min="2" max="2" width="30.6640625" style="6" customWidth="1"/>
    <col min="3" max="5" width="12.6640625" style="4" customWidth="1"/>
    <col min="6" max="6" width="12.6640625" style="2" customWidth="1"/>
    <col min="7" max="7" width="12.6640625" style="4" customWidth="1"/>
    <col min="8" max="9" width="12.6640625" style="2" customWidth="1"/>
    <col min="10" max="10" width="12.6640625" customWidth="1"/>
  </cols>
  <sheetData>
    <row r="1" spans="1:10" ht="15.6" x14ac:dyDescent="0.3">
      <c r="A1" s="5" t="s">
        <v>393</v>
      </c>
      <c r="B1" s="5"/>
    </row>
    <row r="4" spans="1:10" x14ac:dyDescent="0.25">
      <c r="C4" s="8" t="s">
        <v>107</v>
      </c>
      <c r="D4" s="8" t="s">
        <v>108</v>
      </c>
      <c r="E4" s="8" t="s">
        <v>109</v>
      </c>
      <c r="F4" s="50" t="s">
        <v>112</v>
      </c>
      <c r="G4" s="8" t="s">
        <v>156</v>
      </c>
      <c r="H4" s="50" t="s">
        <v>157</v>
      </c>
      <c r="I4" s="50" t="s">
        <v>192</v>
      </c>
    </row>
    <row r="5" spans="1:10" x14ac:dyDescent="0.25">
      <c r="A5" s="70"/>
      <c r="F5" s="50" t="s">
        <v>155</v>
      </c>
      <c r="H5" s="50" t="s">
        <v>3</v>
      </c>
      <c r="I5" s="50" t="s">
        <v>3</v>
      </c>
    </row>
    <row r="6" spans="1:10" s="6" customFormat="1" x14ac:dyDescent="0.25">
      <c r="C6" s="8"/>
      <c r="D6" s="8" t="s">
        <v>202</v>
      </c>
      <c r="E6" s="8" t="s">
        <v>101</v>
      </c>
      <c r="F6" s="50" t="s">
        <v>103</v>
      </c>
      <c r="G6" s="8" t="s">
        <v>105</v>
      </c>
      <c r="H6" s="50" t="s">
        <v>207</v>
      </c>
      <c r="I6" s="50" t="s">
        <v>206</v>
      </c>
    </row>
    <row r="7" spans="1:10" s="6" customFormat="1" x14ac:dyDescent="0.25">
      <c r="A7" s="6" t="s">
        <v>84</v>
      </c>
      <c r="B7" s="6" t="s">
        <v>76</v>
      </c>
      <c r="C7" s="8" t="s">
        <v>199</v>
      </c>
      <c r="D7" s="8" t="s">
        <v>81</v>
      </c>
      <c r="E7" s="8" t="s">
        <v>102</v>
      </c>
      <c r="F7" s="50" t="s">
        <v>104</v>
      </c>
      <c r="G7" s="8" t="s">
        <v>81</v>
      </c>
      <c r="H7" s="50" t="s">
        <v>76</v>
      </c>
      <c r="I7" s="50" t="s">
        <v>84</v>
      </c>
    </row>
    <row r="8" spans="1:10" x14ac:dyDescent="0.25">
      <c r="A8" s="72"/>
      <c r="B8" s="72"/>
      <c r="C8" s="49"/>
      <c r="D8" s="49"/>
      <c r="E8" s="49"/>
      <c r="F8" s="48"/>
      <c r="G8" s="49"/>
      <c r="H8" s="48"/>
      <c r="I8" s="48"/>
      <c r="J8" s="79"/>
    </row>
    <row r="9" spans="1:10" x14ac:dyDescent="0.25">
      <c r="A9" s="6" t="s">
        <v>243</v>
      </c>
      <c r="B9" t="s">
        <v>211</v>
      </c>
      <c r="C9" s="4">
        <f>'Mailer Arrival Profile'!$C$18</f>
        <v>0</v>
      </c>
      <c r="D9" s="4">
        <f>'Conversion Factors'!$J$20</f>
        <v>602.07696562769354</v>
      </c>
      <c r="E9" s="4">
        <f>'Productivity Data'!$I$38</f>
        <v>46.475052307166727</v>
      </c>
      <c r="F9" s="2">
        <f>'Wage Data'!$C$11</f>
        <v>49.154294657004115</v>
      </c>
      <c r="G9" s="4">
        <f>'Cost Pool Data'!$K$43</f>
        <v>1.386023903258889</v>
      </c>
      <c r="H9" s="2">
        <f t="shared" ref="H9:H19" si="0">(F9*G9)/(D9*E9)</f>
        <v>2.4347831595690232E-3</v>
      </c>
      <c r="I9" s="2">
        <f t="shared" ref="I9:I19" si="1">C9*H9</f>
        <v>0</v>
      </c>
    </row>
    <row r="10" spans="1:10" x14ac:dyDescent="0.25">
      <c r="A10" s="6" t="s">
        <v>131</v>
      </c>
      <c r="B10" t="s">
        <v>212</v>
      </c>
      <c r="C10" s="4">
        <f>'Mailer Arrival Profile'!$D$18</f>
        <v>0</v>
      </c>
      <c r="D10" s="4">
        <f>'Conversion Factors'!$J$21</f>
        <v>962.99673626031199</v>
      </c>
      <c r="E10" s="4">
        <f>'Productivity Data'!$I$38</f>
        <v>46.475052307166727</v>
      </c>
      <c r="F10" s="2">
        <f>'Wage Data'!$C$11</f>
        <v>49.154294657004115</v>
      </c>
      <c r="G10" s="4">
        <f>'Cost Pool Data'!$K$43</f>
        <v>1.386023903258889</v>
      </c>
      <c r="H10" s="2">
        <f t="shared" si="0"/>
        <v>1.5222552699061948E-3</v>
      </c>
      <c r="I10" s="2">
        <f t="shared" si="1"/>
        <v>0</v>
      </c>
    </row>
    <row r="11" spans="1:10" x14ac:dyDescent="0.25">
      <c r="B11" t="s">
        <v>213</v>
      </c>
      <c r="C11" s="4">
        <f>'Mailer Arrival Profile'!$E$18</f>
        <v>1</v>
      </c>
      <c r="D11" s="4">
        <f>'Conversion Factors'!$J$22</f>
        <v>620.21610999043128</v>
      </c>
      <c r="E11" s="4">
        <f>'Productivity Data'!$I$38</f>
        <v>46.475052307166727</v>
      </c>
      <c r="F11" s="2">
        <f>'Wage Data'!$C$11</f>
        <v>49.154294657004115</v>
      </c>
      <c r="G11" s="4">
        <f>'Cost Pool Data'!$K$43</f>
        <v>1.386023903258889</v>
      </c>
      <c r="H11" s="2">
        <f t="shared" si="0"/>
        <v>2.3635742978319963E-3</v>
      </c>
      <c r="I11" s="2">
        <f t="shared" si="1"/>
        <v>2.3635742978319963E-3</v>
      </c>
    </row>
    <row r="12" spans="1:10" x14ac:dyDescent="0.25">
      <c r="B12" t="s">
        <v>214</v>
      </c>
      <c r="C12" s="4">
        <f>'Mailer Arrival Profile'!$F$18</f>
        <v>0</v>
      </c>
      <c r="D12" s="4">
        <f>'Conversion Factors'!$J$23</f>
        <v>524.66078050207489</v>
      </c>
      <c r="E12" s="4">
        <f>'Productivity Data'!$I$37</f>
        <v>55.996737364805647</v>
      </c>
      <c r="F12" s="2">
        <f>'Wage Data'!$C$11</f>
        <v>49.154294657004115</v>
      </c>
      <c r="G12" s="4">
        <f>'Cost Pool Data'!$K$43</f>
        <v>1.386023903258889</v>
      </c>
      <c r="H12" s="2">
        <f t="shared" si="0"/>
        <v>2.318947219747315E-3</v>
      </c>
      <c r="I12" s="2">
        <f t="shared" si="1"/>
        <v>0</v>
      </c>
    </row>
    <row r="13" spans="1:10" x14ac:dyDescent="0.25">
      <c r="B13" t="s">
        <v>143</v>
      </c>
      <c r="C13" s="4">
        <f>(C11+C12)*(1+'Other Inputs'!$B$9)</f>
        <v>1.0423865344574321</v>
      </c>
      <c r="D13" s="4">
        <f>'Mailer Arrival Profile'!$I$18</f>
        <v>78.272727272727266</v>
      </c>
      <c r="E13" s="4">
        <f>'Productivity Data'!$I$19</f>
        <v>3068.1109131264348</v>
      </c>
      <c r="F13" s="2">
        <f>'Wage Data'!$C$11</f>
        <v>49.154294657004115</v>
      </c>
      <c r="G13" s="4">
        <f>'Cost Pool Data'!$K$46</f>
        <v>1.6196174573049362</v>
      </c>
      <c r="H13" s="2">
        <f t="shared" si="0"/>
        <v>3.3150676549165316E-4</v>
      </c>
      <c r="I13" s="2">
        <f t="shared" si="1"/>
        <v>3.4555818843003697E-4</v>
      </c>
    </row>
    <row r="14" spans="1:10" x14ac:dyDescent="0.25">
      <c r="B14" t="s">
        <v>223</v>
      </c>
      <c r="C14" s="4">
        <f>C9</f>
        <v>0</v>
      </c>
      <c r="D14" s="4">
        <f>'Conversion Factors'!$J$20</f>
        <v>602.07696562769354</v>
      </c>
      <c r="E14" s="4">
        <f>'Productivity Data'!$I$45</f>
        <v>55.582256364514194</v>
      </c>
      <c r="F14" s="2">
        <f>'Wage Data'!$C$11</f>
        <v>49.154294657004115</v>
      </c>
      <c r="G14" s="4">
        <f>'Cost Pool Data'!$K$43</f>
        <v>1.386023903258889</v>
      </c>
      <c r="H14" s="2">
        <f t="shared" si="0"/>
        <v>2.0358416893960876E-3</v>
      </c>
      <c r="I14" s="2">
        <f t="shared" si="1"/>
        <v>0</v>
      </c>
    </row>
    <row r="15" spans="1:10" x14ac:dyDescent="0.25">
      <c r="B15" t="s">
        <v>224</v>
      </c>
      <c r="C15" s="4">
        <f>C10</f>
        <v>0</v>
      </c>
      <c r="D15" s="4">
        <f>'Conversion Factors'!$J$21</f>
        <v>962.99673626031199</v>
      </c>
      <c r="E15" s="4">
        <f>'Productivity Data'!$I$45</f>
        <v>55.582256364514194</v>
      </c>
      <c r="F15" s="2">
        <f>'Wage Data'!$C$11</f>
        <v>49.154294657004115</v>
      </c>
      <c r="G15" s="4">
        <f>'Cost Pool Data'!$K$43</f>
        <v>1.386023903258889</v>
      </c>
      <c r="H15" s="2">
        <f t="shared" si="0"/>
        <v>1.2728323375320563E-3</v>
      </c>
      <c r="I15" s="2">
        <f t="shared" si="1"/>
        <v>0</v>
      </c>
    </row>
    <row r="16" spans="1:10" x14ac:dyDescent="0.25">
      <c r="A16" s="72"/>
      <c r="B16" s="79" t="s">
        <v>236</v>
      </c>
      <c r="C16" s="49">
        <f>(C11+C12)</f>
        <v>1</v>
      </c>
      <c r="D16" s="49">
        <f>'Conversion Factors'!$J$45</f>
        <v>752.97176701463843</v>
      </c>
      <c r="E16" s="49">
        <f>'Productivity Data'!$I$44</f>
        <v>70.608822220868689</v>
      </c>
      <c r="F16" s="48">
        <f>'Wage Data'!$C$11</f>
        <v>49.154294657004115</v>
      </c>
      <c r="G16" s="49">
        <f>'Cost Pool Data'!$K$43</f>
        <v>1.386023903258889</v>
      </c>
      <c r="H16" s="48">
        <f t="shared" si="0"/>
        <v>1.2814289427042647E-3</v>
      </c>
      <c r="I16" s="75">
        <f t="shared" si="1"/>
        <v>1.2814289427042647E-3</v>
      </c>
      <c r="J16" s="76">
        <f>SUM(I9:I16)</f>
        <v>3.9905614289662984E-3</v>
      </c>
    </row>
    <row r="17" spans="1:10" x14ac:dyDescent="0.25">
      <c r="A17" s="6" t="s">
        <v>243</v>
      </c>
      <c r="B17" t="s">
        <v>211</v>
      </c>
      <c r="C17" s="4">
        <f>C14</f>
        <v>0</v>
      </c>
      <c r="D17" s="4">
        <f>'Conversion Factors'!$J$20</f>
        <v>602.07696562769354</v>
      </c>
      <c r="E17" s="4">
        <f>'Productivity Data'!$I$28</f>
        <v>58.156985400220201</v>
      </c>
      <c r="F17" s="2">
        <f>'Wage Data'!$C$11</f>
        <v>49.154294657004115</v>
      </c>
      <c r="G17" s="4">
        <f>'Cost Pool Data'!$K$27</f>
        <v>1.3606061934437479</v>
      </c>
      <c r="H17" s="2">
        <f t="shared" si="0"/>
        <v>1.9100292292609361E-3</v>
      </c>
      <c r="I17" s="2">
        <f t="shared" si="1"/>
        <v>0</v>
      </c>
    </row>
    <row r="18" spans="1:10" x14ac:dyDescent="0.25">
      <c r="A18" s="6" t="s">
        <v>241</v>
      </c>
      <c r="B18" t="s">
        <v>212</v>
      </c>
      <c r="C18" s="4">
        <f>C15</f>
        <v>0</v>
      </c>
      <c r="D18" s="4">
        <f>'Conversion Factors'!$J$21</f>
        <v>962.99673626031199</v>
      </c>
      <c r="E18" s="4">
        <f>'Productivity Data'!$I$28</f>
        <v>58.156985400220201</v>
      </c>
      <c r="F18" s="2">
        <f>'Wage Data'!$C$11</f>
        <v>49.154294657004115</v>
      </c>
      <c r="G18" s="4">
        <f>'Cost Pool Data'!$K$27</f>
        <v>1.3606061934437479</v>
      </c>
      <c r="H18" s="2">
        <f t="shared" si="0"/>
        <v>1.1941728972825606E-3</v>
      </c>
      <c r="I18" s="2">
        <f t="shared" si="1"/>
        <v>0</v>
      </c>
    </row>
    <row r="19" spans="1:10" x14ac:dyDescent="0.25">
      <c r="B19" t="s">
        <v>217</v>
      </c>
      <c r="C19" s="4">
        <f>C16</f>
        <v>1</v>
      </c>
      <c r="D19" s="4">
        <f>'Conversion Factors'!$J$45</f>
        <v>752.97176701463843</v>
      </c>
      <c r="E19" s="4">
        <f>'Productivity Data'!$I$27</f>
        <v>81.873572020007202</v>
      </c>
      <c r="F19" s="2">
        <f>'Wage Data'!$C$11</f>
        <v>49.154294657004115</v>
      </c>
      <c r="G19" s="4">
        <f>'Cost Pool Data'!$K$27</f>
        <v>1.3606061934437479</v>
      </c>
      <c r="H19" s="2">
        <f t="shared" si="0"/>
        <v>1.0848544660554721E-3</v>
      </c>
      <c r="I19" s="2">
        <f t="shared" si="1"/>
        <v>1.0848544660554721E-3</v>
      </c>
    </row>
    <row r="20" spans="1:10" x14ac:dyDescent="0.25">
      <c r="B20" t="s">
        <v>198</v>
      </c>
      <c r="C20" s="4">
        <f>SUM(C17:C19)</f>
        <v>1</v>
      </c>
      <c r="D20" s="4">
        <v>1</v>
      </c>
      <c r="E20" s="4">
        <f>'Productivity Data'!$I$16</f>
        <v>47.994690148863093</v>
      </c>
      <c r="F20" s="2">
        <f>'Wage Data'!$C$11</f>
        <v>49.154294657004115</v>
      </c>
      <c r="G20" s="4">
        <f>'Cost Pool Data'!$K$16</f>
        <v>1.3208756008457678</v>
      </c>
      <c r="H20" s="2">
        <f>(F20*G20)/(D20*E20)</f>
        <v>1.3527894083249588</v>
      </c>
      <c r="I20" s="2">
        <f>C20*H20</f>
        <v>1.3527894083249588</v>
      </c>
    </row>
    <row r="21" spans="1:10" x14ac:dyDescent="0.25">
      <c r="A21" s="72"/>
      <c r="B21" s="79" t="s">
        <v>248</v>
      </c>
      <c r="C21" s="49">
        <f>C20</f>
        <v>1</v>
      </c>
      <c r="D21" s="49">
        <f>'Conversion Factors'!$J$48</f>
        <v>230.28825131278461</v>
      </c>
      <c r="E21" s="49">
        <f>'Productivity Data'!$I$31</f>
        <v>91.071587890934111</v>
      </c>
      <c r="F21" s="48">
        <f>'Wage Data'!$C$11</f>
        <v>49.154294657004115</v>
      </c>
      <c r="G21" s="49">
        <f>'Cost Pool Data'!$K$27</f>
        <v>1.3606061934437479</v>
      </c>
      <c r="H21" s="48">
        <f>(F21*G21)/(D21*E21)</f>
        <v>3.1888876695652744E-3</v>
      </c>
      <c r="I21" s="75">
        <f>C21*H21</f>
        <v>3.1888876695652744E-3</v>
      </c>
      <c r="J21" s="76">
        <f>SUM(I17:I21)</f>
        <v>1.3570631504605797</v>
      </c>
    </row>
    <row r="22" spans="1:10" x14ac:dyDescent="0.25">
      <c r="A22" s="6" t="s">
        <v>243</v>
      </c>
      <c r="B22" t="s">
        <v>249</v>
      </c>
      <c r="C22" s="4">
        <f>C21</f>
        <v>1</v>
      </c>
      <c r="D22" s="4">
        <f>'Conversion Factors'!$J$48</f>
        <v>230.28825131278461</v>
      </c>
      <c r="E22" s="4">
        <f>'Productivity Data'!$I$25</f>
        <v>60.332591436644847</v>
      </c>
      <c r="F22" s="2">
        <f>'Wage Data'!$C$11</f>
        <v>49.154294657004115</v>
      </c>
      <c r="G22" s="4">
        <f>'Cost Pool Data'!$K$48</f>
        <v>1.6214860636540271</v>
      </c>
      <c r="H22" s="2">
        <f>(F22*G22)/(D22*E22)</f>
        <v>5.7365519004790779E-3</v>
      </c>
      <c r="I22" s="2">
        <f>C22*H22</f>
        <v>5.7365519004790779E-3</v>
      </c>
    </row>
    <row r="23" spans="1:10" x14ac:dyDescent="0.25">
      <c r="A23" s="72" t="s">
        <v>85</v>
      </c>
      <c r="B23" s="79" t="s">
        <v>135</v>
      </c>
      <c r="C23" s="49">
        <f>C22</f>
        <v>1</v>
      </c>
      <c r="D23" s="49">
        <v>1</v>
      </c>
      <c r="E23" s="49">
        <f>'Productivity Data'!$I$22</f>
        <v>307.66822713635111</v>
      </c>
      <c r="F23" s="48">
        <f>'Wage Data'!$C$11</f>
        <v>49.154294657004115</v>
      </c>
      <c r="G23" s="49">
        <f>'Cost Pool Data'!$K$57</f>
        <v>1.4957786551922303</v>
      </c>
      <c r="H23" s="48">
        <f>(F23*G23)/(D23*E23)</f>
        <v>0.23897152280983572</v>
      </c>
      <c r="I23" s="75">
        <f>C23*H23</f>
        <v>0.23897152280983572</v>
      </c>
      <c r="J23" s="76">
        <f>SUM(I22:I23)</f>
        <v>0.2447080747103148</v>
      </c>
    </row>
    <row r="25" spans="1:10" x14ac:dyDescent="0.25">
      <c r="A25" s="29" t="s">
        <v>259</v>
      </c>
      <c r="I25" s="80" t="s">
        <v>203</v>
      </c>
      <c r="J25" s="81">
        <f>J16+J21+J23</f>
        <v>1.6057617865998608</v>
      </c>
    </row>
    <row r="26" spans="1:10" x14ac:dyDescent="0.25">
      <c r="A26" s="6" t="s">
        <v>296</v>
      </c>
      <c r="F26"/>
      <c r="G26"/>
      <c r="H26"/>
      <c r="I26"/>
    </row>
    <row r="27" spans="1:10" x14ac:dyDescent="0.25">
      <c r="A27" s="6" t="s">
        <v>297</v>
      </c>
    </row>
    <row r="28" spans="1:10" x14ac:dyDescent="0.25">
      <c r="A28" s="6" t="s">
        <v>298</v>
      </c>
    </row>
    <row r="29" spans="1:10" x14ac:dyDescent="0.25">
      <c r="A29" s="6" t="s">
        <v>299</v>
      </c>
    </row>
    <row r="30" spans="1:10" x14ac:dyDescent="0.25">
      <c r="A30" s="6" t="s">
        <v>277</v>
      </c>
    </row>
    <row r="31" spans="1:10" x14ac:dyDescent="0.25">
      <c r="A31" s="6" t="s">
        <v>300</v>
      </c>
    </row>
    <row r="32" spans="1:10" x14ac:dyDescent="0.25">
      <c r="A32" s="6" t="s">
        <v>301</v>
      </c>
    </row>
  </sheetData>
  <phoneticPr fontId="3" type="noConversion"/>
  <printOptions horizontalCentered="1"/>
  <pageMargins left="0.75" right="0.75" top="1" bottom="1" header="0.5" footer="0.5"/>
  <pageSetup scale="61" orientation="portrait" r:id="rId1"/>
  <headerFooter alignWithMargins="0">
    <oddHeader>&amp;RPage 20 of 50</oddHeader>
    <oddFooter>&amp;R&amp;F</oddFooter>
  </headerFooter>
  <ignoredErrors>
    <ignoredError sqref="G13 G20" formula="1"/>
  </ignoredError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16">
    <pageSetUpPr fitToPage="1"/>
  </sheetPr>
  <dimension ref="A1:J38"/>
  <sheetViews>
    <sheetView zoomScale="75" workbookViewId="0">
      <selection activeCell="O11" sqref="O11"/>
    </sheetView>
  </sheetViews>
  <sheetFormatPr defaultColWidth="9.109375" defaultRowHeight="13.2" x14ac:dyDescent="0.25"/>
  <cols>
    <col min="1" max="1" width="15.6640625" style="6" customWidth="1"/>
    <col min="2" max="2" width="30.6640625" style="6" customWidth="1"/>
    <col min="3" max="5" width="12.6640625" style="4" customWidth="1"/>
    <col min="6" max="6" width="12.6640625" style="2" customWidth="1"/>
    <col min="7" max="7" width="12.6640625" style="4" customWidth="1"/>
    <col min="8" max="9" width="12.6640625" style="2" customWidth="1"/>
    <col min="10" max="10" width="12.6640625" customWidth="1"/>
  </cols>
  <sheetData>
    <row r="1" spans="1:10" ht="15.6" x14ac:dyDescent="0.3">
      <c r="A1" s="5" t="s">
        <v>394</v>
      </c>
      <c r="B1" s="5"/>
    </row>
    <row r="4" spans="1:10" x14ac:dyDescent="0.25">
      <c r="C4" s="8" t="s">
        <v>107</v>
      </c>
      <c r="D4" s="8" t="s">
        <v>108</v>
      </c>
      <c r="E4" s="8" t="s">
        <v>109</v>
      </c>
      <c r="F4" s="50" t="s">
        <v>112</v>
      </c>
      <c r="G4" s="8" t="s">
        <v>156</v>
      </c>
      <c r="H4" s="50" t="s">
        <v>157</v>
      </c>
      <c r="I4" s="50" t="s">
        <v>192</v>
      </c>
    </row>
    <row r="5" spans="1:10" x14ac:dyDescent="0.25">
      <c r="A5" s="70"/>
      <c r="F5" s="50" t="s">
        <v>155</v>
      </c>
      <c r="H5" s="50" t="s">
        <v>3</v>
      </c>
      <c r="I5" s="50" t="s">
        <v>3</v>
      </c>
    </row>
    <row r="6" spans="1:10" s="6" customFormat="1" x14ac:dyDescent="0.25">
      <c r="C6" s="8"/>
      <c r="D6" s="8" t="s">
        <v>202</v>
      </c>
      <c r="E6" s="8" t="s">
        <v>101</v>
      </c>
      <c r="F6" s="50" t="s">
        <v>103</v>
      </c>
      <c r="G6" s="8" t="s">
        <v>105</v>
      </c>
      <c r="H6" s="50" t="s">
        <v>207</v>
      </c>
      <c r="I6" s="50" t="s">
        <v>206</v>
      </c>
    </row>
    <row r="7" spans="1:10" s="6" customFormat="1" x14ac:dyDescent="0.25">
      <c r="A7" s="6" t="s">
        <v>84</v>
      </c>
      <c r="B7" s="6" t="s">
        <v>76</v>
      </c>
      <c r="C7" s="8" t="s">
        <v>199</v>
      </c>
      <c r="D7" s="8" t="s">
        <v>81</v>
      </c>
      <c r="E7" s="8" t="s">
        <v>102</v>
      </c>
      <c r="F7" s="50" t="s">
        <v>104</v>
      </c>
      <c r="G7" s="8" t="s">
        <v>81</v>
      </c>
      <c r="H7" s="50" t="s">
        <v>76</v>
      </c>
      <c r="I7" s="50" t="s">
        <v>84</v>
      </c>
    </row>
    <row r="8" spans="1:10" x14ac:dyDescent="0.25">
      <c r="A8" s="72"/>
      <c r="B8" s="72"/>
      <c r="C8" s="49"/>
      <c r="D8" s="49"/>
      <c r="E8" s="49"/>
      <c r="F8" s="48"/>
      <c r="G8" s="49"/>
      <c r="H8" s="48"/>
      <c r="I8" s="48"/>
      <c r="J8" s="79"/>
    </row>
    <row r="9" spans="1:10" x14ac:dyDescent="0.25">
      <c r="A9" s="6" t="s">
        <v>243</v>
      </c>
      <c r="B9" t="s">
        <v>211</v>
      </c>
      <c r="C9" s="4">
        <f>'Mailer Arrival Profile'!$C$19</f>
        <v>0</v>
      </c>
      <c r="D9" s="4">
        <f>'Conversion Factors'!$J$20</f>
        <v>602.07696562769354</v>
      </c>
      <c r="E9" s="4">
        <f>'Productivity Data'!$I$38</f>
        <v>46.475052307166727</v>
      </c>
      <c r="F9" s="2">
        <f>'Wage Data'!$C$11</f>
        <v>49.154294657004115</v>
      </c>
      <c r="G9" s="4">
        <f>'Cost Pool Data'!$K$43</f>
        <v>1.386023903258889</v>
      </c>
      <c r="H9" s="2">
        <f t="shared" ref="H9:H20" si="0">(F9*G9)/(D9*E9)</f>
        <v>2.4347831595690232E-3</v>
      </c>
      <c r="I9" s="2">
        <f t="shared" ref="I9:I20" si="1">C9*H9</f>
        <v>0</v>
      </c>
    </row>
    <row r="10" spans="1:10" x14ac:dyDescent="0.25">
      <c r="A10" s="6" t="s">
        <v>131</v>
      </c>
      <c r="B10" t="s">
        <v>212</v>
      </c>
      <c r="C10" s="4">
        <f>'Mailer Arrival Profile'!$D$19</f>
        <v>0</v>
      </c>
      <c r="D10" s="4">
        <f>'Conversion Factors'!$J$21</f>
        <v>962.99673626031199</v>
      </c>
      <c r="E10" s="4">
        <f>'Productivity Data'!$I$38</f>
        <v>46.475052307166727</v>
      </c>
      <c r="F10" s="2">
        <f>'Wage Data'!$C$11</f>
        <v>49.154294657004115</v>
      </c>
      <c r="G10" s="4">
        <f>'Cost Pool Data'!$K$43</f>
        <v>1.386023903258889</v>
      </c>
      <c r="H10" s="2">
        <f t="shared" si="0"/>
        <v>1.5222552699061948E-3</v>
      </c>
      <c r="I10" s="2">
        <f t="shared" si="1"/>
        <v>0</v>
      </c>
    </row>
    <row r="11" spans="1:10" x14ac:dyDescent="0.25">
      <c r="B11" t="s">
        <v>213</v>
      </c>
      <c r="C11" s="4">
        <f>'Mailer Arrival Profile'!$E$19</f>
        <v>0.77812316831422346</v>
      </c>
      <c r="D11" s="4">
        <f>'Conversion Factors'!$J$22</f>
        <v>620.21610999043128</v>
      </c>
      <c r="E11" s="4">
        <f>'Productivity Data'!$I$38</f>
        <v>46.475052307166727</v>
      </c>
      <c r="F11" s="2">
        <f>'Wage Data'!$C$11</f>
        <v>49.154294657004115</v>
      </c>
      <c r="G11" s="4">
        <f>'Cost Pool Data'!$K$43</f>
        <v>1.386023903258889</v>
      </c>
      <c r="H11" s="2">
        <f t="shared" si="0"/>
        <v>2.3635742978319963E-3</v>
      </c>
      <c r="I11" s="2">
        <f t="shared" si="1"/>
        <v>1.8391519211750989E-3</v>
      </c>
    </row>
    <row r="12" spans="1:10" x14ac:dyDescent="0.25">
      <c r="B12" t="s">
        <v>214</v>
      </c>
      <c r="C12" s="4">
        <f>'Mailer Arrival Profile'!$F$19</f>
        <v>0.22187683168577657</v>
      </c>
      <c r="D12" s="4">
        <f>'Conversion Factors'!$J$23</f>
        <v>524.66078050207489</v>
      </c>
      <c r="E12" s="4">
        <f>'Productivity Data'!$I$37</f>
        <v>55.996737364805647</v>
      </c>
      <c r="F12" s="2">
        <f>'Wage Data'!$C$11</f>
        <v>49.154294657004115</v>
      </c>
      <c r="G12" s="4">
        <f>'Cost Pool Data'!$K$43</f>
        <v>1.386023903258889</v>
      </c>
      <c r="H12" s="2">
        <f t="shared" si="0"/>
        <v>2.318947219747315E-3</v>
      </c>
      <c r="I12" s="2">
        <f t="shared" si="1"/>
        <v>5.1452066196407457E-4</v>
      </c>
    </row>
    <row r="13" spans="1:10" x14ac:dyDescent="0.25">
      <c r="B13" t="s">
        <v>143</v>
      </c>
      <c r="C13" s="4">
        <f>(C11+C12)*(1+'Other Inputs'!$B$9)</f>
        <v>1.0423865344574321</v>
      </c>
      <c r="D13" s="4">
        <f>'Mailer Arrival Profile'!$I$19</f>
        <v>36.926829268292686</v>
      </c>
      <c r="E13" s="4">
        <f>'Productivity Data'!$I$19</f>
        <v>3068.1109131264348</v>
      </c>
      <c r="F13" s="2">
        <f>'Wage Data'!$C$11</f>
        <v>49.154294657004115</v>
      </c>
      <c r="G13" s="4">
        <f>'Cost Pool Data'!$K$46</f>
        <v>1.6196174573049362</v>
      </c>
      <c r="H13" s="2">
        <f t="shared" si="0"/>
        <v>7.0268526051524239E-4</v>
      </c>
      <c r="I13" s="2">
        <f t="shared" si="1"/>
        <v>7.3246965352280144E-4</v>
      </c>
    </row>
    <row r="14" spans="1:10" x14ac:dyDescent="0.25">
      <c r="B14" t="s">
        <v>223</v>
      </c>
      <c r="C14" s="4">
        <f>C9</f>
        <v>0</v>
      </c>
      <c r="D14" s="4">
        <f>'Conversion Factors'!$J$20</f>
        <v>602.07696562769354</v>
      </c>
      <c r="E14" s="4">
        <f>'Productivity Data'!$I$45</f>
        <v>55.582256364514194</v>
      </c>
      <c r="F14" s="2">
        <f>'Wage Data'!$C$11</f>
        <v>49.154294657004115</v>
      </c>
      <c r="G14" s="4">
        <f>'Cost Pool Data'!$K$43</f>
        <v>1.386023903258889</v>
      </c>
      <c r="H14" s="2">
        <f t="shared" si="0"/>
        <v>2.0358416893960876E-3</v>
      </c>
      <c r="I14" s="2">
        <f t="shared" si="1"/>
        <v>0</v>
      </c>
    </row>
    <row r="15" spans="1:10" x14ac:dyDescent="0.25">
      <c r="B15" t="s">
        <v>224</v>
      </c>
      <c r="C15" s="4">
        <f>C10</f>
        <v>0</v>
      </c>
      <c r="D15" s="4">
        <f>'Conversion Factors'!$J$21</f>
        <v>962.99673626031199</v>
      </c>
      <c r="E15" s="4">
        <f>'Productivity Data'!$I$45</f>
        <v>55.582256364514194</v>
      </c>
      <c r="F15" s="2">
        <f>'Wage Data'!$C$11</f>
        <v>49.154294657004115</v>
      </c>
      <c r="G15" s="4">
        <f>'Cost Pool Data'!$K$43</f>
        <v>1.386023903258889</v>
      </c>
      <c r="H15" s="2">
        <f>(F15*G15)/(D15*E15)</f>
        <v>1.2728323375320563E-3</v>
      </c>
      <c r="I15" s="2">
        <f>C15*H15</f>
        <v>0</v>
      </c>
    </row>
    <row r="16" spans="1:10" x14ac:dyDescent="0.25">
      <c r="A16" s="72"/>
      <c r="B16" s="79" t="s">
        <v>236</v>
      </c>
      <c r="C16" s="49">
        <f>(C11+C12)</f>
        <v>1</v>
      </c>
      <c r="D16" s="49">
        <f>'Conversion Factors'!$J$45</f>
        <v>752.97176701463843</v>
      </c>
      <c r="E16" s="49">
        <f>'Productivity Data'!$I$44</f>
        <v>70.608822220868689</v>
      </c>
      <c r="F16" s="48">
        <f>'Wage Data'!$C$11</f>
        <v>49.154294657004115</v>
      </c>
      <c r="G16" s="49">
        <f>'Cost Pool Data'!$K$43</f>
        <v>1.386023903258889</v>
      </c>
      <c r="H16" s="48">
        <f t="shared" si="0"/>
        <v>1.2814289427042647E-3</v>
      </c>
      <c r="I16" s="75">
        <f t="shared" si="1"/>
        <v>1.2814289427042647E-3</v>
      </c>
      <c r="J16" s="76">
        <f>SUM(I9:I16)</f>
        <v>4.3675711793662395E-3</v>
      </c>
    </row>
    <row r="17" spans="1:10" x14ac:dyDescent="0.25">
      <c r="A17" s="6" t="s">
        <v>243</v>
      </c>
      <c r="B17" t="s">
        <v>211</v>
      </c>
      <c r="C17" s="4">
        <f>C14</f>
        <v>0</v>
      </c>
      <c r="D17" s="4">
        <f>'Conversion Factors'!$J$20</f>
        <v>602.07696562769354</v>
      </c>
      <c r="E17" s="4">
        <f>'Productivity Data'!$I$28</f>
        <v>58.156985400220201</v>
      </c>
      <c r="F17" s="2">
        <f>'Wage Data'!$C$11</f>
        <v>49.154294657004115</v>
      </c>
      <c r="G17" s="4">
        <f>'Cost Pool Data'!$K$27</f>
        <v>1.3606061934437479</v>
      </c>
      <c r="H17" s="2">
        <f t="shared" si="0"/>
        <v>1.9100292292609361E-3</v>
      </c>
      <c r="I17" s="2">
        <f t="shared" si="1"/>
        <v>0</v>
      </c>
    </row>
    <row r="18" spans="1:10" x14ac:dyDescent="0.25">
      <c r="A18" s="6" t="s">
        <v>241</v>
      </c>
      <c r="B18" t="s">
        <v>212</v>
      </c>
      <c r="C18" s="4">
        <f>C15</f>
        <v>0</v>
      </c>
      <c r="D18" s="4">
        <f>'Conversion Factors'!$J$21</f>
        <v>962.99673626031199</v>
      </c>
      <c r="E18" s="4">
        <f>'Productivity Data'!$I$28</f>
        <v>58.156985400220201</v>
      </c>
      <c r="F18" s="2">
        <f>'Wage Data'!$C$11</f>
        <v>49.154294657004115</v>
      </c>
      <c r="G18" s="4">
        <f>'Cost Pool Data'!$K$27</f>
        <v>1.3606061934437479</v>
      </c>
      <c r="H18" s="2">
        <f t="shared" si="0"/>
        <v>1.1941728972825606E-3</v>
      </c>
      <c r="I18" s="2">
        <f t="shared" si="1"/>
        <v>0</v>
      </c>
    </row>
    <row r="19" spans="1:10" x14ac:dyDescent="0.25">
      <c r="B19" t="s">
        <v>217</v>
      </c>
      <c r="C19" s="4">
        <f>C16</f>
        <v>1</v>
      </c>
      <c r="D19" s="4">
        <f>'Conversion Factors'!$J$45</f>
        <v>752.97176701463843</v>
      </c>
      <c r="E19" s="4">
        <f>'Productivity Data'!$I$27</f>
        <v>81.873572020007202</v>
      </c>
      <c r="F19" s="2">
        <f>'Wage Data'!$C$11</f>
        <v>49.154294657004115</v>
      </c>
      <c r="G19" s="4">
        <f>'Cost Pool Data'!$K$27</f>
        <v>1.3606061934437479</v>
      </c>
      <c r="H19" s="2">
        <f t="shared" si="0"/>
        <v>1.0848544660554721E-3</v>
      </c>
      <c r="I19" s="2">
        <f t="shared" si="1"/>
        <v>1.0848544660554721E-3</v>
      </c>
    </row>
    <row r="20" spans="1:10" x14ac:dyDescent="0.25">
      <c r="B20" t="s">
        <v>200</v>
      </c>
      <c r="C20" s="4">
        <f>C19</f>
        <v>1</v>
      </c>
      <c r="D20" s="4">
        <f>'Mailer Arrival Profile'!$I$19</f>
        <v>36.926829268292686</v>
      </c>
      <c r="E20" s="4">
        <f>'Productivity Data'!$I$14</f>
        <v>49.323981905738421</v>
      </c>
      <c r="F20" s="2">
        <f>'Wage Data'!$C$11</f>
        <v>49.154294657004115</v>
      </c>
      <c r="G20" s="4">
        <f>'Cost Pool Data'!$K$30</f>
        <v>1.2805162995566952</v>
      </c>
      <c r="H20" s="2">
        <f t="shared" si="0"/>
        <v>3.4557827404628004E-2</v>
      </c>
      <c r="I20" s="2">
        <f t="shared" si="1"/>
        <v>3.4557827404628004E-2</v>
      </c>
    </row>
    <row r="21" spans="1:10" x14ac:dyDescent="0.25">
      <c r="B21" t="s">
        <v>227</v>
      </c>
      <c r="C21" s="4">
        <f>C17</f>
        <v>0</v>
      </c>
      <c r="D21" s="4">
        <f>'Conversion Factors'!$J$20</f>
        <v>602.07696562769354</v>
      </c>
      <c r="E21" s="4">
        <f>'Productivity Data'!$I$30</f>
        <v>39.899251235537818</v>
      </c>
      <c r="F21" s="2">
        <f>'Wage Data'!$C$11</f>
        <v>49.154294657004115</v>
      </c>
      <c r="G21" s="4">
        <f>'Cost Pool Data'!$K$27</f>
        <v>1.3606061934437479</v>
      </c>
      <c r="H21" s="2">
        <f t="shared" ref="H21:H29" si="2">(F21*G21)/(D21*E21)</f>
        <v>2.7840507919402509E-3</v>
      </c>
      <c r="I21" s="2">
        <f t="shared" ref="I21:I29" si="3">C21*H21</f>
        <v>0</v>
      </c>
    </row>
    <row r="22" spans="1:10" x14ac:dyDescent="0.25">
      <c r="B22" t="s">
        <v>228</v>
      </c>
      <c r="C22" s="4">
        <f>C18</f>
        <v>0</v>
      </c>
      <c r="D22" s="4">
        <f>'Conversion Factors'!$J$21</f>
        <v>962.99673626031199</v>
      </c>
      <c r="E22" s="4">
        <f>'Productivity Data'!$I$30</f>
        <v>39.899251235537818</v>
      </c>
      <c r="F22" s="2">
        <f>'Wage Data'!$C$11</f>
        <v>49.154294657004115</v>
      </c>
      <c r="G22" s="4">
        <f>'Cost Pool Data'!$K$27</f>
        <v>1.3606061934437479</v>
      </c>
      <c r="H22" s="2">
        <f t="shared" si="2"/>
        <v>1.7406215305299426E-3</v>
      </c>
      <c r="I22" s="2">
        <f t="shared" si="3"/>
        <v>0</v>
      </c>
    </row>
    <row r="23" spans="1:10" x14ac:dyDescent="0.25">
      <c r="B23" t="s">
        <v>223</v>
      </c>
      <c r="C23" s="4">
        <f>C21</f>
        <v>0</v>
      </c>
      <c r="D23" s="4">
        <f>'Conversion Factors'!$J$20</f>
        <v>602.07696562769354</v>
      </c>
      <c r="E23" s="4">
        <f>'Productivity Data'!$I$28</f>
        <v>58.156985400220201</v>
      </c>
      <c r="F23" s="2">
        <f>'Wage Data'!$C$11</f>
        <v>49.154294657004115</v>
      </c>
      <c r="G23" s="4">
        <f>'Cost Pool Data'!$K$27</f>
        <v>1.3606061934437479</v>
      </c>
      <c r="H23" s="2">
        <f t="shared" si="2"/>
        <v>1.9100292292609361E-3</v>
      </c>
      <c r="I23" s="2">
        <f t="shared" si="3"/>
        <v>0</v>
      </c>
    </row>
    <row r="24" spans="1:10" x14ac:dyDescent="0.25">
      <c r="B24" t="s">
        <v>224</v>
      </c>
      <c r="C24" s="4">
        <f>C22</f>
        <v>0</v>
      </c>
      <c r="D24" s="4">
        <f>'Conversion Factors'!$J$21</f>
        <v>962.99673626031199</v>
      </c>
      <c r="E24" s="4">
        <f>'Productivity Data'!$I$28</f>
        <v>58.156985400220201</v>
      </c>
      <c r="F24" s="2">
        <f>'Wage Data'!$C$11</f>
        <v>49.154294657004115</v>
      </c>
      <c r="G24" s="4">
        <f>'Cost Pool Data'!$K$27</f>
        <v>1.3606061934437479</v>
      </c>
      <c r="H24" s="2">
        <f t="shared" si="2"/>
        <v>1.1941728972825606E-3</v>
      </c>
      <c r="I24" s="2">
        <f t="shared" si="3"/>
        <v>0</v>
      </c>
    </row>
    <row r="25" spans="1:10" x14ac:dyDescent="0.25">
      <c r="A25" s="72"/>
      <c r="B25" s="79" t="s">
        <v>248</v>
      </c>
      <c r="C25" s="49">
        <f>C20</f>
        <v>1</v>
      </c>
      <c r="D25" s="49">
        <f>'Conversion Factors'!$J$48</f>
        <v>230.28825131278461</v>
      </c>
      <c r="E25" s="49">
        <f>'Productivity Data'!$I$31</f>
        <v>91.071587890934111</v>
      </c>
      <c r="F25" s="48">
        <f>'Wage Data'!$C$11</f>
        <v>49.154294657004115</v>
      </c>
      <c r="G25" s="49">
        <f>'Cost Pool Data'!$K$27</f>
        <v>1.3606061934437479</v>
      </c>
      <c r="H25" s="48">
        <f t="shared" si="2"/>
        <v>3.1888876695652744E-3</v>
      </c>
      <c r="I25" s="75">
        <f t="shared" si="3"/>
        <v>3.1888876695652744E-3</v>
      </c>
      <c r="J25" s="76">
        <f>SUM(I17:I25)</f>
        <v>3.8831569540248752E-2</v>
      </c>
    </row>
    <row r="26" spans="1:10" x14ac:dyDescent="0.25">
      <c r="A26" s="6" t="s">
        <v>243</v>
      </c>
      <c r="B26" t="s">
        <v>211</v>
      </c>
      <c r="C26" s="4">
        <f>C23</f>
        <v>0</v>
      </c>
      <c r="D26" s="4">
        <f>'Conversion Factors'!$J$20</f>
        <v>602.07696562769354</v>
      </c>
      <c r="E26" s="4">
        <f>'Productivity Data'!$I$26</f>
        <v>48.58034429266948</v>
      </c>
      <c r="F26" s="2">
        <f>'Wage Data'!$C$11</f>
        <v>49.154294657004115</v>
      </c>
      <c r="G26" s="4">
        <f>'Cost Pool Data'!$K$48</f>
        <v>1.6214860636540271</v>
      </c>
      <c r="H26" s="2">
        <f t="shared" si="2"/>
        <v>2.724972277432619E-3</v>
      </c>
      <c r="I26" s="2">
        <f t="shared" si="3"/>
        <v>0</v>
      </c>
    </row>
    <row r="27" spans="1:10" x14ac:dyDescent="0.25">
      <c r="A27" s="6" t="s">
        <v>85</v>
      </c>
      <c r="B27" t="s">
        <v>212</v>
      </c>
      <c r="C27" s="4">
        <f>C24</f>
        <v>0</v>
      </c>
      <c r="D27" s="4">
        <f>'Conversion Factors'!$J$21</f>
        <v>962.99673626031199</v>
      </c>
      <c r="E27" s="4">
        <f>'Productivity Data'!$I$26</f>
        <v>48.58034429266948</v>
      </c>
      <c r="F27" s="2">
        <f>'Wage Data'!$C$11</f>
        <v>49.154294657004115</v>
      </c>
      <c r="G27" s="4">
        <f>'Cost Pool Data'!$K$48</f>
        <v>1.6214860636540271</v>
      </c>
      <c r="H27" s="2">
        <f t="shared" si="2"/>
        <v>1.7036849435102623E-3</v>
      </c>
      <c r="I27" s="2">
        <f t="shared" si="3"/>
        <v>0</v>
      </c>
    </row>
    <row r="28" spans="1:10" x14ac:dyDescent="0.25">
      <c r="B28" t="s">
        <v>249</v>
      </c>
      <c r="C28" s="4">
        <f>C25</f>
        <v>1</v>
      </c>
      <c r="D28" s="4">
        <f>'Conversion Factors'!$J$48</f>
        <v>230.28825131278461</v>
      </c>
      <c r="E28" s="4">
        <f>'Productivity Data'!$I$25</f>
        <v>60.332591436644847</v>
      </c>
      <c r="F28" s="2">
        <f>'Wage Data'!$C$11</f>
        <v>49.154294657004115</v>
      </c>
      <c r="G28" s="4">
        <f>'Cost Pool Data'!$K$48</f>
        <v>1.6214860636540271</v>
      </c>
      <c r="H28" s="2">
        <f t="shared" si="2"/>
        <v>5.7365519004790779E-3</v>
      </c>
      <c r="I28" s="2">
        <f t="shared" si="3"/>
        <v>5.7365519004790779E-3</v>
      </c>
    </row>
    <row r="29" spans="1:10" x14ac:dyDescent="0.25">
      <c r="A29" s="72"/>
      <c r="B29" s="79" t="s">
        <v>135</v>
      </c>
      <c r="C29" s="49">
        <f>SUM(C26:C28)</f>
        <v>1</v>
      </c>
      <c r="D29" s="49">
        <v>1</v>
      </c>
      <c r="E29" s="49">
        <f>'Productivity Data'!$I$22</f>
        <v>307.66822713635111</v>
      </c>
      <c r="F29" s="48">
        <f>'Wage Data'!$C$11</f>
        <v>49.154294657004115</v>
      </c>
      <c r="G29" s="49">
        <f>'Cost Pool Data'!$K$57</f>
        <v>1.4957786551922303</v>
      </c>
      <c r="H29" s="48">
        <f t="shared" si="2"/>
        <v>0.23897152280983572</v>
      </c>
      <c r="I29" s="75">
        <f t="shared" si="3"/>
        <v>0.23897152280983572</v>
      </c>
      <c r="J29" s="76">
        <f>SUM(I26:I29)</f>
        <v>0.2447080747103148</v>
      </c>
    </row>
    <row r="31" spans="1:10" x14ac:dyDescent="0.25">
      <c r="A31" s="29" t="s">
        <v>259</v>
      </c>
      <c r="I31" s="80" t="s">
        <v>203</v>
      </c>
      <c r="J31" s="81">
        <f>J16+J25+J29</f>
        <v>0.28790721542992981</v>
      </c>
    </row>
    <row r="32" spans="1:10" x14ac:dyDescent="0.25">
      <c r="A32" s="6" t="s">
        <v>296</v>
      </c>
      <c r="F32"/>
      <c r="G32"/>
      <c r="H32"/>
      <c r="I32"/>
    </row>
    <row r="33" spans="1:1" x14ac:dyDescent="0.25">
      <c r="A33" s="6" t="s">
        <v>297</v>
      </c>
    </row>
    <row r="34" spans="1:1" x14ac:dyDescent="0.25">
      <c r="A34" s="6" t="s">
        <v>298</v>
      </c>
    </row>
    <row r="35" spans="1:1" x14ac:dyDescent="0.25">
      <c r="A35" s="6" t="s">
        <v>299</v>
      </c>
    </row>
    <row r="36" spans="1:1" x14ac:dyDescent="0.25">
      <c r="A36" s="6" t="s">
        <v>277</v>
      </c>
    </row>
    <row r="37" spans="1:1" x14ac:dyDescent="0.25">
      <c r="A37" s="6" t="s">
        <v>300</v>
      </c>
    </row>
    <row r="38" spans="1:1" x14ac:dyDescent="0.25">
      <c r="A38" s="6" t="s">
        <v>301</v>
      </c>
    </row>
  </sheetData>
  <phoneticPr fontId="3" type="noConversion"/>
  <printOptions horizontalCentered="1"/>
  <pageMargins left="0.75" right="0.75" top="1" bottom="1" header="0.5" footer="0.5"/>
  <pageSetup scale="61" orientation="portrait" r:id="rId1"/>
  <headerFooter alignWithMargins="0">
    <oddHeader>&amp;RPage 21 of 50</oddHeader>
    <oddFooter>&amp;R&amp;F</oddFooter>
  </headerFooter>
  <ignoredErrors>
    <ignoredError sqref="D22:D23 G13 G20" formula="1"/>
  </ignoredError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17">
    <pageSetUpPr fitToPage="1"/>
  </sheetPr>
  <dimension ref="A1:J25"/>
  <sheetViews>
    <sheetView zoomScale="75" workbookViewId="0">
      <selection activeCell="R25" sqref="R25"/>
    </sheetView>
  </sheetViews>
  <sheetFormatPr defaultColWidth="9.109375" defaultRowHeight="13.2" x14ac:dyDescent="0.25"/>
  <cols>
    <col min="1" max="1" width="15.6640625" style="6" customWidth="1"/>
    <col min="2" max="2" width="30.6640625" style="6" customWidth="1"/>
    <col min="3" max="5" width="12.6640625" style="4" customWidth="1"/>
    <col min="6" max="6" width="12.6640625" style="2" customWidth="1"/>
    <col min="7" max="7" width="12.6640625" style="4" customWidth="1"/>
    <col min="8" max="9" width="12.6640625" style="2" customWidth="1"/>
    <col min="10" max="10" width="12.6640625" customWidth="1"/>
  </cols>
  <sheetData>
    <row r="1" spans="1:10" ht="15.6" x14ac:dyDescent="0.3">
      <c r="A1" s="5" t="s">
        <v>395</v>
      </c>
      <c r="B1" s="5"/>
    </row>
    <row r="4" spans="1:10" x14ac:dyDescent="0.25">
      <c r="C4" s="8" t="s">
        <v>107</v>
      </c>
      <c r="D4" s="8" t="s">
        <v>108</v>
      </c>
      <c r="E4" s="8" t="s">
        <v>109</v>
      </c>
      <c r="F4" s="50" t="s">
        <v>112</v>
      </c>
      <c r="G4" s="8" t="s">
        <v>156</v>
      </c>
      <c r="H4" s="50" t="s">
        <v>157</v>
      </c>
      <c r="I4" s="50" t="s">
        <v>192</v>
      </c>
    </row>
    <row r="5" spans="1:10" x14ac:dyDescent="0.25">
      <c r="A5" s="70"/>
      <c r="F5" s="50" t="s">
        <v>155</v>
      </c>
      <c r="H5" s="50" t="s">
        <v>3</v>
      </c>
      <c r="I5" s="50" t="s">
        <v>3</v>
      </c>
    </row>
    <row r="6" spans="1:10" s="6" customFormat="1" x14ac:dyDescent="0.25">
      <c r="C6" s="8"/>
      <c r="D6" s="8" t="s">
        <v>202</v>
      </c>
      <c r="E6" s="8" t="s">
        <v>101</v>
      </c>
      <c r="F6" s="50" t="s">
        <v>103</v>
      </c>
      <c r="G6" s="8" t="s">
        <v>105</v>
      </c>
      <c r="H6" s="50" t="s">
        <v>207</v>
      </c>
      <c r="I6" s="50" t="s">
        <v>206</v>
      </c>
    </row>
    <row r="7" spans="1:10" s="6" customFormat="1" x14ac:dyDescent="0.25">
      <c r="A7" s="6" t="s">
        <v>84</v>
      </c>
      <c r="B7" s="6" t="s">
        <v>76</v>
      </c>
      <c r="C7" s="8" t="s">
        <v>199</v>
      </c>
      <c r="D7" s="8" t="s">
        <v>81</v>
      </c>
      <c r="E7" s="8" t="s">
        <v>102</v>
      </c>
      <c r="F7" s="50" t="s">
        <v>104</v>
      </c>
      <c r="G7" s="8" t="s">
        <v>81</v>
      </c>
      <c r="H7" s="50" t="s">
        <v>76</v>
      </c>
      <c r="I7" s="50" t="s">
        <v>84</v>
      </c>
    </row>
    <row r="8" spans="1:10" x14ac:dyDescent="0.25">
      <c r="A8" s="72"/>
      <c r="B8" s="72"/>
      <c r="C8" s="49"/>
      <c r="D8" s="49"/>
      <c r="E8" s="49"/>
      <c r="F8" s="48"/>
      <c r="G8" s="49"/>
      <c r="H8" s="48"/>
      <c r="I8" s="48"/>
      <c r="J8" s="79"/>
    </row>
    <row r="9" spans="1:10" x14ac:dyDescent="0.25">
      <c r="A9" s="6" t="s">
        <v>243</v>
      </c>
      <c r="B9" t="s">
        <v>211</v>
      </c>
      <c r="C9" s="4">
        <f>'Mailer Arrival Profile'!$C$20</f>
        <v>3.9651766771526813E-2</v>
      </c>
      <c r="D9" s="4">
        <f>'Conversion Factors'!$J$20</f>
        <v>602.07696562769354</v>
      </c>
      <c r="E9" s="4">
        <f>'Productivity Data'!$I$28</f>
        <v>58.156985400220201</v>
      </c>
      <c r="F9" s="2">
        <f>'Wage Data'!$C$11</f>
        <v>49.154294657004115</v>
      </c>
      <c r="G9" s="4">
        <f>'Cost Pool Data'!$K$27</f>
        <v>1.3606061934437479</v>
      </c>
      <c r="H9" s="2">
        <f t="shared" ref="H9:H16" si="0">(F9*G9)/(D9*E9)</f>
        <v>1.9100292292609361E-3</v>
      </c>
      <c r="I9" s="2">
        <f t="shared" ref="I9:I16" si="1">C9*H9</f>
        <v>7.5736033525453756E-5</v>
      </c>
    </row>
    <row r="10" spans="1:10" x14ac:dyDescent="0.25">
      <c r="A10" s="6" t="s">
        <v>241</v>
      </c>
      <c r="B10" t="s">
        <v>212</v>
      </c>
      <c r="C10" s="4">
        <f>'Mailer Arrival Profile'!$D$20</f>
        <v>4.7479698588045946E-2</v>
      </c>
      <c r="D10" s="4">
        <f>'Conversion Factors'!$J$21</f>
        <v>962.99673626031199</v>
      </c>
      <c r="E10" s="4">
        <f>'Productivity Data'!$I$28</f>
        <v>58.156985400220201</v>
      </c>
      <c r="F10" s="2">
        <f>'Wage Data'!$C$11</f>
        <v>49.154294657004115</v>
      </c>
      <c r="G10" s="4">
        <f>'Cost Pool Data'!$K$27</f>
        <v>1.3606061934437479</v>
      </c>
      <c r="H10" s="2">
        <f t="shared" si="0"/>
        <v>1.1941728972825606E-3</v>
      </c>
      <c r="I10" s="2">
        <f t="shared" si="1"/>
        <v>5.6698969224989531E-5</v>
      </c>
    </row>
    <row r="11" spans="1:10" x14ac:dyDescent="0.25">
      <c r="B11" t="s">
        <v>213</v>
      </c>
      <c r="C11" s="4">
        <f>'Mailer Arrival Profile'!$E$20</f>
        <v>0</v>
      </c>
      <c r="D11" s="4">
        <f>'Conversion Factors'!$J$22</f>
        <v>620.21610999043128</v>
      </c>
      <c r="E11" s="4">
        <f>'Productivity Data'!$I$28</f>
        <v>58.156985400220201</v>
      </c>
      <c r="F11" s="2">
        <f>'Wage Data'!$C$11</f>
        <v>49.154294657004115</v>
      </c>
      <c r="G11" s="4">
        <f>'Cost Pool Data'!$K$27</f>
        <v>1.3606061934437479</v>
      </c>
      <c r="H11" s="2">
        <f t="shared" si="0"/>
        <v>1.8541675781871721E-3</v>
      </c>
      <c r="I11" s="2">
        <f t="shared" si="1"/>
        <v>0</v>
      </c>
    </row>
    <row r="12" spans="1:10" x14ac:dyDescent="0.25">
      <c r="B12" t="s">
        <v>214</v>
      </c>
      <c r="C12" s="4">
        <f>'Mailer Arrival Profile'!$F$20</f>
        <v>0.91286853464042728</v>
      </c>
      <c r="D12" s="4">
        <f>'Conversion Factors'!$J$23</f>
        <v>524.66078050207489</v>
      </c>
      <c r="E12" s="4">
        <f>'Productivity Data'!$I$27</f>
        <v>81.873572020007202</v>
      </c>
      <c r="F12" s="2">
        <f>'Wage Data'!$C$11</f>
        <v>49.154294657004115</v>
      </c>
      <c r="G12" s="4">
        <f>'Cost Pool Data'!$K$27</f>
        <v>1.3606061934437479</v>
      </c>
      <c r="H12" s="2">
        <f t="shared" si="0"/>
        <v>1.5569389110385019E-3</v>
      </c>
      <c r="I12" s="2">
        <f t="shared" si="1"/>
        <v>1.4212805422443798E-3</v>
      </c>
    </row>
    <row r="13" spans="1:10" x14ac:dyDescent="0.25">
      <c r="B13" t="s">
        <v>198</v>
      </c>
      <c r="C13" s="4">
        <f>SUM(C9:C12)</f>
        <v>1</v>
      </c>
      <c r="D13" s="4">
        <v>1</v>
      </c>
      <c r="E13" s="4">
        <f>'Productivity Data'!$I$16</f>
        <v>47.994690148863093</v>
      </c>
      <c r="F13" s="2">
        <f>'Wage Data'!$C$11</f>
        <v>49.154294657004115</v>
      </c>
      <c r="G13" s="4">
        <f>'Cost Pool Data'!$K$16</f>
        <v>1.3208756008457678</v>
      </c>
      <c r="H13" s="2">
        <f t="shared" si="0"/>
        <v>1.3527894083249588</v>
      </c>
      <c r="I13" s="2">
        <f t="shared" si="1"/>
        <v>1.3527894083249588</v>
      </c>
    </row>
    <row r="14" spans="1:10" x14ac:dyDescent="0.25">
      <c r="A14" s="72"/>
      <c r="B14" s="79" t="s">
        <v>248</v>
      </c>
      <c r="C14" s="49">
        <f>C13</f>
        <v>1</v>
      </c>
      <c r="D14" s="49">
        <f>'Conversion Factors'!$J$48</f>
        <v>230.28825131278461</v>
      </c>
      <c r="E14" s="49">
        <f>'Productivity Data'!$I$31</f>
        <v>91.071587890934111</v>
      </c>
      <c r="F14" s="48">
        <f>'Wage Data'!$C$11</f>
        <v>49.154294657004115</v>
      </c>
      <c r="G14" s="49">
        <f>'Cost Pool Data'!$K$27</f>
        <v>1.3606061934437479</v>
      </c>
      <c r="H14" s="48">
        <f t="shared" si="0"/>
        <v>3.1888876695652744E-3</v>
      </c>
      <c r="I14" s="75">
        <f t="shared" si="1"/>
        <v>3.1888876695652744E-3</v>
      </c>
      <c r="J14" s="76">
        <f>SUM(I9:I14)</f>
        <v>1.3575320115395189</v>
      </c>
    </row>
    <row r="15" spans="1:10" x14ac:dyDescent="0.25">
      <c r="A15" s="6" t="s">
        <v>243</v>
      </c>
      <c r="B15" t="s">
        <v>249</v>
      </c>
      <c r="C15" s="4">
        <f>C14</f>
        <v>1</v>
      </c>
      <c r="D15" s="4">
        <f>'Conversion Factors'!$J$48</f>
        <v>230.28825131278461</v>
      </c>
      <c r="E15" s="4">
        <f>'Productivity Data'!$I$25</f>
        <v>60.332591436644847</v>
      </c>
      <c r="F15" s="2">
        <f>'Wage Data'!$C$11</f>
        <v>49.154294657004115</v>
      </c>
      <c r="G15" s="4">
        <f>'Cost Pool Data'!$K$48</f>
        <v>1.6214860636540271</v>
      </c>
      <c r="H15" s="2">
        <f t="shared" si="0"/>
        <v>5.7365519004790779E-3</v>
      </c>
      <c r="I15" s="2">
        <f t="shared" si="1"/>
        <v>5.7365519004790779E-3</v>
      </c>
    </row>
    <row r="16" spans="1:10" x14ac:dyDescent="0.25">
      <c r="A16" s="72" t="s">
        <v>85</v>
      </c>
      <c r="B16" s="79" t="s">
        <v>135</v>
      </c>
      <c r="C16" s="49">
        <f>C15</f>
        <v>1</v>
      </c>
      <c r="D16" s="49">
        <v>1</v>
      </c>
      <c r="E16" s="49">
        <f>'Productivity Data'!$I$22</f>
        <v>307.66822713635111</v>
      </c>
      <c r="F16" s="48">
        <f>'Wage Data'!$C$11</f>
        <v>49.154294657004115</v>
      </c>
      <c r="G16" s="49">
        <f>'Cost Pool Data'!$K$57</f>
        <v>1.4957786551922303</v>
      </c>
      <c r="H16" s="48">
        <f t="shared" si="0"/>
        <v>0.23897152280983572</v>
      </c>
      <c r="I16" s="75">
        <f t="shared" si="1"/>
        <v>0.23897152280983572</v>
      </c>
      <c r="J16" s="76">
        <f>SUM(I15:I16)</f>
        <v>0.2447080747103148</v>
      </c>
    </row>
    <row r="18" spans="1:10" x14ac:dyDescent="0.25">
      <c r="A18" s="29" t="s">
        <v>259</v>
      </c>
      <c r="I18" s="80" t="s">
        <v>203</v>
      </c>
      <c r="J18" s="81">
        <f>J14+J16</f>
        <v>1.6022400862498336</v>
      </c>
    </row>
    <row r="19" spans="1:10" x14ac:dyDescent="0.25">
      <c r="A19" s="6" t="s">
        <v>296</v>
      </c>
      <c r="F19"/>
      <c r="G19"/>
      <c r="H19"/>
      <c r="I19"/>
    </row>
    <row r="20" spans="1:10" x14ac:dyDescent="0.25">
      <c r="A20" s="6" t="s">
        <v>297</v>
      </c>
    </row>
    <row r="21" spans="1:10" x14ac:dyDescent="0.25">
      <c r="A21" s="6" t="s">
        <v>298</v>
      </c>
    </row>
    <row r="22" spans="1:10" x14ac:dyDescent="0.25">
      <c r="A22" s="6" t="s">
        <v>299</v>
      </c>
    </row>
    <row r="23" spans="1:10" x14ac:dyDescent="0.25">
      <c r="A23" s="6" t="s">
        <v>277</v>
      </c>
    </row>
    <row r="24" spans="1:10" x14ac:dyDescent="0.25">
      <c r="A24" s="6" t="s">
        <v>300</v>
      </c>
    </row>
    <row r="25" spans="1:10" x14ac:dyDescent="0.25">
      <c r="A25" s="6" t="s">
        <v>301</v>
      </c>
    </row>
  </sheetData>
  <phoneticPr fontId="3" type="noConversion"/>
  <printOptions horizontalCentered="1"/>
  <pageMargins left="0.75" right="0.75" top="1" bottom="1" header="0.5" footer="0.5"/>
  <pageSetup scale="61" orientation="portrait" r:id="rId1"/>
  <headerFooter alignWithMargins="0">
    <oddHeader>&amp;RPage 22 of 50</oddHeader>
    <oddFooter>&amp;R&amp;F</oddFooter>
  </headerFooter>
  <ignoredErrors>
    <ignoredError sqref="E12 G13" formula="1"/>
  </ignoredError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18">
    <pageSetUpPr fitToPage="1"/>
  </sheetPr>
  <dimension ref="A1:J31"/>
  <sheetViews>
    <sheetView zoomScale="75" workbookViewId="0">
      <selection activeCell="O28" sqref="O28"/>
    </sheetView>
  </sheetViews>
  <sheetFormatPr defaultColWidth="9.109375" defaultRowHeight="13.2" x14ac:dyDescent="0.25"/>
  <cols>
    <col min="1" max="1" width="15.6640625" style="6" customWidth="1"/>
    <col min="2" max="2" width="30.6640625" style="6" customWidth="1"/>
    <col min="3" max="5" width="12.6640625" style="4" customWidth="1"/>
    <col min="6" max="6" width="12.6640625" style="2" customWidth="1"/>
    <col min="7" max="7" width="12.6640625" style="4" customWidth="1"/>
    <col min="8" max="9" width="12.6640625" style="2" customWidth="1"/>
    <col min="10" max="10" width="12.6640625" customWidth="1"/>
  </cols>
  <sheetData>
    <row r="1" spans="1:10" ht="15.6" x14ac:dyDescent="0.3">
      <c r="A1" s="5" t="s">
        <v>396</v>
      </c>
      <c r="B1" s="5"/>
    </row>
    <row r="4" spans="1:10" x14ac:dyDescent="0.25">
      <c r="C4" s="8" t="s">
        <v>107</v>
      </c>
      <c r="D4" s="8" t="s">
        <v>108</v>
      </c>
      <c r="E4" s="8" t="s">
        <v>109</v>
      </c>
      <c r="F4" s="50" t="s">
        <v>112</v>
      </c>
      <c r="G4" s="8" t="s">
        <v>156</v>
      </c>
      <c r="H4" s="50" t="s">
        <v>157</v>
      </c>
      <c r="I4" s="50" t="s">
        <v>192</v>
      </c>
    </row>
    <row r="5" spans="1:10" x14ac:dyDescent="0.25">
      <c r="A5" s="70"/>
      <c r="F5" s="50" t="s">
        <v>155</v>
      </c>
      <c r="H5" s="50" t="s">
        <v>3</v>
      </c>
      <c r="I5" s="50" t="s">
        <v>3</v>
      </c>
    </row>
    <row r="6" spans="1:10" s="6" customFormat="1" x14ac:dyDescent="0.25">
      <c r="C6" s="8"/>
      <c r="D6" s="8" t="s">
        <v>202</v>
      </c>
      <c r="E6" s="8" t="s">
        <v>101</v>
      </c>
      <c r="F6" s="50" t="s">
        <v>103</v>
      </c>
      <c r="G6" s="8" t="s">
        <v>105</v>
      </c>
      <c r="H6" s="50" t="s">
        <v>207</v>
      </c>
      <c r="I6" s="50" t="s">
        <v>206</v>
      </c>
    </row>
    <row r="7" spans="1:10" s="6" customFormat="1" x14ac:dyDescent="0.25">
      <c r="A7" s="6" t="s">
        <v>84</v>
      </c>
      <c r="B7" s="6" t="s">
        <v>76</v>
      </c>
      <c r="C7" s="8" t="s">
        <v>199</v>
      </c>
      <c r="D7" s="8" t="s">
        <v>81</v>
      </c>
      <c r="E7" s="8" t="s">
        <v>102</v>
      </c>
      <c r="F7" s="50" t="s">
        <v>104</v>
      </c>
      <c r="G7" s="8" t="s">
        <v>81</v>
      </c>
      <c r="H7" s="50" t="s">
        <v>76</v>
      </c>
      <c r="I7" s="50" t="s">
        <v>84</v>
      </c>
    </row>
    <row r="8" spans="1:10" x14ac:dyDescent="0.25">
      <c r="A8" s="72"/>
      <c r="B8" s="72"/>
      <c r="C8" s="49"/>
      <c r="D8" s="49"/>
      <c r="E8" s="49"/>
      <c r="F8" s="48"/>
      <c r="G8" s="49"/>
      <c r="H8" s="48"/>
      <c r="I8" s="48"/>
      <c r="J8" s="79"/>
    </row>
    <row r="9" spans="1:10" x14ac:dyDescent="0.25">
      <c r="A9" s="6" t="s">
        <v>243</v>
      </c>
      <c r="B9" t="s">
        <v>211</v>
      </c>
      <c r="C9" s="4">
        <f>'Mailer Arrival Profile'!$C$21</f>
        <v>0</v>
      </c>
      <c r="D9" s="4">
        <f>'Conversion Factors'!$J$20</f>
        <v>602.07696562769354</v>
      </c>
      <c r="E9" s="4">
        <f>'Productivity Data'!$I$28</f>
        <v>58.156985400220201</v>
      </c>
      <c r="F9" s="2">
        <f>'Wage Data'!$C$11</f>
        <v>49.154294657004115</v>
      </c>
      <c r="G9" s="4">
        <f>'Cost Pool Data'!$K$27</f>
        <v>1.3606061934437479</v>
      </c>
      <c r="H9" s="2">
        <f>(F9*G9)/(D9*E9)</f>
        <v>1.9100292292609361E-3</v>
      </c>
      <c r="I9" s="2">
        <f>C9*H9</f>
        <v>0</v>
      </c>
    </row>
    <row r="10" spans="1:10" x14ac:dyDescent="0.25">
      <c r="A10" s="6" t="s">
        <v>241</v>
      </c>
      <c r="B10" t="s">
        <v>212</v>
      </c>
      <c r="C10" s="4">
        <f>'Mailer Arrival Profile'!$D$21</f>
        <v>0</v>
      </c>
      <c r="D10" s="4">
        <f>'Conversion Factors'!$J$21</f>
        <v>962.99673626031199</v>
      </c>
      <c r="E10" s="4">
        <f>'Productivity Data'!$I$28</f>
        <v>58.156985400220201</v>
      </c>
      <c r="F10" s="2">
        <f>'Wage Data'!$C$11</f>
        <v>49.154294657004115</v>
      </c>
      <c r="G10" s="4">
        <f>'Cost Pool Data'!$K$27</f>
        <v>1.3606061934437479</v>
      </c>
      <c r="H10" s="2">
        <f>(F10*G10)/(D10*E10)</f>
        <v>1.1941728972825606E-3</v>
      </c>
      <c r="I10" s="2">
        <f>C10*H10</f>
        <v>0</v>
      </c>
    </row>
    <row r="11" spans="1:10" x14ac:dyDescent="0.25">
      <c r="B11" t="s">
        <v>213</v>
      </c>
      <c r="C11" s="4">
        <f>'Mailer Arrival Profile'!$E$21</f>
        <v>0.77812316831422346</v>
      </c>
      <c r="D11" s="4">
        <f>'Conversion Factors'!$J$22</f>
        <v>620.21610999043128</v>
      </c>
      <c r="E11" s="4">
        <f>'Productivity Data'!$I$28</f>
        <v>58.156985400220201</v>
      </c>
      <c r="F11" s="2">
        <f>'Wage Data'!$C$11</f>
        <v>49.154294657004115</v>
      </c>
      <c r="G11" s="4">
        <f>'Cost Pool Data'!$K$27</f>
        <v>1.3606061934437479</v>
      </c>
      <c r="H11" s="2">
        <f>(F11*G11)/(D11*E11)</f>
        <v>1.8541675781871721E-3</v>
      </c>
      <c r="I11" s="2">
        <f>C11*H11</f>
        <v>1.4427707505245129E-3</v>
      </c>
    </row>
    <row r="12" spans="1:10" x14ac:dyDescent="0.25">
      <c r="B12" t="s">
        <v>214</v>
      </c>
      <c r="C12" s="4">
        <f>'Mailer Arrival Profile'!$F$21</f>
        <v>0.22187683168577657</v>
      </c>
      <c r="D12" s="4">
        <f>'Conversion Factors'!$J$23</f>
        <v>524.66078050207489</v>
      </c>
      <c r="E12" s="4">
        <f>'Productivity Data'!$I$27</f>
        <v>81.873572020007202</v>
      </c>
      <c r="F12" s="2">
        <f>'Wage Data'!$C$11</f>
        <v>49.154294657004115</v>
      </c>
      <c r="G12" s="4">
        <f>'Cost Pool Data'!$K$27</f>
        <v>1.3606061934437479</v>
      </c>
      <c r="H12" s="2">
        <f>(F12*G12)/(D12*E12)</f>
        <v>1.5569389110385019E-3</v>
      </c>
      <c r="I12" s="2">
        <f>C12*H12</f>
        <v>3.4544867270952593E-4</v>
      </c>
    </row>
    <row r="13" spans="1:10" x14ac:dyDescent="0.25">
      <c r="B13" t="s">
        <v>227</v>
      </c>
      <c r="C13" s="4">
        <f>C9</f>
        <v>0</v>
      </c>
      <c r="D13" s="4">
        <f>'Conversion Factors'!$J$20</f>
        <v>602.07696562769354</v>
      </c>
      <c r="E13" s="4">
        <f>'Productivity Data'!$I$30</f>
        <v>39.899251235537818</v>
      </c>
      <c r="F13" s="2">
        <f>'Wage Data'!$C$11</f>
        <v>49.154294657004115</v>
      </c>
      <c r="G13" s="4">
        <f>'Cost Pool Data'!$K$27</f>
        <v>1.3606061934437479</v>
      </c>
      <c r="H13" s="2">
        <f>(F13*G13)/(D13*E13)</f>
        <v>2.7840507919402509E-3</v>
      </c>
      <c r="I13" s="2">
        <f>C13*H13</f>
        <v>0</v>
      </c>
    </row>
    <row r="14" spans="1:10" x14ac:dyDescent="0.25">
      <c r="B14" t="s">
        <v>228</v>
      </c>
      <c r="C14" s="4">
        <f>C10</f>
        <v>0</v>
      </c>
      <c r="D14" s="4">
        <f>'Conversion Factors'!$J$21</f>
        <v>962.99673626031199</v>
      </c>
      <c r="E14" s="4">
        <f>'Productivity Data'!$I$29</f>
        <v>50.764395048330648</v>
      </c>
      <c r="F14" s="2">
        <f>'Wage Data'!$C$11</f>
        <v>49.154294657004115</v>
      </c>
      <c r="G14" s="4">
        <f>'Cost Pool Data'!$K$27</f>
        <v>1.3606061934437479</v>
      </c>
      <c r="H14" s="2">
        <f t="shared" ref="H14:H22" si="0">(F14*G14)/(D14*E14)</f>
        <v>1.3680749211426747E-3</v>
      </c>
      <c r="I14" s="2">
        <f t="shared" ref="I14:I22" si="1">C14*H14</f>
        <v>0</v>
      </c>
    </row>
    <row r="15" spans="1:10" x14ac:dyDescent="0.25">
      <c r="B15" t="s">
        <v>200</v>
      </c>
      <c r="C15" s="4">
        <f>C11+C12</f>
        <v>1</v>
      </c>
      <c r="D15" s="4">
        <f>'Mailer Arrival Profile'!$I$21</f>
        <v>66.275974025974023</v>
      </c>
      <c r="E15" s="4">
        <f>'Productivity Data'!$I$14</f>
        <v>49.323981905738421</v>
      </c>
      <c r="F15" s="2">
        <f>'Wage Data'!$C$11</f>
        <v>49.154294657004115</v>
      </c>
      <c r="G15" s="4">
        <f>'Cost Pool Data'!$K$30</f>
        <v>1.2805162995566952</v>
      </c>
      <c r="H15" s="2">
        <f t="shared" si="0"/>
        <v>1.9254503780717091E-2</v>
      </c>
      <c r="I15" s="2">
        <f t="shared" si="1"/>
        <v>1.9254503780717091E-2</v>
      </c>
    </row>
    <row r="16" spans="1:10" x14ac:dyDescent="0.25">
      <c r="B16" t="s">
        <v>223</v>
      </c>
      <c r="C16" s="4">
        <f t="shared" ref="C16:C21" si="2">C13</f>
        <v>0</v>
      </c>
      <c r="D16" s="4">
        <f>'Conversion Factors'!$J$20</f>
        <v>602.07696562769354</v>
      </c>
      <c r="E16" s="4">
        <f>'Productivity Data'!$I$32</f>
        <v>61.728448910094343</v>
      </c>
      <c r="F16" s="2">
        <f>'Wage Data'!$C$11</f>
        <v>49.154294657004115</v>
      </c>
      <c r="G16" s="4">
        <f>'Cost Pool Data'!$K$27</f>
        <v>1.3606061934437479</v>
      </c>
      <c r="H16" s="2">
        <f t="shared" si="0"/>
        <v>1.7995194106028665E-3</v>
      </c>
      <c r="I16" s="2">
        <f t="shared" si="1"/>
        <v>0</v>
      </c>
    </row>
    <row r="17" spans="1:10" x14ac:dyDescent="0.25">
      <c r="B17" t="s">
        <v>224</v>
      </c>
      <c r="C17" s="4">
        <f t="shared" si="2"/>
        <v>0</v>
      </c>
      <c r="D17" s="4">
        <f>'Conversion Factors'!$J$21</f>
        <v>962.99673626031199</v>
      </c>
      <c r="E17" s="4">
        <f>'Productivity Data'!$I$31</f>
        <v>91.071587890934111</v>
      </c>
      <c r="F17" s="2">
        <f>'Wage Data'!$C$11</f>
        <v>49.154294657004115</v>
      </c>
      <c r="G17" s="4">
        <f>'Cost Pool Data'!$K$27</f>
        <v>1.3606061934437479</v>
      </c>
      <c r="H17" s="2">
        <f t="shared" si="0"/>
        <v>7.6258136440721937E-4</v>
      </c>
      <c r="I17" s="2">
        <f t="shared" si="1"/>
        <v>0</v>
      </c>
    </row>
    <row r="18" spans="1:10" x14ac:dyDescent="0.25">
      <c r="A18" s="72"/>
      <c r="B18" s="79" t="s">
        <v>248</v>
      </c>
      <c r="C18" s="49">
        <f t="shared" si="2"/>
        <v>1</v>
      </c>
      <c r="D18" s="49">
        <f>'Conversion Factors'!$J$48</f>
        <v>230.28825131278461</v>
      </c>
      <c r="E18" s="49">
        <f>'Productivity Data'!$I$31</f>
        <v>91.071587890934111</v>
      </c>
      <c r="F18" s="48">
        <f>'Wage Data'!$C$11</f>
        <v>49.154294657004115</v>
      </c>
      <c r="G18" s="49">
        <f>'Cost Pool Data'!$K$27</f>
        <v>1.3606061934437479</v>
      </c>
      <c r="H18" s="48">
        <f t="shared" si="0"/>
        <v>3.1888876695652744E-3</v>
      </c>
      <c r="I18" s="75">
        <f t="shared" si="1"/>
        <v>3.1888876695652744E-3</v>
      </c>
      <c r="J18" s="76">
        <f>SUM(I9:I18)</f>
        <v>2.4231610873516406E-2</v>
      </c>
    </row>
    <row r="19" spans="1:10" x14ac:dyDescent="0.25">
      <c r="A19" s="6" t="s">
        <v>243</v>
      </c>
      <c r="B19" t="s">
        <v>211</v>
      </c>
      <c r="C19" s="4">
        <f t="shared" si="2"/>
        <v>0</v>
      </c>
      <c r="D19" s="4">
        <f>'Conversion Factors'!$J$20</f>
        <v>602.07696562769354</v>
      </c>
      <c r="E19" s="4">
        <f>'Productivity Data'!$I$26</f>
        <v>48.58034429266948</v>
      </c>
      <c r="F19" s="2">
        <f>'Wage Data'!$C$11</f>
        <v>49.154294657004115</v>
      </c>
      <c r="G19" s="4">
        <f>'Cost Pool Data'!$K$48</f>
        <v>1.6214860636540271</v>
      </c>
      <c r="H19" s="2">
        <f t="shared" si="0"/>
        <v>2.724972277432619E-3</v>
      </c>
      <c r="I19" s="2">
        <f t="shared" si="1"/>
        <v>0</v>
      </c>
    </row>
    <row r="20" spans="1:10" x14ac:dyDescent="0.25">
      <c r="A20" s="6" t="s">
        <v>85</v>
      </c>
      <c r="B20" t="s">
        <v>212</v>
      </c>
      <c r="C20" s="4">
        <f t="shared" si="2"/>
        <v>0</v>
      </c>
      <c r="D20" s="4">
        <f>'Conversion Factors'!$J$21</f>
        <v>962.99673626031199</v>
      </c>
      <c r="E20" s="4">
        <f>'Productivity Data'!$I$26</f>
        <v>48.58034429266948</v>
      </c>
      <c r="F20" s="2">
        <f>'Wage Data'!$C$11</f>
        <v>49.154294657004115</v>
      </c>
      <c r="G20" s="4">
        <f>'Cost Pool Data'!$K$48</f>
        <v>1.6214860636540271</v>
      </c>
      <c r="H20" s="2">
        <f t="shared" si="0"/>
        <v>1.7036849435102623E-3</v>
      </c>
      <c r="I20" s="2">
        <f t="shared" si="1"/>
        <v>0</v>
      </c>
    </row>
    <row r="21" spans="1:10" x14ac:dyDescent="0.25">
      <c r="B21" t="s">
        <v>249</v>
      </c>
      <c r="C21" s="4">
        <f t="shared" si="2"/>
        <v>1</v>
      </c>
      <c r="D21" s="4">
        <f>'Conversion Factors'!$J$48</f>
        <v>230.28825131278461</v>
      </c>
      <c r="E21" s="4">
        <f>'Productivity Data'!$I$25</f>
        <v>60.332591436644847</v>
      </c>
      <c r="F21" s="2">
        <f>'Wage Data'!$C$11</f>
        <v>49.154294657004115</v>
      </c>
      <c r="G21" s="4">
        <f>'Cost Pool Data'!$K$48</f>
        <v>1.6214860636540271</v>
      </c>
      <c r="H21" s="2">
        <f t="shared" si="0"/>
        <v>5.7365519004790779E-3</v>
      </c>
      <c r="I21" s="2">
        <f t="shared" si="1"/>
        <v>5.7365519004790779E-3</v>
      </c>
    </row>
    <row r="22" spans="1:10" x14ac:dyDescent="0.25">
      <c r="A22" s="72"/>
      <c r="B22" s="79" t="s">
        <v>135</v>
      </c>
      <c r="C22" s="49">
        <f>SUM(C19:C21)</f>
        <v>1</v>
      </c>
      <c r="D22" s="49">
        <v>1</v>
      </c>
      <c r="E22" s="49">
        <f>'Productivity Data'!$I$22</f>
        <v>307.66822713635111</v>
      </c>
      <c r="F22" s="48">
        <f>'Wage Data'!$C$11</f>
        <v>49.154294657004115</v>
      </c>
      <c r="G22" s="49">
        <f>'Cost Pool Data'!$K$57</f>
        <v>1.4957786551922303</v>
      </c>
      <c r="H22" s="48">
        <f t="shared" si="0"/>
        <v>0.23897152280983572</v>
      </c>
      <c r="I22" s="75">
        <f t="shared" si="1"/>
        <v>0.23897152280983572</v>
      </c>
      <c r="J22" s="76">
        <f>SUM(I19:I22)</f>
        <v>0.2447080747103148</v>
      </c>
    </row>
    <row r="24" spans="1:10" x14ac:dyDescent="0.25">
      <c r="A24" s="29" t="s">
        <v>259</v>
      </c>
      <c r="I24" s="80" t="s">
        <v>203</v>
      </c>
      <c r="J24" s="81">
        <f>J18+J22</f>
        <v>0.26893968558383119</v>
      </c>
    </row>
    <row r="25" spans="1:10" x14ac:dyDescent="0.25">
      <c r="A25" s="6" t="s">
        <v>296</v>
      </c>
      <c r="F25"/>
      <c r="G25"/>
      <c r="H25"/>
      <c r="I25"/>
    </row>
    <row r="26" spans="1:10" x14ac:dyDescent="0.25">
      <c r="A26" s="6" t="s">
        <v>297</v>
      </c>
    </row>
    <row r="27" spans="1:10" x14ac:dyDescent="0.25">
      <c r="A27" s="6" t="s">
        <v>298</v>
      </c>
    </row>
    <row r="28" spans="1:10" x14ac:dyDescent="0.25">
      <c r="A28" s="6" t="s">
        <v>299</v>
      </c>
    </row>
    <row r="29" spans="1:10" x14ac:dyDescent="0.25">
      <c r="A29" s="6" t="s">
        <v>277</v>
      </c>
    </row>
    <row r="30" spans="1:10" x14ac:dyDescent="0.25">
      <c r="A30" s="6" t="s">
        <v>300</v>
      </c>
    </row>
    <row r="31" spans="1:10" x14ac:dyDescent="0.25">
      <c r="A31" s="6" t="s">
        <v>301</v>
      </c>
    </row>
  </sheetData>
  <phoneticPr fontId="3" type="noConversion"/>
  <printOptions horizontalCentered="1"/>
  <pageMargins left="0.75" right="0.75" top="1" bottom="1" header="0.5" footer="0.5"/>
  <pageSetup scale="61" orientation="portrait" r:id="rId1"/>
  <headerFooter alignWithMargins="0">
    <oddHeader>&amp;RPage 23 of 50</oddHeader>
    <oddFooter>&amp;R&amp;F</oddFooter>
  </headerFooter>
  <ignoredErrors>
    <ignoredError sqref="G15" formula="1"/>
  </ignoredError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19">
    <pageSetUpPr fitToPage="1"/>
  </sheetPr>
  <dimension ref="A1:J22"/>
  <sheetViews>
    <sheetView zoomScale="75" workbookViewId="0">
      <selection activeCell="P32" sqref="P32"/>
    </sheetView>
  </sheetViews>
  <sheetFormatPr defaultColWidth="9.109375" defaultRowHeight="13.2" x14ac:dyDescent="0.25"/>
  <cols>
    <col min="1" max="1" width="15.6640625" style="6" customWidth="1"/>
    <col min="2" max="2" width="30.6640625" style="6" customWidth="1"/>
    <col min="3" max="5" width="12.6640625" style="4" customWidth="1"/>
    <col min="6" max="6" width="12.6640625" style="2" customWidth="1"/>
    <col min="7" max="7" width="12.6640625" style="4" customWidth="1"/>
    <col min="8" max="9" width="12.6640625" style="2" customWidth="1"/>
    <col min="10" max="10" width="12.6640625" customWidth="1"/>
  </cols>
  <sheetData>
    <row r="1" spans="1:10" ht="15.6" x14ac:dyDescent="0.3">
      <c r="A1" s="5" t="s">
        <v>397</v>
      </c>
      <c r="B1" s="5"/>
    </row>
    <row r="4" spans="1:10" x14ac:dyDescent="0.25">
      <c r="C4" s="8" t="s">
        <v>107</v>
      </c>
      <c r="D4" s="8" t="s">
        <v>108</v>
      </c>
      <c r="E4" s="8" t="s">
        <v>109</v>
      </c>
      <c r="F4" s="50" t="s">
        <v>112</v>
      </c>
      <c r="G4" s="8" t="s">
        <v>156</v>
      </c>
      <c r="H4" s="50" t="s">
        <v>157</v>
      </c>
      <c r="I4" s="50" t="s">
        <v>192</v>
      </c>
    </row>
    <row r="5" spans="1:10" x14ac:dyDescent="0.25">
      <c r="A5" s="70"/>
      <c r="F5" s="50" t="s">
        <v>155</v>
      </c>
      <c r="H5" s="50" t="s">
        <v>3</v>
      </c>
      <c r="I5" s="50" t="s">
        <v>3</v>
      </c>
    </row>
    <row r="6" spans="1:10" s="6" customFormat="1" x14ac:dyDescent="0.25">
      <c r="C6" s="8"/>
      <c r="D6" s="8" t="s">
        <v>202</v>
      </c>
      <c r="E6" s="8" t="s">
        <v>101</v>
      </c>
      <c r="F6" s="50" t="s">
        <v>103</v>
      </c>
      <c r="G6" s="8" t="s">
        <v>105</v>
      </c>
      <c r="H6" s="50" t="s">
        <v>207</v>
      </c>
      <c r="I6" s="50" t="s">
        <v>206</v>
      </c>
    </row>
    <row r="7" spans="1:10" s="6" customFormat="1" x14ac:dyDescent="0.25">
      <c r="A7" s="6" t="s">
        <v>84</v>
      </c>
      <c r="B7" s="6" t="s">
        <v>76</v>
      </c>
      <c r="C7" s="8" t="s">
        <v>199</v>
      </c>
      <c r="D7" s="8" t="s">
        <v>81</v>
      </c>
      <c r="E7" s="8" t="s">
        <v>102</v>
      </c>
      <c r="F7" s="50" t="s">
        <v>104</v>
      </c>
      <c r="G7" s="8" t="s">
        <v>81</v>
      </c>
      <c r="H7" s="50" t="s">
        <v>76</v>
      </c>
      <c r="I7" s="50" t="s">
        <v>84</v>
      </c>
    </row>
    <row r="8" spans="1:10" x14ac:dyDescent="0.25">
      <c r="A8" s="72"/>
      <c r="B8" s="72"/>
      <c r="C8" s="49"/>
      <c r="D8" s="49"/>
      <c r="E8" s="49"/>
      <c r="F8" s="48"/>
      <c r="G8" s="49"/>
      <c r="H8" s="48"/>
      <c r="I8" s="48"/>
      <c r="J8" s="79"/>
    </row>
    <row r="9" spans="1:10" x14ac:dyDescent="0.25">
      <c r="A9" s="6" t="s">
        <v>243</v>
      </c>
      <c r="B9" t="s">
        <v>211</v>
      </c>
      <c r="C9" s="4">
        <f>'Mailer Arrival Profile'!$C$22</f>
        <v>0</v>
      </c>
      <c r="D9" s="4">
        <f>'Conversion Factors'!$J$20</f>
        <v>602.07696562769354</v>
      </c>
      <c r="E9" s="4">
        <f>'Productivity Data'!$I$26</f>
        <v>48.58034429266948</v>
      </c>
      <c r="F9" s="2">
        <f>'Wage Data'!$C$11</f>
        <v>49.154294657004115</v>
      </c>
      <c r="G9" s="4">
        <f>'Cost Pool Data'!$K$48</f>
        <v>1.6214860636540271</v>
      </c>
      <c r="H9" s="2">
        <f>(F9*G9)/(D9*E9)</f>
        <v>2.724972277432619E-3</v>
      </c>
      <c r="I9" s="2">
        <f>C9*H9</f>
        <v>0</v>
      </c>
    </row>
    <row r="10" spans="1:10" x14ac:dyDescent="0.25">
      <c r="A10" s="6" t="s">
        <v>85</v>
      </c>
      <c r="B10" t="s">
        <v>212</v>
      </c>
      <c r="C10" s="4">
        <f>'Mailer Arrival Profile'!$D$22</f>
        <v>0</v>
      </c>
      <c r="D10" s="4">
        <f>'Conversion Factors'!$J$21</f>
        <v>962.99673626031199</v>
      </c>
      <c r="E10" s="4">
        <f>'Productivity Data'!$I$26</f>
        <v>48.58034429266948</v>
      </c>
      <c r="F10" s="2">
        <f>'Wage Data'!$C$11</f>
        <v>49.154294657004115</v>
      </c>
      <c r="G10" s="4">
        <f>'Cost Pool Data'!$K$48</f>
        <v>1.6214860636540271</v>
      </c>
      <c r="H10" s="2">
        <f>(F10*G10)/(D10*E10)</f>
        <v>1.7036849435102623E-3</v>
      </c>
      <c r="I10" s="2">
        <f>C10*H10</f>
        <v>0</v>
      </c>
    </row>
    <row r="11" spans="1:10" x14ac:dyDescent="0.25">
      <c r="B11" t="s">
        <v>213</v>
      </c>
      <c r="C11" s="4">
        <f>'Mailer Arrival Profile'!$E$22</f>
        <v>0</v>
      </c>
      <c r="D11" s="4">
        <f>'Conversion Factors'!$J$22</f>
        <v>620.21610999043128</v>
      </c>
      <c r="E11" s="4">
        <f>'Productivity Data'!$I$26</f>
        <v>48.58034429266948</v>
      </c>
      <c r="F11" s="2">
        <f>'Wage Data'!$C$11</f>
        <v>49.154294657004115</v>
      </c>
      <c r="G11" s="4">
        <f>'Cost Pool Data'!$K$48</f>
        <v>1.6214860636540271</v>
      </c>
      <c r="H11" s="2">
        <f>(F11*G11)/(D11*E11)</f>
        <v>2.6452764025131962E-3</v>
      </c>
      <c r="I11" s="2">
        <f>C11*H11</f>
        <v>0</v>
      </c>
    </row>
    <row r="12" spans="1:10" x14ac:dyDescent="0.25">
      <c r="B12" t="s">
        <v>214</v>
      </c>
      <c r="C12" s="4">
        <f>'Mailer Arrival Profile'!$F$22</f>
        <v>1</v>
      </c>
      <c r="D12" s="4">
        <f>'Conversion Factors'!$J$23</f>
        <v>524.66078050207489</v>
      </c>
      <c r="E12" s="4">
        <f>'Productivity Data'!$I$25</f>
        <v>60.332591436644847</v>
      </c>
      <c r="F12" s="2">
        <f>'Wage Data'!$C$11</f>
        <v>49.154294657004115</v>
      </c>
      <c r="G12" s="4">
        <f>'Cost Pool Data'!$K$48</f>
        <v>1.6214860636540271</v>
      </c>
      <c r="H12" s="2">
        <f>(F12*G12)/(D12*E12)</f>
        <v>2.5179326429968091E-3</v>
      </c>
      <c r="I12" s="2">
        <f>C12*H12</f>
        <v>2.5179326429968091E-3</v>
      </c>
    </row>
    <row r="13" spans="1:10" x14ac:dyDescent="0.25">
      <c r="A13" s="72"/>
      <c r="B13" s="79" t="s">
        <v>135</v>
      </c>
      <c r="C13" s="49">
        <f>SUM(C9:C12)</f>
        <v>1</v>
      </c>
      <c r="D13" s="49">
        <v>1</v>
      </c>
      <c r="E13" s="49">
        <f>'Productivity Data'!$I$22</f>
        <v>307.66822713635111</v>
      </c>
      <c r="F13" s="48">
        <f>'Wage Data'!$C$11</f>
        <v>49.154294657004115</v>
      </c>
      <c r="G13" s="49">
        <f>'Cost Pool Data'!$K$57</f>
        <v>1.4957786551922303</v>
      </c>
      <c r="H13" s="48">
        <f>(F13*G13)/(D13*E13)</f>
        <v>0.23897152280983572</v>
      </c>
      <c r="I13" s="75">
        <f>C13*H13</f>
        <v>0.23897152280983572</v>
      </c>
      <c r="J13" s="76">
        <f>SUM(I9:I13)</f>
        <v>0.24148945545283251</v>
      </c>
    </row>
    <row r="15" spans="1:10" x14ac:dyDescent="0.25">
      <c r="A15" s="29" t="s">
        <v>259</v>
      </c>
      <c r="I15" s="80" t="s">
        <v>203</v>
      </c>
      <c r="J15" s="81">
        <f>J13</f>
        <v>0.24148945545283251</v>
      </c>
    </row>
    <row r="16" spans="1:10" x14ac:dyDescent="0.25">
      <c r="A16" s="6" t="s">
        <v>296</v>
      </c>
      <c r="F16"/>
      <c r="G16"/>
      <c r="H16"/>
      <c r="I16"/>
    </row>
    <row r="17" spans="1:1" x14ac:dyDescent="0.25">
      <c r="A17" s="6" t="s">
        <v>297</v>
      </c>
    </row>
    <row r="18" spans="1:1" x14ac:dyDescent="0.25">
      <c r="A18" s="6" t="s">
        <v>298</v>
      </c>
    </row>
    <row r="19" spans="1:1" x14ac:dyDescent="0.25">
      <c r="A19" s="6" t="s">
        <v>299</v>
      </c>
    </row>
    <row r="20" spans="1:1" x14ac:dyDescent="0.25">
      <c r="A20" s="6" t="s">
        <v>277</v>
      </c>
    </row>
    <row r="21" spans="1:1" x14ac:dyDescent="0.25">
      <c r="A21" s="6" t="s">
        <v>300</v>
      </c>
    </row>
    <row r="22" spans="1:1" x14ac:dyDescent="0.25">
      <c r="A22" s="6" t="s">
        <v>301</v>
      </c>
    </row>
  </sheetData>
  <phoneticPr fontId="3" type="noConversion"/>
  <printOptions horizontalCentered="1"/>
  <pageMargins left="0.75" right="0.75" top="1" bottom="1" header="0.5" footer="0.5"/>
  <pageSetup scale="61" orientation="portrait" r:id="rId1"/>
  <headerFooter alignWithMargins="0">
    <oddHeader>&amp;RPage 24 of 50</oddHeader>
    <oddFooter>&amp;R&amp;F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35">
    <pageSetUpPr fitToPage="1"/>
  </sheetPr>
  <dimension ref="A1:J58"/>
  <sheetViews>
    <sheetView topLeftCell="A22" zoomScale="75" workbookViewId="0">
      <selection activeCell="W49" sqref="W49"/>
    </sheetView>
  </sheetViews>
  <sheetFormatPr defaultColWidth="9.109375" defaultRowHeight="13.2" x14ac:dyDescent="0.25"/>
  <cols>
    <col min="1" max="1" width="15.6640625" style="6" customWidth="1"/>
    <col min="2" max="2" width="30.6640625" style="6" customWidth="1"/>
    <col min="3" max="5" width="12.6640625" style="4" customWidth="1"/>
    <col min="6" max="6" width="12.6640625" style="2" customWidth="1"/>
    <col min="7" max="7" width="12.6640625" style="4" customWidth="1"/>
    <col min="8" max="9" width="12.6640625" style="2" customWidth="1"/>
    <col min="10" max="10" width="12.6640625" customWidth="1"/>
  </cols>
  <sheetData>
    <row r="1" spans="1:10" ht="15.6" x14ac:dyDescent="0.3">
      <c r="A1" s="5" t="s">
        <v>398</v>
      </c>
      <c r="B1" s="5"/>
    </row>
    <row r="4" spans="1:10" x14ac:dyDescent="0.25">
      <c r="C4" s="8" t="s">
        <v>107</v>
      </c>
      <c r="D4" s="8" t="s">
        <v>108</v>
      </c>
      <c r="E4" s="8" t="s">
        <v>109</v>
      </c>
      <c r="F4" s="50" t="s">
        <v>112</v>
      </c>
      <c r="G4" s="8" t="s">
        <v>156</v>
      </c>
      <c r="H4" s="50" t="s">
        <v>157</v>
      </c>
      <c r="I4" s="50" t="s">
        <v>192</v>
      </c>
    </row>
    <row r="5" spans="1:10" x14ac:dyDescent="0.25">
      <c r="A5" s="70"/>
      <c r="F5" s="50" t="s">
        <v>155</v>
      </c>
      <c r="H5" s="50" t="s">
        <v>3</v>
      </c>
      <c r="I5" s="50" t="s">
        <v>3</v>
      </c>
    </row>
    <row r="6" spans="1:10" s="6" customFormat="1" x14ac:dyDescent="0.25">
      <c r="C6" s="8"/>
      <c r="D6" s="8" t="s">
        <v>202</v>
      </c>
      <c r="E6" s="8" t="s">
        <v>101</v>
      </c>
      <c r="F6" s="50" t="s">
        <v>103</v>
      </c>
      <c r="G6" s="8" t="s">
        <v>105</v>
      </c>
      <c r="H6" s="50" t="s">
        <v>207</v>
      </c>
      <c r="I6" s="50" t="s">
        <v>206</v>
      </c>
    </row>
    <row r="7" spans="1:10" s="6" customFormat="1" x14ac:dyDescent="0.25">
      <c r="A7" s="6" t="s">
        <v>84</v>
      </c>
      <c r="B7" s="6" t="s">
        <v>76</v>
      </c>
      <c r="C7" s="8" t="s">
        <v>199</v>
      </c>
      <c r="D7" s="8" t="s">
        <v>81</v>
      </c>
      <c r="E7" s="8" t="s">
        <v>102</v>
      </c>
      <c r="F7" s="50" t="s">
        <v>104</v>
      </c>
      <c r="G7" s="8" t="s">
        <v>81</v>
      </c>
      <c r="H7" s="50" t="s">
        <v>76</v>
      </c>
      <c r="I7" s="50" t="s">
        <v>84</v>
      </c>
    </row>
    <row r="8" spans="1:10" x14ac:dyDescent="0.25">
      <c r="A8" s="72"/>
      <c r="B8" s="72"/>
      <c r="C8" s="49"/>
      <c r="D8" s="49"/>
      <c r="E8" s="49"/>
      <c r="F8" s="48"/>
      <c r="G8" s="49"/>
      <c r="H8" s="48"/>
      <c r="I8" s="48"/>
      <c r="J8" s="79"/>
    </row>
    <row r="9" spans="1:10" x14ac:dyDescent="0.25">
      <c r="A9" s="6" t="s">
        <v>240</v>
      </c>
      <c r="B9" s="12" t="s">
        <v>211</v>
      </c>
      <c r="C9" s="4">
        <f>'Mailer Arrival Profile'!$C$47*'Mailer Arrival Profile'!$C$15</f>
        <v>0.16917897513443977</v>
      </c>
      <c r="D9" s="4">
        <f>'Conversion Factors'!$K$20</f>
        <v>729.1358506840312</v>
      </c>
      <c r="E9" s="4">
        <f>'Productivity Data'!$I$26</f>
        <v>48.58034429266948</v>
      </c>
      <c r="F9" s="2">
        <f>'Wage Data'!$C$11</f>
        <v>49.154294657004115</v>
      </c>
      <c r="G9" s="4">
        <f>'Cost Pool Data'!$K$48</f>
        <v>1.6214860636540271</v>
      </c>
      <c r="H9" s="2">
        <f>(F9*G9)/(D9*E9)</f>
        <v>2.2501198352502688E-3</v>
      </c>
      <c r="I9" s="2">
        <f>C9*H9</f>
        <v>3.8067296765731493E-4</v>
      </c>
    </row>
    <row r="10" spans="1:10" x14ac:dyDescent="0.25">
      <c r="A10" s="6" t="s">
        <v>85</v>
      </c>
      <c r="B10" s="12" t="s">
        <v>212</v>
      </c>
      <c r="C10" s="4">
        <f>'Mailer Arrival Profile'!$C$47*'Mailer Arrival Profile'!$D$15</f>
        <v>0.23806122287579098</v>
      </c>
      <c r="D10" s="4">
        <f>'Conversion Factors'!$K$21</f>
        <v>1166.2220689128642</v>
      </c>
      <c r="E10" s="4">
        <f>'Productivity Data'!$I$26</f>
        <v>48.58034429266948</v>
      </c>
      <c r="F10" s="2">
        <f>'Wage Data'!$C$11</f>
        <v>49.154294657004115</v>
      </c>
      <c r="G10" s="4">
        <f>'Cost Pool Data'!$K$48</f>
        <v>1.6214860636540271</v>
      </c>
      <c r="H10" s="2">
        <f>(F10*G10)/(D10*E10)</f>
        <v>1.4068015723159835E-3</v>
      </c>
      <c r="I10" s="2">
        <f>C10*H10</f>
        <v>3.3490490264912853E-4</v>
      </c>
    </row>
    <row r="11" spans="1:10" x14ac:dyDescent="0.25">
      <c r="B11" s="12" t="s">
        <v>213</v>
      </c>
      <c r="C11" s="4">
        <f>'Mailer Arrival Profile'!$C$47*'Mailer Arrival Profile'!$E$15</f>
        <v>0</v>
      </c>
      <c r="D11" s="4">
        <f>'Conversion Factors'!$K$22</f>
        <v>751.10297650127052</v>
      </c>
      <c r="E11" s="4">
        <f>'Productivity Data'!$I$26</f>
        <v>48.58034429266948</v>
      </c>
      <c r="F11" s="2">
        <f>'Wage Data'!$C$11</f>
        <v>49.154294657004115</v>
      </c>
      <c r="G11" s="4">
        <f>'Cost Pool Data'!$K$48</f>
        <v>1.6214860636540271</v>
      </c>
      <c r="H11" s="2">
        <f>(F11*G11)/(D11*E11)</f>
        <v>2.1843117276122807E-3</v>
      </c>
      <c r="I11" s="2">
        <f>C11*H11</f>
        <v>0</v>
      </c>
    </row>
    <row r="12" spans="1:10" x14ac:dyDescent="0.25">
      <c r="B12" s="12" t="s">
        <v>214</v>
      </c>
      <c r="C12" s="4">
        <f>'Mailer Arrival Profile'!$C$47*'Mailer Arrival Profile'!$F$15</f>
        <v>2.3482584457278809E-2</v>
      </c>
      <c r="D12" s="4">
        <f>'Conversion Factors'!$K$23</f>
        <v>635.38219588437971</v>
      </c>
      <c r="E12" s="4">
        <f>'Productivity Data'!$I$25</f>
        <v>60.332591436644847</v>
      </c>
      <c r="F12" s="2">
        <f>'Wage Data'!$C$11</f>
        <v>49.154294657004115</v>
      </c>
      <c r="G12" s="4">
        <f>'Cost Pool Data'!$K$48</f>
        <v>1.6214860636540271</v>
      </c>
      <c r="H12" s="2">
        <f>(F12*G12)/(D12*E12)</f>
        <v>2.0791588342943608E-3</v>
      </c>
      <c r="I12" s="2">
        <f>C12*H12</f>
        <v>4.8824022926414685E-5</v>
      </c>
    </row>
    <row r="13" spans="1:10" x14ac:dyDescent="0.25">
      <c r="B13" t="s">
        <v>223</v>
      </c>
      <c r="C13" s="4">
        <f>C9</f>
        <v>0.16917897513443977</v>
      </c>
      <c r="D13" s="4">
        <f>'Conversion Factors'!$K$20</f>
        <v>729.1358506840312</v>
      </c>
      <c r="E13" s="4">
        <f>'Productivity Data'!$I$24</f>
        <v>43.137464151665213</v>
      </c>
      <c r="F13" s="2">
        <f>'Wage Data'!$C$11</f>
        <v>49.154294657004115</v>
      </c>
      <c r="G13" s="4">
        <f>'Cost Pool Data'!$K$48</f>
        <v>1.6214860636540271</v>
      </c>
      <c r="H13" s="2">
        <f>(F13*G13)/(D13*E13)</f>
        <v>2.5340292584631E-3</v>
      </c>
      <c r="I13" s="2">
        <f>C13*H13</f>
        <v>4.2870447290747167E-4</v>
      </c>
    </row>
    <row r="14" spans="1:10" x14ac:dyDescent="0.25">
      <c r="B14" t="s">
        <v>224</v>
      </c>
      <c r="C14" s="4">
        <f>C10</f>
        <v>0.23806122287579098</v>
      </c>
      <c r="D14" s="4">
        <f>'Conversion Factors'!$K$21</f>
        <v>1166.2220689128642</v>
      </c>
      <c r="E14" s="4">
        <f>'Productivity Data'!$I$24</f>
        <v>43.137464151665213</v>
      </c>
      <c r="F14" s="2">
        <f>'Wage Data'!$C$11</f>
        <v>49.154294657004115</v>
      </c>
      <c r="G14" s="4">
        <f>'Cost Pool Data'!$K$48</f>
        <v>1.6214860636540271</v>
      </c>
      <c r="H14" s="2">
        <f t="shared" ref="H14:H43" si="0">(F14*G14)/(D14*E14)</f>
        <v>1.5843051064451834E-3</v>
      </c>
      <c r="I14" s="2">
        <f t="shared" ref="I14:I43" si="1">C14*H14</f>
        <v>3.7716161104870056E-4</v>
      </c>
    </row>
    <row r="15" spans="1:10" x14ac:dyDescent="0.25">
      <c r="B15" s="12" t="s">
        <v>225</v>
      </c>
      <c r="C15" s="4">
        <f>C11</f>
        <v>0</v>
      </c>
      <c r="D15" s="4">
        <f>'Conversion Factors'!$K$22</f>
        <v>751.10297650127052</v>
      </c>
      <c r="E15" s="4">
        <f>'Productivity Data'!$I$24</f>
        <v>43.137464151665213</v>
      </c>
      <c r="F15" s="2">
        <f>'Wage Data'!$C$11</f>
        <v>49.154294657004115</v>
      </c>
      <c r="G15" s="4">
        <f>'Cost Pool Data'!$K$48</f>
        <v>1.6214860636540271</v>
      </c>
      <c r="H15" s="2">
        <f t="shared" si="0"/>
        <v>2.4599177966705766E-3</v>
      </c>
      <c r="I15" s="2">
        <f t="shared" si="1"/>
        <v>0</v>
      </c>
    </row>
    <row r="16" spans="1:10" x14ac:dyDescent="0.25">
      <c r="A16" s="72"/>
      <c r="B16" s="74" t="s">
        <v>226</v>
      </c>
      <c r="C16" s="49">
        <f>C12</f>
        <v>2.3482584457278809E-2</v>
      </c>
      <c r="D16" s="49">
        <f>'Conversion Factors'!$K$23</f>
        <v>635.38219588437971</v>
      </c>
      <c r="E16" s="49">
        <f>'Productivity Data'!$I$23</f>
        <v>68.564044141410264</v>
      </c>
      <c r="F16" s="48">
        <f>'Wage Data'!$C$11</f>
        <v>49.154294657004115</v>
      </c>
      <c r="G16" s="49">
        <f>'Cost Pool Data'!$K$48</f>
        <v>1.6214860636540271</v>
      </c>
      <c r="H16" s="48">
        <f t="shared" si="0"/>
        <v>1.8295455300544397E-3</v>
      </c>
      <c r="I16" s="75">
        <f t="shared" si="1"/>
        <v>4.2962457427940306E-5</v>
      </c>
      <c r="J16" s="76">
        <f>SUM(I9:I16)</f>
        <v>1.6132304346169707E-3</v>
      </c>
    </row>
    <row r="17" spans="1:10" x14ac:dyDescent="0.25">
      <c r="A17" s="6" t="s">
        <v>240</v>
      </c>
      <c r="B17" t="s">
        <v>211</v>
      </c>
      <c r="C17" s="4">
        <f>'Mailer Arrival Profile'!$C$48*'Mailer Arrival Profile'!$C$15+C13</f>
        <v>0.25390334793675678</v>
      </c>
      <c r="D17" s="4">
        <f>'Conversion Factors'!$K$20</f>
        <v>729.1358506840312</v>
      </c>
      <c r="E17" s="4">
        <f>'Productivity Data'!$I$28</f>
        <v>58.156985400220201</v>
      </c>
      <c r="F17" s="2">
        <f>'Wage Data'!$C$11</f>
        <v>49.154294657004115</v>
      </c>
      <c r="G17" s="4">
        <f>'Cost Pool Data'!$K$27</f>
        <v>1.3606061934437479</v>
      </c>
      <c r="H17" s="2">
        <f t="shared" si="0"/>
        <v>1.5771883957355554E-3</v>
      </c>
      <c r="I17" s="2">
        <f t="shared" si="1"/>
        <v>4.0045341400425996E-4</v>
      </c>
    </row>
    <row r="18" spans="1:10" x14ac:dyDescent="0.25">
      <c r="A18" s="6" t="s">
        <v>241</v>
      </c>
      <c r="B18" t="s">
        <v>212</v>
      </c>
      <c r="C18" s="4">
        <f>'Mailer Arrival Profile'!$C$48*'Mailer Arrival Profile'!$D$15+C14</f>
        <v>0.35728163889188302</v>
      </c>
      <c r="D18" s="4">
        <f>'Conversion Factors'!$K$21</f>
        <v>1166.2220689128642</v>
      </c>
      <c r="E18" s="4">
        <f>'Productivity Data'!$I$28</f>
        <v>58.156985400220201</v>
      </c>
      <c r="F18" s="2">
        <f>'Wage Data'!$C$11</f>
        <v>49.154294657004115</v>
      </c>
      <c r="G18" s="4">
        <f>'Cost Pool Data'!$K$27</f>
        <v>1.3606061934437479</v>
      </c>
      <c r="H18" s="2">
        <f t="shared" si="0"/>
        <v>9.8607686586279944E-4</v>
      </c>
      <c r="I18" s="2">
        <f t="shared" si="1"/>
        <v>3.5230715870883248E-4</v>
      </c>
    </row>
    <row r="19" spans="1:10" x14ac:dyDescent="0.25">
      <c r="B19" t="s">
        <v>213</v>
      </c>
      <c r="C19" s="4">
        <f>'Mailer Arrival Profile'!$C$48*'Mailer Arrival Profile'!$E$15+C15</f>
        <v>0</v>
      </c>
      <c r="D19" s="4">
        <f>'Conversion Factors'!$K$22</f>
        <v>751.10297650127052</v>
      </c>
      <c r="E19" s="4">
        <f>'Productivity Data'!$I$28</f>
        <v>58.156985400220201</v>
      </c>
      <c r="F19" s="2">
        <f>'Wage Data'!$C$11</f>
        <v>49.154294657004115</v>
      </c>
      <c r="G19" s="4">
        <f>'Cost Pool Data'!$K$27</f>
        <v>1.3606061934437479</v>
      </c>
      <c r="H19" s="2">
        <f t="shared" si="0"/>
        <v>1.5310611708269292E-3</v>
      </c>
      <c r="I19" s="2">
        <f t="shared" si="1"/>
        <v>0</v>
      </c>
    </row>
    <row r="20" spans="1:10" x14ac:dyDescent="0.25">
      <c r="B20" t="s">
        <v>214</v>
      </c>
      <c r="C20" s="4">
        <f>'Mailer Arrival Profile'!$C$48*'Mailer Arrival Profile'!$F$15+C16</f>
        <v>3.5242599189247548E-2</v>
      </c>
      <c r="D20" s="4">
        <f>'Conversion Factors'!$K$23</f>
        <v>635.38219588437971</v>
      </c>
      <c r="E20" s="4">
        <f>'Productivity Data'!$I$27</f>
        <v>81.873572020007202</v>
      </c>
      <c r="F20" s="2">
        <f>'Wage Data'!$C$11</f>
        <v>49.154294657004115</v>
      </c>
      <c r="G20" s="4">
        <f>'Cost Pool Data'!$K$27</f>
        <v>1.3606061934437479</v>
      </c>
      <c r="H20" s="2">
        <f t="shared" si="0"/>
        <v>1.285627437392274E-3</v>
      </c>
      <c r="I20" s="2">
        <f t="shared" si="1"/>
        <v>4.530885248271536E-5</v>
      </c>
    </row>
    <row r="21" spans="1:10" x14ac:dyDescent="0.25">
      <c r="B21" t="s">
        <v>227</v>
      </c>
      <c r="C21" s="4">
        <f t="shared" ref="C21:C28" si="2">C17</f>
        <v>0.25390334793675678</v>
      </c>
      <c r="D21" s="4">
        <f>'Conversion Factors'!$K$20</f>
        <v>729.1358506840312</v>
      </c>
      <c r="E21" s="4">
        <f>'Productivity Data'!$I$30</f>
        <v>39.899251235537818</v>
      </c>
      <c r="F21" s="2">
        <f>'Wage Data'!$C$11</f>
        <v>49.154294657004115</v>
      </c>
      <c r="G21" s="4">
        <f>'Cost Pool Data'!$K$27</f>
        <v>1.3606061934437479</v>
      </c>
      <c r="H21" s="2">
        <f t="shared" si="0"/>
        <v>2.2989033544191279E-3</v>
      </c>
      <c r="I21" s="2">
        <f t="shared" si="1"/>
        <v>5.8369925827005717E-4</v>
      </c>
    </row>
    <row r="22" spans="1:10" x14ac:dyDescent="0.25">
      <c r="B22" t="s">
        <v>228</v>
      </c>
      <c r="C22" s="4">
        <f t="shared" si="2"/>
        <v>0.35728163889188302</v>
      </c>
      <c r="D22" s="4">
        <f>'Conversion Factors'!$K$21</f>
        <v>1166.2220689128642</v>
      </c>
      <c r="E22" s="4">
        <f>'Productivity Data'!$I$30</f>
        <v>39.899251235537818</v>
      </c>
      <c r="F22" s="2">
        <f>'Wage Data'!$C$11</f>
        <v>49.154294657004115</v>
      </c>
      <c r="G22" s="4">
        <f>'Cost Pool Data'!$K$27</f>
        <v>1.3606061934437479</v>
      </c>
      <c r="H22" s="2">
        <f t="shared" si="0"/>
        <v>1.4373016063118286E-3</v>
      </c>
      <c r="I22" s="2">
        <f t="shared" si="1"/>
        <v>5.1352147348502622E-4</v>
      </c>
    </row>
    <row r="23" spans="1:10" x14ac:dyDescent="0.25">
      <c r="B23" t="s">
        <v>229</v>
      </c>
      <c r="C23" s="4">
        <f t="shared" si="2"/>
        <v>0</v>
      </c>
      <c r="D23" s="4">
        <f>'Conversion Factors'!$K$22</f>
        <v>751.10297650127052</v>
      </c>
      <c r="E23" s="4">
        <f>'Productivity Data'!$I$30</f>
        <v>39.899251235537818</v>
      </c>
      <c r="F23" s="2">
        <f>'Wage Data'!$C$11</f>
        <v>49.154294657004115</v>
      </c>
      <c r="G23" s="4">
        <f>'Cost Pool Data'!$K$27</f>
        <v>1.3606061934437479</v>
      </c>
      <c r="H23" s="2">
        <f t="shared" si="0"/>
        <v>2.231668500067418E-3</v>
      </c>
      <c r="I23" s="2">
        <f t="shared" si="1"/>
        <v>0</v>
      </c>
    </row>
    <row r="24" spans="1:10" x14ac:dyDescent="0.25">
      <c r="B24" t="s">
        <v>230</v>
      </c>
      <c r="C24" s="4">
        <f t="shared" si="2"/>
        <v>3.5242599189247548E-2</v>
      </c>
      <c r="D24" s="4">
        <f>'Conversion Factors'!$K$23</f>
        <v>635.38219588437971</v>
      </c>
      <c r="E24" s="4">
        <f>'Productivity Data'!$I$29</f>
        <v>50.764395048330648</v>
      </c>
      <c r="F24" s="2">
        <f>'Wage Data'!$C$11</f>
        <v>49.154294657004115</v>
      </c>
      <c r="G24" s="4">
        <f>'Cost Pool Data'!$K$27</f>
        <v>1.3606061934437479</v>
      </c>
      <c r="H24" s="2">
        <f t="shared" si="0"/>
        <v>2.0734790690605308E-3</v>
      </c>
      <c r="I24" s="2">
        <f t="shared" si="1"/>
        <v>7.307479175819442E-5</v>
      </c>
    </row>
    <row r="25" spans="1:10" x14ac:dyDescent="0.25">
      <c r="B25" t="s">
        <v>223</v>
      </c>
      <c r="C25" s="4">
        <f t="shared" si="2"/>
        <v>0.25390334793675678</v>
      </c>
      <c r="D25" s="4">
        <f>'Conversion Factors'!$K$20</f>
        <v>729.1358506840312</v>
      </c>
      <c r="E25" s="4">
        <f>'Productivity Data'!$I$32</f>
        <v>61.728448910094343</v>
      </c>
      <c r="F25" s="2">
        <f>'Wage Data'!$C$11</f>
        <v>49.154294657004115</v>
      </c>
      <c r="G25" s="4">
        <f>'Cost Pool Data'!$K$27</f>
        <v>1.3606061934437479</v>
      </c>
      <c r="H25" s="2">
        <f t="shared" si="0"/>
        <v>1.4859359683212431E-3</v>
      </c>
      <c r="I25" s="2">
        <f t="shared" si="1"/>
        <v>3.7728411717641021E-4</v>
      </c>
    </row>
    <row r="26" spans="1:10" x14ac:dyDescent="0.25">
      <c r="B26" t="s">
        <v>224</v>
      </c>
      <c r="C26" s="4">
        <f t="shared" si="2"/>
        <v>0.35728163889188302</v>
      </c>
      <c r="D26" s="4">
        <f>'Conversion Factors'!$K$21</f>
        <v>1166.2220689128642</v>
      </c>
      <c r="E26" s="4">
        <f>'Productivity Data'!$I$32</f>
        <v>61.728448910094343</v>
      </c>
      <c r="F26" s="2">
        <f>'Wage Data'!$C$11</f>
        <v>49.154294657004115</v>
      </c>
      <c r="G26" s="4">
        <f>'Cost Pool Data'!$K$27</f>
        <v>1.3606061934437479</v>
      </c>
      <c r="H26" s="2">
        <f t="shared" si="0"/>
        <v>9.2902476741319546E-4</v>
      </c>
      <c r="I26" s="2">
        <f t="shared" si="1"/>
        <v>3.319234914725369E-4</v>
      </c>
    </row>
    <row r="27" spans="1:10" x14ac:dyDescent="0.25">
      <c r="B27" s="12" t="s">
        <v>225</v>
      </c>
      <c r="C27" s="4">
        <f t="shared" si="2"/>
        <v>0</v>
      </c>
      <c r="D27" s="4">
        <f>'Conversion Factors'!$K$22</f>
        <v>751.10297650127052</v>
      </c>
      <c r="E27" s="4">
        <f>'Productivity Data'!$I$32</f>
        <v>61.728448910094343</v>
      </c>
      <c r="F27" s="2">
        <f>'Wage Data'!$C$11</f>
        <v>49.154294657004115</v>
      </c>
      <c r="G27" s="4">
        <f>'Cost Pool Data'!$K$27</f>
        <v>1.3606061934437479</v>
      </c>
      <c r="H27" s="2">
        <f t="shared" si="0"/>
        <v>1.4424775566337761E-3</v>
      </c>
      <c r="I27" s="2">
        <f t="shared" si="1"/>
        <v>0</v>
      </c>
    </row>
    <row r="28" spans="1:10" x14ac:dyDescent="0.25">
      <c r="A28" s="72"/>
      <c r="B28" s="74" t="s">
        <v>226</v>
      </c>
      <c r="C28" s="84">
        <f t="shared" si="2"/>
        <v>3.5242599189247548E-2</v>
      </c>
      <c r="D28" s="49">
        <f>'Conversion Factors'!$K$23</f>
        <v>635.38219588437971</v>
      </c>
      <c r="E28" s="49">
        <f>'Productivity Data'!$I$31</f>
        <v>91.071587890934111</v>
      </c>
      <c r="F28" s="48">
        <f>'Wage Data'!$C$11</f>
        <v>49.154294657004115</v>
      </c>
      <c r="G28" s="49">
        <f>'Cost Pool Data'!$K$27</f>
        <v>1.3606061934437479</v>
      </c>
      <c r="H28" s="48">
        <f t="shared" si="0"/>
        <v>1.1557820943266088E-3</v>
      </c>
      <c r="I28" s="75">
        <f t="shared" si="1"/>
        <v>4.0732765100461775E-5</v>
      </c>
      <c r="J28" s="76">
        <f>SUM(I17:I28)</f>
        <v>2.7183053224584942E-3</v>
      </c>
    </row>
    <row r="29" spans="1:10" x14ac:dyDescent="0.25">
      <c r="A29" s="6" t="s">
        <v>242</v>
      </c>
      <c r="B29" t="s">
        <v>211</v>
      </c>
      <c r="C29" s="4">
        <f>'Mailer Arrival Profile'!$C$49*'Mailer Arrival Profile'!$C$15+C25</f>
        <v>0.39277925854131324</v>
      </c>
      <c r="D29" s="4">
        <f>'Conversion Factors'!$K$20</f>
        <v>729.1358506840312</v>
      </c>
      <c r="E29" s="4">
        <f>'Productivity Data'!$I$38</f>
        <v>46.475052307166727</v>
      </c>
      <c r="F29" s="2">
        <f>'Wage Data'!$C$11</f>
        <v>49.154294657004115</v>
      </c>
      <c r="G29" s="4">
        <f>'Cost Pool Data'!$K$43</f>
        <v>1.386023903258889</v>
      </c>
      <c r="H29" s="2">
        <f t="shared" si="0"/>
        <v>2.0104989424117353E-3</v>
      </c>
      <c r="I29" s="2">
        <f t="shared" si="1"/>
        <v>7.8968228389857586E-4</v>
      </c>
    </row>
    <row r="30" spans="1:10" x14ac:dyDescent="0.25">
      <c r="A30" s="6" t="s">
        <v>131</v>
      </c>
      <c r="B30" t="s">
        <v>212</v>
      </c>
      <c r="C30" s="4">
        <f>'Mailer Arrival Profile'!$C$49*'Mailer Arrival Profile'!$D$15+C26</f>
        <v>0.55270172037799858</v>
      </c>
      <c r="D30" s="4">
        <f>'Conversion Factors'!$K$21</f>
        <v>1166.2220689128642</v>
      </c>
      <c r="E30" s="4">
        <f>'Productivity Data'!$I$38</f>
        <v>46.475052307166727</v>
      </c>
      <c r="F30" s="2">
        <f>'Wage Data'!$C$11</f>
        <v>49.154294657004115</v>
      </c>
      <c r="G30" s="4">
        <f>'Cost Pool Data'!$K$43</f>
        <v>1.386023903258889</v>
      </c>
      <c r="H30" s="2">
        <f t="shared" si="0"/>
        <v>1.256987751947828E-3</v>
      </c>
      <c r="I30" s="2">
        <f t="shared" si="1"/>
        <v>6.9473929299563751E-4</v>
      </c>
    </row>
    <row r="31" spans="1:10" x14ac:dyDescent="0.25">
      <c r="B31" t="s">
        <v>213</v>
      </c>
      <c r="C31" s="4">
        <f>'Mailer Arrival Profile'!$C$49*'Mailer Arrival Profile'!$E$15+C27</f>
        <v>0</v>
      </c>
      <c r="D31" s="4">
        <f>'Conversion Factors'!$K$22</f>
        <v>751.10297650127052</v>
      </c>
      <c r="E31" s="4">
        <f>'Productivity Data'!$I$38</f>
        <v>46.475052307166727</v>
      </c>
      <c r="F31" s="2">
        <f>'Wage Data'!$C$11</f>
        <v>49.154294657004115</v>
      </c>
      <c r="G31" s="4">
        <f>'Cost Pool Data'!$K$43</f>
        <v>1.386023903258889</v>
      </c>
      <c r="H31" s="2">
        <f t="shared" si="0"/>
        <v>1.9516989048601464E-3</v>
      </c>
      <c r="I31" s="2">
        <f t="shared" si="1"/>
        <v>0</v>
      </c>
    </row>
    <row r="32" spans="1:10" x14ac:dyDescent="0.25">
      <c r="B32" t="s">
        <v>214</v>
      </c>
      <c r="C32" s="4">
        <f>'Mailer Arrival Profile'!$C$49*'Mailer Arrival Profile'!$F$15+C28</f>
        <v>5.4519021080688145E-2</v>
      </c>
      <c r="D32" s="4">
        <f>'Conversion Factors'!$K$23</f>
        <v>635.38219588437971</v>
      </c>
      <c r="E32" s="4">
        <f>'Productivity Data'!$I$37</f>
        <v>55.996737364805647</v>
      </c>
      <c r="F32" s="2">
        <f>'Wage Data'!$C$11</f>
        <v>49.154294657004115</v>
      </c>
      <c r="G32" s="4">
        <f>'Cost Pool Data'!$K$43</f>
        <v>1.386023903258889</v>
      </c>
      <c r="H32" s="2">
        <f t="shared" si="0"/>
        <v>1.9148485213097445E-3</v>
      </c>
      <c r="I32" s="2">
        <f t="shared" si="1"/>
        <v>1.0439566689961048E-4</v>
      </c>
    </row>
    <row r="33" spans="1:10" x14ac:dyDescent="0.25">
      <c r="B33" t="s">
        <v>141</v>
      </c>
      <c r="C33" s="4">
        <f>SUM(C29:C32)</f>
        <v>1</v>
      </c>
      <c r="D33" s="4">
        <v>1</v>
      </c>
      <c r="E33" s="4">
        <f>'Productivity Data'!$I$21</f>
        <v>402.79881226580181</v>
      </c>
      <c r="F33" s="2">
        <f>'Wage Data'!$C$11</f>
        <v>49.154294657004115</v>
      </c>
      <c r="G33" s="4">
        <f>'Cost Pool Data'!$K$41</f>
        <v>1.4774316541145593</v>
      </c>
      <c r="H33" s="2">
        <f t="shared" si="0"/>
        <v>0.18029375621398216</v>
      </c>
      <c r="I33" s="2">
        <f t="shared" si="1"/>
        <v>0.18029375621398216</v>
      </c>
    </row>
    <row r="34" spans="1:10" x14ac:dyDescent="0.25">
      <c r="B34" t="s">
        <v>239</v>
      </c>
      <c r="C34" s="4">
        <f>C33*'Other Inputs'!$B$48</f>
        <v>0.39751958224543082</v>
      </c>
      <c r="D34" s="4">
        <f>'Conversion Factors'!$K$45</f>
        <v>911.87462936885288</v>
      </c>
      <c r="E34" s="4">
        <f>'Productivity Data'!$I$40</f>
        <v>23.065925296264197</v>
      </c>
      <c r="F34" s="2">
        <f>'Wage Data'!$C$11</f>
        <v>49.154294657004115</v>
      </c>
      <c r="G34" s="4">
        <f>'Cost Pool Data'!$K$42</f>
        <v>1.51761435929636</v>
      </c>
      <c r="H34" s="2">
        <f t="shared" si="0"/>
        <v>3.5466381536971448E-3</v>
      </c>
      <c r="I34" s="2">
        <f t="shared" si="1"/>
        <v>1.409858117233395E-3</v>
      </c>
    </row>
    <row r="35" spans="1:10" x14ac:dyDescent="0.25">
      <c r="B35" t="s">
        <v>143</v>
      </c>
      <c r="C35" s="4">
        <f>C34*(1+'Other Inputs'!$B$9)</f>
        <v>0.41436905971578081</v>
      </c>
      <c r="D35" s="4">
        <f>'Conversion Factors'!$K$49</f>
        <v>102.3144030146684</v>
      </c>
      <c r="E35" s="4">
        <f>'Productivity Data'!$I$19</f>
        <v>3068.1109131264348</v>
      </c>
      <c r="F35" s="2">
        <f>'Wage Data'!$C$11</f>
        <v>49.154294657004115</v>
      </c>
      <c r="G35" s="4">
        <f>'Cost Pool Data'!$K$46</f>
        <v>1.6196174573049362</v>
      </c>
      <c r="H35" s="2">
        <f t="shared" si="0"/>
        <v>2.5360983282746684E-4</v>
      </c>
      <c r="I35" s="2">
        <f t="shared" si="1"/>
        <v>1.0508806796339379E-4</v>
      </c>
    </row>
    <row r="36" spans="1:10" x14ac:dyDescent="0.25">
      <c r="B36" t="s">
        <v>248</v>
      </c>
      <c r="C36" s="4">
        <f>C33*(1-'Other Inputs'!$B$48)</f>
        <v>0.60248041775456918</v>
      </c>
      <c r="D36" s="4">
        <f>'Conversion Factors'!$K$48</f>
        <v>278.88696895824546</v>
      </c>
      <c r="E36" s="4">
        <f>'Productivity Data'!$I$44</f>
        <v>70.608822220868689</v>
      </c>
      <c r="F36" s="2">
        <f>'Wage Data'!$C$11</f>
        <v>49.154294657004115</v>
      </c>
      <c r="G36" s="4">
        <f>'Cost Pool Data'!$K$43</f>
        <v>1.386023903258889</v>
      </c>
      <c r="H36" s="2">
        <f t="shared" si="0"/>
        <v>3.4597522390377106E-3</v>
      </c>
      <c r="I36" s="2">
        <f t="shared" si="1"/>
        <v>2.0844329743027459E-3</v>
      </c>
    </row>
    <row r="37" spans="1:10" x14ac:dyDescent="0.25">
      <c r="A37" s="72"/>
      <c r="B37" s="79" t="s">
        <v>125</v>
      </c>
      <c r="C37" s="49">
        <f>C34</f>
        <v>0.39751958224543082</v>
      </c>
      <c r="D37" s="49">
        <f>'Conversion Factors'!$K$47</f>
        <v>1324.1287431333592</v>
      </c>
      <c r="E37" s="49">
        <f>'Productivity Data'!$I$46</f>
        <v>20.811195458396703</v>
      </c>
      <c r="F37" s="48">
        <f>'Wage Data'!$C$11</f>
        <v>49.154294657004115</v>
      </c>
      <c r="G37" s="49">
        <f>'Cost Pool Data'!$K$43</f>
        <v>1.386023903258889</v>
      </c>
      <c r="H37" s="48">
        <f t="shared" si="0"/>
        <v>2.4723215111601238E-3</v>
      </c>
      <c r="I37" s="75">
        <f t="shared" si="1"/>
        <v>9.8279621429276471E-4</v>
      </c>
      <c r="J37" s="76">
        <f>SUM(I29:I37)</f>
        <v>0.18646474883156827</v>
      </c>
    </row>
    <row r="38" spans="1:10" x14ac:dyDescent="0.25">
      <c r="A38" s="6" t="s">
        <v>243</v>
      </c>
      <c r="B38" t="s">
        <v>126</v>
      </c>
      <c r="C38" s="4">
        <f>C37</f>
        <v>0.39751958224543082</v>
      </c>
      <c r="D38" s="4">
        <f>'Conversion Factors'!$K$47</f>
        <v>1324.1287431333592</v>
      </c>
      <c r="E38" s="4">
        <f>'Productivity Data'!$I$39</f>
        <v>53.146449685685347</v>
      </c>
      <c r="F38" s="2">
        <f>'Wage Data'!$C$11</f>
        <v>49.154294657004115</v>
      </c>
      <c r="G38" s="4">
        <f>'Cost Pool Data'!$K$43</f>
        <v>1.386023903258889</v>
      </c>
      <c r="H38" s="2">
        <f t="shared" si="0"/>
        <v>9.6811671351605428E-4</v>
      </c>
      <c r="I38" s="2">
        <f t="shared" si="1"/>
        <v>3.8484535152172132E-4</v>
      </c>
    </row>
    <row r="39" spans="1:10" x14ac:dyDescent="0.25">
      <c r="A39" s="6" t="s">
        <v>131</v>
      </c>
      <c r="B39" t="s">
        <v>140</v>
      </c>
      <c r="C39" s="4">
        <f>C38</f>
        <v>0.39751958224543082</v>
      </c>
      <c r="D39" s="4">
        <f>'Conversion Factors'!$K$47</f>
        <v>1324.1287431333592</v>
      </c>
      <c r="E39" s="4">
        <f>'Productivity Data'!$I$42</f>
        <v>16.646694338879648</v>
      </c>
      <c r="F39" s="2">
        <f>'Wage Data'!$C$11</f>
        <v>49.154294657004115</v>
      </c>
      <c r="G39" s="4">
        <f>'Cost Pool Data'!$K$42</f>
        <v>1.51761435929636</v>
      </c>
      <c r="H39" s="2">
        <f t="shared" si="0"/>
        <v>3.3842674539550331E-3</v>
      </c>
      <c r="I39" s="2">
        <f t="shared" si="1"/>
        <v>1.3453125845030126E-3</v>
      </c>
    </row>
    <row r="40" spans="1:10" x14ac:dyDescent="0.25">
      <c r="B40" t="s">
        <v>143</v>
      </c>
      <c r="C40" s="4">
        <f>C39*(1+'Other Inputs'!$B$9)</f>
        <v>0.41436905971578081</v>
      </c>
      <c r="D40" s="4">
        <f>'Conversion Factors'!$K$49</f>
        <v>102.3144030146684</v>
      </c>
      <c r="E40" s="4">
        <f>'Productivity Data'!$I$19</f>
        <v>3068.1109131264348</v>
      </c>
      <c r="F40" s="2">
        <f>'Wage Data'!$C$11</f>
        <v>49.154294657004115</v>
      </c>
      <c r="G40" s="4">
        <f>'Cost Pool Data'!$K$46</f>
        <v>1.6196174573049362</v>
      </c>
      <c r="H40" s="2">
        <f>(F40*G40)/(D40*E40)</f>
        <v>2.5360983282746684E-4</v>
      </c>
      <c r="I40" s="2">
        <f>C40*H40</f>
        <v>1.0508806796339379E-4</v>
      </c>
    </row>
    <row r="41" spans="1:10" x14ac:dyDescent="0.25">
      <c r="B41" t="s">
        <v>141</v>
      </c>
      <c r="C41" s="4">
        <f>C39</f>
        <v>0.39751958224543082</v>
      </c>
      <c r="D41" s="4">
        <v>1</v>
      </c>
      <c r="E41" s="4">
        <f>'Productivity Data'!$I$21</f>
        <v>402.79881226580181</v>
      </c>
      <c r="F41" s="2">
        <f>'Wage Data'!$C$11</f>
        <v>49.154294657004115</v>
      </c>
      <c r="G41" s="4">
        <f>'Cost Pool Data'!$K$41</f>
        <v>1.4774316541145593</v>
      </c>
      <c r="H41" s="2">
        <f t="shared" si="0"/>
        <v>0.18029375621398216</v>
      </c>
      <c r="I41" s="2">
        <f t="shared" si="1"/>
        <v>7.1670298651641734E-2</v>
      </c>
    </row>
    <row r="42" spans="1:10" x14ac:dyDescent="0.25">
      <c r="A42" s="72"/>
      <c r="B42" s="79" t="s">
        <v>248</v>
      </c>
      <c r="C42" s="49">
        <f>C41</f>
        <v>0.39751958224543082</v>
      </c>
      <c r="D42" s="49">
        <f>'Conversion Factors'!$K$48</f>
        <v>278.88696895824546</v>
      </c>
      <c r="E42" s="49">
        <f>'Productivity Data'!$I$44</f>
        <v>70.608822220868689</v>
      </c>
      <c r="F42" s="48">
        <f>'Wage Data'!$C$11</f>
        <v>49.154294657004115</v>
      </c>
      <c r="G42" s="49">
        <f>'Cost Pool Data'!$K$43</f>
        <v>1.386023903258889</v>
      </c>
      <c r="H42" s="48">
        <f t="shared" si="0"/>
        <v>3.4597522390377106E-3</v>
      </c>
      <c r="I42" s="75">
        <f t="shared" si="1"/>
        <v>1.3753192647349647E-3</v>
      </c>
      <c r="J42" s="76">
        <f>SUM(I38:I42)</f>
        <v>7.4880863920364832E-2</v>
      </c>
    </row>
    <row r="43" spans="1:10" x14ac:dyDescent="0.25">
      <c r="A43" s="6" t="s">
        <v>243</v>
      </c>
      <c r="B43" t="s">
        <v>249</v>
      </c>
      <c r="C43" s="4">
        <f>C36+C42</f>
        <v>1</v>
      </c>
      <c r="D43" s="4">
        <f>'Conversion Factors'!$K$48</f>
        <v>278.88696895824546</v>
      </c>
      <c r="E43" s="4">
        <f>'Productivity Data'!$I$27</f>
        <v>81.873572020007202</v>
      </c>
      <c r="F43" s="2">
        <f>'Wage Data'!$C$11</f>
        <v>49.154294657004115</v>
      </c>
      <c r="G43" s="4">
        <f>'Cost Pool Data'!$K$27</f>
        <v>1.3606061934437479</v>
      </c>
      <c r="H43" s="2">
        <f t="shared" si="0"/>
        <v>2.9290173983776589E-3</v>
      </c>
      <c r="I43" s="2">
        <f t="shared" si="1"/>
        <v>2.9290173983776589E-3</v>
      </c>
    </row>
    <row r="44" spans="1:10" x14ac:dyDescent="0.25">
      <c r="A44" s="6" t="s">
        <v>241</v>
      </c>
      <c r="B44" t="s">
        <v>204</v>
      </c>
      <c r="C44" s="4">
        <f>C43*'Other Inputs'!$B$30*(1+'Other Inputs'!$B$10)</f>
        <v>0.42375228317471153</v>
      </c>
      <c r="D44" s="4">
        <v>1</v>
      </c>
      <c r="E44" s="4">
        <f>'Productivity Data'!$I$10</f>
        <v>245.20305602978507</v>
      </c>
      <c r="F44" s="2">
        <f>'Wage Data'!$C$11</f>
        <v>49.154294657004115</v>
      </c>
      <c r="G44" s="4">
        <f>'Cost Pool Data'!$L$14</f>
        <v>1.8052502472456198</v>
      </c>
      <c r="H44" s="2">
        <f t="shared" ref="H44:H49" si="3">(F44*G44)/(D44*E44)</f>
        <v>0.36188701731336453</v>
      </c>
      <c r="I44" s="2">
        <f t="shared" ref="I44:I49" si="4">C44*H44</f>
        <v>0.15335044983782459</v>
      </c>
    </row>
    <row r="45" spans="1:10" x14ac:dyDescent="0.25">
      <c r="B45" s="9" t="s">
        <v>363</v>
      </c>
      <c r="C45" s="4">
        <f>C43*'Other Inputs'!$B$31*(1+'Other Inputs'!$B$11)</f>
        <v>0.56721575232661026</v>
      </c>
      <c r="D45" s="4">
        <v>1</v>
      </c>
      <c r="E45" s="4">
        <f>'Productivity Data'!$I$11</f>
        <v>190.80521220652753</v>
      </c>
      <c r="F45" s="2">
        <f>'Wage Data'!$C$11</f>
        <v>49.154294657004115</v>
      </c>
      <c r="G45" s="4">
        <f>'Cost Pool Data'!$L$11</f>
        <v>1.6056412614911089</v>
      </c>
      <c r="H45" s="2">
        <f t="shared" si="3"/>
        <v>0.41363735700967258</v>
      </c>
      <c r="I45" s="2">
        <f t="shared" si="4"/>
        <v>0.23462162464663211</v>
      </c>
    </row>
    <row r="46" spans="1:10" x14ac:dyDescent="0.25">
      <c r="B46" t="s">
        <v>198</v>
      </c>
      <c r="C46" s="4">
        <f>C43*'Other Inputs'!$B$32</f>
        <v>0.11391845469353627</v>
      </c>
      <c r="D46" s="4">
        <v>1</v>
      </c>
      <c r="E46" s="4">
        <f>'Productivity Data'!$I$16</f>
        <v>47.994690148863093</v>
      </c>
      <c r="F46" s="2">
        <f>'Wage Data'!$C$11</f>
        <v>49.154294657004115</v>
      </c>
      <c r="G46" s="4">
        <f>'Cost Pool Data'!$K$16</f>
        <v>1.3208756008457678</v>
      </c>
      <c r="H46" s="2">
        <f t="shared" si="3"/>
        <v>1.3527894083249588</v>
      </c>
      <c r="I46" s="2">
        <f t="shared" si="4"/>
        <v>0.15410767892216257</v>
      </c>
    </row>
    <row r="47" spans="1:10" x14ac:dyDescent="0.25">
      <c r="A47" s="72"/>
      <c r="B47" s="79" t="s">
        <v>248</v>
      </c>
      <c r="C47" s="49">
        <f>C43</f>
        <v>1</v>
      </c>
      <c r="D47" s="49">
        <f>'Conversion Factors'!$K$48</f>
        <v>278.88696895824546</v>
      </c>
      <c r="E47" s="49">
        <f>'Productivity Data'!$I$31</f>
        <v>91.071587890934111</v>
      </c>
      <c r="F47" s="48">
        <f>'Wage Data'!$C$11</f>
        <v>49.154294657004115</v>
      </c>
      <c r="G47" s="49">
        <f>'Cost Pool Data'!$K$27</f>
        <v>1.3606061934437479</v>
      </c>
      <c r="H47" s="48">
        <f t="shared" si="3"/>
        <v>2.6331935400217129E-3</v>
      </c>
      <c r="I47" s="75">
        <f t="shared" si="4"/>
        <v>2.6331935400217129E-3</v>
      </c>
      <c r="J47" s="76">
        <f>SUM(I43:I47)</f>
        <v>0.54764196434501866</v>
      </c>
    </row>
    <row r="48" spans="1:10" x14ac:dyDescent="0.25">
      <c r="A48" s="6" t="s">
        <v>243</v>
      </c>
      <c r="B48" t="s">
        <v>249</v>
      </c>
      <c r="C48" s="4">
        <f>C47</f>
        <v>1</v>
      </c>
      <c r="D48" s="4">
        <f>'Conversion Factors'!$K$48</f>
        <v>278.88696895824546</v>
      </c>
      <c r="E48" s="4">
        <f>'Productivity Data'!$I$25</f>
        <v>60.332591436644847</v>
      </c>
      <c r="F48" s="2">
        <f>'Wage Data'!$C$11</f>
        <v>49.154294657004115</v>
      </c>
      <c r="G48" s="4">
        <f>'Cost Pool Data'!$K$48</f>
        <v>1.6214860636540271</v>
      </c>
      <c r="H48" s="2">
        <f t="shared" si="3"/>
        <v>4.7369029491089107E-3</v>
      </c>
      <c r="I48" s="2">
        <f t="shared" si="4"/>
        <v>4.7369029491089107E-3</v>
      </c>
    </row>
    <row r="49" spans="1:10" x14ac:dyDescent="0.25">
      <c r="A49" s="72" t="s">
        <v>85</v>
      </c>
      <c r="B49" s="79" t="s">
        <v>135</v>
      </c>
      <c r="C49" s="49">
        <f>C48</f>
        <v>1</v>
      </c>
      <c r="D49" s="49">
        <v>1</v>
      </c>
      <c r="E49" s="49">
        <f>'Productivity Data'!$I$22</f>
        <v>307.66822713635111</v>
      </c>
      <c r="F49" s="48">
        <f>'Wage Data'!$C$11</f>
        <v>49.154294657004115</v>
      </c>
      <c r="G49" s="49">
        <f>'Cost Pool Data'!$K$57</f>
        <v>1.4957786551922303</v>
      </c>
      <c r="H49" s="48">
        <f t="shared" si="3"/>
        <v>0.23897152280983572</v>
      </c>
      <c r="I49" s="75">
        <f t="shared" si="4"/>
        <v>0.23897152280983572</v>
      </c>
      <c r="J49" s="76">
        <f>SUM(I48:I49)</f>
        <v>0.24370842575894464</v>
      </c>
    </row>
    <row r="51" spans="1:10" x14ac:dyDescent="0.25">
      <c r="A51" s="29" t="s">
        <v>259</v>
      </c>
      <c r="I51" s="80" t="s">
        <v>203</v>
      </c>
      <c r="J51" s="81">
        <f>J16+J28+J37+J42+J47+J49</f>
        <v>1.0570275386129719</v>
      </c>
    </row>
    <row r="52" spans="1:10" x14ac:dyDescent="0.25">
      <c r="A52" s="6" t="s">
        <v>296</v>
      </c>
      <c r="F52"/>
      <c r="G52"/>
      <c r="H52"/>
      <c r="I52"/>
    </row>
    <row r="53" spans="1:10" x14ac:dyDescent="0.25">
      <c r="A53" s="6" t="s">
        <v>297</v>
      </c>
    </row>
    <row r="54" spans="1:10" x14ac:dyDescent="0.25">
      <c r="A54" s="6" t="s">
        <v>298</v>
      </c>
    </row>
    <row r="55" spans="1:10" x14ac:dyDescent="0.25">
      <c r="A55" s="6" t="s">
        <v>299</v>
      </c>
    </row>
    <row r="56" spans="1:10" x14ac:dyDescent="0.25">
      <c r="A56" s="6" t="s">
        <v>277</v>
      </c>
    </row>
    <row r="57" spans="1:10" x14ac:dyDescent="0.25">
      <c r="A57" s="6" t="s">
        <v>300</v>
      </c>
    </row>
    <row r="58" spans="1:10" x14ac:dyDescent="0.25">
      <c r="A58" s="6" t="s">
        <v>301</v>
      </c>
    </row>
  </sheetData>
  <phoneticPr fontId="3" type="noConversion"/>
  <printOptions horizontalCentered="1"/>
  <pageMargins left="0.75" right="0.75" top="1" bottom="1" header="0.5" footer="0.5"/>
  <pageSetup scale="61" orientation="portrait" r:id="rId1"/>
  <headerFooter alignWithMargins="0">
    <oddHeader>&amp;RPage 25 of 50</oddHeader>
    <oddFooter>&amp;R&amp;F</oddFooter>
  </headerFooter>
  <ignoredErrors>
    <ignoredError sqref="D32 G35" formula="1"/>
  </ignoredError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36">
    <pageSetUpPr fitToPage="1"/>
  </sheetPr>
  <dimension ref="A1:J58"/>
  <sheetViews>
    <sheetView topLeftCell="A22" zoomScale="75" workbookViewId="0">
      <selection activeCell="M52" sqref="M52"/>
    </sheetView>
  </sheetViews>
  <sheetFormatPr defaultColWidth="9.109375" defaultRowHeight="13.2" x14ac:dyDescent="0.25"/>
  <cols>
    <col min="1" max="1" width="15.6640625" style="6" customWidth="1"/>
    <col min="2" max="2" width="30.6640625" style="6" customWidth="1"/>
    <col min="3" max="5" width="12.6640625" style="4" customWidth="1"/>
    <col min="6" max="6" width="12.6640625" style="2" customWidth="1"/>
    <col min="7" max="7" width="12.6640625" style="4" customWidth="1"/>
    <col min="8" max="9" width="12.6640625" style="2" customWidth="1"/>
    <col min="10" max="10" width="12.6640625" customWidth="1"/>
  </cols>
  <sheetData>
    <row r="1" spans="1:10" ht="15.6" x14ac:dyDescent="0.3">
      <c r="A1" s="5" t="s">
        <v>399</v>
      </c>
      <c r="B1" s="5"/>
    </row>
    <row r="4" spans="1:10" x14ac:dyDescent="0.25">
      <c r="C4" s="8" t="s">
        <v>107</v>
      </c>
      <c r="D4" s="8" t="s">
        <v>108</v>
      </c>
      <c r="E4" s="8" t="s">
        <v>109</v>
      </c>
      <c r="F4" s="50" t="s">
        <v>112</v>
      </c>
      <c r="G4" s="8" t="s">
        <v>156</v>
      </c>
      <c r="H4" s="50" t="s">
        <v>157</v>
      </c>
      <c r="I4" s="50" t="s">
        <v>192</v>
      </c>
    </row>
    <row r="5" spans="1:10" x14ac:dyDescent="0.25">
      <c r="A5" s="70"/>
      <c r="F5" s="50" t="s">
        <v>155</v>
      </c>
      <c r="H5" s="50" t="s">
        <v>3</v>
      </c>
      <c r="I5" s="50" t="s">
        <v>3</v>
      </c>
    </row>
    <row r="6" spans="1:10" s="6" customFormat="1" x14ac:dyDescent="0.25">
      <c r="C6" s="8"/>
      <c r="D6" s="8" t="s">
        <v>202</v>
      </c>
      <c r="E6" s="8" t="s">
        <v>101</v>
      </c>
      <c r="F6" s="50" t="s">
        <v>103</v>
      </c>
      <c r="G6" s="8" t="s">
        <v>105</v>
      </c>
      <c r="H6" s="50" t="s">
        <v>207</v>
      </c>
      <c r="I6" s="50" t="s">
        <v>206</v>
      </c>
    </row>
    <row r="7" spans="1:10" s="6" customFormat="1" x14ac:dyDescent="0.25">
      <c r="A7" s="6" t="s">
        <v>84</v>
      </c>
      <c r="B7" s="6" t="s">
        <v>76</v>
      </c>
      <c r="C7" s="8" t="s">
        <v>199</v>
      </c>
      <c r="D7" s="8" t="s">
        <v>81</v>
      </c>
      <c r="E7" s="8" t="s">
        <v>102</v>
      </c>
      <c r="F7" s="50" t="s">
        <v>104</v>
      </c>
      <c r="G7" s="8" t="s">
        <v>81</v>
      </c>
      <c r="H7" s="50" t="s">
        <v>76</v>
      </c>
      <c r="I7" s="50" t="s">
        <v>84</v>
      </c>
    </row>
    <row r="8" spans="1:10" x14ac:dyDescent="0.25">
      <c r="A8" s="72"/>
      <c r="B8" s="72"/>
      <c r="C8" s="49"/>
      <c r="D8" s="49"/>
      <c r="E8" s="49"/>
      <c r="F8" s="48"/>
      <c r="G8" s="49"/>
      <c r="H8" s="48"/>
      <c r="I8" s="48"/>
      <c r="J8" s="79"/>
    </row>
    <row r="9" spans="1:10" x14ac:dyDescent="0.25">
      <c r="A9" s="6" t="s">
        <v>240</v>
      </c>
      <c r="B9" s="12" t="s">
        <v>211</v>
      </c>
      <c r="C9" s="4">
        <f>'Mailer Arrival Profile'!$C$47*'Mailer Arrival Profile'!$C$16</f>
        <v>6.9660825427976344E-2</v>
      </c>
      <c r="D9" s="4">
        <f>'Conversion Factors'!$K$20</f>
        <v>729.1358506840312</v>
      </c>
      <c r="E9" s="4">
        <f>'Productivity Data'!$I$26</f>
        <v>48.58034429266948</v>
      </c>
      <c r="F9" s="2">
        <f>'Wage Data'!$C$11</f>
        <v>49.154294657004115</v>
      </c>
      <c r="G9" s="4">
        <f>'Cost Pool Data'!$K$48</f>
        <v>1.6214860636540271</v>
      </c>
      <c r="H9" s="2">
        <f>(F9*G9)/(D9*E9)</f>
        <v>2.2501198352502688E-3</v>
      </c>
      <c r="I9" s="2">
        <f>C9*H9</f>
        <v>1.5674520503539585E-4</v>
      </c>
    </row>
    <row r="10" spans="1:10" x14ac:dyDescent="0.25">
      <c r="A10" s="6" t="s">
        <v>85</v>
      </c>
      <c r="B10" s="12" t="s">
        <v>212</v>
      </c>
      <c r="C10" s="4">
        <f>'Mailer Arrival Profile'!$C$47*'Mailer Arrival Profile'!$D$16</f>
        <v>0.29610462070709098</v>
      </c>
      <c r="D10" s="4">
        <f>'Conversion Factors'!$K$21</f>
        <v>1166.2220689128642</v>
      </c>
      <c r="E10" s="4">
        <f>'Productivity Data'!$I$26</f>
        <v>48.58034429266948</v>
      </c>
      <c r="F10" s="2">
        <f>'Wage Data'!$C$11</f>
        <v>49.154294657004115</v>
      </c>
      <c r="G10" s="4">
        <f>'Cost Pool Data'!$K$48</f>
        <v>1.6214860636540271</v>
      </c>
      <c r="H10" s="2">
        <f>(F10*G10)/(D10*E10)</f>
        <v>1.4068015723159835E-3</v>
      </c>
      <c r="I10" s="2">
        <f>C10*H10</f>
        <v>4.1656044598076351E-4</v>
      </c>
    </row>
    <row r="11" spans="1:10" x14ac:dyDescent="0.25">
      <c r="B11" s="12" t="s">
        <v>213</v>
      </c>
      <c r="C11" s="4">
        <f>'Mailer Arrival Profile'!$C$47*'Mailer Arrival Profile'!$E$16</f>
        <v>4.165508316633184E-2</v>
      </c>
      <c r="D11" s="4">
        <f>'Conversion Factors'!$K$22</f>
        <v>751.10297650127052</v>
      </c>
      <c r="E11" s="4">
        <f>'Productivity Data'!$I$26</f>
        <v>48.58034429266948</v>
      </c>
      <c r="F11" s="2">
        <f>'Wage Data'!$C$11</f>
        <v>49.154294657004115</v>
      </c>
      <c r="G11" s="4">
        <f>'Cost Pool Data'!$K$48</f>
        <v>1.6214860636540271</v>
      </c>
      <c r="H11" s="2">
        <f>(F11*G11)/(D11*E11)</f>
        <v>2.1843117276122807E-3</v>
      </c>
      <c r="I11" s="2">
        <f>C11*H11</f>
        <v>9.0987686674883528E-5</v>
      </c>
    </row>
    <row r="12" spans="1:10" x14ac:dyDescent="0.25">
      <c r="B12" s="12" t="s">
        <v>214</v>
      </c>
      <c r="C12" s="4">
        <f>'Mailer Arrival Profile'!$C$47*'Mailer Arrival Profile'!$F$16</f>
        <v>2.330225316611036E-2</v>
      </c>
      <c r="D12" s="4">
        <f>'Conversion Factors'!$K$23</f>
        <v>635.38219588437971</v>
      </c>
      <c r="E12" s="4">
        <f>'Productivity Data'!$I$25</f>
        <v>60.332591436644847</v>
      </c>
      <c r="F12" s="2">
        <f>'Wage Data'!$C$11</f>
        <v>49.154294657004115</v>
      </c>
      <c r="G12" s="4">
        <f>'Cost Pool Data'!$K$48</f>
        <v>1.6214860636540271</v>
      </c>
      <c r="H12" s="2">
        <f>(F12*G12)/(D12*E12)</f>
        <v>2.0791588342943608E-3</v>
      </c>
      <c r="I12" s="2">
        <f>C12*H12</f>
        <v>4.8449085529282092E-5</v>
      </c>
    </row>
    <row r="13" spans="1:10" x14ac:dyDescent="0.25">
      <c r="B13" t="s">
        <v>223</v>
      </c>
      <c r="C13" s="4">
        <f>C9</f>
        <v>6.9660825427976344E-2</v>
      </c>
      <c r="D13" s="4">
        <f>'Conversion Factors'!$K$20</f>
        <v>729.1358506840312</v>
      </c>
      <c r="E13" s="4">
        <f>'Productivity Data'!$I$24</f>
        <v>43.137464151665213</v>
      </c>
      <c r="F13" s="2">
        <f>'Wage Data'!$C$11</f>
        <v>49.154294657004115</v>
      </c>
      <c r="G13" s="4">
        <f>'Cost Pool Data'!$K$48</f>
        <v>1.6214860636540271</v>
      </c>
      <c r="H13" s="2">
        <f>(F13*G13)/(D13*E13)</f>
        <v>2.5340292584631E-3</v>
      </c>
      <c r="I13" s="2">
        <f>C13*H13</f>
        <v>1.7652256980318237E-4</v>
      </c>
    </row>
    <row r="14" spans="1:10" x14ac:dyDescent="0.25">
      <c r="B14" t="s">
        <v>224</v>
      </c>
      <c r="C14" s="4">
        <f>C10</f>
        <v>0.29610462070709098</v>
      </c>
      <c r="D14" s="4">
        <f>'Conversion Factors'!$K$21</f>
        <v>1166.2220689128642</v>
      </c>
      <c r="E14" s="4">
        <f>'Productivity Data'!$I$24</f>
        <v>43.137464151665213</v>
      </c>
      <c r="F14" s="2">
        <f>'Wage Data'!$C$11</f>
        <v>49.154294657004115</v>
      </c>
      <c r="G14" s="4">
        <f>'Cost Pool Data'!$K$48</f>
        <v>1.6214860636540271</v>
      </c>
      <c r="H14" s="2">
        <f t="shared" ref="H14:H43" si="0">(F14*G14)/(D14*E14)</f>
        <v>1.5843051064451834E-3</v>
      </c>
      <c r="I14" s="2">
        <f t="shared" ref="I14:I43" si="1">C14*H14</f>
        <v>4.6912006262825844E-4</v>
      </c>
    </row>
    <row r="15" spans="1:10" x14ac:dyDescent="0.25">
      <c r="B15" s="12" t="s">
        <v>225</v>
      </c>
      <c r="C15" s="4">
        <f>C11</f>
        <v>4.165508316633184E-2</v>
      </c>
      <c r="D15" s="4">
        <f>'Conversion Factors'!$K$22</f>
        <v>751.10297650127052</v>
      </c>
      <c r="E15" s="4">
        <f>'Productivity Data'!$I$24</f>
        <v>43.137464151665213</v>
      </c>
      <c r="F15" s="2">
        <f>'Wage Data'!$C$11</f>
        <v>49.154294657004115</v>
      </c>
      <c r="G15" s="4">
        <f>'Cost Pool Data'!$K$48</f>
        <v>1.6214860636540271</v>
      </c>
      <c r="H15" s="2">
        <f t="shared" si="0"/>
        <v>2.4599177966705766E-3</v>
      </c>
      <c r="I15" s="2">
        <f t="shared" si="1"/>
        <v>1.0246808040265264E-4</v>
      </c>
    </row>
    <row r="16" spans="1:10" x14ac:dyDescent="0.25">
      <c r="A16" s="72"/>
      <c r="B16" s="74" t="s">
        <v>226</v>
      </c>
      <c r="C16" s="49">
        <f>C12</f>
        <v>2.330225316611036E-2</v>
      </c>
      <c r="D16" s="49">
        <f>'Conversion Factors'!$K$23</f>
        <v>635.38219588437971</v>
      </c>
      <c r="E16" s="49">
        <f>'Productivity Data'!$I$23</f>
        <v>68.564044141410264</v>
      </c>
      <c r="F16" s="48">
        <f>'Wage Data'!$C$11</f>
        <v>49.154294657004115</v>
      </c>
      <c r="G16" s="49">
        <f>'Cost Pool Data'!$K$48</f>
        <v>1.6214860636540271</v>
      </c>
      <c r="H16" s="48">
        <f t="shared" si="0"/>
        <v>1.8295455300544397E-3</v>
      </c>
      <c r="I16" s="75">
        <f t="shared" si="1"/>
        <v>4.2632533120254127E-5</v>
      </c>
      <c r="J16" s="76">
        <f>SUM(I9:I16)</f>
        <v>1.5034856691746729E-3</v>
      </c>
    </row>
    <row r="17" spans="1:10" x14ac:dyDescent="0.25">
      <c r="A17" s="6" t="s">
        <v>240</v>
      </c>
      <c r="B17" t="s">
        <v>211</v>
      </c>
      <c r="C17" s="4">
        <f>'Mailer Arrival Profile'!$C$48*'Mailer Arrival Profile'!$C$16+C13</f>
        <v>0.10454677823970684</v>
      </c>
      <c r="D17" s="4">
        <f>'Conversion Factors'!$K$20</f>
        <v>729.1358506840312</v>
      </c>
      <c r="E17" s="4">
        <f>'Productivity Data'!$I$28</f>
        <v>58.156985400220201</v>
      </c>
      <c r="F17" s="2">
        <f>'Wage Data'!$C$11</f>
        <v>49.154294657004115</v>
      </c>
      <c r="G17" s="4">
        <f>'Cost Pool Data'!$K$27</f>
        <v>1.3606061934437479</v>
      </c>
      <c r="H17" s="2">
        <f t="shared" si="0"/>
        <v>1.5771883957355554E-3</v>
      </c>
      <c r="I17" s="2">
        <f t="shared" si="1"/>
        <v>1.648899654512041E-4</v>
      </c>
    </row>
    <row r="18" spans="1:10" x14ac:dyDescent="0.25">
      <c r="A18" s="6" t="s">
        <v>241</v>
      </c>
      <c r="B18" t="s">
        <v>212</v>
      </c>
      <c r="C18" s="4">
        <f>'Mailer Arrival Profile'!$C$48*'Mailer Arrival Profile'!$D$16+C14</f>
        <v>0.44439301324133113</v>
      </c>
      <c r="D18" s="4">
        <f>'Conversion Factors'!$K$21</f>
        <v>1166.2220689128642</v>
      </c>
      <c r="E18" s="4">
        <f>'Productivity Data'!$I$28</f>
        <v>58.156985400220201</v>
      </c>
      <c r="F18" s="2">
        <f>'Wage Data'!$C$11</f>
        <v>49.154294657004115</v>
      </c>
      <c r="G18" s="4">
        <f>'Cost Pool Data'!$K$27</f>
        <v>1.3606061934437479</v>
      </c>
      <c r="H18" s="2">
        <f t="shared" si="0"/>
        <v>9.8607686586279944E-4</v>
      </c>
      <c r="I18" s="2">
        <f t="shared" si="1"/>
        <v>4.3820566970833734E-4</v>
      </c>
    </row>
    <row r="19" spans="1:10" x14ac:dyDescent="0.25">
      <c r="B19" t="s">
        <v>213</v>
      </c>
      <c r="C19" s="4">
        <f>'Mailer Arrival Profile'!$C$48*'Mailer Arrival Profile'!$E$16+C15</f>
        <v>6.2515836061254534E-2</v>
      </c>
      <c r="D19" s="4">
        <f>'Conversion Factors'!$K$22</f>
        <v>751.10297650127052</v>
      </c>
      <c r="E19" s="4">
        <f>'Productivity Data'!$I$28</f>
        <v>58.156985400220201</v>
      </c>
      <c r="F19" s="2">
        <f>'Wage Data'!$C$11</f>
        <v>49.154294657004115</v>
      </c>
      <c r="G19" s="4">
        <f>'Cost Pool Data'!$K$27</f>
        <v>1.3606061934437479</v>
      </c>
      <c r="H19" s="2">
        <f t="shared" si="0"/>
        <v>1.5310611708269292E-3</v>
      </c>
      <c r="I19" s="2">
        <f t="shared" si="1"/>
        <v>9.5715569155168729E-5</v>
      </c>
    </row>
    <row r="20" spans="1:10" x14ac:dyDescent="0.25">
      <c r="B20" t="s">
        <v>214</v>
      </c>
      <c r="C20" s="4">
        <f>'Mailer Arrival Profile'!$C$48*'Mailer Arrival Profile'!$F$16+C16</f>
        <v>3.497195847559479E-2</v>
      </c>
      <c r="D20" s="4">
        <f>'Conversion Factors'!$K$23</f>
        <v>635.38219588437971</v>
      </c>
      <c r="E20" s="4">
        <f>'Productivity Data'!$I$27</f>
        <v>81.873572020007202</v>
      </c>
      <c r="F20" s="2">
        <f>'Wage Data'!$C$11</f>
        <v>49.154294657004115</v>
      </c>
      <c r="G20" s="4">
        <f>'Cost Pool Data'!$K$27</f>
        <v>1.3606061934437479</v>
      </c>
      <c r="H20" s="2">
        <f t="shared" si="0"/>
        <v>1.285627437392274E-3</v>
      </c>
      <c r="I20" s="2">
        <f t="shared" si="1"/>
        <v>4.4960909355567948E-5</v>
      </c>
    </row>
    <row r="21" spans="1:10" x14ac:dyDescent="0.25">
      <c r="B21" t="s">
        <v>227</v>
      </c>
      <c r="C21" s="4">
        <f t="shared" ref="C21:C28" si="2">C17</f>
        <v>0.10454677823970684</v>
      </c>
      <c r="D21" s="4">
        <f>'Conversion Factors'!$K$20</f>
        <v>729.1358506840312</v>
      </c>
      <c r="E21" s="4">
        <f>'Productivity Data'!$I$30</f>
        <v>39.899251235537818</v>
      </c>
      <c r="F21" s="2">
        <f>'Wage Data'!$C$11</f>
        <v>49.154294657004115</v>
      </c>
      <c r="G21" s="4">
        <f>'Cost Pool Data'!$K$27</f>
        <v>1.3606061934437479</v>
      </c>
      <c r="H21" s="2">
        <f t="shared" si="0"/>
        <v>2.2989033544191279E-3</v>
      </c>
      <c r="I21" s="2">
        <f t="shared" si="1"/>
        <v>2.4034293918897474E-4</v>
      </c>
    </row>
    <row r="22" spans="1:10" x14ac:dyDescent="0.25">
      <c r="B22" t="s">
        <v>228</v>
      </c>
      <c r="C22" s="4">
        <f t="shared" si="2"/>
        <v>0.44439301324133113</v>
      </c>
      <c r="D22" s="4">
        <f>'Conversion Factors'!$K$21</f>
        <v>1166.2220689128642</v>
      </c>
      <c r="E22" s="4">
        <f>'Productivity Data'!$I$30</f>
        <v>39.899251235537818</v>
      </c>
      <c r="F22" s="2">
        <f>'Wage Data'!$C$11</f>
        <v>49.154294657004115</v>
      </c>
      <c r="G22" s="4">
        <f>'Cost Pool Data'!$K$27</f>
        <v>1.3606061934437479</v>
      </c>
      <c r="H22" s="2">
        <f t="shared" si="0"/>
        <v>1.4373016063118286E-3</v>
      </c>
      <c r="I22" s="2">
        <f t="shared" si="1"/>
        <v>6.3872679176551898E-4</v>
      </c>
    </row>
    <row r="23" spans="1:10" x14ac:dyDescent="0.25">
      <c r="B23" t="s">
        <v>229</v>
      </c>
      <c r="C23" s="4">
        <f t="shared" si="2"/>
        <v>6.2515836061254534E-2</v>
      </c>
      <c r="D23" s="4">
        <f>'Conversion Factors'!$K$22</f>
        <v>751.10297650127052</v>
      </c>
      <c r="E23" s="4">
        <f>'Productivity Data'!$I$30</f>
        <v>39.899251235537818</v>
      </c>
      <c r="F23" s="2">
        <f>'Wage Data'!$C$11</f>
        <v>49.154294657004115</v>
      </c>
      <c r="G23" s="4">
        <f>'Cost Pool Data'!$K$27</f>
        <v>1.3606061934437479</v>
      </c>
      <c r="H23" s="2">
        <f t="shared" si="0"/>
        <v>2.231668500067418E-3</v>
      </c>
      <c r="I23" s="2">
        <f t="shared" si="1"/>
        <v>1.3951462209328051E-4</v>
      </c>
    </row>
    <row r="24" spans="1:10" x14ac:dyDescent="0.25">
      <c r="B24" t="s">
        <v>230</v>
      </c>
      <c r="C24" s="4">
        <f t="shared" si="2"/>
        <v>3.497195847559479E-2</v>
      </c>
      <c r="D24" s="4">
        <f>'Conversion Factors'!$K$23</f>
        <v>635.38219588437971</v>
      </c>
      <c r="E24" s="4">
        <f>'Productivity Data'!$I$29</f>
        <v>50.764395048330648</v>
      </c>
      <c r="F24" s="2">
        <f>'Wage Data'!$C$11</f>
        <v>49.154294657004115</v>
      </c>
      <c r="G24" s="4">
        <f>'Cost Pool Data'!$K$27</f>
        <v>1.3606061934437479</v>
      </c>
      <c r="H24" s="2">
        <f t="shared" si="0"/>
        <v>2.0734790690605308E-3</v>
      </c>
      <c r="I24" s="2">
        <f t="shared" si="1"/>
        <v>7.251362390319983E-5</v>
      </c>
    </row>
    <row r="25" spans="1:10" x14ac:dyDescent="0.25">
      <c r="B25" t="s">
        <v>223</v>
      </c>
      <c r="C25" s="4">
        <f t="shared" si="2"/>
        <v>0.10454677823970684</v>
      </c>
      <c r="D25" s="4">
        <f>'Conversion Factors'!$K$20</f>
        <v>729.1358506840312</v>
      </c>
      <c r="E25" s="4">
        <f>'Productivity Data'!$I$32</f>
        <v>61.728448910094343</v>
      </c>
      <c r="F25" s="2">
        <f>'Wage Data'!$C$11</f>
        <v>49.154294657004115</v>
      </c>
      <c r="G25" s="4">
        <f>'Cost Pool Data'!$K$27</f>
        <v>1.3606061934437479</v>
      </c>
      <c r="H25" s="2">
        <f t="shared" si="0"/>
        <v>1.4859359683212431E-3</v>
      </c>
      <c r="I25" s="2">
        <f t="shared" si="1"/>
        <v>1.5534981815848507E-4</v>
      </c>
    </row>
    <row r="26" spans="1:10" x14ac:dyDescent="0.25">
      <c r="B26" t="s">
        <v>224</v>
      </c>
      <c r="C26" s="4">
        <f t="shared" si="2"/>
        <v>0.44439301324133113</v>
      </c>
      <c r="D26" s="4">
        <f>'Conversion Factors'!$K$21</f>
        <v>1166.2220689128642</v>
      </c>
      <c r="E26" s="4">
        <f>'Productivity Data'!$I$32</f>
        <v>61.728448910094343</v>
      </c>
      <c r="F26" s="2">
        <f>'Wage Data'!$C$11</f>
        <v>49.154294657004115</v>
      </c>
      <c r="G26" s="4">
        <f>'Cost Pool Data'!$K$27</f>
        <v>1.3606061934437479</v>
      </c>
      <c r="H26" s="2">
        <f t="shared" si="0"/>
        <v>9.2902476741319546E-4</v>
      </c>
      <c r="I26" s="2">
        <f t="shared" si="1"/>
        <v>4.1285211576657673E-4</v>
      </c>
    </row>
    <row r="27" spans="1:10" x14ac:dyDescent="0.25">
      <c r="B27" s="12" t="s">
        <v>225</v>
      </c>
      <c r="C27" s="4">
        <f t="shared" si="2"/>
        <v>6.2515836061254534E-2</v>
      </c>
      <c r="D27" s="4">
        <f>'Conversion Factors'!$K$22</f>
        <v>751.10297650127052</v>
      </c>
      <c r="E27" s="4">
        <f>'Productivity Data'!$I$32</f>
        <v>61.728448910094343</v>
      </c>
      <c r="F27" s="2">
        <f>'Wage Data'!$C$11</f>
        <v>49.154294657004115</v>
      </c>
      <c r="G27" s="4">
        <f>'Cost Pool Data'!$K$27</f>
        <v>1.3606061934437479</v>
      </c>
      <c r="H27" s="2">
        <f t="shared" si="0"/>
        <v>1.4424775566337761E-3</v>
      </c>
      <c r="I27" s="2">
        <f t="shared" si="1"/>
        <v>9.0177690452556146E-5</v>
      </c>
    </row>
    <row r="28" spans="1:10" x14ac:dyDescent="0.25">
      <c r="A28" s="72"/>
      <c r="B28" s="74" t="s">
        <v>226</v>
      </c>
      <c r="C28" s="49">
        <f t="shared" si="2"/>
        <v>3.497195847559479E-2</v>
      </c>
      <c r="D28" s="49">
        <f>'Conversion Factors'!$K$23</f>
        <v>635.38219588437971</v>
      </c>
      <c r="E28" s="49">
        <f>'Productivity Data'!$I$31</f>
        <v>91.071587890934111</v>
      </c>
      <c r="F28" s="48">
        <f>'Wage Data'!$C$11</f>
        <v>49.154294657004115</v>
      </c>
      <c r="G28" s="49">
        <f>'Cost Pool Data'!$K$27</f>
        <v>1.3606061934437479</v>
      </c>
      <c r="H28" s="48">
        <f t="shared" si="0"/>
        <v>1.1557820943266088E-3</v>
      </c>
      <c r="I28" s="75">
        <f t="shared" si="1"/>
        <v>4.0419963409626144E-5</v>
      </c>
      <c r="J28" s="76">
        <f>SUM(I17:I28)</f>
        <v>2.5336696784084966E-3</v>
      </c>
    </row>
    <row r="29" spans="1:10" x14ac:dyDescent="0.25">
      <c r="A29" s="6" t="s">
        <v>242</v>
      </c>
      <c r="B29" t="s">
        <v>211</v>
      </c>
      <c r="C29" s="4">
        <f>'Mailer Arrival Profile'!$C$49*'Mailer Arrival Profile'!$C$16+C25</f>
        <v>0.16173006923131825</v>
      </c>
      <c r="D29" s="4">
        <f>'Conversion Factors'!$K$20</f>
        <v>729.1358506840312</v>
      </c>
      <c r="E29" s="4">
        <f>'Productivity Data'!$I$38</f>
        <v>46.475052307166727</v>
      </c>
      <c r="F29" s="2">
        <f>'Wage Data'!$C$11</f>
        <v>49.154294657004115</v>
      </c>
      <c r="G29" s="4">
        <f>'Cost Pool Data'!$K$43</f>
        <v>1.386023903258889</v>
      </c>
      <c r="H29" s="2">
        <f t="shared" si="0"/>
        <v>2.0104989424117353E-3</v>
      </c>
      <c r="I29" s="2">
        <f t="shared" si="1"/>
        <v>3.2515813314574208E-4</v>
      </c>
    </row>
    <row r="30" spans="1:10" x14ac:dyDescent="0.25">
      <c r="A30" s="6" t="s">
        <v>131</v>
      </c>
      <c r="B30" t="s">
        <v>212</v>
      </c>
      <c r="C30" s="4">
        <f>'Mailer Arrival Profile'!$C$49*'Mailer Arrival Profile'!$D$16+C26</f>
        <v>0.68745985297266432</v>
      </c>
      <c r="D30" s="4">
        <f>'Conversion Factors'!$K$21</f>
        <v>1166.2220689128642</v>
      </c>
      <c r="E30" s="4">
        <f>'Productivity Data'!$I$38</f>
        <v>46.475052307166727</v>
      </c>
      <c r="F30" s="2">
        <f>'Wage Data'!$C$11</f>
        <v>49.154294657004115</v>
      </c>
      <c r="G30" s="4">
        <f>'Cost Pool Data'!$K$43</f>
        <v>1.386023903258889</v>
      </c>
      <c r="H30" s="2">
        <f t="shared" si="0"/>
        <v>1.256987751947828E-3</v>
      </c>
      <c r="I30" s="2">
        <f t="shared" si="1"/>
        <v>8.6412861514249372E-4</v>
      </c>
    </row>
    <row r="31" spans="1:10" x14ac:dyDescent="0.25">
      <c r="B31" t="s">
        <v>213</v>
      </c>
      <c r="C31" s="4">
        <f>'Mailer Arrival Profile'!$C$49*'Mailer Arrival Profile'!$E$16+C27</f>
        <v>9.6709728070801498E-2</v>
      </c>
      <c r="D31" s="4">
        <f>'Conversion Factors'!$K$22</f>
        <v>751.10297650127052</v>
      </c>
      <c r="E31" s="4">
        <f>'Productivity Data'!$I$38</f>
        <v>46.475052307166727</v>
      </c>
      <c r="F31" s="2">
        <f>'Wage Data'!$C$11</f>
        <v>49.154294657004115</v>
      </c>
      <c r="G31" s="4">
        <f>'Cost Pool Data'!$K$43</f>
        <v>1.386023903258889</v>
      </c>
      <c r="H31" s="2">
        <f t="shared" si="0"/>
        <v>1.9516989048601464E-3</v>
      </c>
      <c r="I31" s="2">
        <f t="shared" si="1"/>
        <v>1.8874827036510585E-4</v>
      </c>
    </row>
    <row r="32" spans="1:10" x14ac:dyDescent="0.25">
      <c r="B32" t="s">
        <v>214</v>
      </c>
      <c r="C32" s="4">
        <f>'Mailer Arrival Profile'!$C$49*'Mailer Arrival Profile'!$F$16+C28</f>
        <v>5.41003497252159E-2</v>
      </c>
      <c r="D32" s="4">
        <f>'Conversion Factors'!$K$23</f>
        <v>635.38219588437971</v>
      </c>
      <c r="E32" s="4">
        <f>'Productivity Data'!$I$37</f>
        <v>55.996737364805647</v>
      </c>
      <c r="F32" s="2">
        <f>'Wage Data'!$C$11</f>
        <v>49.154294657004115</v>
      </c>
      <c r="G32" s="4">
        <f>'Cost Pool Data'!$K$43</f>
        <v>1.386023903258889</v>
      </c>
      <c r="H32" s="2">
        <f t="shared" si="0"/>
        <v>1.9148485213097445E-3</v>
      </c>
      <c r="I32" s="2">
        <f t="shared" si="1"/>
        <v>1.035939746736697E-4</v>
      </c>
    </row>
    <row r="33" spans="1:10" x14ac:dyDescent="0.25">
      <c r="B33" t="s">
        <v>223</v>
      </c>
      <c r="C33" s="4">
        <f t="shared" ref="C33:C40" si="3">C29</f>
        <v>0.16173006923131825</v>
      </c>
      <c r="D33" s="4">
        <f>'Conversion Factors'!$K$20</f>
        <v>729.1358506840312</v>
      </c>
      <c r="E33" s="4">
        <f>'Productivity Data'!$I$45</f>
        <v>55.582256364514194</v>
      </c>
      <c r="F33" s="2">
        <f>'Wage Data'!$C$11</f>
        <v>49.154294657004115</v>
      </c>
      <c r="G33" s="4">
        <f>'Cost Pool Data'!$K$43</f>
        <v>1.386023903258889</v>
      </c>
      <c r="H33" s="2">
        <f t="shared" si="0"/>
        <v>1.681076833212967E-3</v>
      </c>
      <c r="I33" s="2">
        <f t="shared" si="1"/>
        <v>2.7188067261869837E-4</v>
      </c>
    </row>
    <row r="34" spans="1:10" x14ac:dyDescent="0.25">
      <c r="B34" t="s">
        <v>224</v>
      </c>
      <c r="C34" s="4">
        <f t="shared" si="3"/>
        <v>0.68745985297266432</v>
      </c>
      <c r="D34" s="4">
        <f>'Conversion Factors'!$K$21</f>
        <v>1166.2220689128642</v>
      </c>
      <c r="E34" s="4">
        <f>'Productivity Data'!$I$45</f>
        <v>55.582256364514194</v>
      </c>
      <c r="F34" s="2">
        <f>'Wage Data'!$C$11</f>
        <v>49.154294657004115</v>
      </c>
      <c r="G34" s="4">
        <f>'Cost Pool Data'!$K$43</f>
        <v>1.386023903258889</v>
      </c>
      <c r="H34" s="2">
        <f t="shared" si="0"/>
        <v>1.0510291474698E-3</v>
      </c>
      <c r="I34" s="2">
        <f t="shared" si="1"/>
        <v>7.2254034318957347E-4</v>
      </c>
    </row>
    <row r="35" spans="1:10" x14ac:dyDescent="0.25">
      <c r="B35" t="s">
        <v>225</v>
      </c>
      <c r="C35" s="4">
        <f t="shared" si="3"/>
        <v>9.6709728070801498E-2</v>
      </c>
      <c r="D35" s="4">
        <f>'Conversion Factors'!$K$22</f>
        <v>751.10297650127052</v>
      </c>
      <c r="E35" s="4">
        <f>'Productivity Data'!$I$45</f>
        <v>55.582256364514194</v>
      </c>
      <c r="F35" s="2">
        <f>'Wage Data'!$C$11</f>
        <v>49.154294657004115</v>
      </c>
      <c r="G35" s="4">
        <f>'Cost Pool Data'!$K$43</f>
        <v>1.386023903258889</v>
      </c>
      <c r="H35" s="2">
        <f t="shared" si="0"/>
        <v>1.6319112361391109E-3</v>
      </c>
      <c r="I35" s="2">
        <f t="shared" si="1"/>
        <v>1.5782169188269894E-4</v>
      </c>
    </row>
    <row r="36" spans="1:10" x14ac:dyDescent="0.25">
      <c r="A36" s="72"/>
      <c r="B36" s="79" t="s">
        <v>226</v>
      </c>
      <c r="C36" s="49">
        <f t="shared" si="3"/>
        <v>5.41003497252159E-2</v>
      </c>
      <c r="D36" s="49">
        <f>'Conversion Factors'!$K$23</f>
        <v>635.38219588437971</v>
      </c>
      <c r="E36" s="84">
        <f>'Productivity Data'!$I$44</f>
        <v>70.608822220868689</v>
      </c>
      <c r="F36" s="48">
        <f>'Wage Data'!$C$11</f>
        <v>49.154294657004115</v>
      </c>
      <c r="G36" s="49">
        <f>'Cost Pool Data'!$K$43</f>
        <v>1.386023903258889</v>
      </c>
      <c r="H36" s="48">
        <f t="shared" si="0"/>
        <v>1.5185817631366383E-3</v>
      </c>
      <c r="I36" s="75">
        <f t="shared" si="1"/>
        <v>8.2155804472027109E-5</v>
      </c>
      <c r="J36" s="76">
        <f>SUM(I29:I36)</f>
        <v>2.7160275054900094E-3</v>
      </c>
    </row>
    <row r="37" spans="1:10" x14ac:dyDescent="0.25">
      <c r="A37" s="6" t="s">
        <v>243</v>
      </c>
      <c r="B37" t="s">
        <v>211</v>
      </c>
      <c r="C37" s="4">
        <f t="shared" si="3"/>
        <v>0.16173006923131825</v>
      </c>
      <c r="D37" s="4">
        <f>'Conversion Factors'!$K$20</f>
        <v>729.1358506840312</v>
      </c>
      <c r="E37" s="4">
        <f>'Productivity Data'!$I$38</f>
        <v>46.475052307166727</v>
      </c>
      <c r="F37" s="2">
        <f>'Wage Data'!$C$11</f>
        <v>49.154294657004115</v>
      </c>
      <c r="G37" s="4">
        <f>'Cost Pool Data'!$K$43</f>
        <v>1.386023903258889</v>
      </c>
      <c r="H37" s="2">
        <f t="shared" si="0"/>
        <v>2.0104989424117353E-3</v>
      </c>
      <c r="I37" s="2">
        <f t="shared" si="1"/>
        <v>3.2515813314574208E-4</v>
      </c>
    </row>
    <row r="38" spans="1:10" x14ac:dyDescent="0.25">
      <c r="A38" s="6" t="s">
        <v>131</v>
      </c>
      <c r="B38" t="s">
        <v>212</v>
      </c>
      <c r="C38" s="4">
        <f t="shared" si="3"/>
        <v>0.68745985297266432</v>
      </c>
      <c r="D38" s="4">
        <f>'Conversion Factors'!$K$21</f>
        <v>1166.2220689128642</v>
      </c>
      <c r="E38" s="4">
        <f>'Productivity Data'!$I$38</f>
        <v>46.475052307166727</v>
      </c>
      <c r="F38" s="2">
        <f>'Wage Data'!$C$11</f>
        <v>49.154294657004115</v>
      </c>
      <c r="G38" s="4">
        <f>'Cost Pool Data'!$K$43</f>
        <v>1.386023903258889</v>
      </c>
      <c r="H38" s="2">
        <f t="shared" si="0"/>
        <v>1.256987751947828E-3</v>
      </c>
      <c r="I38" s="2">
        <f t="shared" si="1"/>
        <v>8.6412861514249372E-4</v>
      </c>
    </row>
    <row r="39" spans="1:10" x14ac:dyDescent="0.25">
      <c r="B39" t="s">
        <v>213</v>
      </c>
      <c r="C39" s="4">
        <f t="shared" si="3"/>
        <v>9.6709728070801498E-2</v>
      </c>
      <c r="D39" s="4">
        <f>'Conversion Factors'!$K$22</f>
        <v>751.10297650127052</v>
      </c>
      <c r="E39" s="4">
        <f>'Productivity Data'!$I$38</f>
        <v>46.475052307166727</v>
      </c>
      <c r="F39" s="2">
        <f>'Wage Data'!$C$11</f>
        <v>49.154294657004115</v>
      </c>
      <c r="G39" s="4">
        <f>'Cost Pool Data'!$K$43</f>
        <v>1.386023903258889</v>
      </c>
      <c r="H39" s="2">
        <f t="shared" si="0"/>
        <v>1.9516989048601464E-3</v>
      </c>
      <c r="I39" s="2">
        <f t="shared" si="1"/>
        <v>1.8874827036510585E-4</v>
      </c>
    </row>
    <row r="40" spans="1:10" x14ac:dyDescent="0.25">
      <c r="B40" t="s">
        <v>214</v>
      </c>
      <c r="C40" s="4">
        <f t="shared" si="3"/>
        <v>5.41003497252159E-2</v>
      </c>
      <c r="D40" s="4">
        <f>'Conversion Factors'!$K$23</f>
        <v>635.38219588437971</v>
      </c>
      <c r="E40" s="4">
        <f>'Productivity Data'!$I$37</f>
        <v>55.996737364805647</v>
      </c>
      <c r="F40" s="2">
        <f>'Wage Data'!$C$11</f>
        <v>49.154294657004115</v>
      </c>
      <c r="G40" s="4">
        <f>'Cost Pool Data'!$K$43</f>
        <v>1.386023903258889</v>
      </c>
      <c r="H40" s="2">
        <f t="shared" si="0"/>
        <v>1.9148485213097445E-3</v>
      </c>
      <c r="I40" s="2">
        <f t="shared" si="1"/>
        <v>1.035939746736697E-4</v>
      </c>
    </row>
    <row r="41" spans="1:10" x14ac:dyDescent="0.25">
      <c r="B41" t="s">
        <v>141</v>
      </c>
      <c r="C41" s="4">
        <f>SUM(C37:C40)</f>
        <v>1</v>
      </c>
      <c r="D41" s="4">
        <v>1</v>
      </c>
      <c r="E41" s="4">
        <f>'Productivity Data'!$I$21</f>
        <v>402.79881226580181</v>
      </c>
      <c r="F41" s="2">
        <f>'Wage Data'!$C$11</f>
        <v>49.154294657004115</v>
      </c>
      <c r="G41" s="4">
        <f>'Cost Pool Data'!$K$41</f>
        <v>1.4774316541145593</v>
      </c>
      <c r="H41" s="2">
        <f t="shared" si="0"/>
        <v>0.18029375621398216</v>
      </c>
      <c r="I41" s="2">
        <f t="shared" si="1"/>
        <v>0.18029375621398216</v>
      </c>
    </row>
    <row r="42" spans="1:10" x14ac:dyDescent="0.25">
      <c r="A42" s="72"/>
      <c r="B42" s="79" t="s">
        <v>248</v>
      </c>
      <c r="C42" s="49">
        <f>C41</f>
        <v>1</v>
      </c>
      <c r="D42" s="49">
        <f>'Conversion Factors'!$K$48</f>
        <v>278.88696895824546</v>
      </c>
      <c r="E42" s="49">
        <f>'Productivity Data'!$I$44</f>
        <v>70.608822220868689</v>
      </c>
      <c r="F42" s="48">
        <f>'Wage Data'!$C$11</f>
        <v>49.154294657004115</v>
      </c>
      <c r="G42" s="49">
        <f>'Cost Pool Data'!$K$43</f>
        <v>1.386023903258889</v>
      </c>
      <c r="H42" s="48">
        <f t="shared" si="0"/>
        <v>3.4597522390377106E-3</v>
      </c>
      <c r="I42" s="75">
        <f t="shared" si="1"/>
        <v>3.4597522390377106E-3</v>
      </c>
      <c r="J42" s="76">
        <f>SUM(I37:I42)</f>
        <v>0.1852351374463469</v>
      </c>
    </row>
    <row r="43" spans="1:10" x14ac:dyDescent="0.25">
      <c r="A43" s="6" t="s">
        <v>243</v>
      </c>
      <c r="B43" t="s">
        <v>249</v>
      </c>
      <c r="C43" s="4">
        <f>C42</f>
        <v>1</v>
      </c>
      <c r="D43" s="4">
        <f>'Conversion Factors'!$K$48</f>
        <v>278.88696895824546</v>
      </c>
      <c r="E43" s="4">
        <f>'Productivity Data'!$I$27</f>
        <v>81.873572020007202</v>
      </c>
      <c r="F43" s="2">
        <f>'Wage Data'!$C$11</f>
        <v>49.154294657004115</v>
      </c>
      <c r="G43" s="4">
        <f>'Cost Pool Data'!$K$27</f>
        <v>1.3606061934437479</v>
      </c>
      <c r="H43" s="2">
        <f t="shared" si="0"/>
        <v>2.9290173983776589E-3</v>
      </c>
      <c r="I43" s="2">
        <f t="shared" si="1"/>
        <v>2.9290173983776589E-3</v>
      </c>
    </row>
    <row r="44" spans="1:10" x14ac:dyDescent="0.25">
      <c r="A44" s="6" t="s">
        <v>241</v>
      </c>
      <c r="B44" t="s">
        <v>204</v>
      </c>
      <c r="C44" s="4">
        <f>C43*'Other Inputs'!$B$30*(1+'Other Inputs'!$B$10)</f>
        <v>0.42375228317471153</v>
      </c>
      <c r="D44" s="4">
        <v>1</v>
      </c>
      <c r="E44" s="4">
        <f>'Productivity Data'!$I$10</f>
        <v>245.20305602978507</v>
      </c>
      <c r="F44" s="2">
        <f>'Wage Data'!$C$11</f>
        <v>49.154294657004115</v>
      </c>
      <c r="G44" s="4">
        <f>'Cost Pool Data'!$L$14</f>
        <v>1.8052502472456198</v>
      </c>
      <c r="H44" s="2">
        <f t="shared" ref="H44:H49" si="4">(F44*G44)/(D44*E44)</f>
        <v>0.36188701731336453</v>
      </c>
      <c r="I44" s="2">
        <f t="shared" ref="I44:I49" si="5">C44*H44</f>
        <v>0.15335044983782459</v>
      </c>
    </row>
    <row r="45" spans="1:10" x14ac:dyDescent="0.25">
      <c r="B45" s="9" t="s">
        <v>363</v>
      </c>
      <c r="C45" s="4">
        <f>C43*'Other Inputs'!$B$31*(1+'Other Inputs'!$B$11)</f>
        <v>0.56721575232661026</v>
      </c>
      <c r="D45" s="4">
        <v>1</v>
      </c>
      <c r="E45" s="4">
        <f>'Productivity Data'!$I$11</f>
        <v>190.80521220652753</v>
      </c>
      <c r="F45" s="2">
        <f>'Wage Data'!$C$11</f>
        <v>49.154294657004115</v>
      </c>
      <c r="G45" s="4">
        <f>'Cost Pool Data'!$L$11</f>
        <v>1.6056412614911089</v>
      </c>
      <c r="H45" s="2">
        <f t="shared" si="4"/>
        <v>0.41363735700967258</v>
      </c>
      <c r="I45" s="2">
        <f t="shared" si="5"/>
        <v>0.23462162464663211</v>
      </c>
    </row>
    <row r="46" spans="1:10" x14ac:dyDescent="0.25">
      <c r="B46" t="s">
        <v>198</v>
      </c>
      <c r="C46" s="4">
        <f>C43*'Other Inputs'!$B$32</f>
        <v>0.11391845469353627</v>
      </c>
      <c r="D46" s="4">
        <v>1</v>
      </c>
      <c r="E46" s="4">
        <f>'Productivity Data'!$I$16</f>
        <v>47.994690148863093</v>
      </c>
      <c r="F46" s="2">
        <f>'Wage Data'!$C$11</f>
        <v>49.154294657004115</v>
      </c>
      <c r="G46" s="4">
        <f>'Cost Pool Data'!$K$16</f>
        <v>1.3208756008457678</v>
      </c>
      <c r="H46" s="2">
        <f t="shared" si="4"/>
        <v>1.3527894083249588</v>
      </c>
      <c r="I46" s="2">
        <f t="shared" si="5"/>
        <v>0.15410767892216257</v>
      </c>
    </row>
    <row r="47" spans="1:10" x14ac:dyDescent="0.25">
      <c r="A47" s="72"/>
      <c r="B47" s="79" t="s">
        <v>248</v>
      </c>
      <c r="C47" s="49">
        <f>C43</f>
        <v>1</v>
      </c>
      <c r="D47" s="49">
        <f>'Conversion Factors'!$K$48</f>
        <v>278.88696895824546</v>
      </c>
      <c r="E47" s="49">
        <f>'Productivity Data'!$I$31</f>
        <v>91.071587890934111</v>
      </c>
      <c r="F47" s="48">
        <f>'Wage Data'!$C$11</f>
        <v>49.154294657004115</v>
      </c>
      <c r="G47" s="49">
        <f>'Cost Pool Data'!$K$27</f>
        <v>1.3606061934437479</v>
      </c>
      <c r="H47" s="48">
        <f t="shared" si="4"/>
        <v>2.6331935400217129E-3</v>
      </c>
      <c r="I47" s="75">
        <f t="shared" si="5"/>
        <v>2.6331935400217129E-3</v>
      </c>
      <c r="J47" s="76">
        <f>SUM(I43:I47)</f>
        <v>0.54764196434501866</v>
      </c>
    </row>
    <row r="48" spans="1:10" x14ac:dyDescent="0.25">
      <c r="A48" s="6" t="s">
        <v>243</v>
      </c>
      <c r="B48" t="s">
        <v>249</v>
      </c>
      <c r="C48" s="4">
        <f>C47</f>
        <v>1</v>
      </c>
      <c r="D48" s="4">
        <f>'Conversion Factors'!$K$48</f>
        <v>278.88696895824546</v>
      </c>
      <c r="E48" s="4">
        <f>'Productivity Data'!$I$25</f>
        <v>60.332591436644847</v>
      </c>
      <c r="F48" s="2">
        <f>'Wage Data'!$C$11</f>
        <v>49.154294657004115</v>
      </c>
      <c r="G48" s="4">
        <f>'Cost Pool Data'!$K$48</f>
        <v>1.6214860636540271</v>
      </c>
      <c r="H48" s="2">
        <f t="shared" si="4"/>
        <v>4.7369029491089107E-3</v>
      </c>
      <c r="I48" s="2">
        <f t="shared" si="5"/>
        <v>4.7369029491089107E-3</v>
      </c>
    </row>
    <row r="49" spans="1:10" x14ac:dyDescent="0.25">
      <c r="A49" s="72" t="s">
        <v>85</v>
      </c>
      <c r="B49" s="79" t="s">
        <v>135</v>
      </c>
      <c r="C49" s="49">
        <f>C48</f>
        <v>1</v>
      </c>
      <c r="D49" s="49">
        <v>1</v>
      </c>
      <c r="E49" s="49">
        <f>'Productivity Data'!$I$22</f>
        <v>307.66822713635111</v>
      </c>
      <c r="F49" s="48">
        <f>'Wage Data'!$C$11</f>
        <v>49.154294657004115</v>
      </c>
      <c r="G49" s="49">
        <f>'Cost Pool Data'!$K$57</f>
        <v>1.4957786551922303</v>
      </c>
      <c r="H49" s="48">
        <f t="shared" si="4"/>
        <v>0.23897152280983572</v>
      </c>
      <c r="I49" s="75">
        <f t="shared" si="5"/>
        <v>0.23897152280983572</v>
      </c>
      <c r="J49" s="76">
        <f>SUM(I48:I49)</f>
        <v>0.24370842575894464</v>
      </c>
    </row>
    <row r="51" spans="1:10" x14ac:dyDescent="0.25">
      <c r="A51" s="29" t="s">
        <v>259</v>
      </c>
      <c r="I51" s="80" t="s">
        <v>203</v>
      </c>
      <c r="J51" s="81">
        <f>J16+J28+J36+J42+J47+J49</f>
        <v>0.98333871040338328</v>
      </c>
    </row>
    <row r="52" spans="1:10" x14ac:dyDescent="0.25">
      <c r="A52" s="6" t="s">
        <v>296</v>
      </c>
      <c r="F52"/>
      <c r="G52"/>
      <c r="H52"/>
      <c r="I52"/>
    </row>
    <row r="53" spans="1:10" x14ac:dyDescent="0.25">
      <c r="A53" s="6" t="s">
        <v>297</v>
      </c>
    </row>
    <row r="54" spans="1:10" x14ac:dyDescent="0.25">
      <c r="A54" s="6" t="s">
        <v>298</v>
      </c>
    </row>
    <row r="55" spans="1:10" x14ac:dyDescent="0.25">
      <c r="A55" s="6" t="s">
        <v>299</v>
      </c>
    </row>
    <row r="56" spans="1:10" x14ac:dyDescent="0.25">
      <c r="A56" s="6" t="s">
        <v>277</v>
      </c>
    </row>
    <row r="57" spans="1:10" x14ac:dyDescent="0.25">
      <c r="A57" s="6" t="s">
        <v>300</v>
      </c>
    </row>
    <row r="58" spans="1:10" x14ac:dyDescent="0.25">
      <c r="A58" s="6" t="s">
        <v>301</v>
      </c>
    </row>
  </sheetData>
  <phoneticPr fontId="3" type="noConversion"/>
  <printOptions horizontalCentered="1"/>
  <pageMargins left="0.75" right="0.75" top="1" bottom="1" header="0.5" footer="0.5"/>
  <pageSetup scale="61" orientation="portrait" r:id="rId1"/>
  <headerFooter alignWithMargins="0">
    <oddHeader>&amp;RPage 26 of 50</oddHeader>
    <oddFooter>&amp;R&amp;F</oddFooter>
  </headerFooter>
  <ignoredErrors>
    <ignoredError sqref="G41" formula="1"/>
  </ignoredError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37">
    <pageSetUpPr fitToPage="1"/>
  </sheetPr>
  <dimension ref="A1:J30"/>
  <sheetViews>
    <sheetView zoomScale="75" workbookViewId="0">
      <selection activeCell="O27" sqref="O27"/>
    </sheetView>
  </sheetViews>
  <sheetFormatPr defaultColWidth="9.109375" defaultRowHeight="13.2" x14ac:dyDescent="0.25"/>
  <cols>
    <col min="1" max="1" width="15.6640625" style="6" customWidth="1"/>
    <col min="2" max="2" width="30.6640625" style="6" customWidth="1"/>
    <col min="3" max="5" width="12.6640625" style="4" customWidth="1"/>
    <col min="6" max="6" width="12.6640625" style="2" customWidth="1"/>
    <col min="7" max="7" width="12.6640625" style="4" customWidth="1"/>
    <col min="8" max="9" width="12.6640625" style="2" customWidth="1"/>
    <col min="10" max="10" width="12.6640625" customWidth="1"/>
  </cols>
  <sheetData>
    <row r="1" spans="1:10" ht="15.6" x14ac:dyDescent="0.3">
      <c r="A1" s="5" t="s">
        <v>400</v>
      </c>
      <c r="B1" s="5"/>
    </row>
    <row r="4" spans="1:10" x14ac:dyDescent="0.25">
      <c r="C4" s="8" t="s">
        <v>107</v>
      </c>
      <c r="D4" s="8" t="s">
        <v>108</v>
      </c>
      <c r="E4" s="8" t="s">
        <v>109</v>
      </c>
      <c r="F4" s="50" t="s">
        <v>112</v>
      </c>
      <c r="G4" s="8" t="s">
        <v>156</v>
      </c>
      <c r="H4" s="50" t="s">
        <v>157</v>
      </c>
      <c r="I4" s="50" t="s">
        <v>192</v>
      </c>
    </row>
    <row r="5" spans="1:10" x14ac:dyDescent="0.25">
      <c r="A5" s="70"/>
      <c r="F5" s="50" t="s">
        <v>155</v>
      </c>
      <c r="H5" s="50" t="s">
        <v>3</v>
      </c>
      <c r="I5" s="50" t="s">
        <v>3</v>
      </c>
    </row>
    <row r="6" spans="1:10" s="6" customFormat="1" x14ac:dyDescent="0.25">
      <c r="C6" s="8"/>
      <c r="D6" s="8" t="s">
        <v>202</v>
      </c>
      <c r="E6" s="8" t="s">
        <v>101</v>
      </c>
      <c r="F6" s="50" t="s">
        <v>103</v>
      </c>
      <c r="G6" s="8" t="s">
        <v>105</v>
      </c>
      <c r="H6" s="50" t="s">
        <v>207</v>
      </c>
      <c r="I6" s="50" t="s">
        <v>206</v>
      </c>
    </row>
    <row r="7" spans="1:10" s="6" customFormat="1" x14ac:dyDescent="0.25">
      <c r="A7" s="6" t="s">
        <v>84</v>
      </c>
      <c r="B7" s="6" t="s">
        <v>76</v>
      </c>
      <c r="C7" s="8" t="s">
        <v>199</v>
      </c>
      <c r="D7" s="8" t="s">
        <v>81</v>
      </c>
      <c r="E7" s="8" t="s">
        <v>102</v>
      </c>
      <c r="F7" s="50" t="s">
        <v>104</v>
      </c>
      <c r="G7" s="8" t="s">
        <v>81</v>
      </c>
      <c r="H7" s="50" t="s">
        <v>76</v>
      </c>
      <c r="I7" s="50" t="s">
        <v>84</v>
      </c>
    </row>
    <row r="8" spans="1:10" x14ac:dyDescent="0.25">
      <c r="A8" s="72"/>
      <c r="B8" s="72"/>
      <c r="C8" s="49"/>
      <c r="D8" s="49"/>
      <c r="E8" s="49"/>
      <c r="F8" s="48"/>
      <c r="G8" s="49"/>
      <c r="H8" s="48"/>
      <c r="I8" s="48"/>
      <c r="J8" s="79"/>
    </row>
    <row r="9" spans="1:10" x14ac:dyDescent="0.25">
      <c r="A9" s="6" t="s">
        <v>243</v>
      </c>
      <c r="B9" t="s">
        <v>211</v>
      </c>
      <c r="C9" s="4">
        <f>'Mailer Arrival Profile'!$C$17</f>
        <v>0.16173006923131825</v>
      </c>
      <c r="D9" s="4">
        <f>'Conversion Factors'!$K$20</f>
        <v>729.1358506840312</v>
      </c>
      <c r="E9" s="4">
        <f>'Productivity Data'!$I$38</f>
        <v>46.475052307166727</v>
      </c>
      <c r="F9" s="2">
        <f>'Wage Data'!$C$11</f>
        <v>49.154294657004115</v>
      </c>
      <c r="G9" s="4">
        <f>'Cost Pool Data'!$K$43</f>
        <v>1.386023903258889</v>
      </c>
      <c r="H9" s="2">
        <f t="shared" ref="H9:H15" si="0">(F9*G9)/(D9*E9)</f>
        <v>2.0104989424117353E-3</v>
      </c>
      <c r="I9" s="2">
        <f t="shared" ref="I9:I15" si="1">C9*H9</f>
        <v>3.2515813314574208E-4</v>
      </c>
    </row>
    <row r="10" spans="1:10" x14ac:dyDescent="0.25">
      <c r="A10" s="6" t="s">
        <v>131</v>
      </c>
      <c r="B10" t="s">
        <v>212</v>
      </c>
      <c r="C10" s="4">
        <f>'Mailer Arrival Profile'!$D$17</f>
        <v>0.68745985297266432</v>
      </c>
      <c r="D10" s="4">
        <f>'Conversion Factors'!$K$21</f>
        <v>1166.2220689128642</v>
      </c>
      <c r="E10" s="4">
        <f>'Productivity Data'!$I$38</f>
        <v>46.475052307166727</v>
      </c>
      <c r="F10" s="2">
        <f>'Wage Data'!$C$11</f>
        <v>49.154294657004115</v>
      </c>
      <c r="G10" s="4">
        <f>'Cost Pool Data'!$K$43</f>
        <v>1.386023903258889</v>
      </c>
      <c r="H10" s="2">
        <f t="shared" si="0"/>
        <v>1.256987751947828E-3</v>
      </c>
      <c r="I10" s="2">
        <f t="shared" si="1"/>
        <v>8.6412861514249372E-4</v>
      </c>
    </row>
    <row r="11" spans="1:10" x14ac:dyDescent="0.25">
      <c r="B11" t="s">
        <v>213</v>
      </c>
      <c r="C11" s="4">
        <f>'Mailer Arrival Profile'!$E$17</f>
        <v>9.6709728070801512E-2</v>
      </c>
      <c r="D11" s="4">
        <f>'Conversion Factors'!$K$22</f>
        <v>751.10297650127052</v>
      </c>
      <c r="E11" s="4">
        <f>'Productivity Data'!$I$38</f>
        <v>46.475052307166727</v>
      </c>
      <c r="F11" s="2">
        <f>'Wage Data'!$C$11</f>
        <v>49.154294657004115</v>
      </c>
      <c r="G11" s="4">
        <f>'Cost Pool Data'!$K$43</f>
        <v>1.386023903258889</v>
      </c>
      <c r="H11" s="2">
        <f t="shared" si="0"/>
        <v>1.9516989048601464E-3</v>
      </c>
      <c r="I11" s="2">
        <f t="shared" si="1"/>
        <v>1.8874827036510588E-4</v>
      </c>
    </row>
    <row r="12" spans="1:10" x14ac:dyDescent="0.25">
      <c r="B12" t="s">
        <v>214</v>
      </c>
      <c r="C12" s="4">
        <f>'Mailer Arrival Profile'!$F$17</f>
        <v>5.41003497252159E-2</v>
      </c>
      <c r="D12" s="4">
        <f>'Conversion Factors'!$K$23</f>
        <v>635.38219588437971</v>
      </c>
      <c r="E12" s="4">
        <f>'Productivity Data'!$I$37</f>
        <v>55.996737364805647</v>
      </c>
      <c r="F12" s="2">
        <f>'Wage Data'!$C$11</f>
        <v>49.154294657004115</v>
      </c>
      <c r="G12" s="4">
        <f>'Cost Pool Data'!$K$43</f>
        <v>1.386023903258889</v>
      </c>
      <c r="H12" s="2">
        <f t="shared" si="0"/>
        <v>1.9148485213097445E-3</v>
      </c>
      <c r="I12" s="2">
        <f t="shared" si="1"/>
        <v>1.035939746736697E-4</v>
      </c>
    </row>
    <row r="13" spans="1:10" x14ac:dyDescent="0.25">
      <c r="B13" t="s">
        <v>141</v>
      </c>
      <c r="C13" s="4">
        <f>SUM(C9:C12)</f>
        <v>1</v>
      </c>
      <c r="D13" s="4">
        <v>1</v>
      </c>
      <c r="E13" s="4">
        <f>'Productivity Data'!$I$21</f>
        <v>402.79881226580181</v>
      </c>
      <c r="F13" s="2">
        <f>'Wage Data'!$C$11</f>
        <v>49.154294657004115</v>
      </c>
      <c r="G13" s="4">
        <f>'Cost Pool Data'!$K$41</f>
        <v>1.4774316541145593</v>
      </c>
      <c r="H13" s="2">
        <f t="shared" si="0"/>
        <v>0.18029375621398216</v>
      </c>
      <c r="I13" s="2">
        <f t="shared" si="1"/>
        <v>0.18029375621398216</v>
      </c>
    </row>
    <row r="14" spans="1:10" x14ac:dyDescent="0.25">
      <c r="A14" s="72"/>
      <c r="B14" s="79" t="s">
        <v>248</v>
      </c>
      <c r="C14" s="49">
        <f>C13</f>
        <v>1</v>
      </c>
      <c r="D14" s="49">
        <f>'Conversion Factors'!$K$48</f>
        <v>278.88696895824546</v>
      </c>
      <c r="E14" s="49">
        <f>'Productivity Data'!$I$44</f>
        <v>70.608822220868689</v>
      </c>
      <c r="F14" s="48">
        <f>'Wage Data'!$C$11</f>
        <v>49.154294657004115</v>
      </c>
      <c r="G14" s="49">
        <f>'Cost Pool Data'!$K$43</f>
        <v>1.386023903258889</v>
      </c>
      <c r="H14" s="48">
        <f t="shared" si="0"/>
        <v>3.4597522390377106E-3</v>
      </c>
      <c r="I14" s="75">
        <f t="shared" si="1"/>
        <v>3.4597522390377106E-3</v>
      </c>
      <c r="J14" s="76">
        <f>SUM(I9:I14)</f>
        <v>0.1852351374463469</v>
      </c>
    </row>
    <row r="15" spans="1:10" x14ac:dyDescent="0.25">
      <c r="A15" s="6" t="s">
        <v>243</v>
      </c>
      <c r="B15" t="s">
        <v>249</v>
      </c>
      <c r="C15" s="4">
        <f>C14</f>
        <v>1</v>
      </c>
      <c r="D15" s="4">
        <f>'Conversion Factors'!$K$48</f>
        <v>278.88696895824546</v>
      </c>
      <c r="E15" s="4">
        <f>'Productivity Data'!$I$27</f>
        <v>81.873572020007202</v>
      </c>
      <c r="F15" s="2">
        <f>'Wage Data'!$C$11</f>
        <v>49.154294657004115</v>
      </c>
      <c r="G15" s="4">
        <f>'Cost Pool Data'!$K$27</f>
        <v>1.3606061934437479</v>
      </c>
      <c r="H15" s="2">
        <f t="shared" si="0"/>
        <v>2.9290173983776589E-3</v>
      </c>
      <c r="I15" s="2">
        <f t="shared" si="1"/>
        <v>2.9290173983776589E-3</v>
      </c>
    </row>
    <row r="16" spans="1:10" x14ac:dyDescent="0.25">
      <c r="A16" s="6" t="s">
        <v>241</v>
      </c>
      <c r="B16" t="s">
        <v>204</v>
      </c>
      <c r="C16" s="4">
        <f>C15*'Other Inputs'!$B$30*(1+'Other Inputs'!$B$10)</f>
        <v>0.42375228317471153</v>
      </c>
      <c r="D16" s="4">
        <v>1</v>
      </c>
      <c r="E16" s="4">
        <f>'Productivity Data'!$I$10</f>
        <v>245.20305602978507</v>
      </c>
      <c r="F16" s="2">
        <f>'Wage Data'!$C$11</f>
        <v>49.154294657004115</v>
      </c>
      <c r="G16" s="4">
        <f>'Cost Pool Data'!$L$14</f>
        <v>1.8052502472456198</v>
      </c>
      <c r="H16" s="2">
        <f t="shared" ref="H16:H21" si="2">(F16*G16)/(D16*E16)</f>
        <v>0.36188701731336453</v>
      </c>
      <c r="I16" s="2">
        <f t="shared" ref="I16:I21" si="3">C16*H16</f>
        <v>0.15335044983782459</v>
      </c>
    </row>
    <row r="17" spans="1:10" x14ac:dyDescent="0.25">
      <c r="B17" s="9" t="s">
        <v>363</v>
      </c>
      <c r="C17" s="4">
        <f>C15*'Other Inputs'!$B$31*(1+'Other Inputs'!$B$11)</f>
        <v>0.56721575232661026</v>
      </c>
      <c r="D17" s="4">
        <v>1</v>
      </c>
      <c r="E17" s="4">
        <f>'Productivity Data'!$I$11</f>
        <v>190.80521220652753</v>
      </c>
      <c r="F17" s="2">
        <f>'Wage Data'!$C$11</f>
        <v>49.154294657004115</v>
      </c>
      <c r="G17" s="4">
        <f>'Cost Pool Data'!$L$11</f>
        <v>1.6056412614911089</v>
      </c>
      <c r="H17" s="2">
        <f t="shared" si="2"/>
        <v>0.41363735700967258</v>
      </c>
      <c r="I17" s="2">
        <f t="shared" si="3"/>
        <v>0.23462162464663211</v>
      </c>
    </row>
    <row r="18" spans="1:10" x14ac:dyDescent="0.25">
      <c r="B18" t="s">
        <v>198</v>
      </c>
      <c r="C18" s="4">
        <f>C15*'Other Inputs'!$B$32</f>
        <v>0.11391845469353627</v>
      </c>
      <c r="D18" s="4">
        <v>1</v>
      </c>
      <c r="E18" s="4">
        <f>'Productivity Data'!$I$16</f>
        <v>47.994690148863093</v>
      </c>
      <c r="F18" s="2">
        <f>'Wage Data'!$C$11</f>
        <v>49.154294657004115</v>
      </c>
      <c r="G18" s="4">
        <f>'Cost Pool Data'!$K$16</f>
        <v>1.3208756008457678</v>
      </c>
      <c r="H18" s="2">
        <f t="shared" si="2"/>
        <v>1.3527894083249588</v>
      </c>
      <c r="I18" s="2">
        <f t="shared" si="3"/>
        <v>0.15410767892216257</v>
      </c>
    </row>
    <row r="19" spans="1:10" x14ac:dyDescent="0.25">
      <c r="A19" s="72"/>
      <c r="B19" s="79" t="s">
        <v>248</v>
      </c>
      <c r="C19" s="49">
        <f>C15</f>
        <v>1</v>
      </c>
      <c r="D19" s="49">
        <f>'Conversion Factors'!$K$48</f>
        <v>278.88696895824546</v>
      </c>
      <c r="E19" s="49">
        <f>'Productivity Data'!$I$31</f>
        <v>91.071587890934111</v>
      </c>
      <c r="F19" s="48">
        <f>'Wage Data'!$C$11</f>
        <v>49.154294657004115</v>
      </c>
      <c r="G19" s="49">
        <f>'Cost Pool Data'!$K$27</f>
        <v>1.3606061934437479</v>
      </c>
      <c r="H19" s="48">
        <f t="shared" si="2"/>
        <v>2.6331935400217129E-3</v>
      </c>
      <c r="I19" s="75">
        <f t="shared" si="3"/>
        <v>2.6331935400217129E-3</v>
      </c>
      <c r="J19" s="76">
        <f>SUM(I15:I19)</f>
        <v>0.54764196434501866</v>
      </c>
    </row>
    <row r="20" spans="1:10" x14ac:dyDescent="0.25">
      <c r="A20" s="6" t="s">
        <v>243</v>
      </c>
      <c r="B20" t="s">
        <v>249</v>
      </c>
      <c r="C20" s="4">
        <f>C19</f>
        <v>1</v>
      </c>
      <c r="D20" s="4">
        <f>'Conversion Factors'!$K$48</f>
        <v>278.88696895824546</v>
      </c>
      <c r="E20" s="4">
        <f>'Productivity Data'!$I$25</f>
        <v>60.332591436644847</v>
      </c>
      <c r="F20" s="2">
        <f>'Wage Data'!$C$11</f>
        <v>49.154294657004115</v>
      </c>
      <c r="G20" s="4">
        <f>'Cost Pool Data'!$K$48</f>
        <v>1.6214860636540271</v>
      </c>
      <c r="H20" s="2">
        <f t="shared" si="2"/>
        <v>4.7369029491089107E-3</v>
      </c>
      <c r="I20" s="2">
        <f t="shared" si="3"/>
        <v>4.7369029491089107E-3</v>
      </c>
    </row>
    <row r="21" spans="1:10" x14ac:dyDescent="0.25">
      <c r="A21" s="72" t="s">
        <v>85</v>
      </c>
      <c r="B21" s="79" t="s">
        <v>135</v>
      </c>
      <c r="C21" s="143">
        <f>C20</f>
        <v>1</v>
      </c>
      <c r="D21" s="143">
        <v>1</v>
      </c>
      <c r="E21" s="143">
        <f>'Productivity Data'!$I$22</f>
        <v>307.66822713635111</v>
      </c>
      <c r="F21" s="144">
        <f>'Wage Data'!$C$11</f>
        <v>49.154294657004115</v>
      </c>
      <c r="G21" s="143">
        <f>'Cost Pool Data'!$K$57</f>
        <v>1.4957786551922303</v>
      </c>
      <c r="H21" s="144">
        <f t="shared" si="2"/>
        <v>0.23897152280983572</v>
      </c>
      <c r="I21" s="144">
        <f t="shared" si="3"/>
        <v>0.23897152280983572</v>
      </c>
      <c r="J21" s="145">
        <f>SUM(I20:I21)</f>
        <v>0.24370842575894464</v>
      </c>
    </row>
    <row r="22" spans="1:10" x14ac:dyDescent="0.25">
      <c r="C22" s="146"/>
      <c r="D22" s="146"/>
      <c r="E22" s="146"/>
      <c r="F22" s="147"/>
      <c r="G22" s="146"/>
      <c r="H22" s="147"/>
      <c r="I22" s="147"/>
      <c r="J22" s="139"/>
    </row>
    <row r="23" spans="1:10" x14ac:dyDescent="0.25">
      <c r="A23" s="29" t="s">
        <v>259</v>
      </c>
      <c r="C23" s="146"/>
      <c r="D23" s="146"/>
      <c r="E23" s="146"/>
      <c r="F23" s="147"/>
      <c r="G23" s="146"/>
      <c r="H23" s="147"/>
      <c r="I23" s="148" t="s">
        <v>203</v>
      </c>
      <c r="J23" s="149">
        <f>J14+J19+J21</f>
        <v>0.97658552755031014</v>
      </c>
    </row>
    <row r="24" spans="1:10" x14ac:dyDescent="0.25">
      <c r="A24" s="6" t="s">
        <v>296</v>
      </c>
      <c r="F24"/>
      <c r="G24"/>
      <c r="H24"/>
      <c r="I24"/>
    </row>
    <row r="25" spans="1:10" x14ac:dyDescent="0.25">
      <c r="A25" s="6" t="s">
        <v>297</v>
      </c>
    </row>
    <row r="26" spans="1:10" x14ac:dyDescent="0.25">
      <c r="A26" s="6" t="s">
        <v>298</v>
      </c>
    </row>
    <row r="27" spans="1:10" x14ac:dyDescent="0.25">
      <c r="A27" s="6" t="s">
        <v>299</v>
      </c>
    </row>
    <row r="28" spans="1:10" x14ac:dyDescent="0.25">
      <c r="A28" s="6" t="s">
        <v>277</v>
      </c>
    </row>
    <row r="29" spans="1:10" x14ac:dyDescent="0.25">
      <c r="A29" s="6" t="s">
        <v>300</v>
      </c>
    </row>
    <row r="30" spans="1:10" x14ac:dyDescent="0.25">
      <c r="A30" s="6" t="s">
        <v>301</v>
      </c>
    </row>
  </sheetData>
  <phoneticPr fontId="3" type="noConversion"/>
  <printOptions horizontalCentered="1"/>
  <pageMargins left="0.75" right="0.75" top="1" bottom="1" header="0.5" footer="0.5"/>
  <pageSetup scale="61" orientation="portrait" r:id="rId1"/>
  <headerFooter alignWithMargins="0">
    <oddHeader>&amp;RPage 27 of 50</oddHeader>
    <oddFooter>&amp;R&amp;F</oddFooter>
  </headerFooter>
  <ignoredErrors>
    <ignoredError sqref="G13" formula="1"/>
  </ignoredError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38">
    <pageSetUpPr fitToPage="1"/>
  </sheetPr>
  <dimension ref="A1:J34"/>
  <sheetViews>
    <sheetView zoomScale="75" workbookViewId="0">
      <selection activeCell="D25" sqref="D25:J28"/>
    </sheetView>
  </sheetViews>
  <sheetFormatPr defaultColWidth="9.109375" defaultRowHeight="13.2" x14ac:dyDescent="0.25"/>
  <cols>
    <col min="1" max="1" width="15.6640625" style="6" customWidth="1"/>
    <col min="2" max="2" width="30.6640625" style="6" customWidth="1"/>
    <col min="3" max="5" width="12.6640625" style="4" customWidth="1"/>
    <col min="6" max="6" width="12.6640625" style="2" customWidth="1"/>
    <col min="7" max="7" width="12.6640625" style="4" customWidth="1"/>
    <col min="8" max="9" width="12.6640625" style="2" customWidth="1"/>
    <col min="10" max="10" width="12.6640625" customWidth="1"/>
  </cols>
  <sheetData>
    <row r="1" spans="1:10" ht="15.6" x14ac:dyDescent="0.3">
      <c r="A1" s="5" t="s">
        <v>401</v>
      </c>
      <c r="B1" s="5"/>
    </row>
    <row r="4" spans="1:10" x14ac:dyDescent="0.25">
      <c r="C4" s="8" t="s">
        <v>107</v>
      </c>
      <c r="D4" s="8" t="s">
        <v>108</v>
      </c>
      <c r="E4" s="8" t="s">
        <v>109</v>
      </c>
      <c r="F4" s="50" t="s">
        <v>112</v>
      </c>
      <c r="G4" s="8" t="s">
        <v>156</v>
      </c>
      <c r="H4" s="50" t="s">
        <v>157</v>
      </c>
      <c r="I4" s="50" t="s">
        <v>192</v>
      </c>
    </row>
    <row r="5" spans="1:10" x14ac:dyDescent="0.25">
      <c r="A5" s="70"/>
      <c r="F5" s="50" t="s">
        <v>155</v>
      </c>
      <c r="H5" s="50" t="s">
        <v>3</v>
      </c>
      <c r="I5" s="50" t="s">
        <v>3</v>
      </c>
    </row>
    <row r="6" spans="1:10" s="6" customFormat="1" x14ac:dyDescent="0.25">
      <c r="C6" s="8"/>
      <c r="D6" s="8" t="s">
        <v>202</v>
      </c>
      <c r="E6" s="8" t="s">
        <v>101</v>
      </c>
      <c r="F6" s="50" t="s">
        <v>103</v>
      </c>
      <c r="G6" s="8" t="s">
        <v>105</v>
      </c>
      <c r="H6" s="50" t="s">
        <v>207</v>
      </c>
      <c r="I6" s="50" t="s">
        <v>206</v>
      </c>
    </row>
    <row r="7" spans="1:10" s="6" customFormat="1" x14ac:dyDescent="0.25">
      <c r="A7" s="6" t="s">
        <v>84</v>
      </c>
      <c r="B7" s="6" t="s">
        <v>76</v>
      </c>
      <c r="C7" s="8" t="s">
        <v>199</v>
      </c>
      <c r="D7" s="8" t="s">
        <v>81</v>
      </c>
      <c r="E7" s="8" t="s">
        <v>102</v>
      </c>
      <c r="F7" s="50" t="s">
        <v>104</v>
      </c>
      <c r="G7" s="8" t="s">
        <v>81</v>
      </c>
      <c r="H7" s="50" t="s">
        <v>76</v>
      </c>
      <c r="I7" s="50" t="s">
        <v>84</v>
      </c>
    </row>
    <row r="8" spans="1:10" x14ac:dyDescent="0.25">
      <c r="A8" s="72"/>
      <c r="B8" s="72"/>
      <c r="C8" s="49"/>
      <c r="D8" s="49"/>
      <c r="E8" s="49"/>
      <c r="F8" s="48"/>
      <c r="G8" s="49"/>
      <c r="H8" s="48"/>
      <c r="I8" s="48"/>
      <c r="J8" s="79"/>
    </row>
    <row r="9" spans="1:10" x14ac:dyDescent="0.25">
      <c r="A9" s="6" t="s">
        <v>243</v>
      </c>
      <c r="B9" t="s">
        <v>211</v>
      </c>
      <c r="C9" s="4">
        <f>'Mailer Arrival Profile'!$C$18</f>
        <v>0</v>
      </c>
      <c r="D9" s="4">
        <f>'Conversion Factors'!$K$20</f>
        <v>729.1358506840312</v>
      </c>
      <c r="E9" s="4">
        <f>'Productivity Data'!$I$38</f>
        <v>46.475052307166727</v>
      </c>
      <c r="F9" s="2">
        <f>'Wage Data'!$C$11</f>
        <v>49.154294657004115</v>
      </c>
      <c r="G9" s="4">
        <f>'Cost Pool Data'!$K$43</f>
        <v>1.386023903258889</v>
      </c>
      <c r="H9" s="2">
        <f t="shared" ref="H9:H19" si="0">(F9*G9)/(D9*E9)</f>
        <v>2.0104989424117353E-3</v>
      </c>
      <c r="I9" s="2">
        <f t="shared" ref="I9:I19" si="1">C9*H9</f>
        <v>0</v>
      </c>
    </row>
    <row r="10" spans="1:10" x14ac:dyDescent="0.25">
      <c r="A10" s="6" t="s">
        <v>131</v>
      </c>
      <c r="B10" t="s">
        <v>212</v>
      </c>
      <c r="C10" s="4">
        <f>'Mailer Arrival Profile'!$D$18</f>
        <v>0</v>
      </c>
      <c r="D10" s="4">
        <f>'Conversion Factors'!$K$21</f>
        <v>1166.2220689128642</v>
      </c>
      <c r="E10" s="4">
        <f>'Productivity Data'!$I$38</f>
        <v>46.475052307166727</v>
      </c>
      <c r="F10" s="2">
        <f>'Wage Data'!$C$11</f>
        <v>49.154294657004115</v>
      </c>
      <c r="G10" s="4">
        <f>'Cost Pool Data'!$K$43</f>
        <v>1.386023903258889</v>
      </c>
      <c r="H10" s="2">
        <f t="shared" si="0"/>
        <v>1.256987751947828E-3</v>
      </c>
      <c r="I10" s="2">
        <f t="shared" si="1"/>
        <v>0</v>
      </c>
    </row>
    <row r="11" spans="1:10" x14ac:dyDescent="0.25">
      <c r="B11" t="s">
        <v>213</v>
      </c>
      <c r="C11" s="4">
        <f>'Mailer Arrival Profile'!$E$18</f>
        <v>1</v>
      </c>
      <c r="D11" s="4">
        <f>'Conversion Factors'!$K$22</f>
        <v>751.10297650127052</v>
      </c>
      <c r="E11" s="4">
        <f>'Productivity Data'!$I$38</f>
        <v>46.475052307166727</v>
      </c>
      <c r="F11" s="2">
        <f>'Wage Data'!$C$11</f>
        <v>49.154294657004115</v>
      </c>
      <c r="G11" s="4">
        <f>'Cost Pool Data'!$K$43</f>
        <v>1.386023903258889</v>
      </c>
      <c r="H11" s="2">
        <f t="shared" si="0"/>
        <v>1.9516989048601464E-3</v>
      </c>
      <c r="I11" s="2">
        <f t="shared" si="1"/>
        <v>1.9516989048601464E-3</v>
      </c>
    </row>
    <row r="12" spans="1:10" x14ac:dyDescent="0.25">
      <c r="B12" t="s">
        <v>214</v>
      </c>
      <c r="C12" s="4">
        <f>'Mailer Arrival Profile'!$F$18</f>
        <v>0</v>
      </c>
      <c r="D12" s="4">
        <f>'Conversion Factors'!$K$23</f>
        <v>635.38219588437971</v>
      </c>
      <c r="E12" s="4">
        <f>'Productivity Data'!$I$37</f>
        <v>55.996737364805647</v>
      </c>
      <c r="F12" s="2">
        <f>'Wage Data'!$C$11</f>
        <v>49.154294657004115</v>
      </c>
      <c r="G12" s="4">
        <f>'Cost Pool Data'!$K$43</f>
        <v>1.386023903258889</v>
      </c>
      <c r="H12" s="2">
        <f t="shared" si="0"/>
        <v>1.9148485213097445E-3</v>
      </c>
      <c r="I12" s="2">
        <f t="shared" si="1"/>
        <v>0</v>
      </c>
    </row>
    <row r="13" spans="1:10" x14ac:dyDescent="0.25">
      <c r="B13" t="s">
        <v>143</v>
      </c>
      <c r="C13" s="4">
        <f>(C11+C12)*(1+'Other Inputs'!$B$9)</f>
        <v>1.0423865344574321</v>
      </c>
      <c r="D13" s="4">
        <f>'Mailer Arrival Profile'!$I$18</f>
        <v>78.272727272727266</v>
      </c>
      <c r="E13" s="4">
        <f>'Productivity Data'!$I$19</f>
        <v>3068.1109131264348</v>
      </c>
      <c r="F13" s="2">
        <f>'Wage Data'!$C$11</f>
        <v>49.154294657004115</v>
      </c>
      <c r="G13" s="4">
        <f>'Cost Pool Data'!$K$46</f>
        <v>1.6196174573049362</v>
      </c>
      <c r="H13" s="2">
        <f t="shared" si="0"/>
        <v>3.3150676549165316E-4</v>
      </c>
      <c r="I13" s="2">
        <f t="shared" si="1"/>
        <v>3.4555818843003697E-4</v>
      </c>
    </row>
    <row r="14" spans="1:10" x14ac:dyDescent="0.25">
      <c r="B14" t="s">
        <v>223</v>
      </c>
      <c r="C14" s="4">
        <f>C9</f>
        <v>0</v>
      </c>
      <c r="D14" s="4">
        <f>'Conversion Factors'!$K$20</f>
        <v>729.1358506840312</v>
      </c>
      <c r="E14" s="4">
        <f>'Productivity Data'!$I$45</f>
        <v>55.582256364514194</v>
      </c>
      <c r="F14" s="2">
        <f>'Wage Data'!$C$11</f>
        <v>49.154294657004115</v>
      </c>
      <c r="G14" s="4">
        <f>'Cost Pool Data'!$K$43</f>
        <v>1.386023903258889</v>
      </c>
      <c r="H14" s="2">
        <f t="shared" si="0"/>
        <v>1.681076833212967E-3</v>
      </c>
      <c r="I14" s="2">
        <f t="shared" si="1"/>
        <v>0</v>
      </c>
    </row>
    <row r="15" spans="1:10" x14ac:dyDescent="0.25">
      <c r="B15" t="s">
        <v>224</v>
      </c>
      <c r="C15" s="4">
        <f>C10</f>
        <v>0</v>
      </c>
      <c r="D15" s="4">
        <f>'Conversion Factors'!$K$21</f>
        <v>1166.2220689128642</v>
      </c>
      <c r="E15" s="4">
        <f>'Productivity Data'!$I$44</f>
        <v>70.608822220868689</v>
      </c>
      <c r="F15" s="2">
        <f>'Wage Data'!$C$11</f>
        <v>49.154294657004115</v>
      </c>
      <c r="G15" s="4">
        <f>'Cost Pool Data'!$K$43</f>
        <v>1.386023903258889</v>
      </c>
      <c r="H15" s="2">
        <f t="shared" si="0"/>
        <v>8.2735513330765343E-4</v>
      </c>
      <c r="I15" s="2">
        <f t="shared" si="1"/>
        <v>0</v>
      </c>
    </row>
    <row r="16" spans="1:10" x14ac:dyDescent="0.25">
      <c r="A16" s="72"/>
      <c r="B16" s="79" t="s">
        <v>236</v>
      </c>
      <c r="C16" s="49">
        <f>(C11+C12)</f>
        <v>1</v>
      </c>
      <c r="D16" s="49">
        <f>'Conversion Factors'!$K$45</f>
        <v>911.87462936885288</v>
      </c>
      <c r="E16" s="49">
        <f>'Productivity Data'!$I$44</f>
        <v>70.608822220868689</v>
      </c>
      <c r="F16" s="48">
        <f>'Wage Data'!$C$11</f>
        <v>49.154294657004115</v>
      </c>
      <c r="G16" s="49">
        <f>'Cost Pool Data'!$K$43</f>
        <v>1.386023903258889</v>
      </c>
      <c r="H16" s="48">
        <f t="shared" si="0"/>
        <v>1.0581277120952082E-3</v>
      </c>
      <c r="I16" s="75">
        <f t="shared" si="1"/>
        <v>1.0581277120952082E-3</v>
      </c>
      <c r="J16" s="76">
        <f>SUM(I9:I16)</f>
        <v>3.3553848053853915E-3</v>
      </c>
    </row>
    <row r="17" spans="1:10" x14ac:dyDescent="0.25">
      <c r="A17" s="6" t="s">
        <v>243</v>
      </c>
      <c r="B17" t="s">
        <v>211</v>
      </c>
      <c r="C17" s="4">
        <f>C14</f>
        <v>0</v>
      </c>
      <c r="D17" s="4">
        <f>'Conversion Factors'!$K$20</f>
        <v>729.1358506840312</v>
      </c>
      <c r="E17" s="4">
        <f>'Productivity Data'!$I$28</f>
        <v>58.156985400220201</v>
      </c>
      <c r="F17" s="2">
        <f>'Wage Data'!$C$11</f>
        <v>49.154294657004115</v>
      </c>
      <c r="G17" s="4">
        <f>'Cost Pool Data'!$K$27</f>
        <v>1.3606061934437479</v>
      </c>
      <c r="H17" s="2">
        <f t="shared" si="0"/>
        <v>1.5771883957355554E-3</v>
      </c>
      <c r="I17" s="2">
        <f t="shared" si="1"/>
        <v>0</v>
      </c>
    </row>
    <row r="18" spans="1:10" x14ac:dyDescent="0.25">
      <c r="A18" s="6" t="s">
        <v>241</v>
      </c>
      <c r="B18" t="s">
        <v>212</v>
      </c>
      <c r="C18" s="4">
        <f>C15</f>
        <v>0</v>
      </c>
      <c r="D18" s="4">
        <f>'Conversion Factors'!$K$21</f>
        <v>1166.2220689128642</v>
      </c>
      <c r="E18" s="4">
        <f>'Productivity Data'!$I$28</f>
        <v>58.156985400220201</v>
      </c>
      <c r="F18" s="2">
        <f>'Wage Data'!$C$11</f>
        <v>49.154294657004115</v>
      </c>
      <c r="G18" s="4">
        <f>'Cost Pool Data'!$K$27</f>
        <v>1.3606061934437479</v>
      </c>
      <c r="H18" s="2">
        <f t="shared" si="0"/>
        <v>9.8607686586279944E-4</v>
      </c>
      <c r="I18" s="2">
        <f t="shared" si="1"/>
        <v>0</v>
      </c>
    </row>
    <row r="19" spans="1:10" x14ac:dyDescent="0.25">
      <c r="B19" t="s">
        <v>217</v>
      </c>
      <c r="C19" s="4">
        <f>C16</f>
        <v>1</v>
      </c>
      <c r="D19" s="4">
        <f>'Conversion Factors'!$K$45</f>
        <v>911.87462936885288</v>
      </c>
      <c r="E19" s="4">
        <f>'Productivity Data'!$I$27</f>
        <v>81.873572020007202</v>
      </c>
      <c r="F19" s="2">
        <f>'Wage Data'!$C$11</f>
        <v>49.154294657004115</v>
      </c>
      <c r="G19" s="4">
        <f>'Cost Pool Data'!$K$27</f>
        <v>1.3606061934437479</v>
      </c>
      <c r="H19" s="2">
        <f t="shared" si="0"/>
        <v>8.9580821524215201E-4</v>
      </c>
      <c r="I19" s="2">
        <f t="shared" si="1"/>
        <v>8.9580821524215201E-4</v>
      </c>
    </row>
    <row r="20" spans="1:10" x14ac:dyDescent="0.25">
      <c r="B20" t="s">
        <v>204</v>
      </c>
      <c r="C20" s="4">
        <f>SUM(C17:C19)*'Other Inputs'!$B$30*(1+'Other Inputs'!$B$10)</f>
        <v>0.42375228317471153</v>
      </c>
      <c r="D20" s="4">
        <v>1</v>
      </c>
      <c r="E20" s="4">
        <f>'Productivity Data'!$I$10</f>
        <v>245.20305602978507</v>
      </c>
      <c r="F20" s="2">
        <f>'Wage Data'!$C$11</f>
        <v>49.154294657004115</v>
      </c>
      <c r="G20" s="4">
        <f>'Cost Pool Data'!$L$14</f>
        <v>1.8052502472456198</v>
      </c>
      <c r="H20" s="2">
        <f t="shared" ref="H20:H25" si="2">(F20*G20)/(D20*E20)</f>
        <v>0.36188701731336453</v>
      </c>
      <c r="I20" s="2">
        <f t="shared" ref="I20:I25" si="3">C20*H20</f>
        <v>0.15335044983782459</v>
      </c>
    </row>
    <row r="21" spans="1:10" x14ac:dyDescent="0.25">
      <c r="B21" s="9" t="s">
        <v>363</v>
      </c>
      <c r="C21" s="4">
        <f>SUM(C17:C19)*'Other Inputs'!$B$31*(1+'Other Inputs'!$B$11)</f>
        <v>0.56721575232661026</v>
      </c>
      <c r="D21" s="4">
        <v>1</v>
      </c>
      <c r="E21" s="4">
        <f>'Productivity Data'!$I$11</f>
        <v>190.80521220652753</v>
      </c>
      <c r="F21" s="2">
        <f>'Wage Data'!$C$11</f>
        <v>49.154294657004115</v>
      </c>
      <c r="G21" s="4">
        <f>'Cost Pool Data'!$L$11</f>
        <v>1.6056412614911089</v>
      </c>
      <c r="H21" s="2">
        <f t="shared" si="2"/>
        <v>0.41363735700967258</v>
      </c>
      <c r="I21" s="2">
        <f t="shared" si="3"/>
        <v>0.23462162464663211</v>
      </c>
    </row>
    <row r="22" spans="1:10" x14ac:dyDescent="0.25">
      <c r="B22" t="s">
        <v>198</v>
      </c>
      <c r="C22" s="4">
        <f>SUM(C17:C19)*'Other Inputs'!$B$32</f>
        <v>0.11391845469353627</v>
      </c>
      <c r="D22" s="4">
        <v>1</v>
      </c>
      <c r="E22" s="4">
        <f>'Productivity Data'!$I$16</f>
        <v>47.994690148863093</v>
      </c>
      <c r="F22" s="2">
        <f>'Wage Data'!$C$11</f>
        <v>49.154294657004115</v>
      </c>
      <c r="G22" s="4">
        <f>'Cost Pool Data'!$K$16</f>
        <v>1.3208756008457678</v>
      </c>
      <c r="H22" s="2">
        <f t="shared" si="2"/>
        <v>1.3527894083249588</v>
      </c>
      <c r="I22" s="2">
        <f t="shared" si="3"/>
        <v>0.15410767892216257</v>
      </c>
    </row>
    <row r="23" spans="1:10" x14ac:dyDescent="0.25">
      <c r="A23" s="72"/>
      <c r="B23" s="79" t="s">
        <v>248</v>
      </c>
      <c r="C23" s="49">
        <f>SUM(C17:C19)</f>
        <v>1</v>
      </c>
      <c r="D23" s="49">
        <f>'Conversion Factors'!$K$48</f>
        <v>278.88696895824546</v>
      </c>
      <c r="E23" s="49">
        <f>'Productivity Data'!$I$31</f>
        <v>91.071587890934111</v>
      </c>
      <c r="F23" s="48">
        <f>'Wage Data'!$C$11</f>
        <v>49.154294657004115</v>
      </c>
      <c r="G23" s="49">
        <f>'Cost Pool Data'!$K$27</f>
        <v>1.3606061934437479</v>
      </c>
      <c r="H23" s="48">
        <f t="shared" si="2"/>
        <v>2.6331935400217129E-3</v>
      </c>
      <c r="I23" s="75">
        <f t="shared" si="3"/>
        <v>2.6331935400217129E-3</v>
      </c>
      <c r="J23" s="76">
        <f>SUM(I17:I23)</f>
        <v>0.54560875516188312</v>
      </c>
    </row>
    <row r="24" spans="1:10" x14ac:dyDescent="0.25">
      <c r="A24" s="6" t="s">
        <v>243</v>
      </c>
      <c r="B24" t="s">
        <v>249</v>
      </c>
      <c r="C24" s="4">
        <f>C23</f>
        <v>1</v>
      </c>
      <c r="D24" s="4">
        <f>'Conversion Factors'!$K$48</f>
        <v>278.88696895824546</v>
      </c>
      <c r="E24" s="4">
        <f>'Productivity Data'!$I$25</f>
        <v>60.332591436644847</v>
      </c>
      <c r="F24" s="2">
        <f>'Wage Data'!$C$11</f>
        <v>49.154294657004115</v>
      </c>
      <c r="G24" s="4">
        <f>'Cost Pool Data'!$K$48</f>
        <v>1.6214860636540271</v>
      </c>
      <c r="H24" s="2">
        <f t="shared" si="2"/>
        <v>4.7369029491089107E-3</v>
      </c>
      <c r="I24" s="2">
        <f t="shared" si="3"/>
        <v>4.7369029491089107E-3</v>
      </c>
    </row>
    <row r="25" spans="1:10" x14ac:dyDescent="0.25">
      <c r="A25" s="72" t="s">
        <v>85</v>
      </c>
      <c r="B25" s="79" t="s">
        <v>135</v>
      </c>
      <c r="C25" s="49">
        <f>C24</f>
        <v>1</v>
      </c>
      <c r="D25" s="49">
        <v>1</v>
      </c>
      <c r="E25" s="49">
        <f>'Productivity Data'!$I$22</f>
        <v>307.66822713635111</v>
      </c>
      <c r="F25" s="48">
        <f>'Wage Data'!$C$11</f>
        <v>49.154294657004115</v>
      </c>
      <c r="G25" s="49">
        <f>'Cost Pool Data'!$K$57</f>
        <v>1.4957786551922303</v>
      </c>
      <c r="H25" s="48">
        <f t="shared" si="2"/>
        <v>0.23897152280983572</v>
      </c>
      <c r="I25" s="75">
        <f t="shared" si="3"/>
        <v>0.23897152280983572</v>
      </c>
      <c r="J25" s="76">
        <f>SUM(I24:I25)</f>
        <v>0.24370842575894464</v>
      </c>
    </row>
    <row r="27" spans="1:10" x14ac:dyDescent="0.25">
      <c r="A27" s="29" t="s">
        <v>259</v>
      </c>
      <c r="I27" s="80" t="s">
        <v>203</v>
      </c>
      <c r="J27" s="81">
        <f>J16+J23+J25</f>
        <v>0.79267256572621325</v>
      </c>
    </row>
    <row r="28" spans="1:10" x14ac:dyDescent="0.25">
      <c r="A28" s="6" t="s">
        <v>296</v>
      </c>
      <c r="F28"/>
      <c r="G28"/>
      <c r="H28"/>
      <c r="I28"/>
    </row>
    <row r="29" spans="1:10" x14ac:dyDescent="0.25">
      <c r="A29" s="6" t="s">
        <v>297</v>
      </c>
    </row>
    <row r="30" spans="1:10" x14ac:dyDescent="0.25">
      <c r="A30" s="6" t="s">
        <v>298</v>
      </c>
    </row>
    <row r="31" spans="1:10" x14ac:dyDescent="0.25">
      <c r="A31" s="6" t="s">
        <v>299</v>
      </c>
    </row>
    <row r="32" spans="1:10" x14ac:dyDescent="0.25">
      <c r="A32" s="6" t="s">
        <v>277</v>
      </c>
    </row>
    <row r="33" spans="1:1" x14ac:dyDescent="0.25">
      <c r="A33" s="6" t="s">
        <v>300</v>
      </c>
    </row>
    <row r="34" spans="1:1" x14ac:dyDescent="0.25">
      <c r="A34" s="6" t="s">
        <v>301</v>
      </c>
    </row>
  </sheetData>
  <phoneticPr fontId="3" type="noConversion"/>
  <printOptions horizontalCentered="1"/>
  <pageMargins left="0.75" right="0.75" top="1" bottom="1" header="0.5" footer="0.5"/>
  <pageSetup scale="61" orientation="portrait" r:id="rId1"/>
  <headerFooter alignWithMargins="0">
    <oddHeader>&amp;RPage 28 of 50</oddHeader>
    <oddFooter>&amp;R&amp;F</oddFooter>
  </headerFooter>
  <ignoredErrors>
    <ignoredError sqref="G13" formula="1"/>
  </ignoredError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39">
    <pageSetUpPr fitToPage="1"/>
  </sheetPr>
  <dimension ref="A1:J38"/>
  <sheetViews>
    <sheetView zoomScale="75" workbookViewId="0">
      <selection activeCell="D28" sqref="D28:J31"/>
    </sheetView>
  </sheetViews>
  <sheetFormatPr defaultColWidth="9.109375" defaultRowHeight="13.2" x14ac:dyDescent="0.25"/>
  <cols>
    <col min="1" max="1" width="15.6640625" style="6" customWidth="1"/>
    <col min="2" max="2" width="30.6640625" style="6" customWidth="1"/>
    <col min="3" max="5" width="12.6640625" style="4" customWidth="1"/>
    <col min="6" max="6" width="12.6640625" style="2" customWidth="1"/>
    <col min="7" max="7" width="12.6640625" style="4" customWidth="1"/>
    <col min="8" max="9" width="12.6640625" style="2" customWidth="1"/>
    <col min="10" max="10" width="12.6640625" customWidth="1"/>
  </cols>
  <sheetData>
    <row r="1" spans="1:10" ht="15.6" x14ac:dyDescent="0.3">
      <c r="A1" s="5" t="s">
        <v>402</v>
      </c>
      <c r="B1" s="5"/>
    </row>
    <row r="4" spans="1:10" x14ac:dyDescent="0.25">
      <c r="C4" s="8" t="s">
        <v>107</v>
      </c>
      <c r="D4" s="8" t="s">
        <v>108</v>
      </c>
      <c r="E4" s="8" t="s">
        <v>109</v>
      </c>
      <c r="F4" s="50" t="s">
        <v>112</v>
      </c>
      <c r="G4" s="8" t="s">
        <v>156</v>
      </c>
      <c r="H4" s="50" t="s">
        <v>157</v>
      </c>
      <c r="I4" s="50" t="s">
        <v>192</v>
      </c>
    </row>
    <row r="5" spans="1:10" x14ac:dyDescent="0.25">
      <c r="A5" s="70"/>
      <c r="F5" s="50" t="s">
        <v>155</v>
      </c>
      <c r="H5" s="50" t="s">
        <v>3</v>
      </c>
      <c r="I5" s="50" t="s">
        <v>3</v>
      </c>
    </row>
    <row r="6" spans="1:10" s="6" customFormat="1" x14ac:dyDescent="0.25">
      <c r="C6" s="8"/>
      <c r="D6" s="8" t="s">
        <v>202</v>
      </c>
      <c r="E6" s="8" t="s">
        <v>101</v>
      </c>
      <c r="F6" s="50" t="s">
        <v>103</v>
      </c>
      <c r="G6" s="8" t="s">
        <v>105</v>
      </c>
      <c r="H6" s="50" t="s">
        <v>207</v>
      </c>
      <c r="I6" s="50" t="s">
        <v>206</v>
      </c>
    </row>
    <row r="7" spans="1:10" s="6" customFormat="1" x14ac:dyDescent="0.25">
      <c r="A7" s="6" t="s">
        <v>84</v>
      </c>
      <c r="B7" s="6" t="s">
        <v>76</v>
      </c>
      <c r="C7" s="8" t="s">
        <v>199</v>
      </c>
      <c r="D7" s="8" t="s">
        <v>81</v>
      </c>
      <c r="E7" s="8" t="s">
        <v>102</v>
      </c>
      <c r="F7" s="50" t="s">
        <v>104</v>
      </c>
      <c r="G7" s="8" t="s">
        <v>81</v>
      </c>
      <c r="H7" s="50" t="s">
        <v>76</v>
      </c>
      <c r="I7" s="50" t="s">
        <v>84</v>
      </c>
    </row>
    <row r="8" spans="1:10" x14ac:dyDescent="0.25">
      <c r="A8" s="72"/>
      <c r="B8" s="72"/>
      <c r="C8" s="49"/>
      <c r="D8" s="49"/>
      <c r="E8" s="49"/>
      <c r="F8" s="48"/>
      <c r="G8" s="49"/>
      <c r="H8" s="48"/>
      <c r="I8" s="48"/>
      <c r="J8" s="79"/>
    </row>
    <row r="9" spans="1:10" x14ac:dyDescent="0.25">
      <c r="A9" s="6" t="s">
        <v>243</v>
      </c>
      <c r="B9" t="s">
        <v>211</v>
      </c>
      <c r="C9" s="4">
        <f>'Mailer Arrival Profile'!$C$19</f>
        <v>0</v>
      </c>
      <c r="D9" s="4">
        <f>'Conversion Factors'!$K$20</f>
        <v>729.1358506840312</v>
      </c>
      <c r="E9" s="4">
        <f>'Productivity Data'!$I$38</f>
        <v>46.475052307166727</v>
      </c>
      <c r="F9" s="2">
        <f>'Wage Data'!$C$11</f>
        <v>49.154294657004115</v>
      </c>
      <c r="G9" s="4">
        <f>'Cost Pool Data'!$K$43</f>
        <v>1.386023903258889</v>
      </c>
      <c r="H9" s="2">
        <f t="shared" ref="H9:H21" si="0">(F9*G9)/(D9*E9)</f>
        <v>2.0104989424117353E-3</v>
      </c>
      <c r="I9" s="2">
        <f t="shared" ref="I9:I21" si="1">C9*H9</f>
        <v>0</v>
      </c>
    </row>
    <row r="10" spans="1:10" x14ac:dyDescent="0.25">
      <c r="A10" s="6" t="s">
        <v>131</v>
      </c>
      <c r="B10" t="s">
        <v>212</v>
      </c>
      <c r="C10" s="4">
        <f>'Mailer Arrival Profile'!$D$19</f>
        <v>0</v>
      </c>
      <c r="D10" s="4">
        <f>'Conversion Factors'!$K$21</f>
        <v>1166.2220689128642</v>
      </c>
      <c r="E10" s="4">
        <f>'Productivity Data'!$I$38</f>
        <v>46.475052307166727</v>
      </c>
      <c r="F10" s="2">
        <f>'Wage Data'!$C$11</f>
        <v>49.154294657004115</v>
      </c>
      <c r="G10" s="4">
        <f>'Cost Pool Data'!$K$43</f>
        <v>1.386023903258889</v>
      </c>
      <c r="H10" s="2">
        <f t="shared" si="0"/>
        <v>1.256987751947828E-3</v>
      </c>
      <c r="I10" s="2">
        <f t="shared" si="1"/>
        <v>0</v>
      </c>
    </row>
    <row r="11" spans="1:10" x14ac:dyDescent="0.25">
      <c r="B11" t="s">
        <v>213</v>
      </c>
      <c r="C11" s="4">
        <f>'Mailer Arrival Profile'!$E$19</f>
        <v>0.77812316831422346</v>
      </c>
      <c r="D11" s="4">
        <f>'Conversion Factors'!$K$22</f>
        <v>751.10297650127052</v>
      </c>
      <c r="E11" s="4">
        <f>'Productivity Data'!$I$38</f>
        <v>46.475052307166727</v>
      </c>
      <c r="F11" s="2">
        <f>'Wage Data'!$C$11</f>
        <v>49.154294657004115</v>
      </c>
      <c r="G11" s="4">
        <f>'Cost Pool Data'!$K$43</f>
        <v>1.386023903258889</v>
      </c>
      <c r="H11" s="2">
        <f t="shared" si="0"/>
        <v>1.9516989048601464E-3</v>
      </c>
      <c r="I11" s="2">
        <f t="shared" si="1"/>
        <v>1.5186621354451773E-3</v>
      </c>
    </row>
    <row r="12" spans="1:10" x14ac:dyDescent="0.25">
      <c r="B12" t="s">
        <v>214</v>
      </c>
      <c r="C12" s="4">
        <f>'Mailer Arrival Profile'!$F$19</f>
        <v>0.22187683168577657</v>
      </c>
      <c r="D12" s="4">
        <f>'Conversion Factors'!$K$23</f>
        <v>635.38219588437971</v>
      </c>
      <c r="E12" s="4">
        <f>'Productivity Data'!$I$37</f>
        <v>55.996737364805647</v>
      </c>
      <c r="F12" s="2">
        <f>'Wage Data'!$C$11</f>
        <v>49.154294657004115</v>
      </c>
      <c r="G12" s="4">
        <f>'Cost Pool Data'!$K$43</f>
        <v>1.386023903258889</v>
      </c>
      <c r="H12" s="2">
        <f t="shared" si="0"/>
        <v>1.9148485213097445E-3</v>
      </c>
      <c r="I12" s="2">
        <f t="shared" si="1"/>
        <v>4.2486052306640035E-4</v>
      </c>
    </row>
    <row r="13" spans="1:10" x14ac:dyDescent="0.25">
      <c r="B13" t="s">
        <v>143</v>
      </c>
      <c r="C13" s="4">
        <f>(C11+C12)*(1+'Other Inputs'!$B$9)</f>
        <v>1.0423865344574321</v>
      </c>
      <c r="D13" s="4">
        <f>'Mailer Arrival Profile'!$I$19</f>
        <v>36.926829268292686</v>
      </c>
      <c r="E13" s="4">
        <f>'Productivity Data'!$I$19</f>
        <v>3068.1109131264348</v>
      </c>
      <c r="F13" s="2">
        <f>'Wage Data'!$C$11</f>
        <v>49.154294657004115</v>
      </c>
      <c r="G13" s="4">
        <f>'Cost Pool Data'!$K$46</f>
        <v>1.6196174573049362</v>
      </c>
      <c r="H13" s="2">
        <f t="shared" si="0"/>
        <v>7.0268526051524239E-4</v>
      </c>
      <c r="I13" s="2">
        <f t="shared" si="1"/>
        <v>7.3246965352280144E-4</v>
      </c>
    </row>
    <row r="14" spans="1:10" x14ac:dyDescent="0.25">
      <c r="B14" t="s">
        <v>223</v>
      </c>
      <c r="C14" s="4">
        <f>C9</f>
        <v>0</v>
      </c>
      <c r="D14" s="4">
        <f>'Conversion Factors'!$K$20</f>
        <v>729.1358506840312</v>
      </c>
      <c r="E14" s="4">
        <f>'Productivity Data'!$I$45</f>
        <v>55.582256364514194</v>
      </c>
      <c r="F14" s="2">
        <f>'Wage Data'!$C$11</f>
        <v>49.154294657004115</v>
      </c>
      <c r="G14" s="4">
        <f>'Cost Pool Data'!$K$43</f>
        <v>1.386023903258889</v>
      </c>
      <c r="H14" s="2">
        <f t="shared" si="0"/>
        <v>1.681076833212967E-3</v>
      </c>
      <c r="I14" s="2">
        <f t="shared" si="1"/>
        <v>0</v>
      </c>
    </row>
    <row r="15" spans="1:10" x14ac:dyDescent="0.25">
      <c r="B15" t="s">
        <v>224</v>
      </c>
      <c r="C15" s="4">
        <f>C10</f>
        <v>0</v>
      </c>
      <c r="D15" s="4">
        <f>'Conversion Factors'!$K$21</f>
        <v>1166.2220689128642</v>
      </c>
      <c r="E15" s="4">
        <f>'Productivity Data'!$I$44</f>
        <v>70.608822220868689</v>
      </c>
      <c r="F15" s="2">
        <f>'Wage Data'!$C$11</f>
        <v>49.154294657004115</v>
      </c>
      <c r="G15" s="4">
        <f>'Cost Pool Data'!$K$43</f>
        <v>1.386023903258889</v>
      </c>
      <c r="H15" s="2">
        <f t="shared" si="0"/>
        <v>8.2735513330765343E-4</v>
      </c>
      <c r="I15" s="2">
        <f t="shared" si="1"/>
        <v>0</v>
      </c>
    </row>
    <row r="16" spans="1:10" x14ac:dyDescent="0.25">
      <c r="A16" s="72"/>
      <c r="B16" s="79" t="s">
        <v>236</v>
      </c>
      <c r="C16" s="49">
        <f>C11+C12</f>
        <v>1</v>
      </c>
      <c r="D16" s="49">
        <f>'Conversion Factors'!$K$45</f>
        <v>911.87462936885288</v>
      </c>
      <c r="E16" s="49">
        <f>'Productivity Data'!$I$44</f>
        <v>70.608822220868689</v>
      </c>
      <c r="F16" s="48">
        <f>'Wage Data'!$C$11</f>
        <v>49.154294657004115</v>
      </c>
      <c r="G16" s="49">
        <f>'Cost Pool Data'!$K$43</f>
        <v>1.386023903258889</v>
      </c>
      <c r="H16" s="48">
        <f t="shared" si="0"/>
        <v>1.0581277120952082E-3</v>
      </c>
      <c r="I16" s="75">
        <f t="shared" si="1"/>
        <v>1.0581277120952082E-3</v>
      </c>
      <c r="J16" s="76">
        <f>SUM(I9:I16)</f>
        <v>3.7341200241295873E-3</v>
      </c>
    </row>
    <row r="17" spans="1:10" x14ac:dyDescent="0.25">
      <c r="A17" s="6" t="s">
        <v>243</v>
      </c>
      <c r="B17" t="s">
        <v>211</v>
      </c>
      <c r="C17" s="4">
        <f>C14</f>
        <v>0</v>
      </c>
      <c r="D17" s="4">
        <f>'Conversion Factors'!$K$20</f>
        <v>729.1358506840312</v>
      </c>
      <c r="E17" s="4">
        <f>'Productivity Data'!$I$28</f>
        <v>58.156985400220201</v>
      </c>
      <c r="F17" s="2">
        <f>'Wage Data'!$C$11</f>
        <v>49.154294657004115</v>
      </c>
      <c r="G17" s="4">
        <f>'Cost Pool Data'!$K$27</f>
        <v>1.3606061934437479</v>
      </c>
      <c r="H17" s="2">
        <f t="shared" si="0"/>
        <v>1.5771883957355554E-3</v>
      </c>
      <c r="I17" s="2">
        <f t="shared" si="1"/>
        <v>0</v>
      </c>
    </row>
    <row r="18" spans="1:10" x14ac:dyDescent="0.25">
      <c r="A18" s="6" t="s">
        <v>241</v>
      </c>
      <c r="B18" t="s">
        <v>212</v>
      </c>
      <c r="C18" s="4">
        <f>C15</f>
        <v>0</v>
      </c>
      <c r="D18" s="4">
        <f>'Conversion Factors'!$K$21</f>
        <v>1166.2220689128642</v>
      </c>
      <c r="E18" s="4">
        <f>'Productivity Data'!$I$28</f>
        <v>58.156985400220201</v>
      </c>
      <c r="F18" s="2">
        <f>'Wage Data'!$C$11</f>
        <v>49.154294657004115</v>
      </c>
      <c r="G18" s="4">
        <f>'Cost Pool Data'!$K$27</f>
        <v>1.3606061934437479</v>
      </c>
      <c r="H18" s="2">
        <f t="shared" si="0"/>
        <v>9.8607686586279944E-4</v>
      </c>
      <c r="I18" s="2">
        <f t="shared" si="1"/>
        <v>0</v>
      </c>
    </row>
    <row r="19" spans="1:10" x14ac:dyDescent="0.25">
      <c r="B19" t="s">
        <v>217</v>
      </c>
      <c r="C19" s="4">
        <f>C16</f>
        <v>1</v>
      </c>
      <c r="D19" s="4">
        <f>'Conversion Factors'!$K$45</f>
        <v>911.87462936885288</v>
      </c>
      <c r="E19" s="4">
        <f>'Productivity Data'!$I$27</f>
        <v>81.873572020007202</v>
      </c>
      <c r="F19" s="2">
        <f>'Wage Data'!$C$11</f>
        <v>49.154294657004115</v>
      </c>
      <c r="G19" s="4">
        <f>'Cost Pool Data'!$K$27</f>
        <v>1.3606061934437479</v>
      </c>
      <c r="H19" s="2">
        <f t="shared" si="0"/>
        <v>8.9580821524215201E-4</v>
      </c>
      <c r="I19" s="2">
        <f t="shared" si="1"/>
        <v>8.9580821524215201E-4</v>
      </c>
    </row>
    <row r="20" spans="1:10" x14ac:dyDescent="0.25">
      <c r="B20" t="s">
        <v>200</v>
      </c>
      <c r="C20" s="4">
        <f>C19</f>
        <v>1</v>
      </c>
      <c r="D20" s="4">
        <f>'Mailer Arrival Profile'!$I$19</f>
        <v>36.926829268292686</v>
      </c>
      <c r="E20" s="4">
        <f>'Productivity Data'!$I$14</f>
        <v>49.323981905738421</v>
      </c>
      <c r="F20" s="2">
        <f>'Wage Data'!$C$11</f>
        <v>49.154294657004115</v>
      </c>
      <c r="G20" s="4">
        <f>'Cost Pool Data'!$K$30</f>
        <v>1.2805162995566952</v>
      </c>
      <c r="H20" s="2">
        <f t="shared" si="0"/>
        <v>3.4557827404628004E-2</v>
      </c>
      <c r="I20" s="2">
        <f t="shared" si="1"/>
        <v>3.4557827404628004E-2</v>
      </c>
    </row>
    <row r="21" spans="1:10" x14ac:dyDescent="0.25">
      <c r="B21" t="s">
        <v>227</v>
      </c>
      <c r="C21" s="4">
        <f>C17</f>
        <v>0</v>
      </c>
      <c r="D21" s="4">
        <f>'Conversion Factors'!$K$20</f>
        <v>729.1358506840312</v>
      </c>
      <c r="E21" s="4">
        <f>'Productivity Data'!$I$30</f>
        <v>39.899251235537818</v>
      </c>
      <c r="F21" s="2">
        <f>'Wage Data'!$C$11</f>
        <v>49.154294657004115</v>
      </c>
      <c r="G21" s="4">
        <f>'Cost Pool Data'!$K$27</f>
        <v>1.3606061934437479</v>
      </c>
      <c r="H21" s="2">
        <f t="shared" si="0"/>
        <v>2.2989033544191279E-3</v>
      </c>
      <c r="I21" s="2">
        <f t="shared" si="1"/>
        <v>0</v>
      </c>
    </row>
    <row r="22" spans="1:10" x14ac:dyDescent="0.25">
      <c r="B22" t="s">
        <v>228</v>
      </c>
      <c r="C22" s="4">
        <f>C18</f>
        <v>0</v>
      </c>
      <c r="D22" s="4">
        <f>'Conversion Factors'!$K$21</f>
        <v>1166.2220689128642</v>
      </c>
      <c r="E22" s="4">
        <f>'Productivity Data'!$I$29</f>
        <v>50.764395048330648</v>
      </c>
      <c r="F22" s="2">
        <f>'Wage Data'!$C$11</f>
        <v>49.154294657004115</v>
      </c>
      <c r="G22" s="4">
        <f>'Cost Pool Data'!$K$27</f>
        <v>1.3606061934437479</v>
      </c>
      <c r="H22" s="2">
        <f t="shared" ref="H22:H29" si="2">(F22*G22)/(D22*E22)</f>
        <v>1.1296748013421573E-3</v>
      </c>
      <c r="I22" s="2">
        <f t="shared" ref="I22:I29" si="3">C22*H22</f>
        <v>0</v>
      </c>
    </row>
    <row r="23" spans="1:10" x14ac:dyDescent="0.25">
      <c r="B23" t="s">
        <v>223</v>
      </c>
      <c r="C23" s="4">
        <f>C21</f>
        <v>0</v>
      </c>
      <c r="D23" s="4">
        <f>'Conversion Factors'!$K$20</f>
        <v>729.1358506840312</v>
      </c>
      <c r="E23" s="4">
        <f>'Productivity Data'!$I$32</f>
        <v>61.728448910094343</v>
      </c>
      <c r="F23" s="2">
        <f>'Wage Data'!$C$11</f>
        <v>49.154294657004115</v>
      </c>
      <c r="G23" s="4">
        <f>'Cost Pool Data'!$K$27</f>
        <v>1.3606061934437479</v>
      </c>
      <c r="H23" s="2">
        <f t="shared" si="2"/>
        <v>1.4859359683212431E-3</v>
      </c>
      <c r="I23" s="2">
        <f t="shared" si="3"/>
        <v>0</v>
      </c>
    </row>
    <row r="24" spans="1:10" x14ac:dyDescent="0.25">
      <c r="B24" t="s">
        <v>224</v>
      </c>
      <c r="C24" s="4">
        <f>C22</f>
        <v>0</v>
      </c>
      <c r="D24" s="4">
        <f>'Conversion Factors'!$K$21</f>
        <v>1166.2220689128642</v>
      </c>
      <c r="E24" s="4">
        <f>'Productivity Data'!$I$31</f>
        <v>91.071587890934111</v>
      </c>
      <c r="F24" s="2">
        <f>'Wage Data'!$C$11</f>
        <v>49.154294657004115</v>
      </c>
      <c r="G24" s="4">
        <f>'Cost Pool Data'!$K$27</f>
        <v>1.3606061934437479</v>
      </c>
      <c r="H24" s="2">
        <f t="shared" si="2"/>
        <v>6.2969427918788329E-4</v>
      </c>
      <c r="I24" s="2">
        <f t="shared" si="3"/>
        <v>0</v>
      </c>
    </row>
    <row r="25" spans="1:10" x14ac:dyDescent="0.25">
      <c r="A25" s="72"/>
      <c r="B25" s="79" t="s">
        <v>248</v>
      </c>
      <c r="C25" s="49">
        <f>C20</f>
        <v>1</v>
      </c>
      <c r="D25" s="49">
        <f>'Conversion Factors'!$K$48</f>
        <v>278.88696895824546</v>
      </c>
      <c r="E25" s="49">
        <f>'Productivity Data'!$I$31</f>
        <v>91.071587890934111</v>
      </c>
      <c r="F25" s="48">
        <f>'Wage Data'!$C$11</f>
        <v>49.154294657004115</v>
      </c>
      <c r="G25" s="49">
        <f>'Cost Pool Data'!$K$27</f>
        <v>1.3606061934437479</v>
      </c>
      <c r="H25" s="48">
        <f t="shared" si="2"/>
        <v>2.6331935400217129E-3</v>
      </c>
      <c r="I25" s="75">
        <f t="shared" si="3"/>
        <v>2.6331935400217129E-3</v>
      </c>
      <c r="J25" s="76">
        <f>SUM(I17:I25)</f>
        <v>3.8086829159891873E-2</v>
      </c>
    </row>
    <row r="26" spans="1:10" x14ac:dyDescent="0.25">
      <c r="A26" s="6" t="s">
        <v>243</v>
      </c>
      <c r="B26" t="s">
        <v>211</v>
      </c>
      <c r="C26" s="4">
        <f>C23</f>
        <v>0</v>
      </c>
      <c r="D26" s="4">
        <f>'Conversion Factors'!$K$20</f>
        <v>729.1358506840312</v>
      </c>
      <c r="E26" s="4">
        <f>'Productivity Data'!$I$26</f>
        <v>48.58034429266948</v>
      </c>
      <c r="F26" s="2">
        <f>'Wage Data'!$C$11</f>
        <v>49.154294657004115</v>
      </c>
      <c r="G26" s="4">
        <f>'Cost Pool Data'!$K$48</f>
        <v>1.6214860636540271</v>
      </c>
      <c r="H26" s="2">
        <f t="shared" si="2"/>
        <v>2.2501198352502688E-3</v>
      </c>
      <c r="I26" s="2">
        <f t="shared" si="3"/>
        <v>0</v>
      </c>
    </row>
    <row r="27" spans="1:10" x14ac:dyDescent="0.25">
      <c r="A27" s="6" t="s">
        <v>85</v>
      </c>
      <c r="B27" t="s">
        <v>212</v>
      </c>
      <c r="C27" s="4">
        <f>C24</f>
        <v>0</v>
      </c>
      <c r="D27" s="4">
        <f>'Conversion Factors'!$K$21</f>
        <v>1166.2220689128642</v>
      </c>
      <c r="E27" s="4">
        <f>'Productivity Data'!$I$26</f>
        <v>48.58034429266948</v>
      </c>
      <c r="F27" s="2">
        <f>'Wage Data'!$C$11</f>
        <v>49.154294657004115</v>
      </c>
      <c r="G27" s="4">
        <f>'Cost Pool Data'!$K$48</f>
        <v>1.6214860636540271</v>
      </c>
      <c r="H27" s="2">
        <f t="shared" si="2"/>
        <v>1.4068015723159835E-3</v>
      </c>
      <c r="I27" s="2">
        <f t="shared" si="3"/>
        <v>0</v>
      </c>
    </row>
    <row r="28" spans="1:10" x14ac:dyDescent="0.25">
      <c r="B28" t="s">
        <v>249</v>
      </c>
      <c r="C28" s="4">
        <f>C25</f>
        <v>1</v>
      </c>
      <c r="D28" s="4">
        <f>'Conversion Factors'!$K$48</f>
        <v>278.88696895824546</v>
      </c>
      <c r="E28" s="4">
        <f>'Productivity Data'!$I$25</f>
        <v>60.332591436644847</v>
      </c>
      <c r="F28" s="2">
        <f>'Wage Data'!$C$11</f>
        <v>49.154294657004115</v>
      </c>
      <c r="G28" s="4">
        <f>'Cost Pool Data'!$K$48</f>
        <v>1.6214860636540271</v>
      </c>
      <c r="H28" s="2">
        <f t="shared" si="2"/>
        <v>4.7369029491089107E-3</v>
      </c>
      <c r="I28" s="2">
        <f t="shared" si="3"/>
        <v>4.7369029491089107E-3</v>
      </c>
    </row>
    <row r="29" spans="1:10" x14ac:dyDescent="0.25">
      <c r="A29" s="72"/>
      <c r="B29" s="79" t="s">
        <v>135</v>
      </c>
      <c r="C29" s="49">
        <f>SUM(C26:C28)</f>
        <v>1</v>
      </c>
      <c r="D29" s="49">
        <v>1</v>
      </c>
      <c r="E29" s="49">
        <f>'Productivity Data'!$I$22</f>
        <v>307.66822713635111</v>
      </c>
      <c r="F29" s="48">
        <f>'Wage Data'!$C$11</f>
        <v>49.154294657004115</v>
      </c>
      <c r="G29" s="49">
        <f>'Cost Pool Data'!$K$57</f>
        <v>1.4957786551922303</v>
      </c>
      <c r="H29" s="48">
        <f t="shared" si="2"/>
        <v>0.23897152280983572</v>
      </c>
      <c r="I29" s="75">
        <f t="shared" si="3"/>
        <v>0.23897152280983572</v>
      </c>
      <c r="J29" s="76">
        <f>SUM(I26:I29)</f>
        <v>0.24370842575894464</v>
      </c>
    </row>
    <row r="31" spans="1:10" x14ac:dyDescent="0.25">
      <c r="A31" s="29" t="s">
        <v>259</v>
      </c>
      <c r="I31" s="80" t="s">
        <v>203</v>
      </c>
      <c r="J31" s="81">
        <f>J16+J25+J29</f>
        <v>0.2855293749429661</v>
      </c>
    </row>
    <row r="32" spans="1:10" x14ac:dyDescent="0.25">
      <c r="A32" s="6" t="s">
        <v>296</v>
      </c>
      <c r="F32"/>
      <c r="G32"/>
      <c r="H32"/>
      <c r="I32"/>
    </row>
    <row r="33" spans="1:1" x14ac:dyDescent="0.25">
      <c r="A33" s="6" t="s">
        <v>297</v>
      </c>
    </row>
    <row r="34" spans="1:1" x14ac:dyDescent="0.25">
      <c r="A34" s="6" t="s">
        <v>298</v>
      </c>
    </row>
    <row r="35" spans="1:1" x14ac:dyDescent="0.25">
      <c r="A35" s="6" t="s">
        <v>299</v>
      </c>
    </row>
    <row r="36" spans="1:1" x14ac:dyDescent="0.25">
      <c r="A36" s="6" t="s">
        <v>277</v>
      </c>
    </row>
    <row r="37" spans="1:1" x14ac:dyDescent="0.25">
      <c r="A37" s="6" t="s">
        <v>300</v>
      </c>
    </row>
    <row r="38" spans="1:1" x14ac:dyDescent="0.25">
      <c r="A38" s="6" t="s">
        <v>301</v>
      </c>
    </row>
  </sheetData>
  <phoneticPr fontId="3" type="noConversion"/>
  <printOptions horizontalCentered="1"/>
  <pageMargins left="0.75" right="0.75" top="1" bottom="1" header="0.5" footer="0.5"/>
  <pageSetup scale="61" orientation="portrait" r:id="rId1"/>
  <headerFooter alignWithMargins="0">
    <oddHeader>&amp;RPage 29 of 50</oddHeader>
    <oddFooter>&amp;R&amp;F</oddFooter>
  </headerFooter>
  <ignoredErrors>
    <ignoredError sqref="G13 G20 D22:D23" formula="1"/>
  </ignoredError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40">
    <pageSetUpPr fitToPage="1"/>
  </sheetPr>
  <dimension ref="A1:J27"/>
  <sheetViews>
    <sheetView zoomScale="75" workbookViewId="0">
      <selection activeCell="N29" sqref="N29"/>
    </sheetView>
  </sheetViews>
  <sheetFormatPr defaultColWidth="9.109375" defaultRowHeight="13.2" x14ac:dyDescent="0.25"/>
  <cols>
    <col min="1" max="1" width="15.6640625" style="6" customWidth="1"/>
    <col min="2" max="2" width="30.6640625" style="6" customWidth="1"/>
    <col min="3" max="5" width="12.6640625" style="4" customWidth="1"/>
    <col min="6" max="6" width="12.6640625" style="2" customWidth="1"/>
    <col min="7" max="7" width="12.6640625" style="4" customWidth="1"/>
    <col min="8" max="9" width="12.6640625" style="2" customWidth="1"/>
    <col min="10" max="10" width="12.6640625" customWidth="1"/>
  </cols>
  <sheetData>
    <row r="1" spans="1:10" ht="15.6" x14ac:dyDescent="0.3">
      <c r="A1" s="5" t="s">
        <v>403</v>
      </c>
      <c r="B1" s="5"/>
    </row>
    <row r="4" spans="1:10" x14ac:dyDescent="0.25">
      <c r="C4" s="8" t="s">
        <v>107</v>
      </c>
      <c r="D4" s="8" t="s">
        <v>108</v>
      </c>
      <c r="E4" s="8" t="s">
        <v>109</v>
      </c>
      <c r="F4" s="50" t="s">
        <v>112</v>
      </c>
      <c r="G4" s="8" t="s">
        <v>156</v>
      </c>
      <c r="H4" s="50" t="s">
        <v>157</v>
      </c>
      <c r="I4" s="50" t="s">
        <v>192</v>
      </c>
    </row>
    <row r="5" spans="1:10" x14ac:dyDescent="0.25">
      <c r="A5" s="70"/>
      <c r="F5" s="50" t="s">
        <v>155</v>
      </c>
      <c r="H5" s="50" t="s">
        <v>3</v>
      </c>
      <c r="I5" s="50" t="s">
        <v>3</v>
      </c>
    </row>
    <row r="6" spans="1:10" s="6" customFormat="1" x14ac:dyDescent="0.25">
      <c r="C6" s="8"/>
      <c r="D6" s="8" t="s">
        <v>202</v>
      </c>
      <c r="E6" s="8" t="s">
        <v>101</v>
      </c>
      <c r="F6" s="50" t="s">
        <v>103</v>
      </c>
      <c r="G6" s="8" t="s">
        <v>105</v>
      </c>
      <c r="H6" s="50" t="s">
        <v>207</v>
      </c>
      <c r="I6" s="50" t="s">
        <v>206</v>
      </c>
    </row>
    <row r="7" spans="1:10" s="6" customFormat="1" x14ac:dyDescent="0.25">
      <c r="A7" s="6" t="s">
        <v>84</v>
      </c>
      <c r="B7" s="6" t="s">
        <v>76</v>
      </c>
      <c r="C7" s="8" t="s">
        <v>199</v>
      </c>
      <c r="D7" s="8" t="s">
        <v>81</v>
      </c>
      <c r="E7" s="8" t="s">
        <v>102</v>
      </c>
      <c r="F7" s="50" t="s">
        <v>104</v>
      </c>
      <c r="G7" s="8" t="s">
        <v>81</v>
      </c>
      <c r="H7" s="50" t="s">
        <v>76</v>
      </c>
      <c r="I7" s="50" t="s">
        <v>84</v>
      </c>
    </row>
    <row r="8" spans="1:10" x14ac:dyDescent="0.25">
      <c r="A8" s="72"/>
      <c r="B8" s="72"/>
      <c r="C8" s="49"/>
      <c r="D8" s="49"/>
      <c r="E8" s="49"/>
      <c r="F8" s="48"/>
      <c r="G8" s="49"/>
      <c r="H8" s="48"/>
      <c r="I8" s="48"/>
      <c r="J8" s="79"/>
    </row>
    <row r="9" spans="1:10" x14ac:dyDescent="0.25">
      <c r="A9" s="6" t="s">
        <v>243</v>
      </c>
      <c r="B9" t="s">
        <v>211</v>
      </c>
      <c r="C9" s="4">
        <f>'Mailer Arrival Profile'!$C$20</f>
        <v>3.9651766771526813E-2</v>
      </c>
      <c r="D9" s="4">
        <f>'Conversion Factors'!$K$20</f>
        <v>729.1358506840312</v>
      </c>
      <c r="E9" s="4">
        <f>'Productivity Data'!$I$28</f>
        <v>58.156985400220201</v>
      </c>
      <c r="F9" s="2">
        <f>'Wage Data'!$C$11</f>
        <v>49.154294657004115</v>
      </c>
      <c r="G9" s="4">
        <f>'Cost Pool Data'!$K$27</f>
        <v>1.3606061934437479</v>
      </c>
      <c r="H9" s="2">
        <f>(F9*G9)/(D9*E9)</f>
        <v>1.5771883957355554E-3</v>
      </c>
      <c r="I9" s="2">
        <f>C9*H9</f>
        <v>6.2538306422464771E-5</v>
      </c>
    </row>
    <row r="10" spans="1:10" x14ac:dyDescent="0.25">
      <c r="A10" s="6" t="s">
        <v>241</v>
      </c>
      <c r="B10" t="s">
        <v>212</v>
      </c>
      <c r="C10" s="4">
        <f>'Mailer Arrival Profile'!$D$20</f>
        <v>4.7479698588045946E-2</v>
      </c>
      <c r="D10" s="4">
        <f>'Conversion Factors'!$K$21</f>
        <v>1166.2220689128642</v>
      </c>
      <c r="E10" s="4">
        <f>'Productivity Data'!$I$28</f>
        <v>58.156985400220201</v>
      </c>
      <c r="F10" s="2">
        <f>'Wage Data'!$C$11</f>
        <v>49.154294657004115</v>
      </c>
      <c r="G10" s="4">
        <f>'Cost Pool Data'!$K$27</f>
        <v>1.3606061934437479</v>
      </c>
      <c r="H10" s="2">
        <f>(F10*G10)/(D10*E10)</f>
        <v>9.8607686586279944E-4</v>
      </c>
      <c r="I10" s="2">
        <f>C10*H10</f>
        <v>4.6818632375810731E-5</v>
      </c>
    </row>
    <row r="11" spans="1:10" x14ac:dyDescent="0.25">
      <c r="B11" t="s">
        <v>213</v>
      </c>
      <c r="C11" s="4">
        <f>'Mailer Arrival Profile'!$E$20</f>
        <v>0</v>
      </c>
      <c r="D11" s="4">
        <f>'Conversion Factors'!$K$22</f>
        <v>751.10297650127052</v>
      </c>
      <c r="E11" s="4">
        <f>'Productivity Data'!$I$28</f>
        <v>58.156985400220201</v>
      </c>
      <c r="F11" s="2">
        <f>'Wage Data'!$C$11</f>
        <v>49.154294657004115</v>
      </c>
      <c r="G11" s="4">
        <f>'Cost Pool Data'!$K$27</f>
        <v>1.3606061934437479</v>
      </c>
      <c r="H11" s="2">
        <f>(F11*G11)/(D11*E11)</f>
        <v>1.5310611708269292E-3</v>
      </c>
      <c r="I11" s="2">
        <f>C11*H11</f>
        <v>0</v>
      </c>
    </row>
    <row r="12" spans="1:10" x14ac:dyDescent="0.25">
      <c r="B12" t="s">
        <v>214</v>
      </c>
      <c r="C12" s="4">
        <f>'Mailer Arrival Profile'!$F$20</f>
        <v>0.91286853464042728</v>
      </c>
      <c r="D12" s="4">
        <f>'Conversion Factors'!$K$23</f>
        <v>635.38219588437971</v>
      </c>
      <c r="E12" s="4">
        <f>'Productivity Data'!$I$27</f>
        <v>81.873572020007202</v>
      </c>
      <c r="F12" s="2">
        <f>'Wage Data'!$C$11</f>
        <v>49.154294657004115</v>
      </c>
      <c r="G12" s="4">
        <f>'Cost Pool Data'!$K$27</f>
        <v>1.3606061934437479</v>
      </c>
      <c r="H12" s="2">
        <f>(F12*G12)/(D12*E12)</f>
        <v>1.285627437392274E-3</v>
      </c>
      <c r="I12" s="2">
        <f>C12*H12</f>
        <v>1.1736088348658128E-3</v>
      </c>
    </row>
    <row r="13" spans="1:10" x14ac:dyDescent="0.25">
      <c r="B13" t="s">
        <v>204</v>
      </c>
      <c r="C13" s="4">
        <f>SUM(C9:C12)*'Other Inputs'!$B$30*(1+'Other Inputs'!$B$10)</f>
        <v>0.42375228317471153</v>
      </c>
      <c r="D13" s="4">
        <v>1</v>
      </c>
      <c r="E13" s="4">
        <f>'Productivity Data'!$I$10</f>
        <v>245.20305602978507</v>
      </c>
      <c r="F13" s="2">
        <f>'Wage Data'!$C$11</f>
        <v>49.154294657004115</v>
      </c>
      <c r="G13" s="4">
        <f>'Cost Pool Data'!$L$14</f>
        <v>1.8052502472456198</v>
      </c>
      <c r="H13" s="2">
        <f t="shared" ref="H13:H18" si="0">(F13*G13)/(D13*E13)</f>
        <v>0.36188701731336453</v>
      </c>
      <c r="I13" s="2">
        <f t="shared" ref="I13:I18" si="1">C13*H13</f>
        <v>0.15335044983782459</v>
      </c>
    </row>
    <row r="14" spans="1:10" x14ac:dyDescent="0.25">
      <c r="B14" s="9" t="s">
        <v>363</v>
      </c>
      <c r="C14" s="4">
        <f>SUM(C9:C12)*'Other Inputs'!$B$31*(1+'Other Inputs'!$B$11)</f>
        <v>0.56721575232661026</v>
      </c>
      <c r="D14" s="4">
        <v>1</v>
      </c>
      <c r="E14" s="4">
        <f>'Productivity Data'!$I$11</f>
        <v>190.80521220652753</v>
      </c>
      <c r="F14" s="2">
        <f>'Wage Data'!$C$11</f>
        <v>49.154294657004115</v>
      </c>
      <c r="G14" s="4">
        <f>'Cost Pool Data'!$L$11</f>
        <v>1.6056412614911089</v>
      </c>
      <c r="H14" s="2">
        <f t="shared" si="0"/>
        <v>0.41363735700967258</v>
      </c>
      <c r="I14" s="2">
        <f t="shared" si="1"/>
        <v>0.23462162464663211</v>
      </c>
    </row>
    <row r="15" spans="1:10" x14ac:dyDescent="0.25">
      <c r="B15" t="s">
        <v>198</v>
      </c>
      <c r="C15" s="4">
        <f>SUM(C9:C12)*'Other Inputs'!$B$32</f>
        <v>0.11391845469353627</v>
      </c>
      <c r="D15" s="4">
        <v>1</v>
      </c>
      <c r="E15" s="4">
        <f>'Productivity Data'!$I$16</f>
        <v>47.994690148863093</v>
      </c>
      <c r="F15" s="2">
        <f>'Wage Data'!$C$11</f>
        <v>49.154294657004115</v>
      </c>
      <c r="G15" s="4">
        <f>'Cost Pool Data'!$K$16</f>
        <v>1.3208756008457678</v>
      </c>
      <c r="H15" s="2">
        <f t="shared" si="0"/>
        <v>1.3527894083249588</v>
      </c>
      <c r="I15" s="2">
        <f t="shared" si="1"/>
        <v>0.15410767892216257</v>
      </c>
    </row>
    <row r="16" spans="1:10" x14ac:dyDescent="0.25">
      <c r="A16" s="72"/>
      <c r="B16" s="79" t="s">
        <v>248</v>
      </c>
      <c r="C16" s="49">
        <f>SUM(C9:C12)</f>
        <v>1</v>
      </c>
      <c r="D16" s="49">
        <f>'Conversion Factors'!$K$48</f>
        <v>278.88696895824546</v>
      </c>
      <c r="E16" s="49">
        <f>'Productivity Data'!$I$31</f>
        <v>91.071587890934111</v>
      </c>
      <c r="F16" s="48">
        <f>'Wage Data'!$C$11</f>
        <v>49.154294657004115</v>
      </c>
      <c r="G16" s="49">
        <f>'Cost Pool Data'!$K$27</f>
        <v>1.3606061934437479</v>
      </c>
      <c r="H16" s="48">
        <f t="shared" si="0"/>
        <v>2.6331935400217129E-3</v>
      </c>
      <c r="I16" s="75">
        <f t="shared" si="1"/>
        <v>2.6331935400217129E-3</v>
      </c>
      <c r="J16" s="76">
        <f>SUM(I9:I16)</f>
        <v>0.54599591272030501</v>
      </c>
    </row>
    <row r="17" spans="1:10" x14ac:dyDescent="0.25">
      <c r="A17" s="6" t="s">
        <v>243</v>
      </c>
      <c r="B17" t="s">
        <v>249</v>
      </c>
      <c r="C17" s="4">
        <f>C16</f>
        <v>1</v>
      </c>
      <c r="D17" s="4">
        <f>'Conversion Factors'!$K$48</f>
        <v>278.88696895824546</v>
      </c>
      <c r="E17" s="4">
        <f>'Productivity Data'!$I$25</f>
        <v>60.332591436644847</v>
      </c>
      <c r="F17" s="2">
        <f>'Wage Data'!$C$11</f>
        <v>49.154294657004115</v>
      </c>
      <c r="G17" s="4">
        <f>'Cost Pool Data'!$K$48</f>
        <v>1.6214860636540271</v>
      </c>
      <c r="H17" s="2">
        <f t="shared" si="0"/>
        <v>4.7369029491089107E-3</v>
      </c>
      <c r="I17" s="2">
        <f t="shared" si="1"/>
        <v>4.7369029491089107E-3</v>
      </c>
    </row>
    <row r="18" spans="1:10" x14ac:dyDescent="0.25">
      <c r="A18" s="72" t="s">
        <v>85</v>
      </c>
      <c r="B18" s="79" t="s">
        <v>135</v>
      </c>
      <c r="C18" s="49">
        <f>C17</f>
        <v>1</v>
      </c>
      <c r="D18" s="49">
        <v>1</v>
      </c>
      <c r="E18" s="49">
        <f>'Productivity Data'!$I$22</f>
        <v>307.66822713635111</v>
      </c>
      <c r="F18" s="48">
        <f>'Wage Data'!$C$11</f>
        <v>49.154294657004115</v>
      </c>
      <c r="G18" s="49">
        <f>'Cost Pool Data'!$K$57</f>
        <v>1.4957786551922303</v>
      </c>
      <c r="H18" s="48">
        <f t="shared" si="0"/>
        <v>0.23897152280983572</v>
      </c>
      <c r="I18" s="75">
        <f t="shared" si="1"/>
        <v>0.23897152280983572</v>
      </c>
      <c r="J18" s="76">
        <f>SUM(I17:I18)</f>
        <v>0.24370842575894464</v>
      </c>
    </row>
    <row r="20" spans="1:10" x14ac:dyDescent="0.25">
      <c r="A20" s="29" t="s">
        <v>259</v>
      </c>
      <c r="I20" s="80" t="s">
        <v>203</v>
      </c>
      <c r="J20" s="81">
        <f>J16+J18</f>
        <v>0.7897043384792497</v>
      </c>
    </row>
    <row r="21" spans="1:10" x14ac:dyDescent="0.25">
      <c r="A21" s="6" t="s">
        <v>296</v>
      </c>
      <c r="F21"/>
      <c r="G21"/>
      <c r="H21"/>
      <c r="I21"/>
    </row>
    <row r="22" spans="1:10" x14ac:dyDescent="0.25">
      <c r="A22" s="6" t="s">
        <v>297</v>
      </c>
    </row>
    <row r="23" spans="1:10" x14ac:dyDescent="0.25">
      <c r="A23" s="6" t="s">
        <v>298</v>
      </c>
    </row>
    <row r="24" spans="1:10" x14ac:dyDescent="0.25">
      <c r="A24" s="6" t="s">
        <v>299</v>
      </c>
    </row>
    <row r="25" spans="1:10" x14ac:dyDescent="0.25">
      <c r="A25" s="6" t="s">
        <v>277</v>
      </c>
    </row>
    <row r="26" spans="1:10" x14ac:dyDescent="0.25">
      <c r="A26" s="6" t="s">
        <v>300</v>
      </c>
    </row>
    <row r="27" spans="1:10" x14ac:dyDescent="0.25">
      <c r="A27" s="6" t="s">
        <v>301</v>
      </c>
    </row>
  </sheetData>
  <phoneticPr fontId="3" type="noConversion"/>
  <printOptions horizontalCentered="1"/>
  <pageMargins left="0.75" right="0.75" top="1" bottom="1" header="0.5" footer="0.5"/>
  <pageSetup scale="61" orientation="portrait" r:id="rId1"/>
  <headerFooter alignWithMargins="0">
    <oddHeader>&amp;RPage 30 of 50</oddHeader>
    <oddFooter>&amp;R&amp;F</oddFoot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41">
    <pageSetUpPr fitToPage="1"/>
  </sheetPr>
  <dimension ref="A1:J31"/>
  <sheetViews>
    <sheetView zoomScale="75" workbookViewId="0">
      <selection activeCell="N34" sqref="N34"/>
    </sheetView>
  </sheetViews>
  <sheetFormatPr defaultColWidth="9.109375" defaultRowHeight="13.2" x14ac:dyDescent="0.25"/>
  <cols>
    <col min="1" max="1" width="15.6640625" style="6" customWidth="1"/>
    <col min="2" max="2" width="30.6640625" style="6" customWidth="1"/>
    <col min="3" max="5" width="12.6640625" style="4" customWidth="1"/>
    <col min="6" max="6" width="12.6640625" style="2" customWidth="1"/>
    <col min="7" max="7" width="12.6640625" style="4" customWidth="1"/>
    <col min="8" max="9" width="12.6640625" style="2" customWidth="1"/>
    <col min="10" max="10" width="12.6640625" customWidth="1"/>
  </cols>
  <sheetData>
    <row r="1" spans="1:10" ht="15.6" x14ac:dyDescent="0.3">
      <c r="A1" s="5" t="s">
        <v>404</v>
      </c>
      <c r="B1" s="5"/>
    </row>
    <row r="4" spans="1:10" x14ac:dyDescent="0.25">
      <c r="C4" s="8" t="s">
        <v>107</v>
      </c>
      <c r="D4" s="8" t="s">
        <v>108</v>
      </c>
      <c r="E4" s="8" t="s">
        <v>109</v>
      </c>
      <c r="F4" s="50" t="s">
        <v>112</v>
      </c>
      <c r="G4" s="8" t="s">
        <v>156</v>
      </c>
      <c r="H4" s="50" t="s">
        <v>157</v>
      </c>
      <c r="I4" s="50" t="s">
        <v>192</v>
      </c>
    </row>
    <row r="5" spans="1:10" x14ac:dyDescent="0.25">
      <c r="A5" s="70"/>
      <c r="F5" s="50" t="s">
        <v>155</v>
      </c>
      <c r="H5" s="50" t="s">
        <v>3</v>
      </c>
      <c r="I5" s="50" t="s">
        <v>3</v>
      </c>
    </row>
    <row r="6" spans="1:10" s="6" customFormat="1" x14ac:dyDescent="0.25">
      <c r="C6" s="8"/>
      <c r="D6" s="8" t="s">
        <v>202</v>
      </c>
      <c r="E6" s="8" t="s">
        <v>101</v>
      </c>
      <c r="F6" s="50" t="s">
        <v>103</v>
      </c>
      <c r="G6" s="8" t="s">
        <v>105</v>
      </c>
      <c r="H6" s="50" t="s">
        <v>207</v>
      </c>
      <c r="I6" s="50" t="s">
        <v>206</v>
      </c>
    </row>
    <row r="7" spans="1:10" s="6" customFormat="1" x14ac:dyDescent="0.25">
      <c r="A7" s="6" t="s">
        <v>84</v>
      </c>
      <c r="B7" s="6" t="s">
        <v>76</v>
      </c>
      <c r="C7" s="8" t="s">
        <v>199</v>
      </c>
      <c r="D7" s="8" t="s">
        <v>81</v>
      </c>
      <c r="E7" s="8" t="s">
        <v>102</v>
      </c>
      <c r="F7" s="50" t="s">
        <v>104</v>
      </c>
      <c r="G7" s="8" t="s">
        <v>81</v>
      </c>
      <c r="H7" s="50" t="s">
        <v>76</v>
      </c>
      <c r="I7" s="50" t="s">
        <v>84</v>
      </c>
    </row>
    <row r="8" spans="1:10" x14ac:dyDescent="0.25">
      <c r="A8" s="72"/>
      <c r="B8" s="72"/>
      <c r="C8" s="49"/>
      <c r="D8" s="49"/>
      <c r="E8" s="49"/>
      <c r="F8" s="48"/>
      <c r="G8" s="49"/>
      <c r="H8" s="48"/>
      <c r="I8" s="48"/>
      <c r="J8" s="79"/>
    </row>
    <row r="9" spans="1:10" x14ac:dyDescent="0.25">
      <c r="A9" s="6" t="s">
        <v>243</v>
      </c>
      <c r="B9" t="s">
        <v>211</v>
      </c>
      <c r="C9" s="4">
        <f>'Mailer Arrival Profile'!$C$21</f>
        <v>0</v>
      </c>
      <c r="D9" s="4">
        <f>'Conversion Factors'!$K$20</f>
        <v>729.1358506840312</v>
      </c>
      <c r="E9" s="4">
        <f>'Productivity Data'!$I$28</f>
        <v>58.156985400220201</v>
      </c>
      <c r="F9" s="2">
        <f>'Wage Data'!$C$11</f>
        <v>49.154294657004115</v>
      </c>
      <c r="G9" s="4">
        <f>'Cost Pool Data'!$K$27</f>
        <v>1.3606061934437479</v>
      </c>
      <c r="H9" s="2">
        <f>(F9*G9)/(D9*E9)</f>
        <v>1.5771883957355554E-3</v>
      </c>
      <c r="I9" s="2">
        <f>C9*H9</f>
        <v>0</v>
      </c>
    </row>
    <row r="10" spans="1:10" x14ac:dyDescent="0.25">
      <c r="A10" s="6" t="s">
        <v>241</v>
      </c>
      <c r="B10" t="s">
        <v>212</v>
      </c>
      <c r="C10" s="4">
        <f>'Mailer Arrival Profile'!$D$21</f>
        <v>0</v>
      </c>
      <c r="D10" s="4">
        <f>'Conversion Factors'!$K$21</f>
        <v>1166.2220689128642</v>
      </c>
      <c r="E10" s="4">
        <f>'Productivity Data'!$I$28</f>
        <v>58.156985400220201</v>
      </c>
      <c r="F10" s="2">
        <f>'Wage Data'!$C$11</f>
        <v>49.154294657004115</v>
      </c>
      <c r="G10" s="4">
        <f>'Cost Pool Data'!$K$27</f>
        <v>1.3606061934437479</v>
      </c>
      <c r="H10" s="2">
        <f>(F10*G10)/(D10*E10)</f>
        <v>9.8607686586279944E-4</v>
      </c>
      <c r="I10" s="2">
        <f>C10*H10</f>
        <v>0</v>
      </c>
    </row>
    <row r="11" spans="1:10" x14ac:dyDescent="0.25">
      <c r="B11" t="s">
        <v>213</v>
      </c>
      <c r="C11" s="4">
        <f>'Mailer Arrival Profile'!$E$21</f>
        <v>0.77812316831422346</v>
      </c>
      <c r="D11" s="4">
        <f>'Conversion Factors'!$K$22</f>
        <v>751.10297650127052</v>
      </c>
      <c r="E11" s="4">
        <f>'Productivity Data'!$I$28</f>
        <v>58.156985400220201</v>
      </c>
      <c r="F11" s="2">
        <f>'Wage Data'!$C$11</f>
        <v>49.154294657004115</v>
      </c>
      <c r="G11" s="4">
        <f>'Cost Pool Data'!$K$27</f>
        <v>1.3606061934437479</v>
      </c>
      <c r="H11" s="2">
        <f>(F11*G11)/(D11*E11)</f>
        <v>1.5310611708269292E-3</v>
      </c>
      <c r="I11" s="2">
        <f>C11*H11</f>
        <v>1.1913541691267347E-3</v>
      </c>
    </row>
    <row r="12" spans="1:10" x14ac:dyDescent="0.25">
      <c r="B12" t="s">
        <v>214</v>
      </c>
      <c r="C12" s="4">
        <f>'Mailer Arrival Profile'!$F$21</f>
        <v>0.22187683168577657</v>
      </c>
      <c r="D12" s="4">
        <f>'Conversion Factors'!$K$23</f>
        <v>635.38219588437971</v>
      </c>
      <c r="E12" s="4">
        <f>'Productivity Data'!$I$27</f>
        <v>81.873572020007202</v>
      </c>
      <c r="F12" s="2">
        <f>'Wage Data'!$C$11</f>
        <v>49.154294657004115</v>
      </c>
      <c r="G12" s="4">
        <f>'Cost Pool Data'!$K$27</f>
        <v>1.3606061934437479</v>
      </c>
      <c r="H12" s="2">
        <f>(F12*G12)/(D12*E12)</f>
        <v>1.285627437392274E-3</v>
      </c>
      <c r="I12" s="2">
        <f>C12*H12</f>
        <v>2.8525094253690185E-4</v>
      </c>
    </row>
    <row r="13" spans="1:10" x14ac:dyDescent="0.25">
      <c r="B13" t="s">
        <v>227</v>
      </c>
      <c r="C13" s="4">
        <f>C9</f>
        <v>0</v>
      </c>
      <c r="D13" s="4">
        <f>'Conversion Factors'!$K$20</f>
        <v>729.1358506840312</v>
      </c>
      <c r="E13" s="4">
        <f>'Productivity Data'!$I$29</f>
        <v>50.764395048330648</v>
      </c>
      <c r="F13" s="2">
        <f>'Wage Data'!$C$11</f>
        <v>49.154294657004115</v>
      </c>
      <c r="G13" s="4">
        <f>'Cost Pool Data'!$K$27</f>
        <v>1.3606061934437479</v>
      </c>
      <c r="H13" s="2">
        <f t="shared" ref="H13:H22" si="0">(F13*G13)/(D13*E13)</f>
        <v>1.806867242618815E-3</v>
      </c>
      <c r="I13" s="2">
        <f t="shared" ref="I13:I22" si="1">C13*H13</f>
        <v>0</v>
      </c>
    </row>
    <row r="14" spans="1:10" x14ac:dyDescent="0.25">
      <c r="B14" t="s">
        <v>228</v>
      </c>
      <c r="C14" s="4">
        <f>C10</f>
        <v>0</v>
      </c>
      <c r="D14" s="4">
        <f>'Conversion Factors'!$K$21</f>
        <v>1166.2220689128642</v>
      </c>
      <c r="E14" s="4">
        <f>'Productivity Data'!$I$29</f>
        <v>50.764395048330648</v>
      </c>
      <c r="F14" s="2">
        <f>'Wage Data'!$C$11</f>
        <v>49.154294657004115</v>
      </c>
      <c r="G14" s="4">
        <f>'Cost Pool Data'!$K$27</f>
        <v>1.3606061934437479</v>
      </c>
      <c r="H14" s="2">
        <f t="shared" si="0"/>
        <v>1.1296748013421573E-3</v>
      </c>
      <c r="I14" s="2">
        <f t="shared" si="1"/>
        <v>0</v>
      </c>
    </row>
    <row r="15" spans="1:10" x14ac:dyDescent="0.25">
      <c r="B15" t="s">
        <v>200</v>
      </c>
      <c r="C15" s="4">
        <f>C11+C12</f>
        <v>1</v>
      </c>
      <c r="D15" s="4">
        <f>'Mailer Arrival Profile'!$I$21</f>
        <v>66.275974025974023</v>
      </c>
      <c r="E15" s="4">
        <f>'Productivity Data'!$I$14</f>
        <v>49.323981905738421</v>
      </c>
      <c r="F15" s="2">
        <f>'Wage Data'!$C$11</f>
        <v>49.154294657004115</v>
      </c>
      <c r="G15" s="4">
        <f>'Cost Pool Data'!$K$30</f>
        <v>1.2805162995566952</v>
      </c>
      <c r="H15" s="2">
        <f t="shared" si="0"/>
        <v>1.9254503780717091E-2</v>
      </c>
      <c r="I15" s="2">
        <f t="shared" si="1"/>
        <v>1.9254503780717091E-2</v>
      </c>
    </row>
    <row r="16" spans="1:10" x14ac:dyDescent="0.25">
      <c r="B16" t="s">
        <v>223</v>
      </c>
      <c r="C16" s="4">
        <f t="shared" ref="C16:C21" si="2">C13</f>
        <v>0</v>
      </c>
      <c r="D16" s="4">
        <f>'Conversion Factors'!$K$20</f>
        <v>729.1358506840312</v>
      </c>
      <c r="E16" s="4">
        <f>'Productivity Data'!$I$32</f>
        <v>61.728448910094343</v>
      </c>
      <c r="F16" s="2">
        <f>'Wage Data'!$C$11</f>
        <v>49.154294657004115</v>
      </c>
      <c r="G16" s="4">
        <f>'Cost Pool Data'!$K$27</f>
        <v>1.3606061934437479</v>
      </c>
      <c r="H16" s="2">
        <f t="shared" si="0"/>
        <v>1.4859359683212431E-3</v>
      </c>
      <c r="I16" s="2">
        <f t="shared" si="1"/>
        <v>0</v>
      </c>
    </row>
    <row r="17" spans="1:10" x14ac:dyDescent="0.25">
      <c r="B17" t="s">
        <v>224</v>
      </c>
      <c r="C17" s="4">
        <f t="shared" si="2"/>
        <v>0</v>
      </c>
      <c r="D17" s="4">
        <f>'Conversion Factors'!$K$21</f>
        <v>1166.2220689128642</v>
      </c>
      <c r="E17" s="4">
        <f>'Productivity Data'!$I$32</f>
        <v>61.728448910094343</v>
      </c>
      <c r="F17" s="2">
        <f>'Wage Data'!$C$11</f>
        <v>49.154294657004115</v>
      </c>
      <c r="G17" s="4">
        <f>'Cost Pool Data'!$K$27</f>
        <v>1.3606061934437479</v>
      </c>
      <c r="H17" s="2">
        <f t="shared" si="0"/>
        <v>9.2902476741319546E-4</v>
      </c>
      <c r="I17" s="2">
        <f t="shared" si="1"/>
        <v>0</v>
      </c>
    </row>
    <row r="18" spans="1:10" x14ac:dyDescent="0.25">
      <c r="A18" s="72"/>
      <c r="B18" s="79" t="s">
        <v>248</v>
      </c>
      <c r="C18" s="49">
        <f t="shared" si="2"/>
        <v>1</v>
      </c>
      <c r="D18" s="49">
        <f>'Conversion Factors'!$K$48</f>
        <v>278.88696895824546</v>
      </c>
      <c r="E18" s="49">
        <f>'Productivity Data'!$I$31</f>
        <v>91.071587890934111</v>
      </c>
      <c r="F18" s="48">
        <f>'Wage Data'!$C$11</f>
        <v>49.154294657004115</v>
      </c>
      <c r="G18" s="49">
        <f>'Cost Pool Data'!$K$27</f>
        <v>1.3606061934437479</v>
      </c>
      <c r="H18" s="48">
        <f t="shared" si="0"/>
        <v>2.6331935400217129E-3</v>
      </c>
      <c r="I18" s="75">
        <f t="shared" si="1"/>
        <v>2.6331935400217129E-3</v>
      </c>
      <c r="J18" s="76">
        <f>SUM(I9:I18)</f>
        <v>2.336430243240244E-2</v>
      </c>
    </row>
    <row r="19" spans="1:10" x14ac:dyDescent="0.25">
      <c r="A19" s="6" t="s">
        <v>243</v>
      </c>
      <c r="B19" t="s">
        <v>211</v>
      </c>
      <c r="C19" s="4">
        <f t="shared" si="2"/>
        <v>0</v>
      </c>
      <c r="D19" s="4">
        <f>'Conversion Factors'!$K$20</f>
        <v>729.1358506840312</v>
      </c>
      <c r="E19" s="4">
        <f>'Productivity Data'!$I$26</f>
        <v>48.58034429266948</v>
      </c>
      <c r="F19" s="2">
        <f>'Wage Data'!$C$11</f>
        <v>49.154294657004115</v>
      </c>
      <c r="G19" s="4">
        <f>'Cost Pool Data'!$K$48</f>
        <v>1.6214860636540271</v>
      </c>
      <c r="H19" s="2">
        <f t="shared" si="0"/>
        <v>2.2501198352502688E-3</v>
      </c>
      <c r="I19" s="2">
        <f t="shared" si="1"/>
        <v>0</v>
      </c>
    </row>
    <row r="20" spans="1:10" x14ac:dyDescent="0.25">
      <c r="A20" s="6" t="s">
        <v>85</v>
      </c>
      <c r="B20" t="s">
        <v>212</v>
      </c>
      <c r="C20" s="4">
        <f t="shared" si="2"/>
        <v>0</v>
      </c>
      <c r="D20" s="4">
        <f>'Conversion Factors'!$K$21</f>
        <v>1166.2220689128642</v>
      </c>
      <c r="E20" s="4">
        <f>'Productivity Data'!$I$26</f>
        <v>48.58034429266948</v>
      </c>
      <c r="F20" s="2">
        <f>'Wage Data'!$C$11</f>
        <v>49.154294657004115</v>
      </c>
      <c r="G20" s="4">
        <f>'Cost Pool Data'!$K$48</f>
        <v>1.6214860636540271</v>
      </c>
      <c r="H20" s="2">
        <f t="shared" si="0"/>
        <v>1.4068015723159835E-3</v>
      </c>
      <c r="I20" s="2">
        <f t="shared" si="1"/>
        <v>0</v>
      </c>
    </row>
    <row r="21" spans="1:10" x14ac:dyDescent="0.25">
      <c r="B21" t="s">
        <v>218</v>
      </c>
      <c r="C21" s="4">
        <f t="shared" si="2"/>
        <v>1</v>
      </c>
      <c r="D21" s="4">
        <f>'Conversion Factors'!$K$48</f>
        <v>278.88696895824546</v>
      </c>
      <c r="E21" s="4">
        <f>'Productivity Data'!$I$25</f>
        <v>60.332591436644847</v>
      </c>
      <c r="F21" s="2">
        <f>'Wage Data'!$C$11</f>
        <v>49.154294657004115</v>
      </c>
      <c r="G21" s="4">
        <f>'Cost Pool Data'!$K$48</f>
        <v>1.6214860636540271</v>
      </c>
      <c r="H21" s="2">
        <f t="shared" si="0"/>
        <v>4.7369029491089107E-3</v>
      </c>
      <c r="I21" s="2">
        <f t="shared" si="1"/>
        <v>4.7369029491089107E-3</v>
      </c>
    </row>
    <row r="22" spans="1:10" x14ac:dyDescent="0.25">
      <c r="A22" s="72"/>
      <c r="B22" s="79" t="s">
        <v>135</v>
      </c>
      <c r="C22" s="49">
        <f>SUM(C19:C21)</f>
        <v>1</v>
      </c>
      <c r="D22" s="49">
        <v>1</v>
      </c>
      <c r="E22" s="49">
        <f>'Productivity Data'!$I$22</f>
        <v>307.66822713635111</v>
      </c>
      <c r="F22" s="48">
        <f>'Wage Data'!$C$11</f>
        <v>49.154294657004115</v>
      </c>
      <c r="G22" s="49">
        <f>'Cost Pool Data'!$K$57</f>
        <v>1.4957786551922303</v>
      </c>
      <c r="H22" s="48">
        <f t="shared" si="0"/>
        <v>0.23897152280983572</v>
      </c>
      <c r="I22" s="75">
        <f t="shared" si="1"/>
        <v>0.23897152280983572</v>
      </c>
      <c r="J22" s="76">
        <f>SUM(I19:I22)</f>
        <v>0.24370842575894464</v>
      </c>
    </row>
    <row r="24" spans="1:10" x14ac:dyDescent="0.25">
      <c r="A24" s="29" t="s">
        <v>259</v>
      </c>
      <c r="I24" s="80" t="s">
        <v>203</v>
      </c>
      <c r="J24" s="81">
        <f>J18+J22</f>
        <v>0.26707272819134709</v>
      </c>
    </row>
    <row r="25" spans="1:10" x14ac:dyDescent="0.25">
      <c r="A25" s="6" t="s">
        <v>296</v>
      </c>
      <c r="F25"/>
      <c r="G25"/>
      <c r="H25"/>
      <c r="I25"/>
    </row>
    <row r="26" spans="1:10" x14ac:dyDescent="0.25">
      <c r="A26" s="6" t="s">
        <v>297</v>
      </c>
    </row>
    <row r="27" spans="1:10" x14ac:dyDescent="0.25">
      <c r="A27" s="6" t="s">
        <v>298</v>
      </c>
    </row>
    <row r="28" spans="1:10" x14ac:dyDescent="0.25">
      <c r="A28" s="6" t="s">
        <v>299</v>
      </c>
    </row>
    <row r="29" spans="1:10" x14ac:dyDescent="0.25">
      <c r="A29" s="6" t="s">
        <v>277</v>
      </c>
    </row>
    <row r="30" spans="1:10" x14ac:dyDescent="0.25">
      <c r="A30" s="6" t="s">
        <v>300</v>
      </c>
    </row>
    <row r="31" spans="1:10" x14ac:dyDescent="0.25">
      <c r="A31" s="6" t="s">
        <v>301</v>
      </c>
    </row>
  </sheetData>
  <phoneticPr fontId="3" type="noConversion"/>
  <printOptions horizontalCentered="1"/>
  <pageMargins left="0.75" right="0.75" top="1" bottom="1" header="0.5" footer="0.5"/>
  <pageSetup scale="61" orientation="portrait" r:id="rId1"/>
  <headerFooter alignWithMargins="0">
    <oddHeader>&amp;RPage 31 of 50</oddHeader>
    <oddFooter>&amp;R&amp;F</oddFooter>
  </headerFooter>
  <ignoredErrors>
    <ignoredError sqref="G15" formula="1"/>
  </ignoredError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42">
    <pageSetUpPr fitToPage="1"/>
  </sheetPr>
  <dimension ref="A1:J22"/>
  <sheetViews>
    <sheetView zoomScale="75" workbookViewId="0">
      <selection activeCell="P22" sqref="P21:P22"/>
    </sheetView>
  </sheetViews>
  <sheetFormatPr defaultColWidth="9.109375" defaultRowHeight="13.2" x14ac:dyDescent="0.25"/>
  <cols>
    <col min="1" max="1" width="15.6640625" style="6" customWidth="1"/>
    <col min="2" max="2" width="30.6640625" style="6" customWidth="1"/>
    <col min="3" max="5" width="12.6640625" style="4" customWidth="1"/>
    <col min="6" max="6" width="12.6640625" style="2" customWidth="1"/>
    <col min="7" max="7" width="12.6640625" style="4" customWidth="1"/>
    <col min="8" max="9" width="12.6640625" style="2" customWidth="1"/>
    <col min="10" max="10" width="12.6640625" customWidth="1"/>
  </cols>
  <sheetData>
    <row r="1" spans="1:10" ht="15.6" x14ac:dyDescent="0.3">
      <c r="A1" s="5" t="s">
        <v>405</v>
      </c>
      <c r="B1" s="5"/>
    </row>
    <row r="4" spans="1:10" x14ac:dyDescent="0.25">
      <c r="C4" s="8" t="s">
        <v>107</v>
      </c>
      <c r="D4" s="8" t="s">
        <v>108</v>
      </c>
      <c r="E4" s="8" t="s">
        <v>109</v>
      </c>
      <c r="F4" s="50" t="s">
        <v>112</v>
      </c>
      <c r="G4" s="8" t="s">
        <v>156</v>
      </c>
      <c r="H4" s="50" t="s">
        <v>157</v>
      </c>
      <c r="I4" s="50" t="s">
        <v>192</v>
      </c>
    </row>
    <row r="5" spans="1:10" x14ac:dyDescent="0.25">
      <c r="A5" s="70"/>
      <c r="F5" s="50" t="s">
        <v>155</v>
      </c>
      <c r="H5" s="50" t="s">
        <v>3</v>
      </c>
      <c r="I5" s="50" t="s">
        <v>3</v>
      </c>
    </row>
    <row r="6" spans="1:10" s="6" customFormat="1" x14ac:dyDescent="0.25">
      <c r="C6" s="8"/>
      <c r="D6" s="8" t="s">
        <v>202</v>
      </c>
      <c r="E6" s="8" t="s">
        <v>101</v>
      </c>
      <c r="F6" s="50" t="s">
        <v>103</v>
      </c>
      <c r="G6" s="8" t="s">
        <v>105</v>
      </c>
      <c r="H6" s="50" t="s">
        <v>207</v>
      </c>
      <c r="I6" s="50" t="s">
        <v>206</v>
      </c>
    </row>
    <row r="7" spans="1:10" s="6" customFormat="1" x14ac:dyDescent="0.25">
      <c r="A7" s="6" t="s">
        <v>84</v>
      </c>
      <c r="B7" s="6" t="s">
        <v>76</v>
      </c>
      <c r="C7" s="8" t="s">
        <v>199</v>
      </c>
      <c r="D7" s="8" t="s">
        <v>81</v>
      </c>
      <c r="E7" s="8" t="s">
        <v>102</v>
      </c>
      <c r="F7" s="50" t="s">
        <v>104</v>
      </c>
      <c r="G7" s="8" t="s">
        <v>81</v>
      </c>
      <c r="H7" s="50" t="s">
        <v>76</v>
      </c>
      <c r="I7" s="50" t="s">
        <v>84</v>
      </c>
    </row>
    <row r="8" spans="1:10" x14ac:dyDescent="0.25">
      <c r="A8" s="72"/>
      <c r="B8" s="72"/>
      <c r="C8" s="49"/>
      <c r="D8" s="49"/>
      <c r="E8" s="49"/>
      <c r="F8" s="48"/>
      <c r="G8" s="49"/>
      <c r="H8" s="48"/>
      <c r="I8" s="48"/>
      <c r="J8" s="79"/>
    </row>
    <row r="9" spans="1:10" x14ac:dyDescent="0.25">
      <c r="A9" s="6" t="s">
        <v>243</v>
      </c>
      <c r="B9" t="s">
        <v>211</v>
      </c>
      <c r="C9" s="4">
        <f>'Mailer Arrival Profile'!$C$22</f>
        <v>0</v>
      </c>
      <c r="D9" s="4">
        <f>'Conversion Factors'!$K$20</f>
        <v>729.1358506840312</v>
      </c>
      <c r="E9" s="4">
        <f>'Productivity Data'!$I$26</f>
        <v>48.58034429266948</v>
      </c>
      <c r="F9" s="2">
        <f>'Wage Data'!$C$11</f>
        <v>49.154294657004115</v>
      </c>
      <c r="G9" s="4">
        <f>'Cost Pool Data'!$K$48</f>
        <v>1.6214860636540271</v>
      </c>
      <c r="H9" s="2">
        <f>(F9*G9)/(D9*E9)</f>
        <v>2.2501198352502688E-3</v>
      </c>
      <c r="I9" s="2">
        <f>C9*H9</f>
        <v>0</v>
      </c>
    </row>
    <row r="10" spans="1:10" x14ac:dyDescent="0.25">
      <c r="A10" s="6" t="s">
        <v>85</v>
      </c>
      <c r="B10" t="s">
        <v>212</v>
      </c>
      <c r="C10" s="4">
        <f>'Mailer Arrival Profile'!$D$22</f>
        <v>0</v>
      </c>
      <c r="D10" s="4">
        <f>'Conversion Factors'!$K$21</f>
        <v>1166.2220689128642</v>
      </c>
      <c r="E10" s="4">
        <f>'Productivity Data'!$I$26</f>
        <v>48.58034429266948</v>
      </c>
      <c r="F10" s="2">
        <f>'Wage Data'!$C$11</f>
        <v>49.154294657004115</v>
      </c>
      <c r="G10" s="4">
        <f>'Cost Pool Data'!$K$48</f>
        <v>1.6214860636540271</v>
      </c>
      <c r="H10" s="2">
        <f>(F10*G10)/(D10*E10)</f>
        <v>1.4068015723159835E-3</v>
      </c>
      <c r="I10" s="2">
        <f>C10*H10</f>
        <v>0</v>
      </c>
    </row>
    <row r="11" spans="1:10" x14ac:dyDescent="0.25">
      <c r="B11" t="s">
        <v>213</v>
      </c>
      <c r="C11" s="4">
        <f>'Mailer Arrival Profile'!$E$22</f>
        <v>0</v>
      </c>
      <c r="D11" s="4">
        <f>'Conversion Factors'!$K$22</f>
        <v>751.10297650127052</v>
      </c>
      <c r="E11" s="4">
        <f>'Productivity Data'!$I$26</f>
        <v>48.58034429266948</v>
      </c>
      <c r="F11" s="2">
        <f>'Wage Data'!$C$11</f>
        <v>49.154294657004115</v>
      </c>
      <c r="G11" s="4">
        <f>'Cost Pool Data'!$K$48</f>
        <v>1.6214860636540271</v>
      </c>
      <c r="H11" s="2">
        <f>(F11*G11)/(D11*E11)</f>
        <v>2.1843117276122807E-3</v>
      </c>
      <c r="I11" s="2">
        <f>C11*H11</f>
        <v>0</v>
      </c>
    </row>
    <row r="12" spans="1:10" x14ac:dyDescent="0.25">
      <c r="B12" t="s">
        <v>214</v>
      </c>
      <c r="C12" s="4">
        <f>'Mailer Arrival Profile'!$F$22</f>
        <v>1</v>
      </c>
      <c r="D12" s="4">
        <f>'Conversion Factors'!$K$23</f>
        <v>635.38219588437971</v>
      </c>
      <c r="E12" s="4">
        <f>'Productivity Data'!$I$25</f>
        <v>60.332591436644847</v>
      </c>
      <c r="F12" s="2">
        <f>'Wage Data'!$C$11</f>
        <v>49.154294657004115</v>
      </c>
      <c r="G12" s="4">
        <f>'Cost Pool Data'!$K$48</f>
        <v>1.6214860636540271</v>
      </c>
      <c r="H12" s="2">
        <f>(F12*G12)/(D12*E12)</f>
        <v>2.0791588342943608E-3</v>
      </c>
      <c r="I12" s="2">
        <f>C12*H12</f>
        <v>2.0791588342943608E-3</v>
      </c>
    </row>
    <row r="13" spans="1:10" x14ac:dyDescent="0.25">
      <c r="A13" s="72"/>
      <c r="B13" s="79" t="s">
        <v>135</v>
      </c>
      <c r="C13" s="49">
        <f>SUM(C9:C12)</f>
        <v>1</v>
      </c>
      <c r="D13" s="49">
        <v>1</v>
      </c>
      <c r="E13" s="49">
        <f>'Productivity Data'!$I$22</f>
        <v>307.66822713635111</v>
      </c>
      <c r="F13" s="48">
        <f>'Wage Data'!$C$11</f>
        <v>49.154294657004115</v>
      </c>
      <c r="G13" s="49">
        <f>'Cost Pool Data'!$K$57</f>
        <v>1.4957786551922303</v>
      </c>
      <c r="H13" s="48">
        <f>(F13*G13)/(D13*E13)</f>
        <v>0.23897152280983572</v>
      </c>
      <c r="I13" s="75">
        <f>C13*H13</f>
        <v>0.23897152280983572</v>
      </c>
      <c r="J13" s="76">
        <f>SUM(I9:I13)</f>
        <v>0.24105068164413007</v>
      </c>
    </row>
    <row r="15" spans="1:10" x14ac:dyDescent="0.25">
      <c r="A15" s="29" t="s">
        <v>259</v>
      </c>
      <c r="I15" s="80" t="s">
        <v>203</v>
      </c>
      <c r="J15" s="81">
        <f>J13</f>
        <v>0.24105068164413007</v>
      </c>
    </row>
    <row r="16" spans="1:10" x14ac:dyDescent="0.25">
      <c r="A16" s="6" t="s">
        <v>296</v>
      </c>
      <c r="F16"/>
      <c r="G16"/>
      <c r="H16"/>
      <c r="I16"/>
    </row>
    <row r="17" spans="1:1" x14ac:dyDescent="0.25">
      <c r="A17" s="6" t="s">
        <v>297</v>
      </c>
    </row>
    <row r="18" spans="1:1" x14ac:dyDescent="0.25">
      <c r="A18" s="6" t="s">
        <v>298</v>
      </c>
    </row>
    <row r="19" spans="1:1" x14ac:dyDescent="0.25">
      <c r="A19" s="6" t="s">
        <v>299</v>
      </c>
    </row>
    <row r="20" spans="1:1" x14ac:dyDescent="0.25">
      <c r="A20" s="6" t="s">
        <v>277</v>
      </c>
    </row>
    <row r="21" spans="1:1" x14ac:dyDescent="0.25">
      <c r="A21" s="6" t="s">
        <v>300</v>
      </c>
    </row>
    <row r="22" spans="1:1" x14ac:dyDescent="0.25">
      <c r="A22" s="6" t="s">
        <v>301</v>
      </c>
    </row>
  </sheetData>
  <phoneticPr fontId="3" type="noConversion"/>
  <printOptions horizontalCentered="1"/>
  <pageMargins left="0.75" right="0.75" top="1" bottom="1" header="0.5" footer="0.5"/>
  <pageSetup scale="61" orientation="portrait" r:id="rId1"/>
  <headerFooter alignWithMargins="0">
    <oddHeader>&amp;RPage 32 of 50</oddHeader>
    <oddFooter>&amp;R&amp;F</oddFoot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43">
    <pageSetUpPr fitToPage="1"/>
  </sheetPr>
  <dimension ref="A1:J58"/>
  <sheetViews>
    <sheetView topLeftCell="A22" zoomScale="75" workbookViewId="0">
      <selection activeCell="Q33" sqref="Q33"/>
    </sheetView>
  </sheetViews>
  <sheetFormatPr defaultColWidth="9.109375" defaultRowHeight="13.2" x14ac:dyDescent="0.25"/>
  <cols>
    <col min="1" max="1" width="15.6640625" style="6" customWidth="1"/>
    <col min="2" max="2" width="30.6640625" style="6" customWidth="1"/>
    <col min="3" max="5" width="12.6640625" style="4" customWidth="1"/>
    <col min="6" max="6" width="12.6640625" style="2" customWidth="1"/>
    <col min="7" max="7" width="12.6640625" style="4" customWidth="1"/>
    <col min="8" max="9" width="12.6640625" style="2" customWidth="1"/>
    <col min="10" max="10" width="12.6640625" customWidth="1"/>
  </cols>
  <sheetData>
    <row r="1" spans="1:10" ht="15.6" x14ac:dyDescent="0.3">
      <c r="A1" s="5" t="s">
        <v>406</v>
      </c>
      <c r="B1" s="5"/>
    </row>
    <row r="4" spans="1:10" x14ac:dyDescent="0.25">
      <c r="C4" s="8" t="s">
        <v>107</v>
      </c>
      <c r="D4" s="8" t="s">
        <v>108</v>
      </c>
      <c r="E4" s="8" t="s">
        <v>109</v>
      </c>
      <c r="F4" s="50" t="s">
        <v>112</v>
      </c>
      <c r="G4" s="8" t="s">
        <v>156</v>
      </c>
      <c r="H4" s="50" t="s">
        <v>157</v>
      </c>
      <c r="I4" s="50" t="s">
        <v>192</v>
      </c>
    </row>
    <row r="5" spans="1:10" x14ac:dyDescent="0.25">
      <c r="A5" s="70"/>
      <c r="F5" s="50" t="s">
        <v>155</v>
      </c>
      <c r="H5" s="50" t="s">
        <v>3</v>
      </c>
      <c r="I5" s="50" t="s">
        <v>3</v>
      </c>
    </row>
    <row r="6" spans="1:10" s="6" customFormat="1" x14ac:dyDescent="0.25">
      <c r="C6" s="8"/>
      <c r="D6" s="8" t="s">
        <v>202</v>
      </c>
      <c r="E6" s="8" t="s">
        <v>101</v>
      </c>
      <c r="F6" s="50" t="s">
        <v>103</v>
      </c>
      <c r="G6" s="8" t="s">
        <v>105</v>
      </c>
      <c r="H6" s="50" t="s">
        <v>207</v>
      </c>
      <c r="I6" s="50" t="s">
        <v>206</v>
      </c>
    </row>
    <row r="7" spans="1:10" s="6" customFormat="1" x14ac:dyDescent="0.25">
      <c r="A7" s="6" t="s">
        <v>84</v>
      </c>
      <c r="B7" s="6" t="s">
        <v>76</v>
      </c>
      <c r="C7" s="8" t="s">
        <v>199</v>
      </c>
      <c r="D7" s="8" t="s">
        <v>81</v>
      </c>
      <c r="E7" s="8" t="s">
        <v>102</v>
      </c>
      <c r="F7" s="50" t="s">
        <v>104</v>
      </c>
      <c r="G7" s="8" t="s">
        <v>81</v>
      </c>
      <c r="H7" s="50" t="s">
        <v>76</v>
      </c>
      <c r="I7" s="50" t="s">
        <v>84</v>
      </c>
    </row>
    <row r="8" spans="1:10" x14ac:dyDescent="0.25">
      <c r="A8" s="72"/>
      <c r="B8" s="72"/>
      <c r="C8" s="49"/>
      <c r="D8" s="49"/>
      <c r="E8" s="49"/>
      <c r="F8" s="48"/>
      <c r="G8" s="49"/>
      <c r="H8" s="48"/>
      <c r="I8" s="48"/>
      <c r="J8" s="79"/>
    </row>
    <row r="9" spans="1:10" x14ac:dyDescent="0.25">
      <c r="A9" s="6" t="s">
        <v>240</v>
      </c>
      <c r="B9" s="12" t="s">
        <v>211</v>
      </c>
      <c r="C9" s="4">
        <f>'Mailer Arrival Profile'!$D$47*'Mailer Arrival Profile'!$C$24</f>
        <v>4.7279228967901949E-3</v>
      </c>
      <c r="D9" s="4">
        <f>'Conversion Factors'!$L$20</f>
        <v>1048.0309783429961</v>
      </c>
      <c r="E9" s="4">
        <f>'Productivity Data'!$I$26</f>
        <v>48.58034429266948</v>
      </c>
      <c r="F9" s="2">
        <f>'Wage Data'!$C$11</f>
        <v>49.154294657004115</v>
      </c>
      <c r="G9" s="4">
        <f>'Cost Pool Data'!$K$48</f>
        <v>1.6214860636540271</v>
      </c>
      <c r="H9" s="2">
        <f>(F9*G9)/(D9*E9)</f>
        <v>1.5654528101928609E-3</v>
      </c>
      <c r="I9" s="2">
        <f>C9*H9</f>
        <v>7.4013401851553816E-6</v>
      </c>
    </row>
    <row r="10" spans="1:10" x14ac:dyDescent="0.25">
      <c r="A10" s="6" t="s">
        <v>85</v>
      </c>
      <c r="B10" s="12" t="s">
        <v>212</v>
      </c>
      <c r="C10" s="4">
        <f>'Mailer Arrival Profile'!$D$47*'Mailer Arrival Profile'!$D$24</f>
        <v>0.1559334942378571</v>
      </c>
      <c r="D10" s="4">
        <f>'Conversion Factors'!$L$21</f>
        <v>1676.2813880312062</v>
      </c>
      <c r="E10" s="4">
        <f>'Productivity Data'!$I$26</f>
        <v>48.58034429266948</v>
      </c>
      <c r="F10" s="2">
        <f>'Wage Data'!$C$11</f>
        <v>49.154294657004115</v>
      </c>
      <c r="G10" s="4">
        <f>'Cost Pool Data'!$K$48</f>
        <v>1.6214860636540271</v>
      </c>
      <c r="H10" s="2">
        <f>(F10*G10)/(D10*E10)</f>
        <v>9.7873963878054686E-4</v>
      </c>
      <c r="I10" s="2">
        <f>C10*H10</f>
        <v>1.5261829182414876E-4</v>
      </c>
    </row>
    <row r="11" spans="1:10" x14ac:dyDescent="0.25">
      <c r="B11" s="12" t="s">
        <v>213</v>
      </c>
      <c r="C11" s="4">
        <f>'Mailer Arrival Profile'!$D$47*'Mailer Arrival Profile'!$E$24</f>
        <v>2.1022764136425239E-2</v>
      </c>
      <c r="D11" s="4">
        <f>'Conversion Factors'!$L$22</f>
        <v>1079.6056545024896</v>
      </c>
      <c r="E11" s="4">
        <f>'Productivity Data'!$I$26</f>
        <v>48.58034429266948</v>
      </c>
      <c r="F11" s="2">
        <f>'Wage Data'!$C$11</f>
        <v>49.154294657004115</v>
      </c>
      <c r="G11" s="4">
        <f>'Cost Pool Data'!$K$48</f>
        <v>1.6214860636540271</v>
      </c>
      <c r="H11" s="2">
        <f>(F11*G11)/(D11*E11)</f>
        <v>1.519668809971422E-3</v>
      </c>
      <c r="I11" s="2">
        <f>C11*H11</f>
        <v>3.1947638957511234E-5</v>
      </c>
    </row>
    <row r="12" spans="1:10" x14ac:dyDescent="0.25">
      <c r="B12" s="12" t="s">
        <v>214</v>
      </c>
      <c r="C12" s="4">
        <f>'Mailer Arrival Profile'!$D$47*'Mailer Arrival Profile'!$F$24</f>
        <v>9.2359424030320093E-3</v>
      </c>
      <c r="D12" s="4">
        <f>'Conversion Factors'!$L$23</f>
        <v>913.27319010541089</v>
      </c>
      <c r="E12" s="4">
        <f>'Productivity Data'!$I$25</f>
        <v>60.332591436644847</v>
      </c>
      <c r="F12" s="2">
        <f>'Wage Data'!$C$11</f>
        <v>49.154294657004115</v>
      </c>
      <c r="G12" s="4">
        <f>'Cost Pool Data'!$K$48</f>
        <v>1.6214860636540271</v>
      </c>
      <c r="H12" s="2">
        <f>(F12*G12)/(D12*E12)</f>
        <v>1.4465118652764568E-3</v>
      </c>
      <c r="I12" s="2">
        <f>C12*H12</f>
        <v>1.3359900272995752E-5</v>
      </c>
    </row>
    <row r="13" spans="1:10" x14ac:dyDescent="0.25">
      <c r="B13" t="s">
        <v>223</v>
      </c>
      <c r="C13" s="4">
        <f>C9</f>
        <v>4.7279228967901949E-3</v>
      </c>
      <c r="D13" s="4">
        <f>'Conversion Factors'!$L$20</f>
        <v>1048.0309783429961</v>
      </c>
      <c r="E13" s="4">
        <f>'Productivity Data'!$I$24</f>
        <v>43.137464151665213</v>
      </c>
      <c r="F13" s="2">
        <f>'Wage Data'!$C$11</f>
        <v>49.154294657004115</v>
      </c>
      <c r="G13" s="4">
        <f>'Cost Pool Data'!$K$48</f>
        <v>1.6214860636540271</v>
      </c>
      <c r="H13" s="2">
        <f>(F13*G13)/(D13*E13)</f>
        <v>1.7629742032520567E-3</v>
      </c>
      <c r="I13" s="2">
        <f>C13*H13</f>
        <v>8.3352061020058493E-6</v>
      </c>
    </row>
    <row r="14" spans="1:10" x14ac:dyDescent="0.25">
      <c r="B14" t="s">
        <v>224</v>
      </c>
      <c r="C14" s="4">
        <f>C10</f>
        <v>0.1559334942378571</v>
      </c>
      <c r="D14" s="4">
        <f>'Conversion Factors'!$L$21</f>
        <v>1676.2813880312062</v>
      </c>
      <c r="E14" s="4">
        <f>'Productivity Data'!$I$24</f>
        <v>43.137464151665213</v>
      </c>
      <c r="F14" s="2">
        <f>'Wage Data'!$C$11</f>
        <v>49.154294657004115</v>
      </c>
      <c r="G14" s="4">
        <f>'Cost Pool Data'!$K$48</f>
        <v>1.6214860636540271</v>
      </c>
      <c r="H14" s="2">
        <f t="shared" ref="H14:H49" si="0">(F14*G14)/(D14*E14)</f>
        <v>1.1022323532433808E-3</v>
      </c>
      <c r="I14" s="2">
        <f t="shared" ref="I14:I49" si="1">C14*H14</f>
        <v>1.7187494230325639E-4</v>
      </c>
    </row>
    <row r="15" spans="1:10" x14ac:dyDescent="0.25">
      <c r="B15" s="12" t="s">
        <v>225</v>
      </c>
      <c r="C15" s="4">
        <f>C11</f>
        <v>2.1022764136425239E-2</v>
      </c>
      <c r="D15" s="4">
        <f>'Conversion Factors'!$L$22</f>
        <v>1079.6056545024896</v>
      </c>
      <c r="E15" s="4">
        <f>'Productivity Data'!$I$24</f>
        <v>43.137464151665213</v>
      </c>
      <c r="F15" s="2">
        <f>'Wage Data'!$C$11</f>
        <v>49.154294657004115</v>
      </c>
      <c r="G15" s="4">
        <f>'Cost Pool Data'!$K$48</f>
        <v>1.6214860636540271</v>
      </c>
      <c r="H15" s="2">
        <f t="shared" si="0"/>
        <v>1.7114133955505851E-3</v>
      </c>
      <c r="I15" s="2">
        <f t="shared" si="1"/>
        <v>3.5978640154578584E-5</v>
      </c>
    </row>
    <row r="16" spans="1:10" x14ac:dyDescent="0.25">
      <c r="A16" s="72"/>
      <c r="B16" s="74" t="s">
        <v>226</v>
      </c>
      <c r="C16" s="49">
        <f>C12</f>
        <v>9.2359424030320093E-3</v>
      </c>
      <c r="D16" s="49">
        <f>'Conversion Factors'!$L$23</f>
        <v>913.27319010541089</v>
      </c>
      <c r="E16" s="49">
        <f>'Productivity Data'!$I$23</f>
        <v>68.564044141410264</v>
      </c>
      <c r="F16" s="48">
        <f>'Wage Data'!$C$11</f>
        <v>49.154294657004115</v>
      </c>
      <c r="G16" s="49">
        <f>'Cost Pool Data'!$K$48</f>
        <v>1.6214860636540271</v>
      </c>
      <c r="H16" s="48">
        <f t="shared" si="0"/>
        <v>1.27285095954943E-3</v>
      </c>
      <c r="I16" s="75">
        <f t="shared" si="1"/>
        <v>1.1755978150042561E-5</v>
      </c>
      <c r="J16" s="76">
        <f>SUM(I9:I16)</f>
        <v>4.3327193794969452E-4</v>
      </c>
    </row>
    <row r="17" spans="1:10" x14ac:dyDescent="0.25">
      <c r="A17" s="6" t="s">
        <v>240</v>
      </c>
      <c r="B17" t="s">
        <v>211</v>
      </c>
      <c r="C17" s="4">
        <f>'Mailer Arrival Profile'!$D$48*'Mailer Arrival Profile'!$C$24+C13</f>
        <v>1.3638941053698951E-2</v>
      </c>
      <c r="D17" s="4">
        <f>'Conversion Factors'!$L$20</f>
        <v>1048.0309783429961</v>
      </c>
      <c r="E17" s="4">
        <f>'Productivity Data'!$I$28</f>
        <v>58.156985400220201</v>
      </c>
      <c r="F17" s="2">
        <f>'Wage Data'!$C$11</f>
        <v>49.154294657004115</v>
      </c>
      <c r="G17" s="4">
        <f>'Cost Pool Data'!$K$27</f>
        <v>1.3606061934437479</v>
      </c>
      <c r="H17" s="2">
        <f t="shared" si="0"/>
        <v>1.0972811170446752E-3</v>
      </c>
      <c r="I17" s="2">
        <f t="shared" si="1"/>
        <v>1.4965752474709265E-5</v>
      </c>
    </row>
    <row r="18" spans="1:10" x14ac:dyDescent="0.25">
      <c r="A18" s="6" t="s">
        <v>241</v>
      </c>
      <c r="B18" t="s">
        <v>212</v>
      </c>
      <c r="C18" s="4">
        <f>'Mailer Arrival Profile'!$D$48*'Mailer Arrival Profile'!$D$24+C14</f>
        <v>0.44983130703153151</v>
      </c>
      <c r="D18" s="4">
        <f>'Conversion Factors'!$L$21</f>
        <v>1676.2813880312062</v>
      </c>
      <c r="E18" s="4">
        <f>'Productivity Data'!$I$28</f>
        <v>58.156985400220201</v>
      </c>
      <c r="F18" s="2">
        <f>'Wage Data'!$C$11</f>
        <v>49.154294657004115</v>
      </c>
      <c r="G18" s="4">
        <f>'Cost Pool Data'!$K$27</f>
        <v>1.3606061934437479</v>
      </c>
      <c r="H18" s="2">
        <f t="shared" si="0"/>
        <v>6.8603315101188622E-4</v>
      </c>
      <c r="I18" s="2">
        <f t="shared" si="1"/>
        <v>3.0859918898663684E-4</v>
      </c>
    </row>
    <row r="19" spans="1:10" x14ac:dyDescent="0.25">
      <c r="B19" t="s">
        <v>213</v>
      </c>
      <c r="C19" s="4">
        <f>'Mailer Arrival Profile'!$D$48*'Mailer Arrival Profile'!$E$24+C15</f>
        <v>6.0645709987610215E-2</v>
      </c>
      <c r="D19" s="4">
        <f>'Conversion Factors'!$L$22</f>
        <v>1079.6056545024896</v>
      </c>
      <c r="E19" s="4">
        <f>'Productivity Data'!$I$28</f>
        <v>58.156985400220201</v>
      </c>
      <c r="F19" s="2">
        <f>'Wage Data'!$C$11</f>
        <v>49.154294657004115</v>
      </c>
      <c r="G19" s="4">
        <f>'Cost Pool Data'!$K$27</f>
        <v>1.3606061934437479</v>
      </c>
      <c r="H19" s="2">
        <f t="shared" si="0"/>
        <v>1.0651894956437307E-3</v>
      </c>
      <c r="I19" s="2">
        <f t="shared" si="1"/>
        <v>6.4599173234658493E-5</v>
      </c>
    </row>
    <row r="20" spans="1:10" x14ac:dyDescent="0.25">
      <c r="B20" t="s">
        <v>214</v>
      </c>
      <c r="C20" s="4">
        <f>'Mailer Arrival Profile'!$D$48*'Mailer Arrival Profile'!$F$24+C16</f>
        <v>2.6643512756063067E-2</v>
      </c>
      <c r="D20" s="4">
        <f>'Conversion Factors'!$L$23</f>
        <v>913.27319010541089</v>
      </c>
      <c r="E20" s="4">
        <f>'Productivity Data'!$I$27</f>
        <v>81.873572020007202</v>
      </c>
      <c r="F20" s="2">
        <f>'Wage Data'!$C$11</f>
        <v>49.154294657004115</v>
      </c>
      <c r="G20" s="4">
        <f>'Cost Pool Data'!$K$27</f>
        <v>1.3606061934437479</v>
      </c>
      <c r="H20" s="2">
        <f t="shared" si="0"/>
        <v>8.9443639987420154E-4</v>
      </c>
      <c r="I20" s="2">
        <f t="shared" si="1"/>
        <v>2.3830927629535415E-5</v>
      </c>
    </row>
    <row r="21" spans="1:10" x14ac:dyDescent="0.25">
      <c r="B21" t="s">
        <v>227</v>
      </c>
      <c r="C21" s="4">
        <f t="shared" ref="C21:C28" si="2">C17</f>
        <v>1.3638941053698951E-2</v>
      </c>
      <c r="D21" s="4">
        <f>'Conversion Factors'!$L$20</f>
        <v>1048.0309783429961</v>
      </c>
      <c r="E21" s="4">
        <f>'Productivity Data'!$I$30</f>
        <v>39.899251235537818</v>
      </c>
      <c r="F21" s="2">
        <f>'Wage Data'!$C$11</f>
        <v>49.154294657004115</v>
      </c>
      <c r="G21" s="4">
        <f>'Cost Pool Data'!$K$27</f>
        <v>1.3606061934437479</v>
      </c>
      <c r="H21" s="2">
        <f t="shared" si="0"/>
        <v>1.5993924679735738E-3</v>
      </c>
      <c r="I21" s="2">
        <f t="shared" si="1"/>
        <v>2.181401959242166E-5</v>
      </c>
    </row>
    <row r="22" spans="1:10" x14ac:dyDescent="0.25">
      <c r="B22" t="s">
        <v>228</v>
      </c>
      <c r="C22" s="4">
        <f t="shared" si="2"/>
        <v>0.44983130703153151</v>
      </c>
      <c r="D22" s="4">
        <f>'Conversion Factors'!$L$21</f>
        <v>1676.2813880312062</v>
      </c>
      <c r="E22" s="4">
        <f>'Productivity Data'!$I$30</f>
        <v>39.899251235537818</v>
      </c>
      <c r="F22" s="2">
        <f>'Wage Data'!$C$11</f>
        <v>49.154294657004115</v>
      </c>
      <c r="G22" s="4">
        <f>'Cost Pool Data'!$K$27</f>
        <v>1.3606061934437479</v>
      </c>
      <c r="H22" s="2">
        <f t="shared" si="0"/>
        <v>9.9995911481990307E-4</v>
      </c>
      <c r="I22" s="2">
        <f t="shared" si="1"/>
        <v>4.4981291559753031E-4</v>
      </c>
    </row>
    <row r="23" spans="1:10" x14ac:dyDescent="0.25">
      <c r="B23" t="s">
        <v>229</v>
      </c>
      <c r="C23" s="4">
        <f t="shared" si="2"/>
        <v>6.0645709987610215E-2</v>
      </c>
      <c r="D23" s="4">
        <f>'Conversion Factors'!$L$22</f>
        <v>1079.6056545024896</v>
      </c>
      <c r="E23" s="4">
        <f>'Productivity Data'!$I$30</f>
        <v>39.899251235537818</v>
      </c>
      <c r="F23" s="2">
        <f>'Wage Data'!$C$11</f>
        <v>49.154294657004115</v>
      </c>
      <c r="G23" s="4">
        <f>'Cost Pool Data'!$K$27</f>
        <v>1.3606061934437479</v>
      </c>
      <c r="H23" s="2">
        <f t="shared" si="0"/>
        <v>1.5526158518845534E-3</v>
      </c>
      <c r="I23" s="2">
        <f t="shared" si="1"/>
        <v>9.4159490675557007E-5</v>
      </c>
    </row>
    <row r="24" spans="1:10" x14ac:dyDescent="0.25">
      <c r="B24" t="s">
        <v>230</v>
      </c>
      <c r="C24" s="4">
        <f t="shared" si="2"/>
        <v>2.6643512756063067E-2</v>
      </c>
      <c r="D24" s="4">
        <f>'Conversion Factors'!$L$23</f>
        <v>913.27319010541089</v>
      </c>
      <c r="E24" s="4">
        <f>'Productivity Data'!$I$29</f>
        <v>50.764395048330648</v>
      </c>
      <c r="F24" s="2">
        <f>'Wage Data'!$C$11</f>
        <v>49.154294657004115</v>
      </c>
      <c r="G24" s="4">
        <f>'Cost Pool Data'!$K$27</f>
        <v>1.3606061934437479</v>
      </c>
      <c r="H24" s="2">
        <f t="shared" si="0"/>
        <v>1.4425603404255387E-3</v>
      </c>
      <c r="I24" s="2">
        <f t="shared" si="1"/>
        <v>3.8434874831518525E-5</v>
      </c>
    </row>
    <row r="25" spans="1:10" x14ac:dyDescent="0.25">
      <c r="B25" t="s">
        <v>223</v>
      </c>
      <c r="C25" s="4">
        <f t="shared" si="2"/>
        <v>1.3638941053698951E-2</v>
      </c>
      <c r="D25" s="4">
        <f>'Conversion Factors'!$L$20</f>
        <v>1048.0309783429961</v>
      </c>
      <c r="E25" s="4">
        <f>'Productivity Data'!$I$32</f>
        <v>61.728448910094343</v>
      </c>
      <c r="F25" s="2">
        <f>'Wage Data'!$C$11</f>
        <v>49.154294657004115</v>
      </c>
      <c r="G25" s="4">
        <f>'Cost Pool Data'!$K$27</f>
        <v>1.3606061934437479</v>
      </c>
      <c r="H25" s="2">
        <f t="shared" si="0"/>
        <v>1.0337950010188741E-3</v>
      </c>
      <c r="I25" s="2">
        <f t="shared" si="1"/>
        <v>1.4099869080505071E-5</v>
      </c>
    </row>
    <row r="26" spans="1:10" x14ac:dyDescent="0.25">
      <c r="B26" t="s">
        <v>224</v>
      </c>
      <c r="C26" s="4">
        <f t="shared" si="2"/>
        <v>0.44983130703153151</v>
      </c>
      <c r="D26" s="4">
        <f>'Conversion Factors'!$L$21</f>
        <v>1676.2813880312062</v>
      </c>
      <c r="E26" s="4">
        <f>'Productivity Data'!$I$32</f>
        <v>61.728448910094343</v>
      </c>
      <c r="F26" s="2">
        <f>'Wage Data'!$C$11</f>
        <v>49.154294657004115</v>
      </c>
      <c r="G26" s="4">
        <f>'Cost Pool Data'!$K$27</f>
        <v>1.3606061934437479</v>
      </c>
      <c r="H26" s="2">
        <f t="shared" si="0"/>
        <v>6.4634087931765506E-4</v>
      </c>
      <c r="I26" s="2">
        <f t="shared" si="1"/>
        <v>2.9074436253137016E-4</v>
      </c>
    </row>
    <row r="27" spans="1:10" x14ac:dyDescent="0.25">
      <c r="B27" s="12" t="s">
        <v>225</v>
      </c>
      <c r="C27" s="4">
        <f t="shared" si="2"/>
        <v>6.0645709987610215E-2</v>
      </c>
      <c r="D27" s="4">
        <f>'Conversion Factors'!$L$22</f>
        <v>1079.6056545024896</v>
      </c>
      <c r="E27" s="4">
        <f>'Productivity Data'!$I$32</f>
        <v>61.728448910094343</v>
      </c>
      <c r="F27" s="2">
        <f>'Wage Data'!$C$11</f>
        <v>49.154294657004115</v>
      </c>
      <c r="G27" s="4">
        <f>'Cost Pool Data'!$K$27</f>
        <v>1.3606061934437479</v>
      </c>
      <c r="H27" s="2">
        <f t="shared" si="0"/>
        <v>1.0035601256860689E-3</v>
      </c>
      <c r="I27" s="2">
        <f t="shared" si="1"/>
        <v>6.0861616337486994E-5</v>
      </c>
    </row>
    <row r="28" spans="1:10" x14ac:dyDescent="0.25">
      <c r="A28" s="72"/>
      <c r="B28" s="74" t="s">
        <v>226</v>
      </c>
      <c r="C28" s="84">
        <f t="shared" si="2"/>
        <v>2.6643512756063067E-2</v>
      </c>
      <c r="D28" s="49">
        <f>'Conversion Factors'!$L$23</f>
        <v>913.27319010541089</v>
      </c>
      <c r="E28" s="49">
        <f>'Productivity Data'!$I$31</f>
        <v>91.071587890934111</v>
      </c>
      <c r="F28" s="48">
        <f>'Wage Data'!$C$11</f>
        <v>49.154294657004115</v>
      </c>
      <c r="G28" s="49">
        <f>'Cost Pool Data'!$K$27</f>
        <v>1.3606061934437479</v>
      </c>
      <c r="H28" s="48">
        <f t="shared" si="0"/>
        <v>8.0410043020350463E-4</v>
      </c>
      <c r="I28" s="75">
        <f t="shared" si="1"/>
        <v>2.1424060069282875E-5</v>
      </c>
      <c r="J28" s="76">
        <f>SUM(I17:I28)</f>
        <v>1.4033462510412125E-3</v>
      </c>
    </row>
    <row r="29" spans="1:10" x14ac:dyDescent="0.25">
      <c r="A29" s="6" t="s">
        <v>242</v>
      </c>
      <c r="B29" t="s">
        <v>211</v>
      </c>
      <c r="C29" s="4">
        <f>'Mailer Arrival Profile'!$D$49*'Mailer Arrival Profile'!$C$24+C25</f>
        <v>2.4763879290486068E-2</v>
      </c>
      <c r="D29" s="4">
        <f>'Conversion Factors'!$L$20</f>
        <v>1048.0309783429961</v>
      </c>
      <c r="E29" s="4">
        <f>'Productivity Data'!$I$38</f>
        <v>46.475052307166727</v>
      </c>
      <c r="F29" s="2">
        <f>'Wage Data'!$C$11</f>
        <v>49.154294657004115</v>
      </c>
      <c r="G29" s="4">
        <f>'Cost Pool Data'!$K$43</f>
        <v>1.386023903258889</v>
      </c>
      <c r="H29" s="2">
        <f t="shared" si="0"/>
        <v>1.3987438224320906E-3</v>
      </c>
      <c r="I29" s="2">
        <f t="shared" si="1"/>
        <v>3.4638323177021368E-5</v>
      </c>
    </row>
    <row r="30" spans="1:10" x14ac:dyDescent="0.25">
      <c r="A30" s="6" t="s">
        <v>131</v>
      </c>
      <c r="B30" t="s">
        <v>212</v>
      </c>
      <c r="C30" s="4">
        <f>'Mailer Arrival Profile'!$D$49*'Mailer Arrival Profile'!$D$24+C26</f>
        <v>0.81674729325040329</v>
      </c>
      <c r="D30" s="4">
        <f>'Conversion Factors'!$L$21</f>
        <v>1676.2813880312062</v>
      </c>
      <c r="E30" s="4">
        <f>'Productivity Data'!$I$38</f>
        <v>46.475052307166727</v>
      </c>
      <c r="F30" s="2">
        <f>'Wage Data'!$C$11</f>
        <v>49.154294657004115</v>
      </c>
      <c r="G30" s="4">
        <f>'Cost Pool Data'!$K$43</f>
        <v>1.386023903258889</v>
      </c>
      <c r="H30" s="2">
        <f t="shared" si="0"/>
        <v>8.7451120506471653E-4</v>
      </c>
      <c r="I30" s="2">
        <f t="shared" si="1"/>
        <v>7.1425465965375555E-4</v>
      </c>
    </row>
    <row r="31" spans="1:10" x14ac:dyDescent="0.25">
      <c r="B31" t="s">
        <v>213</v>
      </c>
      <c r="C31" s="4">
        <f>'Mailer Arrival Profile'!$D$49*'Mailer Arrival Profile'!$E$24+C27</f>
        <v>0.11011287721723106</v>
      </c>
      <c r="D31" s="4">
        <f>'Conversion Factors'!$L$22</f>
        <v>1079.6056545024896</v>
      </c>
      <c r="E31" s="4">
        <f>'Productivity Data'!$I$38</f>
        <v>46.475052307166727</v>
      </c>
      <c r="F31" s="2">
        <f>'Wage Data'!$C$11</f>
        <v>49.154294657004115</v>
      </c>
      <c r="G31" s="4">
        <f>'Cost Pool Data'!$K$43</f>
        <v>1.386023903258889</v>
      </c>
      <c r="H31" s="2">
        <f t="shared" si="0"/>
        <v>1.3578354749820786E-3</v>
      </c>
      <c r="I31" s="2">
        <f t="shared" si="1"/>
        <v>1.4951517093790223E-4</v>
      </c>
    </row>
    <row r="32" spans="1:10" x14ac:dyDescent="0.25">
      <c r="B32" t="s">
        <v>214</v>
      </c>
      <c r="C32" s="4">
        <f>'Mailer Arrival Profile'!$D$49*'Mailer Arrival Profile'!$F$24+C28</f>
        <v>4.8375950241879753E-2</v>
      </c>
      <c r="D32" s="4">
        <f>'Conversion Factors'!$L$23</f>
        <v>913.27319010541089</v>
      </c>
      <c r="E32" s="4">
        <f>'Productivity Data'!$I$37</f>
        <v>55.996737364805647</v>
      </c>
      <c r="F32" s="2">
        <f>'Wage Data'!$C$11</f>
        <v>49.154294657004115</v>
      </c>
      <c r="G32" s="4">
        <f>'Cost Pool Data'!$K$43</f>
        <v>1.386023903258889</v>
      </c>
      <c r="H32" s="2">
        <f t="shared" si="0"/>
        <v>1.3321979353355536E-3</v>
      </c>
      <c r="I32" s="2">
        <f t="shared" si="1"/>
        <v>6.4446341032127681E-5</v>
      </c>
    </row>
    <row r="33" spans="1:10" x14ac:dyDescent="0.25">
      <c r="B33" t="s">
        <v>141</v>
      </c>
      <c r="C33" s="4">
        <f>SUM(C29:C32)</f>
        <v>1.0000000000000002</v>
      </c>
      <c r="D33" s="4">
        <v>1</v>
      </c>
      <c r="E33" s="4">
        <f>'Productivity Data'!$I$21</f>
        <v>402.79881226580181</v>
      </c>
      <c r="F33" s="2">
        <f>'Wage Data'!$C$11</f>
        <v>49.154294657004115</v>
      </c>
      <c r="G33" s="4">
        <f>'Cost Pool Data'!$K$41</f>
        <v>1.4774316541145593</v>
      </c>
      <c r="H33" s="2">
        <f t="shared" si="0"/>
        <v>0.18029375621398216</v>
      </c>
      <c r="I33" s="2">
        <f t="shared" si="1"/>
        <v>0.18029375621398219</v>
      </c>
    </row>
    <row r="34" spans="1:10" x14ac:dyDescent="0.25">
      <c r="B34" t="s">
        <v>239</v>
      </c>
      <c r="C34" s="4">
        <f>C33*'Other Inputs'!B48</f>
        <v>0.39751958224543094</v>
      </c>
      <c r="D34" s="4">
        <f>'Conversion Factors'!$L$45</f>
        <v>1310.6924574440295</v>
      </c>
      <c r="E34" s="4">
        <f>'Productivity Data'!$I$40</f>
        <v>23.065925296264197</v>
      </c>
      <c r="F34" s="2">
        <f>'Wage Data'!$C$11</f>
        <v>49.154294657004115</v>
      </c>
      <c r="G34" s="4">
        <f>'Cost Pool Data'!$K$42</f>
        <v>1.51761435929636</v>
      </c>
      <c r="H34" s="2">
        <f t="shared" si="0"/>
        <v>2.4674662111162119E-3</v>
      </c>
      <c r="I34" s="2">
        <f t="shared" si="1"/>
        <v>9.8086613744763286E-4</v>
      </c>
    </row>
    <row r="35" spans="1:10" x14ac:dyDescent="0.25">
      <c r="B35" t="s">
        <v>143</v>
      </c>
      <c r="C35" s="4">
        <f>C34*(1+'Other Inputs'!$B$9)</f>
        <v>0.41436905971578092</v>
      </c>
      <c r="D35" s="4">
        <f>'Conversion Factors'!$L$49</f>
        <v>147.06266848550521</v>
      </c>
      <c r="E35" s="4">
        <f>'Productivity Data'!$I$19</f>
        <v>3068.1109131264348</v>
      </c>
      <c r="F35" s="2">
        <f>'Wage Data'!$C$11</f>
        <v>49.154294657004115</v>
      </c>
      <c r="G35" s="4">
        <f>'Cost Pool Data'!$K$46</f>
        <v>1.6196174573049362</v>
      </c>
      <c r="H35" s="2">
        <f t="shared" si="0"/>
        <v>1.7644136959849604E-4</v>
      </c>
      <c r="I35" s="2">
        <f t="shared" si="1"/>
        <v>7.3111844415493378E-5</v>
      </c>
    </row>
    <row r="36" spans="1:10" x14ac:dyDescent="0.25">
      <c r="B36" t="s">
        <v>248</v>
      </c>
      <c r="C36" s="4">
        <f>C33*(1-'Other Inputs'!$B$48)</f>
        <v>0.60248041775456929</v>
      </c>
      <c r="D36" s="4">
        <f>'Conversion Factors'!$L$48</f>
        <v>400.86107774048043</v>
      </c>
      <c r="E36" s="4">
        <f>'Productivity Data'!$I$44</f>
        <v>70.608822220868689</v>
      </c>
      <c r="F36" s="2">
        <f>'Wage Data'!$C$11</f>
        <v>49.154294657004115</v>
      </c>
      <c r="G36" s="4">
        <f>'Cost Pool Data'!$K$43</f>
        <v>1.386023903258889</v>
      </c>
      <c r="H36" s="2">
        <f t="shared" si="0"/>
        <v>2.4070179642544354E-3</v>
      </c>
      <c r="I36" s="2">
        <f t="shared" si="1"/>
        <v>1.4501811886467651E-3</v>
      </c>
    </row>
    <row r="37" spans="1:10" x14ac:dyDescent="0.25">
      <c r="A37" s="72"/>
      <c r="B37" s="79" t="s">
        <v>125</v>
      </c>
      <c r="C37" s="49">
        <f>C34</f>
        <v>0.39751958224543094</v>
      </c>
      <c r="D37" s="49">
        <f>'Conversion Factors'!$L$47</f>
        <v>1903.2501841957899</v>
      </c>
      <c r="E37" s="49">
        <f>'Productivity Data'!$I$46</f>
        <v>20.811195458396703</v>
      </c>
      <c r="F37" s="48">
        <f>'Wage Data'!$C$11</f>
        <v>49.154294657004115</v>
      </c>
      <c r="G37" s="49">
        <f>'Cost Pool Data'!$K$43</f>
        <v>1.386023903258889</v>
      </c>
      <c r="H37" s="48">
        <f t="shared" si="0"/>
        <v>1.7200429046995193E-3</v>
      </c>
      <c r="I37" s="75">
        <f t="shared" si="1"/>
        <v>6.8375073692037043E-4</v>
      </c>
      <c r="J37" s="76">
        <f>SUM(I29:I37)</f>
        <v>0.18444452061621325</v>
      </c>
    </row>
    <row r="38" spans="1:10" x14ac:dyDescent="0.25">
      <c r="A38" s="6" t="s">
        <v>243</v>
      </c>
      <c r="B38" t="s">
        <v>126</v>
      </c>
      <c r="C38" s="4">
        <f>C37</f>
        <v>0.39751958224543094</v>
      </c>
      <c r="D38" s="4">
        <f>'Conversion Factors'!$L$47</f>
        <v>1903.2501841957899</v>
      </c>
      <c r="E38" s="4">
        <f>'Productivity Data'!$I$39</f>
        <v>53.146449685685347</v>
      </c>
      <c r="F38" s="2">
        <f>'Wage Data'!$C$11</f>
        <v>49.154294657004115</v>
      </c>
      <c r="G38" s="4">
        <f>'Cost Pool Data'!$K$43</f>
        <v>1.386023903258889</v>
      </c>
      <c r="H38" s="2">
        <f t="shared" si="0"/>
        <v>6.7353791830372396E-4</v>
      </c>
      <c r="I38" s="2">
        <f t="shared" si="1"/>
        <v>2.6774451191055354E-4</v>
      </c>
    </row>
    <row r="39" spans="1:10" x14ac:dyDescent="0.25">
      <c r="A39" s="6" t="s">
        <v>131</v>
      </c>
      <c r="B39" t="s">
        <v>140</v>
      </c>
      <c r="C39" s="4">
        <f>C38</f>
        <v>0.39751958224543094</v>
      </c>
      <c r="D39" s="4">
        <f>'Conversion Factors'!$L$47</f>
        <v>1903.2501841957899</v>
      </c>
      <c r="E39" s="4">
        <f>'Productivity Data'!$I$42</f>
        <v>16.646694338879648</v>
      </c>
      <c r="F39" s="2">
        <f>'Wage Data'!$C$11</f>
        <v>49.154294657004115</v>
      </c>
      <c r="G39" s="4">
        <f>'Cost Pool Data'!$K$42</f>
        <v>1.51761435929636</v>
      </c>
      <c r="H39" s="2">
        <f t="shared" si="0"/>
        <v>2.3545017084162928E-3</v>
      </c>
      <c r="I39" s="2">
        <f t="shared" si="1"/>
        <v>9.3596053552579819E-4</v>
      </c>
    </row>
    <row r="40" spans="1:10" x14ac:dyDescent="0.25">
      <c r="B40" t="s">
        <v>143</v>
      </c>
      <c r="C40" s="4">
        <f>C39*(1+'Other Inputs'!$B$9)</f>
        <v>0.41436905971578092</v>
      </c>
      <c r="D40" s="4">
        <f>'Conversion Factors'!$L$49</f>
        <v>147.06266848550521</v>
      </c>
      <c r="E40" s="4">
        <f>'Productivity Data'!$I$19</f>
        <v>3068.1109131264348</v>
      </c>
      <c r="F40" s="2">
        <f>'Wage Data'!$C$11</f>
        <v>49.154294657004115</v>
      </c>
      <c r="G40" s="4">
        <f>'Cost Pool Data'!$K$46</f>
        <v>1.6196174573049362</v>
      </c>
      <c r="H40" s="2">
        <f>(F40*G40)/(D40*E40)</f>
        <v>1.7644136959849604E-4</v>
      </c>
      <c r="I40" s="2">
        <f>C40*H40</f>
        <v>7.3111844415493378E-5</v>
      </c>
    </row>
    <row r="41" spans="1:10" x14ac:dyDescent="0.25">
      <c r="B41" t="s">
        <v>141</v>
      </c>
      <c r="C41" s="4">
        <f>C39</f>
        <v>0.39751958224543094</v>
      </c>
      <c r="D41" s="4">
        <v>1</v>
      </c>
      <c r="E41" s="4">
        <f>'Productivity Data'!$I$21</f>
        <v>402.79881226580181</v>
      </c>
      <c r="F41" s="2">
        <f>'Wage Data'!$C$11</f>
        <v>49.154294657004115</v>
      </c>
      <c r="G41" s="4">
        <f>'Cost Pool Data'!$K$41</f>
        <v>1.4774316541145593</v>
      </c>
      <c r="H41" s="2">
        <f t="shared" si="0"/>
        <v>0.18029375621398216</v>
      </c>
      <c r="I41" s="2">
        <f t="shared" si="1"/>
        <v>7.1670298651641762E-2</v>
      </c>
    </row>
    <row r="42" spans="1:10" x14ac:dyDescent="0.25">
      <c r="A42" s="72"/>
      <c r="B42" s="79" t="s">
        <v>248</v>
      </c>
      <c r="C42" s="49">
        <f>C41</f>
        <v>0.39751958224543094</v>
      </c>
      <c r="D42" s="49">
        <f>'Conversion Factors'!$L$48</f>
        <v>400.86107774048043</v>
      </c>
      <c r="E42" s="49">
        <f>'Productivity Data'!$I$44</f>
        <v>70.608822220868689</v>
      </c>
      <c r="F42" s="48">
        <f>'Wage Data'!$C$11</f>
        <v>49.154294657004115</v>
      </c>
      <c r="G42" s="49">
        <f>'Cost Pool Data'!$K$43</f>
        <v>1.386023903258889</v>
      </c>
      <c r="H42" s="48">
        <f t="shared" si="0"/>
        <v>2.4070179642544354E-3</v>
      </c>
      <c r="I42" s="75">
        <f t="shared" si="1"/>
        <v>9.5683677560767083E-4</v>
      </c>
      <c r="J42" s="76">
        <f>SUM(I38:I42)</f>
        <v>7.3903952319101268E-2</v>
      </c>
    </row>
    <row r="43" spans="1:10" x14ac:dyDescent="0.25">
      <c r="A43" s="6" t="s">
        <v>243</v>
      </c>
      <c r="B43" t="s">
        <v>249</v>
      </c>
      <c r="C43" s="4">
        <f>C36+C42</f>
        <v>1.0000000000000002</v>
      </c>
      <c r="D43" s="4">
        <f>'Conversion Factors'!$L$48</f>
        <v>400.86107774048043</v>
      </c>
      <c r="E43" s="4">
        <f>'Productivity Data'!$I$27</f>
        <v>81.873572020007202</v>
      </c>
      <c r="F43" s="2">
        <f>'Wage Data'!$C$11</f>
        <v>49.154294657004115</v>
      </c>
      <c r="G43" s="4">
        <f>'Cost Pool Data'!$K$27</f>
        <v>1.3606061934437479</v>
      </c>
      <c r="H43" s="2">
        <f t="shared" si="0"/>
        <v>2.0377752533718265E-3</v>
      </c>
      <c r="I43" s="2">
        <f t="shared" si="1"/>
        <v>2.0377752533718269E-3</v>
      </c>
    </row>
    <row r="44" spans="1:10" x14ac:dyDescent="0.25">
      <c r="A44" s="6" t="s">
        <v>241</v>
      </c>
      <c r="B44" t="s">
        <v>204</v>
      </c>
      <c r="C44" s="4">
        <f>C43*'Other Inputs'!$B$30*(1+'Other Inputs'!$B$10)</f>
        <v>0.42375228317471164</v>
      </c>
      <c r="D44" s="4">
        <v>1</v>
      </c>
      <c r="E44" s="4">
        <f>'Productivity Data'!$I$10</f>
        <v>245.20305602978507</v>
      </c>
      <c r="F44" s="2">
        <f>'Wage Data'!$C$11</f>
        <v>49.154294657004115</v>
      </c>
      <c r="G44" s="4">
        <f>'Cost Pool Data'!$L$14</f>
        <v>1.8052502472456198</v>
      </c>
      <c r="H44" s="2">
        <f t="shared" si="0"/>
        <v>0.36188701731336453</v>
      </c>
      <c r="I44" s="2">
        <f t="shared" si="1"/>
        <v>0.15335044983782462</v>
      </c>
    </row>
    <row r="45" spans="1:10" x14ac:dyDescent="0.25">
      <c r="B45" s="9" t="s">
        <v>363</v>
      </c>
      <c r="C45" s="4">
        <f>C43*'Other Inputs'!$B$31*(1+'Other Inputs'!$B$11)</f>
        <v>0.56721575232661048</v>
      </c>
      <c r="D45" s="4">
        <v>1</v>
      </c>
      <c r="E45" s="4">
        <f>'Productivity Data'!$I$11</f>
        <v>190.80521220652753</v>
      </c>
      <c r="F45" s="2">
        <f>'Wage Data'!$C$11</f>
        <v>49.154294657004115</v>
      </c>
      <c r="G45" s="4">
        <f>'Cost Pool Data'!$L$11</f>
        <v>1.6056412614911089</v>
      </c>
      <c r="H45" s="2">
        <f t="shared" si="0"/>
        <v>0.41363735700967258</v>
      </c>
      <c r="I45" s="2">
        <f t="shared" si="1"/>
        <v>0.23462162464663219</v>
      </c>
    </row>
    <row r="46" spans="1:10" x14ac:dyDescent="0.25">
      <c r="B46" t="s">
        <v>198</v>
      </c>
      <c r="C46" s="4">
        <f>C43*'Other Inputs'!$B$32</f>
        <v>0.1139184546935363</v>
      </c>
      <c r="D46" s="4">
        <v>1</v>
      </c>
      <c r="E46" s="4">
        <f>'Productivity Data'!$I$16</f>
        <v>47.994690148863093</v>
      </c>
      <c r="F46" s="2">
        <f>'Wage Data'!$C$11</f>
        <v>49.154294657004115</v>
      </c>
      <c r="G46" s="4">
        <f>'Cost Pool Data'!$K$16</f>
        <v>1.3208756008457678</v>
      </c>
      <c r="H46" s="2">
        <f t="shared" si="0"/>
        <v>1.3527894083249588</v>
      </c>
      <c r="I46" s="2">
        <f t="shared" si="1"/>
        <v>0.15410767892216259</v>
      </c>
    </row>
    <row r="47" spans="1:10" x14ac:dyDescent="0.25">
      <c r="A47" s="72"/>
      <c r="B47" s="79" t="s">
        <v>248</v>
      </c>
      <c r="C47" s="49">
        <f>C43</f>
        <v>1.0000000000000002</v>
      </c>
      <c r="D47" s="49">
        <f>'Conversion Factors'!$L$48</f>
        <v>400.86107774048043</v>
      </c>
      <c r="E47" s="49">
        <f>'Productivity Data'!$I$31</f>
        <v>91.071587890934111</v>
      </c>
      <c r="F47" s="48">
        <f>'Wage Data'!$C$11</f>
        <v>49.154294657004115</v>
      </c>
      <c r="G47" s="49">
        <f>'Cost Pool Data'!$K$27</f>
        <v>1.3606061934437479</v>
      </c>
      <c r="H47" s="48">
        <f t="shared" si="0"/>
        <v>1.8319647524684813E-3</v>
      </c>
      <c r="I47" s="75">
        <f t="shared" si="1"/>
        <v>1.8319647524684818E-3</v>
      </c>
      <c r="J47" s="76">
        <f>SUM(I43:I47)</f>
        <v>0.54594949341245969</v>
      </c>
    </row>
    <row r="48" spans="1:10" x14ac:dyDescent="0.25">
      <c r="A48" s="6" t="s">
        <v>243</v>
      </c>
      <c r="B48" t="s">
        <v>249</v>
      </c>
      <c r="C48" s="4">
        <f>C47</f>
        <v>1.0000000000000002</v>
      </c>
      <c r="D48" s="4">
        <f>'Conversion Factors'!$L$48</f>
        <v>400.86107774048043</v>
      </c>
      <c r="E48" s="4">
        <f>'Productivity Data'!$I$25</f>
        <v>60.332591436644847</v>
      </c>
      <c r="F48" s="2">
        <f>'Wage Data'!$C$11</f>
        <v>49.154294657004115</v>
      </c>
      <c r="G48" s="4">
        <f>'Cost Pool Data'!$K$48</f>
        <v>1.6214860636540271</v>
      </c>
      <c r="H48" s="2">
        <f t="shared" si="0"/>
        <v>3.2955569375124503E-3</v>
      </c>
      <c r="I48" s="2">
        <f t="shared" si="1"/>
        <v>3.2955569375124512E-3</v>
      </c>
    </row>
    <row r="49" spans="1:10" x14ac:dyDescent="0.25">
      <c r="A49" s="72" t="s">
        <v>85</v>
      </c>
      <c r="B49" s="79" t="s">
        <v>135</v>
      </c>
      <c r="C49" s="49">
        <f>C48</f>
        <v>1.0000000000000002</v>
      </c>
      <c r="D49" s="49">
        <v>1</v>
      </c>
      <c r="E49" s="49">
        <f>'Productivity Data'!$I$22</f>
        <v>307.66822713635111</v>
      </c>
      <c r="F49" s="48">
        <f>'Wage Data'!$C$11</f>
        <v>49.154294657004115</v>
      </c>
      <c r="G49" s="49">
        <f>'Cost Pool Data'!$K$57</f>
        <v>1.4957786551922303</v>
      </c>
      <c r="H49" s="48">
        <f t="shared" si="0"/>
        <v>0.23897152280983572</v>
      </c>
      <c r="I49" s="75">
        <f t="shared" si="1"/>
        <v>0.23897152280983577</v>
      </c>
      <c r="J49" s="76">
        <f>SUM(I48:I49)</f>
        <v>0.24226707974734824</v>
      </c>
    </row>
    <row r="51" spans="1:10" x14ac:dyDescent="0.25">
      <c r="A51" s="29" t="s">
        <v>259</v>
      </c>
      <c r="I51" s="80" t="s">
        <v>203</v>
      </c>
      <c r="J51" s="81">
        <f>J16+J28+J37+J42+J47+J49</f>
        <v>1.0484016642841134</v>
      </c>
    </row>
    <row r="52" spans="1:10" x14ac:dyDescent="0.25">
      <c r="A52" s="6" t="s">
        <v>296</v>
      </c>
      <c r="F52"/>
      <c r="G52"/>
      <c r="H52"/>
      <c r="I52"/>
    </row>
    <row r="53" spans="1:10" x14ac:dyDescent="0.25">
      <c r="A53" s="6" t="s">
        <v>297</v>
      </c>
    </row>
    <row r="54" spans="1:10" x14ac:dyDescent="0.25">
      <c r="A54" s="6" t="s">
        <v>298</v>
      </c>
    </row>
    <row r="55" spans="1:10" x14ac:dyDescent="0.25">
      <c r="A55" s="6" t="s">
        <v>299</v>
      </c>
    </row>
    <row r="56" spans="1:10" x14ac:dyDescent="0.25">
      <c r="A56" s="6" t="s">
        <v>277</v>
      </c>
    </row>
    <row r="57" spans="1:10" x14ac:dyDescent="0.25">
      <c r="A57" s="6" t="s">
        <v>300</v>
      </c>
    </row>
    <row r="58" spans="1:10" x14ac:dyDescent="0.25">
      <c r="A58" s="6" t="s">
        <v>301</v>
      </c>
    </row>
  </sheetData>
  <phoneticPr fontId="3" type="noConversion"/>
  <printOptions horizontalCentered="1"/>
  <pageMargins left="0.75" right="0.75" top="1" bottom="1" header="0.5" footer="0.5"/>
  <pageSetup scale="61" orientation="portrait" r:id="rId1"/>
  <headerFooter alignWithMargins="0">
    <oddHeader>&amp;RPage 33 of 50</oddHeader>
    <oddFooter>&amp;R&amp;F</oddFooter>
  </headerFooter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44">
    <pageSetUpPr fitToPage="1"/>
  </sheetPr>
  <dimension ref="A1:J58"/>
  <sheetViews>
    <sheetView topLeftCell="A22" zoomScale="75" workbookViewId="0">
      <selection activeCell="U45" sqref="U45"/>
    </sheetView>
  </sheetViews>
  <sheetFormatPr defaultColWidth="9.109375" defaultRowHeight="13.2" x14ac:dyDescent="0.25"/>
  <cols>
    <col min="1" max="1" width="15.6640625" style="6" customWidth="1"/>
    <col min="2" max="2" width="30.6640625" style="6" customWidth="1"/>
    <col min="3" max="5" width="12.6640625" style="4" customWidth="1"/>
    <col min="6" max="6" width="12.6640625" style="2" customWidth="1"/>
    <col min="7" max="7" width="12.6640625" style="4" customWidth="1"/>
    <col min="8" max="9" width="12.6640625" style="2" customWidth="1"/>
    <col min="10" max="10" width="12.6640625" customWidth="1"/>
  </cols>
  <sheetData>
    <row r="1" spans="1:10" ht="15.6" x14ac:dyDescent="0.3">
      <c r="A1" s="5" t="s">
        <v>407</v>
      </c>
      <c r="B1" s="5"/>
    </row>
    <row r="4" spans="1:10" x14ac:dyDescent="0.25">
      <c r="C4" s="8" t="s">
        <v>107</v>
      </c>
      <c r="D4" s="8" t="s">
        <v>108</v>
      </c>
      <c r="E4" s="8" t="s">
        <v>109</v>
      </c>
      <c r="F4" s="50" t="s">
        <v>112</v>
      </c>
      <c r="G4" s="8" t="s">
        <v>156</v>
      </c>
      <c r="H4" s="50" t="s">
        <v>157</v>
      </c>
      <c r="I4" s="50" t="s">
        <v>192</v>
      </c>
    </row>
    <row r="5" spans="1:10" x14ac:dyDescent="0.25">
      <c r="A5" s="70"/>
      <c r="F5" s="50" t="s">
        <v>155</v>
      </c>
      <c r="H5" s="50" t="s">
        <v>3</v>
      </c>
      <c r="I5" s="50" t="s">
        <v>3</v>
      </c>
    </row>
    <row r="6" spans="1:10" s="6" customFormat="1" x14ac:dyDescent="0.25">
      <c r="C6" s="8"/>
      <c r="D6" s="8" t="s">
        <v>202</v>
      </c>
      <c r="E6" s="8" t="s">
        <v>101</v>
      </c>
      <c r="F6" s="50" t="s">
        <v>103</v>
      </c>
      <c r="G6" s="8" t="s">
        <v>105</v>
      </c>
      <c r="H6" s="50" t="s">
        <v>207</v>
      </c>
      <c r="I6" s="50" t="s">
        <v>206</v>
      </c>
    </row>
    <row r="7" spans="1:10" s="6" customFormat="1" x14ac:dyDescent="0.25">
      <c r="A7" s="6" t="s">
        <v>84</v>
      </c>
      <c r="B7" s="6" t="s">
        <v>76</v>
      </c>
      <c r="C7" s="8" t="s">
        <v>199</v>
      </c>
      <c r="D7" s="8" t="s">
        <v>81</v>
      </c>
      <c r="E7" s="8" t="s">
        <v>102</v>
      </c>
      <c r="F7" s="50" t="s">
        <v>104</v>
      </c>
      <c r="G7" s="8" t="s">
        <v>81</v>
      </c>
      <c r="H7" s="50" t="s">
        <v>76</v>
      </c>
      <c r="I7" s="50" t="s">
        <v>84</v>
      </c>
    </row>
    <row r="8" spans="1:10" x14ac:dyDescent="0.25">
      <c r="A8" s="72"/>
      <c r="B8" s="72"/>
      <c r="C8" s="49"/>
      <c r="D8" s="49"/>
      <c r="E8" s="49"/>
      <c r="F8" s="48"/>
      <c r="G8" s="49"/>
      <c r="H8" s="48"/>
      <c r="I8" s="48"/>
      <c r="J8" s="79"/>
    </row>
    <row r="9" spans="1:10" x14ac:dyDescent="0.25">
      <c r="A9" s="6" t="s">
        <v>240</v>
      </c>
      <c r="B9" s="12" t="s">
        <v>211</v>
      </c>
      <c r="C9" s="4">
        <f>'Mailer Arrival Profile'!$D$47*'Mailer Arrival Profile'!$C$25</f>
        <v>2.0324617775570021E-2</v>
      </c>
      <c r="D9" s="4">
        <f>'Conversion Factors'!$L$20</f>
        <v>1048.0309783429961</v>
      </c>
      <c r="E9" s="4">
        <f>'Productivity Data'!$I$26</f>
        <v>48.58034429266948</v>
      </c>
      <c r="F9" s="2">
        <f>'Wage Data'!$C$11</f>
        <v>49.154294657004115</v>
      </c>
      <c r="G9" s="4">
        <f>'Cost Pool Data'!$K$48</f>
        <v>1.6214860636540271</v>
      </c>
      <c r="H9" s="2">
        <f>(F9*G9)/(D9*E9)</f>
        <v>1.5654528101928609E-3</v>
      </c>
      <c r="I9" s="2">
        <f>C9*H9</f>
        <v>3.1817230012861863E-5</v>
      </c>
    </row>
    <row r="10" spans="1:10" x14ac:dyDescent="0.25">
      <c r="A10" s="6" t="s">
        <v>85</v>
      </c>
      <c r="B10" s="12" t="s">
        <v>212</v>
      </c>
      <c r="C10" s="4">
        <f>'Mailer Arrival Profile'!$D$47*'Mailer Arrival Profile'!$D$25</f>
        <v>0.165550819070268</v>
      </c>
      <c r="D10" s="4">
        <f>'Conversion Factors'!$L$21</f>
        <v>1676.2813880312062</v>
      </c>
      <c r="E10" s="4">
        <f>'Productivity Data'!$I$26</f>
        <v>48.58034429266948</v>
      </c>
      <c r="F10" s="2">
        <f>'Wage Data'!$C$11</f>
        <v>49.154294657004115</v>
      </c>
      <c r="G10" s="4">
        <f>'Cost Pool Data'!$K$48</f>
        <v>1.6214860636540271</v>
      </c>
      <c r="H10" s="2">
        <f>(F10*G10)/(D10*E10)</f>
        <v>9.7873963878054686E-4</v>
      </c>
      <c r="I10" s="2">
        <f>C10*H10</f>
        <v>1.6203114885665777E-4</v>
      </c>
    </row>
    <row r="11" spans="1:10" x14ac:dyDescent="0.25">
      <c r="B11" s="12" t="s">
        <v>213</v>
      </c>
      <c r="C11" s="4">
        <f>'Mailer Arrival Profile'!$D$47*'Mailer Arrival Profile'!$E$25</f>
        <v>0</v>
      </c>
      <c r="D11" s="4">
        <f>'Conversion Factors'!$L$22</f>
        <v>1079.6056545024896</v>
      </c>
      <c r="E11" s="4">
        <f>'Productivity Data'!$I$26</f>
        <v>48.58034429266948</v>
      </c>
      <c r="F11" s="2">
        <f>'Wage Data'!$C$11</f>
        <v>49.154294657004115</v>
      </c>
      <c r="G11" s="4">
        <f>'Cost Pool Data'!$K$48</f>
        <v>1.6214860636540271</v>
      </c>
      <c r="H11" s="2">
        <f>(F11*G11)/(D11*E11)</f>
        <v>1.519668809971422E-3</v>
      </c>
      <c r="I11" s="2">
        <f>C11*H11</f>
        <v>0</v>
      </c>
    </row>
    <row r="12" spans="1:10" x14ac:dyDescent="0.25">
      <c r="B12" s="12" t="s">
        <v>214</v>
      </c>
      <c r="C12" s="4">
        <f>'Mailer Arrival Profile'!$D$47*'Mailer Arrival Profile'!$F$25</f>
        <v>5.0446868282664828E-3</v>
      </c>
      <c r="D12" s="4">
        <f>'Conversion Factors'!$L$23</f>
        <v>913.27319010541089</v>
      </c>
      <c r="E12" s="4">
        <f>'Productivity Data'!$I$25</f>
        <v>60.332591436644847</v>
      </c>
      <c r="F12" s="2">
        <f>'Wage Data'!$C$11</f>
        <v>49.154294657004115</v>
      </c>
      <c r="G12" s="4">
        <f>'Cost Pool Data'!$K$48</f>
        <v>1.6214860636540271</v>
      </c>
      <c r="H12" s="2">
        <f>(F12*G12)/(D12*E12)</f>
        <v>1.4465118652764568E-3</v>
      </c>
      <c r="I12" s="2">
        <f>C12*H12</f>
        <v>7.2971993536913227E-6</v>
      </c>
    </row>
    <row r="13" spans="1:10" x14ac:dyDescent="0.25">
      <c r="B13" t="s">
        <v>223</v>
      </c>
      <c r="C13" s="4">
        <f>C9</f>
        <v>2.0324617775570021E-2</v>
      </c>
      <c r="D13" s="4">
        <f>'Conversion Factors'!$L$20</f>
        <v>1048.0309783429961</v>
      </c>
      <c r="E13" s="4">
        <f>'Productivity Data'!$I$24</f>
        <v>43.137464151665213</v>
      </c>
      <c r="F13" s="2">
        <f>'Wage Data'!$C$11</f>
        <v>49.154294657004115</v>
      </c>
      <c r="G13" s="4">
        <f>'Cost Pool Data'!$K$48</f>
        <v>1.6214860636540271</v>
      </c>
      <c r="H13" s="2">
        <f>(F13*G13)/(D13*E13)</f>
        <v>1.7629742032520567E-3</v>
      </c>
      <c r="I13" s="2">
        <f>C13*H13</f>
        <v>3.5831776829288148E-5</v>
      </c>
    </row>
    <row r="14" spans="1:10" x14ac:dyDescent="0.25">
      <c r="B14" t="s">
        <v>224</v>
      </c>
      <c r="C14" s="4">
        <f>C10</f>
        <v>0.165550819070268</v>
      </c>
      <c r="D14" s="4">
        <f>'Conversion Factors'!$L$21</f>
        <v>1676.2813880312062</v>
      </c>
      <c r="E14" s="4">
        <f>'Productivity Data'!$I$24</f>
        <v>43.137464151665213</v>
      </c>
      <c r="F14" s="2">
        <f>'Wage Data'!$C$11</f>
        <v>49.154294657004115</v>
      </c>
      <c r="G14" s="4">
        <f>'Cost Pool Data'!$K$48</f>
        <v>1.6214860636540271</v>
      </c>
      <c r="H14" s="2">
        <f t="shared" ref="H14:H49" si="0">(F14*G14)/(D14*E14)</f>
        <v>1.1022323532433808E-3</v>
      </c>
      <c r="I14" s="2">
        <f t="shared" ref="I14:I49" si="1">C14*H14</f>
        <v>1.8247546888519066E-4</v>
      </c>
    </row>
    <row r="15" spans="1:10" x14ac:dyDescent="0.25">
      <c r="B15" s="12" t="s">
        <v>225</v>
      </c>
      <c r="C15" s="4">
        <f>C11</f>
        <v>0</v>
      </c>
      <c r="D15" s="4">
        <f>'Conversion Factors'!$L$22</f>
        <v>1079.6056545024896</v>
      </c>
      <c r="E15" s="4">
        <f>'Productivity Data'!$I$24</f>
        <v>43.137464151665213</v>
      </c>
      <c r="F15" s="2">
        <f>'Wage Data'!$C$11</f>
        <v>49.154294657004115</v>
      </c>
      <c r="G15" s="4">
        <f>'Cost Pool Data'!$K$48</f>
        <v>1.6214860636540271</v>
      </c>
      <c r="H15" s="2">
        <f t="shared" si="0"/>
        <v>1.7114133955505851E-3</v>
      </c>
      <c r="I15" s="2">
        <f t="shared" si="1"/>
        <v>0</v>
      </c>
    </row>
    <row r="16" spans="1:10" x14ac:dyDescent="0.25">
      <c r="A16" s="72"/>
      <c r="B16" s="74" t="s">
        <v>226</v>
      </c>
      <c r="C16" s="49">
        <f>C12</f>
        <v>5.0446868282664828E-3</v>
      </c>
      <c r="D16" s="49">
        <f>'Conversion Factors'!$L$23</f>
        <v>913.27319010541089</v>
      </c>
      <c r="E16" s="49">
        <f>'Productivity Data'!$I$23</f>
        <v>68.564044141410264</v>
      </c>
      <c r="F16" s="48">
        <f>'Wage Data'!$C$11</f>
        <v>49.154294657004115</v>
      </c>
      <c r="G16" s="49">
        <f>'Cost Pool Data'!$K$48</f>
        <v>1.6214860636540271</v>
      </c>
      <c r="H16" s="48">
        <f t="shared" si="0"/>
        <v>1.27285095954943E-3</v>
      </c>
      <c r="I16" s="75">
        <f t="shared" si="1"/>
        <v>6.4211344699853634E-6</v>
      </c>
      <c r="J16" s="76">
        <f>SUM(I9:I16)</f>
        <v>4.2587395840767511E-4</v>
      </c>
    </row>
    <row r="17" spans="1:10" x14ac:dyDescent="0.25">
      <c r="A17" s="6" t="s">
        <v>240</v>
      </c>
      <c r="B17" t="s">
        <v>211</v>
      </c>
      <c r="C17" s="4">
        <f>'Mailer Arrival Profile'!$D$48*'Mailer Arrival Profile'!$C$25+C13</f>
        <v>5.8631722604477708E-2</v>
      </c>
      <c r="D17" s="4">
        <f>'Conversion Factors'!$L$20</f>
        <v>1048.0309783429961</v>
      </c>
      <c r="E17" s="4">
        <f>'Productivity Data'!$I$28</f>
        <v>58.156985400220201</v>
      </c>
      <c r="F17" s="2">
        <f>'Wage Data'!$C$11</f>
        <v>49.154294657004115</v>
      </c>
      <c r="G17" s="4">
        <f>'Cost Pool Data'!$K$27</f>
        <v>1.3606061934437479</v>
      </c>
      <c r="H17" s="2">
        <f t="shared" si="0"/>
        <v>1.0972811170446752E-3</v>
      </c>
      <c r="I17" s="2">
        <f t="shared" si="1"/>
        <v>6.4335482073694833E-5</v>
      </c>
    </row>
    <row r="18" spans="1:10" x14ac:dyDescent="0.25">
      <c r="A18" s="6" t="s">
        <v>241</v>
      </c>
      <c r="B18" t="s">
        <v>212</v>
      </c>
      <c r="C18" s="4">
        <f>'Mailer Arrival Profile'!$D$48*'Mailer Arrival Profile'!$D$25+C14</f>
        <v>0.47757501803252511</v>
      </c>
      <c r="D18" s="4">
        <f>'Conversion Factors'!$L$21</f>
        <v>1676.2813880312062</v>
      </c>
      <c r="E18" s="4">
        <f>'Productivity Data'!$I$28</f>
        <v>58.156985400220201</v>
      </c>
      <c r="F18" s="2">
        <f>'Wage Data'!$C$11</f>
        <v>49.154294657004115</v>
      </c>
      <c r="G18" s="4">
        <f>'Cost Pool Data'!$K$27</f>
        <v>1.3606061934437479</v>
      </c>
      <c r="H18" s="2">
        <f t="shared" si="0"/>
        <v>6.8603315101188622E-4</v>
      </c>
      <c r="I18" s="2">
        <f t="shared" si="1"/>
        <v>3.2763229446541159E-4</v>
      </c>
    </row>
    <row r="19" spans="1:10" x14ac:dyDescent="0.25">
      <c r="B19" t="s">
        <v>213</v>
      </c>
      <c r="C19" s="4">
        <f>'Mailer Arrival Profile'!$D$48*'Mailer Arrival Profile'!$E$25+C15</f>
        <v>0</v>
      </c>
      <c r="D19" s="4">
        <f>'Conversion Factors'!$L$22</f>
        <v>1079.6056545024896</v>
      </c>
      <c r="E19" s="4">
        <f>'Productivity Data'!$I$28</f>
        <v>58.156985400220201</v>
      </c>
      <c r="F19" s="2">
        <f>'Wage Data'!$C$11</f>
        <v>49.154294657004115</v>
      </c>
      <c r="G19" s="4">
        <f>'Cost Pool Data'!$K$27</f>
        <v>1.3606061934437479</v>
      </c>
      <c r="H19" s="2">
        <f t="shared" si="0"/>
        <v>1.0651894956437307E-3</v>
      </c>
      <c r="I19" s="2">
        <f t="shared" si="1"/>
        <v>0</v>
      </c>
    </row>
    <row r="20" spans="1:10" x14ac:dyDescent="0.25">
      <c r="B20" t="s">
        <v>214</v>
      </c>
      <c r="C20" s="4">
        <f>'Mailer Arrival Profile'!$D$48*'Mailer Arrival Profile'!$F$25+C16</f>
        <v>1.4552730191900867E-2</v>
      </c>
      <c r="D20" s="4">
        <f>'Conversion Factors'!$L$23</f>
        <v>913.27319010541089</v>
      </c>
      <c r="E20" s="4">
        <f>'Productivity Data'!$I$27</f>
        <v>81.873572020007202</v>
      </c>
      <c r="F20" s="2">
        <f>'Wage Data'!$C$11</f>
        <v>49.154294657004115</v>
      </c>
      <c r="G20" s="4">
        <f>'Cost Pool Data'!$K$27</f>
        <v>1.3606061934437479</v>
      </c>
      <c r="H20" s="2">
        <f t="shared" si="0"/>
        <v>8.9443639987420154E-4</v>
      </c>
      <c r="I20" s="2">
        <f t="shared" si="1"/>
        <v>1.3016491601184409E-5</v>
      </c>
    </row>
    <row r="21" spans="1:10" x14ac:dyDescent="0.25">
      <c r="B21" t="s">
        <v>227</v>
      </c>
      <c r="C21" s="4">
        <f t="shared" ref="C21:C28" si="2">C17</f>
        <v>5.8631722604477708E-2</v>
      </c>
      <c r="D21" s="4">
        <f>'Conversion Factors'!$L$20</f>
        <v>1048.0309783429961</v>
      </c>
      <c r="E21" s="4">
        <f>'Productivity Data'!$I$30</f>
        <v>39.899251235537818</v>
      </c>
      <c r="F21" s="2">
        <f>'Wage Data'!$C$11</f>
        <v>49.154294657004115</v>
      </c>
      <c r="G21" s="4">
        <f>'Cost Pool Data'!$K$27</f>
        <v>1.3606061934437479</v>
      </c>
      <c r="H21" s="2">
        <f t="shared" si="0"/>
        <v>1.5993924679735738E-3</v>
      </c>
      <c r="I21" s="2">
        <f t="shared" si="1"/>
        <v>9.3775135517917569E-5</v>
      </c>
    </row>
    <row r="22" spans="1:10" x14ac:dyDescent="0.25">
      <c r="B22" t="s">
        <v>228</v>
      </c>
      <c r="C22" s="4">
        <f t="shared" si="2"/>
        <v>0.47757501803252511</v>
      </c>
      <c r="D22" s="4">
        <f>'Conversion Factors'!$L$21</f>
        <v>1676.2813880312062</v>
      </c>
      <c r="E22" s="4">
        <f>'Productivity Data'!$I$30</f>
        <v>39.899251235537818</v>
      </c>
      <c r="F22" s="2">
        <f>'Wage Data'!$C$11</f>
        <v>49.154294657004115</v>
      </c>
      <c r="G22" s="4">
        <f>'Cost Pool Data'!$K$27</f>
        <v>1.3606061934437479</v>
      </c>
      <c r="H22" s="2">
        <f t="shared" si="0"/>
        <v>9.9995911481990307E-4</v>
      </c>
      <c r="I22" s="2">
        <f t="shared" si="1"/>
        <v>4.7755549229190305E-4</v>
      </c>
    </row>
    <row r="23" spans="1:10" x14ac:dyDescent="0.25">
      <c r="B23" t="s">
        <v>229</v>
      </c>
      <c r="C23" s="4">
        <f t="shared" si="2"/>
        <v>0</v>
      </c>
      <c r="D23" s="4">
        <f>'Conversion Factors'!$L$22</f>
        <v>1079.6056545024896</v>
      </c>
      <c r="E23" s="4">
        <f>'Productivity Data'!$I$30</f>
        <v>39.899251235537818</v>
      </c>
      <c r="F23" s="2">
        <f>'Wage Data'!$C$11</f>
        <v>49.154294657004115</v>
      </c>
      <c r="G23" s="4">
        <f>'Cost Pool Data'!$K$27</f>
        <v>1.3606061934437479</v>
      </c>
      <c r="H23" s="2">
        <f t="shared" si="0"/>
        <v>1.5526158518845534E-3</v>
      </c>
      <c r="I23" s="2">
        <f t="shared" si="1"/>
        <v>0</v>
      </c>
    </row>
    <row r="24" spans="1:10" x14ac:dyDescent="0.25">
      <c r="B24" t="s">
        <v>230</v>
      </c>
      <c r="C24" s="4">
        <f t="shared" si="2"/>
        <v>1.4552730191900867E-2</v>
      </c>
      <c r="D24" s="4">
        <f>'Conversion Factors'!$L$23</f>
        <v>913.27319010541089</v>
      </c>
      <c r="E24" s="4">
        <f>'Productivity Data'!$I$29</f>
        <v>50.764395048330648</v>
      </c>
      <c r="F24" s="2">
        <f>'Wage Data'!$C$11</f>
        <v>49.154294657004115</v>
      </c>
      <c r="G24" s="4">
        <f>'Cost Pool Data'!$K$27</f>
        <v>1.3606061934437479</v>
      </c>
      <c r="H24" s="2">
        <f t="shared" si="0"/>
        <v>1.4425603404255387E-3</v>
      </c>
      <c r="I24" s="2">
        <f t="shared" si="1"/>
        <v>2.0993191419749531E-5</v>
      </c>
    </row>
    <row r="25" spans="1:10" x14ac:dyDescent="0.25">
      <c r="B25" t="s">
        <v>223</v>
      </c>
      <c r="C25" s="4">
        <f t="shared" si="2"/>
        <v>5.8631722604477708E-2</v>
      </c>
      <c r="D25" s="4">
        <f>'Conversion Factors'!$L$20</f>
        <v>1048.0309783429961</v>
      </c>
      <c r="E25" s="4">
        <f>'Productivity Data'!$I$32</f>
        <v>61.728448910094343</v>
      </c>
      <c r="F25" s="2">
        <f>'Wage Data'!$C$11</f>
        <v>49.154294657004115</v>
      </c>
      <c r="G25" s="4">
        <f>'Cost Pool Data'!$K$27</f>
        <v>1.3606061934437479</v>
      </c>
      <c r="H25" s="2">
        <f t="shared" si="0"/>
        <v>1.0337950010188741E-3</v>
      </c>
      <c r="I25" s="2">
        <f t="shared" si="1"/>
        <v>6.0613181729634376E-5</v>
      </c>
    </row>
    <row r="26" spans="1:10" x14ac:dyDescent="0.25">
      <c r="B26" t="s">
        <v>224</v>
      </c>
      <c r="C26" s="4">
        <f t="shared" si="2"/>
        <v>0.47757501803252511</v>
      </c>
      <c r="D26" s="4">
        <f>'Conversion Factors'!$L$21</f>
        <v>1676.2813880312062</v>
      </c>
      <c r="E26" s="4">
        <f>'Productivity Data'!$I$32</f>
        <v>61.728448910094343</v>
      </c>
      <c r="F26" s="2">
        <f>'Wage Data'!$C$11</f>
        <v>49.154294657004115</v>
      </c>
      <c r="G26" s="4">
        <f>'Cost Pool Data'!$K$27</f>
        <v>1.3606061934437479</v>
      </c>
      <c r="H26" s="2">
        <f t="shared" si="0"/>
        <v>6.4634087931765506E-4</v>
      </c>
      <c r="I26" s="2">
        <f t="shared" si="1"/>
        <v>3.0867625709528725E-4</v>
      </c>
    </row>
    <row r="27" spans="1:10" x14ac:dyDescent="0.25">
      <c r="B27" s="12" t="s">
        <v>225</v>
      </c>
      <c r="C27" s="4">
        <f t="shared" si="2"/>
        <v>0</v>
      </c>
      <c r="D27" s="4">
        <f>'Conversion Factors'!$L$22</f>
        <v>1079.6056545024896</v>
      </c>
      <c r="E27" s="4">
        <f>'Productivity Data'!$I$32</f>
        <v>61.728448910094343</v>
      </c>
      <c r="F27" s="2">
        <f>'Wage Data'!$C$11</f>
        <v>49.154294657004115</v>
      </c>
      <c r="G27" s="4">
        <f>'Cost Pool Data'!$K$27</f>
        <v>1.3606061934437479</v>
      </c>
      <c r="H27" s="2">
        <f t="shared" si="0"/>
        <v>1.0035601256860689E-3</v>
      </c>
      <c r="I27" s="2">
        <f t="shared" si="1"/>
        <v>0</v>
      </c>
    </row>
    <row r="28" spans="1:10" x14ac:dyDescent="0.25">
      <c r="A28" s="72"/>
      <c r="B28" s="74" t="s">
        <v>226</v>
      </c>
      <c r="C28" s="49">
        <f t="shared" si="2"/>
        <v>1.4552730191900867E-2</v>
      </c>
      <c r="D28" s="49">
        <f>'Conversion Factors'!$L$23</f>
        <v>913.27319010541089</v>
      </c>
      <c r="E28" s="49">
        <f>'Productivity Data'!$I$31</f>
        <v>91.071587890934111</v>
      </c>
      <c r="F28" s="48">
        <f>'Wage Data'!$C$11</f>
        <v>49.154294657004115</v>
      </c>
      <c r="G28" s="49">
        <f>'Cost Pool Data'!$K$27</f>
        <v>1.3606061934437479</v>
      </c>
      <c r="H28" s="48">
        <f t="shared" si="0"/>
        <v>8.0410043020350463E-4</v>
      </c>
      <c r="I28" s="75">
        <f t="shared" si="1"/>
        <v>1.1701856607943017E-5</v>
      </c>
      <c r="J28" s="76">
        <f>SUM(I17:I28)</f>
        <v>1.3782993828027256E-3</v>
      </c>
    </row>
    <row r="29" spans="1:10" x14ac:dyDescent="0.25">
      <c r="A29" s="6" t="s">
        <v>242</v>
      </c>
      <c r="B29" t="s">
        <v>211</v>
      </c>
      <c r="C29" s="4">
        <f>'Mailer Arrival Profile'!$D$49*'Mailer Arrival Profile'!$C$25+C25</f>
        <v>0.10645613141474597</v>
      </c>
      <c r="D29" s="4">
        <f>'Conversion Factors'!$L$20</f>
        <v>1048.0309783429961</v>
      </c>
      <c r="E29" s="4">
        <f>'Productivity Data'!$I$38</f>
        <v>46.475052307166727</v>
      </c>
      <c r="F29" s="2">
        <f>'Wage Data'!$C$11</f>
        <v>49.154294657004115</v>
      </c>
      <c r="G29" s="4">
        <f>'Cost Pool Data'!$K$43</f>
        <v>1.386023903258889</v>
      </c>
      <c r="H29" s="2">
        <f t="shared" si="0"/>
        <v>1.3987438224320906E-3</v>
      </c>
      <c r="I29" s="2">
        <f t="shared" si="1"/>
        <v>1.4890485617639472E-4</v>
      </c>
    </row>
    <row r="30" spans="1:10" x14ac:dyDescent="0.25">
      <c r="A30" s="6" t="s">
        <v>131</v>
      </c>
      <c r="B30" t="s">
        <v>212</v>
      </c>
      <c r="C30" s="4">
        <f>'Mailer Arrival Profile'!$D$49*'Mailer Arrival Profile'!$D$25+C26</f>
        <v>0.86712084553673763</v>
      </c>
      <c r="D30" s="4">
        <f>'Conversion Factors'!$L$21</f>
        <v>1676.2813880312062</v>
      </c>
      <c r="E30" s="4">
        <f>'Productivity Data'!$I$38</f>
        <v>46.475052307166727</v>
      </c>
      <c r="F30" s="2">
        <f>'Wage Data'!$C$11</f>
        <v>49.154294657004115</v>
      </c>
      <c r="G30" s="4">
        <f>'Cost Pool Data'!$K$43</f>
        <v>1.386023903258889</v>
      </c>
      <c r="H30" s="2">
        <f t="shared" si="0"/>
        <v>8.7451120506471653E-4</v>
      </c>
      <c r="I30" s="2">
        <f t="shared" si="1"/>
        <v>7.5830689556706835E-4</v>
      </c>
    </row>
    <row r="31" spans="1:10" x14ac:dyDescent="0.25">
      <c r="B31" t="s">
        <v>213</v>
      </c>
      <c r="C31" s="4">
        <f>'Mailer Arrival Profile'!$D$49*'Mailer Arrival Profile'!$E$25+C27</f>
        <v>0</v>
      </c>
      <c r="D31" s="4">
        <f>'Conversion Factors'!$L$22</f>
        <v>1079.6056545024896</v>
      </c>
      <c r="E31" s="4">
        <f>'Productivity Data'!$I$38</f>
        <v>46.475052307166727</v>
      </c>
      <c r="F31" s="2">
        <f>'Wage Data'!$C$11</f>
        <v>49.154294657004115</v>
      </c>
      <c r="G31" s="4">
        <f>'Cost Pool Data'!$K$43</f>
        <v>1.386023903258889</v>
      </c>
      <c r="H31" s="2">
        <f t="shared" si="0"/>
        <v>1.3578354749820786E-3</v>
      </c>
      <c r="I31" s="2">
        <f t="shared" si="1"/>
        <v>0</v>
      </c>
    </row>
    <row r="32" spans="1:10" x14ac:dyDescent="0.25">
      <c r="B32" t="s">
        <v>214</v>
      </c>
      <c r="C32" s="4">
        <f>'Mailer Arrival Profile'!$D$49*'Mailer Arrival Profile'!$F$25+C28</f>
        <v>2.6423023048516493E-2</v>
      </c>
      <c r="D32" s="4">
        <f>'Conversion Factors'!$L$23</f>
        <v>913.27319010541089</v>
      </c>
      <c r="E32" s="4">
        <f>'Productivity Data'!$I$37</f>
        <v>55.996737364805647</v>
      </c>
      <c r="F32" s="2">
        <f>'Wage Data'!$C$11</f>
        <v>49.154294657004115</v>
      </c>
      <c r="G32" s="4">
        <f>'Cost Pool Data'!$K$43</f>
        <v>1.386023903258889</v>
      </c>
      <c r="H32" s="2">
        <f t="shared" si="0"/>
        <v>1.3321979353355536E-3</v>
      </c>
      <c r="I32" s="2">
        <f t="shared" si="1"/>
        <v>3.5200696750557418E-5</v>
      </c>
    </row>
    <row r="33" spans="1:10" x14ac:dyDescent="0.25">
      <c r="B33" t="s">
        <v>223</v>
      </c>
      <c r="C33" s="4">
        <f t="shared" ref="C33:C40" si="3">C29</f>
        <v>0.10645613141474597</v>
      </c>
      <c r="D33" s="4">
        <f>'Conversion Factors'!$L$20</f>
        <v>1048.0309783429961</v>
      </c>
      <c r="E33" s="4">
        <f>'Productivity Data'!$I$45</f>
        <v>55.582256364514194</v>
      </c>
      <c r="F33" s="2">
        <f>'Wage Data'!$C$11</f>
        <v>49.154294657004115</v>
      </c>
      <c r="G33" s="4">
        <f>'Cost Pool Data'!$K$43</f>
        <v>1.386023903258889</v>
      </c>
      <c r="H33" s="2">
        <f t="shared" si="0"/>
        <v>1.1695583548378664E-3</v>
      </c>
      <c r="I33" s="2">
        <f t="shared" si="1"/>
        <v>1.2450665791983399E-4</v>
      </c>
    </row>
    <row r="34" spans="1:10" x14ac:dyDescent="0.25">
      <c r="B34" s="9" t="s">
        <v>224</v>
      </c>
      <c r="C34" s="4">
        <f t="shared" si="3"/>
        <v>0.86712084553673763</v>
      </c>
      <c r="D34" s="4">
        <f>'Conversion Factors'!$L$21</f>
        <v>1676.2813880312062</v>
      </c>
      <c r="E34" s="4">
        <f>'Productivity Data'!$I$45</f>
        <v>55.582256364514194</v>
      </c>
      <c r="F34" s="2">
        <f>'Wage Data'!$C$11</f>
        <v>49.154294657004115</v>
      </c>
      <c r="G34" s="4">
        <f>'Cost Pool Data'!$K$43</f>
        <v>1.386023903258889</v>
      </c>
      <c r="H34" s="2">
        <f t="shared" si="0"/>
        <v>7.3122173616064459E-4</v>
      </c>
      <c r="I34" s="2">
        <f t="shared" si="1"/>
        <v>6.3405761013445939E-4</v>
      </c>
    </row>
    <row r="35" spans="1:10" x14ac:dyDescent="0.25">
      <c r="B35" t="s">
        <v>225</v>
      </c>
      <c r="C35" s="4">
        <f t="shared" si="3"/>
        <v>0</v>
      </c>
      <c r="D35" s="4">
        <f>'Conversion Factors'!$L$22</f>
        <v>1079.6056545024896</v>
      </c>
      <c r="E35" s="4">
        <f>'Productivity Data'!$I$45</f>
        <v>55.582256364514194</v>
      </c>
      <c r="F35" s="2">
        <f>'Wage Data'!$C$11</f>
        <v>49.154294657004115</v>
      </c>
      <c r="G35" s="4">
        <f>'Cost Pool Data'!$K$43</f>
        <v>1.386023903258889</v>
      </c>
      <c r="H35" s="2">
        <f t="shared" si="0"/>
        <v>1.1353528779124483E-3</v>
      </c>
      <c r="I35" s="2">
        <f t="shared" si="1"/>
        <v>0</v>
      </c>
    </row>
    <row r="36" spans="1:10" x14ac:dyDescent="0.25">
      <c r="A36" s="72"/>
      <c r="B36" s="79" t="s">
        <v>226</v>
      </c>
      <c r="C36" s="49">
        <f t="shared" si="3"/>
        <v>2.6423023048516493E-2</v>
      </c>
      <c r="D36" s="49">
        <f>'Conversion Factors'!$L$23</f>
        <v>913.27319010541089</v>
      </c>
      <c r="E36" s="84">
        <f>'Productivity Data'!I44</f>
        <v>70.608822220868689</v>
      </c>
      <c r="F36" s="48">
        <f>'Wage Data'!$C$11</f>
        <v>49.154294657004115</v>
      </c>
      <c r="G36" s="49">
        <f>'Cost Pool Data'!$K$43</f>
        <v>1.386023903258889</v>
      </c>
      <c r="H36" s="48">
        <f t="shared" si="0"/>
        <v>1.0565073252400661E-3</v>
      </c>
      <c r="I36" s="75">
        <f t="shared" si="1"/>
        <v>2.7916117405744779E-5</v>
      </c>
      <c r="J36" s="76">
        <f>SUM(I29:I36)</f>
        <v>1.7288928339540587E-3</v>
      </c>
    </row>
    <row r="37" spans="1:10" x14ac:dyDescent="0.25">
      <c r="A37" s="6" t="s">
        <v>243</v>
      </c>
      <c r="B37" t="s">
        <v>211</v>
      </c>
      <c r="C37" s="4">
        <f t="shared" si="3"/>
        <v>0.10645613141474597</v>
      </c>
      <c r="D37" s="4">
        <f>'Conversion Factors'!$L$20</f>
        <v>1048.0309783429961</v>
      </c>
      <c r="E37" s="4">
        <f>'Productivity Data'!$I$38</f>
        <v>46.475052307166727</v>
      </c>
      <c r="F37" s="2">
        <f>'Wage Data'!$C$11</f>
        <v>49.154294657004115</v>
      </c>
      <c r="G37" s="4">
        <f>'Cost Pool Data'!$K$43</f>
        <v>1.386023903258889</v>
      </c>
      <c r="H37" s="2">
        <f t="shared" si="0"/>
        <v>1.3987438224320906E-3</v>
      </c>
      <c r="I37" s="2">
        <f t="shared" si="1"/>
        <v>1.4890485617639472E-4</v>
      </c>
    </row>
    <row r="38" spans="1:10" x14ac:dyDescent="0.25">
      <c r="A38" s="6" t="s">
        <v>131</v>
      </c>
      <c r="B38" t="s">
        <v>212</v>
      </c>
      <c r="C38" s="4">
        <f t="shared" si="3"/>
        <v>0.86712084553673763</v>
      </c>
      <c r="D38" s="4">
        <f>'Conversion Factors'!$L$21</f>
        <v>1676.2813880312062</v>
      </c>
      <c r="E38" s="4">
        <f>'Productivity Data'!$I$38</f>
        <v>46.475052307166727</v>
      </c>
      <c r="F38" s="2">
        <f>'Wage Data'!$C$11</f>
        <v>49.154294657004115</v>
      </c>
      <c r="G38" s="4">
        <f>'Cost Pool Data'!$K$43</f>
        <v>1.386023903258889</v>
      </c>
      <c r="H38" s="2">
        <f t="shared" si="0"/>
        <v>8.7451120506471653E-4</v>
      </c>
      <c r="I38" s="2">
        <f t="shared" si="1"/>
        <v>7.5830689556706835E-4</v>
      </c>
    </row>
    <row r="39" spans="1:10" x14ac:dyDescent="0.25">
      <c r="B39" t="s">
        <v>213</v>
      </c>
      <c r="C39" s="4">
        <f t="shared" si="3"/>
        <v>0</v>
      </c>
      <c r="D39" s="4">
        <f>'Conversion Factors'!$L$22</f>
        <v>1079.6056545024896</v>
      </c>
      <c r="E39" s="4">
        <f>'Productivity Data'!$I$38</f>
        <v>46.475052307166727</v>
      </c>
      <c r="F39" s="2">
        <f>'Wage Data'!$C$11</f>
        <v>49.154294657004115</v>
      </c>
      <c r="G39" s="4">
        <f>'Cost Pool Data'!$K$43</f>
        <v>1.386023903258889</v>
      </c>
      <c r="H39" s="2">
        <f t="shared" si="0"/>
        <v>1.3578354749820786E-3</v>
      </c>
      <c r="I39" s="2">
        <f t="shared" si="1"/>
        <v>0</v>
      </c>
    </row>
    <row r="40" spans="1:10" x14ac:dyDescent="0.25">
      <c r="B40" t="s">
        <v>214</v>
      </c>
      <c r="C40" s="4">
        <f t="shared" si="3"/>
        <v>2.6423023048516493E-2</v>
      </c>
      <c r="D40" s="4">
        <f>'Conversion Factors'!$L$23</f>
        <v>913.27319010541089</v>
      </c>
      <c r="E40" s="4">
        <f>'Productivity Data'!$I$37</f>
        <v>55.996737364805647</v>
      </c>
      <c r="F40" s="2">
        <f>'Wage Data'!$C$11</f>
        <v>49.154294657004115</v>
      </c>
      <c r="G40" s="4">
        <f>'Cost Pool Data'!$K$43</f>
        <v>1.386023903258889</v>
      </c>
      <c r="H40" s="2">
        <f t="shared" si="0"/>
        <v>1.3321979353355536E-3</v>
      </c>
      <c r="I40" s="2">
        <f t="shared" si="1"/>
        <v>3.5200696750557418E-5</v>
      </c>
    </row>
    <row r="41" spans="1:10" x14ac:dyDescent="0.25">
      <c r="B41" t="s">
        <v>141</v>
      </c>
      <c r="C41" s="4">
        <f>SUM(C37:C40)</f>
        <v>1</v>
      </c>
      <c r="D41" s="4">
        <v>1</v>
      </c>
      <c r="E41" s="4">
        <f>'Productivity Data'!$I$21</f>
        <v>402.79881226580181</v>
      </c>
      <c r="F41" s="2">
        <f>'Wage Data'!$C$11</f>
        <v>49.154294657004115</v>
      </c>
      <c r="G41" s="4">
        <f>'Cost Pool Data'!$K$41</f>
        <v>1.4774316541145593</v>
      </c>
      <c r="H41" s="2">
        <f t="shared" si="0"/>
        <v>0.18029375621398216</v>
      </c>
      <c r="I41" s="2">
        <f t="shared" si="1"/>
        <v>0.18029375621398216</v>
      </c>
    </row>
    <row r="42" spans="1:10" x14ac:dyDescent="0.25">
      <c r="A42" s="72"/>
      <c r="B42" s="79" t="s">
        <v>248</v>
      </c>
      <c r="C42" s="49">
        <f>C41</f>
        <v>1</v>
      </c>
      <c r="D42" s="49">
        <f>'Conversion Factors'!$L$48</f>
        <v>400.86107774048043</v>
      </c>
      <c r="E42" s="49">
        <f>'Productivity Data'!$I$44</f>
        <v>70.608822220868689</v>
      </c>
      <c r="F42" s="48">
        <f>'Wage Data'!$C$11</f>
        <v>49.154294657004115</v>
      </c>
      <c r="G42" s="49">
        <f>'Cost Pool Data'!$K$43</f>
        <v>1.386023903258889</v>
      </c>
      <c r="H42" s="48">
        <f t="shared" si="0"/>
        <v>2.4070179642544354E-3</v>
      </c>
      <c r="I42" s="75">
        <f t="shared" si="1"/>
        <v>2.4070179642544354E-3</v>
      </c>
      <c r="J42" s="76">
        <f>SUM(I37:I42)</f>
        <v>0.18364318662673063</v>
      </c>
    </row>
    <row r="43" spans="1:10" x14ac:dyDescent="0.25">
      <c r="A43" s="6" t="s">
        <v>243</v>
      </c>
      <c r="B43" t="s">
        <v>249</v>
      </c>
      <c r="C43" s="4">
        <f>C42</f>
        <v>1</v>
      </c>
      <c r="D43" s="4">
        <f>'Conversion Factors'!$L$48</f>
        <v>400.86107774048043</v>
      </c>
      <c r="E43" s="4">
        <f>'Productivity Data'!$I$27</f>
        <v>81.873572020007202</v>
      </c>
      <c r="F43" s="2">
        <f>'Wage Data'!$C$11</f>
        <v>49.154294657004115</v>
      </c>
      <c r="G43" s="4">
        <f>'Cost Pool Data'!$K$27</f>
        <v>1.3606061934437479</v>
      </c>
      <c r="H43" s="2">
        <f t="shared" si="0"/>
        <v>2.0377752533718265E-3</v>
      </c>
      <c r="I43" s="2">
        <f t="shared" si="1"/>
        <v>2.0377752533718265E-3</v>
      </c>
    </row>
    <row r="44" spans="1:10" x14ac:dyDescent="0.25">
      <c r="A44" s="6" t="s">
        <v>241</v>
      </c>
      <c r="B44" t="s">
        <v>204</v>
      </c>
      <c r="C44" s="4">
        <f>C43*'Other Inputs'!$B$30*(1+'Other Inputs'!$B$10)</f>
        <v>0.42375228317471153</v>
      </c>
      <c r="D44" s="4">
        <v>1</v>
      </c>
      <c r="E44" s="4">
        <f>'Productivity Data'!$I$10</f>
        <v>245.20305602978507</v>
      </c>
      <c r="F44" s="2">
        <f>'Wage Data'!$C$11</f>
        <v>49.154294657004115</v>
      </c>
      <c r="G44" s="4">
        <f>'Cost Pool Data'!$L$14</f>
        <v>1.8052502472456198</v>
      </c>
      <c r="H44" s="2">
        <f t="shared" si="0"/>
        <v>0.36188701731336453</v>
      </c>
      <c r="I44" s="2">
        <f t="shared" si="1"/>
        <v>0.15335044983782459</v>
      </c>
    </row>
    <row r="45" spans="1:10" x14ac:dyDescent="0.25">
      <c r="B45" s="9" t="s">
        <v>363</v>
      </c>
      <c r="C45" s="4">
        <f>C43*'Other Inputs'!$B$31*(1+'Other Inputs'!$B$11)</f>
        <v>0.56721575232661026</v>
      </c>
      <c r="D45" s="4">
        <v>1</v>
      </c>
      <c r="E45" s="4">
        <f>'Productivity Data'!$I$11</f>
        <v>190.80521220652753</v>
      </c>
      <c r="F45" s="2">
        <f>'Wage Data'!$C$11</f>
        <v>49.154294657004115</v>
      </c>
      <c r="G45" s="4">
        <f>'Cost Pool Data'!$L$11</f>
        <v>1.6056412614911089</v>
      </c>
      <c r="H45" s="2">
        <f t="shared" si="0"/>
        <v>0.41363735700967258</v>
      </c>
      <c r="I45" s="2">
        <f t="shared" si="1"/>
        <v>0.23462162464663211</v>
      </c>
    </row>
    <row r="46" spans="1:10" x14ac:dyDescent="0.25">
      <c r="B46" t="s">
        <v>198</v>
      </c>
      <c r="C46" s="4">
        <f>C43*'Other Inputs'!$B$32</f>
        <v>0.11391845469353627</v>
      </c>
      <c r="D46" s="4">
        <v>1</v>
      </c>
      <c r="E46" s="4">
        <f>'Productivity Data'!$I$16</f>
        <v>47.994690148863093</v>
      </c>
      <c r="F46" s="2">
        <f>'Wage Data'!$C$11</f>
        <v>49.154294657004115</v>
      </c>
      <c r="G46" s="4">
        <f>'Cost Pool Data'!$K$16</f>
        <v>1.3208756008457678</v>
      </c>
      <c r="H46" s="2">
        <f t="shared" si="0"/>
        <v>1.3527894083249588</v>
      </c>
      <c r="I46" s="2">
        <f t="shared" si="1"/>
        <v>0.15410767892216257</v>
      </c>
    </row>
    <row r="47" spans="1:10" x14ac:dyDescent="0.25">
      <c r="A47" s="72"/>
      <c r="B47" s="79" t="s">
        <v>248</v>
      </c>
      <c r="C47" s="49">
        <f>C43</f>
        <v>1</v>
      </c>
      <c r="D47" s="49">
        <f>'Conversion Factors'!$L$48</f>
        <v>400.86107774048043</v>
      </c>
      <c r="E47" s="49">
        <f>'Productivity Data'!$I$31</f>
        <v>91.071587890934111</v>
      </c>
      <c r="F47" s="48">
        <f>'Wage Data'!$C$11</f>
        <v>49.154294657004115</v>
      </c>
      <c r="G47" s="49">
        <f>'Cost Pool Data'!$K$27</f>
        <v>1.3606061934437479</v>
      </c>
      <c r="H47" s="48">
        <f t="shared" si="0"/>
        <v>1.8319647524684813E-3</v>
      </c>
      <c r="I47" s="75">
        <f t="shared" si="1"/>
        <v>1.8319647524684813E-3</v>
      </c>
      <c r="J47" s="76">
        <f>SUM(I43:I47)</f>
        <v>0.54594949341245957</v>
      </c>
    </row>
    <row r="48" spans="1:10" x14ac:dyDescent="0.25">
      <c r="A48" s="6" t="s">
        <v>243</v>
      </c>
      <c r="B48" t="s">
        <v>249</v>
      </c>
      <c r="C48" s="4">
        <f>C47</f>
        <v>1</v>
      </c>
      <c r="D48" s="4">
        <f>'Conversion Factors'!$L$48</f>
        <v>400.86107774048043</v>
      </c>
      <c r="E48" s="4">
        <f>'Productivity Data'!$I$25</f>
        <v>60.332591436644847</v>
      </c>
      <c r="F48" s="2">
        <f>'Wage Data'!$C$11</f>
        <v>49.154294657004115</v>
      </c>
      <c r="G48" s="4">
        <f>'Cost Pool Data'!$K$48</f>
        <v>1.6214860636540271</v>
      </c>
      <c r="H48" s="2">
        <f t="shared" si="0"/>
        <v>3.2955569375124503E-3</v>
      </c>
      <c r="I48" s="2">
        <f t="shared" si="1"/>
        <v>3.2955569375124503E-3</v>
      </c>
    </row>
    <row r="49" spans="1:10" x14ac:dyDescent="0.25">
      <c r="A49" s="72" t="s">
        <v>85</v>
      </c>
      <c r="B49" s="79" t="s">
        <v>135</v>
      </c>
      <c r="C49" s="49">
        <f>C48</f>
        <v>1</v>
      </c>
      <c r="D49" s="49">
        <v>1</v>
      </c>
      <c r="E49" s="49">
        <f>'Productivity Data'!$I$22</f>
        <v>307.66822713635111</v>
      </c>
      <c r="F49" s="48">
        <f>'Wage Data'!$C$11</f>
        <v>49.154294657004115</v>
      </c>
      <c r="G49" s="49">
        <f>'Cost Pool Data'!$K$57</f>
        <v>1.4957786551922303</v>
      </c>
      <c r="H49" s="48">
        <f t="shared" si="0"/>
        <v>0.23897152280983572</v>
      </c>
      <c r="I49" s="75">
        <f t="shared" si="1"/>
        <v>0.23897152280983572</v>
      </c>
      <c r="J49" s="76">
        <f>SUM(I48:I49)</f>
        <v>0.24226707974734818</v>
      </c>
    </row>
    <row r="51" spans="1:10" x14ac:dyDescent="0.25">
      <c r="A51" s="29" t="s">
        <v>259</v>
      </c>
      <c r="I51" s="80" t="s">
        <v>203</v>
      </c>
      <c r="J51" s="81">
        <f>J16+J28+J36+J42+J47+J49</f>
        <v>0.97539282596170285</v>
      </c>
    </row>
    <row r="52" spans="1:10" x14ac:dyDescent="0.25">
      <c r="A52" s="6" t="s">
        <v>296</v>
      </c>
      <c r="F52"/>
      <c r="G52"/>
      <c r="H52"/>
      <c r="I52"/>
    </row>
    <row r="53" spans="1:10" x14ac:dyDescent="0.25">
      <c r="A53" s="6" t="s">
        <v>297</v>
      </c>
    </row>
    <row r="54" spans="1:10" x14ac:dyDescent="0.25">
      <c r="A54" s="6" t="s">
        <v>298</v>
      </c>
    </row>
    <row r="55" spans="1:10" x14ac:dyDescent="0.25">
      <c r="A55" s="6" t="s">
        <v>299</v>
      </c>
    </row>
    <row r="56" spans="1:10" x14ac:dyDescent="0.25">
      <c r="A56" s="6" t="s">
        <v>277</v>
      </c>
    </row>
    <row r="57" spans="1:10" x14ac:dyDescent="0.25">
      <c r="A57" s="6" t="s">
        <v>300</v>
      </c>
    </row>
    <row r="58" spans="1:10" x14ac:dyDescent="0.25">
      <c r="A58" s="6" t="s">
        <v>301</v>
      </c>
    </row>
  </sheetData>
  <phoneticPr fontId="3" type="noConversion"/>
  <printOptions horizontalCentered="1"/>
  <pageMargins left="0.75" right="0.75" top="1" bottom="1" header="0.5" footer="0.5"/>
  <pageSetup scale="61" orientation="portrait" r:id="rId1"/>
  <headerFooter alignWithMargins="0">
    <oddHeader>&amp;RPage 34 of 50</oddHeader>
    <oddFooter>&amp;R&amp;F</oddFooter>
  </headerFooter>
  <ignoredErrors>
    <ignoredError sqref="G41" formula="1"/>
  </ignoredError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 codeName="Sheet45">
    <pageSetUpPr fitToPage="1"/>
  </sheetPr>
  <dimension ref="A1:J30"/>
  <sheetViews>
    <sheetView zoomScale="75" workbookViewId="0">
      <selection activeCell="E20" sqref="E20:J23"/>
    </sheetView>
  </sheetViews>
  <sheetFormatPr defaultColWidth="9.109375" defaultRowHeight="13.2" x14ac:dyDescent="0.25"/>
  <cols>
    <col min="1" max="1" width="15.6640625" style="6" customWidth="1"/>
    <col min="2" max="2" width="30.6640625" style="6" customWidth="1"/>
    <col min="3" max="5" width="12.6640625" style="4" customWidth="1"/>
    <col min="6" max="6" width="12.6640625" style="2" customWidth="1"/>
    <col min="7" max="7" width="12.6640625" style="4" customWidth="1"/>
    <col min="8" max="9" width="12.6640625" style="2" customWidth="1"/>
    <col min="10" max="10" width="12.6640625" customWidth="1"/>
  </cols>
  <sheetData>
    <row r="1" spans="1:10" ht="15.6" x14ac:dyDescent="0.3">
      <c r="A1" s="5" t="s">
        <v>408</v>
      </c>
      <c r="B1" s="5"/>
    </row>
    <row r="4" spans="1:10" x14ac:dyDescent="0.25">
      <c r="C4" s="8" t="s">
        <v>107</v>
      </c>
      <c r="D4" s="8" t="s">
        <v>108</v>
      </c>
      <c r="E4" s="8" t="s">
        <v>109</v>
      </c>
      <c r="F4" s="50" t="s">
        <v>112</v>
      </c>
      <c r="G4" s="8" t="s">
        <v>156</v>
      </c>
      <c r="H4" s="50" t="s">
        <v>157</v>
      </c>
      <c r="I4" s="50" t="s">
        <v>192</v>
      </c>
    </row>
    <row r="5" spans="1:10" x14ac:dyDescent="0.25">
      <c r="A5" s="70"/>
      <c r="F5" s="50" t="s">
        <v>155</v>
      </c>
      <c r="H5" s="50" t="s">
        <v>3</v>
      </c>
      <c r="I5" s="50" t="s">
        <v>3</v>
      </c>
    </row>
    <row r="6" spans="1:10" s="6" customFormat="1" x14ac:dyDescent="0.25">
      <c r="C6" s="8"/>
      <c r="D6" s="8" t="s">
        <v>202</v>
      </c>
      <c r="E6" s="8" t="s">
        <v>101</v>
      </c>
      <c r="F6" s="50" t="s">
        <v>103</v>
      </c>
      <c r="G6" s="8" t="s">
        <v>105</v>
      </c>
      <c r="H6" s="50" t="s">
        <v>207</v>
      </c>
      <c r="I6" s="50" t="s">
        <v>206</v>
      </c>
    </row>
    <row r="7" spans="1:10" s="6" customFormat="1" x14ac:dyDescent="0.25">
      <c r="A7" s="6" t="s">
        <v>84</v>
      </c>
      <c r="B7" s="6" t="s">
        <v>76</v>
      </c>
      <c r="C7" s="8" t="s">
        <v>199</v>
      </c>
      <c r="D7" s="8" t="s">
        <v>81</v>
      </c>
      <c r="E7" s="8" t="s">
        <v>102</v>
      </c>
      <c r="F7" s="50" t="s">
        <v>104</v>
      </c>
      <c r="G7" s="8" t="s">
        <v>81</v>
      </c>
      <c r="H7" s="50" t="s">
        <v>76</v>
      </c>
      <c r="I7" s="50" t="s">
        <v>84</v>
      </c>
    </row>
    <row r="8" spans="1:10" x14ac:dyDescent="0.25">
      <c r="A8" s="72"/>
      <c r="B8" s="72"/>
      <c r="C8" s="49"/>
      <c r="D8" s="49"/>
      <c r="E8" s="49"/>
      <c r="F8" s="48"/>
      <c r="G8" s="49"/>
      <c r="H8" s="48"/>
      <c r="I8" s="48"/>
      <c r="J8" s="79"/>
    </row>
    <row r="9" spans="1:10" x14ac:dyDescent="0.25">
      <c r="A9" s="6" t="s">
        <v>243</v>
      </c>
      <c r="B9" t="s">
        <v>211</v>
      </c>
      <c r="C9" s="4">
        <f>'Mailer Arrival Profile'!$C$26</f>
        <v>1.1095125991803994E-2</v>
      </c>
      <c r="D9" s="4">
        <f>'Conversion Factors'!$L$20</f>
        <v>1048.0309783429961</v>
      </c>
      <c r="E9" s="4">
        <f>'Productivity Data'!$I$38</f>
        <v>46.475052307166727</v>
      </c>
      <c r="F9" s="2">
        <f>'Wage Data'!$C$11</f>
        <v>49.154294657004115</v>
      </c>
      <c r="G9" s="4">
        <f>'Cost Pool Data'!$K$43</f>
        <v>1.386023903258889</v>
      </c>
      <c r="H9" s="2">
        <f t="shared" ref="H9:H21" si="0">(F9*G9)/(D9*E9)</f>
        <v>1.3987438224320906E-3</v>
      </c>
      <c r="I9" s="2">
        <f t="shared" ref="I9:I21" si="1">C9*H9</f>
        <v>1.5519238940141559E-5</v>
      </c>
    </row>
    <row r="10" spans="1:10" x14ac:dyDescent="0.25">
      <c r="A10" s="6" t="s">
        <v>131</v>
      </c>
      <c r="B10" t="s">
        <v>212</v>
      </c>
      <c r="C10" s="4">
        <f>'Mailer Arrival Profile'!$D$26</f>
        <v>0.86038451477896938</v>
      </c>
      <c r="D10" s="4">
        <f>'Conversion Factors'!$L$21</f>
        <v>1676.2813880312062</v>
      </c>
      <c r="E10" s="4">
        <f>'Productivity Data'!$I$38</f>
        <v>46.475052307166727</v>
      </c>
      <c r="F10" s="2">
        <f>'Wage Data'!$C$11</f>
        <v>49.154294657004115</v>
      </c>
      <c r="G10" s="4">
        <f>'Cost Pool Data'!$K$43</f>
        <v>1.386023903258889</v>
      </c>
      <c r="H10" s="2">
        <f t="shared" si="0"/>
        <v>8.7451120506471653E-4</v>
      </c>
      <c r="I10" s="2">
        <f t="shared" si="1"/>
        <v>7.5241589883837795E-4</v>
      </c>
    </row>
    <row r="11" spans="1:10" x14ac:dyDescent="0.25">
      <c r="B11" t="s">
        <v>213</v>
      </c>
      <c r="C11" s="4">
        <f>'Mailer Arrival Profile'!$E$26</f>
        <v>1.4822565175690993E-3</v>
      </c>
      <c r="D11" s="4">
        <f>'Conversion Factors'!$L$22</f>
        <v>1079.6056545024896</v>
      </c>
      <c r="E11" s="4">
        <f>'Productivity Data'!$I$38</f>
        <v>46.475052307166727</v>
      </c>
      <c r="F11" s="2">
        <f>'Wage Data'!$C$11</f>
        <v>49.154294657004115</v>
      </c>
      <c r="G11" s="4">
        <f>'Cost Pool Data'!$K$43</f>
        <v>1.386023903258889</v>
      </c>
      <c r="H11" s="2">
        <f t="shared" si="0"/>
        <v>1.3578354749820786E-3</v>
      </c>
      <c r="I11" s="2">
        <f t="shared" si="1"/>
        <v>2.0126604825787194E-6</v>
      </c>
    </row>
    <row r="12" spans="1:10" x14ac:dyDescent="0.25">
      <c r="B12" t="s">
        <v>214</v>
      </c>
      <c r="C12" s="4">
        <f>'Mailer Arrival Profile'!$F$26</f>
        <v>0.12703810271165752</v>
      </c>
      <c r="D12" s="4">
        <f>'Conversion Factors'!$L$23</f>
        <v>913.27319010541089</v>
      </c>
      <c r="E12" s="4">
        <f>'Productivity Data'!$I$37</f>
        <v>55.996737364805647</v>
      </c>
      <c r="F12" s="2">
        <f>'Wage Data'!$C$11</f>
        <v>49.154294657004115</v>
      </c>
      <c r="G12" s="4">
        <f>'Cost Pool Data'!$K$43</f>
        <v>1.386023903258889</v>
      </c>
      <c r="H12" s="2">
        <f t="shared" si="0"/>
        <v>1.3321979353355536E-3</v>
      </c>
      <c r="I12" s="2">
        <f t="shared" si="1"/>
        <v>1.6923989814141615E-4</v>
      </c>
    </row>
    <row r="13" spans="1:10" x14ac:dyDescent="0.25">
      <c r="B13" t="s">
        <v>141</v>
      </c>
      <c r="C13" s="4">
        <f>SUM(C9:C12)</f>
        <v>0.99999999999999989</v>
      </c>
      <c r="D13" s="4">
        <v>1</v>
      </c>
      <c r="E13" s="4">
        <f>'Productivity Data'!$I$21</f>
        <v>402.79881226580181</v>
      </c>
      <c r="F13" s="2">
        <f>'Wage Data'!$C$11</f>
        <v>49.154294657004115</v>
      </c>
      <c r="G13" s="4">
        <f>'Cost Pool Data'!$K$41</f>
        <v>1.4774316541145593</v>
      </c>
      <c r="H13" s="2">
        <f t="shared" si="0"/>
        <v>0.18029375621398216</v>
      </c>
      <c r="I13" s="2">
        <f t="shared" si="1"/>
        <v>0.18029375621398214</v>
      </c>
    </row>
    <row r="14" spans="1:10" x14ac:dyDescent="0.25">
      <c r="A14" s="72"/>
      <c r="B14" s="79" t="s">
        <v>248</v>
      </c>
      <c r="C14" s="49">
        <f>C13</f>
        <v>0.99999999999999989</v>
      </c>
      <c r="D14" s="49">
        <f>'Conversion Factors'!$L$48</f>
        <v>400.86107774048043</v>
      </c>
      <c r="E14" s="49">
        <f>'Productivity Data'!$I$44</f>
        <v>70.608822220868689</v>
      </c>
      <c r="F14" s="48">
        <f>'Wage Data'!$C$11</f>
        <v>49.154294657004115</v>
      </c>
      <c r="G14" s="49">
        <f>'Cost Pool Data'!$K$43</f>
        <v>1.386023903258889</v>
      </c>
      <c r="H14" s="48">
        <f t="shared" si="0"/>
        <v>2.4070179642544354E-3</v>
      </c>
      <c r="I14" s="75">
        <f t="shared" si="1"/>
        <v>2.407017964254435E-3</v>
      </c>
      <c r="J14" s="76">
        <f>SUM(I9:I14)</f>
        <v>0.1836399618746391</v>
      </c>
    </row>
    <row r="15" spans="1:10" x14ac:dyDescent="0.25">
      <c r="A15" s="6" t="s">
        <v>243</v>
      </c>
      <c r="B15" t="s">
        <v>249</v>
      </c>
      <c r="C15" s="4">
        <f>C14</f>
        <v>0.99999999999999989</v>
      </c>
      <c r="D15" s="4">
        <f>'Conversion Factors'!$L$48</f>
        <v>400.86107774048043</v>
      </c>
      <c r="E15" s="4">
        <f>'Productivity Data'!$I$27</f>
        <v>81.873572020007202</v>
      </c>
      <c r="F15" s="2">
        <f>'Wage Data'!$C$11</f>
        <v>49.154294657004115</v>
      </c>
      <c r="G15" s="4">
        <f>'Cost Pool Data'!$K$27</f>
        <v>1.3606061934437479</v>
      </c>
      <c r="H15" s="2">
        <f t="shared" si="0"/>
        <v>2.0377752533718265E-3</v>
      </c>
      <c r="I15" s="2">
        <f t="shared" si="1"/>
        <v>2.037775253371826E-3</v>
      </c>
    </row>
    <row r="16" spans="1:10" x14ac:dyDescent="0.25">
      <c r="A16" s="6" t="s">
        <v>241</v>
      </c>
      <c r="B16" t="s">
        <v>204</v>
      </c>
      <c r="C16" s="4">
        <f>C15*'Other Inputs'!$B$30*(1+'Other Inputs'!$B$10)</f>
        <v>0.42375228317471147</v>
      </c>
      <c r="D16" s="4">
        <v>1</v>
      </c>
      <c r="E16" s="4">
        <f>'Productivity Data'!$I$10</f>
        <v>245.20305602978507</v>
      </c>
      <c r="F16" s="2">
        <f>'Wage Data'!$C$11</f>
        <v>49.154294657004115</v>
      </c>
      <c r="G16" s="4">
        <f>'Cost Pool Data'!$L$14</f>
        <v>1.8052502472456198</v>
      </c>
      <c r="H16" s="2">
        <f t="shared" si="0"/>
        <v>0.36188701731336453</v>
      </c>
      <c r="I16" s="2">
        <f t="shared" si="1"/>
        <v>0.15335044983782456</v>
      </c>
    </row>
    <row r="17" spans="1:10" x14ac:dyDescent="0.25">
      <c r="B17" s="9" t="s">
        <v>363</v>
      </c>
      <c r="C17" s="4">
        <f>C15*'Other Inputs'!$B$31*(1+'Other Inputs'!$B$11)</f>
        <v>0.56721575232661015</v>
      </c>
      <c r="D17" s="4">
        <v>1</v>
      </c>
      <c r="E17" s="4">
        <f>'Productivity Data'!$I$11</f>
        <v>190.80521220652753</v>
      </c>
      <c r="F17" s="2">
        <f>'Wage Data'!$C$11</f>
        <v>49.154294657004115</v>
      </c>
      <c r="G17" s="4">
        <f>'Cost Pool Data'!$L$11</f>
        <v>1.6056412614911089</v>
      </c>
      <c r="H17" s="2">
        <f t="shared" si="0"/>
        <v>0.41363735700967258</v>
      </c>
      <c r="I17" s="2">
        <f t="shared" si="1"/>
        <v>0.23462162464663205</v>
      </c>
    </row>
    <row r="18" spans="1:10" x14ac:dyDescent="0.25">
      <c r="B18" t="s">
        <v>198</v>
      </c>
      <c r="C18" s="4">
        <f>C15*'Other Inputs'!$B$32</f>
        <v>0.11391845469353626</v>
      </c>
      <c r="D18" s="4">
        <v>1</v>
      </c>
      <c r="E18" s="4">
        <f>'Productivity Data'!$I$16</f>
        <v>47.994690148863093</v>
      </c>
      <c r="F18" s="2">
        <f>'Wage Data'!$C$11</f>
        <v>49.154294657004115</v>
      </c>
      <c r="G18" s="4">
        <f>'Cost Pool Data'!$K$16</f>
        <v>1.3208756008457678</v>
      </c>
      <c r="H18" s="2">
        <f t="shared" si="0"/>
        <v>1.3527894083249588</v>
      </c>
      <c r="I18" s="2">
        <f t="shared" si="1"/>
        <v>0.15410767892216254</v>
      </c>
    </row>
    <row r="19" spans="1:10" x14ac:dyDescent="0.25">
      <c r="A19" s="72"/>
      <c r="B19" s="79" t="s">
        <v>248</v>
      </c>
      <c r="C19" s="49">
        <f>C15</f>
        <v>0.99999999999999989</v>
      </c>
      <c r="D19" s="49">
        <f>'Conversion Factors'!$L$48</f>
        <v>400.86107774048043</v>
      </c>
      <c r="E19" s="49">
        <f>'Productivity Data'!$I$31</f>
        <v>91.071587890934111</v>
      </c>
      <c r="F19" s="48">
        <f>'Wage Data'!$C$11</f>
        <v>49.154294657004115</v>
      </c>
      <c r="G19" s="49">
        <f>'Cost Pool Data'!$K$27</f>
        <v>1.3606061934437479</v>
      </c>
      <c r="H19" s="48">
        <f t="shared" si="0"/>
        <v>1.8319647524684813E-3</v>
      </c>
      <c r="I19" s="75">
        <f t="shared" si="1"/>
        <v>1.8319647524684811E-3</v>
      </c>
      <c r="J19" s="76">
        <f>SUM(I15:I19)</f>
        <v>0.54594949341245946</v>
      </c>
    </row>
    <row r="20" spans="1:10" x14ac:dyDescent="0.25">
      <c r="A20" s="6" t="s">
        <v>243</v>
      </c>
      <c r="B20" t="s">
        <v>249</v>
      </c>
      <c r="C20" s="4">
        <f>C19</f>
        <v>0.99999999999999989</v>
      </c>
      <c r="D20" s="4">
        <f>'Conversion Factors'!$L$48</f>
        <v>400.86107774048043</v>
      </c>
      <c r="E20" s="4">
        <f>'Productivity Data'!$I$25</f>
        <v>60.332591436644847</v>
      </c>
      <c r="F20" s="2">
        <f>'Wage Data'!$C$11</f>
        <v>49.154294657004115</v>
      </c>
      <c r="G20" s="4">
        <f>'Cost Pool Data'!$K$48</f>
        <v>1.6214860636540271</v>
      </c>
      <c r="H20" s="2">
        <f t="shared" si="0"/>
        <v>3.2955569375124503E-3</v>
      </c>
      <c r="I20" s="2">
        <f t="shared" si="1"/>
        <v>3.2955569375124499E-3</v>
      </c>
    </row>
    <row r="21" spans="1:10" x14ac:dyDescent="0.25">
      <c r="A21" s="72" t="s">
        <v>85</v>
      </c>
      <c r="B21" s="79" t="s">
        <v>135</v>
      </c>
      <c r="C21" s="49">
        <f>C20</f>
        <v>0.99999999999999989</v>
      </c>
      <c r="D21" s="49">
        <v>1</v>
      </c>
      <c r="E21" s="49">
        <f>'Productivity Data'!$I$22</f>
        <v>307.66822713635111</v>
      </c>
      <c r="F21" s="48">
        <f>'Wage Data'!$C$11</f>
        <v>49.154294657004115</v>
      </c>
      <c r="G21" s="49">
        <f>'Cost Pool Data'!$K$57</f>
        <v>1.4957786551922303</v>
      </c>
      <c r="H21" s="48">
        <f t="shared" si="0"/>
        <v>0.23897152280983572</v>
      </c>
      <c r="I21" s="75">
        <f t="shared" si="1"/>
        <v>0.23897152280983569</v>
      </c>
      <c r="J21" s="76">
        <f>SUM(I20:I21)</f>
        <v>0.24226707974734815</v>
      </c>
    </row>
    <row r="23" spans="1:10" x14ac:dyDescent="0.25">
      <c r="A23" s="29" t="s">
        <v>259</v>
      </c>
      <c r="I23" s="80" t="s">
        <v>203</v>
      </c>
      <c r="J23" s="81">
        <f>J14+J19+J21</f>
        <v>0.97185653503444669</v>
      </c>
    </row>
    <row r="24" spans="1:10" x14ac:dyDescent="0.25">
      <c r="A24" s="6" t="s">
        <v>296</v>
      </c>
      <c r="F24"/>
      <c r="G24"/>
      <c r="H24"/>
      <c r="I24"/>
    </row>
    <row r="25" spans="1:10" x14ac:dyDescent="0.25">
      <c r="A25" s="6" t="s">
        <v>297</v>
      </c>
    </row>
    <row r="26" spans="1:10" x14ac:dyDescent="0.25">
      <c r="A26" s="6" t="s">
        <v>298</v>
      </c>
    </row>
    <row r="27" spans="1:10" x14ac:dyDescent="0.25">
      <c r="A27" s="6" t="s">
        <v>299</v>
      </c>
    </row>
    <row r="28" spans="1:10" x14ac:dyDescent="0.25">
      <c r="A28" s="6" t="s">
        <v>277</v>
      </c>
    </row>
    <row r="29" spans="1:10" x14ac:dyDescent="0.25">
      <c r="A29" s="6" t="s">
        <v>300</v>
      </c>
    </row>
    <row r="30" spans="1:10" x14ac:dyDescent="0.25">
      <c r="A30" s="6" t="s">
        <v>301</v>
      </c>
    </row>
  </sheetData>
  <phoneticPr fontId="3" type="noConversion"/>
  <printOptions horizontalCentered="1"/>
  <pageMargins left="0.75" right="0.75" top="1" bottom="1" header="0.5" footer="0.5"/>
  <pageSetup scale="61" orientation="portrait" r:id="rId1"/>
  <headerFooter alignWithMargins="0">
    <oddHeader>&amp;RPage 35 of 50</oddHeader>
    <oddFooter>&amp;R&amp;F</oddFooter>
  </headerFooter>
  <ignoredErrors>
    <ignoredError sqref="G13" formula="1"/>
  </ignoredError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 codeName="Sheet46">
    <pageSetUpPr fitToPage="1"/>
  </sheetPr>
  <dimension ref="A1:J34"/>
  <sheetViews>
    <sheetView zoomScale="75" workbookViewId="0">
      <selection activeCell="P22" sqref="P22"/>
    </sheetView>
  </sheetViews>
  <sheetFormatPr defaultColWidth="9.109375" defaultRowHeight="13.2" x14ac:dyDescent="0.25"/>
  <cols>
    <col min="1" max="1" width="15.6640625" style="6" customWidth="1"/>
    <col min="2" max="2" width="30.6640625" style="6" customWidth="1"/>
    <col min="3" max="5" width="12.6640625" style="4" customWidth="1"/>
    <col min="6" max="6" width="12.6640625" style="2" customWidth="1"/>
    <col min="7" max="7" width="12.6640625" style="4" customWidth="1"/>
    <col min="8" max="9" width="12.6640625" style="2" customWidth="1"/>
    <col min="10" max="10" width="12.6640625" customWidth="1"/>
  </cols>
  <sheetData>
    <row r="1" spans="1:10" ht="15.6" x14ac:dyDescent="0.3">
      <c r="A1" s="5" t="s">
        <v>409</v>
      </c>
      <c r="B1" s="5"/>
    </row>
    <row r="4" spans="1:10" x14ac:dyDescent="0.25">
      <c r="C4" s="8" t="s">
        <v>107</v>
      </c>
      <c r="D4" s="8" t="s">
        <v>108</v>
      </c>
      <c r="E4" s="8" t="s">
        <v>109</v>
      </c>
      <c r="F4" s="50" t="s">
        <v>112</v>
      </c>
      <c r="G4" s="8" t="s">
        <v>156</v>
      </c>
      <c r="H4" s="50" t="s">
        <v>157</v>
      </c>
      <c r="I4" s="50" t="s">
        <v>192</v>
      </c>
    </row>
    <row r="5" spans="1:10" x14ac:dyDescent="0.25">
      <c r="A5" s="70"/>
      <c r="F5" s="50" t="s">
        <v>155</v>
      </c>
      <c r="H5" s="50" t="s">
        <v>3</v>
      </c>
      <c r="I5" s="50" t="s">
        <v>3</v>
      </c>
    </row>
    <row r="6" spans="1:10" s="6" customFormat="1" x14ac:dyDescent="0.25">
      <c r="C6" s="8"/>
      <c r="D6" s="8" t="s">
        <v>202</v>
      </c>
      <c r="E6" s="8" t="s">
        <v>101</v>
      </c>
      <c r="F6" s="50" t="s">
        <v>103</v>
      </c>
      <c r="G6" s="8" t="s">
        <v>105</v>
      </c>
      <c r="H6" s="50" t="s">
        <v>207</v>
      </c>
      <c r="I6" s="50" t="s">
        <v>206</v>
      </c>
    </row>
    <row r="7" spans="1:10" s="6" customFormat="1" x14ac:dyDescent="0.25">
      <c r="A7" s="6" t="s">
        <v>84</v>
      </c>
      <c r="B7" s="6" t="s">
        <v>76</v>
      </c>
      <c r="C7" s="8" t="s">
        <v>199</v>
      </c>
      <c r="D7" s="8" t="s">
        <v>81</v>
      </c>
      <c r="E7" s="8" t="s">
        <v>102</v>
      </c>
      <c r="F7" s="50" t="s">
        <v>104</v>
      </c>
      <c r="G7" s="8" t="s">
        <v>81</v>
      </c>
      <c r="H7" s="50" t="s">
        <v>76</v>
      </c>
      <c r="I7" s="50" t="s">
        <v>84</v>
      </c>
    </row>
    <row r="8" spans="1:10" x14ac:dyDescent="0.25">
      <c r="A8" s="72"/>
      <c r="B8" s="72"/>
      <c r="C8" s="49"/>
      <c r="D8" s="49"/>
      <c r="E8" s="49"/>
      <c r="F8" s="48"/>
      <c r="G8" s="49"/>
      <c r="H8" s="48"/>
      <c r="I8" s="48"/>
      <c r="J8" s="79"/>
    </row>
    <row r="9" spans="1:10" x14ac:dyDescent="0.25">
      <c r="A9" s="6" t="s">
        <v>243</v>
      </c>
      <c r="B9" t="s">
        <v>211</v>
      </c>
      <c r="C9" s="4">
        <f>'Mailer Arrival Profile'!$C$27</f>
        <v>0</v>
      </c>
      <c r="D9" s="4">
        <f>'Conversion Factors'!$L$20</f>
        <v>1048.0309783429961</v>
      </c>
      <c r="E9" s="4">
        <f>'Productivity Data'!$I$38</f>
        <v>46.475052307166727</v>
      </c>
      <c r="F9" s="2">
        <f>'Wage Data'!$C$11</f>
        <v>49.154294657004115</v>
      </c>
      <c r="G9" s="4">
        <f>'Cost Pool Data'!$K$43</f>
        <v>1.386023903258889</v>
      </c>
      <c r="H9" s="2">
        <f t="shared" ref="H9:H25" si="0">(F9*G9)/(D9*E9)</f>
        <v>1.3987438224320906E-3</v>
      </c>
      <c r="I9" s="2">
        <f t="shared" ref="I9:I25" si="1">C9*H9</f>
        <v>0</v>
      </c>
    </row>
    <row r="10" spans="1:10" x14ac:dyDescent="0.25">
      <c r="A10" s="6" t="s">
        <v>131</v>
      </c>
      <c r="B10" t="s">
        <v>212</v>
      </c>
      <c r="C10" s="4">
        <f>'Mailer Arrival Profile'!$D$27</f>
        <v>1</v>
      </c>
      <c r="D10" s="4">
        <f>'Conversion Factors'!$L$21</f>
        <v>1676.2813880312062</v>
      </c>
      <c r="E10" s="4">
        <f>'Productivity Data'!$I$38</f>
        <v>46.475052307166727</v>
      </c>
      <c r="F10" s="2">
        <f>'Wage Data'!$C$11</f>
        <v>49.154294657004115</v>
      </c>
      <c r="G10" s="4">
        <f>'Cost Pool Data'!$K$43</f>
        <v>1.386023903258889</v>
      </c>
      <c r="H10" s="2">
        <f t="shared" si="0"/>
        <v>8.7451120506471653E-4</v>
      </c>
      <c r="I10" s="2">
        <f t="shared" si="1"/>
        <v>8.7451120506471653E-4</v>
      </c>
    </row>
    <row r="11" spans="1:10" x14ac:dyDescent="0.25">
      <c r="B11" t="s">
        <v>213</v>
      </c>
      <c r="C11" s="4">
        <f>'Mailer Arrival Profile'!$E$27</f>
        <v>0</v>
      </c>
      <c r="D11" s="4">
        <f>'Conversion Factors'!$L$22</f>
        <v>1079.6056545024896</v>
      </c>
      <c r="E11" s="4">
        <f>'Productivity Data'!$I$38</f>
        <v>46.475052307166727</v>
      </c>
      <c r="F11" s="2">
        <f>'Wage Data'!$C$11</f>
        <v>49.154294657004115</v>
      </c>
      <c r="G11" s="4">
        <f>'Cost Pool Data'!$K$43</f>
        <v>1.386023903258889</v>
      </c>
      <c r="H11" s="2">
        <f t="shared" si="0"/>
        <v>1.3578354749820786E-3</v>
      </c>
      <c r="I11" s="2">
        <f t="shared" si="1"/>
        <v>0</v>
      </c>
    </row>
    <row r="12" spans="1:10" x14ac:dyDescent="0.25">
      <c r="B12" t="s">
        <v>214</v>
      </c>
      <c r="C12" s="4">
        <f>'Mailer Arrival Profile'!$F$27</f>
        <v>0</v>
      </c>
      <c r="D12" s="4">
        <f>'Conversion Factors'!$L$23</f>
        <v>913.27319010541089</v>
      </c>
      <c r="E12" s="4">
        <f>'Productivity Data'!$I$37</f>
        <v>55.996737364805647</v>
      </c>
      <c r="F12" s="2">
        <f>'Wage Data'!$C$11</f>
        <v>49.154294657004115</v>
      </c>
      <c r="G12" s="4">
        <f>'Cost Pool Data'!$K$43</f>
        <v>1.386023903258889</v>
      </c>
      <c r="H12" s="2">
        <f t="shared" si="0"/>
        <v>1.3321979353355536E-3</v>
      </c>
      <c r="I12" s="2">
        <f t="shared" si="1"/>
        <v>0</v>
      </c>
    </row>
    <row r="13" spans="1:10" x14ac:dyDescent="0.25">
      <c r="B13" t="s">
        <v>143</v>
      </c>
      <c r="C13" s="4">
        <f>(C11+C12)*(1+'Other Inputs'!$B$9)</f>
        <v>0</v>
      </c>
      <c r="D13" s="4">
        <f>'Conversion Factors'!$L$49</f>
        <v>147.06266848550521</v>
      </c>
      <c r="E13" s="4">
        <f>'Productivity Data'!$I$19</f>
        <v>3068.1109131264348</v>
      </c>
      <c r="F13" s="2">
        <f>'Wage Data'!$C$11</f>
        <v>49.154294657004115</v>
      </c>
      <c r="G13" s="4">
        <f>'Cost Pool Data'!$K$46</f>
        <v>1.6196174573049362</v>
      </c>
      <c r="H13" s="2">
        <f t="shared" si="0"/>
        <v>1.7644136959849604E-4</v>
      </c>
      <c r="I13" s="2">
        <f t="shared" si="1"/>
        <v>0</v>
      </c>
    </row>
    <row r="14" spans="1:10" x14ac:dyDescent="0.25">
      <c r="B14" t="s">
        <v>223</v>
      </c>
      <c r="C14" s="4">
        <f>C9</f>
        <v>0</v>
      </c>
      <c r="D14" s="4">
        <f>'Conversion Factors'!$L$20</f>
        <v>1048.0309783429961</v>
      </c>
      <c r="E14" s="4">
        <f>'Productivity Data'!$I$45</f>
        <v>55.582256364514194</v>
      </c>
      <c r="F14" s="2">
        <f>'Wage Data'!$C$11</f>
        <v>49.154294657004115</v>
      </c>
      <c r="G14" s="4">
        <f>'Cost Pool Data'!$K$43</f>
        <v>1.386023903258889</v>
      </c>
      <c r="H14" s="2">
        <f t="shared" si="0"/>
        <v>1.1695583548378664E-3</v>
      </c>
      <c r="I14" s="2">
        <f t="shared" si="1"/>
        <v>0</v>
      </c>
    </row>
    <row r="15" spans="1:10" x14ac:dyDescent="0.25">
      <c r="B15" t="s">
        <v>224</v>
      </c>
      <c r="C15" s="4">
        <f>C10</f>
        <v>1</v>
      </c>
      <c r="D15" s="4">
        <f>'Conversion Factors'!$L$21</f>
        <v>1676.2813880312062</v>
      </c>
      <c r="E15" s="4">
        <f>'Productivity Data'!$I$44</f>
        <v>70.608822220868689</v>
      </c>
      <c r="F15" s="2">
        <f>'Wage Data'!$C$11</f>
        <v>49.154294657004115</v>
      </c>
      <c r="G15" s="4">
        <f>'Cost Pool Data'!$K$43</f>
        <v>1.386023903258889</v>
      </c>
      <c r="H15" s="2">
        <f t="shared" si="0"/>
        <v>5.7560730685256973E-4</v>
      </c>
      <c r="I15" s="2">
        <f t="shared" si="1"/>
        <v>5.7560730685256973E-4</v>
      </c>
    </row>
    <row r="16" spans="1:10" x14ac:dyDescent="0.25">
      <c r="A16" s="72"/>
      <c r="B16" s="79" t="s">
        <v>236</v>
      </c>
      <c r="C16" s="49">
        <f>(C11+C12)</f>
        <v>0</v>
      </c>
      <c r="D16" s="49">
        <f>'Conversion Factors'!$L$45</f>
        <v>1310.6924574440295</v>
      </c>
      <c r="E16" s="49">
        <f>'Productivity Data'!$I$44</f>
        <v>70.608822220868689</v>
      </c>
      <c r="F16" s="48">
        <f>'Wage Data'!$C$11</f>
        <v>49.154294657004115</v>
      </c>
      <c r="G16" s="49">
        <f>'Cost Pool Data'!$K$43</f>
        <v>1.386023903258889</v>
      </c>
      <c r="H16" s="48">
        <f t="shared" si="0"/>
        <v>7.3616034777016599E-4</v>
      </c>
      <c r="I16" s="75">
        <f t="shared" si="1"/>
        <v>0</v>
      </c>
      <c r="J16" s="76">
        <f>SUM(I9:I16)</f>
        <v>1.4501185119172861E-3</v>
      </c>
    </row>
    <row r="17" spans="1:10" x14ac:dyDescent="0.25">
      <c r="A17" s="6" t="s">
        <v>243</v>
      </c>
      <c r="B17" t="s">
        <v>211</v>
      </c>
      <c r="C17" s="4">
        <f>C14</f>
        <v>0</v>
      </c>
      <c r="D17" s="4">
        <f>'Conversion Factors'!$L$20</f>
        <v>1048.0309783429961</v>
      </c>
      <c r="E17" s="4">
        <f>'Productivity Data'!$I$28</f>
        <v>58.156985400220201</v>
      </c>
      <c r="F17" s="2">
        <f>'Wage Data'!$C$11</f>
        <v>49.154294657004115</v>
      </c>
      <c r="G17" s="4">
        <f>'Cost Pool Data'!$K$27</f>
        <v>1.3606061934437479</v>
      </c>
      <c r="H17" s="2">
        <f t="shared" si="0"/>
        <v>1.0972811170446752E-3</v>
      </c>
      <c r="I17" s="2">
        <f t="shared" si="1"/>
        <v>0</v>
      </c>
    </row>
    <row r="18" spans="1:10" x14ac:dyDescent="0.25">
      <c r="A18" s="6" t="s">
        <v>241</v>
      </c>
      <c r="B18" t="s">
        <v>212</v>
      </c>
      <c r="C18" s="4">
        <f>C15</f>
        <v>1</v>
      </c>
      <c r="D18" s="4">
        <f>'Conversion Factors'!$L$21</f>
        <v>1676.2813880312062</v>
      </c>
      <c r="E18" s="4">
        <f>'Productivity Data'!$I$28</f>
        <v>58.156985400220201</v>
      </c>
      <c r="F18" s="2">
        <f>'Wage Data'!$C$11</f>
        <v>49.154294657004115</v>
      </c>
      <c r="G18" s="4">
        <f>'Cost Pool Data'!$K$27</f>
        <v>1.3606061934437479</v>
      </c>
      <c r="H18" s="2">
        <f t="shared" si="0"/>
        <v>6.8603315101188622E-4</v>
      </c>
      <c r="I18" s="2">
        <f t="shared" si="1"/>
        <v>6.8603315101188622E-4</v>
      </c>
    </row>
    <row r="19" spans="1:10" x14ac:dyDescent="0.25">
      <c r="B19" t="s">
        <v>217</v>
      </c>
      <c r="C19" s="4">
        <f>C16</f>
        <v>0</v>
      </c>
      <c r="D19" s="4">
        <f>'Conversion Factors'!$L$45</f>
        <v>1310.6924574440295</v>
      </c>
      <c r="E19" s="4">
        <f>'Productivity Data'!$I$27</f>
        <v>81.873572020007202</v>
      </c>
      <c r="F19" s="2">
        <f>'Wage Data'!$C$11</f>
        <v>49.154294657004115</v>
      </c>
      <c r="G19" s="4">
        <f>'Cost Pool Data'!$K$27</f>
        <v>1.3606061934437479</v>
      </c>
      <c r="H19" s="2">
        <f t="shared" si="0"/>
        <v>6.2323146793144156E-4</v>
      </c>
      <c r="I19" s="2">
        <f t="shared" si="1"/>
        <v>0</v>
      </c>
    </row>
    <row r="20" spans="1:10" x14ac:dyDescent="0.25">
      <c r="B20" t="s">
        <v>204</v>
      </c>
      <c r="C20" s="4">
        <f>SUM(C17:C19)*'Other Inputs'!$B$30*(1+'Other Inputs'!$B$10)</f>
        <v>0.42375228317471153</v>
      </c>
      <c r="D20" s="4">
        <v>1</v>
      </c>
      <c r="E20" s="4">
        <f>'Productivity Data'!$I$10</f>
        <v>245.20305602978507</v>
      </c>
      <c r="F20" s="2">
        <f>'Wage Data'!$C$11</f>
        <v>49.154294657004115</v>
      </c>
      <c r="G20" s="4">
        <f>'Cost Pool Data'!$L$14</f>
        <v>1.8052502472456198</v>
      </c>
      <c r="H20" s="2">
        <f t="shared" si="0"/>
        <v>0.36188701731336453</v>
      </c>
      <c r="I20" s="2">
        <f t="shared" si="1"/>
        <v>0.15335044983782459</v>
      </c>
    </row>
    <row r="21" spans="1:10" x14ac:dyDescent="0.25">
      <c r="B21" s="9" t="s">
        <v>363</v>
      </c>
      <c r="C21" s="4">
        <f>SUM(C17:C19)*'Other Inputs'!$B$31*(1+'Other Inputs'!$B$11)</f>
        <v>0.56721575232661026</v>
      </c>
      <c r="D21" s="4">
        <v>1</v>
      </c>
      <c r="E21" s="4">
        <f>'Productivity Data'!$I$11</f>
        <v>190.80521220652753</v>
      </c>
      <c r="F21" s="2">
        <f>'Wage Data'!$C$11</f>
        <v>49.154294657004115</v>
      </c>
      <c r="G21" s="4">
        <f>'Cost Pool Data'!$L$11</f>
        <v>1.6056412614911089</v>
      </c>
      <c r="H21" s="2">
        <f t="shared" si="0"/>
        <v>0.41363735700967258</v>
      </c>
      <c r="I21" s="2">
        <f t="shared" si="1"/>
        <v>0.23462162464663211</v>
      </c>
    </row>
    <row r="22" spans="1:10" x14ac:dyDescent="0.25">
      <c r="B22" t="s">
        <v>198</v>
      </c>
      <c r="C22" s="4">
        <f>SUM(C17:C19)*'Other Inputs'!$B$32</f>
        <v>0.11391845469353627</v>
      </c>
      <c r="D22" s="4">
        <v>1</v>
      </c>
      <c r="E22" s="4">
        <f>'Productivity Data'!$I$16</f>
        <v>47.994690148863093</v>
      </c>
      <c r="F22" s="2">
        <f>'Wage Data'!$C$11</f>
        <v>49.154294657004115</v>
      </c>
      <c r="G22" s="4">
        <f>'Cost Pool Data'!$K$16</f>
        <v>1.3208756008457678</v>
      </c>
      <c r="H22" s="2">
        <f t="shared" si="0"/>
        <v>1.3527894083249588</v>
      </c>
      <c r="I22" s="2">
        <f t="shared" si="1"/>
        <v>0.15410767892216257</v>
      </c>
    </row>
    <row r="23" spans="1:10" x14ac:dyDescent="0.25">
      <c r="A23" s="72"/>
      <c r="B23" s="79" t="s">
        <v>248</v>
      </c>
      <c r="C23" s="49">
        <f>SUM(C17:C19)</f>
        <v>1</v>
      </c>
      <c r="D23" s="49">
        <f>'Conversion Factors'!$L$48</f>
        <v>400.86107774048043</v>
      </c>
      <c r="E23" s="49">
        <f>'Productivity Data'!$I$31</f>
        <v>91.071587890934111</v>
      </c>
      <c r="F23" s="48">
        <f>'Wage Data'!$C$11</f>
        <v>49.154294657004115</v>
      </c>
      <c r="G23" s="49">
        <f>'Cost Pool Data'!$K$27</f>
        <v>1.3606061934437479</v>
      </c>
      <c r="H23" s="48">
        <f t="shared" si="0"/>
        <v>1.8319647524684813E-3</v>
      </c>
      <c r="I23" s="75">
        <f t="shared" si="1"/>
        <v>1.8319647524684813E-3</v>
      </c>
      <c r="J23" s="76">
        <f>SUM(I17:I23)</f>
        <v>0.54459775131009969</v>
      </c>
    </row>
    <row r="24" spans="1:10" x14ac:dyDescent="0.25">
      <c r="A24" s="6" t="s">
        <v>243</v>
      </c>
      <c r="B24" t="s">
        <v>249</v>
      </c>
      <c r="C24" s="4">
        <f>C23</f>
        <v>1</v>
      </c>
      <c r="D24" s="4">
        <f>'Conversion Factors'!$L$48</f>
        <v>400.86107774048043</v>
      </c>
      <c r="E24" s="4">
        <f>'Productivity Data'!$I$25</f>
        <v>60.332591436644847</v>
      </c>
      <c r="F24" s="2">
        <f>'Wage Data'!$C$11</f>
        <v>49.154294657004115</v>
      </c>
      <c r="G24" s="4">
        <f>'Cost Pool Data'!$K$48</f>
        <v>1.6214860636540271</v>
      </c>
      <c r="H24" s="2">
        <f t="shared" si="0"/>
        <v>3.2955569375124503E-3</v>
      </c>
      <c r="I24" s="2">
        <f t="shared" si="1"/>
        <v>3.2955569375124503E-3</v>
      </c>
    </row>
    <row r="25" spans="1:10" x14ac:dyDescent="0.25">
      <c r="A25" s="72" t="s">
        <v>85</v>
      </c>
      <c r="B25" s="79" t="s">
        <v>135</v>
      </c>
      <c r="C25" s="49">
        <f>C24</f>
        <v>1</v>
      </c>
      <c r="D25" s="49">
        <v>1</v>
      </c>
      <c r="E25" s="49">
        <f>'Productivity Data'!$I$22</f>
        <v>307.66822713635111</v>
      </c>
      <c r="F25" s="48">
        <f>'Wage Data'!$C$11</f>
        <v>49.154294657004115</v>
      </c>
      <c r="G25" s="49">
        <f>'Cost Pool Data'!$K$57</f>
        <v>1.4957786551922303</v>
      </c>
      <c r="H25" s="48">
        <f t="shared" si="0"/>
        <v>0.23897152280983572</v>
      </c>
      <c r="I25" s="75">
        <f t="shared" si="1"/>
        <v>0.23897152280983572</v>
      </c>
      <c r="J25" s="76">
        <f>SUM(I24:I25)</f>
        <v>0.24226707974734818</v>
      </c>
    </row>
    <row r="27" spans="1:10" x14ac:dyDescent="0.25">
      <c r="A27" s="29" t="s">
        <v>259</v>
      </c>
      <c r="I27" s="80" t="s">
        <v>203</v>
      </c>
      <c r="J27" s="81">
        <f>J16+J23+J25</f>
        <v>0.7883149495693651</v>
      </c>
    </row>
    <row r="28" spans="1:10" x14ac:dyDescent="0.25">
      <c r="A28" s="6" t="s">
        <v>296</v>
      </c>
      <c r="F28"/>
      <c r="G28"/>
      <c r="H28"/>
      <c r="I28"/>
    </row>
    <row r="29" spans="1:10" x14ac:dyDescent="0.25">
      <c r="A29" s="6" t="s">
        <v>297</v>
      </c>
    </row>
    <row r="30" spans="1:10" x14ac:dyDescent="0.25">
      <c r="A30" s="6" t="s">
        <v>298</v>
      </c>
    </row>
    <row r="31" spans="1:10" x14ac:dyDescent="0.25">
      <c r="A31" s="6" t="s">
        <v>299</v>
      </c>
    </row>
    <row r="32" spans="1:10" x14ac:dyDescent="0.25">
      <c r="A32" s="6" t="s">
        <v>277</v>
      </c>
    </row>
    <row r="33" spans="1:1" x14ac:dyDescent="0.25">
      <c r="A33" s="6" t="s">
        <v>300</v>
      </c>
    </row>
    <row r="34" spans="1:1" x14ac:dyDescent="0.25">
      <c r="A34" s="6" t="s">
        <v>301</v>
      </c>
    </row>
  </sheetData>
  <phoneticPr fontId="3" type="noConversion"/>
  <printOptions horizontalCentered="1"/>
  <pageMargins left="0.75" right="0.75" top="1" bottom="1" header="0.5" footer="0.5"/>
  <pageSetup scale="61" orientation="portrait" r:id="rId1"/>
  <headerFooter alignWithMargins="0">
    <oddHeader>&amp;RPage 36 of 50</oddHeader>
    <oddFooter>&amp;R&amp;F</oddFooter>
  </headerFooter>
  <ignoredErrors>
    <ignoredError sqref="G13" formula="1"/>
  </ignoredError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 codeName="Sheet47">
    <pageSetUpPr fitToPage="1"/>
  </sheetPr>
  <dimension ref="A1:J38"/>
  <sheetViews>
    <sheetView zoomScale="75" workbookViewId="0">
      <selection activeCell="E28" sqref="E28:J31"/>
    </sheetView>
  </sheetViews>
  <sheetFormatPr defaultColWidth="9.109375" defaultRowHeight="13.2" x14ac:dyDescent="0.25"/>
  <cols>
    <col min="1" max="1" width="15.6640625" style="6" customWidth="1"/>
    <col min="2" max="2" width="30.6640625" style="6" customWidth="1"/>
    <col min="3" max="5" width="12.6640625" style="4" customWidth="1"/>
    <col min="6" max="6" width="12.6640625" style="2" customWidth="1"/>
    <col min="7" max="7" width="12.6640625" style="4" customWidth="1"/>
    <col min="8" max="9" width="12.6640625" style="2" customWidth="1"/>
    <col min="10" max="10" width="12.6640625" customWidth="1"/>
  </cols>
  <sheetData>
    <row r="1" spans="1:10" ht="15.6" x14ac:dyDescent="0.3">
      <c r="A1" s="5" t="s">
        <v>410</v>
      </c>
      <c r="B1" s="5"/>
    </row>
    <row r="4" spans="1:10" x14ac:dyDescent="0.25">
      <c r="C4" s="8" t="s">
        <v>107</v>
      </c>
      <c r="D4" s="8" t="s">
        <v>108</v>
      </c>
      <c r="E4" s="8" t="s">
        <v>109</v>
      </c>
      <c r="F4" s="50" t="s">
        <v>112</v>
      </c>
      <c r="G4" s="8" t="s">
        <v>156</v>
      </c>
      <c r="H4" s="50" t="s">
        <v>157</v>
      </c>
      <c r="I4" s="50" t="s">
        <v>192</v>
      </c>
    </row>
    <row r="5" spans="1:10" x14ac:dyDescent="0.25">
      <c r="A5" s="70"/>
      <c r="F5" s="50" t="s">
        <v>155</v>
      </c>
      <c r="H5" s="50" t="s">
        <v>3</v>
      </c>
      <c r="I5" s="50" t="s">
        <v>3</v>
      </c>
    </row>
    <row r="6" spans="1:10" s="6" customFormat="1" x14ac:dyDescent="0.25">
      <c r="C6" s="8"/>
      <c r="D6" s="8" t="s">
        <v>202</v>
      </c>
      <c r="E6" s="8" t="s">
        <v>101</v>
      </c>
      <c r="F6" s="50" t="s">
        <v>103</v>
      </c>
      <c r="G6" s="8" t="s">
        <v>105</v>
      </c>
      <c r="H6" s="50" t="s">
        <v>207</v>
      </c>
      <c r="I6" s="50" t="s">
        <v>206</v>
      </c>
    </row>
    <row r="7" spans="1:10" s="6" customFormat="1" x14ac:dyDescent="0.25">
      <c r="A7" s="6" t="s">
        <v>84</v>
      </c>
      <c r="B7" s="6" t="s">
        <v>76</v>
      </c>
      <c r="C7" s="8" t="s">
        <v>199</v>
      </c>
      <c r="D7" s="8" t="s">
        <v>81</v>
      </c>
      <c r="E7" s="8" t="s">
        <v>102</v>
      </c>
      <c r="F7" s="50" t="s">
        <v>104</v>
      </c>
      <c r="G7" s="8" t="s">
        <v>81</v>
      </c>
      <c r="H7" s="50" t="s">
        <v>76</v>
      </c>
      <c r="I7" s="50" t="s">
        <v>84</v>
      </c>
    </row>
    <row r="8" spans="1:10" x14ac:dyDescent="0.25">
      <c r="A8" s="72"/>
      <c r="B8" s="72"/>
      <c r="C8" s="49"/>
      <c r="D8" s="49"/>
      <c r="E8" s="49"/>
      <c r="F8" s="48"/>
      <c r="G8" s="49"/>
      <c r="H8" s="48"/>
      <c r="I8" s="48"/>
      <c r="J8" s="79"/>
    </row>
    <row r="9" spans="1:10" x14ac:dyDescent="0.25">
      <c r="A9" s="6" t="s">
        <v>243</v>
      </c>
      <c r="B9" t="s">
        <v>211</v>
      </c>
      <c r="C9" s="4">
        <f>'Mailer Arrival Profile'!$C$28</f>
        <v>0</v>
      </c>
      <c r="D9" s="4">
        <f>'Conversion Factors'!$L$20</f>
        <v>1048.0309783429961</v>
      </c>
      <c r="E9" s="4">
        <f>'Productivity Data'!$I$38</f>
        <v>46.475052307166727</v>
      </c>
      <c r="F9" s="2">
        <f>'Wage Data'!$C$11</f>
        <v>49.154294657004115</v>
      </c>
      <c r="G9" s="4">
        <f>'Cost Pool Data'!$K$43</f>
        <v>1.386023903258889</v>
      </c>
      <c r="H9" s="2">
        <f t="shared" ref="H9:H29" si="0">(F9*G9)/(D9*E9)</f>
        <v>1.3987438224320906E-3</v>
      </c>
      <c r="I9" s="2">
        <f t="shared" ref="I9:I29" si="1">C9*H9</f>
        <v>0</v>
      </c>
    </row>
    <row r="10" spans="1:10" x14ac:dyDescent="0.25">
      <c r="A10" s="6" t="s">
        <v>131</v>
      </c>
      <c r="B10" t="s">
        <v>212</v>
      </c>
      <c r="C10" s="4">
        <f>'Mailer Arrival Profile'!$D$28</f>
        <v>0</v>
      </c>
      <c r="D10" s="4">
        <f>'Conversion Factors'!$L$21</f>
        <v>1676.2813880312062</v>
      </c>
      <c r="E10" s="4">
        <f>'Productivity Data'!$I$38</f>
        <v>46.475052307166727</v>
      </c>
      <c r="F10" s="2">
        <f>'Wage Data'!$C$11</f>
        <v>49.154294657004115</v>
      </c>
      <c r="G10" s="4">
        <f>'Cost Pool Data'!$K$43</f>
        <v>1.386023903258889</v>
      </c>
      <c r="H10" s="2">
        <f t="shared" si="0"/>
        <v>8.7451120506471653E-4</v>
      </c>
      <c r="I10" s="2">
        <f t="shared" si="1"/>
        <v>0</v>
      </c>
    </row>
    <row r="11" spans="1:10" x14ac:dyDescent="0.25">
      <c r="B11" t="s">
        <v>213</v>
      </c>
      <c r="C11" s="4">
        <f>'Mailer Arrival Profile'!$E$28</f>
        <v>1</v>
      </c>
      <c r="D11" s="4">
        <f>'Conversion Factors'!$L$22</f>
        <v>1079.6056545024896</v>
      </c>
      <c r="E11" s="4">
        <f>'Productivity Data'!$I$38</f>
        <v>46.475052307166727</v>
      </c>
      <c r="F11" s="2">
        <f>'Wage Data'!$C$11</f>
        <v>49.154294657004115</v>
      </c>
      <c r="G11" s="4">
        <f>'Cost Pool Data'!$K$43</f>
        <v>1.386023903258889</v>
      </c>
      <c r="H11" s="2">
        <f t="shared" si="0"/>
        <v>1.3578354749820786E-3</v>
      </c>
      <c r="I11" s="2">
        <f t="shared" si="1"/>
        <v>1.3578354749820786E-3</v>
      </c>
    </row>
    <row r="12" spans="1:10" x14ac:dyDescent="0.25">
      <c r="B12" t="s">
        <v>214</v>
      </c>
      <c r="C12" s="4">
        <f>'Mailer Arrival Profile'!$F$28</f>
        <v>0</v>
      </c>
      <c r="D12" s="4">
        <f>'Conversion Factors'!$L$23</f>
        <v>913.27319010541089</v>
      </c>
      <c r="E12" s="4">
        <f>'Productivity Data'!$I$37</f>
        <v>55.996737364805647</v>
      </c>
      <c r="F12" s="2">
        <f>'Wage Data'!$C$11</f>
        <v>49.154294657004115</v>
      </c>
      <c r="G12" s="4">
        <f>'Cost Pool Data'!$K$43</f>
        <v>1.386023903258889</v>
      </c>
      <c r="H12" s="2">
        <f t="shared" si="0"/>
        <v>1.3321979353355536E-3</v>
      </c>
      <c r="I12" s="2">
        <f t="shared" si="1"/>
        <v>0</v>
      </c>
    </row>
    <row r="13" spans="1:10" x14ac:dyDescent="0.25">
      <c r="B13" t="s">
        <v>143</v>
      </c>
      <c r="C13" s="4">
        <f>(C11+C12)*(1+'Other Inputs'!$B$9)</f>
        <v>1.0423865344574321</v>
      </c>
      <c r="D13" s="4">
        <f>'Mailer Arrival Profile'!$I$28</f>
        <v>36.926829268292686</v>
      </c>
      <c r="E13" s="4">
        <f>'Productivity Data'!$I$19</f>
        <v>3068.1109131264348</v>
      </c>
      <c r="F13" s="2">
        <f>'Wage Data'!$C$11</f>
        <v>49.154294657004115</v>
      </c>
      <c r="G13" s="4">
        <f>'Cost Pool Data'!$K$46</f>
        <v>1.6196174573049362</v>
      </c>
      <c r="H13" s="2">
        <f t="shared" si="0"/>
        <v>7.0268526051524239E-4</v>
      </c>
      <c r="I13" s="2">
        <f t="shared" si="1"/>
        <v>7.3246965352280144E-4</v>
      </c>
    </row>
    <row r="14" spans="1:10" x14ac:dyDescent="0.25">
      <c r="B14" t="s">
        <v>223</v>
      </c>
      <c r="C14" s="4">
        <f>C9</f>
        <v>0</v>
      </c>
      <c r="D14" s="4">
        <f>'Conversion Factors'!$L$20</f>
        <v>1048.0309783429961</v>
      </c>
      <c r="E14" s="4">
        <f>'Productivity Data'!$I$45</f>
        <v>55.582256364514194</v>
      </c>
      <c r="F14" s="2">
        <f>'Wage Data'!$C$11</f>
        <v>49.154294657004115</v>
      </c>
      <c r="G14" s="4">
        <f>'Cost Pool Data'!$K$43</f>
        <v>1.386023903258889</v>
      </c>
      <c r="H14" s="2">
        <f t="shared" si="0"/>
        <v>1.1695583548378664E-3</v>
      </c>
      <c r="I14" s="2">
        <f t="shared" si="1"/>
        <v>0</v>
      </c>
    </row>
    <row r="15" spans="1:10" x14ac:dyDescent="0.25">
      <c r="B15" t="s">
        <v>224</v>
      </c>
      <c r="C15" s="4">
        <f>C10</f>
        <v>0</v>
      </c>
      <c r="D15" s="4">
        <f>'Conversion Factors'!$L$21</f>
        <v>1676.2813880312062</v>
      </c>
      <c r="E15" s="4">
        <f>'Productivity Data'!$I$44</f>
        <v>70.608822220868689</v>
      </c>
      <c r="F15" s="2">
        <f>'Wage Data'!$C$11</f>
        <v>49.154294657004115</v>
      </c>
      <c r="G15" s="4">
        <f>'Cost Pool Data'!$K$43</f>
        <v>1.386023903258889</v>
      </c>
      <c r="H15" s="2">
        <f t="shared" si="0"/>
        <v>5.7560730685256973E-4</v>
      </c>
      <c r="I15" s="2">
        <f t="shared" si="1"/>
        <v>0</v>
      </c>
    </row>
    <row r="16" spans="1:10" x14ac:dyDescent="0.25">
      <c r="A16" s="72"/>
      <c r="B16" s="79" t="s">
        <v>236</v>
      </c>
      <c r="C16" s="49">
        <f>C11+C12</f>
        <v>1</v>
      </c>
      <c r="D16" s="49">
        <f>'Conversion Factors'!$L$45</f>
        <v>1310.6924574440295</v>
      </c>
      <c r="E16" s="49">
        <f>'Productivity Data'!$I$44</f>
        <v>70.608822220868689</v>
      </c>
      <c r="F16" s="48">
        <f>'Wage Data'!$C$11</f>
        <v>49.154294657004115</v>
      </c>
      <c r="G16" s="49">
        <f>'Cost Pool Data'!$K$43</f>
        <v>1.386023903258889</v>
      </c>
      <c r="H16" s="48">
        <f t="shared" si="0"/>
        <v>7.3616034777016599E-4</v>
      </c>
      <c r="I16" s="75">
        <f t="shared" si="1"/>
        <v>7.3616034777016599E-4</v>
      </c>
      <c r="J16" s="76">
        <f>SUM(I9:I16)</f>
        <v>2.8264654762750461E-3</v>
      </c>
    </row>
    <row r="17" spans="1:10" x14ac:dyDescent="0.25">
      <c r="A17" s="6" t="s">
        <v>243</v>
      </c>
      <c r="B17" t="s">
        <v>211</v>
      </c>
      <c r="C17" s="4">
        <f>C14</f>
        <v>0</v>
      </c>
      <c r="D17" s="4">
        <f>'Conversion Factors'!$L$20</f>
        <v>1048.0309783429961</v>
      </c>
      <c r="E17" s="4">
        <f>'Productivity Data'!$I$28</f>
        <v>58.156985400220201</v>
      </c>
      <c r="F17" s="2">
        <f>'Wage Data'!$C$11</f>
        <v>49.154294657004115</v>
      </c>
      <c r="G17" s="4">
        <f>'Cost Pool Data'!$K$27</f>
        <v>1.3606061934437479</v>
      </c>
      <c r="H17" s="2">
        <f t="shared" si="0"/>
        <v>1.0972811170446752E-3</v>
      </c>
      <c r="I17" s="2">
        <f t="shared" si="1"/>
        <v>0</v>
      </c>
    </row>
    <row r="18" spans="1:10" x14ac:dyDescent="0.25">
      <c r="A18" s="6" t="s">
        <v>241</v>
      </c>
      <c r="B18" t="s">
        <v>212</v>
      </c>
      <c r="C18" s="4">
        <f>C15</f>
        <v>0</v>
      </c>
      <c r="D18" s="4">
        <f>'Conversion Factors'!$L$21</f>
        <v>1676.2813880312062</v>
      </c>
      <c r="E18" s="4">
        <f>'Productivity Data'!$I$28</f>
        <v>58.156985400220201</v>
      </c>
      <c r="F18" s="2">
        <f>'Wage Data'!$C$11</f>
        <v>49.154294657004115</v>
      </c>
      <c r="G18" s="4">
        <f>'Cost Pool Data'!$K$27</f>
        <v>1.3606061934437479</v>
      </c>
      <c r="H18" s="2">
        <f t="shared" si="0"/>
        <v>6.8603315101188622E-4</v>
      </c>
      <c r="I18" s="2">
        <f t="shared" si="1"/>
        <v>0</v>
      </c>
    </row>
    <row r="19" spans="1:10" x14ac:dyDescent="0.25">
      <c r="B19" t="s">
        <v>217</v>
      </c>
      <c r="C19" s="4">
        <f>C16</f>
        <v>1</v>
      </c>
      <c r="D19" s="4">
        <f>'Conversion Factors'!$L$45</f>
        <v>1310.6924574440295</v>
      </c>
      <c r="E19" s="4">
        <f>'Productivity Data'!$I$27</f>
        <v>81.873572020007202</v>
      </c>
      <c r="F19" s="2">
        <f>'Wage Data'!$C$11</f>
        <v>49.154294657004115</v>
      </c>
      <c r="G19" s="4">
        <f>'Cost Pool Data'!$K$27</f>
        <v>1.3606061934437479</v>
      </c>
      <c r="H19" s="2">
        <f t="shared" si="0"/>
        <v>6.2323146793144156E-4</v>
      </c>
      <c r="I19" s="2">
        <f t="shared" si="1"/>
        <v>6.2323146793144156E-4</v>
      </c>
    </row>
    <row r="20" spans="1:10" x14ac:dyDescent="0.25">
      <c r="B20" t="s">
        <v>200</v>
      </c>
      <c r="C20" s="4">
        <f>C19</f>
        <v>1</v>
      </c>
      <c r="D20" s="4">
        <f>'Mailer Arrival Profile'!$I$28</f>
        <v>36.926829268292686</v>
      </c>
      <c r="E20" s="4">
        <f>'Productivity Data'!$I$14</f>
        <v>49.323981905738421</v>
      </c>
      <c r="F20" s="2">
        <f>'Wage Data'!$C$11</f>
        <v>49.154294657004115</v>
      </c>
      <c r="G20" s="4">
        <f>'Cost Pool Data'!$K$30</f>
        <v>1.2805162995566952</v>
      </c>
      <c r="H20" s="2">
        <f t="shared" si="0"/>
        <v>3.4557827404628004E-2</v>
      </c>
      <c r="I20" s="2">
        <f t="shared" si="1"/>
        <v>3.4557827404628004E-2</v>
      </c>
    </row>
    <row r="21" spans="1:10" x14ac:dyDescent="0.25">
      <c r="B21" t="s">
        <v>227</v>
      </c>
      <c r="C21" s="4">
        <f>C17</f>
        <v>0</v>
      </c>
      <c r="D21" s="4">
        <f>'Conversion Factors'!$L$20</f>
        <v>1048.0309783429961</v>
      </c>
      <c r="E21" s="4">
        <f>'Productivity Data'!$I$30</f>
        <v>39.899251235537818</v>
      </c>
      <c r="F21" s="2">
        <f>'Wage Data'!$C$11</f>
        <v>49.154294657004115</v>
      </c>
      <c r="G21" s="4">
        <f>'Cost Pool Data'!$K$27</f>
        <v>1.3606061934437479</v>
      </c>
      <c r="H21" s="2">
        <f t="shared" si="0"/>
        <v>1.5993924679735738E-3</v>
      </c>
      <c r="I21" s="2">
        <f t="shared" si="1"/>
        <v>0</v>
      </c>
    </row>
    <row r="22" spans="1:10" x14ac:dyDescent="0.25">
      <c r="B22" t="s">
        <v>228</v>
      </c>
      <c r="C22" s="4">
        <f>C18</f>
        <v>0</v>
      </c>
      <c r="D22" s="4">
        <f>'Conversion Factors'!$L$21</f>
        <v>1676.2813880312062</v>
      </c>
      <c r="E22" s="4">
        <f>'Productivity Data'!$I$30</f>
        <v>39.899251235537818</v>
      </c>
      <c r="F22" s="2">
        <f>'Wage Data'!$C$11</f>
        <v>49.154294657004115</v>
      </c>
      <c r="G22" s="4">
        <f>'Cost Pool Data'!$K$27</f>
        <v>1.3606061934437479</v>
      </c>
      <c r="H22" s="2">
        <f t="shared" si="0"/>
        <v>9.9995911481990307E-4</v>
      </c>
      <c r="I22" s="2">
        <f t="shared" si="1"/>
        <v>0</v>
      </c>
    </row>
    <row r="23" spans="1:10" x14ac:dyDescent="0.25">
      <c r="B23" t="s">
        <v>223</v>
      </c>
      <c r="C23" s="4">
        <f>C21</f>
        <v>0</v>
      </c>
      <c r="D23" s="4">
        <f>'Conversion Factors'!$L$20</f>
        <v>1048.0309783429961</v>
      </c>
      <c r="E23" s="4">
        <f>'Productivity Data'!$I$32</f>
        <v>61.728448910094343</v>
      </c>
      <c r="F23" s="2">
        <f>'Wage Data'!$C$11</f>
        <v>49.154294657004115</v>
      </c>
      <c r="G23" s="4">
        <f>'Cost Pool Data'!$K$27</f>
        <v>1.3606061934437479</v>
      </c>
      <c r="H23" s="2">
        <f t="shared" si="0"/>
        <v>1.0337950010188741E-3</v>
      </c>
      <c r="I23" s="2">
        <f t="shared" si="1"/>
        <v>0</v>
      </c>
    </row>
    <row r="24" spans="1:10" x14ac:dyDescent="0.25">
      <c r="B24" t="s">
        <v>224</v>
      </c>
      <c r="C24" s="4">
        <f>C22</f>
        <v>0</v>
      </c>
      <c r="D24" s="4">
        <f>'Conversion Factors'!$L$21</f>
        <v>1676.2813880312062</v>
      </c>
      <c r="E24" s="4">
        <f>'Productivity Data'!$I$32</f>
        <v>61.728448910094343</v>
      </c>
      <c r="F24" s="2">
        <f>'Wage Data'!$C$11</f>
        <v>49.154294657004115</v>
      </c>
      <c r="G24" s="4">
        <f>'Cost Pool Data'!$K$27</f>
        <v>1.3606061934437479</v>
      </c>
      <c r="H24" s="2">
        <f t="shared" si="0"/>
        <v>6.4634087931765506E-4</v>
      </c>
      <c r="I24" s="2">
        <f t="shared" si="1"/>
        <v>0</v>
      </c>
    </row>
    <row r="25" spans="1:10" x14ac:dyDescent="0.25">
      <c r="A25" s="72"/>
      <c r="B25" s="79" t="s">
        <v>248</v>
      </c>
      <c r="C25" s="49">
        <f>C20</f>
        <v>1</v>
      </c>
      <c r="D25" s="49">
        <f>'Conversion Factors'!$L$48</f>
        <v>400.86107774048043</v>
      </c>
      <c r="E25" s="49">
        <f>'Productivity Data'!$I$31</f>
        <v>91.071587890934111</v>
      </c>
      <c r="F25" s="48">
        <f>'Wage Data'!$C$11</f>
        <v>49.154294657004115</v>
      </c>
      <c r="G25" s="49">
        <f>'Cost Pool Data'!$K$27</f>
        <v>1.3606061934437479</v>
      </c>
      <c r="H25" s="48">
        <f t="shared" si="0"/>
        <v>1.8319647524684813E-3</v>
      </c>
      <c r="I25" s="75">
        <f t="shared" si="1"/>
        <v>1.8319647524684813E-3</v>
      </c>
      <c r="J25" s="76">
        <f>SUM(I17:I25)</f>
        <v>3.7013023625027924E-2</v>
      </c>
    </row>
    <row r="26" spans="1:10" x14ac:dyDescent="0.25">
      <c r="A26" s="6" t="s">
        <v>243</v>
      </c>
      <c r="B26" t="s">
        <v>211</v>
      </c>
      <c r="C26" s="4">
        <f>C23</f>
        <v>0</v>
      </c>
      <c r="D26" s="4">
        <f>'Conversion Factors'!$L$20</f>
        <v>1048.0309783429961</v>
      </c>
      <c r="E26" s="4">
        <f>'Productivity Data'!$I$26</f>
        <v>48.58034429266948</v>
      </c>
      <c r="F26" s="2">
        <f>'Wage Data'!$C$11</f>
        <v>49.154294657004115</v>
      </c>
      <c r="G26" s="4">
        <f>'Cost Pool Data'!$K$48</f>
        <v>1.6214860636540271</v>
      </c>
      <c r="H26" s="2">
        <f t="shared" si="0"/>
        <v>1.5654528101928609E-3</v>
      </c>
      <c r="I26" s="2">
        <f t="shared" si="1"/>
        <v>0</v>
      </c>
    </row>
    <row r="27" spans="1:10" x14ac:dyDescent="0.25">
      <c r="A27" s="6" t="s">
        <v>85</v>
      </c>
      <c r="B27" t="s">
        <v>212</v>
      </c>
      <c r="C27" s="4">
        <f>C24</f>
        <v>0</v>
      </c>
      <c r="D27" s="4">
        <f>'Conversion Factors'!$L$21</f>
        <v>1676.2813880312062</v>
      </c>
      <c r="E27" s="4">
        <f>'Productivity Data'!$I$26</f>
        <v>48.58034429266948</v>
      </c>
      <c r="F27" s="2">
        <f>'Wage Data'!$C$11</f>
        <v>49.154294657004115</v>
      </c>
      <c r="G27" s="4">
        <f>'Cost Pool Data'!$K$48</f>
        <v>1.6214860636540271</v>
      </c>
      <c r="H27" s="2">
        <f t="shared" si="0"/>
        <v>9.7873963878054686E-4</v>
      </c>
      <c r="I27" s="2">
        <f t="shared" si="1"/>
        <v>0</v>
      </c>
    </row>
    <row r="28" spans="1:10" x14ac:dyDescent="0.25">
      <c r="B28" t="s">
        <v>249</v>
      </c>
      <c r="C28" s="4">
        <f>C25</f>
        <v>1</v>
      </c>
      <c r="D28" s="4">
        <f>'Conversion Factors'!$L$48</f>
        <v>400.86107774048043</v>
      </c>
      <c r="E28" s="4">
        <f>'Productivity Data'!$I$25</f>
        <v>60.332591436644847</v>
      </c>
      <c r="F28" s="2">
        <f>'Wage Data'!$C$11</f>
        <v>49.154294657004115</v>
      </c>
      <c r="G28" s="4">
        <f>'Cost Pool Data'!$K$48</f>
        <v>1.6214860636540271</v>
      </c>
      <c r="H28" s="2">
        <f t="shared" si="0"/>
        <v>3.2955569375124503E-3</v>
      </c>
      <c r="I28" s="2">
        <f t="shared" si="1"/>
        <v>3.2955569375124503E-3</v>
      </c>
    </row>
    <row r="29" spans="1:10" x14ac:dyDescent="0.25">
      <c r="A29" s="72"/>
      <c r="B29" s="79" t="s">
        <v>135</v>
      </c>
      <c r="C29" s="49">
        <f>SUM(C26:C28)</f>
        <v>1</v>
      </c>
      <c r="D29" s="49">
        <v>1</v>
      </c>
      <c r="E29" s="49">
        <f>'Productivity Data'!$I$22</f>
        <v>307.66822713635111</v>
      </c>
      <c r="F29" s="48">
        <f>'Wage Data'!$C$11</f>
        <v>49.154294657004115</v>
      </c>
      <c r="G29" s="49">
        <f>'Cost Pool Data'!$K$57</f>
        <v>1.4957786551922303</v>
      </c>
      <c r="H29" s="48">
        <f t="shared" si="0"/>
        <v>0.23897152280983572</v>
      </c>
      <c r="I29" s="75">
        <f t="shared" si="1"/>
        <v>0.23897152280983572</v>
      </c>
      <c r="J29" s="76">
        <f>SUM(I26:I29)</f>
        <v>0.24226707974734818</v>
      </c>
    </row>
    <row r="31" spans="1:10" x14ac:dyDescent="0.25">
      <c r="A31" s="29" t="s">
        <v>259</v>
      </c>
      <c r="I31" s="80" t="s">
        <v>203</v>
      </c>
      <c r="J31" s="81">
        <f>J16+J25+J29</f>
        <v>0.28210656884865115</v>
      </c>
    </row>
    <row r="32" spans="1:10" x14ac:dyDescent="0.25">
      <c r="A32" s="6" t="s">
        <v>296</v>
      </c>
      <c r="F32"/>
      <c r="G32"/>
      <c r="H32"/>
      <c r="I32"/>
    </row>
    <row r="33" spans="1:1" x14ac:dyDescent="0.25">
      <c r="A33" s="6" t="s">
        <v>297</v>
      </c>
    </row>
    <row r="34" spans="1:1" x14ac:dyDescent="0.25">
      <c r="A34" s="6" t="s">
        <v>298</v>
      </c>
    </row>
    <row r="35" spans="1:1" x14ac:dyDescent="0.25">
      <c r="A35" s="6" t="s">
        <v>299</v>
      </c>
    </row>
    <row r="36" spans="1:1" x14ac:dyDescent="0.25">
      <c r="A36" s="6" t="s">
        <v>277</v>
      </c>
    </row>
    <row r="37" spans="1:1" x14ac:dyDescent="0.25">
      <c r="A37" s="6" t="s">
        <v>300</v>
      </c>
    </row>
    <row r="38" spans="1:1" x14ac:dyDescent="0.25">
      <c r="A38" s="6" t="s">
        <v>301</v>
      </c>
    </row>
  </sheetData>
  <phoneticPr fontId="3" type="noConversion"/>
  <printOptions horizontalCentered="1"/>
  <pageMargins left="0.75" right="0.75" top="1" bottom="1" header="0.5" footer="0.5"/>
  <pageSetup scale="61" orientation="portrait" r:id="rId1"/>
  <headerFooter alignWithMargins="0">
    <oddHeader>&amp;RPage 37 of 50</oddHeader>
    <oddFooter>&amp;R&amp;F</oddFooter>
  </headerFooter>
  <ignoredErrors>
    <ignoredError sqref="G13 G20 D22:D23" formula="1"/>
  </ignoredErrors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 codeName="Sheet48">
    <pageSetUpPr fitToPage="1"/>
  </sheetPr>
  <dimension ref="A1:J27"/>
  <sheetViews>
    <sheetView zoomScale="75" workbookViewId="0">
      <selection activeCell="D16" sqref="D16:J21"/>
    </sheetView>
  </sheetViews>
  <sheetFormatPr defaultColWidth="9.109375" defaultRowHeight="13.2" x14ac:dyDescent="0.25"/>
  <cols>
    <col min="1" max="1" width="15.6640625" style="6" customWidth="1"/>
    <col min="2" max="2" width="30.6640625" style="6" customWidth="1"/>
    <col min="3" max="5" width="12.6640625" style="4" customWidth="1"/>
    <col min="6" max="6" width="12.6640625" style="2" customWidth="1"/>
    <col min="7" max="7" width="12.6640625" style="4" customWidth="1"/>
    <col min="8" max="9" width="12.6640625" style="2" customWidth="1"/>
    <col min="10" max="10" width="12.6640625" customWidth="1"/>
  </cols>
  <sheetData>
    <row r="1" spans="1:10" ht="15.6" x14ac:dyDescent="0.3">
      <c r="A1" s="5" t="s">
        <v>411</v>
      </c>
      <c r="B1" s="5"/>
    </row>
    <row r="4" spans="1:10" x14ac:dyDescent="0.25">
      <c r="C4" s="8" t="s">
        <v>107</v>
      </c>
      <c r="D4" s="8" t="s">
        <v>108</v>
      </c>
      <c r="E4" s="8" t="s">
        <v>109</v>
      </c>
      <c r="F4" s="50" t="s">
        <v>112</v>
      </c>
      <c r="G4" s="8" t="s">
        <v>156</v>
      </c>
      <c r="H4" s="50" t="s">
        <v>157</v>
      </c>
      <c r="I4" s="50" t="s">
        <v>192</v>
      </c>
    </row>
    <row r="5" spans="1:10" x14ac:dyDescent="0.25">
      <c r="A5" s="70"/>
      <c r="F5" s="50" t="s">
        <v>155</v>
      </c>
      <c r="H5" s="50" t="s">
        <v>3</v>
      </c>
      <c r="I5" s="50" t="s">
        <v>3</v>
      </c>
    </row>
    <row r="6" spans="1:10" s="6" customFormat="1" x14ac:dyDescent="0.25">
      <c r="C6" s="8"/>
      <c r="D6" s="8" t="s">
        <v>202</v>
      </c>
      <c r="E6" s="8" t="s">
        <v>101</v>
      </c>
      <c r="F6" s="50" t="s">
        <v>103</v>
      </c>
      <c r="G6" s="8" t="s">
        <v>105</v>
      </c>
      <c r="H6" s="50" t="s">
        <v>207</v>
      </c>
      <c r="I6" s="50" t="s">
        <v>206</v>
      </c>
    </row>
    <row r="7" spans="1:10" s="6" customFormat="1" x14ac:dyDescent="0.25">
      <c r="A7" s="6" t="s">
        <v>84</v>
      </c>
      <c r="B7" s="6" t="s">
        <v>76</v>
      </c>
      <c r="C7" s="8" t="s">
        <v>199</v>
      </c>
      <c r="D7" s="8" t="s">
        <v>81</v>
      </c>
      <c r="E7" s="8" t="s">
        <v>102</v>
      </c>
      <c r="F7" s="50" t="s">
        <v>104</v>
      </c>
      <c r="G7" s="8" t="s">
        <v>81</v>
      </c>
      <c r="H7" s="50" t="s">
        <v>76</v>
      </c>
      <c r="I7" s="50" t="s">
        <v>84</v>
      </c>
    </row>
    <row r="8" spans="1:10" x14ac:dyDescent="0.25">
      <c r="A8" s="72"/>
      <c r="B8" s="72"/>
      <c r="C8" s="49"/>
      <c r="D8" s="49"/>
      <c r="E8" s="49"/>
      <c r="F8" s="48"/>
      <c r="G8" s="49"/>
      <c r="H8" s="48"/>
      <c r="I8" s="48"/>
      <c r="J8" s="79"/>
    </row>
    <row r="9" spans="1:10" x14ac:dyDescent="0.25">
      <c r="A9" s="6" t="s">
        <v>243</v>
      </c>
      <c r="B9" t="s">
        <v>211</v>
      </c>
      <c r="C9" s="4">
        <f>'Mailer Arrival Profile'!$C$29</f>
        <v>0</v>
      </c>
      <c r="D9" s="4">
        <f>'Conversion Factors'!$L$20</f>
        <v>1048.0309783429961</v>
      </c>
      <c r="E9" s="4">
        <f>'Productivity Data'!$I$28</f>
        <v>58.156985400220201</v>
      </c>
      <c r="F9" s="2">
        <f>'Wage Data'!$C$11</f>
        <v>49.154294657004115</v>
      </c>
      <c r="G9" s="4">
        <f>'Cost Pool Data'!$K$27</f>
        <v>1.3606061934437479</v>
      </c>
      <c r="H9" s="2">
        <f t="shared" ref="H9:H18" si="0">(F9*G9)/(D9*E9)</f>
        <v>1.0972811170446752E-3</v>
      </c>
      <c r="I9" s="2">
        <f t="shared" ref="I9:I18" si="1">C9*H9</f>
        <v>0</v>
      </c>
    </row>
    <row r="10" spans="1:10" x14ac:dyDescent="0.25">
      <c r="A10" s="6" t="s">
        <v>241</v>
      </c>
      <c r="B10" t="s">
        <v>212</v>
      </c>
      <c r="C10" s="4">
        <f>'Mailer Arrival Profile'!$D$29</f>
        <v>0</v>
      </c>
      <c r="D10" s="4">
        <f>'Conversion Factors'!$L$21</f>
        <v>1676.2813880312062</v>
      </c>
      <c r="E10" s="4">
        <f>'Productivity Data'!$I$28</f>
        <v>58.156985400220201</v>
      </c>
      <c r="F10" s="2">
        <f>'Wage Data'!$C$11</f>
        <v>49.154294657004115</v>
      </c>
      <c r="G10" s="4">
        <f>'Cost Pool Data'!$K$27</f>
        <v>1.3606061934437479</v>
      </c>
      <c r="H10" s="2">
        <f t="shared" si="0"/>
        <v>6.8603315101188622E-4</v>
      </c>
      <c r="I10" s="2">
        <f t="shared" si="1"/>
        <v>0</v>
      </c>
    </row>
    <row r="11" spans="1:10" x14ac:dyDescent="0.25">
      <c r="B11" t="s">
        <v>213</v>
      </c>
      <c r="C11" s="4">
        <f>'Mailer Arrival Profile'!$E$29</f>
        <v>0</v>
      </c>
      <c r="D11" s="4">
        <f>'Conversion Factors'!$L$22</f>
        <v>1079.6056545024896</v>
      </c>
      <c r="E11" s="4">
        <f>'Productivity Data'!$I$28</f>
        <v>58.156985400220201</v>
      </c>
      <c r="F11" s="2">
        <f>'Wage Data'!$C$11</f>
        <v>49.154294657004115</v>
      </c>
      <c r="G11" s="4">
        <f>'Cost Pool Data'!$K$27</f>
        <v>1.3606061934437479</v>
      </c>
      <c r="H11" s="2">
        <f t="shared" si="0"/>
        <v>1.0651894956437307E-3</v>
      </c>
      <c r="I11" s="2">
        <f t="shared" si="1"/>
        <v>0</v>
      </c>
    </row>
    <row r="12" spans="1:10" x14ac:dyDescent="0.25">
      <c r="B12" t="s">
        <v>214</v>
      </c>
      <c r="C12" s="4">
        <f>'Mailer Arrival Profile'!$F$29</f>
        <v>1</v>
      </c>
      <c r="D12" s="4">
        <f>'Conversion Factors'!$L$23</f>
        <v>913.27319010541089</v>
      </c>
      <c r="E12" s="4">
        <f>'Productivity Data'!$I$27</f>
        <v>81.873572020007202</v>
      </c>
      <c r="F12" s="2">
        <f>'Wage Data'!$C$11</f>
        <v>49.154294657004115</v>
      </c>
      <c r="G12" s="4">
        <f>'Cost Pool Data'!$K$27</f>
        <v>1.3606061934437479</v>
      </c>
      <c r="H12" s="2">
        <f t="shared" si="0"/>
        <v>8.9443639987420154E-4</v>
      </c>
      <c r="I12" s="2">
        <f t="shared" si="1"/>
        <v>8.9443639987420154E-4</v>
      </c>
    </row>
    <row r="13" spans="1:10" x14ac:dyDescent="0.25">
      <c r="B13" t="s">
        <v>204</v>
      </c>
      <c r="C13" s="4">
        <f>SUM(C9:C12)*'Other Inputs'!$B$30*(1+'Other Inputs'!$B$10)</f>
        <v>0.42375228317471153</v>
      </c>
      <c r="D13" s="4">
        <v>1</v>
      </c>
      <c r="E13" s="4">
        <f>'Productivity Data'!$I$10</f>
        <v>245.20305602978507</v>
      </c>
      <c r="F13" s="2">
        <f>'Wage Data'!$C$11</f>
        <v>49.154294657004115</v>
      </c>
      <c r="G13" s="4">
        <f>'Cost Pool Data'!$L$14</f>
        <v>1.8052502472456198</v>
      </c>
      <c r="H13" s="2">
        <f t="shared" si="0"/>
        <v>0.36188701731336453</v>
      </c>
      <c r="I13" s="2">
        <f t="shared" si="1"/>
        <v>0.15335044983782459</v>
      </c>
    </row>
    <row r="14" spans="1:10" x14ac:dyDescent="0.25">
      <c r="B14" s="9" t="s">
        <v>363</v>
      </c>
      <c r="C14" s="4">
        <f>SUM(C9:C12)*'Other Inputs'!$B$31*(1+'Other Inputs'!$B$11)</f>
        <v>0.56721575232661026</v>
      </c>
      <c r="D14" s="4">
        <v>1</v>
      </c>
      <c r="E14" s="4">
        <f>'Productivity Data'!$I$11</f>
        <v>190.80521220652753</v>
      </c>
      <c r="F14" s="2">
        <f>'Wage Data'!$C$11</f>
        <v>49.154294657004115</v>
      </c>
      <c r="G14" s="4">
        <f>'Cost Pool Data'!$L$11</f>
        <v>1.6056412614911089</v>
      </c>
      <c r="H14" s="2">
        <f t="shared" si="0"/>
        <v>0.41363735700967258</v>
      </c>
      <c r="I14" s="2">
        <f t="shared" si="1"/>
        <v>0.23462162464663211</v>
      </c>
    </row>
    <row r="15" spans="1:10" x14ac:dyDescent="0.25">
      <c r="B15" t="s">
        <v>198</v>
      </c>
      <c r="C15" s="4">
        <f>SUM(C9:C12)*'Other Inputs'!$B$32</f>
        <v>0.11391845469353627</v>
      </c>
      <c r="D15" s="4">
        <v>1</v>
      </c>
      <c r="E15" s="4">
        <f>'Productivity Data'!$I$16</f>
        <v>47.994690148863093</v>
      </c>
      <c r="F15" s="2">
        <f>'Wage Data'!$C$11</f>
        <v>49.154294657004115</v>
      </c>
      <c r="G15" s="4">
        <f>'Cost Pool Data'!$K$16</f>
        <v>1.3208756008457678</v>
      </c>
      <c r="H15" s="2">
        <f t="shared" si="0"/>
        <v>1.3527894083249588</v>
      </c>
      <c r="I15" s="2">
        <f t="shared" si="1"/>
        <v>0.15410767892216257</v>
      </c>
    </row>
    <row r="16" spans="1:10" x14ac:dyDescent="0.25">
      <c r="A16" s="72"/>
      <c r="B16" s="79" t="s">
        <v>248</v>
      </c>
      <c r="C16" s="49">
        <f>SUM(C9:C12)</f>
        <v>1</v>
      </c>
      <c r="D16" s="49">
        <f>'Conversion Factors'!$L$48</f>
        <v>400.86107774048043</v>
      </c>
      <c r="E16" s="49">
        <f>'Productivity Data'!$I$31</f>
        <v>91.071587890934111</v>
      </c>
      <c r="F16" s="48">
        <f>'Wage Data'!$C$11</f>
        <v>49.154294657004115</v>
      </c>
      <c r="G16" s="49">
        <f>'Cost Pool Data'!$K$27</f>
        <v>1.3606061934437479</v>
      </c>
      <c r="H16" s="48">
        <f t="shared" si="0"/>
        <v>1.8319647524684813E-3</v>
      </c>
      <c r="I16" s="75">
        <f t="shared" si="1"/>
        <v>1.8319647524684813E-3</v>
      </c>
      <c r="J16" s="76">
        <f>SUM(I9:I16)</f>
        <v>0.54480615455896197</v>
      </c>
    </row>
    <row r="17" spans="1:10" x14ac:dyDescent="0.25">
      <c r="A17" s="6" t="s">
        <v>243</v>
      </c>
      <c r="B17" t="s">
        <v>249</v>
      </c>
      <c r="C17" s="4">
        <f>C16</f>
        <v>1</v>
      </c>
      <c r="D17" s="4">
        <f>'Conversion Factors'!$L$48</f>
        <v>400.86107774048043</v>
      </c>
      <c r="E17" s="4">
        <f>'Productivity Data'!$I$25</f>
        <v>60.332591436644847</v>
      </c>
      <c r="F17" s="2">
        <f>'Wage Data'!$C$11</f>
        <v>49.154294657004115</v>
      </c>
      <c r="G17" s="4">
        <f>'Cost Pool Data'!$K$48</f>
        <v>1.6214860636540271</v>
      </c>
      <c r="H17" s="2">
        <f t="shared" si="0"/>
        <v>3.2955569375124503E-3</v>
      </c>
      <c r="I17" s="2">
        <f t="shared" si="1"/>
        <v>3.2955569375124503E-3</v>
      </c>
    </row>
    <row r="18" spans="1:10" x14ac:dyDescent="0.25">
      <c r="A18" s="72" t="s">
        <v>85</v>
      </c>
      <c r="B18" s="79" t="s">
        <v>135</v>
      </c>
      <c r="C18" s="49">
        <f>C17</f>
        <v>1</v>
      </c>
      <c r="D18" s="49">
        <v>1</v>
      </c>
      <c r="E18" s="49">
        <f>'Productivity Data'!$I$22</f>
        <v>307.66822713635111</v>
      </c>
      <c r="F18" s="48">
        <f>'Wage Data'!$C$11</f>
        <v>49.154294657004115</v>
      </c>
      <c r="G18" s="49">
        <f>'Cost Pool Data'!$K$57</f>
        <v>1.4957786551922303</v>
      </c>
      <c r="H18" s="48">
        <f t="shared" si="0"/>
        <v>0.23897152280983572</v>
      </c>
      <c r="I18" s="75">
        <f t="shared" si="1"/>
        <v>0.23897152280983572</v>
      </c>
      <c r="J18" s="76">
        <f>SUM(I17:I18)</f>
        <v>0.24226707974734818</v>
      </c>
    </row>
    <row r="20" spans="1:10" x14ac:dyDescent="0.25">
      <c r="A20" s="29" t="s">
        <v>259</v>
      </c>
      <c r="I20" s="80" t="s">
        <v>203</v>
      </c>
      <c r="J20" s="81">
        <f>J16+J18</f>
        <v>0.78707323430631015</v>
      </c>
    </row>
    <row r="21" spans="1:10" x14ac:dyDescent="0.25">
      <c r="A21" s="6" t="s">
        <v>296</v>
      </c>
      <c r="F21"/>
      <c r="G21"/>
      <c r="H21"/>
      <c r="I21"/>
    </row>
    <row r="22" spans="1:10" x14ac:dyDescent="0.25">
      <c r="A22" s="6" t="s">
        <v>297</v>
      </c>
    </row>
    <row r="23" spans="1:10" x14ac:dyDescent="0.25">
      <c r="A23" s="6" t="s">
        <v>298</v>
      </c>
    </row>
    <row r="24" spans="1:10" x14ac:dyDescent="0.25">
      <c r="A24" s="6" t="s">
        <v>299</v>
      </c>
    </row>
    <row r="25" spans="1:10" x14ac:dyDescent="0.25">
      <c r="A25" s="6" t="s">
        <v>277</v>
      </c>
    </row>
    <row r="26" spans="1:10" x14ac:dyDescent="0.25">
      <c r="A26" s="6" t="s">
        <v>300</v>
      </c>
    </row>
    <row r="27" spans="1:10" x14ac:dyDescent="0.25">
      <c r="A27" s="6" t="s">
        <v>301</v>
      </c>
    </row>
  </sheetData>
  <phoneticPr fontId="3" type="noConversion"/>
  <printOptions horizontalCentered="1"/>
  <pageMargins left="0.75" right="0.75" top="1" bottom="1" header="0.5" footer="0.5"/>
  <pageSetup scale="61" orientation="portrait" r:id="rId1"/>
  <headerFooter alignWithMargins="0">
    <oddHeader>&amp;RPage 38 of 50</oddHeader>
    <oddFooter>&amp;R&amp;F</oddFooter>
  </headerFooter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 codeName="Sheet49">
    <pageSetUpPr fitToPage="1"/>
  </sheetPr>
  <dimension ref="A1:J31"/>
  <sheetViews>
    <sheetView zoomScale="75" workbookViewId="0">
      <selection activeCell="D21" sqref="D21:J25"/>
    </sheetView>
  </sheetViews>
  <sheetFormatPr defaultColWidth="9.109375" defaultRowHeight="13.2" x14ac:dyDescent="0.25"/>
  <cols>
    <col min="1" max="1" width="15.6640625" style="6" customWidth="1"/>
    <col min="2" max="2" width="30.6640625" style="6" customWidth="1"/>
    <col min="3" max="5" width="12.6640625" style="4" customWidth="1"/>
    <col min="6" max="6" width="12.6640625" style="2" customWidth="1"/>
    <col min="7" max="7" width="12.6640625" style="4" customWidth="1"/>
    <col min="8" max="9" width="12.6640625" style="2" customWidth="1"/>
    <col min="10" max="10" width="12.6640625" customWidth="1"/>
  </cols>
  <sheetData>
    <row r="1" spans="1:10" ht="15.6" x14ac:dyDescent="0.3">
      <c r="A1" s="5" t="s">
        <v>412</v>
      </c>
      <c r="B1" s="5"/>
    </row>
    <row r="4" spans="1:10" x14ac:dyDescent="0.25">
      <c r="C4" s="8" t="s">
        <v>107</v>
      </c>
      <c r="D4" s="8" t="s">
        <v>108</v>
      </c>
      <c r="E4" s="8" t="s">
        <v>109</v>
      </c>
      <c r="F4" s="50" t="s">
        <v>112</v>
      </c>
      <c r="G4" s="8" t="s">
        <v>156</v>
      </c>
      <c r="H4" s="50" t="s">
        <v>157</v>
      </c>
      <c r="I4" s="50" t="s">
        <v>192</v>
      </c>
    </row>
    <row r="5" spans="1:10" x14ac:dyDescent="0.25">
      <c r="A5" s="70"/>
      <c r="F5" s="50" t="s">
        <v>155</v>
      </c>
      <c r="H5" s="50" t="s">
        <v>3</v>
      </c>
      <c r="I5" s="50" t="s">
        <v>3</v>
      </c>
    </row>
    <row r="6" spans="1:10" s="6" customFormat="1" x14ac:dyDescent="0.25">
      <c r="C6" s="8"/>
      <c r="D6" s="8" t="s">
        <v>202</v>
      </c>
      <c r="E6" s="8" t="s">
        <v>101</v>
      </c>
      <c r="F6" s="50" t="s">
        <v>103</v>
      </c>
      <c r="G6" s="8" t="s">
        <v>105</v>
      </c>
      <c r="H6" s="50" t="s">
        <v>207</v>
      </c>
      <c r="I6" s="50" t="s">
        <v>206</v>
      </c>
    </row>
    <row r="7" spans="1:10" s="6" customFormat="1" x14ac:dyDescent="0.25">
      <c r="A7" s="6" t="s">
        <v>84</v>
      </c>
      <c r="B7" s="6" t="s">
        <v>76</v>
      </c>
      <c r="C7" s="8" t="s">
        <v>199</v>
      </c>
      <c r="D7" s="8" t="s">
        <v>81</v>
      </c>
      <c r="E7" s="8" t="s">
        <v>102</v>
      </c>
      <c r="F7" s="50" t="s">
        <v>104</v>
      </c>
      <c r="G7" s="8" t="s">
        <v>81</v>
      </c>
      <c r="H7" s="50" t="s">
        <v>76</v>
      </c>
      <c r="I7" s="50" t="s">
        <v>84</v>
      </c>
    </row>
    <row r="8" spans="1:10" x14ac:dyDescent="0.25">
      <c r="A8" s="72"/>
      <c r="B8" s="72"/>
      <c r="C8" s="49"/>
      <c r="D8" s="49"/>
      <c r="E8" s="49"/>
      <c r="F8" s="48"/>
      <c r="G8" s="49"/>
      <c r="H8" s="48"/>
      <c r="I8" s="48"/>
      <c r="J8" s="79"/>
    </row>
    <row r="9" spans="1:10" x14ac:dyDescent="0.25">
      <c r="A9" s="6" t="s">
        <v>243</v>
      </c>
      <c r="B9" t="s">
        <v>211</v>
      </c>
      <c r="C9" s="4">
        <f>'Mailer Arrival Profile'!$C$30</f>
        <v>0</v>
      </c>
      <c r="D9" s="4">
        <f>'Conversion Factors'!$L$20</f>
        <v>1048.0309783429961</v>
      </c>
      <c r="E9" s="4">
        <f>'Productivity Data'!$I$28</f>
        <v>58.156985400220201</v>
      </c>
      <c r="F9" s="2">
        <f>'Wage Data'!$C$11</f>
        <v>49.154294657004115</v>
      </c>
      <c r="G9" s="4">
        <f>'Cost Pool Data'!$K$27</f>
        <v>1.3606061934437479</v>
      </c>
      <c r="H9" s="2">
        <f t="shared" ref="H9:H22" si="0">(F9*G9)/(D9*E9)</f>
        <v>1.0972811170446752E-3</v>
      </c>
      <c r="I9" s="2">
        <f t="shared" ref="I9:I22" si="1">C9*H9</f>
        <v>0</v>
      </c>
    </row>
    <row r="10" spans="1:10" x14ac:dyDescent="0.25">
      <c r="A10" s="6" t="s">
        <v>241</v>
      </c>
      <c r="B10" t="s">
        <v>212</v>
      </c>
      <c r="C10" s="4">
        <f>'Mailer Arrival Profile'!$D$30</f>
        <v>0</v>
      </c>
      <c r="D10" s="4">
        <f>'Conversion Factors'!$L$21</f>
        <v>1676.2813880312062</v>
      </c>
      <c r="E10" s="4">
        <f>'Productivity Data'!$I$28</f>
        <v>58.156985400220201</v>
      </c>
      <c r="F10" s="2">
        <f>'Wage Data'!$C$11</f>
        <v>49.154294657004115</v>
      </c>
      <c r="G10" s="4">
        <f>'Cost Pool Data'!$K$27</f>
        <v>1.3606061934437479</v>
      </c>
      <c r="H10" s="2">
        <f t="shared" si="0"/>
        <v>6.8603315101188622E-4</v>
      </c>
      <c r="I10" s="2">
        <f t="shared" si="1"/>
        <v>0</v>
      </c>
    </row>
    <row r="11" spans="1:10" x14ac:dyDescent="0.25">
      <c r="B11" t="s">
        <v>213</v>
      </c>
      <c r="C11" s="4">
        <f>'Mailer Arrival Profile'!$E$30</f>
        <v>0</v>
      </c>
      <c r="D11" s="4">
        <f>'Conversion Factors'!$L$22</f>
        <v>1079.6056545024896</v>
      </c>
      <c r="E11" s="4">
        <f>'Productivity Data'!$I$28</f>
        <v>58.156985400220201</v>
      </c>
      <c r="F11" s="2">
        <f>'Wage Data'!$C$11</f>
        <v>49.154294657004115</v>
      </c>
      <c r="G11" s="4">
        <f>'Cost Pool Data'!$K$27</f>
        <v>1.3606061934437479</v>
      </c>
      <c r="H11" s="2">
        <f t="shared" si="0"/>
        <v>1.0651894956437307E-3</v>
      </c>
      <c r="I11" s="2">
        <f t="shared" si="1"/>
        <v>0</v>
      </c>
    </row>
    <row r="12" spans="1:10" x14ac:dyDescent="0.25">
      <c r="B12" t="s">
        <v>214</v>
      </c>
      <c r="C12" s="4">
        <f>'Mailer Arrival Profile'!$F$30</f>
        <v>1</v>
      </c>
      <c r="D12" s="4">
        <f>'Conversion Factors'!$L$23</f>
        <v>913.27319010541089</v>
      </c>
      <c r="E12" s="4">
        <f>'Productivity Data'!$I$27</f>
        <v>81.873572020007202</v>
      </c>
      <c r="F12" s="2">
        <f>'Wage Data'!$C$11</f>
        <v>49.154294657004115</v>
      </c>
      <c r="G12" s="4">
        <f>'Cost Pool Data'!$K$27</f>
        <v>1.3606061934437479</v>
      </c>
      <c r="H12" s="2">
        <f t="shared" si="0"/>
        <v>8.9443639987420154E-4</v>
      </c>
      <c r="I12" s="2">
        <f t="shared" si="1"/>
        <v>8.9443639987420154E-4</v>
      </c>
    </row>
    <row r="13" spans="1:10" x14ac:dyDescent="0.25">
      <c r="B13" t="s">
        <v>227</v>
      </c>
      <c r="C13" s="4">
        <f>C9</f>
        <v>0</v>
      </c>
      <c r="D13" s="4">
        <f>'Conversion Factors'!$L$20</f>
        <v>1048.0309783429961</v>
      </c>
      <c r="E13" s="4">
        <f>'Productivity Data'!$I$30</f>
        <v>39.899251235537818</v>
      </c>
      <c r="F13" s="2">
        <f>'Wage Data'!$C$11</f>
        <v>49.154294657004115</v>
      </c>
      <c r="G13" s="4">
        <f>'Cost Pool Data'!$K$27</f>
        <v>1.3606061934437479</v>
      </c>
      <c r="H13" s="2">
        <f t="shared" si="0"/>
        <v>1.5993924679735738E-3</v>
      </c>
      <c r="I13" s="2">
        <f t="shared" si="1"/>
        <v>0</v>
      </c>
    </row>
    <row r="14" spans="1:10" x14ac:dyDescent="0.25">
      <c r="B14" t="s">
        <v>228</v>
      </c>
      <c r="C14" s="4">
        <f>C10</f>
        <v>0</v>
      </c>
      <c r="D14" s="4">
        <f>'Conversion Factors'!$L$21</f>
        <v>1676.2813880312062</v>
      </c>
      <c r="E14" s="4">
        <f>'Productivity Data'!$I$30</f>
        <v>39.899251235537818</v>
      </c>
      <c r="F14" s="2">
        <f>'Wage Data'!$C$11</f>
        <v>49.154294657004115</v>
      </c>
      <c r="G14" s="4">
        <f>'Cost Pool Data'!$K$27</f>
        <v>1.3606061934437479</v>
      </c>
      <c r="H14" s="2">
        <f t="shared" si="0"/>
        <v>9.9995911481990307E-4</v>
      </c>
      <c r="I14" s="2">
        <f t="shared" si="1"/>
        <v>0</v>
      </c>
    </row>
    <row r="15" spans="1:10" x14ac:dyDescent="0.25">
      <c r="B15" t="s">
        <v>200</v>
      </c>
      <c r="C15" s="4">
        <f>C11+C12</f>
        <v>1</v>
      </c>
      <c r="D15" s="4">
        <f>'Mailer Arrival Profile'!$I$30</f>
        <v>66.275974025974023</v>
      </c>
      <c r="E15" s="4">
        <f>'Productivity Data'!$I$14</f>
        <v>49.323981905738421</v>
      </c>
      <c r="F15" s="2">
        <f>'Wage Data'!$C$11</f>
        <v>49.154294657004115</v>
      </c>
      <c r="G15" s="4">
        <f>'Cost Pool Data'!$K$30</f>
        <v>1.2805162995566952</v>
      </c>
      <c r="H15" s="2">
        <f t="shared" si="0"/>
        <v>1.9254503780717091E-2</v>
      </c>
      <c r="I15" s="2">
        <f t="shared" si="1"/>
        <v>1.9254503780717091E-2</v>
      </c>
    </row>
    <row r="16" spans="1:10" x14ac:dyDescent="0.25">
      <c r="B16" t="s">
        <v>223</v>
      </c>
      <c r="C16" s="4">
        <f t="shared" ref="C16:C21" si="2">C13</f>
        <v>0</v>
      </c>
      <c r="D16" s="4">
        <f>'Conversion Factors'!$L$20</f>
        <v>1048.0309783429961</v>
      </c>
      <c r="E16" s="4">
        <f>'Productivity Data'!$I$32</f>
        <v>61.728448910094343</v>
      </c>
      <c r="F16" s="2">
        <f>'Wage Data'!$C$11</f>
        <v>49.154294657004115</v>
      </c>
      <c r="G16" s="4">
        <f>'Cost Pool Data'!$K$27</f>
        <v>1.3606061934437479</v>
      </c>
      <c r="H16" s="2">
        <f t="shared" si="0"/>
        <v>1.0337950010188741E-3</v>
      </c>
      <c r="I16" s="2">
        <f t="shared" si="1"/>
        <v>0</v>
      </c>
    </row>
    <row r="17" spans="1:10" x14ac:dyDescent="0.25">
      <c r="B17" t="s">
        <v>224</v>
      </c>
      <c r="C17" s="4">
        <f t="shared" si="2"/>
        <v>0</v>
      </c>
      <c r="D17" s="4">
        <f>'Conversion Factors'!$L$21</f>
        <v>1676.2813880312062</v>
      </c>
      <c r="E17" s="4">
        <f>'Productivity Data'!$I$32</f>
        <v>61.728448910094343</v>
      </c>
      <c r="F17" s="2">
        <f>'Wage Data'!$C$11</f>
        <v>49.154294657004115</v>
      </c>
      <c r="G17" s="4">
        <f>'Cost Pool Data'!$K$27</f>
        <v>1.3606061934437479</v>
      </c>
      <c r="H17" s="2">
        <f t="shared" si="0"/>
        <v>6.4634087931765506E-4</v>
      </c>
      <c r="I17" s="2">
        <f t="shared" si="1"/>
        <v>0</v>
      </c>
    </row>
    <row r="18" spans="1:10" x14ac:dyDescent="0.25">
      <c r="A18" s="72"/>
      <c r="B18" s="79" t="s">
        <v>248</v>
      </c>
      <c r="C18" s="49">
        <f t="shared" si="2"/>
        <v>1</v>
      </c>
      <c r="D18" s="49">
        <f>'Conversion Factors'!$L$48</f>
        <v>400.86107774048043</v>
      </c>
      <c r="E18" s="49">
        <f>'Productivity Data'!$I$31</f>
        <v>91.071587890934111</v>
      </c>
      <c r="F18" s="48">
        <f>'Wage Data'!$C$11</f>
        <v>49.154294657004115</v>
      </c>
      <c r="G18" s="49">
        <f>'Cost Pool Data'!$K$27</f>
        <v>1.3606061934437479</v>
      </c>
      <c r="H18" s="48">
        <f t="shared" si="0"/>
        <v>1.8319647524684813E-3</v>
      </c>
      <c r="I18" s="75">
        <f t="shared" si="1"/>
        <v>1.8319647524684813E-3</v>
      </c>
      <c r="J18" s="76">
        <f>SUM(I9:I18)</f>
        <v>2.1980904933059774E-2</v>
      </c>
    </row>
    <row r="19" spans="1:10" x14ac:dyDescent="0.25">
      <c r="A19" s="6" t="s">
        <v>243</v>
      </c>
      <c r="B19" t="s">
        <v>211</v>
      </c>
      <c r="C19" s="4">
        <f t="shared" si="2"/>
        <v>0</v>
      </c>
      <c r="D19" s="4">
        <f>'Conversion Factors'!$L$20</f>
        <v>1048.0309783429961</v>
      </c>
      <c r="E19" s="4">
        <f>'Productivity Data'!$I$26</f>
        <v>48.58034429266948</v>
      </c>
      <c r="F19" s="2">
        <f>'Wage Data'!$C$11</f>
        <v>49.154294657004115</v>
      </c>
      <c r="G19" s="4">
        <f>'Cost Pool Data'!$K$48</f>
        <v>1.6214860636540271</v>
      </c>
      <c r="H19" s="2">
        <f t="shared" si="0"/>
        <v>1.5654528101928609E-3</v>
      </c>
      <c r="I19" s="2">
        <f t="shared" si="1"/>
        <v>0</v>
      </c>
    </row>
    <row r="20" spans="1:10" x14ac:dyDescent="0.25">
      <c r="A20" s="6" t="s">
        <v>85</v>
      </c>
      <c r="B20" t="s">
        <v>212</v>
      </c>
      <c r="C20" s="4">
        <f t="shared" si="2"/>
        <v>0</v>
      </c>
      <c r="D20" s="4">
        <f>'Conversion Factors'!$L$21</f>
        <v>1676.2813880312062</v>
      </c>
      <c r="E20" s="4">
        <f>'Productivity Data'!$I$26</f>
        <v>48.58034429266948</v>
      </c>
      <c r="F20" s="2">
        <f>'Wage Data'!$C$11</f>
        <v>49.154294657004115</v>
      </c>
      <c r="G20" s="4">
        <f>'Cost Pool Data'!$K$48</f>
        <v>1.6214860636540271</v>
      </c>
      <c r="H20" s="2">
        <f t="shared" si="0"/>
        <v>9.7873963878054686E-4</v>
      </c>
      <c r="I20" s="2">
        <f t="shared" si="1"/>
        <v>0</v>
      </c>
    </row>
    <row r="21" spans="1:10" x14ac:dyDescent="0.25">
      <c r="B21" t="s">
        <v>218</v>
      </c>
      <c r="C21" s="4">
        <f t="shared" si="2"/>
        <v>1</v>
      </c>
      <c r="D21" s="4">
        <f>'Conversion Factors'!$L$48</f>
        <v>400.86107774048043</v>
      </c>
      <c r="E21" s="4">
        <f>'Productivity Data'!$I$25</f>
        <v>60.332591436644847</v>
      </c>
      <c r="F21" s="2">
        <f>'Wage Data'!$C$11</f>
        <v>49.154294657004115</v>
      </c>
      <c r="G21" s="4">
        <f>'Cost Pool Data'!$K$48</f>
        <v>1.6214860636540271</v>
      </c>
      <c r="H21" s="2">
        <f t="shared" si="0"/>
        <v>3.2955569375124503E-3</v>
      </c>
      <c r="I21" s="2">
        <f t="shared" si="1"/>
        <v>3.2955569375124503E-3</v>
      </c>
    </row>
    <row r="22" spans="1:10" x14ac:dyDescent="0.25">
      <c r="A22" s="72"/>
      <c r="B22" s="79" t="s">
        <v>135</v>
      </c>
      <c r="C22" s="49">
        <f>SUM(C19:C21)</f>
        <v>1</v>
      </c>
      <c r="D22" s="49">
        <v>1</v>
      </c>
      <c r="E22" s="49">
        <f>'Productivity Data'!$I$22</f>
        <v>307.66822713635111</v>
      </c>
      <c r="F22" s="48">
        <f>'Wage Data'!$C$11</f>
        <v>49.154294657004115</v>
      </c>
      <c r="G22" s="49">
        <f>'Cost Pool Data'!$K$57</f>
        <v>1.4957786551922303</v>
      </c>
      <c r="H22" s="48">
        <f t="shared" si="0"/>
        <v>0.23897152280983572</v>
      </c>
      <c r="I22" s="75">
        <f t="shared" si="1"/>
        <v>0.23897152280983572</v>
      </c>
      <c r="J22" s="76">
        <f>SUM(I19:I22)</f>
        <v>0.24226707974734818</v>
      </c>
    </row>
    <row r="24" spans="1:10" x14ac:dyDescent="0.25">
      <c r="A24" s="29" t="s">
        <v>259</v>
      </c>
      <c r="I24" s="80" t="s">
        <v>203</v>
      </c>
      <c r="J24" s="81">
        <f>J18+J22</f>
        <v>0.26424798468040794</v>
      </c>
    </row>
    <row r="25" spans="1:10" x14ac:dyDescent="0.25">
      <c r="A25" s="6" t="s">
        <v>296</v>
      </c>
      <c r="F25"/>
      <c r="G25"/>
      <c r="H25"/>
      <c r="I25"/>
    </row>
    <row r="26" spans="1:10" x14ac:dyDescent="0.25">
      <c r="A26" s="6" t="s">
        <v>297</v>
      </c>
    </row>
    <row r="27" spans="1:10" x14ac:dyDescent="0.25">
      <c r="A27" s="6" t="s">
        <v>298</v>
      </c>
    </row>
    <row r="28" spans="1:10" x14ac:dyDescent="0.25">
      <c r="A28" s="6" t="s">
        <v>299</v>
      </c>
    </row>
    <row r="29" spans="1:10" x14ac:dyDescent="0.25">
      <c r="A29" s="6" t="s">
        <v>277</v>
      </c>
    </row>
    <row r="30" spans="1:10" x14ac:dyDescent="0.25">
      <c r="A30" s="6" t="s">
        <v>300</v>
      </c>
    </row>
    <row r="31" spans="1:10" x14ac:dyDescent="0.25">
      <c r="A31" s="6" t="s">
        <v>301</v>
      </c>
    </row>
  </sheetData>
  <phoneticPr fontId="3" type="noConversion"/>
  <printOptions horizontalCentered="1"/>
  <pageMargins left="0.75" right="0.75" top="1" bottom="1" header="0.5" footer="0.5"/>
  <pageSetup scale="61" orientation="portrait" r:id="rId1"/>
  <headerFooter alignWithMargins="0">
    <oddHeader>&amp;RPage 39 of 50</oddHeader>
    <oddFooter>&amp;R&amp;F</oddFooter>
  </headerFooter>
  <ignoredErrors>
    <ignoredError sqref="G15" formula="1"/>
  </ignoredError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 codeName="Sheet50">
    <pageSetUpPr fitToPage="1"/>
  </sheetPr>
  <dimension ref="A1:J22"/>
  <sheetViews>
    <sheetView zoomScale="75" workbookViewId="0">
      <selection activeCell="C12" sqref="C12:K17"/>
    </sheetView>
  </sheetViews>
  <sheetFormatPr defaultColWidth="9.109375" defaultRowHeight="13.2" x14ac:dyDescent="0.25"/>
  <cols>
    <col min="1" max="1" width="15.6640625" style="6" customWidth="1"/>
    <col min="2" max="2" width="30.6640625" style="6" customWidth="1"/>
    <col min="3" max="5" width="12.6640625" style="4" customWidth="1"/>
    <col min="6" max="6" width="12.6640625" style="2" customWidth="1"/>
    <col min="7" max="7" width="12.6640625" style="4" customWidth="1"/>
    <col min="8" max="9" width="12.6640625" style="2" customWidth="1"/>
    <col min="10" max="10" width="12.6640625" customWidth="1"/>
  </cols>
  <sheetData>
    <row r="1" spans="1:10" ht="15.6" x14ac:dyDescent="0.3">
      <c r="A1" s="5" t="s">
        <v>413</v>
      </c>
      <c r="B1" s="5"/>
    </row>
    <row r="4" spans="1:10" x14ac:dyDescent="0.25">
      <c r="C4" s="8" t="s">
        <v>107</v>
      </c>
      <c r="D4" s="8" t="s">
        <v>108</v>
      </c>
      <c r="E4" s="8" t="s">
        <v>109</v>
      </c>
      <c r="F4" s="50" t="s">
        <v>112</v>
      </c>
      <c r="G4" s="8" t="s">
        <v>156</v>
      </c>
      <c r="H4" s="50" t="s">
        <v>157</v>
      </c>
      <c r="I4" s="50" t="s">
        <v>192</v>
      </c>
    </row>
    <row r="5" spans="1:10" x14ac:dyDescent="0.25">
      <c r="A5" s="70"/>
      <c r="F5" s="50" t="s">
        <v>155</v>
      </c>
      <c r="H5" s="50" t="s">
        <v>3</v>
      </c>
      <c r="I5" s="50" t="s">
        <v>3</v>
      </c>
    </row>
    <row r="6" spans="1:10" s="6" customFormat="1" x14ac:dyDescent="0.25">
      <c r="C6" s="8"/>
      <c r="D6" s="8" t="s">
        <v>202</v>
      </c>
      <c r="E6" s="8" t="s">
        <v>101</v>
      </c>
      <c r="F6" s="50" t="s">
        <v>103</v>
      </c>
      <c r="G6" s="8" t="s">
        <v>105</v>
      </c>
      <c r="H6" s="50" t="s">
        <v>207</v>
      </c>
      <c r="I6" s="50" t="s">
        <v>206</v>
      </c>
    </row>
    <row r="7" spans="1:10" s="6" customFormat="1" x14ac:dyDescent="0.25">
      <c r="A7" s="6" t="s">
        <v>84</v>
      </c>
      <c r="B7" s="6" t="s">
        <v>76</v>
      </c>
      <c r="C7" s="8" t="s">
        <v>199</v>
      </c>
      <c r="D7" s="8" t="s">
        <v>81</v>
      </c>
      <c r="E7" s="8" t="s">
        <v>102</v>
      </c>
      <c r="F7" s="50" t="s">
        <v>104</v>
      </c>
      <c r="G7" s="8" t="s">
        <v>81</v>
      </c>
      <c r="H7" s="50" t="s">
        <v>76</v>
      </c>
      <c r="I7" s="50" t="s">
        <v>84</v>
      </c>
    </row>
    <row r="8" spans="1:10" x14ac:dyDescent="0.25">
      <c r="A8" s="72"/>
      <c r="B8" s="72"/>
      <c r="C8" s="49"/>
      <c r="D8" s="49"/>
      <c r="E8" s="49"/>
      <c r="F8" s="48"/>
      <c r="G8" s="49"/>
      <c r="H8" s="48"/>
      <c r="I8" s="48"/>
      <c r="J8" s="79"/>
    </row>
    <row r="9" spans="1:10" x14ac:dyDescent="0.25">
      <c r="A9" s="6" t="s">
        <v>243</v>
      </c>
      <c r="B9" t="s">
        <v>211</v>
      </c>
      <c r="C9" s="4">
        <f>'Mailer Arrival Profile'!$C$31</f>
        <v>0</v>
      </c>
      <c r="D9" s="4">
        <f>'Conversion Factors'!$L$20</f>
        <v>1048.0309783429961</v>
      </c>
      <c r="E9" s="4">
        <f>'Productivity Data'!$I$26</f>
        <v>48.58034429266948</v>
      </c>
      <c r="F9" s="2">
        <f>'Wage Data'!$C$11</f>
        <v>49.154294657004115</v>
      </c>
      <c r="G9" s="4">
        <f>'Cost Pool Data'!$K$48</f>
        <v>1.6214860636540271</v>
      </c>
      <c r="H9" s="2">
        <f>(F9*G9)/(D9*E9)</f>
        <v>1.5654528101928609E-3</v>
      </c>
      <c r="I9" s="2">
        <f>C9*H9</f>
        <v>0</v>
      </c>
    </row>
    <row r="10" spans="1:10" x14ac:dyDescent="0.25">
      <c r="A10" s="6" t="s">
        <v>85</v>
      </c>
      <c r="B10" t="s">
        <v>212</v>
      </c>
      <c r="C10" s="4">
        <f>'Mailer Arrival Profile'!$D$31</f>
        <v>0</v>
      </c>
      <c r="D10" s="4">
        <f>'Conversion Factors'!$L$21</f>
        <v>1676.2813880312062</v>
      </c>
      <c r="E10" s="4">
        <f>'Productivity Data'!$I$26</f>
        <v>48.58034429266948</v>
      </c>
      <c r="F10" s="2">
        <f>'Wage Data'!$C$11</f>
        <v>49.154294657004115</v>
      </c>
      <c r="G10" s="4">
        <f>'Cost Pool Data'!$K$48</f>
        <v>1.6214860636540271</v>
      </c>
      <c r="H10" s="2">
        <f>(F10*G10)/(D10*E10)</f>
        <v>9.7873963878054686E-4</v>
      </c>
      <c r="I10" s="2">
        <f>C10*H10</f>
        <v>0</v>
      </c>
    </row>
    <row r="11" spans="1:10" x14ac:dyDescent="0.25">
      <c r="B11" t="s">
        <v>213</v>
      </c>
      <c r="C11" s="4">
        <f>'Mailer Arrival Profile'!$E$31</f>
        <v>0</v>
      </c>
      <c r="D11" s="4">
        <f>'Conversion Factors'!$L$22</f>
        <v>1079.6056545024896</v>
      </c>
      <c r="E11" s="4">
        <f>'Productivity Data'!$I$26</f>
        <v>48.58034429266948</v>
      </c>
      <c r="F11" s="2">
        <f>'Wage Data'!$C$11</f>
        <v>49.154294657004115</v>
      </c>
      <c r="G11" s="4">
        <f>'Cost Pool Data'!$K$48</f>
        <v>1.6214860636540271</v>
      </c>
      <c r="H11" s="2">
        <f>(F11*G11)/(D11*E11)</f>
        <v>1.519668809971422E-3</v>
      </c>
      <c r="I11" s="2">
        <f>C11*H11</f>
        <v>0</v>
      </c>
    </row>
    <row r="12" spans="1:10" x14ac:dyDescent="0.25">
      <c r="B12" t="s">
        <v>214</v>
      </c>
      <c r="C12" s="4">
        <f>'Mailer Arrival Profile'!$F$31</f>
        <v>1</v>
      </c>
      <c r="D12" s="4">
        <f>'Conversion Factors'!$L$23</f>
        <v>913.27319010541089</v>
      </c>
      <c r="E12" s="4">
        <f>'Productivity Data'!$I$25</f>
        <v>60.332591436644847</v>
      </c>
      <c r="F12" s="2">
        <f>'Wage Data'!$C$11</f>
        <v>49.154294657004115</v>
      </c>
      <c r="G12" s="4">
        <f>'Cost Pool Data'!$K$48</f>
        <v>1.6214860636540271</v>
      </c>
      <c r="H12" s="2">
        <f>(F12*G12)/(D12*E12)</f>
        <v>1.4465118652764568E-3</v>
      </c>
      <c r="I12" s="2">
        <f>C12*H12</f>
        <v>1.4465118652764568E-3</v>
      </c>
    </row>
    <row r="13" spans="1:10" x14ac:dyDescent="0.25">
      <c r="A13" s="72"/>
      <c r="B13" s="79" t="s">
        <v>135</v>
      </c>
      <c r="C13" s="49">
        <f>SUM(C9:C12)</f>
        <v>1</v>
      </c>
      <c r="D13" s="49">
        <v>1</v>
      </c>
      <c r="E13" s="49">
        <f>'Productivity Data'!$I$22</f>
        <v>307.66822713635111</v>
      </c>
      <c r="F13" s="48">
        <f>'Wage Data'!$C$11</f>
        <v>49.154294657004115</v>
      </c>
      <c r="G13" s="49">
        <f>'Cost Pool Data'!$K$57</f>
        <v>1.4957786551922303</v>
      </c>
      <c r="H13" s="48">
        <f>(F13*G13)/(D13*E13)</f>
        <v>0.23897152280983572</v>
      </c>
      <c r="I13" s="75">
        <f>C13*H13</f>
        <v>0.23897152280983572</v>
      </c>
      <c r="J13" s="76">
        <f>SUM(I9:I13)</f>
        <v>0.24041803467511216</v>
      </c>
    </row>
    <row r="15" spans="1:10" x14ac:dyDescent="0.25">
      <c r="A15" s="29" t="s">
        <v>259</v>
      </c>
      <c r="I15" s="80" t="s">
        <v>203</v>
      </c>
      <c r="J15" s="81">
        <f>J13</f>
        <v>0.24041803467511216</v>
      </c>
    </row>
    <row r="16" spans="1:10" x14ac:dyDescent="0.25">
      <c r="A16" s="6" t="s">
        <v>296</v>
      </c>
      <c r="F16"/>
      <c r="G16"/>
      <c r="H16"/>
      <c r="I16"/>
    </row>
    <row r="17" spans="1:1" x14ac:dyDescent="0.25">
      <c r="A17" s="6" t="s">
        <v>297</v>
      </c>
    </row>
    <row r="18" spans="1:1" x14ac:dyDescent="0.25">
      <c r="A18" s="6" t="s">
        <v>298</v>
      </c>
    </row>
    <row r="19" spans="1:1" x14ac:dyDescent="0.25">
      <c r="A19" s="6" t="s">
        <v>299</v>
      </c>
    </row>
    <row r="20" spans="1:1" x14ac:dyDescent="0.25">
      <c r="A20" s="6" t="s">
        <v>277</v>
      </c>
    </row>
    <row r="21" spans="1:1" x14ac:dyDescent="0.25">
      <c r="A21" s="6" t="s">
        <v>300</v>
      </c>
    </row>
    <row r="22" spans="1:1" x14ac:dyDescent="0.25">
      <c r="A22" s="6" t="s">
        <v>301</v>
      </c>
    </row>
  </sheetData>
  <phoneticPr fontId="3" type="noConversion"/>
  <printOptions horizontalCentered="1"/>
  <pageMargins left="0.75" right="0.75" top="1" bottom="1" header="0.5" footer="0.5"/>
  <pageSetup scale="61" orientation="portrait" r:id="rId1"/>
  <headerFooter alignWithMargins="0">
    <oddHeader>&amp;RPage 40 of 50</oddHeader>
    <oddFooter>&amp;R&amp;F</oddFooter>
  </headerFooter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 codeName="Sheet26">
    <pageSetUpPr fitToPage="1"/>
  </sheetPr>
  <dimension ref="A1:J96"/>
  <sheetViews>
    <sheetView topLeftCell="A81" zoomScale="75" workbookViewId="0">
      <selection activeCell="C86" sqref="C86:J89"/>
    </sheetView>
  </sheetViews>
  <sheetFormatPr defaultColWidth="9.109375" defaultRowHeight="13.2" x14ac:dyDescent="0.25"/>
  <cols>
    <col min="1" max="1" width="15.6640625" style="6" customWidth="1"/>
    <col min="2" max="2" width="30.6640625" style="6" customWidth="1"/>
    <col min="3" max="5" width="12.6640625" style="4" customWidth="1"/>
    <col min="6" max="6" width="12.6640625" style="2" customWidth="1"/>
    <col min="7" max="7" width="12.6640625" style="4" customWidth="1"/>
    <col min="8" max="9" width="12.6640625" style="2" customWidth="1"/>
    <col min="10" max="10" width="12.6640625" style="69" customWidth="1"/>
  </cols>
  <sheetData>
    <row r="1" spans="1:10" ht="15.6" x14ac:dyDescent="0.3">
      <c r="A1" s="5" t="s">
        <v>414</v>
      </c>
      <c r="B1" s="5"/>
    </row>
    <row r="4" spans="1:10" x14ac:dyDescent="0.25">
      <c r="C4" s="8" t="s">
        <v>107</v>
      </c>
      <c r="D4" s="8" t="s">
        <v>108</v>
      </c>
      <c r="E4" s="8" t="s">
        <v>109</v>
      </c>
      <c r="F4" s="50" t="s">
        <v>112</v>
      </c>
      <c r="G4" s="8" t="s">
        <v>156</v>
      </c>
      <c r="H4" s="50" t="s">
        <v>157</v>
      </c>
      <c r="I4" s="50" t="s">
        <v>192</v>
      </c>
    </row>
    <row r="5" spans="1:10" x14ac:dyDescent="0.25">
      <c r="A5" s="70"/>
      <c r="F5" s="50" t="s">
        <v>155</v>
      </c>
      <c r="H5" s="50" t="s">
        <v>3</v>
      </c>
      <c r="I5" s="50" t="s">
        <v>3</v>
      </c>
    </row>
    <row r="6" spans="1:10" s="6" customFormat="1" x14ac:dyDescent="0.25">
      <c r="C6" s="8"/>
      <c r="D6" s="8" t="s">
        <v>202</v>
      </c>
      <c r="E6" s="8" t="s">
        <v>101</v>
      </c>
      <c r="F6" s="50" t="s">
        <v>103</v>
      </c>
      <c r="G6" s="8" t="s">
        <v>105</v>
      </c>
      <c r="H6" s="50" t="s">
        <v>207</v>
      </c>
      <c r="I6" s="50" t="s">
        <v>206</v>
      </c>
      <c r="J6" s="71"/>
    </row>
    <row r="7" spans="1:10" s="6" customFormat="1" x14ac:dyDescent="0.25">
      <c r="A7" s="6" t="s">
        <v>84</v>
      </c>
      <c r="B7" s="6" t="s">
        <v>76</v>
      </c>
      <c r="C7" s="8" t="s">
        <v>199</v>
      </c>
      <c r="D7" s="8" t="s">
        <v>81</v>
      </c>
      <c r="E7" s="8" t="s">
        <v>102</v>
      </c>
      <c r="F7" s="50" t="s">
        <v>104</v>
      </c>
      <c r="G7" s="8" t="s">
        <v>81</v>
      </c>
      <c r="H7" s="50" t="s">
        <v>76</v>
      </c>
      <c r="I7" s="50" t="s">
        <v>84</v>
      </c>
      <c r="J7" s="71"/>
    </row>
    <row r="8" spans="1:10" x14ac:dyDescent="0.25">
      <c r="A8" s="72"/>
      <c r="B8" s="72"/>
      <c r="C8" s="49"/>
      <c r="D8" s="49"/>
      <c r="E8" s="49"/>
      <c r="F8" s="48"/>
      <c r="G8" s="49"/>
      <c r="H8" s="48"/>
      <c r="I8" s="48"/>
      <c r="J8" s="73"/>
    </row>
    <row r="9" spans="1:10" x14ac:dyDescent="0.25">
      <c r="A9" s="6" t="s">
        <v>240</v>
      </c>
      <c r="B9" s="12" t="s">
        <v>211</v>
      </c>
      <c r="C9" s="4">
        <f>'Mailer Arrival Profile'!$D$47*'Mailer Arrival Profile'!$C$24</f>
        <v>4.7279228967901949E-3</v>
      </c>
      <c r="D9" s="4">
        <f>'Conversion Factors'!$L$20</f>
        <v>1048.0309783429961</v>
      </c>
      <c r="E9" s="4">
        <f>'Productivity Data'!$I$26</f>
        <v>48.58034429266948</v>
      </c>
      <c r="F9" s="2">
        <f>'Wage Data'!$C$11</f>
        <v>49.154294657004115</v>
      </c>
      <c r="G9" s="4">
        <f>'Cost Pool Data'!$K$48</f>
        <v>1.6214860636540271</v>
      </c>
      <c r="H9" s="2">
        <f>(F9*G9)/(D9*E9)</f>
        <v>1.5654528101928609E-3</v>
      </c>
      <c r="I9" s="2">
        <f>C9*H9</f>
        <v>7.4013401851553816E-6</v>
      </c>
    </row>
    <row r="10" spans="1:10" x14ac:dyDescent="0.25">
      <c r="A10" s="6" t="s">
        <v>85</v>
      </c>
      <c r="B10" s="12" t="s">
        <v>212</v>
      </c>
      <c r="C10" s="4">
        <f>'Mailer Arrival Profile'!$D$47*'Mailer Arrival Profile'!$D$24</f>
        <v>0.1559334942378571</v>
      </c>
      <c r="D10" s="4">
        <f>'Conversion Factors'!$L$21</f>
        <v>1676.2813880312062</v>
      </c>
      <c r="E10" s="4">
        <f>'Productivity Data'!$I$26</f>
        <v>48.58034429266948</v>
      </c>
      <c r="F10" s="2">
        <f>'Wage Data'!$C$11</f>
        <v>49.154294657004115</v>
      </c>
      <c r="G10" s="4">
        <f>'Cost Pool Data'!$K$48</f>
        <v>1.6214860636540271</v>
      </c>
      <c r="H10" s="2">
        <f>(F10*G10)/(D10*E10)</f>
        <v>9.7873963878054686E-4</v>
      </c>
      <c r="I10" s="2">
        <f>C10*H10</f>
        <v>1.5261829182414876E-4</v>
      </c>
    </row>
    <row r="11" spans="1:10" x14ac:dyDescent="0.25">
      <c r="B11" s="12" t="s">
        <v>213</v>
      </c>
      <c r="C11" s="4">
        <f>'Mailer Arrival Profile'!$D$47*'Mailer Arrival Profile'!$E$24</f>
        <v>2.1022764136425239E-2</v>
      </c>
      <c r="D11" s="4">
        <f>'Conversion Factors'!$L$22</f>
        <v>1079.6056545024896</v>
      </c>
      <c r="E11" s="4">
        <f>'Productivity Data'!$I$26</f>
        <v>48.58034429266948</v>
      </c>
      <c r="F11" s="2">
        <f>'Wage Data'!$C$11</f>
        <v>49.154294657004115</v>
      </c>
      <c r="G11" s="4">
        <f>'Cost Pool Data'!$K$48</f>
        <v>1.6214860636540271</v>
      </c>
      <c r="H11" s="2">
        <f>(F11*G11)/(D11*E11)</f>
        <v>1.519668809971422E-3</v>
      </c>
      <c r="I11" s="2">
        <f>C11*H11</f>
        <v>3.1947638957511234E-5</v>
      </c>
    </row>
    <row r="12" spans="1:10" x14ac:dyDescent="0.25">
      <c r="B12" s="12" t="s">
        <v>214</v>
      </c>
      <c r="C12" s="4">
        <f>'Mailer Arrival Profile'!$D$47*'Mailer Arrival Profile'!$F$24</f>
        <v>9.2359424030320093E-3</v>
      </c>
      <c r="D12" s="4">
        <f>'Conversion Factors'!$L$23</f>
        <v>913.27319010541089</v>
      </c>
      <c r="E12" s="4">
        <f>'Productivity Data'!$I$25</f>
        <v>60.332591436644847</v>
      </c>
      <c r="F12" s="2">
        <f>'Wage Data'!$C$11</f>
        <v>49.154294657004115</v>
      </c>
      <c r="G12" s="4">
        <f>'Cost Pool Data'!$K$48</f>
        <v>1.6214860636540271</v>
      </c>
      <c r="H12" s="2">
        <f>(F12*G12)/(D12*E12)</f>
        <v>1.4465118652764568E-3</v>
      </c>
      <c r="I12" s="2">
        <f>C12*H12</f>
        <v>1.3359900272995752E-5</v>
      </c>
    </row>
    <row r="13" spans="1:10" x14ac:dyDescent="0.25">
      <c r="B13" t="s">
        <v>223</v>
      </c>
      <c r="C13" s="4">
        <f>C9</f>
        <v>4.7279228967901949E-3</v>
      </c>
      <c r="D13" s="4">
        <f>'Conversion Factors'!$L$20</f>
        <v>1048.0309783429961</v>
      </c>
      <c r="E13" s="4">
        <f>'Productivity Data'!$I$24</f>
        <v>43.137464151665213</v>
      </c>
      <c r="F13" s="2">
        <f>'Wage Data'!$C$11</f>
        <v>49.154294657004115</v>
      </c>
      <c r="G13" s="4">
        <f>'Cost Pool Data'!$K$48</f>
        <v>1.6214860636540271</v>
      </c>
      <c r="H13" s="2">
        <f>(F13*G13)/(D13*E13)</f>
        <v>1.7629742032520567E-3</v>
      </c>
      <c r="I13" s="2">
        <f>C13*H13</f>
        <v>8.3352061020058493E-6</v>
      </c>
    </row>
    <row r="14" spans="1:10" x14ac:dyDescent="0.25">
      <c r="B14" t="s">
        <v>224</v>
      </c>
      <c r="C14" s="4">
        <f>C10</f>
        <v>0.1559334942378571</v>
      </c>
      <c r="D14" s="4">
        <f>'Conversion Factors'!$L$21</f>
        <v>1676.2813880312062</v>
      </c>
      <c r="E14" s="4">
        <f>'Productivity Data'!$I$24</f>
        <v>43.137464151665213</v>
      </c>
      <c r="F14" s="2">
        <f>'Wage Data'!$C$11</f>
        <v>49.154294657004115</v>
      </c>
      <c r="G14" s="4">
        <f>'Cost Pool Data'!$K$48</f>
        <v>1.6214860636540271</v>
      </c>
      <c r="H14" s="2">
        <f t="shared" ref="H14:H78" si="0">(F14*G14)/(D14*E14)</f>
        <v>1.1022323532433808E-3</v>
      </c>
      <c r="I14" s="2">
        <f t="shared" ref="I14:I78" si="1">C14*H14</f>
        <v>1.7187494230325639E-4</v>
      </c>
    </row>
    <row r="15" spans="1:10" x14ac:dyDescent="0.25">
      <c r="B15" s="12" t="s">
        <v>225</v>
      </c>
      <c r="C15" s="4">
        <f>C11</f>
        <v>2.1022764136425239E-2</v>
      </c>
      <c r="D15" s="4">
        <f>'Conversion Factors'!$L$22</f>
        <v>1079.6056545024896</v>
      </c>
      <c r="E15" s="4">
        <f>'Productivity Data'!$I$24</f>
        <v>43.137464151665213</v>
      </c>
      <c r="F15" s="2">
        <f>'Wage Data'!$C$11</f>
        <v>49.154294657004115</v>
      </c>
      <c r="G15" s="4">
        <f>'Cost Pool Data'!$K$48</f>
        <v>1.6214860636540271</v>
      </c>
      <c r="H15" s="2">
        <f t="shared" si="0"/>
        <v>1.7114133955505851E-3</v>
      </c>
      <c r="I15" s="2">
        <f t="shared" si="1"/>
        <v>3.5978640154578584E-5</v>
      </c>
    </row>
    <row r="16" spans="1:10" x14ac:dyDescent="0.25">
      <c r="A16" s="72"/>
      <c r="B16" s="74" t="s">
        <v>226</v>
      </c>
      <c r="C16" s="49">
        <f>C12</f>
        <v>9.2359424030320093E-3</v>
      </c>
      <c r="D16" s="49">
        <f>'Conversion Factors'!$L$23</f>
        <v>913.27319010541089</v>
      </c>
      <c r="E16" s="49">
        <f>'Productivity Data'!$I$23</f>
        <v>68.564044141410264</v>
      </c>
      <c r="F16" s="48">
        <f>'Wage Data'!$C$11</f>
        <v>49.154294657004115</v>
      </c>
      <c r="G16" s="49">
        <f>'Cost Pool Data'!$K$48</f>
        <v>1.6214860636540271</v>
      </c>
      <c r="H16" s="48">
        <f t="shared" si="0"/>
        <v>1.27285095954943E-3</v>
      </c>
      <c r="I16" s="75">
        <f t="shared" si="1"/>
        <v>1.1755978150042561E-5</v>
      </c>
      <c r="J16" s="76">
        <f>SUM(I9:I16)</f>
        <v>4.3327193794969452E-4</v>
      </c>
    </row>
    <row r="17" spans="1:10" x14ac:dyDescent="0.25">
      <c r="A17" s="6" t="s">
        <v>240</v>
      </c>
      <c r="B17" t="s">
        <v>211</v>
      </c>
      <c r="C17" s="4">
        <f>'Mailer Arrival Profile'!$D$48*'Mailer Arrival Profile'!$C$24+C13</f>
        <v>1.3638941053698951E-2</v>
      </c>
      <c r="D17" s="4">
        <f>'Conversion Factors'!$L$20</f>
        <v>1048.0309783429961</v>
      </c>
      <c r="E17" s="4">
        <f>'Productivity Data'!$I$28</f>
        <v>58.156985400220201</v>
      </c>
      <c r="F17" s="2">
        <f>'Wage Data'!$C$11</f>
        <v>49.154294657004115</v>
      </c>
      <c r="G17" s="4">
        <f>'Cost Pool Data'!$K$27</f>
        <v>1.3606061934437479</v>
      </c>
      <c r="H17" s="2">
        <f t="shared" si="0"/>
        <v>1.0972811170446752E-3</v>
      </c>
      <c r="I17" s="2">
        <f t="shared" si="1"/>
        <v>1.4965752474709265E-5</v>
      </c>
    </row>
    <row r="18" spans="1:10" x14ac:dyDescent="0.25">
      <c r="A18" s="6" t="s">
        <v>241</v>
      </c>
      <c r="B18" t="s">
        <v>212</v>
      </c>
      <c r="C18" s="4">
        <f>'Mailer Arrival Profile'!$D$48*'Mailer Arrival Profile'!$D$24+C14</f>
        <v>0.44983130703153151</v>
      </c>
      <c r="D18" s="4">
        <f>'Conversion Factors'!$L$21</f>
        <v>1676.2813880312062</v>
      </c>
      <c r="E18" s="4">
        <f>'Productivity Data'!$I$28</f>
        <v>58.156985400220201</v>
      </c>
      <c r="F18" s="2">
        <f>'Wage Data'!$C$11</f>
        <v>49.154294657004115</v>
      </c>
      <c r="G18" s="4">
        <f>'Cost Pool Data'!$K$27</f>
        <v>1.3606061934437479</v>
      </c>
      <c r="H18" s="2">
        <f t="shared" si="0"/>
        <v>6.8603315101188622E-4</v>
      </c>
      <c r="I18" s="2">
        <f t="shared" si="1"/>
        <v>3.0859918898663684E-4</v>
      </c>
    </row>
    <row r="19" spans="1:10" x14ac:dyDescent="0.25">
      <c r="B19" t="s">
        <v>213</v>
      </c>
      <c r="C19" s="4">
        <f>'Mailer Arrival Profile'!$D$48*'Mailer Arrival Profile'!$E$24+C15</f>
        <v>6.0645709987610215E-2</v>
      </c>
      <c r="D19" s="4">
        <f>'Conversion Factors'!$L$22</f>
        <v>1079.6056545024896</v>
      </c>
      <c r="E19" s="4">
        <f>'Productivity Data'!$I$28</f>
        <v>58.156985400220201</v>
      </c>
      <c r="F19" s="2">
        <f>'Wage Data'!$C$11</f>
        <v>49.154294657004115</v>
      </c>
      <c r="G19" s="4">
        <f>'Cost Pool Data'!$K$27</f>
        <v>1.3606061934437479</v>
      </c>
      <c r="H19" s="2">
        <f t="shared" si="0"/>
        <v>1.0651894956437307E-3</v>
      </c>
      <c r="I19" s="2">
        <f t="shared" si="1"/>
        <v>6.4599173234658493E-5</v>
      </c>
    </row>
    <row r="20" spans="1:10" x14ac:dyDescent="0.25">
      <c r="B20" t="s">
        <v>214</v>
      </c>
      <c r="C20" s="4">
        <f>'Mailer Arrival Profile'!$D$48*'Mailer Arrival Profile'!$F$24+C16</f>
        <v>2.6643512756063067E-2</v>
      </c>
      <c r="D20" s="4">
        <f>'Conversion Factors'!$L$23</f>
        <v>913.27319010541089</v>
      </c>
      <c r="E20" s="4">
        <f>'Productivity Data'!$I$27</f>
        <v>81.873572020007202</v>
      </c>
      <c r="F20" s="2">
        <f>'Wage Data'!$C$11</f>
        <v>49.154294657004115</v>
      </c>
      <c r="G20" s="4">
        <f>'Cost Pool Data'!$K$27</f>
        <v>1.3606061934437479</v>
      </c>
      <c r="H20" s="2">
        <f t="shared" si="0"/>
        <v>8.9443639987420154E-4</v>
      </c>
      <c r="I20" s="2">
        <f t="shared" si="1"/>
        <v>2.3830927629535415E-5</v>
      </c>
    </row>
    <row r="21" spans="1:10" x14ac:dyDescent="0.25">
      <c r="B21" t="s">
        <v>227</v>
      </c>
      <c r="C21" s="4">
        <f t="shared" ref="C21:C28" si="2">C17</f>
        <v>1.3638941053698951E-2</v>
      </c>
      <c r="D21" s="4">
        <f>'Conversion Factors'!$L$20</f>
        <v>1048.0309783429961</v>
      </c>
      <c r="E21" s="4">
        <f>'Productivity Data'!$I$30</f>
        <v>39.899251235537818</v>
      </c>
      <c r="F21" s="2">
        <f>'Wage Data'!$C$11</f>
        <v>49.154294657004115</v>
      </c>
      <c r="G21" s="4">
        <f>'Cost Pool Data'!$K$27</f>
        <v>1.3606061934437479</v>
      </c>
      <c r="H21" s="2">
        <f t="shared" si="0"/>
        <v>1.5993924679735738E-3</v>
      </c>
      <c r="I21" s="2">
        <f t="shared" si="1"/>
        <v>2.181401959242166E-5</v>
      </c>
    </row>
    <row r="22" spans="1:10" x14ac:dyDescent="0.25">
      <c r="B22" t="s">
        <v>228</v>
      </c>
      <c r="C22" s="4">
        <f t="shared" si="2"/>
        <v>0.44983130703153151</v>
      </c>
      <c r="D22" s="4">
        <f>'Conversion Factors'!$L$21</f>
        <v>1676.2813880312062</v>
      </c>
      <c r="E22" s="4">
        <f>'Productivity Data'!$I$30</f>
        <v>39.899251235537818</v>
      </c>
      <c r="F22" s="2">
        <f>'Wage Data'!$C$11</f>
        <v>49.154294657004115</v>
      </c>
      <c r="G22" s="4">
        <f>'Cost Pool Data'!$K$27</f>
        <v>1.3606061934437479</v>
      </c>
      <c r="H22" s="2">
        <f t="shared" si="0"/>
        <v>9.9995911481990307E-4</v>
      </c>
      <c r="I22" s="2">
        <f t="shared" si="1"/>
        <v>4.4981291559753031E-4</v>
      </c>
    </row>
    <row r="23" spans="1:10" x14ac:dyDescent="0.25">
      <c r="B23" t="s">
        <v>229</v>
      </c>
      <c r="C23" s="4">
        <f t="shared" si="2"/>
        <v>6.0645709987610215E-2</v>
      </c>
      <c r="D23" s="4">
        <f>'Conversion Factors'!$L$22</f>
        <v>1079.6056545024896</v>
      </c>
      <c r="E23" s="4">
        <f>'Productivity Data'!$I$30</f>
        <v>39.899251235537818</v>
      </c>
      <c r="F23" s="2">
        <f>'Wage Data'!$C$11</f>
        <v>49.154294657004115</v>
      </c>
      <c r="G23" s="4">
        <f>'Cost Pool Data'!$K$27</f>
        <v>1.3606061934437479</v>
      </c>
      <c r="H23" s="2">
        <f t="shared" si="0"/>
        <v>1.5526158518845534E-3</v>
      </c>
      <c r="I23" s="2">
        <f t="shared" si="1"/>
        <v>9.4159490675557007E-5</v>
      </c>
    </row>
    <row r="24" spans="1:10" x14ac:dyDescent="0.25">
      <c r="B24" t="s">
        <v>230</v>
      </c>
      <c r="C24" s="4">
        <f t="shared" si="2"/>
        <v>2.6643512756063067E-2</v>
      </c>
      <c r="D24" s="4">
        <f>'Conversion Factors'!$L$23</f>
        <v>913.27319010541089</v>
      </c>
      <c r="E24" s="4">
        <f>'Productivity Data'!$I$29</f>
        <v>50.764395048330648</v>
      </c>
      <c r="F24" s="2">
        <f>'Wage Data'!$C$11</f>
        <v>49.154294657004115</v>
      </c>
      <c r="G24" s="4">
        <f>'Cost Pool Data'!$K$27</f>
        <v>1.3606061934437479</v>
      </c>
      <c r="H24" s="2">
        <f t="shared" si="0"/>
        <v>1.4425603404255387E-3</v>
      </c>
      <c r="I24" s="2">
        <f t="shared" si="1"/>
        <v>3.8434874831518525E-5</v>
      </c>
    </row>
    <row r="25" spans="1:10" x14ac:dyDescent="0.25">
      <c r="B25" t="s">
        <v>223</v>
      </c>
      <c r="C25" s="4">
        <f t="shared" si="2"/>
        <v>1.3638941053698951E-2</v>
      </c>
      <c r="D25" s="4">
        <f>'Conversion Factors'!$L$20</f>
        <v>1048.0309783429961</v>
      </c>
      <c r="E25" s="4">
        <f>'Productivity Data'!$I$32</f>
        <v>61.728448910094343</v>
      </c>
      <c r="F25" s="2">
        <f>'Wage Data'!$C$11</f>
        <v>49.154294657004115</v>
      </c>
      <c r="G25" s="4">
        <f>'Cost Pool Data'!$K$27</f>
        <v>1.3606061934437479</v>
      </c>
      <c r="H25" s="2">
        <f t="shared" si="0"/>
        <v>1.0337950010188741E-3</v>
      </c>
      <c r="I25" s="2">
        <f t="shared" si="1"/>
        <v>1.4099869080505071E-5</v>
      </c>
    </row>
    <row r="26" spans="1:10" x14ac:dyDescent="0.25">
      <c r="B26" t="s">
        <v>224</v>
      </c>
      <c r="C26" s="4">
        <f t="shared" si="2"/>
        <v>0.44983130703153151</v>
      </c>
      <c r="D26" s="4">
        <f>'Conversion Factors'!$L$21</f>
        <v>1676.2813880312062</v>
      </c>
      <c r="E26" s="4">
        <f>'Productivity Data'!$I$32</f>
        <v>61.728448910094343</v>
      </c>
      <c r="F26" s="2">
        <f>'Wage Data'!$C$11</f>
        <v>49.154294657004115</v>
      </c>
      <c r="G26" s="4">
        <f>'Cost Pool Data'!$K$27</f>
        <v>1.3606061934437479</v>
      </c>
      <c r="H26" s="2">
        <f t="shared" si="0"/>
        <v>6.4634087931765506E-4</v>
      </c>
      <c r="I26" s="2">
        <f t="shared" si="1"/>
        <v>2.9074436253137016E-4</v>
      </c>
    </row>
    <row r="27" spans="1:10" x14ac:dyDescent="0.25">
      <c r="B27" s="12" t="s">
        <v>225</v>
      </c>
      <c r="C27" s="4">
        <f t="shared" si="2"/>
        <v>6.0645709987610215E-2</v>
      </c>
      <c r="D27" s="4">
        <f>'Conversion Factors'!$L$22</f>
        <v>1079.6056545024896</v>
      </c>
      <c r="E27" s="4">
        <f>'Productivity Data'!$I$32</f>
        <v>61.728448910094343</v>
      </c>
      <c r="F27" s="2">
        <f>'Wage Data'!$C$11</f>
        <v>49.154294657004115</v>
      </c>
      <c r="G27" s="4">
        <f>'Cost Pool Data'!$K$27</f>
        <v>1.3606061934437479</v>
      </c>
      <c r="H27" s="2">
        <f t="shared" si="0"/>
        <v>1.0035601256860689E-3</v>
      </c>
      <c r="I27" s="2">
        <f t="shared" si="1"/>
        <v>6.0861616337486994E-5</v>
      </c>
    </row>
    <row r="28" spans="1:10" x14ac:dyDescent="0.25">
      <c r="A28" s="72"/>
      <c r="B28" s="74" t="s">
        <v>226</v>
      </c>
      <c r="C28" s="49">
        <f t="shared" si="2"/>
        <v>2.6643512756063067E-2</v>
      </c>
      <c r="D28" s="49">
        <f>'Conversion Factors'!$L$23</f>
        <v>913.27319010541089</v>
      </c>
      <c r="E28" s="49">
        <f>'Productivity Data'!$I$31</f>
        <v>91.071587890934111</v>
      </c>
      <c r="F28" s="48">
        <f>'Wage Data'!$C$11</f>
        <v>49.154294657004115</v>
      </c>
      <c r="G28" s="49">
        <f>'Cost Pool Data'!$K$27</f>
        <v>1.3606061934437479</v>
      </c>
      <c r="H28" s="48">
        <f t="shared" si="0"/>
        <v>8.0410043020350463E-4</v>
      </c>
      <c r="I28" s="75">
        <f t="shared" si="1"/>
        <v>2.1424060069282875E-5</v>
      </c>
      <c r="J28" s="76">
        <f>SUM(I17:I28)</f>
        <v>1.4033462510412125E-3</v>
      </c>
    </row>
    <row r="29" spans="1:10" x14ac:dyDescent="0.25">
      <c r="A29" s="6" t="s">
        <v>242</v>
      </c>
      <c r="B29" t="s">
        <v>211</v>
      </c>
      <c r="C29" s="4">
        <f>'Mailer Arrival Profile'!$D$49*'Mailer Arrival Profile'!$C$24+C25</f>
        <v>2.4763879290486068E-2</v>
      </c>
      <c r="D29" s="4">
        <f>'Conversion Factors'!$L$20</f>
        <v>1048.0309783429961</v>
      </c>
      <c r="E29" s="4">
        <f>'Productivity Data'!$I$38</f>
        <v>46.475052307166727</v>
      </c>
      <c r="F29" s="2">
        <f>'Wage Data'!$C$11</f>
        <v>49.154294657004115</v>
      </c>
      <c r="G29" s="4">
        <f>'Cost Pool Data'!$K$43</f>
        <v>1.386023903258889</v>
      </c>
      <c r="H29" s="2">
        <f t="shared" si="0"/>
        <v>1.3987438224320906E-3</v>
      </c>
      <c r="I29" s="2">
        <f t="shared" si="1"/>
        <v>3.4638323177021368E-5</v>
      </c>
    </row>
    <row r="30" spans="1:10" x14ac:dyDescent="0.25">
      <c r="A30" s="6" t="s">
        <v>131</v>
      </c>
      <c r="B30" t="s">
        <v>212</v>
      </c>
      <c r="C30" s="4">
        <f>'Mailer Arrival Profile'!$D$49*'Mailer Arrival Profile'!$D$24+C26</f>
        <v>0.81674729325040329</v>
      </c>
      <c r="D30" s="4">
        <f>'Conversion Factors'!$L$21</f>
        <v>1676.2813880312062</v>
      </c>
      <c r="E30" s="4">
        <f>'Productivity Data'!$I$38</f>
        <v>46.475052307166727</v>
      </c>
      <c r="F30" s="2">
        <f>'Wage Data'!$C$11</f>
        <v>49.154294657004115</v>
      </c>
      <c r="G30" s="4">
        <f>'Cost Pool Data'!$K$43</f>
        <v>1.386023903258889</v>
      </c>
      <c r="H30" s="2">
        <f t="shared" si="0"/>
        <v>8.7451120506471653E-4</v>
      </c>
      <c r="I30" s="2">
        <f t="shared" si="1"/>
        <v>7.1425465965375555E-4</v>
      </c>
    </row>
    <row r="31" spans="1:10" x14ac:dyDescent="0.25">
      <c r="B31" t="s">
        <v>213</v>
      </c>
      <c r="C31" s="4">
        <f>'Mailer Arrival Profile'!$D$49*'Mailer Arrival Profile'!$E$24+C27</f>
        <v>0.11011287721723106</v>
      </c>
      <c r="D31" s="4">
        <f>'Conversion Factors'!$L$22</f>
        <v>1079.6056545024896</v>
      </c>
      <c r="E31" s="4">
        <f>'Productivity Data'!$I$38</f>
        <v>46.475052307166727</v>
      </c>
      <c r="F31" s="2">
        <f>'Wage Data'!$C$11</f>
        <v>49.154294657004115</v>
      </c>
      <c r="G31" s="4">
        <f>'Cost Pool Data'!$K$43</f>
        <v>1.386023903258889</v>
      </c>
      <c r="H31" s="2">
        <f t="shared" si="0"/>
        <v>1.3578354749820786E-3</v>
      </c>
      <c r="I31" s="2">
        <f t="shared" si="1"/>
        <v>1.4951517093790223E-4</v>
      </c>
    </row>
    <row r="32" spans="1:10" x14ac:dyDescent="0.25">
      <c r="B32" t="s">
        <v>214</v>
      </c>
      <c r="C32" s="4">
        <f>'Mailer Arrival Profile'!$D$49*'Mailer Arrival Profile'!$F$24+C28</f>
        <v>4.8375950241879753E-2</v>
      </c>
      <c r="D32" s="4">
        <f>'Conversion Factors'!$L$23</f>
        <v>913.27319010541089</v>
      </c>
      <c r="E32" s="4">
        <f>'Productivity Data'!$I$37</f>
        <v>55.996737364805647</v>
      </c>
      <c r="F32" s="2">
        <f>'Wage Data'!$C$11</f>
        <v>49.154294657004115</v>
      </c>
      <c r="G32" s="4">
        <f>'Cost Pool Data'!$K$43</f>
        <v>1.386023903258889</v>
      </c>
      <c r="H32" s="2">
        <f t="shared" si="0"/>
        <v>1.3321979353355536E-3</v>
      </c>
      <c r="I32" s="2">
        <f t="shared" si="1"/>
        <v>6.4446341032127681E-5</v>
      </c>
    </row>
    <row r="33" spans="2:9" x14ac:dyDescent="0.25">
      <c r="B33" t="s">
        <v>231</v>
      </c>
      <c r="C33" s="4">
        <f>C29</f>
        <v>2.4763879290486068E-2</v>
      </c>
      <c r="D33" s="4">
        <f>'Conversion Factors'!$L$20</f>
        <v>1048.0309783429961</v>
      </c>
      <c r="E33" s="4">
        <f>'Productivity Data'!$I$41</f>
        <v>16.483976831402664</v>
      </c>
      <c r="F33" s="2">
        <f>'Wage Data'!$C$11</f>
        <v>49.154294657004115</v>
      </c>
      <c r="G33" s="4">
        <f>'Cost Pool Data'!$K$42</f>
        <v>1.51761435929636</v>
      </c>
      <c r="H33" s="2">
        <f t="shared" si="0"/>
        <v>4.3180411843887273E-3</v>
      </c>
      <c r="I33" s="2">
        <f t="shared" si="1"/>
        <v>1.0693145066154993E-4</v>
      </c>
    </row>
    <row r="34" spans="2:9" x14ac:dyDescent="0.25">
      <c r="B34" t="s">
        <v>232</v>
      </c>
      <c r="C34" s="4">
        <f>C30</f>
        <v>0.81674729325040329</v>
      </c>
      <c r="D34" s="4">
        <f>'Conversion Factors'!$L$21</f>
        <v>1676.2813880312062</v>
      </c>
      <c r="E34" s="4">
        <f>'Productivity Data'!$I$41</f>
        <v>16.483976831402664</v>
      </c>
      <c r="F34" s="2">
        <f>'Wage Data'!$C$11</f>
        <v>49.154294657004115</v>
      </c>
      <c r="G34" s="4">
        <f>'Cost Pool Data'!$K$42</f>
        <v>1.51761435929636</v>
      </c>
      <c r="H34" s="2">
        <f t="shared" si="0"/>
        <v>2.6996904930832654E-3</v>
      </c>
      <c r="I34" s="2">
        <f t="shared" si="1"/>
        <v>2.2049649028396037E-3</v>
      </c>
    </row>
    <row r="35" spans="2:9" x14ac:dyDescent="0.25">
      <c r="B35" t="s">
        <v>233</v>
      </c>
      <c r="C35" s="4">
        <f>C31</f>
        <v>0.11011287721723106</v>
      </c>
      <c r="D35" s="4">
        <f>'Conversion Factors'!$L$22</f>
        <v>1079.6056545024896</v>
      </c>
      <c r="E35" s="4">
        <f>'Productivity Data'!$I$41</f>
        <v>16.483976831402664</v>
      </c>
      <c r="F35" s="2">
        <f>'Wage Data'!$C$11</f>
        <v>49.154294657004115</v>
      </c>
      <c r="G35" s="4">
        <f>'Cost Pool Data'!$K$42</f>
        <v>1.51761435929636</v>
      </c>
      <c r="H35" s="2">
        <f t="shared" si="0"/>
        <v>4.1917536353454059E-3</v>
      </c>
      <c r="I35" s="2">
        <f t="shared" si="1"/>
        <v>4.6156605337367061E-4</v>
      </c>
    </row>
    <row r="36" spans="2:9" x14ac:dyDescent="0.25">
      <c r="B36" t="s">
        <v>234</v>
      </c>
      <c r="C36" s="4">
        <f>C32</f>
        <v>4.8375950241879753E-2</v>
      </c>
      <c r="D36" s="4">
        <f>'Conversion Factors'!$L$23</f>
        <v>913.27319010541089</v>
      </c>
      <c r="E36" s="4">
        <f>'Productivity Data'!$I$40</f>
        <v>23.065925296264197</v>
      </c>
      <c r="F36" s="2">
        <f>'Wage Data'!$C$11</f>
        <v>49.154294657004115</v>
      </c>
      <c r="G36" s="4">
        <f>'Cost Pool Data'!$K$42</f>
        <v>1.51761435929636</v>
      </c>
      <c r="H36" s="2">
        <f t="shared" si="0"/>
        <v>3.5412069323251835E-3</v>
      </c>
      <c r="I36" s="2">
        <f t="shared" si="1"/>
        <v>1.7130925035436272E-4</v>
      </c>
    </row>
    <row r="37" spans="2:9" x14ac:dyDescent="0.25">
      <c r="B37" t="s">
        <v>143</v>
      </c>
      <c r="C37" s="4">
        <f>(C35+C36)*(1+'Other Inputs'!$B$9)</f>
        <v>0.16520661960532443</v>
      </c>
      <c r="D37" s="4">
        <f>'Mailer Arrival Profile'!$I$24</f>
        <v>45</v>
      </c>
      <c r="E37" s="4">
        <f>'Productivity Data'!$I$19</f>
        <v>3068.1109131264348</v>
      </c>
      <c r="F37" s="2">
        <f>'Wage Data'!$C$11</f>
        <v>49.154294657004115</v>
      </c>
      <c r="G37" s="4">
        <f>'Cost Pool Data'!$K$46</f>
        <v>1.6196174573049362</v>
      </c>
      <c r="H37" s="2">
        <f t="shared" si="0"/>
        <v>5.7662085876426946E-4</v>
      </c>
      <c r="I37" s="2">
        <f t="shared" si="1"/>
        <v>9.5261582870364165E-5</v>
      </c>
    </row>
    <row r="38" spans="2:9" x14ac:dyDescent="0.25">
      <c r="B38" s="9" t="s">
        <v>355</v>
      </c>
      <c r="C38" s="4">
        <f>(C35+C36)</f>
        <v>0.1584888274591108</v>
      </c>
      <c r="D38" s="4">
        <f>'Mailer Arrival Profile'!$I$24</f>
        <v>45</v>
      </c>
      <c r="E38" s="4">
        <f>'Productivity Data'!$I$43</f>
        <v>146.75954594651517</v>
      </c>
      <c r="F38" s="2">
        <f>'Wage Data'!$C$11</f>
        <v>49.154294657004115</v>
      </c>
      <c r="G38" s="4">
        <f>'Cost Pool Data'!$K$42</f>
        <v>1.51761435929636</v>
      </c>
      <c r="H38" s="2">
        <f t="shared" si="0"/>
        <v>1.1295462612586096E-2</v>
      </c>
      <c r="I38" s="2">
        <f t="shared" si="1"/>
        <v>1.7902046250769946E-3</v>
      </c>
    </row>
    <row r="39" spans="2:9" x14ac:dyDescent="0.25">
      <c r="B39" t="s">
        <v>144</v>
      </c>
      <c r="C39" s="4">
        <f>(C33+C34+C38)*(1+'Other Inputs'!$B$7)</f>
        <v>1.1313808888921455</v>
      </c>
      <c r="D39" s="4">
        <v>1</v>
      </c>
      <c r="E39" s="4">
        <f>'Productivity Data'!$I$17</f>
        <v>409.68278032374019</v>
      </c>
      <c r="F39" s="2">
        <f>'Wage Data'!$C$11</f>
        <v>49.154294657004115</v>
      </c>
      <c r="G39" s="4">
        <f>'Cost Pool Data'!$L$43</f>
        <v>1.9204979181524358</v>
      </c>
      <c r="H39" s="2">
        <f t="shared" si="0"/>
        <v>0.23042394040196248</v>
      </c>
      <c r="I39" s="2">
        <f t="shared" si="1"/>
        <v>0.26069724251400306</v>
      </c>
    </row>
    <row r="40" spans="2:9" x14ac:dyDescent="0.25">
      <c r="B40" s="68" t="s">
        <v>353</v>
      </c>
      <c r="C40" s="4">
        <f>(C33+C34+C38)*'Other Inputs'!$B$7</f>
        <v>0.13138088889214541</v>
      </c>
      <c r="D40" s="4">
        <v>1</v>
      </c>
      <c r="E40" s="4">
        <f>'Productivity Data'!$I$47</f>
        <v>221.38133929687064</v>
      </c>
      <c r="F40" s="2">
        <f>'Wage Data'!$C$11</f>
        <v>49.154294657004115</v>
      </c>
      <c r="G40" s="4">
        <f>'Cost Pool Data'!$K$42</f>
        <v>1.51761435929636</v>
      </c>
      <c r="H40" s="2">
        <f t="shared" si="0"/>
        <v>0.33696274324422376</v>
      </c>
      <c r="I40" s="2">
        <f t="shared" si="1"/>
        <v>4.4270464730961884E-2</v>
      </c>
    </row>
    <row r="41" spans="2:9" x14ac:dyDescent="0.25">
      <c r="B41" s="9" t="s">
        <v>354</v>
      </c>
      <c r="C41" s="4">
        <f>C40</f>
        <v>0.13138088889214541</v>
      </c>
      <c r="D41" s="4">
        <f>'Conversion Factors'!$L$34</f>
        <v>735.01168482138121</v>
      </c>
      <c r="E41" s="4">
        <f>'Productivity Data'!$I$40</f>
        <v>23.065925296264197</v>
      </c>
      <c r="F41" s="2">
        <f>'Wage Data'!$C$11</f>
        <v>49.154294657004115</v>
      </c>
      <c r="G41" s="4">
        <f>'Cost Pool Data'!$K$42</f>
        <v>1.51761435929636</v>
      </c>
      <c r="H41" s="2">
        <f t="shared" si="0"/>
        <v>4.4000516164500823E-3</v>
      </c>
      <c r="I41" s="2">
        <f t="shared" si="1"/>
        <v>5.7808269254053311E-4</v>
      </c>
    </row>
    <row r="42" spans="2:9" x14ac:dyDescent="0.25">
      <c r="B42" t="s">
        <v>145</v>
      </c>
      <c r="C42" s="4">
        <f>((C33+C34+C38)*'Other Inputs'!$B$36)*(1+'Other Inputs'!$B$8)</f>
        <v>0.45887657841927459</v>
      </c>
      <c r="D42" s="4">
        <v>1</v>
      </c>
      <c r="E42" s="4">
        <f>'Productivity Data'!$I$18</f>
        <v>331.36480334855139</v>
      </c>
      <c r="F42" s="2">
        <f>'Wage Data'!$C$11</f>
        <v>49.154294657004115</v>
      </c>
      <c r="G42" s="4">
        <f>'Cost Pool Data'!$L$45</f>
        <v>2.0700178145522989</v>
      </c>
      <c r="H42" s="2">
        <f t="shared" si="0"/>
        <v>0.30706419201294521</v>
      </c>
      <c r="I42" s="2">
        <f t="shared" si="1"/>
        <v>0.14090456578597946</v>
      </c>
    </row>
    <row r="43" spans="2:9" x14ac:dyDescent="0.25">
      <c r="B43" s="68" t="s">
        <v>353</v>
      </c>
      <c r="C43" s="4">
        <f>((C33+C34+C38)*'Other Inputs'!$B$36)*('Other Inputs'!$B$8)</f>
        <v>4.9270373272461948E-2</v>
      </c>
      <c r="D43" s="4">
        <v>1</v>
      </c>
      <c r="E43" s="4">
        <f>'Productivity Data'!$I$47</f>
        <v>221.38133929687064</v>
      </c>
      <c r="F43" s="2">
        <f>'Wage Data'!$C$11</f>
        <v>49.154294657004115</v>
      </c>
      <c r="G43" s="4">
        <f>'Cost Pool Data'!$K$42</f>
        <v>1.51761435929636</v>
      </c>
      <c r="H43" s="2">
        <f t="shared" ref="H43:H44" si="3">(F43*G43)/(D43*E43)</f>
        <v>0.33696274324422376</v>
      </c>
      <c r="I43" s="2">
        <f t="shared" ref="I43:I44" si="4">C43*H43</f>
        <v>1.6602280138555661E-2</v>
      </c>
    </row>
    <row r="44" spans="2:9" x14ac:dyDescent="0.25">
      <c r="B44" s="9" t="s">
        <v>354</v>
      </c>
      <c r="C44" s="4">
        <f>C43</f>
        <v>4.9270373272461948E-2</v>
      </c>
      <c r="D44" s="4">
        <f>'Conversion Factors'!$L$34</f>
        <v>735.01168482138121</v>
      </c>
      <c r="E44" s="4">
        <f>'Productivity Data'!$I$40</f>
        <v>23.065925296264197</v>
      </c>
      <c r="F44" s="2">
        <f>'Wage Data'!$C$11</f>
        <v>49.154294657004115</v>
      </c>
      <c r="G44" s="4">
        <f>'Cost Pool Data'!$K$42</f>
        <v>1.51761435929636</v>
      </c>
      <c r="H44" s="2">
        <f t="shared" si="3"/>
        <v>4.4000516164500823E-3</v>
      </c>
      <c r="I44" s="2">
        <f t="shared" si="4"/>
        <v>2.1679218556059512E-4</v>
      </c>
    </row>
    <row r="45" spans="2:9" x14ac:dyDescent="0.25">
      <c r="B45" t="s">
        <v>235</v>
      </c>
      <c r="C45" s="4">
        <f>(1-C49)*'Postal Arrival-Dispatch Profile'!$B$21</f>
        <v>5.3384777354903955E-2</v>
      </c>
      <c r="D45" s="4">
        <f>'Conversion Factors'!$L$43</f>
        <v>1026.6284310500428</v>
      </c>
      <c r="E45" s="4">
        <f>'Productivity Data'!$I$45</f>
        <v>55.582256364514194</v>
      </c>
      <c r="F45" s="2">
        <f>'Wage Data'!$C$11</f>
        <v>49.154294657004115</v>
      </c>
      <c r="G45" s="4">
        <f>'Cost Pool Data'!$K$43</f>
        <v>1.386023903258889</v>
      </c>
      <c r="H45" s="2">
        <f t="shared" si="0"/>
        <v>1.1939406213368406E-3</v>
      </c>
      <c r="I45" s="2">
        <f t="shared" si="1"/>
        <v>6.3738254245042925E-5</v>
      </c>
    </row>
    <row r="46" spans="2:9" x14ac:dyDescent="0.25">
      <c r="B46" t="s">
        <v>238</v>
      </c>
      <c r="C46" s="4">
        <f>(1-C49)*'Postal Arrival-Dispatch Profile'!$B$22</f>
        <v>3.605507838784365E-2</v>
      </c>
      <c r="D46" s="4">
        <f>'Conversion Factors'!$L$44</f>
        <v>696.62449445262769</v>
      </c>
      <c r="E46" s="4">
        <f>'Productivity Data'!$I$44</f>
        <v>70.608822220868689</v>
      </c>
      <c r="F46" s="2">
        <f>'Wage Data'!$C$11</f>
        <v>49.154294657004115</v>
      </c>
      <c r="G46" s="4">
        <f>'Cost Pool Data'!$K$43</f>
        <v>1.386023903258889</v>
      </c>
      <c r="H46" s="2">
        <f t="shared" si="0"/>
        <v>1.3850787949250677E-3</v>
      </c>
      <c r="I46" s="2">
        <f t="shared" si="1"/>
        <v>4.9939124524363339E-5</v>
      </c>
    </row>
    <row r="47" spans="2:9" x14ac:dyDescent="0.25">
      <c r="B47" t="s">
        <v>236</v>
      </c>
      <c r="C47" s="4">
        <f>(1-C49)*'Postal Arrival-Dispatch Profile'!$B$23</f>
        <v>0.2699744454805143</v>
      </c>
      <c r="D47" s="4">
        <f>'Conversion Factors'!$L$45</f>
        <v>1310.6924574440295</v>
      </c>
      <c r="E47" s="4">
        <f>'Productivity Data'!$I$44</f>
        <v>70.608822220868689</v>
      </c>
      <c r="F47" s="2">
        <f>'Wage Data'!$C$11</f>
        <v>49.154294657004115</v>
      </c>
      <c r="G47" s="4">
        <f>'Cost Pool Data'!$K$43</f>
        <v>1.386023903258889</v>
      </c>
      <c r="H47" s="2">
        <f t="shared" si="0"/>
        <v>7.3616034777016599E-4</v>
      </c>
      <c r="I47" s="2">
        <f t="shared" si="1"/>
        <v>1.9874448167399314E-4</v>
      </c>
    </row>
    <row r="48" spans="2:9" x14ac:dyDescent="0.25">
      <c r="B48" t="s">
        <v>237</v>
      </c>
      <c r="C48" s="4">
        <f>(1-C49)*'Postal Arrival-Dispatch Profile'!$B$24</f>
        <v>8.9311461448626783E-2</v>
      </c>
      <c r="D48" s="4">
        <f>'Conversion Factors'!$L$46</f>
        <v>673.62492731429006</v>
      </c>
      <c r="E48" s="4">
        <f>'Productivity Data'!$I$44</f>
        <v>70.608822220868689</v>
      </c>
      <c r="F48" s="2">
        <f>'Wage Data'!$C$11</f>
        <v>49.154294657004115</v>
      </c>
      <c r="G48" s="4">
        <f>'Cost Pool Data'!$K$43</f>
        <v>1.386023903258889</v>
      </c>
      <c r="H48" s="2">
        <f t="shared" si="0"/>
        <v>1.4323695222186316E-3</v>
      </c>
      <c r="I48" s="2">
        <f t="shared" si="1"/>
        <v>1.2792701536381727E-4</v>
      </c>
    </row>
    <row r="49" spans="1:10" s="12" customFormat="1" x14ac:dyDescent="0.25">
      <c r="A49" s="72"/>
      <c r="B49" s="74" t="s">
        <v>125</v>
      </c>
      <c r="C49" s="77">
        <f>(C33+C34+C38)*(1-'Other Inputs'!$B$36-'Other Inputs'!$B$38)</f>
        <v>0.55127423732811132</v>
      </c>
      <c r="D49" s="77">
        <f>'Conversion Factors'!$L$47</f>
        <v>1903.2501841957899</v>
      </c>
      <c r="E49" s="77">
        <f>'Productivity Data'!$I$46</f>
        <v>20.811195458396703</v>
      </c>
      <c r="F49" s="78">
        <f>'Wage Data'!$C$11</f>
        <v>49.154294657004115</v>
      </c>
      <c r="G49" s="77">
        <f>'Cost Pool Data'!$K$43</f>
        <v>1.386023903258889</v>
      </c>
      <c r="H49" s="78">
        <f t="shared" si="0"/>
        <v>1.7200429046995193E-3</v>
      </c>
      <c r="I49" s="78">
        <f t="shared" si="1"/>
        <v>9.4821534045985679E-4</v>
      </c>
      <c r="J49" s="76">
        <f>SUM(I29:I49)</f>
        <v>0.47045108462384561</v>
      </c>
    </row>
    <row r="50" spans="1:10" x14ac:dyDescent="0.25">
      <c r="A50" s="6" t="s">
        <v>243</v>
      </c>
      <c r="B50" t="s">
        <v>126</v>
      </c>
      <c r="C50" s="4">
        <f>C49</f>
        <v>0.55127423732811132</v>
      </c>
      <c r="D50" s="4">
        <f>'Conversion Factors'!$L$47</f>
        <v>1903.2501841957899</v>
      </c>
      <c r="E50" s="4">
        <f>'Productivity Data'!$I$39</f>
        <v>53.146449685685347</v>
      </c>
      <c r="F50" s="2">
        <f>'Wage Data'!$C$11</f>
        <v>49.154294657004115</v>
      </c>
      <c r="G50" s="4">
        <f>'Cost Pool Data'!$K$43</f>
        <v>1.386023903258889</v>
      </c>
      <c r="H50" s="2">
        <f t="shared" si="0"/>
        <v>6.7353791830372396E-4</v>
      </c>
      <c r="I50" s="2">
        <f t="shared" si="1"/>
        <v>3.7130410222444916E-4</v>
      </c>
    </row>
    <row r="51" spans="1:10" x14ac:dyDescent="0.25">
      <c r="A51" s="6" t="s">
        <v>131</v>
      </c>
      <c r="B51" t="s">
        <v>140</v>
      </c>
      <c r="C51" s="4">
        <f>C50</f>
        <v>0.55127423732811132</v>
      </c>
      <c r="D51" s="4">
        <f>'Conversion Factors'!$L$47</f>
        <v>1903.2501841957899</v>
      </c>
      <c r="E51" s="4">
        <f>'Productivity Data'!$I$42</f>
        <v>16.646694338879648</v>
      </c>
      <c r="F51" s="2">
        <f>'Wage Data'!$C$11</f>
        <v>49.154294657004115</v>
      </c>
      <c r="G51" s="4">
        <f>'Cost Pool Data'!$K$42</f>
        <v>1.51761435929636</v>
      </c>
      <c r="H51" s="2">
        <f t="shared" si="0"/>
        <v>2.3545017084162928E-3</v>
      </c>
      <c r="I51" s="2">
        <f t="shared" si="1"/>
        <v>1.297976133594927E-3</v>
      </c>
    </row>
    <row r="52" spans="1:10" x14ac:dyDescent="0.25">
      <c r="B52" t="s">
        <v>145</v>
      </c>
      <c r="C52" s="4">
        <f>C51*(1+'Other Inputs'!$B$8)</f>
        <v>0.6175854579770087</v>
      </c>
      <c r="D52" s="4">
        <v>1</v>
      </c>
      <c r="E52" s="4">
        <f>'Productivity Data'!$I$18</f>
        <v>331.36480334855139</v>
      </c>
      <c r="F52" s="2">
        <f>'Wage Data'!$C$11</f>
        <v>49.154294657004115</v>
      </c>
      <c r="G52" s="4">
        <f>'Cost Pool Data'!$L$45</f>
        <v>2.0700178145522989</v>
      </c>
      <c r="H52" s="2">
        <f t="shared" si="0"/>
        <v>0.30706419201294521</v>
      </c>
      <c r="I52" s="2">
        <f t="shared" si="1"/>
        <v>0.1896383796526549</v>
      </c>
    </row>
    <row r="53" spans="1:10" x14ac:dyDescent="0.25">
      <c r="B53" s="68" t="s">
        <v>353</v>
      </c>
      <c r="C53" s="4">
        <f>C51*('Other Inputs'!$B$8)</f>
        <v>6.6311220648897398E-2</v>
      </c>
      <c r="D53" s="4">
        <v>1</v>
      </c>
      <c r="E53" s="4">
        <f>'Productivity Data'!$I$47</f>
        <v>221.38133929687064</v>
      </c>
      <c r="F53" s="2">
        <f>'Wage Data'!$C$11</f>
        <v>49.154294657004115</v>
      </c>
      <c r="G53" s="4">
        <f>'Cost Pool Data'!$K$42</f>
        <v>1.51761435929636</v>
      </c>
      <c r="H53" s="2">
        <f t="shared" si="0"/>
        <v>0.33696274324422376</v>
      </c>
      <c r="I53" s="2">
        <f t="shared" si="1"/>
        <v>2.2344410817725483E-2</v>
      </c>
    </row>
    <row r="54" spans="1:10" x14ac:dyDescent="0.25">
      <c r="B54" s="9" t="s">
        <v>354</v>
      </c>
      <c r="C54" s="4">
        <f>C53</f>
        <v>6.6311220648897398E-2</v>
      </c>
      <c r="D54" s="4">
        <f>'Conversion Factors'!$L$34</f>
        <v>735.01168482138121</v>
      </c>
      <c r="E54" s="4">
        <f>'Productivity Data'!$I$40</f>
        <v>23.065925296264197</v>
      </c>
      <c r="F54" s="2">
        <f>'Wage Data'!$C$11</f>
        <v>49.154294657004115</v>
      </c>
      <c r="G54" s="4">
        <f>'Cost Pool Data'!$K$42</f>
        <v>1.51761435929636</v>
      </c>
      <c r="H54" s="2">
        <f t="shared" si="0"/>
        <v>4.4000516164500823E-3</v>
      </c>
      <c r="I54" s="2">
        <f t="shared" si="1"/>
        <v>2.9177279360495908E-4</v>
      </c>
    </row>
    <row r="55" spans="1:10" x14ac:dyDescent="0.25">
      <c r="B55" t="s">
        <v>235</v>
      </c>
      <c r="C55" s="4">
        <f>C51*'Postal Arrival-Dispatch Profile'!$B$21</f>
        <v>6.5584940445629972E-2</v>
      </c>
      <c r="D55" s="4">
        <f>'Conversion Factors'!$L$43</f>
        <v>1026.6284310500428</v>
      </c>
      <c r="E55" s="4">
        <f>'Productivity Data'!$I$45</f>
        <v>55.582256364514194</v>
      </c>
      <c r="F55" s="2">
        <f>'Wage Data'!$C$11</f>
        <v>49.154294657004115</v>
      </c>
      <c r="G55" s="4">
        <f>'Cost Pool Data'!$K$43</f>
        <v>1.386023903258889</v>
      </c>
      <c r="H55" s="2">
        <f t="shared" si="0"/>
        <v>1.1939406213368406E-3</v>
      </c>
      <c r="I55" s="2">
        <f t="shared" si="1"/>
        <v>7.8304524545995142E-5</v>
      </c>
    </row>
    <row r="56" spans="1:10" x14ac:dyDescent="0.25">
      <c r="B56" t="s">
        <v>238</v>
      </c>
      <c r="C56" s="4">
        <f>C51*'Postal Arrival-Dispatch Profile'!$B$22</f>
        <v>4.4294839952386283E-2</v>
      </c>
      <c r="D56" s="4">
        <f>'Conversion Factors'!$L$44</f>
        <v>696.62449445262769</v>
      </c>
      <c r="E56" s="4">
        <f>'Productivity Data'!$I$44</f>
        <v>70.608822220868689</v>
      </c>
      <c r="F56" s="2">
        <f>'Wage Data'!$C$11</f>
        <v>49.154294657004115</v>
      </c>
      <c r="G56" s="4">
        <f>'Cost Pool Data'!$K$43</f>
        <v>1.386023903258889</v>
      </c>
      <c r="H56" s="2">
        <f t="shared" si="0"/>
        <v>1.3850787949250677E-3</v>
      </c>
      <c r="I56" s="2">
        <f t="shared" si="1"/>
        <v>6.1351843542649932E-5</v>
      </c>
    </row>
    <row r="57" spans="1:10" x14ac:dyDescent="0.25">
      <c r="B57" t="s">
        <v>236</v>
      </c>
      <c r="C57" s="4">
        <f>C51*'Postal Arrival-Dispatch Profile'!$B$23</f>
        <v>0.33167241311075724</v>
      </c>
      <c r="D57" s="4">
        <f>'Conversion Factors'!$L$45</f>
        <v>1310.6924574440295</v>
      </c>
      <c r="E57" s="4">
        <f>'Productivity Data'!$I$44</f>
        <v>70.608822220868689</v>
      </c>
      <c r="F57" s="2">
        <f>'Wage Data'!$C$11</f>
        <v>49.154294657004115</v>
      </c>
      <c r="G57" s="4">
        <f>'Cost Pool Data'!$K$43</f>
        <v>1.386023903258889</v>
      </c>
      <c r="H57" s="2">
        <f t="shared" si="0"/>
        <v>7.3616034777016599E-4</v>
      </c>
      <c r="I57" s="2">
        <f t="shared" si="1"/>
        <v>2.4416407898138518E-4</v>
      </c>
    </row>
    <row r="58" spans="1:10" x14ac:dyDescent="0.25">
      <c r="A58" s="72"/>
      <c r="B58" s="79" t="s">
        <v>237</v>
      </c>
      <c r="C58" s="49">
        <f>C51*'Postal Arrival-Dispatch Profile'!$B$24</f>
        <v>0.10972204381933781</v>
      </c>
      <c r="D58" s="49">
        <f>'Conversion Factors'!$L$46</f>
        <v>673.62492731429006</v>
      </c>
      <c r="E58" s="49">
        <f>'Productivity Data'!$I$44</f>
        <v>70.608822220868689</v>
      </c>
      <c r="F58" s="48">
        <f>'Wage Data'!$C$11</f>
        <v>49.154294657004115</v>
      </c>
      <c r="G58" s="49">
        <f>'Cost Pool Data'!$K$43</f>
        <v>1.386023903258889</v>
      </c>
      <c r="H58" s="48">
        <f t="shared" si="0"/>
        <v>1.4323695222186316E-3</v>
      </c>
      <c r="I58" s="75">
        <f t="shared" si="1"/>
        <v>1.5716251148235666E-4</v>
      </c>
      <c r="J58" s="76">
        <f>SUM(I50:I58)</f>
        <v>0.21448482645835709</v>
      </c>
    </row>
    <row r="59" spans="1:10" x14ac:dyDescent="0.25">
      <c r="A59" s="6" t="s">
        <v>243</v>
      </c>
      <c r="B59" t="s">
        <v>215</v>
      </c>
      <c r="C59" s="4">
        <f>(C45+C55)*'Other Inputs'!$B$20</f>
        <v>1.1342186015537934E-2</v>
      </c>
      <c r="D59" s="4">
        <f>'Conversion Factors'!$L$43</f>
        <v>1026.6284310500428</v>
      </c>
      <c r="E59" s="4">
        <f>'Productivity Data'!$I$34</f>
        <v>58.924683317790674</v>
      </c>
      <c r="F59" s="2">
        <f>'Wage Data'!$C$11</f>
        <v>49.154294657004115</v>
      </c>
      <c r="G59" s="4">
        <f>'Cost Pool Data'!$K$27</f>
        <v>1.3606061934437479</v>
      </c>
      <c r="H59" s="2">
        <f t="shared" si="0"/>
        <v>1.1055626740400066E-3</v>
      </c>
      <c r="I59" s="2">
        <f t="shared" si="1"/>
        <v>1.2539497500797286E-5</v>
      </c>
    </row>
    <row r="60" spans="1:10" x14ac:dyDescent="0.25">
      <c r="A60" s="6" t="s">
        <v>244</v>
      </c>
      <c r="B60" t="s">
        <v>216</v>
      </c>
      <c r="C60" s="4">
        <f>(C46+C56)*'Other Inputs'!$B$20</f>
        <v>7.6602999233480662E-3</v>
      </c>
      <c r="D60" s="4">
        <f>'Conversion Factors'!$L$44</f>
        <v>696.62449445262769</v>
      </c>
      <c r="E60" s="4">
        <f>'Productivity Data'!$I$33</f>
        <v>74.637919630667881</v>
      </c>
      <c r="F60" s="2">
        <f>'Wage Data'!$C$11</f>
        <v>49.154294657004115</v>
      </c>
      <c r="G60" s="4">
        <f>'Cost Pool Data'!$K$27</f>
        <v>1.3606061934437479</v>
      </c>
      <c r="H60" s="2">
        <f t="shared" si="0"/>
        <v>1.2862803800322024E-3</v>
      </c>
      <c r="I60" s="2">
        <f t="shared" si="1"/>
        <v>9.8532934965648019E-6</v>
      </c>
    </row>
    <row r="61" spans="1:10" x14ac:dyDescent="0.25">
      <c r="B61" t="s">
        <v>217</v>
      </c>
      <c r="C61" s="4">
        <f>(C47+C57)*'Other Inputs'!$B$20</f>
        <v>5.735905499286327E-2</v>
      </c>
      <c r="D61" s="4">
        <f>'Conversion Factors'!$L$45</f>
        <v>1310.6924574440295</v>
      </c>
      <c r="E61" s="4">
        <f>'Productivity Data'!$I$33</f>
        <v>74.637919630667881</v>
      </c>
      <c r="F61" s="2">
        <f>'Wage Data'!$C$11</f>
        <v>49.154294657004115</v>
      </c>
      <c r="G61" s="4">
        <f>'Cost Pool Data'!$K$27</f>
        <v>1.3606061934437479</v>
      </c>
      <c r="H61" s="2">
        <f t="shared" si="0"/>
        <v>6.8364963449294217E-4</v>
      </c>
      <c r="I61" s="2">
        <f t="shared" si="1"/>
        <v>3.9213496980731544E-5</v>
      </c>
    </row>
    <row r="62" spans="1:10" x14ac:dyDescent="0.25">
      <c r="B62" t="s">
        <v>218</v>
      </c>
      <c r="C62" s="4">
        <f>(C48+C58)*'Other Inputs'!$B$20</f>
        <v>1.897520715194697E-2</v>
      </c>
      <c r="D62" s="4">
        <f>'Conversion Factors'!$L$46</f>
        <v>673.62492731429006</v>
      </c>
      <c r="E62" s="4">
        <f>'Productivity Data'!$I$33</f>
        <v>74.637919630667881</v>
      </c>
      <c r="F62" s="2">
        <f>'Wage Data'!$C$11</f>
        <v>49.154294657004115</v>
      </c>
      <c r="G62" s="4">
        <f>'Cost Pool Data'!$K$27</f>
        <v>1.3606061934437479</v>
      </c>
      <c r="H62" s="2">
        <f t="shared" si="0"/>
        <v>1.3301978343301405E-3</v>
      </c>
      <c r="I62" s="2">
        <f t="shared" si="1"/>
        <v>2.5240779459485653E-5</v>
      </c>
    </row>
    <row r="63" spans="1:10" x14ac:dyDescent="0.25">
      <c r="B63" t="s">
        <v>204</v>
      </c>
      <c r="C63" s="4">
        <f>'Other Inputs'!$B$17*(1+'Other Inputs'!$B$10)</f>
        <v>4.1075213808213225E-2</v>
      </c>
      <c r="D63" s="4">
        <v>1</v>
      </c>
      <c r="E63" s="4">
        <f>'Productivity Data'!$I$10</f>
        <v>245.20305602978507</v>
      </c>
      <c r="F63" s="2">
        <f>'Wage Data'!$C$11</f>
        <v>49.154294657004115</v>
      </c>
      <c r="G63" s="4">
        <f>'Cost Pool Data'!$L$14</f>
        <v>1.8052502472456198</v>
      </c>
      <c r="H63" s="2">
        <f t="shared" si="0"/>
        <v>0.36188701731336453</v>
      </c>
      <c r="I63" s="2">
        <f t="shared" si="1"/>
        <v>1.4864586610563009E-2</v>
      </c>
    </row>
    <row r="64" spans="1:10" x14ac:dyDescent="0.25">
      <c r="B64" s="9" t="s">
        <v>363</v>
      </c>
      <c r="C64" s="4">
        <f>'Other Inputs'!$B$18*(1+'Other Inputs'!$B$11)</f>
        <v>2.6656991902813034E-2</v>
      </c>
      <c r="D64" s="4">
        <v>1</v>
      </c>
      <c r="E64" s="4">
        <f>'Productivity Data'!$I$11</f>
        <v>190.80521220652753</v>
      </c>
      <c r="F64" s="2">
        <f>'Wage Data'!$C$11</f>
        <v>49.154294657004115</v>
      </c>
      <c r="G64" s="4">
        <f>'Cost Pool Data'!$L$11</f>
        <v>1.6056412614911089</v>
      </c>
      <c r="H64" s="2">
        <f t="shared" si="0"/>
        <v>0.41363735700967258</v>
      </c>
      <c r="I64" s="2">
        <f t="shared" si="1"/>
        <v>1.1026327676507826E-2</v>
      </c>
    </row>
    <row r="65" spans="1:10" x14ac:dyDescent="0.25">
      <c r="B65" t="s">
        <v>245</v>
      </c>
      <c r="C65" s="4">
        <f>'Other Inputs'!$B$19</f>
        <v>3.4773485341240841E-2</v>
      </c>
      <c r="D65" s="4">
        <v>1</v>
      </c>
      <c r="E65" s="4">
        <f>'Productivity Data'!$I$15</f>
        <v>47.994690148863093</v>
      </c>
      <c r="F65" s="2">
        <f>'Wage Data'!$C$11</f>
        <v>49.154294657004115</v>
      </c>
      <c r="G65" s="4">
        <f>'Cost Pool Data'!$K$16</f>
        <v>1.3208756008457678</v>
      </c>
      <c r="H65" s="2">
        <f t="shared" si="0"/>
        <v>1.3527894083249588</v>
      </c>
      <c r="I65" s="2">
        <f t="shared" si="1"/>
        <v>4.7041202660173823E-2</v>
      </c>
    </row>
    <row r="66" spans="1:10" x14ac:dyDescent="0.25">
      <c r="A66" s="72"/>
      <c r="B66" s="79" t="s">
        <v>248</v>
      </c>
      <c r="C66" s="49">
        <f>SUM(C59:C62)</f>
        <v>9.5336748083696243E-2</v>
      </c>
      <c r="D66" s="49">
        <f>'Conversion Factors'!$L$48</f>
        <v>400.86107774048043</v>
      </c>
      <c r="E66" s="49">
        <f>'Productivity Data'!$I$35</f>
        <v>82.063608851111439</v>
      </c>
      <c r="F66" s="48">
        <f>'Wage Data'!$C$11</f>
        <v>49.154294657004115</v>
      </c>
      <c r="G66" s="49">
        <f>'Cost Pool Data'!$K$27</f>
        <v>1.3606061934437479</v>
      </c>
      <c r="H66" s="48">
        <f t="shared" si="0"/>
        <v>2.0330563242743258E-3</v>
      </c>
      <c r="I66" s="75">
        <f t="shared" si="1"/>
        <v>1.9382497862730687E-4</v>
      </c>
      <c r="J66" s="76">
        <f>SUM(I59:I66)</f>
        <v>7.3212788993309547E-2</v>
      </c>
    </row>
    <row r="67" spans="1:10" x14ac:dyDescent="0.25">
      <c r="A67" s="6" t="s">
        <v>243</v>
      </c>
      <c r="B67" t="s">
        <v>215</v>
      </c>
      <c r="C67" s="4">
        <f>(C45+C55)*(1-'Other Inputs'!$B$20)</f>
        <v>0.107627531784996</v>
      </c>
      <c r="D67" s="4">
        <f>'Conversion Factors'!$L$43</f>
        <v>1026.6284310500428</v>
      </c>
      <c r="E67" s="4">
        <f>'Productivity Data'!$I$28</f>
        <v>58.156985400220201</v>
      </c>
      <c r="F67" s="2">
        <f>'Wage Data'!$C$11</f>
        <v>49.154294657004115</v>
      </c>
      <c r="G67" s="4">
        <f>'Cost Pool Data'!$K$27</f>
        <v>1.3606061934437479</v>
      </c>
      <c r="H67" s="2">
        <f t="shared" si="0"/>
        <v>1.1201565900891858E-3</v>
      </c>
      <c r="I67" s="2">
        <f t="shared" si="1"/>
        <v>1.2055968900399658E-4</v>
      </c>
    </row>
    <row r="68" spans="1:10" x14ac:dyDescent="0.25">
      <c r="A68" s="6" t="s">
        <v>241</v>
      </c>
      <c r="B68" t="s">
        <v>216</v>
      </c>
      <c r="C68" s="4">
        <f>(C46+C56)*(1-'Other Inputs'!$B$20)</f>
        <v>7.2689618416881874E-2</v>
      </c>
      <c r="D68" s="4">
        <f>'Conversion Factors'!$L$44</f>
        <v>696.62449445262769</v>
      </c>
      <c r="E68" s="4">
        <f>'Productivity Data'!$I$27</f>
        <v>81.873572020007202</v>
      </c>
      <c r="F68" s="2">
        <f>'Wage Data'!$C$11</f>
        <v>49.154294657004115</v>
      </c>
      <c r="G68" s="4">
        <f>'Cost Pool Data'!$K$27</f>
        <v>1.3606061934437479</v>
      </c>
      <c r="H68" s="2">
        <f t="shared" si="0"/>
        <v>1.172604165894801E-3</v>
      </c>
      <c r="I68" s="2">
        <f t="shared" si="1"/>
        <v>8.5236149372939129E-5</v>
      </c>
    </row>
    <row r="69" spans="1:10" x14ac:dyDescent="0.25">
      <c r="B69" t="s">
        <v>217</v>
      </c>
      <c r="C69" s="4">
        <f>(C47+C57)*(1-'Other Inputs'!$B$20)</f>
        <v>0.54428780359840834</v>
      </c>
      <c r="D69" s="4">
        <f>'Conversion Factors'!$L$45</f>
        <v>1310.6924574440295</v>
      </c>
      <c r="E69" s="4">
        <f>'Productivity Data'!$I$27</f>
        <v>81.873572020007202</v>
      </c>
      <c r="F69" s="2">
        <f>'Wage Data'!$C$11</f>
        <v>49.154294657004115</v>
      </c>
      <c r="G69" s="4">
        <f>'Cost Pool Data'!$K$27</f>
        <v>1.3606061934437479</v>
      </c>
      <c r="H69" s="2">
        <f t="shared" si="0"/>
        <v>6.2323146793144156E-4</v>
      </c>
      <c r="I69" s="2">
        <f t="shared" si="1"/>
        <v>3.3921728681381619E-4</v>
      </c>
    </row>
    <row r="70" spans="1:10" x14ac:dyDescent="0.25">
      <c r="B70" t="s">
        <v>218</v>
      </c>
      <c r="C70" s="4">
        <f>(C48+C58)*(1-'Other Inputs'!$B$20)</f>
        <v>0.18005829811601765</v>
      </c>
      <c r="D70" s="4">
        <f>'Conversion Factors'!$L$46</f>
        <v>673.62492731429006</v>
      </c>
      <c r="E70" s="4">
        <f>'Productivity Data'!$I$27</f>
        <v>81.873572020007202</v>
      </c>
      <c r="F70" s="2">
        <f>'Wage Data'!$C$11</f>
        <v>49.154294657004115</v>
      </c>
      <c r="G70" s="4">
        <f>'Cost Pool Data'!$K$27</f>
        <v>1.3606061934437479</v>
      </c>
      <c r="H70" s="2">
        <f t="shared" si="0"/>
        <v>1.2126403746908702E-3</v>
      </c>
      <c r="I70" s="2">
        <f t="shared" si="1"/>
        <v>2.1834596209360804E-4</v>
      </c>
    </row>
    <row r="71" spans="1:10" x14ac:dyDescent="0.25">
      <c r="B71" t="s">
        <v>249</v>
      </c>
      <c r="C71" s="4">
        <f>'Other Inputs'!$B$23</f>
        <v>5.279665233179142E-2</v>
      </c>
      <c r="D71" s="4">
        <f>'Conversion Factors'!$L$48</f>
        <v>400.86107774048043</v>
      </c>
      <c r="E71" s="4">
        <f>'Productivity Data'!$I$27</f>
        <v>81.873572020007202</v>
      </c>
      <c r="F71" s="2">
        <f>'Wage Data'!$C$11</f>
        <v>49.154294657004115</v>
      </c>
      <c r="G71" s="4">
        <f>'Cost Pool Data'!$K$27</f>
        <v>1.3606061934437479</v>
      </c>
      <c r="H71" s="2">
        <f>(F71*G71)/(D71*E71)</f>
        <v>2.0377752533718265E-3</v>
      </c>
      <c r="I71" s="2">
        <f>C71*H71</f>
        <v>1.075877115826005E-4</v>
      </c>
    </row>
    <row r="72" spans="1:10" x14ac:dyDescent="0.25">
      <c r="B72" t="s">
        <v>219</v>
      </c>
      <c r="C72" s="4">
        <f t="shared" ref="C72:C85" si="5">C67</f>
        <v>0.107627531784996</v>
      </c>
      <c r="D72" s="4">
        <f>'Conversion Factors'!$L$43</f>
        <v>1026.6284310500428</v>
      </c>
      <c r="E72" s="4">
        <f>'Productivity Data'!$I$30</f>
        <v>39.899251235537818</v>
      </c>
      <c r="F72" s="2">
        <f>'Wage Data'!$C$11</f>
        <v>49.154294657004115</v>
      </c>
      <c r="G72" s="4">
        <f>'Cost Pool Data'!$K$27</f>
        <v>1.3606061934437479</v>
      </c>
      <c r="H72" s="2">
        <f t="shared" si="0"/>
        <v>1.6327356639152506E-3</v>
      </c>
      <c r="I72" s="2">
        <f t="shared" si="1"/>
        <v>1.7572730956453517E-4</v>
      </c>
    </row>
    <row r="73" spans="1:10" x14ac:dyDescent="0.25">
      <c r="B73" t="s">
        <v>220</v>
      </c>
      <c r="C73" s="4">
        <f t="shared" si="5"/>
        <v>7.2689618416881874E-2</v>
      </c>
      <c r="D73" s="4">
        <f>'Conversion Factors'!$L$44</f>
        <v>696.62449445262769</v>
      </c>
      <c r="E73" s="4">
        <f>'Productivity Data'!$I$29</f>
        <v>50.764395048330648</v>
      </c>
      <c r="F73" s="2">
        <f>'Wage Data'!$C$11</f>
        <v>49.154294657004115</v>
      </c>
      <c r="G73" s="4">
        <f>'Cost Pool Data'!$K$27</f>
        <v>1.3606061934437479</v>
      </c>
      <c r="H73" s="2">
        <f t="shared" si="0"/>
        <v>1.8911934543087898E-3</v>
      </c>
      <c r="I73" s="2">
        <f t="shared" si="1"/>
        <v>1.3747013054621067E-4</v>
      </c>
    </row>
    <row r="74" spans="1:10" x14ac:dyDescent="0.25">
      <c r="B74" t="s">
        <v>221</v>
      </c>
      <c r="C74" s="4">
        <f t="shared" si="5"/>
        <v>0.54428780359840834</v>
      </c>
      <c r="D74" s="4">
        <f>'Conversion Factors'!$L$45</f>
        <v>1310.6924574440295</v>
      </c>
      <c r="E74" s="4">
        <f>'Productivity Data'!$I$29</f>
        <v>50.764395048330648</v>
      </c>
      <c r="F74" s="2">
        <f>'Wage Data'!$C$11</f>
        <v>49.154294657004115</v>
      </c>
      <c r="G74" s="4">
        <f>'Cost Pool Data'!$K$27</f>
        <v>1.3606061934437479</v>
      </c>
      <c r="H74" s="2">
        <f t="shared" si="0"/>
        <v>1.0051569889927734E-3</v>
      </c>
      <c r="I74" s="2">
        <f t="shared" si="1"/>
        <v>5.4709468981046616E-4</v>
      </c>
    </row>
    <row r="75" spans="1:10" x14ac:dyDescent="0.25">
      <c r="B75" t="s">
        <v>222</v>
      </c>
      <c r="C75" s="4">
        <f t="shared" si="5"/>
        <v>0.18005829811601765</v>
      </c>
      <c r="D75" s="4">
        <f>'Conversion Factors'!$L$46</f>
        <v>673.62492731429006</v>
      </c>
      <c r="E75" s="4">
        <f>'Productivity Data'!$I$29</f>
        <v>50.764395048330648</v>
      </c>
      <c r="F75" s="2">
        <f>'Wage Data'!$C$11</f>
        <v>49.154294657004115</v>
      </c>
      <c r="G75" s="4">
        <f>'Cost Pool Data'!$K$27</f>
        <v>1.3606061934437479</v>
      </c>
      <c r="H75" s="2">
        <f t="shared" si="0"/>
        <v>1.9557644478398317E-3</v>
      </c>
      <c r="I75" s="2">
        <f t="shared" si="1"/>
        <v>3.5215161799385307E-4</v>
      </c>
    </row>
    <row r="76" spans="1:10" x14ac:dyDescent="0.25">
      <c r="B76" t="s">
        <v>252</v>
      </c>
      <c r="C76" s="4">
        <f t="shared" si="5"/>
        <v>5.279665233179142E-2</v>
      </c>
      <c r="D76" s="4">
        <f>'Conversion Factors'!$L$48</f>
        <v>400.86107774048043</v>
      </c>
      <c r="E76" s="4">
        <f>'Productivity Data'!$I$29</f>
        <v>50.764395048330648</v>
      </c>
      <c r="F76" s="2">
        <f>'Wage Data'!$C$11</f>
        <v>49.154294657004115</v>
      </c>
      <c r="G76" s="4">
        <f>'Cost Pool Data'!$K$27</f>
        <v>1.3606061934437479</v>
      </c>
      <c r="H76" s="2">
        <f>(F76*G76)/(D76*E76)</f>
        <v>3.2865542632525288E-3</v>
      </c>
      <c r="I76" s="2">
        <f>C76*H76</f>
        <v>1.7351906280651066E-4</v>
      </c>
    </row>
    <row r="77" spans="1:10" x14ac:dyDescent="0.25">
      <c r="B77" t="s">
        <v>235</v>
      </c>
      <c r="C77" s="4">
        <f t="shared" si="5"/>
        <v>0.107627531784996</v>
      </c>
      <c r="D77" s="4">
        <f>'Conversion Factors'!$L$43</f>
        <v>1026.6284310500428</v>
      </c>
      <c r="E77" s="4">
        <f>'Productivity Data'!$I$32</f>
        <v>61.728448910094343</v>
      </c>
      <c r="F77" s="2">
        <f>'Wage Data'!$C$11</f>
        <v>49.154294657004115</v>
      </c>
      <c r="G77" s="4">
        <f>'Cost Pool Data'!$K$27</f>
        <v>1.3606061934437479</v>
      </c>
      <c r="H77" s="2">
        <f t="shared" si="0"/>
        <v>1.0553469527585066E-3</v>
      </c>
      <c r="I77" s="2">
        <f t="shared" si="1"/>
        <v>1.1358438770221484E-4</v>
      </c>
    </row>
    <row r="78" spans="1:10" x14ac:dyDescent="0.25">
      <c r="B78" t="s">
        <v>238</v>
      </c>
      <c r="C78" s="4">
        <f t="shared" si="5"/>
        <v>7.2689618416881874E-2</v>
      </c>
      <c r="D78" s="4">
        <f>'Conversion Factors'!$L$44</f>
        <v>696.62449445262769</v>
      </c>
      <c r="E78" s="4">
        <f>'Productivity Data'!$I$31</f>
        <v>91.071587890934111</v>
      </c>
      <c r="F78" s="2">
        <f>'Wage Data'!$C$11</f>
        <v>49.154294657004115</v>
      </c>
      <c r="G78" s="4">
        <f>'Cost Pool Data'!$K$27</f>
        <v>1.3606061934437479</v>
      </c>
      <c r="H78" s="2">
        <f t="shared" si="0"/>
        <v>1.0541739070402823E-3</v>
      </c>
      <c r="I78" s="2">
        <f t="shared" si="1"/>
        <v>7.6627499047791627E-5</v>
      </c>
    </row>
    <row r="79" spans="1:10" x14ac:dyDescent="0.25">
      <c r="B79" t="s">
        <v>236</v>
      </c>
      <c r="C79" s="4">
        <f t="shared" si="5"/>
        <v>0.54428780359840834</v>
      </c>
      <c r="D79" s="4">
        <f>'Conversion Factors'!$L$45</f>
        <v>1310.6924574440295</v>
      </c>
      <c r="E79" s="4">
        <f>'Productivity Data'!$I$31</f>
        <v>91.071587890934111</v>
      </c>
      <c r="F79" s="2">
        <f>'Wage Data'!$C$11</f>
        <v>49.154294657004115</v>
      </c>
      <c r="G79" s="4">
        <f>'Cost Pool Data'!$K$27</f>
        <v>1.3606061934437479</v>
      </c>
      <c r="H79" s="2">
        <f t="shared" ref="H79:H87" si="6">(F79*G79)/(D79*E79)</f>
        <v>5.6028655760266132E-4</v>
      </c>
      <c r="I79" s="2">
        <f t="shared" ref="I79:I87" si="7">C79*H79</f>
        <v>3.0495713982326561E-4</v>
      </c>
    </row>
    <row r="80" spans="1:10" x14ac:dyDescent="0.25">
      <c r="B80" t="s">
        <v>237</v>
      </c>
      <c r="C80" s="4">
        <f t="shared" si="5"/>
        <v>0.18005829811601765</v>
      </c>
      <c r="D80" s="4">
        <f>'Conversion Factors'!$L$46</f>
        <v>673.62492731429006</v>
      </c>
      <c r="E80" s="4">
        <f>'Productivity Data'!$I$31</f>
        <v>91.071587890934111</v>
      </c>
      <c r="F80" s="2">
        <f>'Wage Data'!$C$11</f>
        <v>49.154294657004115</v>
      </c>
      <c r="G80" s="4">
        <f>'Cost Pool Data'!$K$27</f>
        <v>1.3606061934437479</v>
      </c>
      <c r="H80" s="2">
        <f>(F80*G80)/(D80*E80)</f>
        <v>1.0901665530474935E-3</v>
      </c>
      <c r="I80" s="2">
        <f>C80*H80</f>
        <v>1.9629353420473695E-4</v>
      </c>
    </row>
    <row r="81" spans="1:10" x14ac:dyDescent="0.25">
      <c r="A81" s="72"/>
      <c r="B81" s="79" t="s">
        <v>248</v>
      </c>
      <c r="C81" s="49">
        <f t="shared" si="5"/>
        <v>5.279665233179142E-2</v>
      </c>
      <c r="D81" s="49">
        <f>'Conversion Factors'!$L$48</f>
        <v>400.86107774048043</v>
      </c>
      <c r="E81" s="49">
        <f>'Productivity Data'!$I$31</f>
        <v>91.071587890934111</v>
      </c>
      <c r="F81" s="48">
        <f>'Wage Data'!$C$11</f>
        <v>49.154294657004115</v>
      </c>
      <c r="G81" s="49">
        <f>'Cost Pool Data'!$K$27</f>
        <v>1.3606061934437479</v>
      </c>
      <c r="H81" s="48">
        <f>(F81*G81)/(D81*E81)</f>
        <v>1.8319647524684813E-3</v>
      </c>
      <c r="I81" s="48">
        <f>C81*H81</f>
        <v>9.6721606120174733E-5</v>
      </c>
      <c r="J81" s="76">
        <f>SUM(I67:I81)</f>
        <v>3.04509377648672E-3</v>
      </c>
    </row>
    <row r="82" spans="1:10" x14ac:dyDescent="0.25">
      <c r="A82" s="6" t="s">
        <v>243</v>
      </c>
      <c r="B82" t="s">
        <v>215</v>
      </c>
      <c r="C82" s="4">
        <f t="shared" si="5"/>
        <v>0.107627531784996</v>
      </c>
      <c r="D82" s="4">
        <f>'Conversion Factors'!$L$43</f>
        <v>1026.6284310500428</v>
      </c>
      <c r="E82" s="4">
        <f>'Productivity Data'!$I$26</f>
        <v>48.58034429266948</v>
      </c>
      <c r="F82" s="2">
        <f>'Wage Data'!$C$11</f>
        <v>49.154294657004115</v>
      </c>
      <c r="G82" s="4">
        <f>'Cost Pool Data'!$K$48</f>
        <v>1.6214860636540271</v>
      </c>
      <c r="H82" s="2">
        <f t="shared" si="6"/>
        <v>1.598088452058702E-3</v>
      </c>
      <c r="I82" s="2">
        <f t="shared" si="7"/>
        <v>1.7199831566918299E-4</v>
      </c>
    </row>
    <row r="83" spans="1:10" x14ac:dyDescent="0.25">
      <c r="A83" s="6" t="s">
        <v>85</v>
      </c>
      <c r="B83" t="s">
        <v>216</v>
      </c>
      <c r="C83" s="4">
        <f t="shared" si="5"/>
        <v>7.2689618416881874E-2</v>
      </c>
      <c r="D83" s="4">
        <f>'Conversion Factors'!$L$44</f>
        <v>696.62449445262769</v>
      </c>
      <c r="E83" s="4">
        <f>'Productivity Data'!$I$25</f>
        <v>60.332591436644847</v>
      </c>
      <c r="F83" s="2">
        <f>'Wage Data'!$C$11</f>
        <v>49.154294657004115</v>
      </c>
      <c r="G83" s="4">
        <f>'Cost Pool Data'!$K$48</f>
        <v>1.6214860636540271</v>
      </c>
      <c r="H83" s="2">
        <f t="shared" si="6"/>
        <v>1.8963738947542759E-3</v>
      </c>
      <c r="I83" s="2">
        <f t="shared" si="7"/>
        <v>1.3784669478542443E-4</v>
      </c>
    </row>
    <row r="84" spans="1:10" x14ac:dyDescent="0.25">
      <c r="B84" t="s">
        <v>217</v>
      </c>
      <c r="C84" s="4">
        <f t="shared" si="5"/>
        <v>0.54428780359840834</v>
      </c>
      <c r="D84" s="4">
        <f>'Conversion Factors'!$L$45</f>
        <v>1310.6924574440295</v>
      </c>
      <c r="E84" s="4">
        <f>'Productivity Data'!$I$25</f>
        <v>60.332591436644847</v>
      </c>
      <c r="F84" s="2">
        <f>'Wage Data'!$C$11</f>
        <v>49.154294657004115</v>
      </c>
      <c r="G84" s="4">
        <f>'Cost Pool Data'!$K$48</f>
        <v>1.6214860636540271</v>
      </c>
      <c r="H84" s="2">
        <f t="shared" si="6"/>
        <v>1.0079103593092671E-3</v>
      </c>
      <c r="I84" s="2">
        <f t="shared" si="7"/>
        <v>5.4859331569252355E-4</v>
      </c>
    </row>
    <row r="85" spans="1:10" x14ac:dyDescent="0.25">
      <c r="B85" t="s">
        <v>218</v>
      </c>
      <c r="C85" s="4">
        <f t="shared" si="5"/>
        <v>0.18005829811601765</v>
      </c>
      <c r="D85" s="4">
        <f>'Conversion Factors'!$L$46</f>
        <v>673.62492731429006</v>
      </c>
      <c r="E85" s="4">
        <f>'Productivity Data'!$I$25</f>
        <v>60.332591436644847</v>
      </c>
      <c r="F85" s="2">
        <f>'Wage Data'!$C$11</f>
        <v>49.154294657004115</v>
      </c>
      <c r="G85" s="4">
        <f>'Cost Pool Data'!$K$48</f>
        <v>1.6214860636540271</v>
      </c>
      <c r="H85" s="2">
        <f t="shared" si="6"/>
        <v>1.9611217639961191E-3</v>
      </c>
      <c r="I85" s="2">
        <f t="shared" si="7"/>
        <v>3.5311624722342359E-4</v>
      </c>
    </row>
    <row r="86" spans="1:10" x14ac:dyDescent="0.25">
      <c r="B86" t="s">
        <v>249</v>
      </c>
      <c r="C86" s="4">
        <f>C66</f>
        <v>9.5336748083696243E-2</v>
      </c>
      <c r="D86" s="4">
        <f>'Conversion Factors'!$L$48</f>
        <v>400.86107774048043</v>
      </c>
      <c r="E86" s="4">
        <f>'Productivity Data'!$I$25</f>
        <v>60.332591436644847</v>
      </c>
      <c r="F86" s="2">
        <f>'Wage Data'!$C$11</f>
        <v>49.154294657004115</v>
      </c>
      <c r="G86" s="4">
        <f>'Cost Pool Data'!$K$48</f>
        <v>1.6214860636540271</v>
      </c>
      <c r="H86" s="2">
        <f>(F86*G86)/(D86*E86)</f>
        <v>3.2955569375124503E-3</v>
      </c>
      <c r="I86" s="2">
        <f>C86*H86</f>
        <v>3.1418768154710196E-4</v>
      </c>
    </row>
    <row r="87" spans="1:10" x14ac:dyDescent="0.25">
      <c r="A87" s="72"/>
      <c r="B87" s="79" t="s">
        <v>135</v>
      </c>
      <c r="C87" s="49">
        <f>SUM(C82:C86)</f>
        <v>1</v>
      </c>
      <c r="D87" s="49">
        <v>1</v>
      </c>
      <c r="E87" s="49">
        <f>'Productivity Data'!$I$22</f>
        <v>307.66822713635111</v>
      </c>
      <c r="F87" s="48">
        <f>'Wage Data'!$C$11</f>
        <v>49.154294657004115</v>
      </c>
      <c r="G87" s="49">
        <f>'Cost Pool Data'!$K$57</f>
        <v>1.4957786551922303</v>
      </c>
      <c r="H87" s="48">
        <f t="shared" si="6"/>
        <v>0.23897152280983572</v>
      </c>
      <c r="I87" s="75">
        <f t="shared" si="7"/>
        <v>0.23897152280983572</v>
      </c>
      <c r="J87" s="76">
        <f>SUM(I82:I87)</f>
        <v>0.24049726506475338</v>
      </c>
    </row>
    <row r="89" spans="1:10" x14ac:dyDescent="0.25">
      <c r="A89" s="29" t="s">
        <v>259</v>
      </c>
      <c r="I89" s="80" t="s">
        <v>203</v>
      </c>
      <c r="J89" s="81">
        <f>J16+J28+J49+J58+J66+J81+J87</f>
        <v>1.0035276771057433</v>
      </c>
    </row>
    <row r="90" spans="1:10" x14ac:dyDescent="0.25">
      <c r="A90" s="6" t="s">
        <v>296</v>
      </c>
    </row>
    <row r="91" spans="1:10" x14ac:dyDescent="0.25">
      <c r="A91" s="6" t="s">
        <v>297</v>
      </c>
    </row>
    <row r="92" spans="1:10" x14ac:dyDescent="0.25">
      <c r="A92" s="6" t="s">
        <v>298</v>
      </c>
    </row>
    <row r="93" spans="1:10" x14ac:dyDescent="0.25">
      <c r="A93" s="6" t="s">
        <v>299</v>
      </c>
    </row>
    <row r="94" spans="1:10" x14ac:dyDescent="0.25">
      <c r="A94" s="6" t="s">
        <v>277</v>
      </c>
    </row>
    <row r="95" spans="1:10" x14ac:dyDescent="0.25">
      <c r="A95" s="6" t="s">
        <v>300</v>
      </c>
    </row>
    <row r="96" spans="1:10" x14ac:dyDescent="0.25">
      <c r="A96" s="6" t="s">
        <v>301</v>
      </c>
    </row>
  </sheetData>
  <phoneticPr fontId="3" type="noConversion"/>
  <printOptions horizontalCentered="1"/>
  <pageMargins left="0.75" right="0.75" top="1" bottom="1" header="0.5" footer="0.5"/>
  <pageSetup scale="54" orientation="portrait" r:id="rId1"/>
  <headerFooter alignWithMargins="0">
    <oddHeader>&amp;RPage 41 of 50</oddHeader>
    <oddFooter>&amp;R&amp;F</oddFooter>
  </headerFooter>
  <ignoredErrors>
    <ignoredError sqref="G37 G39 G42 G52" formula="1"/>
  </ignoredErrors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 codeName="Sheet27">
    <pageSetUpPr fitToPage="1"/>
  </sheetPr>
  <dimension ref="A1:J91"/>
  <sheetViews>
    <sheetView topLeftCell="A71" zoomScale="75" workbookViewId="0">
      <selection activeCell="L98" sqref="L98"/>
    </sheetView>
  </sheetViews>
  <sheetFormatPr defaultColWidth="9.109375" defaultRowHeight="13.2" x14ac:dyDescent="0.25"/>
  <cols>
    <col min="1" max="1" width="15.6640625" style="6" customWidth="1"/>
    <col min="2" max="2" width="30.6640625" style="6" customWidth="1"/>
    <col min="3" max="5" width="12.6640625" style="4" customWidth="1"/>
    <col min="6" max="6" width="12.33203125" style="2" customWidth="1"/>
    <col min="7" max="7" width="12.6640625" style="4" customWidth="1"/>
    <col min="8" max="9" width="12.6640625" style="2" customWidth="1"/>
    <col min="10" max="10" width="12.6640625" style="69" customWidth="1"/>
  </cols>
  <sheetData>
    <row r="1" spans="1:10" ht="15.6" x14ac:dyDescent="0.3">
      <c r="A1" s="5" t="s">
        <v>415</v>
      </c>
      <c r="B1" s="5"/>
    </row>
    <row r="4" spans="1:10" x14ac:dyDescent="0.25">
      <c r="C4" s="8" t="s">
        <v>107</v>
      </c>
      <c r="D4" s="8" t="s">
        <v>108</v>
      </c>
      <c r="E4" s="8" t="s">
        <v>109</v>
      </c>
      <c r="F4" s="50" t="s">
        <v>112</v>
      </c>
      <c r="G4" s="8" t="s">
        <v>156</v>
      </c>
      <c r="H4" s="50" t="s">
        <v>157</v>
      </c>
      <c r="I4" s="50" t="s">
        <v>192</v>
      </c>
    </row>
    <row r="5" spans="1:10" x14ac:dyDescent="0.25">
      <c r="A5" s="70"/>
      <c r="F5" s="50" t="s">
        <v>155</v>
      </c>
      <c r="H5" s="50" t="s">
        <v>3</v>
      </c>
      <c r="I5" s="50" t="s">
        <v>3</v>
      </c>
    </row>
    <row r="6" spans="1:10" s="6" customFormat="1" x14ac:dyDescent="0.25">
      <c r="C6" s="8"/>
      <c r="D6" s="8" t="s">
        <v>202</v>
      </c>
      <c r="E6" s="8" t="s">
        <v>101</v>
      </c>
      <c r="F6" s="50" t="s">
        <v>103</v>
      </c>
      <c r="G6" s="8" t="s">
        <v>105</v>
      </c>
      <c r="H6" s="50" t="s">
        <v>207</v>
      </c>
      <c r="I6" s="50" t="s">
        <v>206</v>
      </c>
      <c r="J6" s="71"/>
    </row>
    <row r="7" spans="1:10" s="6" customFormat="1" x14ac:dyDescent="0.25">
      <c r="A7" s="6" t="s">
        <v>84</v>
      </c>
      <c r="B7" s="6" t="s">
        <v>76</v>
      </c>
      <c r="C7" s="8" t="s">
        <v>199</v>
      </c>
      <c r="D7" s="8" t="s">
        <v>81</v>
      </c>
      <c r="E7" s="8" t="s">
        <v>102</v>
      </c>
      <c r="F7" s="50" t="s">
        <v>104</v>
      </c>
      <c r="G7" s="8" t="s">
        <v>81</v>
      </c>
      <c r="H7" s="50" t="s">
        <v>76</v>
      </c>
      <c r="I7" s="50" t="s">
        <v>84</v>
      </c>
      <c r="J7" s="71"/>
    </row>
    <row r="8" spans="1:10" x14ac:dyDescent="0.25">
      <c r="A8" s="72"/>
      <c r="B8" s="72"/>
      <c r="C8" s="49"/>
      <c r="D8" s="49"/>
      <c r="E8" s="49"/>
      <c r="F8" s="48"/>
      <c r="G8" s="49"/>
      <c r="H8" s="48"/>
      <c r="I8" s="48"/>
      <c r="J8" s="73"/>
    </row>
    <row r="9" spans="1:10" x14ac:dyDescent="0.25">
      <c r="A9" s="6" t="s">
        <v>240</v>
      </c>
      <c r="B9" s="12" t="s">
        <v>211</v>
      </c>
      <c r="C9" s="4">
        <f>'Mailer Arrival Profile'!$D$47*'Mailer Arrival Profile'!$C$25</f>
        <v>2.0324617775570021E-2</v>
      </c>
      <c r="D9" s="4">
        <f>'Conversion Factors'!$L$20</f>
        <v>1048.0309783429961</v>
      </c>
      <c r="E9" s="4">
        <f>'Productivity Data'!$I$26</f>
        <v>48.58034429266948</v>
      </c>
      <c r="F9" s="2">
        <f>'Wage Data'!$C$11</f>
        <v>49.154294657004115</v>
      </c>
      <c r="G9" s="4">
        <f>'Cost Pool Data'!$K$48</f>
        <v>1.6214860636540271</v>
      </c>
      <c r="H9" s="2">
        <f>(F9*G9)/(D9*E9)</f>
        <v>1.5654528101928609E-3</v>
      </c>
      <c r="I9" s="2">
        <f>C9*H9</f>
        <v>3.1817230012861863E-5</v>
      </c>
    </row>
    <row r="10" spans="1:10" x14ac:dyDescent="0.25">
      <c r="A10" s="6" t="s">
        <v>85</v>
      </c>
      <c r="B10" s="12" t="s">
        <v>212</v>
      </c>
      <c r="C10" s="4">
        <f>'Mailer Arrival Profile'!$D$47*'Mailer Arrival Profile'!$D$25</f>
        <v>0.165550819070268</v>
      </c>
      <c r="D10" s="4">
        <f>'Conversion Factors'!$L$21</f>
        <v>1676.2813880312062</v>
      </c>
      <c r="E10" s="4">
        <f>'Productivity Data'!$I$26</f>
        <v>48.58034429266948</v>
      </c>
      <c r="F10" s="2">
        <f>'Wage Data'!$C$11</f>
        <v>49.154294657004115</v>
      </c>
      <c r="G10" s="4">
        <f>'Cost Pool Data'!$K$48</f>
        <v>1.6214860636540271</v>
      </c>
      <c r="H10" s="2">
        <f>(F10*G10)/(D10*E10)</f>
        <v>9.7873963878054686E-4</v>
      </c>
      <c r="I10" s="2">
        <f>C10*H10</f>
        <v>1.6203114885665777E-4</v>
      </c>
    </row>
    <row r="11" spans="1:10" x14ac:dyDescent="0.25">
      <c r="B11" s="12" t="s">
        <v>213</v>
      </c>
      <c r="C11" s="4">
        <f>'Mailer Arrival Profile'!$D$47*'Mailer Arrival Profile'!$E$25</f>
        <v>0</v>
      </c>
      <c r="D11" s="4">
        <f>'Conversion Factors'!$L$22</f>
        <v>1079.6056545024896</v>
      </c>
      <c r="E11" s="4">
        <f>'Productivity Data'!$I$26</f>
        <v>48.58034429266948</v>
      </c>
      <c r="F11" s="2">
        <f>'Wage Data'!$C$11</f>
        <v>49.154294657004115</v>
      </c>
      <c r="G11" s="4">
        <f>'Cost Pool Data'!$K$48</f>
        <v>1.6214860636540271</v>
      </c>
      <c r="H11" s="2">
        <f>(F11*G11)/(D11*E11)</f>
        <v>1.519668809971422E-3</v>
      </c>
      <c r="I11" s="2">
        <f>C11*H11</f>
        <v>0</v>
      </c>
    </row>
    <row r="12" spans="1:10" x14ac:dyDescent="0.25">
      <c r="B12" s="12" t="s">
        <v>214</v>
      </c>
      <c r="C12" s="4">
        <f>'Mailer Arrival Profile'!$D$47*'Mailer Arrival Profile'!$F$25</f>
        <v>5.0446868282664828E-3</v>
      </c>
      <c r="D12" s="4">
        <f>'Conversion Factors'!$L$23</f>
        <v>913.27319010541089</v>
      </c>
      <c r="E12" s="4">
        <f>'Productivity Data'!$I$25</f>
        <v>60.332591436644847</v>
      </c>
      <c r="F12" s="2">
        <f>'Wage Data'!$C$11</f>
        <v>49.154294657004115</v>
      </c>
      <c r="G12" s="4">
        <f>'Cost Pool Data'!$K$48</f>
        <v>1.6214860636540271</v>
      </c>
      <c r="H12" s="2">
        <f>(F12*G12)/(D12*E12)</f>
        <v>1.4465118652764568E-3</v>
      </c>
      <c r="I12" s="2">
        <f>C12*H12</f>
        <v>7.2971993536913227E-6</v>
      </c>
    </row>
    <row r="13" spans="1:10" x14ac:dyDescent="0.25">
      <c r="B13" t="s">
        <v>223</v>
      </c>
      <c r="C13" s="4">
        <f>C9</f>
        <v>2.0324617775570021E-2</v>
      </c>
      <c r="D13" s="4">
        <f>'Conversion Factors'!$L$20</f>
        <v>1048.0309783429961</v>
      </c>
      <c r="E13" s="4">
        <f>'Productivity Data'!$I$24</f>
        <v>43.137464151665213</v>
      </c>
      <c r="F13" s="2">
        <f>'Wage Data'!$C$11</f>
        <v>49.154294657004115</v>
      </c>
      <c r="G13" s="4">
        <f>'Cost Pool Data'!$K$48</f>
        <v>1.6214860636540271</v>
      </c>
      <c r="H13" s="2">
        <f>(F13*G13)/(D13*E13)</f>
        <v>1.7629742032520567E-3</v>
      </c>
      <c r="I13" s="2">
        <f>C13*H13</f>
        <v>3.5831776829288148E-5</v>
      </c>
    </row>
    <row r="14" spans="1:10" x14ac:dyDescent="0.25">
      <c r="B14" t="s">
        <v>224</v>
      </c>
      <c r="C14" s="4">
        <f>C10</f>
        <v>0.165550819070268</v>
      </c>
      <c r="D14" s="4">
        <f>'Conversion Factors'!$L$21</f>
        <v>1676.2813880312062</v>
      </c>
      <c r="E14" s="4">
        <f>'Productivity Data'!$I$24</f>
        <v>43.137464151665213</v>
      </c>
      <c r="F14" s="2">
        <f>'Wage Data'!$C$11</f>
        <v>49.154294657004115</v>
      </c>
      <c r="G14" s="4">
        <f>'Cost Pool Data'!$K$48</f>
        <v>1.6214860636540271</v>
      </c>
      <c r="H14" s="2">
        <f t="shared" ref="H14:H82" si="0">(F14*G14)/(D14*E14)</f>
        <v>1.1022323532433808E-3</v>
      </c>
      <c r="I14" s="2">
        <f t="shared" ref="I14:I82" si="1">C14*H14</f>
        <v>1.8247546888519066E-4</v>
      </c>
    </row>
    <row r="15" spans="1:10" x14ac:dyDescent="0.25">
      <c r="B15" s="12" t="s">
        <v>225</v>
      </c>
      <c r="C15" s="4">
        <f>C11</f>
        <v>0</v>
      </c>
      <c r="D15" s="4">
        <f>'Conversion Factors'!$L$22</f>
        <v>1079.6056545024896</v>
      </c>
      <c r="E15" s="4">
        <f>'Productivity Data'!$I$24</f>
        <v>43.137464151665213</v>
      </c>
      <c r="F15" s="2">
        <f>'Wage Data'!$C$11</f>
        <v>49.154294657004115</v>
      </c>
      <c r="G15" s="4">
        <f>'Cost Pool Data'!$K$48</f>
        <v>1.6214860636540271</v>
      </c>
      <c r="H15" s="2">
        <f t="shared" si="0"/>
        <v>1.7114133955505851E-3</v>
      </c>
      <c r="I15" s="2">
        <f t="shared" si="1"/>
        <v>0</v>
      </c>
    </row>
    <row r="16" spans="1:10" x14ac:dyDescent="0.25">
      <c r="A16" s="72"/>
      <c r="B16" s="74" t="s">
        <v>226</v>
      </c>
      <c r="C16" s="49">
        <f>C12</f>
        <v>5.0446868282664828E-3</v>
      </c>
      <c r="D16" s="49">
        <f>'Conversion Factors'!$L$23</f>
        <v>913.27319010541089</v>
      </c>
      <c r="E16" s="49">
        <f>'Productivity Data'!$I$23</f>
        <v>68.564044141410264</v>
      </c>
      <c r="F16" s="48">
        <f>'Wage Data'!$C$11</f>
        <v>49.154294657004115</v>
      </c>
      <c r="G16" s="49">
        <f>'Cost Pool Data'!$K$48</f>
        <v>1.6214860636540271</v>
      </c>
      <c r="H16" s="48">
        <f t="shared" si="0"/>
        <v>1.27285095954943E-3</v>
      </c>
      <c r="I16" s="75">
        <f t="shared" si="1"/>
        <v>6.4211344699853634E-6</v>
      </c>
      <c r="J16" s="76">
        <f>SUM(I9:I16)</f>
        <v>4.2587395840767511E-4</v>
      </c>
    </row>
    <row r="17" spans="1:10" x14ac:dyDescent="0.25">
      <c r="A17" s="6" t="s">
        <v>240</v>
      </c>
      <c r="B17" t="s">
        <v>211</v>
      </c>
      <c r="C17" s="4">
        <f>'Mailer Arrival Profile'!$D$48*'Mailer Arrival Profile'!$C$25+C13</f>
        <v>5.8631722604477708E-2</v>
      </c>
      <c r="D17" s="4">
        <f>'Conversion Factors'!$L$20</f>
        <v>1048.0309783429961</v>
      </c>
      <c r="E17" s="4">
        <f>'Productivity Data'!$I$28</f>
        <v>58.156985400220201</v>
      </c>
      <c r="F17" s="2">
        <f>'Wage Data'!$C$11</f>
        <v>49.154294657004115</v>
      </c>
      <c r="G17" s="4">
        <f>'Cost Pool Data'!$K$27</f>
        <v>1.3606061934437479</v>
      </c>
      <c r="H17" s="2">
        <f t="shared" si="0"/>
        <v>1.0972811170446752E-3</v>
      </c>
      <c r="I17" s="2">
        <f t="shared" si="1"/>
        <v>6.4335482073694833E-5</v>
      </c>
    </row>
    <row r="18" spans="1:10" x14ac:dyDescent="0.25">
      <c r="A18" s="6" t="s">
        <v>241</v>
      </c>
      <c r="B18" t="s">
        <v>212</v>
      </c>
      <c r="C18" s="4">
        <f>'Mailer Arrival Profile'!$D$48*'Mailer Arrival Profile'!$D$25+C14</f>
        <v>0.47757501803252511</v>
      </c>
      <c r="D18" s="4">
        <f>'Conversion Factors'!$L$21</f>
        <v>1676.2813880312062</v>
      </c>
      <c r="E18" s="4">
        <f>'Productivity Data'!$I$28</f>
        <v>58.156985400220201</v>
      </c>
      <c r="F18" s="2">
        <f>'Wage Data'!$C$11</f>
        <v>49.154294657004115</v>
      </c>
      <c r="G18" s="4">
        <f>'Cost Pool Data'!$K$27</f>
        <v>1.3606061934437479</v>
      </c>
      <c r="H18" s="2">
        <f t="shared" si="0"/>
        <v>6.8603315101188622E-4</v>
      </c>
      <c r="I18" s="2">
        <f t="shared" si="1"/>
        <v>3.2763229446541159E-4</v>
      </c>
    </row>
    <row r="19" spans="1:10" x14ac:dyDescent="0.25">
      <c r="B19" t="s">
        <v>213</v>
      </c>
      <c r="C19" s="4">
        <f>'Mailer Arrival Profile'!$D$48*'Mailer Arrival Profile'!$E$25+C15</f>
        <v>0</v>
      </c>
      <c r="D19" s="4">
        <f>'Conversion Factors'!$L$22</f>
        <v>1079.6056545024896</v>
      </c>
      <c r="E19" s="4">
        <f>'Productivity Data'!$I$28</f>
        <v>58.156985400220201</v>
      </c>
      <c r="F19" s="2">
        <f>'Wage Data'!$C$11</f>
        <v>49.154294657004115</v>
      </c>
      <c r="G19" s="4">
        <f>'Cost Pool Data'!$K$27</f>
        <v>1.3606061934437479</v>
      </c>
      <c r="H19" s="2">
        <f t="shared" si="0"/>
        <v>1.0651894956437307E-3</v>
      </c>
      <c r="I19" s="2">
        <f t="shared" si="1"/>
        <v>0</v>
      </c>
    </row>
    <row r="20" spans="1:10" x14ac:dyDescent="0.25">
      <c r="B20" t="s">
        <v>214</v>
      </c>
      <c r="C20" s="4">
        <f>'Mailer Arrival Profile'!$D$48*'Mailer Arrival Profile'!$F$25+C16</f>
        <v>1.4552730191900867E-2</v>
      </c>
      <c r="D20" s="4">
        <f>'Conversion Factors'!$L$23</f>
        <v>913.27319010541089</v>
      </c>
      <c r="E20" s="4">
        <f>'Productivity Data'!$I$27</f>
        <v>81.873572020007202</v>
      </c>
      <c r="F20" s="2">
        <f>'Wage Data'!$C$11</f>
        <v>49.154294657004115</v>
      </c>
      <c r="G20" s="4">
        <f>'Cost Pool Data'!$K$27</f>
        <v>1.3606061934437479</v>
      </c>
      <c r="H20" s="2">
        <f t="shared" si="0"/>
        <v>8.9443639987420154E-4</v>
      </c>
      <c r="I20" s="2">
        <f t="shared" si="1"/>
        <v>1.3016491601184409E-5</v>
      </c>
    </row>
    <row r="21" spans="1:10" x14ac:dyDescent="0.25">
      <c r="B21" t="s">
        <v>227</v>
      </c>
      <c r="C21" s="4">
        <f t="shared" ref="C21:C28" si="2">C17</f>
        <v>5.8631722604477708E-2</v>
      </c>
      <c r="D21" s="4">
        <f>'Conversion Factors'!$L$20</f>
        <v>1048.0309783429961</v>
      </c>
      <c r="E21" s="4">
        <f>'Productivity Data'!$I$30</f>
        <v>39.899251235537818</v>
      </c>
      <c r="F21" s="2">
        <f>'Wage Data'!$C$11</f>
        <v>49.154294657004115</v>
      </c>
      <c r="G21" s="4">
        <f>'Cost Pool Data'!$K$27</f>
        <v>1.3606061934437479</v>
      </c>
      <c r="H21" s="2">
        <f t="shared" si="0"/>
        <v>1.5993924679735738E-3</v>
      </c>
      <c r="I21" s="2">
        <f t="shared" si="1"/>
        <v>9.3775135517917569E-5</v>
      </c>
    </row>
    <row r="22" spans="1:10" x14ac:dyDescent="0.25">
      <c r="B22" t="s">
        <v>228</v>
      </c>
      <c r="C22" s="4">
        <f t="shared" si="2"/>
        <v>0.47757501803252511</v>
      </c>
      <c r="D22" s="4">
        <f>'Conversion Factors'!$L$21</f>
        <v>1676.2813880312062</v>
      </c>
      <c r="E22" s="4">
        <f>'Productivity Data'!$I$30</f>
        <v>39.899251235537818</v>
      </c>
      <c r="F22" s="2">
        <f>'Wage Data'!$C$11</f>
        <v>49.154294657004115</v>
      </c>
      <c r="G22" s="4">
        <f>'Cost Pool Data'!$K$27</f>
        <v>1.3606061934437479</v>
      </c>
      <c r="H22" s="2">
        <f t="shared" si="0"/>
        <v>9.9995911481990307E-4</v>
      </c>
      <c r="I22" s="2">
        <f t="shared" si="1"/>
        <v>4.7755549229190305E-4</v>
      </c>
    </row>
    <row r="23" spans="1:10" x14ac:dyDescent="0.25">
      <c r="B23" t="s">
        <v>229</v>
      </c>
      <c r="C23" s="4">
        <f t="shared" si="2"/>
        <v>0</v>
      </c>
      <c r="D23" s="4">
        <f>'Conversion Factors'!$L$22</f>
        <v>1079.6056545024896</v>
      </c>
      <c r="E23" s="4">
        <f>'Productivity Data'!$I$30</f>
        <v>39.899251235537818</v>
      </c>
      <c r="F23" s="2">
        <f>'Wage Data'!$C$11</f>
        <v>49.154294657004115</v>
      </c>
      <c r="G23" s="4">
        <f>'Cost Pool Data'!$K$27</f>
        <v>1.3606061934437479</v>
      </c>
      <c r="H23" s="2">
        <f t="shared" si="0"/>
        <v>1.5526158518845534E-3</v>
      </c>
      <c r="I23" s="2">
        <f t="shared" si="1"/>
        <v>0</v>
      </c>
    </row>
    <row r="24" spans="1:10" x14ac:dyDescent="0.25">
      <c r="B24" t="s">
        <v>230</v>
      </c>
      <c r="C24" s="4">
        <f t="shared" si="2"/>
        <v>1.4552730191900867E-2</v>
      </c>
      <c r="D24" s="4">
        <f>'Conversion Factors'!$L$23</f>
        <v>913.27319010541089</v>
      </c>
      <c r="E24" s="4">
        <f>'Productivity Data'!$I$29</f>
        <v>50.764395048330648</v>
      </c>
      <c r="F24" s="2">
        <f>'Wage Data'!$C$11</f>
        <v>49.154294657004115</v>
      </c>
      <c r="G24" s="4">
        <f>'Cost Pool Data'!$K$27</f>
        <v>1.3606061934437479</v>
      </c>
      <c r="H24" s="2">
        <f t="shared" si="0"/>
        <v>1.4425603404255387E-3</v>
      </c>
      <c r="I24" s="2">
        <f t="shared" si="1"/>
        <v>2.0993191419749531E-5</v>
      </c>
    </row>
    <row r="25" spans="1:10" x14ac:dyDescent="0.25">
      <c r="B25" t="s">
        <v>223</v>
      </c>
      <c r="C25" s="4">
        <f t="shared" si="2"/>
        <v>5.8631722604477708E-2</v>
      </c>
      <c r="D25" s="4">
        <f>'Conversion Factors'!$L$20</f>
        <v>1048.0309783429961</v>
      </c>
      <c r="E25" s="4">
        <f>'Productivity Data'!$I$32</f>
        <v>61.728448910094343</v>
      </c>
      <c r="F25" s="2">
        <f>'Wage Data'!$C$11</f>
        <v>49.154294657004115</v>
      </c>
      <c r="G25" s="4">
        <f>'Cost Pool Data'!$K$27</f>
        <v>1.3606061934437479</v>
      </c>
      <c r="H25" s="2">
        <f t="shared" si="0"/>
        <v>1.0337950010188741E-3</v>
      </c>
      <c r="I25" s="2">
        <f t="shared" si="1"/>
        <v>6.0613181729634376E-5</v>
      </c>
    </row>
    <row r="26" spans="1:10" x14ac:dyDescent="0.25">
      <c r="B26" t="s">
        <v>224</v>
      </c>
      <c r="C26" s="4">
        <f t="shared" si="2"/>
        <v>0.47757501803252511</v>
      </c>
      <c r="D26" s="4">
        <f>'Conversion Factors'!$L$21</f>
        <v>1676.2813880312062</v>
      </c>
      <c r="E26" s="4">
        <f>'Productivity Data'!$I$32</f>
        <v>61.728448910094343</v>
      </c>
      <c r="F26" s="2">
        <f>'Wage Data'!$C$11</f>
        <v>49.154294657004115</v>
      </c>
      <c r="G26" s="4">
        <f>'Cost Pool Data'!$K$27</f>
        <v>1.3606061934437479</v>
      </c>
      <c r="H26" s="2">
        <f t="shared" si="0"/>
        <v>6.4634087931765506E-4</v>
      </c>
      <c r="I26" s="2">
        <f t="shared" si="1"/>
        <v>3.0867625709528725E-4</v>
      </c>
    </row>
    <row r="27" spans="1:10" x14ac:dyDescent="0.25">
      <c r="B27" s="12" t="s">
        <v>225</v>
      </c>
      <c r="C27" s="4">
        <f t="shared" si="2"/>
        <v>0</v>
      </c>
      <c r="D27" s="4">
        <f>'Conversion Factors'!$L$22</f>
        <v>1079.6056545024896</v>
      </c>
      <c r="E27" s="4">
        <f>'Productivity Data'!$I$32</f>
        <v>61.728448910094343</v>
      </c>
      <c r="F27" s="2">
        <f>'Wage Data'!$C$11</f>
        <v>49.154294657004115</v>
      </c>
      <c r="G27" s="4">
        <f>'Cost Pool Data'!$K$27</f>
        <v>1.3606061934437479</v>
      </c>
      <c r="H27" s="2">
        <f t="shared" si="0"/>
        <v>1.0035601256860689E-3</v>
      </c>
      <c r="I27" s="2">
        <f t="shared" si="1"/>
        <v>0</v>
      </c>
    </row>
    <row r="28" spans="1:10" x14ac:dyDescent="0.25">
      <c r="A28" s="72"/>
      <c r="B28" s="74" t="s">
        <v>226</v>
      </c>
      <c r="C28" s="77">
        <f t="shared" si="2"/>
        <v>1.4552730191900867E-2</v>
      </c>
      <c r="D28" s="77">
        <f>'Conversion Factors'!$L$23</f>
        <v>913.27319010541089</v>
      </c>
      <c r="E28" s="77">
        <f>'Productivity Data'!$I$31</f>
        <v>91.071587890934111</v>
      </c>
      <c r="F28" s="78">
        <f>'Wage Data'!$C$11</f>
        <v>49.154294657004115</v>
      </c>
      <c r="G28" s="77">
        <f>'Cost Pool Data'!$K$27</f>
        <v>1.3606061934437479</v>
      </c>
      <c r="H28" s="78">
        <f t="shared" si="0"/>
        <v>8.0410043020350463E-4</v>
      </c>
      <c r="I28" s="78">
        <f t="shared" si="1"/>
        <v>1.1701856607943017E-5</v>
      </c>
      <c r="J28" s="76">
        <f>SUM(I17:I28)</f>
        <v>1.3782993828027256E-3</v>
      </c>
    </row>
    <row r="29" spans="1:10" x14ac:dyDescent="0.25">
      <c r="A29" s="6" t="s">
        <v>242</v>
      </c>
      <c r="B29" t="s">
        <v>211</v>
      </c>
      <c r="C29" s="4">
        <f>'Mailer Arrival Profile'!$D$49*'Mailer Arrival Profile'!$C$25+C25</f>
        <v>0.10645613141474597</v>
      </c>
      <c r="D29" s="4">
        <f>'Conversion Factors'!$L$20</f>
        <v>1048.0309783429961</v>
      </c>
      <c r="E29" s="4">
        <f>'Productivity Data'!$I$38</f>
        <v>46.475052307166727</v>
      </c>
      <c r="F29" s="2">
        <f>'Wage Data'!$C$11</f>
        <v>49.154294657004115</v>
      </c>
      <c r="G29" s="4">
        <f>'Cost Pool Data'!$K$43</f>
        <v>1.386023903258889</v>
      </c>
      <c r="H29" s="2">
        <f t="shared" si="0"/>
        <v>1.3987438224320906E-3</v>
      </c>
      <c r="I29" s="2">
        <f t="shared" si="1"/>
        <v>1.4890485617639472E-4</v>
      </c>
    </row>
    <row r="30" spans="1:10" x14ac:dyDescent="0.25">
      <c r="A30" s="6" t="s">
        <v>131</v>
      </c>
      <c r="B30" t="s">
        <v>212</v>
      </c>
      <c r="C30" s="4">
        <f>'Mailer Arrival Profile'!$D$49*'Mailer Arrival Profile'!$D$25+C26</f>
        <v>0.86712084553673763</v>
      </c>
      <c r="D30" s="4">
        <f>'Conversion Factors'!$L$21</f>
        <v>1676.2813880312062</v>
      </c>
      <c r="E30" s="4">
        <f>'Productivity Data'!$I$38</f>
        <v>46.475052307166727</v>
      </c>
      <c r="F30" s="2">
        <f>'Wage Data'!$C$11</f>
        <v>49.154294657004115</v>
      </c>
      <c r="G30" s="4">
        <f>'Cost Pool Data'!$K$43</f>
        <v>1.386023903258889</v>
      </c>
      <c r="H30" s="2">
        <f t="shared" si="0"/>
        <v>8.7451120506471653E-4</v>
      </c>
      <c r="I30" s="2">
        <f t="shared" si="1"/>
        <v>7.5830689556706835E-4</v>
      </c>
    </row>
    <row r="31" spans="1:10" x14ac:dyDescent="0.25">
      <c r="B31" t="s">
        <v>213</v>
      </c>
      <c r="C31" s="4">
        <f>'Mailer Arrival Profile'!$D$49*'Mailer Arrival Profile'!$E$25+C27</f>
        <v>0</v>
      </c>
      <c r="D31" s="4">
        <f>'Conversion Factors'!$L$22</f>
        <v>1079.6056545024896</v>
      </c>
      <c r="E31" s="4">
        <f>'Productivity Data'!$I$38</f>
        <v>46.475052307166727</v>
      </c>
      <c r="F31" s="2">
        <f>'Wage Data'!$C$11</f>
        <v>49.154294657004115</v>
      </c>
      <c r="G31" s="4">
        <f>'Cost Pool Data'!$K$43</f>
        <v>1.386023903258889</v>
      </c>
      <c r="H31" s="2">
        <f t="shared" si="0"/>
        <v>1.3578354749820786E-3</v>
      </c>
      <c r="I31" s="2">
        <f t="shared" si="1"/>
        <v>0</v>
      </c>
    </row>
    <row r="32" spans="1:10" x14ac:dyDescent="0.25">
      <c r="B32" t="s">
        <v>214</v>
      </c>
      <c r="C32" s="4">
        <f>'Mailer Arrival Profile'!$D$49*'Mailer Arrival Profile'!$F$25+C28</f>
        <v>2.6423023048516493E-2</v>
      </c>
      <c r="D32" s="4">
        <f>'Conversion Factors'!$L$23</f>
        <v>913.27319010541089</v>
      </c>
      <c r="E32" s="4">
        <f>'Productivity Data'!$I$37</f>
        <v>55.996737364805647</v>
      </c>
      <c r="F32" s="2">
        <f>'Wage Data'!$C$11</f>
        <v>49.154294657004115</v>
      </c>
      <c r="G32" s="4">
        <f>'Cost Pool Data'!$K$43</f>
        <v>1.386023903258889</v>
      </c>
      <c r="H32" s="2">
        <f t="shared" si="0"/>
        <v>1.3321979353355536E-3</v>
      </c>
      <c r="I32" s="2">
        <f t="shared" si="1"/>
        <v>3.5200696750557418E-5</v>
      </c>
    </row>
    <row r="33" spans="1:10" x14ac:dyDescent="0.25">
      <c r="B33" t="s">
        <v>223</v>
      </c>
      <c r="C33" s="4">
        <f t="shared" ref="C33:C44" si="3">C29</f>
        <v>0.10645613141474597</v>
      </c>
      <c r="D33" s="4">
        <f>'Conversion Factors'!$L$20</f>
        <v>1048.0309783429961</v>
      </c>
      <c r="E33" s="4">
        <f>'Productivity Data'!$I$45</f>
        <v>55.582256364514194</v>
      </c>
      <c r="F33" s="2">
        <f>'Wage Data'!$C$11</f>
        <v>49.154294657004115</v>
      </c>
      <c r="G33" s="4">
        <f>'Cost Pool Data'!$K$43</f>
        <v>1.386023903258889</v>
      </c>
      <c r="H33" s="2">
        <f t="shared" si="0"/>
        <v>1.1695583548378664E-3</v>
      </c>
      <c r="I33" s="2">
        <f t="shared" si="1"/>
        <v>1.2450665791983399E-4</v>
      </c>
    </row>
    <row r="34" spans="1:10" x14ac:dyDescent="0.25">
      <c r="B34" t="s">
        <v>224</v>
      </c>
      <c r="C34" s="4">
        <f t="shared" si="3"/>
        <v>0.86712084553673763</v>
      </c>
      <c r="D34" s="4">
        <f>'Conversion Factors'!$L$21</f>
        <v>1676.2813880312062</v>
      </c>
      <c r="E34" s="4">
        <f>'Productivity Data'!$I$44</f>
        <v>70.608822220868689</v>
      </c>
      <c r="F34" s="2">
        <f>'Wage Data'!$C$11</f>
        <v>49.154294657004115</v>
      </c>
      <c r="G34" s="4">
        <f>'Cost Pool Data'!$K$43</f>
        <v>1.386023903258889</v>
      </c>
      <c r="H34" s="2">
        <f t="shared" si="0"/>
        <v>5.7560730685256973E-4</v>
      </c>
      <c r="I34" s="2">
        <f t="shared" si="1"/>
        <v>4.991210946151247E-4</v>
      </c>
    </row>
    <row r="35" spans="1:10" x14ac:dyDescent="0.25">
      <c r="B35" t="s">
        <v>225</v>
      </c>
      <c r="C35" s="4">
        <f t="shared" si="3"/>
        <v>0</v>
      </c>
      <c r="D35" s="4">
        <f>'Conversion Factors'!$L$22</f>
        <v>1079.6056545024896</v>
      </c>
      <c r="E35" s="4">
        <f>'Productivity Data'!$I$44</f>
        <v>70.608822220868689</v>
      </c>
      <c r="F35" s="2">
        <f>'Wage Data'!$C$11</f>
        <v>49.154294657004115</v>
      </c>
      <c r="G35" s="4">
        <f>'Cost Pool Data'!$K$43</f>
        <v>1.386023903258889</v>
      </c>
      <c r="H35" s="2">
        <f t="shared" si="0"/>
        <v>8.9373356953782528E-4</v>
      </c>
      <c r="I35" s="2">
        <f t="shared" si="1"/>
        <v>0</v>
      </c>
    </row>
    <row r="36" spans="1:10" x14ac:dyDescent="0.25">
      <c r="A36" s="72"/>
      <c r="B36" s="79" t="s">
        <v>226</v>
      </c>
      <c r="C36" s="49">
        <f t="shared" si="3"/>
        <v>2.6423023048516493E-2</v>
      </c>
      <c r="D36" s="49">
        <f>'Conversion Factors'!$L$23</f>
        <v>913.27319010541089</v>
      </c>
      <c r="E36" s="49">
        <f>'Productivity Data'!$I$44</f>
        <v>70.608822220868689</v>
      </c>
      <c r="F36" s="48">
        <f>'Wage Data'!$C$11</f>
        <v>49.154294657004115</v>
      </c>
      <c r="G36" s="49">
        <f>'Cost Pool Data'!$K$43</f>
        <v>1.386023903258889</v>
      </c>
      <c r="H36" s="48">
        <f t="shared" si="0"/>
        <v>1.0565073252400661E-3</v>
      </c>
      <c r="I36" s="48">
        <f t="shared" si="1"/>
        <v>2.7916117405744779E-5</v>
      </c>
      <c r="J36" s="76">
        <f>SUM(I29:I36)</f>
        <v>1.593956318434724E-3</v>
      </c>
    </row>
    <row r="37" spans="1:10" x14ac:dyDescent="0.25">
      <c r="A37" s="6" t="s">
        <v>243</v>
      </c>
      <c r="B37" t="s">
        <v>211</v>
      </c>
      <c r="C37" s="4">
        <f t="shared" si="3"/>
        <v>0.10645613141474597</v>
      </c>
      <c r="D37" s="4">
        <f>'Conversion Factors'!$L$20</f>
        <v>1048.0309783429961</v>
      </c>
      <c r="E37" s="4">
        <f>'Productivity Data'!$I$38</f>
        <v>46.475052307166727</v>
      </c>
      <c r="F37" s="2">
        <f>'Wage Data'!$C$11</f>
        <v>49.154294657004115</v>
      </c>
      <c r="G37" s="4">
        <f>'Cost Pool Data'!$K$43</f>
        <v>1.386023903258889</v>
      </c>
      <c r="H37" s="2">
        <f t="shared" si="0"/>
        <v>1.3987438224320906E-3</v>
      </c>
      <c r="I37" s="2">
        <f t="shared" si="1"/>
        <v>1.4890485617639472E-4</v>
      </c>
    </row>
    <row r="38" spans="1:10" x14ac:dyDescent="0.25">
      <c r="A38" s="6" t="s">
        <v>131</v>
      </c>
      <c r="B38" t="s">
        <v>212</v>
      </c>
      <c r="C38" s="4">
        <f t="shared" si="3"/>
        <v>0.86712084553673763</v>
      </c>
      <c r="D38" s="4">
        <f>'Conversion Factors'!$L$21</f>
        <v>1676.2813880312062</v>
      </c>
      <c r="E38" s="4">
        <f>'Productivity Data'!$I$38</f>
        <v>46.475052307166727</v>
      </c>
      <c r="F38" s="2">
        <f>'Wage Data'!$C$11</f>
        <v>49.154294657004115</v>
      </c>
      <c r="G38" s="4">
        <f>'Cost Pool Data'!$K$43</f>
        <v>1.386023903258889</v>
      </c>
      <c r="H38" s="2">
        <f t="shared" si="0"/>
        <v>8.7451120506471653E-4</v>
      </c>
      <c r="I38" s="2">
        <f t="shared" si="1"/>
        <v>7.5830689556706835E-4</v>
      </c>
    </row>
    <row r="39" spans="1:10" x14ac:dyDescent="0.25">
      <c r="B39" t="s">
        <v>213</v>
      </c>
      <c r="C39" s="4">
        <f t="shared" si="3"/>
        <v>0</v>
      </c>
      <c r="D39" s="4">
        <f>'Conversion Factors'!$L$22</f>
        <v>1079.6056545024896</v>
      </c>
      <c r="E39" s="4">
        <f>'Productivity Data'!$I$38</f>
        <v>46.475052307166727</v>
      </c>
      <c r="F39" s="2">
        <f>'Wage Data'!$C$11</f>
        <v>49.154294657004115</v>
      </c>
      <c r="G39" s="4">
        <f>'Cost Pool Data'!$K$43</f>
        <v>1.386023903258889</v>
      </c>
      <c r="H39" s="2">
        <f t="shared" si="0"/>
        <v>1.3578354749820786E-3</v>
      </c>
      <c r="I39" s="2">
        <f t="shared" si="1"/>
        <v>0</v>
      </c>
    </row>
    <row r="40" spans="1:10" x14ac:dyDescent="0.25">
      <c r="B40" t="s">
        <v>214</v>
      </c>
      <c r="C40" s="4">
        <f t="shared" si="3"/>
        <v>2.6423023048516493E-2</v>
      </c>
      <c r="D40" s="4">
        <f>'Conversion Factors'!$L$23</f>
        <v>913.27319010541089</v>
      </c>
      <c r="E40" s="4">
        <f>'Productivity Data'!$I$37</f>
        <v>55.996737364805647</v>
      </c>
      <c r="F40" s="2">
        <f>'Wage Data'!$C$11</f>
        <v>49.154294657004115</v>
      </c>
      <c r="G40" s="4">
        <f>'Cost Pool Data'!$K$43</f>
        <v>1.386023903258889</v>
      </c>
      <c r="H40" s="2">
        <f t="shared" si="0"/>
        <v>1.3321979353355536E-3</v>
      </c>
      <c r="I40" s="2">
        <f t="shared" si="1"/>
        <v>3.5200696750557418E-5</v>
      </c>
    </row>
    <row r="41" spans="1:10" x14ac:dyDescent="0.25">
      <c r="B41" t="s">
        <v>231</v>
      </c>
      <c r="C41" s="4">
        <f t="shared" si="3"/>
        <v>0.10645613141474597</v>
      </c>
      <c r="D41" s="4">
        <f>'Conversion Factors'!$L$20</f>
        <v>1048.0309783429961</v>
      </c>
      <c r="E41" s="4">
        <f>'Productivity Data'!$I$41</f>
        <v>16.483976831402664</v>
      </c>
      <c r="F41" s="2">
        <f>'Wage Data'!$C$11</f>
        <v>49.154294657004115</v>
      </c>
      <c r="G41" s="4">
        <f>'Cost Pool Data'!$K$42</f>
        <v>1.51761435929636</v>
      </c>
      <c r="H41" s="2">
        <f t="shared" si="0"/>
        <v>4.3180411843887273E-3</v>
      </c>
      <c r="I41" s="2">
        <f t="shared" si="1"/>
        <v>4.5968195977957166E-4</v>
      </c>
    </row>
    <row r="42" spans="1:10" x14ac:dyDescent="0.25">
      <c r="B42" t="s">
        <v>232</v>
      </c>
      <c r="C42" s="4">
        <f t="shared" si="3"/>
        <v>0.86712084553673763</v>
      </c>
      <c r="D42" s="4">
        <f>'Conversion Factors'!$L$21</f>
        <v>1676.2813880312062</v>
      </c>
      <c r="E42" s="4">
        <f>'Productivity Data'!$I$41</f>
        <v>16.483976831402664</v>
      </c>
      <c r="F42" s="2">
        <f>'Wage Data'!$C$11</f>
        <v>49.154294657004115</v>
      </c>
      <c r="G42" s="4">
        <f>'Cost Pool Data'!$K$42</f>
        <v>1.51761435929636</v>
      </c>
      <c r="H42" s="2">
        <f t="shared" si="0"/>
        <v>2.6996904930832654E-3</v>
      </c>
      <c r="I42" s="2">
        <f t="shared" si="1"/>
        <v>2.3409579030498531E-3</v>
      </c>
    </row>
    <row r="43" spans="1:10" x14ac:dyDescent="0.25">
      <c r="B43" t="s">
        <v>233</v>
      </c>
      <c r="C43" s="4">
        <f t="shared" si="3"/>
        <v>0</v>
      </c>
      <c r="D43" s="4">
        <f>'Conversion Factors'!$L$22</f>
        <v>1079.6056545024896</v>
      </c>
      <c r="E43" s="4">
        <f>'Productivity Data'!$I$41</f>
        <v>16.483976831402664</v>
      </c>
      <c r="F43" s="2">
        <f>'Wage Data'!$C$11</f>
        <v>49.154294657004115</v>
      </c>
      <c r="G43" s="4">
        <f>'Cost Pool Data'!$K$42</f>
        <v>1.51761435929636</v>
      </c>
      <c r="H43" s="2">
        <f t="shared" si="0"/>
        <v>4.1917536353454059E-3</v>
      </c>
      <c r="I43" s="2">
        <f t="shared" si="1"/>
        <v>0</v>
      </c>
    </row>
    <row r="44" spans="1:10" x14ac:dyDescent="0.25">
      <c r="B44" t="s">
        <v>234</v>
      </c>
      <c r="C44" s="4">
        <f t="shared" si="3"/>
        <v>2.6423023048516493E-2</v>
      </c>
      <c r="D44" s="4">
        <f>'Conversion Factors'!$L$23</f>
        <v>913.27319010541089</v>
      </c>
      <c r="E44" s="4">
        <f>'Productivity Data'!$I$40</f>
        <v>23.065925296264197</v>
      </c>
      <c r="F44" s="2">
        <f>'Wage Data'!$C$11</f>
        <v>49.154294657004115</v>
      </c>
      <c r="G44" s="4">
        <f>'Cost Pool Data'!$K$42</f>
        <v>1.51761435929636</v>
      </c>
      <c r="H44" s="2">
        <f t="shared" si="0"/>
        <v>3.5412069323251835E-3</v>
      </c>
      <c r="I44" s="2">
        <f t="shared" si="1"/>
        <v>9.3569392392394712E-5</v>
      </c>
    </row>
    <row r="45" spans="1:10" x14ac:dyDescent="0.25">
      <c r="B45" t="s">
        <v>143</v>
      </c>
      <c r="C45" s="4">
        <f>(C39+C40)*(1+'Other Inputs'!$B$9)</f>
        <v>2.754300342543196E-2</v>
      </c>
      <c r="D45" s="4">
        <f>'Mailer Arrival Profile'!$I$25</f>
        <v>50.533333333333331</v>
      </c>
      <c r="E45" s="4">
        <f>'Productivity Data'!$I$19</f>
        <v>3068.1109131264348</v>
      </c>
      <c r="F45" s="2">
        <f>'Wage Data'!$C$11</f>
        <v>49.154294657004115</v>
      </c>
      <c r="G45" s="4">
        <f>'Cost Pool Data'!$K$46</f>
        <v>1.6196174573049362</v>
      </c>
      <c r="H45" s="2">
        <f t="shared" si="0"/>
        <v>5.1348163544311597E-4</v>
      </c>
      <c r="I45" s="2">
        <f t="shared" si="1"/>
        <v>1.4142826443906148E-5</v>
      </c>
    </row>
    <row r="46" spans="1:10" x14ac:dyDescent="0.25">
      <c r="B46" s="9" t="s">
        <v>355</v>
      </c>
      <c r="C46" s="4">
        <f>C39+C40</f>
        <v>2.6423023048516493E-2</v>
      </c>
      <c r="D46" s="4">
        <f>'Mailer Arrival Profile'!$I$25</f>
        <v>50.533333333333331</v>
      </c>
      <c r="E46" s="4">
        <f>'Productivity Data'!$I$43</f>
        <v>146.75954594651517</v>
      </c>
      <c r="F46" s="2">
        <f>'Wage Data'!$C$11</f>
        <v>49.154294657004115</v>
      </c>
      <c r="G46" s="4">
        <f>'Cost Pool Data'!$K$42</f>
        <v>1.51761435929636</v>
      </c>
      <c r="H46" s="2">
        <f t="shared" si="0"/>
        <v>1.0058624358173633E-2</v>
      </c>
      <c r="I46" s="2">
        <f t="shared" si="1"/>
        <v>2.6577926325239135E-4</v>
      </c>
    </row>
    <row r="47" spans="1:10" x14ac:dyDescent="0.25">
      <c r="B47" t="s">
        <v>145</v>
      </c>
      <c r="C47" s="4">
        <f>(C41+C42+C46)*(1+'Other Inputs'!$B$8)</f>
        <v>1.1202871749826209</v>
      </c>
      <c r="D47" s="4">
        <v>1</v>
      </c>
      <c r="E47" s="4">
        <f>'Productivity Data'!$I$18</f>
        <v>331.36480334855139</v>
      </c>
      <c r="F47" s="2">
        <f>'Wage Data'!$C$11</f>
        <v>49.154294657004115</v>
      </c>
      <c r="G47" s="4">
        <f>'Cost Pool Data'!$L$45</f>
        <v>2.0700178145522989</v>
      </c>
      <c r="H47" s="2">
        <f t="shared" si="0"/>
        <v>0.30706419201294521</v>
      </c>
      <c r="I47" s="2">
        <f t="shared" si="1"/>
        <v>0.34400007620850342</v>
      </c>
    </row>
    <row r="48" spans="1:10" x14ac:dyDescent="0.25">
      <c r="B48" s="68" t="s">
        <v>353</v>
      </c>
      <c r="C48" s="4">
        <f>(C41+C42+C46)*('Other Inputs'!$B$8)</f>
        <v>0.12028717498262087</v>
      </c>
      <c r="D48" s="4">
        <v>1</v>
      </c>
      <c r="E48" s="4">
        <f>'Productivity Data'!$I$47</f>
        <v>221.38133929687064</v>
      </c>
      <c r="F48" s="2">
        <f>'Wage Data'!$C$11</f>
        <v>49.154294657004115</v>
      </c>
      <c r="G48" s="4">
        <f>'Cost Pool Data'!$K$42</f>
        <v>1.51761435929636</v>
      </c>
      <c r="H48" s="2">
        <f t="shared" si="0"/>
        <v>0.33696274324422376</v>
      </c>
      <c r="I48" s="2">
        <f t="shared" si="1"/>
        <v>4.053229645924189E-2</v>
      </c>
    </row>
    <row r="49" spans="1:10" x14ac:dyDescent="0.25">
      <c r="B49" s="9" t="s">
        <v>354</v>
      </c>
      <c r="C49" s="4">
        <f>C48</f>
        <v>0.12028717498262087</v>
      </c>
      <c r="D49" s="4">
        <f>'Conversion Factors'!$L$34</f>
        <v>735.01168482138121</v>
      </c>
      <c r="E49" s="4">
        <f>'Productivity Data'!$I$40</f>
        <v>23.065925296264197</v>
      </c>
      <c r="F49" s="2">
        <f>'Wage Data'!$C$11</f>
        <v>49.154294657004115</v>
      </c>
      <c r="G49" s="4">
        <f>'Cost Pool Data'!$K$42</f>
        <v>1.51761435929636</v>
      </c>
      <c r="H49" s="2">
        <f t="shared" si="0"/>
        <v>4.4000516164500823E-3</v>
      </c>
      <c r="I49" s="2">
        <f t="shared" si="1"/>
        <v>5.2926977872049484E-4</v>
      </c>
    </row>
    <row r="50" spans="1:10" x14ac:dyDescent="0.25">
      <c r="B50" t="s">
        <v>235</v>
      </c>
      <c r="C50" s="4">
        <f>(C41+C42+C46)*'Postal Arrival-Dispatch Profile'!$B$21</f>
        <v>0.11896971780053392</v>
      </c>
      <c r="D50" s="4">
        <f>'Conversion Factors'!$L$43</f>
        <v>1026.6284310500428</v>
      </c>
      <c r="E50" s="4">
        <f>'Productivity Data'!$I$45</f>
        <v>55.582256364514194</v>
      </c>
      <c r="F50" s="2">
        <f>'Wage Data'!$C$11</f>
        <v>49.154294657004115</v>
      </c>
      <c r="G50" s="4">
        <f>'Cost Pool Data'!$K$43</f>
        <v>1.386023903258889</v>
      </c>
      <c r="H50" s="2">
        <f t="shared" si="0"/>
        <v>1.1939406213368406E-3</v>
      </c>
      <c r="I50" s="2">
        <f t="shared" si="1"/>
        <v>1.4204277879103805E-4</v>
      </c>
    </row>
    <row r="51" spans="1:10" x14ac:dyDescent="0.25">
      <c r="B51" t="s">
        <v>238</v>
      </c>
      <c r="C51" s="4">
        <f>(C41+C42+C46)*'Postal Arrival-Dispatch Profile'!$B$22</f>
        <v>8.0349918340229934E-2</v>
      </c>
      <c r="D51" s="4">
        <f>'Conversion Factors'!$L$44</f>
        <v>696.62449445262769</v>
      </c>
      <c r="E51" s="4">
        <f>'Productivity Data'!$I$44</f>
        <v>70.608822220868689</v>
      </c>
      <c r="F51" s="2">
        <f>'Wage Data'!$C$11</f>
        <v>49.154294657004115</v>
      </c>
      <c r="G51" s="4">
        <f>'Cost Pool Data'!$K$43</f>
        <v>1.386023903258889</v>
      </c>
      <c r="H51" s="2">
        <f t="shared" si="0"/>
        <v>1.3850787949250677E-3</v>
      </c>
      <c r="I51" s="2">
        <f t="shared" si="1"/>
        <v>1.1129096806701327E-4</v>
      </c>
    </row>
    <row r="52" spans="1:10" x14ac:dyDescent="0.25">
      <c r="B52" t="s">
        <v>236</v>
      </c>
      <c r="C52" s="4">
        <f>(C41+C42+C46)*'Postal Arrival-Dispatch Profile'!$B$23</f>
        <v>0.60164685859127154</v>
      </c>
      <c r="D52" s="4">
        <f>'Conversion Factors'!$L$45</f>
        <v>1310.6924574440295</v>
      </c>
      <c r="E52" s="4">
        <f>'Productivity Data'!$I$44</f>
        <v>70.608822220868689</v>
      </c>
      <c r="F52" s="2">
        <f>'Wage Data'!$C$11</f>
        <v>49.154294657004115</v>
      </c>
      <c r="G52" s="4">
        <f>'Cost Pool Data'!$K$43</f>
        <v>1.386023903258889</v>
      </c>
      <c r="H52" s="2">
        <f t="shared" si="0"/>
        <v>7.3616034777016599E-4</v>
      </c>
      <c r="I52" s="2">
        <f t="shared" si="1"/>
        <v>4.4290856065537835E-4</v>
      </c>
    </row>
    <row r="53" spans="1:10" x14ac:dyDescent="0.25">
      <c r="A53" s="72"/>
      <c r="B53" s="74" t="s">
        <v>237</v>
      </c>
      <c r="C53" s="77">
        <f>(C41+C42+C46)*'Postal Arrival-Dispatch Profile'!$B$24</f>
        <v>0.19903350526796459</v>
      </c>
      <c r="D53" s="77">
        <f>'Conversion Factors'!$L$46</f>
        <v>673.62492731429006</v>
      </c>
      <c r="E53" s="77">
        <f>'Productivity Data'!$I$44</f>
        <v>70.608822220868689</v>
      </c>
      <c r="F53" s="78">
        <f>'Wage Data'!$C$11</f>
        <v>49.154294657004115</v>
      </c>
      <c r="G53" s="77">
        <f>'Cost Pool Data'!$K$43</f>
        <v>1.386023903258889</v>
      </c>
      <c r="H53" s="78">
        <f t="shared" si="0"/>
        <v>1.4323695222186316E-3</v>
      </c>
      <c r="I53" s="78">
        <f t="shared" si="1"/>
        <v>2.8508952684617393E-4</v>
      </c>
      <c r="J53" s="76">
        <f>SUM(I37:I53)</f>
        <v>0.39015951807423754</v>
      </c>
    </row>
    <row r="54" spans="1:10" x14ac:dyDescent="0.25">
      <c r="A54" s="6" t="s">
        <v>243</v>
      </c>
      <c r="B54" t="s">
        <v>215</v>
      </c>
      <c r="C54" s="4">
        <f>C50*'Other Inputs'!$B$20</f>
        <v>1.1342186015537934E-2</v>
      </c>
      <c r="D54" s="4">
        <f>'Conversion Factors'!$L$43</f>
        <v>1026.6284310500428</v>
      </c>
      <c r="E54" s="4">
        <f>'Productivity Data'!$I$34</f>
        <v>58.924683317790674</v>
      </c>
      <c r="F54" s="2">
        <f>'Wage Data'!$C$11</f>
        <v>49.154294657004115</v>
      </c>
      <c r="G54" s="4">
        <f>'Cost Pool Data'!$K$27</f>
        <v>1.3606061934437479</v>
      </c>
      <c r="H54" s="2">
        <f t="shared" si="0"/>
        <v>1.1055626740400066E-3</v>
      </c>
      <c r="I54" s="2">
        <f t="shared" si="1"/>
        <v>1.2539497500797286E-5</v>
      </c>
    </row>
    <row r="55" spans="1:10" x14ac:dyDescent="0.25">
      <c r="A55" s="6" t="s">
        <v>244</v>
      </c>
      <c r="B55" t="s">
        <v>216</v>
      </c>
      <c r="C55" s="4">
        <f>C51*'Other Inputs'!$B$20</f>
        <v>7.6602999233480662E-3</v>
      </c>
      <c r="D55" s="4">
        <f>'Conversion Factors'!$L$44</f>
        <v>696.62449445262769</v>
      </c>
      <c r="E55" s="4">
        <f>'Productivity Data'!$I$33</f>
        <v>74.637919630667881</v>
      </c>
      <c r="F55" s="2">
        <f>'Wage Data'!$C$11</f>
        <v>49.154294657004115</v>
      </c>
      <c r="G55" s="4">
        <f>'Cost Pool Data'!$K$27</f>
        <v>1.3606061934437479</v>
      </c>
      <c r="H55" s="2">
        <f t="shared" si="0"/>
        <v>1.2862803800322024E-3</v>
      </c>
      <c r="I55" s="2">
        <f t="shared" si="1"/>
        <v>9.8532934965648019E-6</v>
      </c>
    </row>
    <row r="56" spans="1:10" x14ac:dyDescent="0.25">
      <c r="B56" t="s">
        <v>217</v>
      </c>
      <c r="C56" s="4">
        <f>C52*'Other Inputs'!$B$20</f>
        <v>5.735905499286327E-2</v>
      </c>
      <c r="D56" s="4">
        <f>'Conversion Factors'!$L$45</f>
        <v>1310.6924574440295</v>
      </c>
      <c r="E56" s="4">
        <f>'Productivity Data'!$I$33</f>
        <v>74.637919630667881</v>
      </c>
      <c r="F56" s="2">
        <f>'Wage Data'!$C$11</f>
        <v>49.154294657004115</v>
      </c>
      <c r="G56" s="4">
        <f>'Cost Pool Data'!$K$27</f>
        <v>1.3606061934437479</v>
      </c>
      <c r="H56" s="2">
        <f t="shared" si="0"/>
        <v>6.8364963449294217E-4</v>
      </c>
      <c r="I56" s="2">
        <f t="shared" si="1"/>
        <v>3.9213496980731544E-5</v>
      </c>
    </row>
    <row r="57" spans="1:10" x14ac:dyDescent="0.25">
      <c r="B57" t="s">
        <v>218</v>
      </c>
      <c r="C57" s="4">
        <f>C53*'Other Inputs'!$B$20</f>
        <v>1.897520715194697E-2</v>
      </c>
      <c r="D57" s="4">
        <f>'Conversion Factors'!$L$46</f>
        <v>673.62492731429006</v>
      </c>
      <c r="E57" s="4">
        <f>'Productivity Data'!$I$33</f>
        <v>74.637919630667881</v>
      </c>
      <c r="F57" s="2">
        <f>'Wage Data'!$C$11</f>
        <v>49.154294657004115</v>
      </c>
      <c r="G57" s="4">
        <f>'Cost Pool Data'!$K$27</f>
        <v>1.3606061934437479</v>
      </c>
      <c r="H57" s="2">
        <f t="shared" si="0"/>
        <v>1.3301978343301405E-3</v>
      </c>
      <c r="I57" s="2">
        <f t="shared" si="1"/>
        <v>2.5240779459485653E-5</v>
      </c>
    </row>
    <row r="58" spans="1:10" x14ac:dyDescent="0.25">
      <c r="B58" t="s">
        <v>204</v>
      </c>
      <c r="C58" s="4">
        <f>'Other Inputs'!$B$17*(1+'Other Inputs'!$B$10)</f>
        <v>4.1075213808213225E-2</v>
      </c>
      <c r="D58" s="4">
        <v>1</v>
      </c>
      <c r="E58" s="4">
        <f>'Productivity Data'!$I$10</f>
        <v>245.20305602978507</v>
      </c>
      <c r="F58" s="2">
        <f>'Wage Data'!$C$11</f>
        <v>49.154294657004115</v>
      </c>
      <c r="G58" s="4">
        <f>'Cost Pool Data'!$L$14</f>
        <v>1.8052502472456198</v>
      </c>
      <c r="H58" s="2">
        <f t="shared" si="0"/>
        <v>0.36188701731336453</v>
      </c>
      <c r="I58" s="2">
        <f t="shared" si="1"/>
        <v>1.4864586610563009E-2</v>
      </c>
    </row>
    <row r="59" spans="1:10" x14ac:dyDescent="0.25">
      <c r="B59" s="9" t="s">
        <v>363</v>
      </c>
      <c r="C59" s="4">
        <f>'Other Inputs'!$B$18*(1+'Other Inputs'!$B$11)</f>
        <v>2.6656991902813034E-2</v>
      </c>
      <c r="D59" s="4">
        <v>1</v>
      </c>
      <c r="E59" s="4">
        <f>'Productivity Data'!$I$11</f>
        <v>190.80521220652753</v>
      </c>
      <c r="F59" s="2">
        <f>'Wage Data'!$C$11</f>
        <v>49.154294657004115</v>
      </c>
      <c r="G59" s="4">
        <f>'Cost Pool Data'!$L$11</f>
        <v>1.6056412614911089</v>
      </c>
      <c r="H59" s="2">
        <f t="shared" si="0"/>
        <v>0.41363735700967258</v>
      </c>
      <c r="I59" s="2">
        <f t="shared" si="1"/>
        <v>1.1026327676507826E-2</v>
      </c>
    </row>
    <row r="60" spans="1:10" x14ac:dyDescent="0.25">
      <c r="B60" t="s">
        <v>245</v>
      </c>
      <c r="C60" s="4">
        <f>'Other Inputs'!$B$19</f>
        <v>3.4773485341240841E-2</v>
      </c>
      <c r="D60" s="4">
        <v>1</v>
      </c>
      <c r="E60" s="4">
        <f>'Productivity Data'!$I$15</f>
        <v>47.994690148863093</v>
      </c>
      <c r="F60" s="2">
        <f>'Wage Data'!$C$11</f>
        <v>49.154294657004115</v>
      </c>
      <c r="G60" s="4">
        <f>'Cost Pool Data'!$K$16</f>
        <v>1.3208756008457678</v>
      </c>
      <c r="H60" s="2">
        <f t="shared" si="0"/>
        <v>1.3527894083249588</v>
      </c>
      <c r="I60" s="2">
        <f t="shared" si="1"/>
        <v>4.7041202660173823E-2</v>
      </c>
    </row>
    <row r="61" spans="1:10" x14ac:dyDescent="0.25">
      <c r="A61" s="72"/>
      <c r="B61" s="79" t="s">
        <v>248</v>
      </c>
      <c r="C61" s="49">
        <f>SUM(C54:C57)</f>
        <v>9.5336748083696243E-2</v>
      </c>
      <c r="D61" s="49">
        <f>'Conversion Factors'!$L$48</f>
        <v>400.86107774048043</v>
      </c>
      <c r="E61" s="49">
        <f>'Productivity Data'!$I$35</f>
        <v>82.063608851111439</v>
      </c>
      <c r="F61" s="48">
        <f>'Wage Data'!$C$11</f>
        <v>49.154294657004115</v>
      </c>
      <c r="G61" s="49">
        <f>'Cost Pool Data'!$K$27</f>
        <v>1.3606061934437479</v>
      </c>
      <c r="H61" s="48">
        <f t="shared" si="0"/>
        <v>2.0330563242743258E-3</v>
      </c>
      <c r="I61" s="75">
        <f t="shared" si="1"/>
        <v>1.9382497862730687E-4</v>
      </c>
      <c r="J61" s="76">
        <f>SUM(I54:I61)</f>
        <v>7.3212788993309547E-2</v>
      </c>
    </row>
    <row r="62" spans="1:10" x14ac:dyDescent="0.25">
      <c r="A62" s="6" t="s">
        <v>243</v>
      </c>
      <c r="B62" t="s">
        <v>215</v>
      </c>
      <c r="C62" s="4">
        <f>C50*(1-'Other Inputs'!$B$20)</f>
        <v>0.107627531784996</v>
      </c>
      <c r="D62" s="4">
        <f>'Conversion Factors'!$L$43</f>
        <v>1026.6284310500428</v>
      </c>
      <c r="E62" s="4">
        <f>'Productivity Data'!$I$28</f>
        <v>58.156985400220201</v>
      </c>
      <c r="F62" s="2">
        <f>'Wage Data'!$C$11</f>
        <v>49.154294657004115</v>
      </c>
      <c r="G62" s="4">
        <f>'Cost Pool Data'!$K$27</f>
        <v>1.3606061934437479</v>
      </c>
      <c r="H62" s="2">
        <f t="shared" si="0"/>
        <v>1.1201565900891858E-3</v>
      </c>
      <c r="I62" s="2">
        <f t="shared" si="1"/>
        <v>1.2055968900399658E-4</v>
      </c>
    </row>
    <row r="63" spans="1:10" x14ac:dyDescent="0.25">
      <c r="A63" s="6" t="s">
        <v>241</v>
      </c>
      <c r="B63" t="s">
        <v>216</v>
      </c>
      <c r="C63" s="4">
        <f>C51*(1-'Other Inputs'!$B$20)</f>
        <v>7.2689618416881874E-2</v>
      </c>
      <c r="D63" s="4">
        <f>'Conversion Factors'!$L$44</f>
        <v>696.62449445262769</v>
      </c>
      <c r="E63" s="4">
        <f>'Productivity Data'!$I$27</f>
        <v>81.873572020007202</v>
      </c>
      <c r="F63" s="2">
        <f>'Wage Data'!$C$11</f>
        <v>49.154294657004115</v>
      </c>
      <c r="G63" s="4">
        <f>'Cost Pool Data'!$K$27</f>
        <v>1.3606061934437479</v>
      </c>
      <c r="H63" s="2">
        <f t="shared" si="0"/>
        <v>1.172604165894801E-3</v>
      </c>
      <c r="I63" s="2">
        <f t="shared" si="1"/>
        <v>8.5236149372939129E-5</v>
      </c>
    </row>
    <row r="64" spans="1:10" x14ac:dyDescent="0.25">
      <c r="B64" t="s">
        <v>217</v>
      </c>
      <c r="C64" s="4">
        <f>C52*(1-'Other Inputs'!$B$20)</f>
        <v>0.54428780359840834</v>
      </c>
      <c r="D64" s="4">
        <f>'Conversion Factors'!$L$45</f>
        <v>1310.6924574440295</v>
      </c>
      <c r="E64" s="4">
        <f>'Productivity Data'!$I$27</f>
        <v>81.873572020007202</v>
      </c>
      <c r="F64" s="2">
        <f>'Wage Data'!$C$11</f>
        <v>49.154294657004115</v>
      </c>
      <c r="G64" s="4">
        <f>'Cost Pool Data'!$K$27</f>
        <v>1.3606061934437479</v>
      </c>
      <c r="H64" s="2">
        <f t="shared" si="0"/>
        <v>6.2323146793144156E-4</v>
      </c>
      <c r="I64" s="2">
        <f t="shared" si="1"/>
        <v>3.3921728681381619E-4</v>
      </c>
    </row>
    <row r="65" spans="1:10" x14ac:dyDescent="0.25">
      <c r="B65" t="s">
        <v>218</v>
      </c>
      <c r="C65" s="4">
        <f>C53*(1-'Other Inputs'!$B$20)</f>
        <v>0.18005829811601765</v>
      </c>
      <c r="D65" s="4">
        <f>'Conversion Factors'!$L$46</f>
        <v>673.62492731429006</v>
      </c>
      <c r="E65" s="4">
        <f>'Productivity Data'!$I$27</f>
        <v>81.873572020007202</v>
      </c>
      <c r="F65" s="2">
        <f>'Wage Data'!$C$11</f>
        <v>49.154294657004115</v>
      </c>
      <c r="G65" s="4">
        <f>'Cost Pool Data'!$K$27</f>
        <v>1.3606061934437479</v>
      </c>
      <c r="H65" s="2">
        <f t="shared" si="0"/>
        <v>1.2126403746908702E-3</v>
      </c>
      <c r="I65" s="2">
        <f t="shared" si="1"/>
        <v>2.1834596209360804E-4</v>
      </c>
    </row>
    <row r="66" spans="1:10" x14ac:dyDescent="0.25">
      <c r="B66" t="s">
        <v>249</v>
      </c>
      <c r="C66" s="4">
        <f>'Other Inputs'!$B$23</f>
        <v>5.279665233179142E-2</v>
      </c>
      <c r="D66" s="4">
        <f>'Conversion Factors'!$L$48</f>
        <v>400.86107774048043</v>
      </c>
      <c r="E66" s="4">
        <f>'Productivity Data'!$I$27</f>
        <v>81.873572020007202</v>
      </c>
      <c r="F66" s="2">
        <f>'Wage Data'!$C$11</f>
        <v>49.154294657004115</v>
      </c>
      <c r="G66" s="4">
        <f>'Cost Pool Data'!$K$27</f>
        <v>1.3606061934437479</v>
      </c>
      <c r="H66" s="2">
        <f>(F66*G66)/(D66*E66)</f>
        <v>2.0377752533718265E-3</v>
      </c>
      <c r="I66" s="2">
        <f>C66*H66</f>
        <v>1.075877115826005E-4</v>
      </c>
    </row>
    <row r="67" spans="1:10" x14ac:dyDescent="0.25">
      <c r="B67" t="s">
        <v>219</v>
      </c>
      <c r="C67" s="4">
        <f t="shared" ref="C67:C80" si="4">C62</f>
        <v>0.107627531784996</v>
      </c>
      <c r="D67" s="4">
        <f>'Conversion Factors'!$L$43</f>
        <v>1026.6284310500428</v>
      </c>
      <c r="E67" s="4">
        <f>'Productivity Data'!$I$30</f>
        <v>39.899251235537818</v>
      </c>
      <c r="F67" s="2">
        <f>'Wage Data'!$C$11</f>
        <v>49.154294657004115</v>
      </c>
      <c r="G67" s="4">
        <f>'Cost Pool Data'!$K$27</f>
        <v>1.3606061934437479</v>
      </c>
      <c r="H67" s="2">
        <f t="shared" si="0"/>
        <v>1.6327356639152506E-3</v>
      </c>
      <c r="I67" s="2">
        <f t="shared" si="1"/>
        <v>1.7572730956453517E-4</v>
      </c>
    </row>
    <row r="68" spans="1:10" x14ac:dyDescent="0.25">
      <c r="B68" t="s">
        <v>220</v>
      </c>
      <c r="C68" s="4">
        <f t="shared" si="4"/>
        <v>7.2689618416881874E-2</v>
      </c>
      <c r="D68" s="4">
        <f>'Conversion Factors'!$L$44</f>
        <v>696.62449445262769</v>
      </c>
      <c r="E68" s="4">
        <f>'Productivity Data'!$I$29</f>
        <v>50.764395048330648</v>
      </c>
      <c r="F68" s="2">
        <f>'Wage Data'!$C$11</f>
        <v>49.154294657004115</v>
      </c>
      <c r="G68" s="4">
        <f>'Cost Pool Data'!$K$27</f>
        <v>1.3606061934437479</v>
      </c>
      <c r="H68" s="2">
        <f t="shared" si="0"/>
        <v>1.8911934543087898E-3</v>
      </c>
      <c r="I68" s="2">
        <f t="shared" si="1"/>
        <v>1.3747013054621067E-4</v>
      </c>
    </row>
    <row r="69" spans="1:10" x14ac:dyDescent="0.25">
      <c r="B69" t="s">
        <v>221</v>
      </c>
      <c r="C69" s="4">
        <f t="shared" si="4"/>
        <v>0.54428780359840834</v>
      </c>
      <c r="D69" s="4">
        <f>'Conversion Factors'!$L$45</f>
        <v>1310.6924574440295</v>
      </c>
      <c r="E69" s="4">
        <f>'Productivity Data'!$I$29</f>
        <v>50.764395048330648</v>
      </c>
      <c r="F69" s="2">
        <f>'Wage Data'!$C$11</f>
        <v>49.154294657004115</v>
      </c>
      <c r="G69" s="4">
        <f>'Cost Pool Data'!$K$27</f>
        <v>1.3606061934437479</v>
      </c>
      <c r="H69" s="2">
        <f t="shared" si="0"/>
        <v>1.0051569889927734E-3</v>
      </c>
      <c r="I69" s="2">
        <f t="shared" si="1"/>
        <v>5.4709468981046616E-4</v>
      </c>
    </row>
    <row r="70" spans="1:10" x14ac:dyDescent="0.25">
      <c r="B70" t="s">
        <v>222</v>
      </c>
      <c r="C70" s="4">
        <f t="shared" si="4"/>
        <v>0.18005829811601765</v>
      </c>
      <c r="D70" s="4">
        <f>'Conversion Factors'!$L$46</f>
        <v>673.62492731429006</v>
      </c>
      <c r="E70" s="4">
        <f>'Productivity Data'!$I$29</f>
        <v>50.764395048330648</v>
      </c>
      <c r="F70" s="2">
        <f>'Wage Data'!$C$11</f>
        <v>49.154294657004115</v>
      </c>
      <c r="G70" s="4">
        <f>'Cost Pool Data'!$K$27</f>
        <v>1.3606061934437479</v>
      </c>
      <c r="H70" s="2">
        <f t="shared" si="0"/>
        <v>1.9557644478398317E-3</v>
      </c>
      <c r="I70" s="2">
        <f t="shared" si="1"/>
        <v>3.5215161799385307E-4</v>
      </c>
    </row>
    <row r="71" spans="1:10" x14ac:dyDescent="0.25">
      <c r="B71" t="s">
        <v>252</v>
      </c>
      <c r="C71" s="4">
        <f t="shared" si="4"/>
        <v>5.279665233179142E-2</v>
      </c>
      <c r="D71" s="4">
        <f>'Conversion Factors'!$L$48</f>
        <v>400.86107774048043</v>
      </c>
      <c r="E71" s="4">
        <f>'Productivity Data'!$I$29</f>
        <v>50.764395048330648</v>
      </c>
      <c r="F71" s="2">
        <f>'Wage Data'!$C$11</f>
        <v>49.154294657004115</v>
      </c>
      <c r="G71" s="4">
        <f>'Cost Pool Data'!$K$27</f>
        <v>1.3606061934437479</v>
      </c>
      <c r="H71" s="2">
        <f>(F71*G71)/(D71*E71)</f>
        <v>3.2865542632525288E-3</v>
      </c>
      <c r="I71" s="2">
        <f>C71*H71</f>
        <v>1.7351906280651066E-4</v>
      </c>
    </row>
    <row r="72" spans="1:10" x14ac:dyDescent="0.25">
      <c r="B72" t="s">
        <v>235</v>
      </c>
      <c r="C72" s="4">
        <f t="shared" si="4"/>
        <v>0.107627531784996</v>
      </c>
      <c r="D72" s="4">
        <f>'Conversion Factors'!$L$43</f>
        <v>1026.6284310500428</v>
      </c>
      <c r="E72" s="4">
        <f>'Productivity Data'!$I$32</f>
        <v>61.728448910094343</v>
      </c>
      <c r="F72" s="2">
        <f>'Wage Data'!$C$11</f>
        <v>49.154294657004115</v>
      </c>
      <c r="G72" s="4">
        <f>'Cost Pool Data'!$K$27</f>
        <v>1.3606061934437479</v>
      </c>
      <c r="H72" s="2">
        <f t="shared" si="0"/>
        <v>1.0553469527585066E-3</v>
      </c>
      <c r="I72" s="2">
        <f t="shared" si="1"/>
        <v>1.1358438770221484E-4</v>
      </c>
    </row>
    <row r="73" spans="1:10" x14ac:dyDescent="0.25">
      <c r="B73" t="s">
        <v>238</v>
      </c>
      <c r="C73" s="4">
        <f t="shared" si="4"/>
        <v>7.2689618416881874E-2</v>
      </c>
      <c r="D73" s="4">
        <f>'Conversion Factors'!$L$44</f>
        <v>696.62449445262769</v>
      </c>
      <c r="E73" s="4">
        <f>'Productivity Data'!$I$31</f>
        <v>91.071587890934111</v>
      </c>
      <c r="F73" s="2">
        <f>'Wage Data'!$C$11</f>
        <v>49.154294657004115</v>
      </c>
      <c r="G73" s="4">
        <f>'Cost Pool Data'!$K$27</f>
        <v>1.3606061934437479</v>
      </c>
      <c r="H73" s="2">
        <f t="shared" si="0"/>
        <v>1.0541739070402823E-3</v>
      </c>
      <c r="I73" s="2">
        <f t="shared" si="1"/>
        <v>7.6627499047791627E-5</v>
      </c>
    </row>
    <row r="74" spans="1:10" x14ac:dyDescent="0.25">
      <c r="B74" t="s">
        <v>236</v>
      </c>
      <c r="C74" s="4">
        <f t="shared" si="4"/>
        <v>0.54428780359840834</v>
      </c>
      <c r="D74" s="4">
        <f>'Conversion Factors'!$L$45</f>
        <v>1310.6924574440295</v>
      </c>
      <c r="E74" s="4">
        <f>'Productivity Data'!$I$31</f>
        <v>91.071587890934111</v>
      </c>
      <c r="F74" s="2">
        <f>'Wage Data'!$C$11</f>
        <v>49.154294657004115</v>
      </c>
      <c r="G74" s="4">
        <f>'Cost Pool Data'!$K$27</f>
        <v>1.3606061934437479</v>
      </c>
      <c r="H74" s="2">
        <f t="shared" si="0"/>
        <v>5.6028655760266132E-4</v>
      </c>
      <c r="I74" s="2">
        <f t="shared" si="1"/>
        <v>3.0495713982326561E-4</v>
      </c>
    </row>
    <row r="75" spans="1:10" x14ac:dyDescent="0.25">
      <c r="B75" t="s">
        <v>237</v>
      </c>
      <c r="C75" s="4">
        <f t="shared" si="4"/>
        <v>0.18005829811601765</v>
      </c>
      <c r="D75" s="4">
        <f>'Conversion Factors'!$L$46</f>
        <v>673.62492731429006</v>
      </c>
      <c r="E75" s="4">
        <f>'Productivity Data'!$I$31</f>
        <v>91.071587890934111</v>
      </c>
      <c r="F75" s="2">
        <f>'Wage Data'!$C$11</f>
        <v>49.154294657004115</v>
      </c>
      <c r="G75" s="4">
        <f>'Cost Pool Data'!$K$27</f>
        <v>1.3606061934437479</v>
      </c>
      <c r="H75" s="2">
        <f>(F75*G75)/(D75*E75)</f>
        <v>1.0901665530474935E-3</v>
      </c>
      <c r="I75" s="2">
        <f>C75*H75</f>
        <v>1.9629353420473695E-4</v>
      </c>
    </row>
    <row r="76" spans="1:10" x14ac:dyDescent="0.25">
      <c r="A76" s="72"/>
      <c r="B76" s="79" t="s">
        <v>248</v>
      </c>
      <c r="C76" s="49">
        <f t="shared" si="4"/>
        <v>5.279665233179142E-2</v>
      </c>
      <c r="D76" s="49">
        <f>'Conversion Factors'!$L$48</f>
        <v>400.86107774048043</v>
      </c>
      <c r="E76" s="49">
        <f>'Productivity Data'!$I$31</f>
        <v>91.071587890934111</v>
      </c>
      <c r="F76" s="48">
        <f>'Wage Data'!$C$11</f>
        <v>49.154294657004115</v>
      </c>
      <c r="G76" s="49">
        <f>'Cost Pool Data'!$K$27</f>
        <v>1.3606061934437479</v>
      </c>
      <c r="H76" s="48">
        <f t="shared" si="0"/>
        <v>1.8319647524684813E-3</v>
      </c>
      <c r="I76" s="75">
        <f t="shared" si="1"/>
        <v>9.6721606120174733E-5</v>
      </c>
      <c r="J76" s="76">
        <f>SUM(I62:I76)</f>
        <v>3.04509377648672E-3</v>
      </c>
    </row>
    <row r="77" spans="1:10" x14ac:dyDescent="0.25">
      <c r="A77" s="6" t="s">
        <v>243</v>
      </c>
      <c r="B77" t="s">
        <v>215</v>
      </c>
      <c r="C77" s="4">
        <f t="shared" si="4"/>
        <v>0.107627531784996</v>
      </c>
      <c r="D77" s="4">
        <f>'Conversion Factors'!$L$43</f>
        <v>1026.6284310500428</v>
      </c>
      <c r="E77" s="4">
        <f>'Productivity Data'!$I$26</f>
        <v>48.58034429266948</v>
      </c>
      <c r="F77" s="2">
        <f>'Wage Data'!$C$11</f>
        <v>49.154294657004115</v>
      </c>
      <c r="G77" s="4">
        <f>'Cost Pool Data'!$K$48</f>
        <v>1.6214860636540271</v>
      </c>
      <c r="H77" s="2">
        <f t="shared" si="0"/>
        <v>1.598088452058702E-3</v>
      </c>
      <c r="I77" s="2">
        <f t="shared" si="1"/>
        <v>1.7199831566918299E-4</v>
      </c>
    </row>
    <row r="78" spans="1:10" x14ac:dyDescent="0.25">
      <c r="A78" s="6" t="s">
        <v>85</v>
      </c>
      <c r="B78" t="s">
        <v>216</v>
      </c>
      <c r="C78" s="4">
        <f t="shared" si="4"/>
        <v>7.2689618416881874E-2</v>
      </c>
      <c r="D78" s="4">
        <f>'Conversion Factors'!$L$44</f>
        <v>696.62449445262769</v>
      </c>
      <c r="E78" s="4">
        <f>'Productivity Data'!$I$25</f>
        <v>60.332591436644847</v>
      </c>
      <c r="F78" s="2">
        <f>'Wage Data'!$C$11</f>
        <v>49.154294657004115</v>
      </c>
      <c r="G78" s="4">
        <f>'Cost Pool Data'!$K$48</f>
        <v>1.6214860636540271</v>
      </c>
      <c r="H78" s="2">
        <f t="shared" si="0"/>
        <v>1.8963738947542759E-3</v>
      </c>
      <c r="I78" s="2">
        <f t="shared" si="1"/>
        <v>1.3784669478542443E-4</v>
      </c>
    </row>
    <row r="79" spans="1:10" x14ac:dyDescent="0.25">
      <c r="B79" t="s">
        <v>217</v>
      </c>
      <c r="C79" s="4">
        <f t="shared" si="4"/>
        <v>0.54428780359840834</v>
      </c>
      <c r="D79" s="4">
        <f>'Conversion Factors'!$L$45</f>
        <v>1310.6924574440295</v>
      </c>
      <c r="E79" s="4">
        <f>'Productivity Data'!$I$25</f>
        <v>60.332591436644847</v>
      </c>
      <c r="F79" s="2">
        <f>'Wage Data'!$C$11</f>
        <v>49.154294657004115</v>
      </c>
      <c r="G79" s="4">
        <f>'Cost Pool Data'!$K$48</f>
        <v>1.6214860636540271</v>
      </c>
      <c r="H79" s="2">
        <f t="shared" si="0"/>
        <v>1.0079103593092671E-3</v>
      </c>
      <c r="I79" s="2">
        <f t="shared" si="1"/>
        <v>5.4859331569252355E-4</v>
      </c>
    </row>
    <row r="80" spans="1:10" x14ac:dyDescent="0.25">
      <c r="B80" t="s">
        <v>218</v>
      </c>
      <c r="C80" s="4">
        <f t="shared" si="4"/>
        <v>0.18005829811601765</v>
      </c>
      <c r="D80" s="4">
        <f>'Conversion Factors'!$L$46</f>
        <v>673.62492731429006</v>
      </c>
      <c r="E80" s="4">
        <f>'Productivity Data'!$I$25</f>
        <v>60.332591436644847</v>
      </c>
      <c r="F80" s="2">
        <f>'Wage Data'!$C$11</f>
        <v>49.154294657004115</v>
      </c>
      <c r="G80" s="4">
        <f>'Cost Pool Data'!$K$48</f>
        <v>1.6214860636540271</v>
      </c>
      <c r="H80" s="2">
        <f t="shared" si="0"/>
        <v>1.9611217639961191E-3</v>
      </c>
      <c r="I80" s="2">
        <f t="shared" si="1"/>
        <v>3.5311624722342359E-4</v>
      </c>
    </row>
    <row r="81" spans="1:10" x14ac:dyDescent="0.25">
      <c r="B81" t="s">
        <v>249</v>
      </c>
      <c r="C81" s="4">
        <f>C61</f>
        <v>9.5336748083696243E-2</v>
      </c>
      <c r="D81" s="4">
        <f>'Conversion Factors'!$L$48</f>
        <v>400.86107774048043</v>
      </c>
      <c r="E81" s="4">
        <f>'Productivity Data'!$I$25</f>
        <v>60.332591436644847</v>
      </c>
      <c r="F81" s="2">
        <f>'Wage Data'!$C$11</f>
        <v>49.154294657004115</v>
      </c>
      <c r="G81" s="4">
        <f>'Cost Pool Data'!$K$48</f>
        <v>1.6214860636540271</v>
      </c>
      <c r="H81" s="2">
        <f>(F81*G81)/(D81*E81)</f>
        <v>3.2955569375124503E-3</v>
      </c>
      <c r="I81" s="2">
        <f>C81*H81</f>
        <v>3.1418768154710196E-4</v>
      </c>
    </row>
    <row r="82" spans="1:10" x14ac:dyDescent="0.25">
      <c r="A82" s="72"/>
      <c r="B82" s="79" t="s">
        <v>135</v>
      </c>
      <c r="C82" s="49">
        <f>SUM(C77:C81)</f>
        <v>1</v>
      </c>
      <c r="D82" s="49">
        <v>1</v>
      </c>
      <c r="E82" s="49">
        <f>'Productivity Data'!$I$22</f>
        <v>307.66822713635111</v>
      </c>
      <c r="F82" s="48">
        <f>'Wage Data'!$C$11</f>
        <v>49.154294657004115</v>
      </c>
      <c r="G82" s="49">
        <f>'Cost Pool Data'!$K$57</f>
        <v>1.4957786551922303</v>
      </c>
      <c r="H82" s="48">
        <f t="shared" si="0"/>
        <v>0.23897152280983572</v>
      </c>
      <c r="I82" s="75">
        <f t="shared" si="1"/>
        <v>0.23897152280983572</v>
      </c>
      <c r="J82" s="76">
        <f>SUM(I77:I82)</f>
        <v>0.24049726506475338</v>
      </c>
    </row>
    <row r="84" spans="1:10" x14ac:dyDescent="0.25">
      <c r="A84" s="29" t="s">
        <v>259</v>
      </c>
      <c r="I84" s="80" t="s">
        <v>203</v>
      </c>
      <c r="J84" s="81">
        <f>J16+J28+J36+J53+J61+J76+J82</f>
        <v>0.7103127955684323</v>
      </c>
    </row>
    <row r="85" spans="1:10" x14ac:dyDescent="0.25">
      <c r="A85" s="6" t="s">
        <v>296</v>
      </c>
      <c r="G85"/>
      <c r="H85"/>
      <c r="I85"/>
    </row>
    <row r="86" spans="1:10" x14ac:dyDescent="0.25">
      <c r="A86" s="6" t="s">
        <v>297</v>
      </c>
    </row>
    <row r="87" spans="1:10" x14ac:dyDescent="0.25">
      <c r="A87" s="6" t="s">
        <v>298</v>
      </c>
    </row>
    <row r="88" spans="1:10" x14ac:dyDescent="0.25">
      <c r="A88" s="6" t="s">
        <v>299</v>
      </c>
    </row>
    <row r="89" spans="1:10" x14ac:dyDescent="0.25">
      <c r="A89" s="6" t="s">
        <v>277</v>
      </c>
    </row>
    <row r="90" spans="1:10" x14ac:dyDescent="0.25">
      <c r="A90" s="6" t="s">
        <v>300</v>
      </c>
    </row>
    <row r="91" spans="1:10" x14ac:dyDescent="0.25">
      <c r="A91" s="6" t="s">
        <v>301</v>
      </c>
    </row>
  </sheetData>
  <phoneticPr fontId="3" type="noConversion"/>
  <printOptions horizontalCentered="1"/>
  <pageMargins left="0.75" right="0.75" top="1" bottom="1" header="0.5" footer="0.5"/>
  <pageSetup scale="57" orientation="portrait" r:id="rId1"/>
  <headerFooter alignWithMargins="0">
    <oddHeader>&amp;RPage 42 of 50</oddHeader>
    <oddFooter>&amp;R&amp;F</oddFooter>
  </headerFooter>
  <ignoredErrors>
    <ignoredError sqref="G45 G47" formula="1"/>
  </ignoredError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 codeName="Sheet28">
    <pageSetUpPr fitToPage="1"/>
  </sheetPr>
  <dimension ref="A1:J63"/>
  <sheetViews>
    <sheetView topLeftCell="A27" zoomScale="75" workbookViewId="0">
      <selection activeCell="S43" sqref="S43"/>
    </sheetView>
  </sheetViews>
  <sheetFormatPr defaultColWidth="9.109375" defaultRowHeight="13.2" x14ac:dyDescent="0.25"/>
  <cols>
    <col min="1" max="1" width="15.6640625" style="6" customWidth="1"/>
    <col min="2" max="2" width="30.6640625" style="6" customWidth="1"/>
    <col min="3" max="5" width="12.6640625" style="4" customWidth="1"/>
    <col min="6" max="6" width="12.6640625" style="2" customWidth="1"/>
    <col min="7" max="7" width="12.6640625" style="4" customWidth="1"/>
    <col min="8" max="9" width="12.6640625" style="2" customWidth="1"/>
    <col min="10" max="10" width="12.6640625" customWidth="1"/>
  </cols>
  <sheetData>
    <row r="1" spans="1:10" ht="15.6" x14ac:dyDescent="0.3">
      <c r="A1" s="5" t="s">
        <v>416</v>
      </c>
      <c r="B1" s="5"/>
    </row>
    <row r="4" spans="1:10" x14ac:dyDescent="0.25">
      <c r="C4" s="8" t="s">
        <v>107</v>
      </c>
      <c r="D4" s="8" t="s">
        <v>108</v>
      </c>
      <c r="E4" s="8" t="s">
        <v>109</v>
      </c>
      <c r="F4" s="50" t="s">
        <v>112</v>
      </c>
      <c r="G4" s="8" t="s">
        <v>156</v>
      </c>
      <c r="H4" s="50" t="s">
        <v>157</v>
      </c>
      <c r="I4" s="50" t="s">
        <v>192</v>
      </c>
    </row>
    <row r="5" spans="1:10" x14ac:dyDescent="0.25">
      <c r="A5" s="70"/>
      <c r="F5" s="50" t="s">
        <v>155</v>
      </c>
      <c r="H5" s="50" t="s">
        <v>3</v>
      </c>
      <c r="I5" s="50" t="s">
        <v>3</v>
      </c>
    </row>
    <row r="6" spans="1:10" s="6" customFormat="1" x14ac:dyDescent="0.25">
      <c r="C6" s="8"/>
      <c r="D6" s="8" t="s">
        <v>202</v>
      </c>
      <c r="E6" s="8" t="s">
        <v>101</v>
      </c>
      <c r="F6" s="50" t="s">
        <v>103</v>
      </c>
      <c r="G6" s="8" t="s">
        <v>105</v>
      </c>
      <c r="H6" s="50" t="s">
        <v>207</v>
      </c>
      <c r="I6" s="50" t="s">
        <v>206</v>
      </c>
    </row>
    <row r="7" spans="1:10" s="6" customFormat="1" x14ac:dyDescent="0.25">
      <c r="A7" s="6" t="s">
        <v>84</v>
      </c>
      <c r="B7" s="6" t="s">
        <v>76</v>
      </c>
      <c r="C7" s="8" t="s">
        <v>199</v>
      </c>
      <c r="D7" s="8" t="s">
        <v>81</v>
      </c>
      <c r="E7" s="8" t="s">
        <v>102</v>
      </c>
      <c r="F7" s="50" t="s">
        <v>104</v>
      </c>
      <c r="G7" s="8" t="s">
        <v>81</v>
      </c>
      <c r="H7" s="50" t="s">
        <v>76</v>
      </c>
      <c r="I7" s="50" t="s">
        <v>84</v>
      </c>
    </row>
    <row r="8" spans="1:10" x14ac:dyDescent="0.25">
      <c r="A8" s="72"/>
      <c r="B8" s="72"/>
      <c r="C8" s="49"/>
      <c r="D8" s="49"/>
      <c r="E8" s="49"/>
      <c r="F8" s="48"/>
      <c r="G8" s="49"/>
      <c r="H8" s="48"/>
      <c r="I8" s="48"/>
      <c r="J8" s="79"/>
    </row>
    <row r="9" spans="1:10" x14ac:dyDescent="0.25">
      <c r="A9" s="6" t="s">
        <v>243</v>
      </c>
      <c r="B9" t="s">
        <v>211</v>
      </c>
      <c r="C9" s="4">
        <f>'Mailer Arrival Profile'!$C$26</f>
        <v>1.1095125991803994E-2</v>
      </c>
      <c r="D9" s="4">
        <f>'Conversion Factors'!$L$20</f>
        <v>1048.0309783429961</v>
      </c>
      <c r="E9" s="4">
        <f>'Productivity Data'!$I$38</f>
        <v>46.475052307166727</v>
      </c>
      <c r="F9" s="2">
        <f>'Wage Data'!$C$11</f>
        <v>49.154294657004115</v>
      </c>
      <c r="G9" s="4">
        <f>'Cost Pool Data'!$K$43</f>
        <v>1.386023903258889</v>
      </c>
      <c r="H9" s="2">
        <f t="shared" ref="H9:H54" si="0">(F9*G9)/(D9*E9)</f>
        <v>1.3987438224320906E-3</v>
      </c>
      <c r="I9" s="2">
        <f t="shared" ref="I9:I54" si="1">C9*H9</f>
        <v>1.5519238940141559E-5</v>
      </c>
    </row>
    <row r="10" spans="1:10" x14ac:dyDescent="0.25">
      <c r="A10" s="6" t="s">
        <v>131</v>
      </c>
      <c r="B10" t="s">
        <v>212</v>
      </c>
      <c r="C10" s="4">
        <f>'Mailer Arrival Profile'!$D$26</f>
        <v>0.86038451477896938</v>
      </c>
      <c r="D10" s="4">
        <f>'Conversion Factors'!$L$21</f>
        <v>1676.2813880312062</v>
      </c>
      <c r="E10" s="4">
        <f>'Productivity Data'!$I$38</f>
        <v>46.475052307166727</v>
      </c>
      <c r="F10" s="2">
        <f>'Wage Data'!$C$11</f>
        <v>49.154294657004115</v>
      </c>
      <c r="G10" s="4">
        <f>'Cost Pool Data'!$K$43</f>
        <v>1.386023903258889</v>
      </c>
      <c r="H10" s="2">
        <f t="shared" si="0"/>
        <v>8.7451120506471653E-4</v>
      </c>
      <c r="I10" s="2">
        <f t="shared" si="1"/>
        <v>7.5241589883837795E-4</v>
      </c>
    </row>
    <row r="11" spans="1:10" x14ac:dyDescent="0.25">
      <c r="B11" t="s">
        <v>213</v>
      </c>
      <c r="C11" s="4">
        <f>'Mailer Arrival Profile'!$E$26</f>
        <v>1.4822565175690993E-3</v>
      </c>
      <c r="D11" s="4">
        <f>'Conversion Factors'!$L$22</f>
        <v>1079.6056545024896</v>
      </c>
      <c r="E11" s="4">
        <f>'Productivity Data'!$I$38</f>
        <v>46.475052307166727</v>
      </c>
      <c r="F11" s="2">
        <f>'Wage Data'!$C$11</f>
        <v>49.154294657004115</v>
      </c>
      <c r="G11" s="4">
        <f>'Cost Pool Data'!$K$43</f>
        <v>1.386023903258889</v>
      </c>
      <c r="H11" s="2">
        <f t="shared" si="0"/>
        <v>1.3578354749820786E-3</v>
      </c>
      <c r="I11" s="2">
        <f t="shared" si="1"/>
        <v>2.0126604825787194E-6</v>
      </c>
    </row>
    <row r="12" spans="1:10" x14ac:dyDescent="0.25">
      <c r="B12" t="s">
        <v>214</v>
      </c>
      <c r="C12" s="4">
        <f>'Mailer Arrival Profile'!$F$26</f>
        <v>0.12703810271165752</v>
      </c>
      <c r="D12" s="4">
        <f>'Conversion Factors'!$L$23</f>
        <v>913.27319010541089</v>
      </c>
      <c r="E12" s="4">
        <f>'Productivity Data'!$I$37</f>
        <v>55.996737364805647</v>
      </c>
      <c r="F12" s="2">
        <f>'Wage Data'!$C$11</f>
        <v>49.154294657004115</v>
      </c>
      <c r="G12" s="4">
        <f>'Cost Pool Data'!$K$43</f>
        <v>1.386023903258889</v>
      </c>
      <c r="H12" s="2">
        <f t="shared" si="0"/>
        <v>1.3321979353355536E-3</v>
      </c>
      <c r="I12" s="2">
        <f t="shared" si="1"/>
        <v>1.6923989814141615E-4</v>
      </c>
    </row>
    <row r="13" spans="1:10" x14ac:dyDescent="0.25">
      <c r="B13" t="s">
        <v>231</v>
      </c>
      <c r="C13" s="4">
        <f>C9</f>
        <v>1.1095125991803994E-2</v>
      </c>
      <c r="D13" s="4">
        <f>'Conversion Factors'!$L$20</f>
        <v>1048.0309783429961</v>
      </c>
      <c r="E13" s="4">
        <f>'Productivity Data'!$I$41</f>
        <v>16.483976831402664</v>
      </c>
      <c r="F13" s="2">
        <f>'Wage Data'!$C$11</f>
        <v>49.154294657004115</v>
      </c>
      <c r="G13" s="4">
        <f>'Cost Pool Data'!$K$42</f>
        <v>1.51761435929636</v>
      </c>
      <c r="H13" s="2">
        <f t="shared" si="0"/>
        <v>4.3180411843887273E-3</v>
      </c>
      <c r="I13" s="2">
        <f t="shared" si="1"/>
        <v>4.7909210978591468E-5</v>
      </c>
    </row>
    <row r="14" spans="1:10" x14ac:dyDescent="0.25">
      <c r="B14" t="s">
        <v>232</v>
      </c>
      <c r="C14" s="4">
        <f>C10</f>
        <v>0.86038451477896938</v>
      </c>
      <c r="D14" s="4">
        <f>'Conversion Factors'!$L$21</f>
        <v>1676.2813880312062</v>
      </c>
      <c r="E14" s="4">
        <f>'Productivity Data'!$I$41</f>
        <v>16.483976831402664</v>
      </c>
      <c r="F14" s="2">
        <f>'Wage Data'!$C$11</f>
        <v>49.154294657004115</v>
      </c>
      <c r="G14" s="4">
        <f>'Cost Pool Data'!$K$42</f>
        <v>1.51761435929636</v>
      </c>
      <c r="H14" s="2">
        <f t="shared" si="0"/>
        <v>2.6996904930832654E-3</v>
      </c>
      <c r="I14" s="2">
        <f t="shared" si="1"/>
        <v>2.3227718949448417E-3</v>
      </c>
    </row>
    <row r="15" spans="1:10" x14ac:dyDescent="0.25">
      <c r="B15" t="s">
        <v>233</v>
      </c>
      <c r="C15" s="4">
        <f>C11</f>
        <v>1.4822565175690993E-3</v>
      </c>
      <c r="D15" s="4">
        <f>'Conversion Factors'!$L$22</f>
        <v>1079.6056545024896</v>
      </c>
      <c r="E15" s="4">
        <f>'Productivity Data'!$I$41</f>
        <v>16.483976831402664</v>
      </c>
      <c r="F15" s="2">
        <f>'Wage Data'!$C$11</f>
        <v>49.154294657004115</v>
      </c>
      <c r="G15" s="4">
        <f>'Cost Pool Data'!$K$42</f>
        <v>1.51761435929636</v>
      </c>
      <c r="H15" s="2">
        <f t="shared" si="0"/>
        <v>4.1917536353454059E-3</v>
      </c>
      <c r="I15" s="2">
        <f t="shared" si="1"/>
        <v>6.2132541460346934E-6</v>
      </c>
    </row>
    <row r="16" spans="1:10" x14ac:dyDescent="0.25">
      <c r="B16" t="s">
        <v>234</v>
      </c>
      <c r="C16" s="4">
        <f>C12</f>
        <v>0.12703810271165752</v>
      </c>
      <c r="D16" s="4">
        <f>'Conversion Factors'!$L$23</f>
        <v>913.27319010541089</v>
      </c>
      <c r="E16" s="4">
        <f>'Productivity Data'!$I$40</f>
        <v>23.065925296264197</v>
      </c>
      <c r="F16" s="2">
        <f>'Wage Data'!$C$11</f>
        <v>49.154294657004115</v>
      </c>
      <c r="G16" s="4">
        <f>'Cost Pool Data'!$K$42</f>
        <v>1.51761435929636</v>
      </c>
      <c r="H16" s="2">
        <f t="shared" si="0"/>
        <v>3.5412069323251835E-3</v>
      </c>
      <c r="I16" s="2">
        <f t="shared" si="1"/>
        <v>4.4986820999196031E-4</v>
      </c>
    </row>
    <row r="17" spans="1:10" x14ac:dyDescent="0.25">
      <c r="B17" t="s">
        <v>143</v>
      </c>
      <c r="C17" s="4">
        <f>(C15+C16)*(1+'Other Inputs'!$B$9)</f>
        <v>0.13396789186417779</v>
      </c>
      <c r="D17" s="4">
        <f>'Mailer Arrival Profile'!$I$26</f>
        <v>50.533333333333331</v>
      </c>
      <c r="E17" s="4">
        <f>'Productivity Data'!$I$19</f>
        <v>3068.1109131264348</v>
      </c>
      <c r="F17" s="2">
        <f>'Wage Data'!$C$11</f>
        <v>49.154294657004115</v>
      </c>
      <c r="G17" s="4">
        <f>'Cost Pool Data'!$K$46</f>
        <v>1.6196174573049362</v>
      </c>
      <c r="H17" s="2">
        <f t="shared" si="0"/>
        <v>5.1348163544311597E-4</v>
      </c>
      <c r="I17" s="2">
        <f t="shared" si="1"/>
        <v>6.8790052211284528E-5</v>
      </c>
    </row>
    <row r="18" spans="1:10" x14ac:dyDescent="0.25">
      <c r="B18" s="9" t="s">
        <v>355</v>
      </c>
      <c r="C18" s="4">
        <f>(C15+C16)</f>
        <v>0.12852035922922661</v>
      </c>
      <c r="D18" s="4">
        <f>'Mailer Arrival Profile'!$I$26</f>
        <v>50.533333333333331</v>
      </c>
      <c r="E18" s="4">
        <f>'Productivity Data'!$I$43</f>
        <v>146.75954594651517</v>
      </c>
      <c r="F18" s="2">
        <f>'Wage Data'!$C$11</f>
        <v>49.154294657004115</v>
      </c>
      <c r="G18" s="4">
        <f>'Cost Pool Data'!$K$42</f>
        <v>1.51761435929636</v>
      </c>
      <c r="H18" s="2">
        <f t="shared" si="0"/>
        <v>1.0058624358173633E-2</v>
      </c>
      <c r="I18" s="2">
        <f t="shared" si="1"/>
        <v>1.2927380158643243E-3</v>
      </c>
    </row>
    <row r="19" spans="1:10" x14ac:dyDescent="0.25">
      <c r="B19" t="s">
        <v>145</v>
      </c>
      <c r="C19" s="4">
        <f>(C13+C14+C18)*(1+'Other Inputs'!$B$8)</f>
        <v>1.1202871749826209</v>
      </c>
      <c r="D19" s="4">
        <v>1</v>
      </c>
      <c r="E19" s="4">
        <f>'Productivity Data'!$I$18</f>
        <v>331.36480334855139</v>
      </c>
      <c r="F19" s="2">
        <f>'Wage Data'!$C$11</f>
        <v>49.154294657004115</v>
      </c>
      <c r="G19" s="4">
        <f>'Cost Pool Data'!$L$45</f>
        <v>2.0700178145522989</v>
      </c>
      <c r="H19" s="2">
        <f t="shared" si="0"/>
        <v>0.30706419201294521</v>
      </c>
      <c r="I19" s="2">
        <f t="shared" si="1"/>
        <v>0.34400007620850342</v>
      </c>
    </row>
    <row r="20" spans="1:10" x14ac:dyDescent="0.25">
      <c r="B20" s="68" t="s">
        <v>353</v>
      </c>
      <c r="C20" s="4">
        <f>(C13+C14+C18)*('Other Inputs'!$B$8)</f>
        <v>0.12028717498262087</v>
      </c>
      <c r="D20" s="4">
        <v>1</v>
      </c>
      <c r="E20" s="4">
        <f>'Productivity Data'!$I$47</f>
        <v>221.38133929687064</v>
      </c>
      <c r="F20" s="2">
        <f>'Wage Data'!$C$11</f>
        <v>49.154294657004115</v>
      </c>
      <c r="G20" s="4">
        <f>'Cost Pool Data'!$K$42</f>
        <v>1.51761435929636</v>
      </c>
      <c r="H20" s="2">
        <f t="shared" si="0"/>
        <v>0.33696274324422376</v>
      </c>
      <c r="I20" s="2">
        <f t="shared" si="1"/>
        <v>4.053229645924189E-2</v>
      </c>
    </row>
    <row r="21" spans="1:10" x14ac:dyDescent="0.25">
      <c r="B21" s="9" t="s">
        <v>354</v>
      </c>
      <c r="C21" s="4">
        <f>C20</f>
        <v>0.12028717498262087</v>
      </c>
      <c r="D21" s="4">
        <f>'Conversion Factors'!$L$34</f>
        <v>735.01168482138121</v>
      </c>
      <c r="E21" s="4">
        <f>'Productivity Data'!$I$40</f>
        <v>23.065925296264197</v>
      </c>
      <c r="F21" s="2">
        <f>'Wage Data'!$C$11</f>
        <v>49.154294657004115</v>
      </c>
      <c r="G21" s="4">
        <f>'Cost Pool Data'!$K$42</f>
        <v>1.51761435929636</v>
      </c>
      <c r="H21" s="2">
        <f t="shared" si="0"/>
        <v>4.4000516164500823E-3</v>
      </c>
      <c r="I21" s="2">
        <f t="shared" si="1"/>
        <v>5.2926977872049484E-4</v>
      </c>
    </row>
    <row r="22" spans="1:10" x14ac:dyDescent="0.25">
      <c r="B22" t="s">
        <v>235</v>
      </c>
      <c r="C22" s="4">
        <f>(C13+C14+C18)*'Postal Arrival-Dispatch Profile'!$B$21</f>
        <v>0.11896971780053392</v>
      </c>
      <c r="D22" s="4">
        <f>'Conversion Factors'!$L$43</f>
        <v>1026.6284310500428</v>
      </c>
      <c r="E22" s="4">
        <f>'Productivity Data'!$I$45</f>
        <v>55.582256364514194</v>
      </c>
      <c r="F22" s="2">
        <f>'Wage Data'!$C$11</f>
        <v>49.154294657004115</v>
      </c>
      <c r="G22" s="4">
        <f>'Cost Pool Data'!$K$43</f>
        <v>1.386023903258889</v>
      </c>
      <c r="H22" s="2">
        <f t="shared" si="0"/>
        <v>1.1939406213368406E-3</v>
      </c>
      <c r="I22" s="2">
        <f t="shared" si="1"/>
        <v>1.4204277879103805E-4</v>
      </c>
    </row>
    <row r="23" spans="1:10" x14ac:dyDescent="0.25">
      <c r="B23" t="s">
        <v>238</v>
      </c>
      <c r="C23" s="4">
        <f>(C13+C14+C18)*'Postal Arrival-Dispatch Profile'!$B$22</f>
        <v>8.0349918340229934E-2</v>
      </c>
      <c r="D23" s="4">
        <f>'Conversion Factors'!$L$44</f>
        <v>696.62449445262769</v>
      </c>
      <c r="E23" s="4">
        <f>'Productivity Data'!$I$44</f>
        <v>70.608822220868689</v>
      </c>
      <c r="F23" s="2">
        <f>'Wage Data'!$C$11</f>
        <v>49.154294657004115</v>
      </c>
      <c r="G23" s="4">
        <f>'Cost Pool Data'!$K$43</f>
        <v>1.386023903258889</v>
      </c>
      <c r="H23" s="2">
        <f t="shared" si="0"/>
        <v>1.3850787949250677E-3</v>
      </c>
      <c r="I23" s="2">
        <f t="shared" si="1"/>
        <v>1.1129096806701327E-4</v>
      </c>
    </row>
    <row r="24" spans="1:10" x14ac:dyDescent="0.25">
      <c r="A24" s="82"/>
      <c r="B24" t="s">
        <v>236</v>
      </c>
      <c r="C24" s="4">
        <f>(C13+C14+C18)*'Postal Arrival-Dispatch Profile'!$B$23</f>
        <v>0.60164685859127154</v>
      </c>
      <c r="D24" s="4">
        <f>'Conversion Factors'!$L$45</f>
        <v>1310.6924574440295</v>
      </c>
      <c r="E24" s="4">
        <f>'Productivity Data'!$I$44</f>
        <v>70.608822220868689</v>
      </c>
      <c r="F24" s="2">
        <f>'Wage Data'!$C$11</f>
        <v>49.154294657004115</v>
      </c>
      <c r="G24" s="4">
        <f>'Cost Pool Data'!$K$43</f>
        <v>1.386023903258889</v>
      </c>
      <c r="H24" s="2">
        <f t="shared" si="0"/>
        <v>7.3616034777016599E-4</v>
      </c>
      <c r="I24" s="2">
        <f t="shared" si="1"/>
        <v>4.4290856065537835E-4</v>
      </c>
    </row>
    <row r="25" spans="1:10" x14ac:dyDescent="0.25">
      <c r="A25" s="72"/>
      <c r="B25" s="79" t="s">
        <v>237</v>
      </c>
      <c r="C25" s="49">
        <f>(C13+C14+C18)*'Postal Arrival-Dispatch Profile'!$B$24</f>
        <v>0.19903350526796459</v>
      </c>
      <c r="D25" s="49">
        <f>'Conversion Factors'!$L$46</f>
        <v>673.62492731429006</v>
      </c>
      <c r="E25" s="49">
        <f>'Productivity Data'!$I$44</f>
        <v>70.608822220868689</v>
      </c>
      <c r="F25" s="48">
        <f>'Wage Data'!$C$11</f>
        <v>49.154294657004115</v>
      </c>
      <c r="G25" s="49">
        <f>'Cost Pool Data'!$K$43</f>
        <v>1.386023903258889</v>
      </c>
      <c r="H25" s="48">
        <f t="shared" si="0"/>
        <v>1.4323695222186316E-3</v>
      </c>
      <c r="I25" s="75">
        <f t="shared" si="1"/>
        <v>2.8508952684617393E-4</v>
      </c>
      <c r="J25" s="76">
        <f>SUM(I9:I25)</f>
        <v>0.39117045261536493</v>
      </c>
    </row>
    <row r="26" spans="1:10" x14ac:dyDescent="0.25">
      <c r="A26" s="6" t="s">
        <v>243</v>
      </c>
      <c r="B26" t="s">
        <v>215</v>
      </c>
      <c r="C26" s="4">
        <f>C22*'Other Inputs'!$B$20</f>
        <v>1.1342186015537934E-2</v>
      </c>
      <c r="D26" s="4">
        <f>'Conversion Factors'!$L$43</f>
        <v>1026.6284310500428</v>
      </c>
      <c r="E26" s="4">
        <f>'Productivity Data'!$I$34</f>
        <v>58.924683317790674</v>
      </c>
      <c r="F26" s="2">
        <f>'Wage Data'!$C$11</f>
        <v>49.154294657004115</v>
      </c>
      <c r="G26" s="4">
        <f>'Cost Pool Data'!$K$27</f>
        <v>1.3606061934437479</v>
      </c>
      <c r="H26" s="2">
        <f t="shared" si="0"/>
        <v>1.1055626740400066E-3</v>
      </c>
      <c r="I26" s="2">
        <f t="shared" si="1"/>
        <v>1.2539497500797286E-5</v>
      </c>
    </row>
    <row r="27" spans="1:10" x14ac:dyDescent="0.25">
      <c r="A27" s="6" t="s">
        <v>244</v>
      </c>
      <c r="B27" t="s">
        <v>216</v>
      </c>
      <c r="C27" s="4">
        <f>C23*'Other Inputs'!$B$20</f>
        <v>7.6602999233480662E-3</v>
      </c>
      <c r="D27" s="4">
        <f>'Conversion Factors'!$L$44</f>
        <v>696.62449445262769</v>
      </c>
      <c r="E27" s="4">
        <f>'Productivity Data'!$I$33</f>
        <v>74.637919630667881</v>
      </c>
      <c r="F27" s="2">
        <f>'Wage Data'!$C$11</f>
        <v>49.154294657004115</v>
      </c>
      <c r="G27" s="4">
        <f>'Cost Pool Data'!$K$27</f>
        <v>1.3606061934437479</v>
      </c>
      <c r="H27" s="2">
        <f t="shared" si="0"/>
        <v>1.2862803800322024E-3</v>
      </c>
      <c r="I27" s="2">
        <f t="shared" si="1"/>
        <v>9.8532934965648019E-6</v>
      </c>
    </row>
    <row r="28" spans="1:10" x14ac:dyDescent="0.25">
      <c r="B28" t="s">
        <v>217</v>
      </c>
      <c r="C28" s="4">
        <f>C24*'Other Inputs'!$B$20</f>
        <v>5.735905499286327E-2</v>
      </c>
      <c r="D28" s="4">
        <f>'Conversion Factors'!$L$45</f>
        <v>1310.6924574440295</v>
      </c>
      <c r="E28" s="4">
        <f>'Productivity Data'!$I$33</f>
        <v>74.637919630667881</v>
      </c>
      <c r="F28" s="2">
        <f>'Wage Data'!$C$11</f>
        <v>49.154294657004115</v>
      </c>
      <c r="G28" s="4">
        <f>'Cost Pool Data'!$K$27</f>
        <v>1.3606061934437479</v>
      </c>
      <c r="H28" s="2">
        <f t="shared" si="0"/>
        <v>6.8364963449294217E-4</v>
      </c>
      <c r="I28" s="2">
        <f t="shared" si="1"/>
        <v>3.9213496980731544E-5</v>
      </c>
    </row>
    <row r="29" spans="1:10" x14ac:dyDescent="0.25">
      <c r="B29" t="s">
        <v>218</v>
      </c>
      <c r="C29" s="4">
        <f>C25*'Other Inputs'!$B$20</f>
        <v>1.897520715194697E-2</v>
      </c>
      <c r="D29" s="4">
        <f>'Conversion Factors'!$L$46</f>
        <v>673.62492731429006</v>
      </c>
      <c r="E29" s="4">
        <f>'Productivity Data'!$I$33</f>
        <v>74.637919630667881</v>
      </c>
      <c r="F29" s="2">
        <f>'Wage Data'!$C$11</f>
        <v>49.154294657004115</v>
      </c>
      <c r="G29" s="4">
        <f>'Cost Pool Data'!$K$27</f>
        <v>1.3606061934437479</v>
      </c>
      <c r="H29" s="2">
        <f t="shared" si="0"/>
        <v>1.3301978343301405E-3</v>
      </c>
      <c r="I29" s="2">
        <f t="shared" si="1"/>
        <v>2.5240779459485653E-5</v>
      </c>
      <c r="J29" s="13"/>
    </row>
    <row r="30" spans="1:10" x14ac:dyDescent="0.25">
      <c r="B30" t="s">
        <v>204</v>
      </c>
      <c r="C30" s="4">
        <f>'Other Inputs'!$B$17*(1+'Other Inputs'!$B$10)</f>
        <v>4.1075213808213225E-2</v>
      </c>
      <c r="D30" s="4">
        <v>1</v>
      </c>
      <c r="E30" s="4">
        <f>'Productivity Data'!$I$10</f>
        <v>245.20305602978507</v>
      </c>
      <c r="F30" s="2">
        <f>'Wage Data'!$C$11</f>
        <v>49.154294657004115</v>
      </c>
      <c r="G30" s="4">
        <f>'Cost Pool Data'!$L$14</f>
        <v>1.8052502472456198</v>
      </c>
      <c r="H30" s="2">
        <f t="shared" si="0"/>
        <v>0.36188701731336453</v>
      </c>
      <c r="I30" s="2">
        <f t="shared" si="1"/>
        <v>1.4864586610563009E-2</v>
      </c>
    </row>
    <row r="31" spans="1:10" x14ac:dyDescent="0.25">
      <c r="B31" s="9" t="s">
        <v>363</v>
      </c>
      <c r="C31" s="4">
        <f>'Other Inputs'!$B$18*(1+'Other Inputs'!$B$11)</f>
        <v>2.6656991902813034E-2</v>
      </c>
      <c r="D31" s="4">
        <v>1</v>
      </c>
      <c r="E31" s="4">
        <f>'Productivity Data'!$I$11</f>
        <v>190.80521220652753</v>
      </c>
      <c r="F31" s="2">
        <f>'Wage Data'!$C$11</f>
        <v>49.154294657004115</v>
      </c>
      <c r="G31" s="4">
        <f>'Cost Pool Data'!$L$11</f>
        <v>1.6056412614911089</v>
      </c>
      <c r="H31" s="2">
        <f t="shared" si="0"/>
        <v>0.41363735700967258</v>
      </c>
      <c r="I31" s="2">
        <f t="shared" si="1"/>
        <v>1.1026327676507826E-2</v>
      </c>
    </row>
    <row r="32" spans="1:10" x14ac:dyDescent="0.25">
      <c r="B32" t="s">
        <v>245</v>
      </c>
      <c r="C32" s="4">
        <f>'Other Inputs'!$B$19</f>
        <v>3.4773485341240841E-2</v>
      </c>
      <c r="D32" s="4">
        <v>1</v>
      </c>
      <c r="E32" s="4">
        <f>'Productivity Data'!$I$15</f>
        <v>47.994690148863093</v>
      </c>
      <c r="F32" s="2">
        <f>'Wage Data'!$C$11</f>
        <v>49.154294657004115</v>
      </c>
      <c r="G32" s="4">
        <f>'Cost Pool Data'!$K$16</f>
        <v>1.3208756008457678</v>
      </c>
      <c r="H32" s="2">
        <f t="shared" si="0"/>
        <v>1.3527894083249588</v>
      </c>
      <c r="I32" s="2">
        <f t="shared" si="1"/>
        <v>4.7041202660173823E-2</v>
      </c>
    </row>
    <row r="33" spans="1:10" x14ac:dyDescent="0.25">
      <c r="A33" s="72"/>
      <c r="B33" s="79" t="s">
        <v>248</v>
      </c>
      <c r="C33" s="49">
        <f>SUM(C26:C29)</f>
        <v>9.5336748083696243E-2</v>
      </c>
      <c r="D33" s="49">
        <f>'Conversion Factors'!$L$48</f>
        <v>400.86107774048043</v>
      </c>
      <c r="E33" s="49">
        <f>'Productivity Data'!$I$35</f>
        <v>82.063608851111439</v>
      </c>
      <c r="F33" s="48">
        <f>'Wage Data'!$C$11</f>
        <v>49.154294657004115</v>
      </c>
      <c r="G33" s="49">
        <f>'Cost Pool Data'!$K$27</f>
        <v>1.3606061934437479</v>
      </c>
      <c r="H33" s="48">
        <f t="shared" si="0"/>
        <v>2.0330563242743258E-3</v>
      </c>
      <c r="I33" s="75">
        <f t="shared" si="1"/>
        <v>1.9382497862730687E-4</v>
      </c>
      <c r="J33" s="76">
        <f>SUM(I26:I33)</f>
        <v>7.3212788993309547E-2</v>
      </c>
    </row>
    <row r="34" spans="1:10" x14ac:dyDescent="0.25">
      <c r="A34" s="6" t="s">
        <v>243</v>
      </c>
      <c r="B34" t="s">
        <v>215</v>
      </c>
      <c r="C34" s="4">
        <f>C22*(1-'Other Inputs'!$B$20)</f>
        <v>0.107627531784996</v>
      </c>
      <c r="D34" s="4">
        <f>'Conversion Factors'!$L$43</f>
        <v>1026.6284310500428</v>
      </c>
      <c r="E34" s="4">
        <f>'Productivity Data'!$I$28</f>
        <v>58.156985400220201</v>
      </c>
      <c r="F34" s="2">
        <f>'Wage Data'!$C$11</f>
        <v>49.154294657004115</v>
      </c>
      <c r="G34" s="4">
        <f>'Cost Pool Data'!$K$27</f>
        <v>1.3606061934437479</v>
      </c>
      <c r="H34" s="2">
        <f t="shared" si="0"/>
        <v>1.1201565900891858E-3</v>
      </c>
      <c r="I34" s="2">
        <f>C34*H34</f>
        <v>1.2055968900399658E-4</v>
      </c>
      <c r="J34" s="13"/>
    </row>
    <row r="35" spans="1:10" x14ac:dyDescent="0.25">
      <c r="A35" s="6" t="s">
        <v>241</v>
      </c>
      <c r="B35" t="s">
        <v>216</v>
      </c>
      <c r="C35" s="4">
        <f>C23*(1-'Other Inputs'!$B$20)</f>
        <v>7.2689618416881874E-2</v>
      </c>
      <c r="D35" s="4">
        <f>'Conversion Factors'!$L$44</f>
        <v>696.62449445262769</v>
      </c>
      <c r="E35" s="4">
        <f>'Productivity Data'!$I$27</f>
        <v>81.873572020007202</v>
      </c>
      <c r="F35" s="2">
        <f>'Wage Data'!$C$11</f>
        <v>49.154294657004115</v>
      </c>
      <c r="G35" s="4">
        <f>'Cost Pool Data'!$K$27</f>
        <v>1.3606061934437479</v>
      </c>
      <c r="H35" s="2">
        <f t="shared" si="0"/>
        <v>1.172604165894801E-3</v>
      </c>
      <c r="I35" s="2">
        <f>C35*H35</f>
        <v>8.5236149372939129E-5</v>
      </c>
    </row>
    <row r="36" spans="1:10" x14ac:dyDescent="0.25">
      <c r="B36" t="s">
        <v>217</v>
      </c>
      <c r="C36" s="4">
        <f>C24*(1-'Other Inputs'!$B$20)</f>
        <v>0.54428780359840834</v>
      </c>
      <c r="D36" s="4">
        <f>'Conversion Factors'!$L$45</f>
        <v>1310.6924574440295</v>
      </c>
      <c r="E36" s="4">
        <f>'Productivity Data'!$I$27</f>
        <v>81.873572020007202</v>
      </c>
      <c r="F36" s="2">
        <f>'Wage Data'!$C$11</f>
        <v>49.154294657004115</v>
      </c>
      <c r="G36" s="4">
        <f>'Cost Pool Data'!$K$27</f>
        <v>1.3606061934437479</v>
      </c>
      <c r="H36" s="2">
        <f t="shared" si="0"/>
        <v>6.2323146793144156E-4</v>
      </c>
      <c r="I36" s="2">
        <f>C36*H36</f>
        <v>3.3921728681381619E-4</v>
      </c>
    </row>
    <row r="37" spans="1:10" x14ac:dyDescent="0.25">
      <c r="B37" t="s">
        <v>218</v>
      </c>
      <c r="C37" s="4">
        <f>C25*(1-'Other Inputs'!$B$20)</f>
        <v>0.18005829811601765</v>
      </c>
      <c r="D37" s="4">
        <f>'Conversion Factors'!$L$46</f>
        <v>673.62492731429006</v>
      </c>
      <c r="E37" s="4">
        <f>'Productivity Data'!$I$27</f>
        <v>81.873572020007202</v>
      </c>
      <c r="F37" s="2">
        <f>'Wage Data'!$C$11</f>
        <v>49.154294657004115</v>
      </c>
      <c r="G37" s="4">
        <f>'Cost Pool Data'!$K$27</f>
        <v>1.3606061934437479</v>
      </c>
      <c r="H37" s="2">
        <f t="shared" si="0"/>
        <v>1.2126403746908702E-3</v>
      </c>
      <c r="I37" s="2">
        <f>C37*H37</f>
        <v>2.1834596209360804E-4</v>
      </c>
    </row>
    <row r="38" spans="1:10" x14ac:dyDescent="0.25">
      <c r="B38" t="s">
        <v>249</v>
      </c>
      <c r="C38" s="4">
        <f>'Other Inputs'!$B$23</f>
        <v>5.279665233179142E-2</v>
      </c>
      <c r="D38" s="4">
        <f>'Conversion Factors'!$L$48</f>
        <v>400.86107774048043</v>
      </c>
      <c r="E38" s="4">
        <f>'Productivity Data'!$I$27</f>
        <v>81.873572020007202</v>
      </c>
      <c r="F38" s="2">
        <f>'Wage Data'!$C$11</f>
        <v>49.154294657004115</v>
      </c>
      <c r="G38" s="4">
        <f>'Cost Pool Data'!$K$27</f>
        <v>1.3606061934437479</v>
      </c>
      <c r="H38" s="2">
        <f>(F38*G38)/(D38*E38)</f>
        <v>2.0377752533718265E-3</v>
      </c>
      <c r="I38" s="2">
        <f>C38*H38</f>
        <v>1.075877115826005E-4</v>
      </c>
    </row>
    <row r="39" spans="1:10" x14ac:dyDescent="0.25">
      <c r="B39" t="s">
        <v>219</v>
      </c>
      <c r="C39" s="4">
        <f>C34</f>
        <v>0.107627531784996</v>
      </c>
      <c r="D39" s="4">
        <f>'Conversion Factors'!$L$43</f>
        <v>1026.6284310500428</v>
      </c>
      <c r="E39" s="4">
        <f>'Productivity Data'!$I$30</f>
        <v>39.899251235537818</v>
      </c>
      <c r="F39" s="2">
        <f>'Wage Data'!$C$11</f>
        <v>49.154294657004115</v>
      </c>
      <c r="G39" s="4">
        <f>'Cost Pool Data'!$K$27</f>
        <v>1.3606061934437479</v>
      </c>
      <c r="H39" s="2">
        <f t="shared" si="0"/>
        <v>1.6327356639152506E-3</v>
      </c>
      <c r="I39" s="2">
        <f t="shared" si="1"/>
        <v>1.7572730956453517E-4</v>
      </c>
    </row>
    <row r="40" spans="1:10" x14ac:dyDescent="0.25">
      <c r="B40" t="s">
        <v>220</v>
      </c>
      <c r="C40" s="4">
        <f>C35</f>
        <v>7.2689618416881874E-2</v>
      </c>
      <c r="D40" s="4">
        <f>'Conversion Factors'!$L$44</f>
        <v>696.62449445262769</v>
      </c>
      <c r="E40" s="4">
        <f>'Productivity Data'!$I$29</f>
        <v>50.764395048330648</v>
      </c>
      <c r="F40" s="2">
        <f>'Wage Data'!$C$11</f>
        <v>49.154294657004115</v>
      </c>
      <c r="G40" s="4">
        <f>'Cost Pool Data'!$K$27</f>
        <v>1.3606061934437479</v>
      </c>
      <c r="H40" s="2">
        <f t="shared" si="0"/>
        <v>1.8911934543087898E-3</v>
      </c>
      <c r="I40" s="2">
        <f t="shared" si="1"/>
        <v>1.3747013054621067E-4</v>
      </c>
    </row>
    <row r="41" spans="1:10" x14ac:dyDescent="0.25">
      <c r="B41" t="s">
        <v>221</v>
      </c>
      <c r="C41" s="4">
        <f>C36</f>
        <v>0.54428780359840834</v>
      </c>
      <c r="D41" s="4">
        <f>'Conversion Factors'!$L$45</f>
        <v>1310.6924574440295</v>
      </c>
      <c r="E41" s="4">
        <f>'Productivity Data'!$I$29</f>
        <v>50.764395048330648</v>
      </c>
      <c r="F41" s="2">
        <f>'Wage Data'!$C$11</f>
        <v>49.154294657004115</v>
      </c>
      <c r="G41" s="4">
        <f>'Cost Pool Data'!$K$27</f>
        <v>1.3606061934437479</v>
      </c>
      <c r="H41" s="2">
        <f t="shared" si="0"/>
        <v>1.0051569889927734E-3</v>
      </c>
      <c r="I41" s="2">
        <f t="shared" si="1"/>
        <v>5.4709468981046616E-4</v>
      </c>
    </row>
    <row r="42" spans="1:10" x14ac:dyDescent="0.25">
      <c r="B42" t="s">
        <v>222</v>
      </c>
      <c r="C42" s="4">
        <f>C37</f>
        <v>0.18005829811601765</v>
      </c>
      <c r="D42" s="4">
        <f>'Conversion Factors'!$L$46</f>
        <v>673.62492731429006</v>
      </c>
      <c r="E42" s="4">
        <f>'Productivity Data'!$I$29</f>
        <v>50.764395048330648</v>
      </c>
      <c r="F42" s="2">
        <f>'Wage Data'!$C$11</f>
        <v>49.154294657004115</v>
      </c>
      <c r="G42" s="4">
        <f>'Cost Pool Data'!$K$27</f>
        <v>1.3606061934437479</v>
      </c>
      <c r="H42" s="2">
        <f t="shared" si="0"/>
        <v>1.9557644478398317E-3</v>
      </c>
      <c r="I42" s="2">
        <f t="shared" si="1"/>
        <v>3.5215161799385307E-4</v>
      </c>
    </row>
    <row r="43" spans="1:10" x14ac:dyDescent="0.25">
      <c r="B43" t="s">
        <v>252</v>
      </c>
      <c r="C43" s="4">
        <f>C38</f>
        <v>5.279665233179142E-2</v>
      </c>
      <c r="D43" s="4">
        <f>'Conversion Factors'!$L$48</f>
        <v>400.86107774048043</v>
      </c>
      <c r="E43" s="4">
        <f>'Productivity Data'!$I$29</f>
        <v>50.764395048330648</v>
      </c>
      <c r="F43" s="2">
        <f>'Wage Data'!$C$11</f>
        <v>49.154294657004115</v>
      </c>
      <c r="G43" s="4">
        <f>'Cost Pool Data'!$K$27</f>
        <v>1.3606061934437479</v>
      </c>
      <c r="H43" s="2">
        <f>(F43*G43)/(D43*E43)</f>
        <v>3.2865542632525288E-3</v>
      </c>
      <c r="I43" s="2">
        <f>C43*H43</f>
        <v>1.7351906280651066E-4</v>
      </c>
    </row>
    <row r="44" spans="1:10" x14ac:dyDescent="0.25">
      <c r="B44" t="s">
        <v>235</v>
      </c>
      <c r="C44" s="4">
        <f>C34</f>
        <v>0.107627531784996</v>
      </c>
      <c r="D44" s="4">
        <f>'Conversion Factors'!$L$43</f>
        <v>1026.6284310500428</v>
      </c>
      <c r="E44" s="4">
        <f>'Productivity Data'!$I$32</f>
        <v>61.728448910094343</v>
      </c>
      <c r="F44" s="2">
        <f>'Wage Data'!$C$11</f>
        <v>49.154294657004115</v>
      </c>
      <c r="G44" s="4">
        <f>'Cost Pool Data'!$K$27</f>
        <v>1.3606061934437479</v>
      </c>
      <c r="H44" s="2">
        <f t="shared" si="0"/>
        <v>1.0553469527585066E-3</v>
      </c>
      <c r="I44" s="2">
        <f t="shared" si="1"/>
        <v>1.1358438770221484E-4</v>
      </c>
    </row>
    <row r="45" spans="1:10" x14ac:dyDescent="0.25">
      <c r="B45" t="s">
        <v>238</v>
      </c>
      <c r="C45" s="4">
        <f>C35</f>
        <v>7.2689618416881874E-2</v>
      </c>
      <c r="D45" s="4">
        <f>'Conversion Factors'!$L$44</f>
        <v>696.62449445262769</v>
      </c>
      <c r="E45" s="4">
        <f>'Productivity Data'!$I$31</f>
        <v>91.071587890934111</v>
      </c>
      <c r="F45" s="2">
        <f>'Wage Data'!$C$11</f>
        <v>49.154294657004115</v>
      </c>
      <c r="G45" s="4">
        <f>'Cost Pool Data'!$K$27</f>
        <v>1.3606061934437479</v>
      </c>
      <c r="H45" s="2">
        <f t="shared" si="0"/>
        <v>1.0541739070402823E-3</v>
      </c>
      <c r="I45" s="2">
        <f t="shared" si="1"/>
        <v>7.6627499047791627E-5</v>
      </c>
    </row>
    <row r="46" spans="1:10" x14ac:dyDescent="0.25">
      <c r="B46" t="s">
        <v>236</v>
      </c>
      <c r="C46" s="4">
        <f>C36</f>
        <v>0.54428780359840834</v>
      </c>
      <c r="D46" s="4">
        <f>'Conversion Factors'!$L$45</f>
        <v>1310.6924574440295</v>
      </c>
      <c r="E46" s="4">
        <f>'Productivity Data'!$I$31</f>
        <v>91.071587890934111</v>
      </c>
      <c r="F46" s="2">
        <f>'Wage Data'!$C$11</f>
        <v>49.154294657004115</v>
      </c>
      <c r="G46" s="4">
        <f>'Cost Pool Data'!$K$27</f>
        <v>1.3606061934437479</v>
      </c>
      <c r="H46" s="2">
        <f t="shared" si="0"/>
        <v>5.6028655760266132E-4</v>
      </c>
      <c r="I46" s="2">
        <f t="shared" si="1"/>
        <v>3.0495713982326561E-4</v>
      </c>
    </row>
    <row r="47" spans="1:10" x14ac:dyDescent="0.25">
      <c r="B47" t="s">
        <v>237</v>
      </c>
      <c r="C47" s="4">
        <f t="shared" ref="C47:C52" si="2">C42</f>
        <v>0.18005829811601765</v>
      </c>
      <c r="D47" s="4">
        <f>'Conversion Factors'!$L$46</f>
        <v>673.62492731429006</v>
      </c>
      <c r="E47" s="4">
        <f>'Productivity Data'!$I$31</f>
        <v>91.071587890934111</v>
      </c>
      <c r="F47" s="2">
        <f>'Wage Data'!$C$11</f>
        <v>49.154294657004115</v>
      </c>
      <c r="G47" s="4">
        <f>'Cost Pool Data'!$K$27</f>
        <v>1.3606061934437479</v>
      </c>
      <c r="H47" s="2">
        <f>(F47*G47)/(D47*E47)</f>
        <v>1.0901665530474935E-3</v>
      </c>
      <c r="I47" s="2">
        <f>C47*H47</f>
        <v>1.9629353420473695E-4</v>
      </c>
    </row>
    <row r="48" spans="1:10" x14ac:dyDescent="0.25">
      <c r="A48" s="72"/>
      <c r="B48" s="79" t="s">
        <v>248</v>
      </c>
      <c r="C48" s="49">
        <f t="shared" si="2"/>
        <v>5.279665233179142E-2</v>
      </c>
      <c r="D48" s="49">
        <f>'Conversion Factors'!$L$48</f>
        <v>400.86107774048043</v>
      </c>
      <c r="E48" s="49">
        <f>'Productivity Data'!$I$31</f>
        <v>91.071587890934111</v>
      </c>
      <c r="F48" s="48">
        <f>'Wage Data'!$C$11</f>
        <v>49.154294657004115</v>
      </c>
      <c r="G48" s="49">
        <f>'Cost Pool Data'!$K$27</f>
        <v>1.3606061934437479</v>
      </c>
      <c r="H48" s="48">
        <f t="shared" si="0"/>
        <v>1.8319647524684813E-3</v>
      </c>
      <c r="I48" s="75">
        <f t="shared" si="1"/>
        <v>9.6721606120174733E-5</v>
      </c>
      <c r="J48" s="76">
        <f>SUM(I34:I48)</f>
        <v>3.04509377648672E-3</v>
      </c>
    </row>
    <row r="49" spans="1:10" x14ac:dyDescent="0.25">
      <c r="A49" s="6" t="s">
        <v>243</v>
      </c>
      <c r="B49" t="s">
        <v>215</v>
      </c>
      <c r="C49" s="4">
        <f t="shared" si="2"/>
        <v>0.107627531784996</v>
      </c>
      <c r="D49" s="4">
        <f>'Conversion Factors'!$L$43</f>
        <v>1026.6284310500428</v>
      </c>
      <c r="E49" s="4">
        <f>'Productivity Data'!$I$26</f>
        <v>48.58034429266948</v>
      </c>
      <c r="F49" s="2">
        <f>'Wage Data'!$C$11</f>
        <v>49.154294657004115</v>
      </c>
      <c r="G49" s="4">
        <f>'Cost Pool Data'!$K$48</f>
        <v>1.6214860636540271</v>
      </c>
      <c r="H49" s="2">
        <f t="shared" si="0"/>
        <v>1.598088452058702E-3</v>
      </c>
      <c r="I49" s="2">
        <f t="shared" si="1"/>
        <v>1.7199831566918299E-4</v>
      </c>
    </row>
    <row r="50" spans="1:10" x14ac:dyDescent="0.25">
      <c r="A50" s="6" t="s">
        <v>85</v>
      </c>
      <c r="B50" t="s">
        <v>216</v>
      </c>
      <c r="C50" s="4">
        <f t="shared" si="2"/>
        <v>7.2689618416881874E-2</v>
      </c>
      <c r="D50" s="4">
        <f>'Conversion Factors'!$L$44</f>
        <v>696.62449445262769</v>
      </c>
      <c r="E50" s="4">
        <f>'Productivity Data'!$I$25</f>
        <v>60.332591436644847</v>
      </c>
      <c r="F50" s="2">
        <f>'Wage Data'!$C$11</f>
        <v>49.154294657004115</v>
      </c>
      <c r="G50" s="4">
        <f>'Cost Pool Data'!$K$48</f>
        <v>1.6214860636540271</v>
      </c>
      <c r="H50" s="2">
        <f t="shared" si="0"/>
        <v>1.8963738947542759E-3</v>
      </c>
      <c r="I50" s="2">
        <f t="shared" si="1"/>
        <v>1.3784669478542443E-4</v>
      </c>
    </row>
    <row r="51" spans="1:10" x14ac:dyDescent="0.25">
      <c r="B51" t="s">
        <v>217</v>
      </c>
      <c r="C51" s="4">
        <f t="shared" si="2"/>
        <v>0.54428780359840834</v>
      </c>
      <c r="D51" s="4">
        <f>'Conversion Factors'!$L$45</f>
        <v>1310.6924574440295</v>
      </c>
      <c r="E51" s="4">
        <f>'Productivity Data'!$I$25</f>
        <v>60.332591436644847</v>
      </c>
      <c r="F51" s="2">
        <f>'Wage Data'!$C$11</f>
        <v>49.154294657004115</v>
      </c>
      <c r="G51" s="4">
        <f>'Cost Pool Data'!$K$48</f>
        <v>1.6214860636540271</v>
      </c>
      <c r="H51" s="2">
        <f t="shared" si="0"/>
        <v>1.0079103593092671E-3</v>
      </c>
      <c r="I51" s="2">
        <f t="shared" si="1"/>
        <v>5.4859331569252355E-4</v>
      </c>
    </row>
    <row r="52" spans="1:10" x14ac:dyDescent="0.25">
      <c r="B52" t="s">
        <v>218</v>
      </c>
      <c r="C52" s="4">
        <f t="shared" si="2"/>
        <v>0.18005829811601765</v>
      </c>
      <c r="D52" s="4">
        <f>'Conversion Factors'!$L$46</f>
        <v>673.62492731429006</v>
      </c>
      <c r="E52" s="4">
        <f>'Productivity Data'!$I$25</f>
        <v>60.332591436644847</v>
      </c>
      <c r="F52" s="2">
        <f>'Wage Data'!$C$11</f>
        <v>49.154294657004115</v>
      </c>
      <c r="G52" s="4">
        <f>'Cost Pool Data'!$K$48</f>
        <v>1.6214860636540271</v>
      </c>
      <c r="H52" s="2">
        <f t="shared" si="0"/>
        <v>1.9611217639961191E-3</v>
      </c>
      <c r="I52" s="2">
        <f t="shared" si="1"/>
        <v>3.5311624722342359E-4</v>
      </c>
    </row>
    <row r="53" spans="1:10" x14ac:dyDescent="0.25">
      <c r="B53" t="s">
        <v>249</v>
      </c>
      <c r="C53" s="4">
        <f>C33</f>
        <v>9.5336748083696243E-2</v>
      </c>
      <c r="D53" s="4">
        <f>'Conversion Factors'!$L$48</f>
        <v>400.86107774048043</v>
      </c>
      <c r="E53" s="4">
        <f>'Productivity Data'!$I$25</f>
        <v>60.332591436644847</v>
      </c>
      <c r="F53" s="2">
        <f>'Wage Data'!$C$11</f>
        <v>49.154294657004115</v>
      </c>
      <c r="G53" s="4">
        <f>'Cost Pool Data'!$K$48</f>
        <v>1.6214860636540271</v>
      </c>
      <c r="H53" s="2">
        <f>(F53*G53)/(D53*E53)</f>
        <v>3.2955569375124503E-3</v>
      </c>
      <c r="I53" s="2">
        <f>C53*H53</f>
        <v>3.1418768154710196E-4</v>
      </c>
    </row>
    <row r="54" spans="1:10" x14ac:dyDescent="0.25">
      <c r="A54" s="72"/>
      <c r="B54" s="79" t="s">
        <v>135</v>
      </c>
      <c r="C54" s="49">
        <f>SUM(C49:C53)</f>
        <v>1</v>
      </c>
      <c r="D54" s="49">
        <v>1</v>
      </c>
      <c r="E54" s="49">
        <f>'Productivity Data'!$I$22</f>
        <v>307.66822713635111</v>
      </c>
      <c r="F54" s="48">
        <f>'Wage Data'!$C$11</f>
        <v>49.154294657004115</v>
      </c>
      <c r="G54" s="49">
        <f>'Cost Pool Data'!$K$57</f>
        <v>1.4957786551922303</v>
      </c>
      <c r="H54" s="48">
        <f t="shared" si="0"/>
        <v>0.23897152280983572</v>
      </c>
      <c r="I54" s="75">
        <f t="shared" si="1"/>
        <v>0.23897152280983572</v>
      </c>
      <c r="J54" s="76">
        <f>SUM(I49:I54)</f>
        <v>0.24049726506475338</v>
      </c>
    </row>
    <row r="56" spans="1:10" x14ac:dyDescent="0.25">
      <c r="A56" s="29" t="s">
        <v>259</v>
      </c>
      <c r="I56" s="80" t="s">
        <v>203</v>
      </c>
      <c r="J56" s="81">
        <f>J25+J33+J48+J54</f>
        <v>0.70792560044991459</v>
      </c>
    </row>
    <row r="57" spans="1:10" x14ac:dyDescent="0.25">
      <c r="A57" s="6" t="s">
        <v>296</v>
      </c>
      <c r="F57"/>
      <c r="G57"/>
      <c r="H57"/>
      <c r="I57"/>
    </row>
    <row r="58" spans="1:10" x14ac:dyDescent="0.25">
      <c r="A58" s="6" t="s">
        <v>297</v>
      </c>
    </row>
    <row r="59" spans="1:10" x14ac:dyDescent="0.25">
      <c r="A59" s="6" t="s">
        <v>298</v>
      </c>
    </row>
    <row r="60" spans="1:10" x14ac:dyDescent="0.25">
      <c r="A60" s="6" t="s">
        <v>299</v>
      </c>
    </row>
    <row r="61" spans="1:10" x14ac:dyDescent="0.25">
      <c r="A61" s="6" t="s">
        <v>277</v>
      </c>
    </row>
    <row r="62" spans="1:10" x14ac:dyDescent="0.25">
      <c r="A62" s="6" t="s">
        <v>300</v>
      </c>
    </row>
    <row r="63" spans="1:10" x14ac:dyDescent="0.25">
      <c r="A63" s="6" t="s">
        <v>301</v>
      </c>
    </row>
  </sheetData>
  <phoneticPr fontId="3" type="noConversion"/>
  <printOptions horizontalCentered="1"/>
  <pageMargins left="0.75" right="0.75" top="1" bottom="1" header="0.5" footer="0.5"/>
  <pageSetup scale="61" orientation="portrait" r:id="rId1"/>
  <headerFooter alignWithMargins="0">
    <oddHeader>&amp;RPage 43 of 50</oddHeader>
    <oddFooter>&amp;R&amp;F</oddFooter>
  </headerFooter>
  <ignoredErrors>
    <ignoredError sqref="G17 G19" formula="1"/>
  </ignoredErrors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 codeName="Sheet29">
    <pageSetUpPr fitToPage="1"/>
  </sheetPr>
  <dimension ref="A1:J34"/>
  <sheetViews>
    <sheetView topLeftCell="A19" zoomScale="75" workbookViewId="0">
      <selection activeCell="P46" sqref="P46"/>
    </sheetView>
  </sheetViews>
  <sheetFormatPr defaultColWidth="9.109375" defaultRowHeight="13.2" x14ac:dyDescent="0.25"/>
  <cols>
    <col min="1" max="1" width="15.6640625" style="6" customWidth="1"/>
    <col min="2" max="2" width="30.6640625" style="6" customWidth="1"/>
    <col min="3" max="5" width="12.6640625" style="4" customWidth="1"/>
    <col min="6" max="6" width="12.6640625" style="2" customWidth="1"/>
    <col min="7" max="7" width="12.6640625" style="4" customWidth="1"/>
    <col min="8" max="9" width="12.6640625" style="2" customWidth="1"/>
    <col min="10" max="10" width="12.6640625" customWidth="1"/>
  </cols>
  <sheetData>
    <row r="1" spans="1:10" ht="15.6" x14ac:dyDescent="0.3">
      <c r="A1" s="5" t="s">
        <v>417</v>
      </c>
      <c r="B1" s="5"/>
    </row>
    <row r="4" spans="1:10" x14ac:dyDescent="0.25">
      <c r="C4" s="8" t="s">
        <v>107</v>
      </c>
      <c r="D4" s="8" t="s">
        <v>108</v>
      </c>
      <c r="E4" s="8" t="s">
        <v>109</v>
      </c>
      <c r="F4" s="50" t="s">
        <v>112</v>
      </c>
      <c r="G4" s="8" t="s">
        <v>156</v>
      </c>
      <c r="H4" s="50" t="s">
        <v>157</v>
      </c>
      <c r="I4" s="50" t="s">
        <v>192</v>
      </c>
    </row>
    <row r="5" spans="1:10" x14ac:dyDescent="0.25">
      <c r="A5" s="70"/>
      <c r="F5" s="50" t="s">
        <v>155</v>
      </c>
      <c r="H5" s="50" t="s">
        <v>3</v>
      </c>
      <c r="I5" s="50" t="s">
        <v>3</v>
      </c>
    </row>
    <row r="6" spans="1:10" s="6" customFormat="1" x14ac:dyDescent="0.25">
      <c r="C6" s="8"/>
      <c r="D6" s="8" t="s">
        <v>202</v>
      </c>
      <c r="E6" s="8" t="s">
        <v>101</v>
      </c>
      <c r="F6" s="50" t="s">
        <v>103</v>
      </c>
      <c r="G6" s="8" t="s">
        <v>105</v>
      </c>
      <c r="H6" s="50" t="s">
        <v>207</v>
      </c>
      <c r="I6" s="50" t="s">
        <v>206</v>
      </c>
    </row>
    <row r="7" spans="1:10" s="6" customFormat="1" x14ac:dyDescent="0.25">
      <c r="A7" s="6" t="s">
        <v>84</v>
      </c>
      <c r="B7" s="6" t="s">
        <v>76</v>
      </c>
      <c r="C7" s="8" t="s">
        <v>199</v>
      </c>
      <c r="D7" s="8" t="s">
        <v>81</v>
      </c>
      <c r="E7" s="8" t="s">
        <v>102</v>
      </c>
      <c r="F7" s="50" t="s">
        <v>104</v>
      </c>
      <c r="G7" s="8" t="s">
        <v>81</v>
      </c>
      <c r="H7" s="50" t="s">
        <v>76</v>
      </c>
      <c r="I7" s="50" t="s">
        <v>84</v>
      </c>
    </row>
    <row r="8" spans="1:10" x14ac:dyDescent="0.25">
      <c r="A8" s="72"/>
      <c r="B8" s="72"/>
      <c r="C8" s="49"/>
      <c r="D8" s="49"/>
      <c r="E8" s="49"/>
      <c r="F8" s="48"/>
      <c r="G8" s="49"/>
      <c r="H8" s="48"/>
      <c r="I8" s="48"/>
      <c r="J8" s="79"/>
    </row>
    <row r="9" spans="1:10" x14ac:dyDescent="0.25">
      <c r="A9" s="6" t="s">
        <v>243</v>
      </c>
      <c r="B9" t="s">
        <v>211</v>
      </c>
      <c r="C9" s="4">
        <f>'Mailer Arrival Profile'!$C$27</f>
        <v>0</v>
      </c>
      <c r="D9" s="4">
        <f>'Conversion Factors'!$L$20</f>
        <v>1048.0309783429961</v>
      </c>
      <c r="E9" s="4">
        <f>'Productivity Data'!$I$38</f>
        <v>46.475052307166727</v>
      </c>
      <c r="F9" s="2">
        <f>'Wage Data'!$C$11</f>
        <v>49.154294657004115</v>
      </c>
      <c r="G9" s="4">
        <f>'Cost Pool Data'!$K$43</f>
        <v>1.386023903258889</v>
      </c>
      <c r="H9" s="2">
        <f t="shared" ref="H9:H25" si="0">(F9*G9)/(D9*E9)</f>
        <v>1.3987438224320906E-3</v>
      </c>
      <c r="I9" s="2">
        <f t="shared" ref="I9:I25" si="1">C9*H9</f>
        <v>0</v>
      </c>
    </row>
    <row r="10" spans="1:10" x14ac:dyDescent="0.25">
      <c r="A10" s="6" t="s">
        <v>131</v>
      </c>
      <c r="B10" t="s">
        <v>212</v>
      </c>
      <c r="C10" s="4">
        <f>'Mailer Arrival Profile'!$D$27</f>
        <v>1</v>
      </c>
      <c r="D10" s="4">
        <f>'Conversion Factors'!$L$21</f>
        <v>1676.2813880312062</v>
      </c>
      <c r="E10" s="4">
        <f>'Productivity Data'!$I$38</f>
        <v>46.475052307166727</v>
      </c>
      <c r="F10" s="2">
        <f>'Wage Data'!$C$11</f>
        <v>49.154294657004115</v>
      </c>
      <c r="G10" s="4">
        <f>'Cost Pool Data'!$K$43</f>
        <v>1.386023903258889</v>
      </c>
      <c r="H10" s="2">
        <f t="shared" si="0"/>
        <v>8.7451120506471653E-4</v>
      </c>
      <c r="I10" s="2">
        <f t="shared" si="1"/>
        <v>8.7451120506471653E-4</v>
      </c>
    </row>
    <row r="11" spans="1:10" x14ac:dyDescent="0.25">
      <c r="B11" t="s">
        <v>213</v>
      </c>
      <c r="C11" s="4">
        <f>'Mailer Arrival Profile'!$E$27</f>
        <v>0</v>
      </c>
      <c r="D11" s="4">
        <f>'Conversion Factors'!$L$22</f>
        <v>1079.6056545024896</v>
      </c>
      <c r="E11" s="4">
        <f>'Productivity Data'!$I$38</f>
        <v>46.475052307166727</v>
      </c>
      <c r="F11" s="2">
        <f>'Wage Data'!$C$11</f>
        <v>49.154294657004115</v>
      </c>
      <c r="G11" s="4">
        <f>'Cost Pool Data'!$K$43</f>
        <v>1.386023903258889</v>
      </c>
      <c r="H11" s="2">
        <f t="shared" si="0"/>
        <v>1.3578354749820786E-3</v>
      </c>
      <c r="I11" s="2">
        <f t="shared" si="1"/>
        <v>0</v>
      </c>
    </row>
    <row r="12" spans="1:10" x14ac:dyDescent="0.25">
      <c r="B12" t="s">
        <v>214</v>
      </c>
      <c r="C12" s="4">
        <f>'Mailer Arrival Profile'!$F$27</f>
        <v>0</v>
      </c>
      <c r="D12" s="4">
        <f>'Conversion Factors'!$L$23</f>
        <v>913.27319010541089</v>
      </c>
      <c r="E12" s="4">
        <f>'Productivity Data'!$I$37</f>
        <v>55.996737364805647</v>
      </c>
      <c r="F12" s="2">
        <f>'Wage Data'!$C$11</f>
        <v>49.154294657004115</v>
      </c>
      <c r="G12" s="4">
        <f>'Cost Pool Data'!$K$43</f>
        <v>1.386023903258889</v>
      </c>
      <c r="H12" s="2">
        <f t="shared" si="0"/>
        <v>1.3321979353355536E-3</v>
      </c>
      <c r="I12" s="2">
        <f t="shared" si="1"/>
        <v>0</v>
      </c>
    </row>
    <row r="13" spans="1:10" x14ac:dyDescent="0.25">
      <c r="B13" t="s">
        <v>143</v>
      </c>
      <c r="C13" s="4">
        <f>(C11+C12)*(1+'Other Inputs'!$B$9)</f>
        <v>0</v>
      </c>
      <c r="D13" s="4">
        <f>'Conversion Factors'!$L$49</f>
        <v>147.06266848550521</v>
      </c>
      <c r="E13" s="4">
        <f>'Productivity Data'!$I$19</f>
        <v>3068.1109131264348</v>
      </c>
      <c r="F13" s="2">
        <f>'Wage Data'!$C$11</f>
        <v>49.154294657004115</v>
      </c>
      <c r="G13" s="4">
        <f>'Cost Pool Data'!$K$46</f>
        <v>1.6196174573049362</v>
      </c>
      <c r="H13" s="2">
        <f t="shared" si="0"/>
        <v>1.7644136959849604E-4</v>
      </c>
      <c r="I13" s="2">
        <f t="shared" si="1"/>
        <v>0</v>
      </c>
    </row>
    <row r="14" spans="1:10" x14ac:dyDescent="0.25">
      <c r="B14" t="s">
        <v>223</v>
      </c>
      <c r="C14" s="4">
        <f>C9</f>
        <v>0</v>
      </c>
      <c r="D14" s="4">
        <f>'Conversion Factors'!$L$20</f>
        <v>1048.0309783429961</v>
      </c>
      <c r="E14" s="4">
        <f>'Productivity Data'!$I$45</f>
        <v>55.582256364514194</v>
      </c>
      <c r="F14" s="2">
        <f>'Wage Data'!$C$11</f>
        <v>49.154294657004115</v>
      </c>
      <c r="G14" s="4">
        <f>'Cost Pool Data'!$K$43</f>
        <v>1.386023903258889</v>
      </c>
      <c r="H14" s="2">
        <f t="shared" si="0"/>
        <v>1.1695583548378664E-3</v>
      </c>
      <c r="I14" s="2">
        <f t="shared" si="1"/>
        <v>0</v>
      </c>
    </row>
    <row r="15" spans="1:10" x14ac:dyDescent="0.25">
      <c r="B15" t="s">
        <v>224</v>
      </c>
      <c r="C15" s="4">
        <f>C10</f>
        <v>1</v>
      </c>
      <c r="D15" s="4">
        <f>'Conversion Factors'!$L$21</f>
        <v>1676.2813880312062</v>
      </c>
      <c r="E15" s="4">
        <f>'Productivity Data'!$I$44</f>
        <v>70.608822220868689</v>
      </c>
      <c r="F15" s="2">
        <f>'Wage Data'!$C$11</f>
        <v>49.154294657004115</v>
      </c>
      <c r="G15" s="4">
        <f>'Cost Pool Data'!$K$43</f>
        <v>1.386023903258889</v>
      </c>
      <c r="H15" s="2">
        <f t="shared" si="0"/>
        <v>5.7560730685256973E-4</v>
      </c>
      <c r="I15" s="2">
        <f t="shared" si="1"/>
        <v>5.7560730685256973E-4</v>
      </c>
    </row>
    <row r="16" spans="1:10" x14ac:dyDescent="0.25">
      <c r="A16" s="72"/>
      <c r="B16" s="79" t="s">
        <v>236</v>
      </c>
      <c r="C16" s="49">
        <f>(C11+C12)</f>
        <v>0</v>
      </c>
      <c r="D16" s="49">
        <f>'Conversion Factors'!$L$45</f>
        <v>1310.6924574440295</v>
      </c>
      <c r="E16" s="49">
        <f>'Productivity Data'!$I$44</f>
        <v>70.608822220868689</v>
      </c>
      <c r="F16" s="48">
        <f>'Wage Data'!$C$11</f>
        <v>49.154294657004115</v>
      </c>
      <c r="G16" s="49">
        <f>'Cost Pool Data'!$K$43</f>
        <v>1.386023903258889</v>
      </c>
      <c r="H16" s="48">
        <f t="shared" si="0"/>
        <v>7.3616034777016599E-4</v>
      </c>
      <c r="I16" s="75">
        <f t="shared" si="1"/>
        <v>0</v>
      </c>
      <c r="J16" s="76">
        <f>SUM(I9:I16)</f>
        <v>1.4501185119172861E-3</v>
      </c>
    </row>
    <row r="17" spans="1:10" x14ac:dyDescent="0.25">
      <c r="A17" s="6" t="s">
        <v>243</v>
      </c>
      <c r="B17" t="s">
        <v>211</v>
      </c>
      <c r="C17" s="4">
        <f>C14</f>
        <v>0</v>
      </c>
      <c r="D17" s="4">
        <f>'Conversion Factors'!$L$20</f>
        <v>1048.0309783429961</v>
      </c>
      <c r="E17" s="4">
        <f>'Productivity Data'!$I$28</f>
        <v>58.156985400220201</v>
      </c>
      <c r="F17" s="2">
        <f>'Wage Data'!$C$11</f>
        <v>49.154294657004115</v>
      </c>
      <c r="G17" s="4">
        <f>'Cost Pool Data'!$K$27</f>
        <v>1.3606061934437479</v>
      </c>
      <c r="H17" s="2">
        <f t="shared" si="0"/>
        <v>1.0972811170446752E-3</v>
      </c>
      <c r="I17" s="2">
        <f t="shared" si="1"/>
        <v>0</v>
      </c>
    </row>
    <row r="18" spans="1:10" x14ac:dyDescent="0.25">
      <c r="A18" s="6" t="s">
        <v>241</v>
      </c>
      <c r="B18" t="s">
        <v>212</v>
      </c>
      <c r="C18" s="4">
        <f>C15</f>
        <v>1</v>
      </c>
      <c r="D18" s="4">
        <f>'Conversion Factors'!$L$21</f>
        <v>1676.2813880312062</v>
      </c>
      <c r="E18" s="4">
        <f>'Productivity Data'!$I$28</f>
        <v>58.156985400220201</v>
      </c>
      <c r="F18" s="2">
        <f>'Wage Data'!$C$11</f>
        <v>49.154294657004115</v>
      </c>
      <c r="G18" s="4">
        <f>'Cost Pool Data'!$K$27</f>
        <v>1.3606061934437479</v>
      </c>
      <c r="H18" s="2">
        <f t="shared" si="0"/>
        <v>6.8603315101188622E-4</v>
      </c>
      <c r="I18" s="2">
        <f t="shared" si="1"/>
        <v>6.8603315101188622E-4</v>
      </c>
    </row>
    <row r="19" spans="1:10" x14ac:dyDescent="0.25">
      <c r="B19" t="s">
        <v>217</v>
      </c>
      <c r="C19" s="4">
        <f>C16</f>
        <v>0</v>
      </c>
      <c r="D19" s="4">
        <f>'Conversion Factors'!$L$45</f>
        <v>1310.6924574440295</v>
      </c>
      <c r="E19" s="4">
        <f>'Productivity Data'!$I$27</f>
        <v>81.873572020007202</v>
      </c>
      <c r="F19" s="2">
        <f>'Wage Data'!$C$11</f>
        <v>49.154294657004115</v>
      </c>
      <c r="G19" s="4">
        <f>'Cost Pool Data'!$K$27</f>
        <v>1.3606061934437479</v>
      </c>
      <c r="H19" s="2">
        <f t="shared" si="0"/>
        <v>6.2323146793144156E-4</v>
      </c>
      <c r="I19" s="2">
        <f t="shared" si="1"/>
        <v>0</v>
      </c>
    </row>
    <row r="20" spans="1:10" x14ac:dyDescent="0.25">
      <c r="B20" t="s">
        <v>204</v>
      </c>
      <c r="C20" s="4">
        <f>SUM(C17:C19)*'Other Inputs'!$B$30*(1+'Other Inputs'!$B$10)</f>
        <v>0.42375228317471153</v>
      </c>
      <c r="D20" s="4">
        <v>1</v>
      </c>
      <c r="E20" s="4">
        <f>'Productivity Data'!$I$10</f>
        <v>245.20305602978507</v>
      </c>
      <c r="F20" s="2">
        <f>'Wage Data'!$C$11</f>
        <v>49.154294657004115</v>
      </c>
      <c r="G20" s="4">
        <f>'Cost Pool Data'!$L$14</f>
        <v>1.8052502472456198</v>
      </c>
      <c r="H20" s="2">
        <f t="shared" si="0"/>
        <v>0.36188701731336453</v>
      </c>
      <c r="I20" s="2">
        <f t="shared" si="1"/>
        <v>0.15335044983782459</v>
      </c>
    </row>
    <row r="21" spans="1:10" x14ac:dyDescent="0.25">
      <c r="B21" s="9" t="s">
        <v>363</v>
      </c>
      <c r="C21" s="4">
        <f>SUM(C17:C19)*'Other Inputs'!$B$31*(1+'Other Inputs'!$B$11)</f>
        <v>0.56721575232661026</v>
      </c>
      <c r="D21" s="4">
        <v>1</v>
      </c>
      <c r="E21" s="4">
        <f>'Productivity Data'!$I$11</f>
        <v>190.80521220652753</v>
      </c>
      <c r="F21" s="2">
        <f>'Wage Data'!$C$11</f>
        <v>49.154294657004115</v>
      </c>
      <c r="G21" s="4">
        <f>'Cost Pool Data'!$L$11</f>
        <v>1.6056412614911089</v>
      </c>
      <c r="H21" s="2">
        <f t="shared" si="0"/>
        <v>0.41363735700967258</v>
      </c>
      <c r="I21" s="2">
        <f t="shared" si="1"/>
        <v>0.23462162464663211</v>
      </c>
    </row>
    <row r="22" spans="1:10" x14ac:dyDescent="0.25">
      <c r="B22" t="s">
        <v>198</v>
      </c>
      <c r="C22" s="4">
        <f>SUM(C17:C19)*'Other Inputs'!$B$32</f>
        <v>0.11391845469353627</v>
      </c>
      <c r="D22" s="4">
        <v>1</v>
      </c>
      <c r="E22" s="4">
        <f>'Productivity Data'!$I$16</f>
        <v>47.994690148863093</v>
      </c>
      <c r="F22" s="2">
        <f>'Wage Data'!$C$11</f>
        <v>49.154294657004115</v>
      </c>
      <c r="G22" s="4">
        <f>'Cost Pool Data'!$K$16</f>
        <v>1.3208756008457678</v>
      </c>
      <c r="H22" s="2">
        <f t="shared" si="0"/>
        <v>1.3527894083249588</v>
      </c>
      <c r="I22" s="2">
        <f t="shared" si="1"/>
        <v>0.15410767892216257</v>
      </c>
    </row>
    <row r="23" spans="1:10" x14ac:dyDescent="0.25">
      <c r="A23" s="72"/>
      <c r="B23" s="79" t="s">
        <v>248</v>
      </c>
      <c r="C23" s="49">
        <f>SUM(C17:C19)</f>
        <v>1</v>
      </c>
      <c r="D23" s="49">
        <f>'Conversion Factors'!$L$48</f>
        <v>400.86107774048043</v>
      </c>
      <c r="E23" s="49">
        <f>'Productivity Data'!$I$31</f>
        <v>91.071587890934111</v>
      </c>
      <c r="F23" s="48">
        <f>'Wage Data'!$C$11</f>
        <v>49.154294657004115</v>
      </c>
      <c r="G23" s="49">
        <f>'Cost Pool Data'!$K$27</f>
        <v>1.3606061934437479</v>
      </c>
      <c r="H23" s="48">
        <f t="shared" si="0"/>
        <v>1.8319647524684813E-3</v>
      </c>
      <c r="I23" s="75">
        <f t="shared" si="1"/>
        <v>1.8319647524684813E-3</v>
      </c>
      <c r="J23" s="76">
        <f>SUM(I17:I23)</f>
        <v>0.54459775131009969</v>
      </c>
    </row>
    <row r="24" spans="1:10" x14ac:dyDescent="0.25">
      <c r="A24" s="6" t="s">
        <v>243</v>
      </c>
      <c r="B24" t="s">
        <v>249</v>
      </c>
      <c r="C24" s="4">
        <f>C23</f>
        <v>1</v>
      </c>
      <c r="D24" s="4">
        <f>'Conversion Factors'!$L$48</f>
        <v>400.86107774048043</v>
      </c>
      <c r="E24" s="4">
        <f>'Productivity Data'!$I$25</f>
        <v>60.332591436644847</v>
      </c>
      <c r="F24" s="2">
        <f>'Wage Data'!$C$11</f>
        <v>49.154294657004115</v>
      </c>
      <c r="G24" s="4">
        <f>'Cost Pool Data'!$K$48</f>
        <v>1.6214860636540271</v>
      </c>
      <c r="H24" s="2">
        <f t="shared" si="0"/>
        <v>3.2955569375124503E-3</v>
      </c>
      <c r="I24" s="2">
        <f t="shared" si="1"/>
        <v>3.2955569375124503E-3</v>
      </c>
    </row>
    <row r="25" spans="1:10" x14ac:dyDescent="0.25">
      <c r="A25" s="72" t="s">
        <v>85</v>
      </c>
      <c r="B25" s="79" t="s">
        <v>135</v>
      </c>
      <c r="C25" s="49">
        <f>C24</f>
        <v>1</v>
      </c>
      <c r="D25" s="49">
        <v>1</v>
      </c>
      <c r="E25" s="49">
        <f>'Productivity Data'!$I$22</f>
        <v>307.66822713635111</v>
      </c>
      <c r="F25" s="48">
        <f>'Wage Data'!$C$11</f>
        <v>49.154294657004115</v>
      </c>
      <c r="G25" s="49">
        <f>'Cost Pool Data'!$K$57</f>
        <v>1.4957786551922303</v>
      </c>
      <c r="H25" s="48">
        <f t="shared" si="0"/>
        <v>0.23897152280983572</v>
      </c>
      <c r="I25" s="75">
        <f t="shared" si="1"/>
        <v>0.23897152280983572</v>
      </c>
      <c r="J25" s="76">
        <f>SUM(I24:I25)</f>
        <v>0.24226707974734818</v>
      </c>
    </row>
    <row r="27" spans="1:10" x14ac:dyDescent="0.25">
      <c r="A27" s="29" t="s">
        <v>259</v>
      </c>
      <c r="I27" s="80" t="s">
        <v>203</v>
      </c>
      <c r="J27" s="81">
        <f>J16+J23+J25</f>
        <v>0.7883149495693651</v>
      </c>
    </row>
    <row r="28" spans="1:10" x14ac:dyDescent="0.25">
      <c r="A28" s="6" t="s">
        <v>296</v>
      </c>
      <c r="F28"/>
      <c r="G28"/>
      <c r="H28"/>
      <c r="I28"/>
    </row>
    <row r="29" spans="1:10" x14ac:dyDescent="0.25">
      <c r="A29" s="6" t="s">
        <v>297</v>
      </c>
    </row>
    <row r="30" spans="1:10" x14ac:dyDescent="0.25">
      <c r="A30" s="6" t="s">
        <v>298</v>
      </c>
    </row>
    <row r="31" spans="1:10" x14ac:dyDescent="0.25">
      <c r="A31" s="6" t="s">
        <v>299</v>
      </c>
    </row>
    <row r="32" spans="1:10" x14ac:dyDescent="0.25">
      <c r="A32" s="6" t="s">
        <v>277</v>
      </c>
    </row>
    <row r="33" spans="1:1" x14ac:dyDescent="0.25">
      <c r="A33" s="6" t="s">
        <v>300</v>
      </c>
    </row>
    <row r="34" spans="1:1" x14ac:dyDescent="0.25">
      <c r="A34" s="6" t="s">
        <v>301</v>
      </c>
    </row>
  </sheetData>
  <phoneticPr fontId="3" type="noConversion"/>
  <printOptions horizontalCentered="1"/>
  <pageMargins left="0.75" right="0.75" top="1" bottom="1" header="0.5" footer="0.5"/>
  <pageSetup scale="61" orientation="portrait" r:id="rId1"/>
  <headerFooter alignWithMargins="0">
    <oddHeader>&amp;RPage 44 of 50</oddHeader>
    <oddFooter>&amp;R&amp;F</oddFooter>
  </headerFooter>
  <ignoredErrors>
    <ignoredError sqref="G13" formula="1"/>
  </ignoredErrors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 codeName="Sheet30">
    <pageSetUpPr fitToPage="1"/>
  </sheetPr>
  <dimension ref="A1:J38"/>
  <sheetViews>
    <sheetView topLeftCell="A24" zoomScale="75" workbookViewId="0">
      <selection activeCell="D27" sqref="D27:J32"/>
    </sheetView>
  </sheetViews>
  <sheetFormatPr defaultColWidth="9.109375" defaultRowHeight="13.2" x14ac:dyDescent="0.25"/>
  <cols>
    <col min="1" max="1" width="15.6640625" style="6" customWidth="1"/>
    <col min="2" max="2" width="30.6640625" style="6" customWidth="1"/>
    <col min="3" max="5" width="12.6640625" style="4" customWidth="1"/>
    <col min="6" max="6" width="12.6640625" style="2" customWidth="1"/>
    <col min="7" max="7" width="12.6640625" style="4" customWidth="1"/>
    <col min="8" max="9" width="12.6640625" style="2" customWidth="1"/>
    <col min="10" max="10" width="12.6640625" customWidth="1"/>
  </cols>
  <sheetData>
    <row r="1" spans="1:10" ht="15.6" x14ac:dyDescent="0.3">
      <c r="A1" s="5" t="s">
        <v>418</v>
      </c>
      <c r="B1" s="5"/>
    </row>
    <row r="4" spans="1:10" x14ac:dyDescent="0.25">
      <c r="C4" s="8" t="s">
        <v>107</v>
      </c>
      <c r="D4" s="8" t="s">
        <v>108</v>
      </c>
      <c r="E4" s="8" t="s">
        <v>109</v>
      </c>
      <c r="F4" s="50" t="s">
        <v>112</v>
      </c>
      <c r="G4" s="8" t="s">
        <v>156</v>
      </c>
      <c r="H4" s="50" t="s">
        <v>157</v>
      </c>
      <c r="I4" s="50" t="s">
        <v>192</v>
      </c>
    </row>
    <row r="5" spans="1:10" x14ac:dyDescent="0.25">
      <c r="A5" s="70"/>
      <c r="F5" s="50" t="s">
        <v>155</v>
      </c>
      <c r="H5" s="50" t="s">
        <v>3</v>
      </c>
      <c r="I5" s="50" t="s">
        <v>3</v>
      </c>
    </row>
    <row r="6" spans="1:10" s="6" customFormat="1" x14ac:dyDescent="0.25">
      <c r="C6" s="8"/>
      <c r="D6" s="8" t="s">
        <v>202</v>
      </c>
      <c r="E6" s="8" t="s">
        <v>101</v>
      </c>
      <c r="F6" s="50" t="s">
        <v>103</v>
      </c>
      <c r="G6" s="8" t="s">
        <v>105</v>
      </c>
      <c r="H6" s="50" t="s">
        <v>207</v>
      </c>
      <c r="I6" s="50" t="s">
        <v>206</v>
      </c>
    </row>
    <row r="7" spans="1:10" s="6" customFormat="1" x14ac:dyDescent="0.25">
      <c r="A7" s="6" t="s">
        <v>84</v>
      </c>
      <c r="B7" s="6" t="s">
        <v>76</v>
      </c>
      <c r="C7" s="8" t="s">
        <v>199</v>
      </c>
      <c r="D7" s="8" t="s">
        <v>81</v>
      </c>
      <c r="E7" s="8" t="s">
        <v>102</v>
      </c>
      <c r="F7" s="50" t="s">
        <v>104</v>
      </c>
      <c r="G7" s="8" t="s">
        <v>81</v>
      </c>
      <c r="H7" s="50" t="s">
        <v>76</v>
      </c>
      <c r="I7" s="50" t="s">
        <v>84</v>
      </c>
    </row>
    <row r="8" spans="1:10" x14ac:dyDescent="0.25">
      <c r="A8" s="72"/>
      <c r="B8" s="72"/>
      <c r="C8" s="49"/>
      <c r="D8" s="49"/>
      <c r="E8" s="49"/>
      <c r="F8" s="48"/>
      <c r="G8" s="49"/>
      <c r="H8" s="48"/>
      <c r="I8" s="48"/>
      <c r="J8" s="79"/>
    </row>
    <row r="9" spans="1:10" x14ac:dyDescent="0.25">
      <c r="A9" s="6" t="s">
        <v>243</v>
      </c>
      <c r="B9" t="s">
        <v>211</v>
      </c>
      <c r="C9" s="4">
        <f>'Mailer Arrival Profile'!$C$28</f>
        <v>0</v>
      </c>
      <c r="D9" s="4">
        <f>'Conversion Factors'!$L$20</f>
        <v>1048.0309783429961</v>
      </c>
      <c r="E9" s="4">
        <f>'Productivity Data'!$I$38</f>
        <v>46.475052307166727</v>
      </c>
      <c r="F9" s="2">
        <f>'Wage Data'!$C$11</f>
        <v>49.154294657004115</v>
      </c>
      <c r="G9" s="4">
        <f>'Cost Pool Data'!$K$43</f>
        <v>1.386023903258889</v>
      </c>
      <c r="H9" s="2">
        <f t="shared" ref="H9:H29" si="0">(F9*G9)/(D9*E9)</f>
        <v>1.3987438224320906E-3</v>
      </c>
      <c r="I9" s="2">
        <f t="shared" ref="I9:I29" si="1">C9*H9</f>
        <v>0</v>
      </c>
    </row>
    <row r="10" spans="1:10" x14ac:dyDescent="0.25">
      <c r="A10" s="6" t="s">
        <v>131</v>
      </c>
      <c r="B10" t="s">
        <v>212</v>
      </c>
      <c r="C10" s="4">
        <f>'Mailer Arrival Profile'!$D$28</f>
        <v>0</v>
      </c>
      <c r="D10" s="4">
        <f>'Conversion Factors'!$L$21</f>
        <v>1676.2813880312062</v>
      </c>
      <c r="E10" s="4">
        <f>'Productivity Data'!$I$38</f>
        <v>46.475052307166727</v>
      </c>
      <c r="F10" s="2">
        <f>'Wage Data'!$C$11</f>
        <v>49.154294657004115</v>
      </c>
      <c r="G10" s="4">
        <f>'Cost Pool Data'!$K$43</f>
        <v>1.386023903258889</v>
      </c>
      <c r="H10" s="2">
        <f t="shared" si="0"/>
        <v>8.7451120506471653E-4</v>
      </c>
      <c r="I10" s="2">
        <f t="shared" si="1"/>
        <v>0</v>
      </c>
    </row>
    <row r="11" spans="1:10" x14ac:dyDescent="0.25">
      <c r="B11" t="s">
        <v>213</v>
      </c>
      <c r="C11" s="4">
        <f>'Mailer Arrival Profile'!$E$28</f>
        <v>1</v>
      </c>
      <c r="D11" s="4">
        <f>'Conversion Factors'!$L$22</f>
        <v>1079.6056545024896</v>
      </c>
      <c r="E11" s="4">
        <f>'Productivity Data'!$I$38</f>
        <v>46.475052307166727</v>
      </c>
      <c r="F11" s="2">
        <f>'Wage Data'!$C$11</f>
        <v>49.154294657004115</v>
      </c>
      <c r="G11" s="4">
        <f>'Cost Pool Data'!$K$43</f>
        <v>1.386023903258889</v>
      </c>
      <c r="H11" s="2">
        <f t="shared" si="0"/>
        <v>1.3578354749820786E-3</v>
      </c>
      <c r="I11" s="2">
        <f t="shared" si="1"/>
        <v>1.3578354749820786E-3</v>
      </c>
    </row>
    <row r="12" spans="1:10" x14ac:dyDescent="0.25">
      <c r="B12" t="s">
        <v>214</v>
      </c>
      <c r="C12" s="4">
        <f>'Mailer Arrival Profile'!$F$28</f>
        <v>0</v>
      </c>
      <c r="D12" s="4">
        <f>'Conversion Factors'!$L$23</f>
        <v>913.27319010541089</v>
      </c>
      <c r="E12" s="4">
        <f>'Productivity Data'!$I$37</f>
        <v>55.996737364805647</v>
      </c>
      <c r="F12" s="2">
        <f>'Wage Data'!$C$11</f>
        <v>49.154294657004115</v>
      </c>
      <c r="G12" s="4">
        <f>'Cost Pool Data'!$K$43</f>
        <v>1.386023903258889</v>
      </c>
      <c r="H12" s="2">
        <f t="shared" si="0"/>
        <v>1.3321979353355536E-3</v>
      </c>
      <c r="I12" s="2">
        <f t="shared" si="1"/>
        <v>0</v>
      </c>
    </row>
    <row r="13" spans="1:10" x14ac:dyDescent="0.25">
      <c r="B13" t="s">
        <v>143</v>
      </c>
      <c r="C13" s="4">
        <f>(C11+C12)*(1+'Other Inputs'!$B$9)</f>
        <v>1.0423865344574321</v>
      </c>
      <c r="D13" s="4">
        <f>'Mailer Arrival Profile'!$I$28</f>
        <v>36.926829268292686</v>
      </c>
      <c r="E13" s="4">
        <f>'Productivity Data'!$I$19</f>
        <v>3068.1109131264348</v>
      </c>
      <c r="F13" s="2">
        <f>'Wage Data'!$C$11</f>
        <v>49.154294657004115</v>
      </c>
      <c r="G13" s="4">
        <f>'Cost Pool Data'!$K$46</f>
        <v>1.6196174573049362</v>
      </c>
      <c r="H13" s="2">
        <f t="shared" si="0"/>
        <v>7.0268526051524239E-4</v>
      </c>
      <c r="I13" s="2">
        <f t="shared" si="1"/>
        <v>7.3246965352280144E-4</v>
      </c>
    </row>
    <row r="14" spans="1:10" x14ac:dyDescent="0.25">
      <c r="B14" t="s">
        <v>223</v>
      </c>
      <c r="C14" s="4">
        <f>C9</f>
        <v>0</v>
      </c>
      <c r="D14" s="4">
        <f>'Conversion Factors'!$L$20</f>
        <v>1048.0309783429961</v>
      </c>
      <c r="E14" s="4">
        <f>'Productivity Data'!$I$45</f>
        <v>55.582256364514194</v>
      </c>
      <c r="F14" s="2">
        <f>'Wage Data'!$C$11</f>
        <v>49.154294657004115</v>
      </c>
      <c r="G14" s="4">
        <f>'Cost Pool Data'!$K$43</f>
        <v>1.386023903258889</v>
      </c>
      <c r="H14" s="2">
        <f t="shared" si="0"/>
        <v>1.1695583548378664E-3</v>
      </c>
      <c r="I14" s="2">
        <f t="shared" si="1"/>
        <v>0</v>
      </c>
    </row>
    <row r="15" spans="1:10" x14ac:dyDescent="0.25">
      <c r="B15" t="s">
        <v>224</v>
      </c>
      <c r="C15" s="4">
        <f>C10</f>
        <v>0</v>
      </c>
      <c r="D15" s="4">
        <f>'Conversion Factors'!$L$21</f>
        <v>1676.2813880312062</v>
      </c>
      <c r="E15" s="4">
        <f>'Productivity Data'!$I$44</f>
        <v>70.608822220868689</v>
      </c>
      <c r="F15" s="2">
        <f>'Wage Data'!$C$11</f>
        <v>49.154294657004115</v>
      </c>
      <c r="G15" s="4">
        <f>'Cost Pool Data'!$K$43</f>
        <v>1.386023903258889</v>
      </c>
      <c r="H15" s="2">
        <f t="shared" si="0"/>
        <v>5.7560730685256973E-4</v>
      </c>
      <c r="I15" s="2">
        <f t="shared" si="1"/>
        <v>0</v>
      </c>
    </row>
    <row r="16" spans="1:10" x14ac:dyDescent="0.25">
      <c r="A16" s="72"/>
      <c r="B16" s="79" t="s">
        <v>236</v>
      </c>
      <c r="C16" s="49">
        <f>C11+C12</f>
        <v>1</v>
      </c>
      <c r="D16" s="49">
        <f>'Conversion Factors'!$L$45</f>
        <v>1310.6924574440295</v>
      </c>
      <c r="E16" s="49">
        <f>'Productivity Data'!$I$44</f>
        <v>70.608822220868689</v>
      </c>
      <c r="F16" s="48">
        <f>'Wage Data'!$C$11</f>
        <v>49.154294657004115</v>
      </c>
      <c r="G16" s="49">
        <f>'Cost Pool Data'!$K$43</f>
        <v>1.386023903258889</v>
      </c>
      <c r="H16" s="48">
        <f t="shared" si="0"/>
        <v>7.3616034777016599E-4</v>
      </c>
      <c r="I16" s="75">
        <f t="shared" si="1"/>
        <v>7.3616034777016599E-4</v>
      </c>
      <c r="J16" s="76">
        <f>SUM(I9:I16)</f>
        <v>2.8264654762750461E-3</v>
      </c>
    </row>
    <row r="17" spans="1:10" x14ac:dyDescent="0.25">
      <c r="A17" s="6" t="s">
        <v>243</v>
      </c>
      <c r="B17" t="s">
        <v>211</v>
      </c>
      <c r="C17" s="4">
        <f>C14</f>
        <v>0</v>
      </c>
      <c r="D17" s="4">
        <f>'Conversion Factors'!$L$20</f>
        <v>1048.0309783429961</v>
      </c>
      <c r="E17" s="4">
        <f>'Productivity Data'!$I$28</f>
        <v>58.156985400220201</v>
      </c>
      <c r="F17" s="2">
        <f>'Wage Data'!$C$11</f>
        <v>49.154294657004115</v>
      </c>
      <c r="G17" s="4">
        <f>'Cost Pool Data'!$K$27</f>
        <v>1.3606061934437479</v>
      </c>
      <c r="H17" s="2">
        <f t="shared" si="0"/>
        <v>1.0972811170446752E-3</v>
      </c>
      <c r="I17" s="2">
        <f t="shared" si="1"/>
        <v>0</v>
      </c>
    </row>
    <row r="18" spans="1:10" x14ac:dyDescent="0.25">
      <c r="A18" s="6" t="s">
        <v>241</v>
      </c>
      <c r="B18" t="s">
        <v>212</v>
      </c>
      <c r="C18" s="4">
        <f>C15</f>
        <v>0</v>
      </c>
      <c r="D18" s="4">
        <f>'Conversion Factors'!$L$21</f>
        <v>1676.2813880312062</v>
      </c>
      <c r="E18" s="4">
        <f>'Productivity Data'!$I$28</f>
        <v>58.156985400220201</v>
      </c>
      <c r="F18" s="2">
        <f>'Wage Data'!$C$11</f>
        <v>49.154294657004115</v>
      </c>
      <c r="G18" s="4">
        <f>'Cost Pool Data'!$K$27</f>
        <v>1.3606061934437479</v>
      </c>
      <c r="H18" s="2">
        <f t="shared" si="0"/>
        <v>6.8603315101188622E-4</v>
      </c>
      <c r="I18" s="2">
        <f t="shared" si="1"/>
        <v>0</v>
      </c>
    </row>
    <row r="19" spans="1:10" x14ac:dyDescent="0.25">
      <c r="B19" t="s">
        <v>217</v>
      </c>
      <c r="C19" s="4">
        <f>C16</f>
        <v>1</v>
      </c>
      <c r="D19" s="4">
        <f>'Conversion Factors'!$L$45</f>
        <v>1310.6924574440295</v>
      </c>
      <c r="E19" s="4">
        <f>'Productivity Data'!$I$27</f>
        <v>81.873572020007202</v>
      </c>
      <c r="F19" s="2">
        <f>'Wage Data'!$C$11</f>
        <v>49.154294657004115</v>
      </c>
      <c r="G19" s="4">
        <f>'Cost Pool Data'!$K$27</f>
        <v>1.3606061934437479</v>
      </c>
      <c r="H19" s="2">
        <f t="shared" si="0"/>
        <v>6.2323146793144156E-4</v>
      </c>
      <c r="I19" s="2">
        <f t="shared" si="1"/>
        <v>6.2323146793144156E-4</v>
      </c>
    </row>
    <row r="20" spans="1:10" x14ac:dyDescent="0.25">
      <c r="B20" t="s">
        <v>200</v>
      </c>
      <c r="C20" s="4">
        <f>C19</f>
        <v>1</v>
      </c>
      <c r="D20" s="4">
        <f>'Mailer Arrival Profile'!$I$28</f>
        <v>36.926829268292686</v>
      </c>
      <c r="E20" s="4">
        <f>'Productivity Data'!$I$14</f>
        <v>49.323981905738421</v>
      </c>
      <c r="F20" s="2">
        <f>'Wage Data'!$C$11</f>
        <v>49.154294657004115</v>
      </c>
      <c r="G20" s="4">
        <f>'Cost Pool Data'!$K$30</f>
        <v>1.2805162995566952</v>
      </c>
      <c r="H20" s="2">
        <f t="shared" si="0"/>
        <v>3.4557827404628004E-2</v>
      </c>
      <c r="I20" s="2">
        <f t="shared" si="1"/>
        <v>3.4557827404628004E-2</v>
      </c>
    </row>
    <row r="21" spans="1:10" x14ac:dyDescent="0.25">
      <c r="B21" t="s">
        <v>227</v>
      </c>
      <c r="C21" s="4">
        <f>C17</f>
        <v>0</v>
      </c>
      <c r="D21" s="4">
        <f>'Conversion Factors'!$L$20</f>
        <v>1048.0309783429961</v>
      </c>
      <c r="E21" s="4">
        <f>'Productivity Data'!$I$30</f>
        <v>39.899251235537818</v>
      </c>
      <c r="F21" s="2">
        <f>'Wage Data'!$C$11</f>
        <v>49.154294657004115</v>
      </c>
      <c r="G21" s="4">
        <f>'Cost Pool Data'!$K$27</f>
        <v>1.3606061934437479</v>
      </c>
      <c r="H21" s="2">
        <f t="shared" si="0"/>
        <v>1.5993924679735738E-3</v>
      </c>
      <c r="I21" s="2">
        <f t="shared" si="1"/>
        <v>0</v>
      </c>
    </row>
    <row r="22" spans="1:10" x14ac:dyDescent="0.25">
      <c r="B22" t="s">
        <v>228</v>
      </c>
      <c r="C22" s="4">
        <f>C18</f>
        <v>0</v>
      </c>
      <c r="D22" s="4">
        <f>'Conversion Factors'!$L$21</f>
        <v>1676.2813880312062</v>
      </c>
      <c r="E22" s="4">
        <f>'Productivity Data'!$I$30</f>
        <v>39.899251235537818</v>
      </c>
      <c r="F22" s="2">
        <f>'Wage Data'!$C$11</f>
        <v>49.154294657004115</v>
      </c>
      <c r="G22" s="4">
        <f>'Cost Pool Data'!$K$27</f>
        <v>1.3606061934437479</v>
      </c>
      <c r="H22" s="2">
        <f t="shared" si="0"/>
        <v>9.9995911481990307E-4</v>
      </c>
      <c r="I22" s="2">
        <f t="shared" si="1"/>
        <v>0</v>
      </c>
    </row>
    <row r="23" spans="1:10" x14ac:dyDescent="0.25">
      <c r="B23" t="s">
        <v>223</v>
      </c>
      <c r="C23" s="4">
        <f>C21</f>
        <v>0</v>
      </c>
      <c r="D23" s="4">
        <f>'Conversion Factors'!$L$20</f>
        <v>1048.0309783429961</v>
      </c>
      <c r="E23" s="4">
        <f>'Productivity Data'!$I$32</f>
        <v>61.728448910094343</v>
      </c>
      <c r="F23" s="2">
        <f>'Wage Data'!$C$11</f>
        <v>49.154294657004115</v>
      </c>
      <c r="G23" s="4">
        <f>'Cost Pool Data'!$K$27</f>
        <v>1.3606061934437479</v>
      </c>
      <c r="H23" s="2">
        <f t="shared" si="0"/>
        <v>1.0337950010188741E-3</v>
      </c>
      <c r="I23" s="2">
        <f t="shared" si="1"/>
        <v>0</v>
      </c>
    </row>
    <row r="24" spans="1:10" x14ac:dyDescent="0.25">
      <c r="B24" t="s">
        <v>224</v>
      </c>
      <c r="C24" s="4">
        <f>C22</f>
        <v>0</v>
      </c>
      <c r="D24" s="4">
        <f>'Conversion Factors'!$L$21</f>
        <v>1676.2813880312062</v>
      </c>
      <c r="E24" s="4">
        <f>'Productivity Data'!$I$32</f>
        <v>61.728448910094343</v>
      </c>
      <c r="F24" s="2">
        <f>'Wage Data'!$C$11</f>
        <v>49.154294657004115</v>
      </c>
      <c r="G24" s="4">
        <f>'Cost Pool Data'!$K$27</f>
        <v>1.3606061934437479</v>
      </c>
      <c r="H24" s="2">
        <f t="shared" si="0"/>
        <v>6.4634087931765506E-4</v>
      </c>
      <c r="I24" s="2">
        <f t="shared" si="1"/>
        <v>0</v>
      </c>
    </row>
    <row r="25" spans="1:10" x14ac:dyDescent="0.25">
      <c r="A25" s="72"/>
      <c r="B25" s="79" t="s">
        <v>248</v>
      </c>
      <c r="C25" s="49">
        <f>C20</f>
        <v>1</v>
      </c>
      <c r="D25" s="49">
        <f>'Conversion Factors'!$L$48</f>
        <v>400.86107774048043</v>
      </c>
      <c r="E25" s="49">
        <f>'Productivity Data'!$I$31</f>
        <v>91.071587890934111</v>
      </c>
      <c r="F25" s="48">
        <f>'Wage Data'!$C$11</f>
        <v>49.154294657004115</v>
      </c>
      <c r="G25" s="49">
        <f>'Cost Pool Data'!$K$27</f>
        <v>1.3606061934437479</v>
      </c>
      <c r="H25" s="48">
        <f t="shared" si="0"/>
        <v>1.8319647524684813E-3</v>
      </c>
      <c r="I25" s="75">
        <f t="shared" si="1"/>
        <v>1.8319647524684813E-3</v>
      </c>
      <c r="J25" s="76">
        <f>SUM(I17:I25)</f>
        <v>3.7013023625027924E-2</v>
      </c>
    </row>
    <row r="26" spans="1:10" x14ac:dyDescent="0.25">
      <c r="A26" s="6" t="s">
        <v>243</v>
      </c>
      <c r="B26" t="s">
        <v>211</v>
      </c>
      <c r="C26" s="4">
        <f>C23</f>
        <v>0</v>
      </c>
      <c r="D26" s="4">
        <f>'Conversion Factors'!$L$20</f>
        <v>1048.0309783429961</v>
      </c>
      <c r="E26" s="4">
        <f>'Productivity Data'!$I$26</f>
        <v>48.58034429266948</v>
      </c>
      <c r="F26" s="2">
        <f>'Wage Data'!$C$11</f>
        <v>49.154294657004115</v>
      </c>
      <c r="G26" s="4">
        <f>'Cost Pool Data'!$K$48</f>
        <v>1.6214860636540271</v>
      </c>
      <c r="H26" s="2">
        <f t="shared" si="0"/>
        <v>1.5654528101928609E-3</v>
      </c>
      <c r="I26" s="2">
        <f t="shared" si="1"/>
        <v>0</v>
      </c>
    </row>
    <row r="27" spans="1:10" x14ac:dyDescent="0.25">
      <c r="A27" s="6" t="s">
        <v>85</v>
      </c>
      <c r="B27" t="s">
        <v>212</v>
      </c>
      <c r="C27" s="4">
        <f>C24</f>
        <v>0</v>
      </c>
      <c r="D27" s="4">
        <f>'Conversion Factors'!$L$21</f>
        <v>1676.2813880312062</v>
      </c>
      <c r="E27" s="4">
        <f>'Productivity Data'!$I$26</f>
        <v>48.58034429266948</v>
      </c>
      <c r="F27" s="2">
        <f>'Wage Data'!$C$11</f>
        <v>49.154294657004115</v>
      </c>
      <c r="G27" s="4">
        <f>'Cost Pool Data'!$K$48</f>
        <v>1.6214860636540271</v>
      </c>
      <c r="H27" s="2">
        <f t="shared" si="0"/>
        <v>9.7873963878054686E-4</v>
      </c>
      <c r="I27" s="2">
        <f t="shared" si="1"/>
        <v>0</v>
      </c>
    </row>
    <row r="28" spans="1:10" x14ac:dyDescent="0.25">
      <c r="B28" t="s">
        <v>249</v>
      </c>
      <c r="C28" s="4">
        <f>C25</f>
        <v>1</v>
      </c>
      <c r="D28" s="4">
        <f>'Conversion Factors'!$L$48</f>
        <v>400.86107774048043</v>
      </c>
      <c r="E28" s="4">
        <f>'Productivity Data'!$I$25</f>
        <v>60.332591436644847</v>
      </c>
      <c r="F28" s="2">
        <f>'Wage Data'!$C$11</f>
        <v>49.154294657004115</v>
      </c>
      <c r="G28" s="4">
        <f>'Cost Pool Data'!$K$48</f>
        <v>1.6214860636540271</v>
      </c>
      <c r="H28" s="2">
        <f t="shared" si="0"/>
        <v>3.2955569375124503E-3</v>
      </c>
      <c r="I28" s="2">
        <f t="shared" si="1"/>
        <v>3.2955569375124503E-3</v>
      </c>
    </row>
    <row r="29" spans="1:10" x14ac:dyDescent="0.25">
      <c r="A29" s="72"/>
      <c r="B29" s="79" t="s">
        <v>135</v>
      </c>
      <c r="C29" s="49">
        <f>SUM(C26:C28)</f>
        <v>1</v>
      </c>
      <c r="D29" s="49">
        <v>1</v>
      </c>
      <c r="E29" s="49">
        <f>'Productivity Data'!$I$22</f>
        <v>307.66822713635111</v>
      </c>
      <c r="F29" s="48">
        <f>'Wage Data'!$C$11</f>
        <v>49.154294657004115</v>
      </c>
      <c r="G29" s="49">
        <f>'Cost Pool Data'!$K$57</f>
        <v>1.4957786551922303</v>
      </c>
      <c r="H29" s="48">
        <f t="shared" si="0"/>
        <v>0.23897152280983572</v>
      </c>
      <c r="I29" s="75">
        <f t="shared" si="1"/>
        <v>0.23897152280983572</v>
      </c>
      <c r="J29" s="76">
        <f>SUM(I26:I29)</f>
        <v>0.24226707974734818</v>
      </c>
    </row>
    <row r="31" spans="1:10" x14ac:dyDescent="0.25">
      <c r="A31" s="29" t="s">
        <v>259</v>
      </c>
      <c r="I31" s="80" t="s">
        <v>203</v>
      </c>
      <c r="J31" s="81">
        <f>J16+J25+J29</f>
        <v>0.28210656884865115</v>
      </c>
    </row>
    <row r="32" spans="1:10" x14ac:dyDescent="0.25">
      <c r="A32" s="6" t="s">
        <v>296</v>
      </c>
      <c r="F32"/>
      <c r="G32"/>
      <c r="H32"/>
      <c r="I32"/>
    </row>
    <row r="33" spans="1:1" x14ac:dyDescent="0.25">
      <c r="A33" s="6" t="s">
        <v>297</v>
      </c>
    </row>
    <row r="34" spans="1:1" x14ac:dyDescent="0.25">
      <c r="A34" s="6" t="s">
        <v>298</v>
      </c>
    </row>
    <row r="35" spans="1:1" x14ac:dyDescent="0.25">
      <c r="A35" s="6" t="s">
        <v>299</v>
      </c>
    </row>
    <row r="36" spans="1:1" x14ac:dyDescent="0.25">
      <c r="A36" s="6" t="s">
        <v>277</v>
      </c>
    </row>
    <row r="37" spans="1:1" x14ac:dyDescent="0.25">
      <c r="A37" s="6" t="s">
        <v>300</v>
      </c>
    </row>
    <row r="38" spans="1:1" x14ac:dyDescent="0.25">
      <c r="A38" s="6" t="s">
        <v>301</v>
      </c>
    </row>
  </sheetData>
  <phoneticPr fontId="3" type="noConversion"/>
  <printOptions horizontalCentered="1"/>
  <pageMargins left="0.75" right="0.75" top="1" bottom="1" header="0.5" footer="0.5"/>
  <pageSetup scale="61" orientation="portrait" r:id="rId1"/>
  <headerFooter alignWithMargins="0">
    <oddHeader>&amp;RPage 45 of 50</oddHeader>
    <oddFooter>&amp;R&amp;F</oddFooter>
  </headerFooter>
  <ignoredErrors>
    <ignoredError sqref="G13 G20 D22:D23" formula="1"/>
  </ignoredErrors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 codeName="Sheet31">
    <pageSetUpPr fitToPage="1"/>
  </sheetPr>
  <dimension ref="A1:J27"/>
  <sheetViews>
    <sheetView zoomScale="75" workbookViewId="0">
      <selection activeCell="E16" sqref="E16:J21"/>
    </sheetView>
  </sheetViews>
  <sheetFormatPr defaultColWidth="9.109375" defaultRowHeight="13.2" x14ac:dyDescent="0.25"/>
  <cols>
    <col min="1" max="1" width="15.6640625" style="6" customWidth="1"/>
    <col min="2" max="2" width="30.6640625" style="6" customWidth="1"/>
    <col min="3" max="5" width="12.6640625" style="4" customWidth="1"/>
    <col min="6" max="6" width="12.6640625" style="2" customWidth="1"/>
    <col min="7" max="7" width="12.6640625" style="4" customWidth="1"/>
    <col min="8" max="9" width="12.6640625" style="2" customWidth="1"/>
    <col min="10" max="10" width="12.6640625" customWidth="1"/>
  </cols>
  <sheetData>
    <row r="1" spans="1:10" ht="15.6" x14ac:dyDescent="0.3">
      <c r="A1" s="5" t="s">
        <v>419</v>
      </c>
      <c r="B1" s="5"/>
    </row>
    <row r="4" spans="1:10" x14ac:dyDescent="0.25">
      <c r="C4" s="8" t="s">
        <v>107</v>
      </c>
      <c r="D4" s="8" t="s">
        <v>108</v>
      </c>
      <c r="E4" s="8" t="s">
        <v>109</v>
      </c>
      <c r="F4" s="50" t="s">
        <v>112</v>
      </c>
      <c r="G4" s="8" t="s">
        <v>156</v>
      </c>
      <c r="H4" s="50" t="s">
        <v>157</v>
      </c>
      <c r="I4" s="50" t="s">
        <v>192</v>
      </c>
    </row>
    <row r="5" spans="1:10" x14ac:dyDescent="0.25">
      <c r="A5" s="70"/>
      <c r="F5" s="50" t="s">
        <v>155</v>
      </c>
      <c r="H5" s="50" t="s">
        <v>3</v>
      </c>
      <c r="I5" s="50" t="s">
        <v>3</v>
      </c>
    </row>
    <row r="6" spans="1:10" s="6" customFormat="1" x14ac:dyDescent="0.25">
      <c r="C6" s="8"/>
      <c r="D6" s="8" t="s">
        <v>202</v>
      </c>
      <c r="E6" s="8" t="s">
        <v>101</v>
      </c>
      <c r="F6" s="50" t="s">
        <v>103</v>
      </c>
      <c r="G6" s="8" t="s">
        <v>105</v>
      </c>
      <c r="H6" s="50" t="s">
        <v>207</v>
      </c>
      <c r="I6" s="50" t="s">
        <v>206</v>
      </c>
    </row>
    <row r="7" spans="1:10" s="6" customFormat="1" x14ac:dyDescent="0.25">
      <c r="A7" s="6" t="s">
        <v>84</v>
      </c>
      <c r="B7" s="6" t="s">
        <v>76</v>
      </c>
      <c r="C7" s="8" t="s">
        <v>199</v>
      </c>
      <c r="D7" s="8" t="s">
        <v>81</v>
      </c>
      <c r="E7" s="8" t="s">
        <v>102</v>
      </c>
      <c r="F7" s="50" t="s">
        <v>104</v>
      </c>
      <c r="G7" s="8" t="s">
        <v>81</v>
      </c>
      <c r="H7" s="50" t="s">
        <v>76</v>
      </c>
      <c r="I7" s="50" t="s">
        <v>84</v>
      </c>
    </row>
    <row r="8" spans="1:10" x14ac:dyDescent="0.25">
      <c r="A8" s="72"/>
      <c r="B8" s="72"/>
      <c r="C8" s="49"/>
      <c r="D8" s="49"/>
      <c r="E8" s="49"/>
      <c r="F8" s="48"/>
      <c r="G8" s="49"/>
      <c r="H8" s="48"/>
      <c r="I8" s="48"/>
      <c r="J8" s="79"/>
    </row>
    <row r="9" spans="1:10" x14ac:dyDescent="0.25">
      <c r="A9" s="6" t="s">
        <v>243</v>
      </c>
      <c r="B9" t="s">
        <v>211</v>
      </c>
      <c r="C9" s="4">
        <f>'Mailer Arrival Profile'!$C$29</f>
        <v>0</v>
      </c>
      <c r="D9" s="4">
        <f>'Conversion Factors'!$L$20</f>
        <v>1048.0309783429961</v>
      </c>
      <c r="E9" s="4">
        <f>'Productivity Data'!$I$28</f>
        <v>58.156985400220201</v>
      </c>
      <c r="F9" s="2">
        <f>'Wage Data'!$C$11</f>
        <v>49.154294657004115</v>
      </c>
      <c r="G9" s="4">
        <f>'Cost Pool Data'!$K$27</f>
        <v>1.3606061934437479</v>
      </c>
      <c r="H9" s="2">
        <f t="shared" ref="H9:H18" si="0">(F9*G9)/(D9*E9)</f>
        <v>1.0972811170446752E-3</v>
      </c>
      <c r="I9" s="2">
        <f t="shared" ref="I9:I18" si="1">C9*H9</f>
        <v>0</v>
      </c>
    </row>
    <row r="10" spans="1:10" x14ac:dyDescent="0.25">
      <c r="A10" s="6" t="s">
        <v>241</v>
      </c>
      <c r="B10" t="s">
        <v>212</v>
      </c>
      <c r="C10" s="4">
        <f>'Mailer Arrival Profile'!$D$29</f>
        <v>0</v>
      </c>
      <c r="D10" s="4">
        <f>'Conversion Factors'!$L$21</f>
        <v>1676.2813880312062</v>
      </c>
      <c r="E10" s="4">
        <f>'Productivity Data'!$I$28</f>
        <v>58.156985400220201</v>
      </c>
      <c r="F10" s="2">
        <f>'Wage Data'!$C$11</f>
        <v>49.154294657004115</v>
      </c>
      <c r="G10" s="4">
        <f>'Cost Pool Data'!$K$27</f>
        <v>1.3606061934437479</v>
      </c>
      <c r="H10" s="2">
        <f t="shared" si="0"/>
        <v>6.8603315101188622E-4</v>
      </c>
      <c r="I10" s="2">
        <f t="shared" si="1"/>
        <v>0</v>
      </c>
    </row>
    <row r="11" spans="1:10" x14ac:dyDescent="0.25">
      <c r="B11" t="s">
        <v>213</v>
      </c>
      <c r="C11" s="4">
        <f>'Mailer Arrival Profile'!$E$29</f>
        <v>0</v>
      </c>
      <c r="D11" s="4">
        <f>'Conversion Factors'!$L$22</f>
        <v>1079.6056545024896</v>
      </c>
      <c r="E11" s="4">
        <f>'Productivity Data'!$I$28</f>
        <v>58.156985400220201</v>
      </c>
      <c r="F11" s="2">
        <f>'Wage Data'!$C$11</f>
        <v>49.154294657004115</v>
      </c>
      <c r="G11" s="4">
        <f>'Cost Pool Data'!$K$27</f>
        <v>1.3606061934437479</v>
      </c>
      <c r="H11" s="2">
        <f t="shared" si="0"/>
        <v>1.0651894956437307E-3</v>
      </c>
      <c r="I11" s="2">
        <f t="shared" si="1"/>
        <v>0</v>
      </c>
    </row>
    <row r="12" spans="1:10" x14ac:dyDescent="0.25">
      <c r="B12" t="s">
        <v>214</v>
      </c>
      <c r="C12" s="4">
        <f>'Mailer Arrival Profile'!$F$29</f>
        <v>1</v>
      </c>
      <c r="D12" s="4">
        <f>'Conversion Factors'!$L$23</f>
        <v>913.27319010541089</v>
      </c>
      <c r="E12" s="4">
        <f>'Productivity Data'!$I$27</f>
        <v>81.873572020007202</v>
      </c>
      <c r="F12" s="2">
        <f>'Wage Data'!$C$11</f>
        <v>49.154294657004115</v>
      </c>
      <c r="G12" s="4">
        <f>'Cost Pool Data'!$K$27</f>
        <v>1.3606061934437479</v>
      </c>
      <c r="H12" s="2">
        <f t="shared" si="0"/>
        <v>8.9443639987420154E-4</v>
      </c>
      <c r="I12" s="2">
        <f t="shared" si="1"/>
        <v>8.9443639987420154E-4</v>
      </c>
    </row>
    <row r="13" spans="1:10" x14ac:dyDescent="0.25">
      <c r="B13" t="s">
        <v>204</v>
      </c>
      <c r="C13" s="4">
        <f>SUM(C9:C12)*'Other Inputs'!$B$30*(1+'Other Inputs'!$B$10)</f>
        <v>0.42375228317471153</v>
      </c>
      <c r="D13" s="4">
        <v>1</v>
      </c>
      <c r="E13" s="4">
        <f>'Productivity Data'!$I$10</f>
        <v>245.20305602978507</v>
      </c>
      <c r="F13" s="2">
        <f>'Wage Data'!$C$11</f>
        <v>49.154294657004115</v>
      </c>
      <c r="G13" s="4">
        <f>'Cost Pool Data'!$L$14</f>
        <v>1.8052502472456198</v>
      </c>
      <c r="H13" s="2">
        <f t="shared" si="0"/>
        <v>0.36188701731336453</v>
      </c>
      <c r="I13" s="2">
        <f t="shared" si="1"/>
        <v>0.15335044983782459</v>
      </c>
    </row>
    <row r="14" spans="1:10" x14ac:dyDescent="0.25">
      <c r="B14" s="9" t="s">
        <v>363</v>
      </c>
      <c r="C14" s="4">
        <f>SUM(C9:C12)*'Other Inputs'!$B$31*(1+'Other Inputs'!$B$11)</f>
        <v>0.56721575232661026</v>
      </c>
      <c r="D14" s="4">
        <v>1</v>
      </c>
      <c r="E14" s="4">
        <f>'Productivity Data'!$I$11</f>
        <v>190.80521220652753</v>
      </c>
      <c r="F14" s="2">
        <f>'Wage Data'!$C$11</f>
        <v>49.154294657004115</v>
      </c>
      <c r="G14" s="4">
        <f>'Cost Pool Data'!$L$11</f>
        <v>1.6056412614911089</v>
      </c>
      <c r="H14" s="2">
        <f t="shared" si="0"/>
        <v>0.41363735700967258</v>
      </c>
      <c r="I14" s="2">
        <f t="shared" si="1"/>
        <v>0.23462162464663211</v>
      </c>
    </row>
    <row r="15" spans="1:10" x14ac:dyDescent="0.25">
      <c r="B15" t="s">
        <v>198</v>
      </c>
      <c r="C15" s="4">
        <f>SUM(C9:C12)*'Other Inputs'!$B$32</f>
        <v>0.11391845469353627</v>
      </c>
      <c r="D15" s="4">
        <v>1</v>
      </c>
      <c r="E15" s="4">
        <f>'Productivity Data'!$I$16</f>
        <v>47.994690148863093</v>
      </c>
      <c r="F15" s="2">
        <f>'Wage Data'!$C$11</f>
        <v>49.154294657004115</v>
      </c>
      <c r="G15" s="4">
        <f>'Cost Pool Data'!$K$16</f>
        <v>1.3208756008457678</v>
      </c>
      <c r="H15" s="2">
        <f t="shared" si="0"/>
        <v>1.3527894083249588</v>
      </c>
      <c r="I15" s="2">
        <f t="shared" si="1"/>
        <v>0.15410767892216257</v>
      </c>
    </row>
    <row r="16" spans="1:10" x14ac:dyDescent="0.25">
      <c r="A16" s="72"/>
      <c r="B16" s="79" t="s">
        <v>248</v>
      </c>
      <c r="C16" s="49">
        <f>SUM(C9:C12)</f>
        <v>1</v>
      </c>
      <c r="D16" s="49">
        <f>'Conversion Factors'!$L$48</f>
        <v>400.86107774048043</v>
      </c>
      <c r="E16" s="49">
        <f>'Productivity Data'!$I$31</f>
        <v>91.071587890934111</v>
      </c>
      <c r="F16" s="48">
        <f>'Wage Data'!$C$11</f>
        <v>49.154294657004115</v>
      </c>
      <c r="G16" s="49">
        <f>'Cost Pool Data'!$K$27</f>
        <v>1.3606061934437479</v>
      </c>
      <c r="H16" s="48">
        <f t="shared" si="0"/>
        <v>1.8319647524684813E-3</v>
      </c>
      <c r="I16" s="75">
        <f t="shared" si="1"/>
        <v>1.8319647524684813E-3</v>
      </c>
      <c r="J16" s="76">
        <f>SUM(I9:I16)</f>
        <v>0.54480615455896197</v>
      </c>
    </row>
    <row r="17" spans="1:10" x14ac:dyDescent="0.25">
      <c r="A17" s="6" t="s">
        <v>243</v>
      </c>
      <c r="B17" t="s">
        <v>249</v>
      </c>
      <c r="C17" s="4">
        <f>C16</f>
        <v>1</v>
      </c>
      <c r="D17" s="4">
        <f>'Conversion Factors'!$L$48</f>
        <v>400.86107774048043</v>
      </c>
      <c r="E17" s="4">
        <f>'Productivity Data'!$I$25</f>
        <v>60.332591436644847</v>
      </c>
      <c r="F17" s="2">
        <f>'Wage Data'!$C$11</f>
        <v>49.154294657004115</v>
      </c>
      <c r="G17" s="4">
        <f>'Cost Pool Data'!$K$48</f>
        <v>1.6214860636540271</v>
      </c>
      <c r="H17" s="2">
        <f t="shared" si="0"/>
        <v>3.2955569375124503E-3</v>
      </c>
      <c r="I17" s="2">
        <f t="shared" si="1"/>
        <v>3.2955569375124503E-3</v>
      </c>
    </row>
    <row r="18" spans="1:10" x14ac:dyDescent="0.25">
      <c r="A18" s="72" t="s">
        <v>85</v>
      </c>
      <c r="B18" s="79" t="s">
        <v>135</v>
      </c>
      <c r="C18" s="49">
        <f>C17</f>
        <v>1</v>
      </c>
      <c r="D18" s="49">
        <v>1</v>
      </c>
      <c r="E18" s="49">
        <f>'Productivity Data'!$I$22</f>
        <v>307.66822713635111</v>
      </c>
      <c r="F18" s="48">
        <f>'Wage Data'!$C$11</f>
        <v>49.154294657004115</v>
      </c>
      <c r="G18" s="49">
        <f>'Cost Pool Data'!$K$57</f>
        <v>1.4957786551922303</v>
      </c>
      <c r="H18" s="48">
        <f t="shared" si="0"/>
        <v>0.23897152280983572</v>
      </c>
      <c r="I18" s="75">
        <f t="shared" si="1"/>
        <v>0.23897152280983572</v>
      </c>
      <c r="J18" s="76">
        <f>SUM(I17:I18)</f>
        <v>0.24226707974734818</v>
      </c>
    </row>
    <row r="20" spans="1:10" x14ac:dyDescent="0.25">
      <c r="A20" s="29" t="s">
        <v>259</v>
      </c>
      <c r="I20" s="80" t="s">
        <v>203</v>
      </c>
      <c r="J20" s="81">
        <f>J16+J18</f>
        <v>0.78707323430631015</v>
      </c>
    </row>
    <row r="21" spans="1:10" x14ac:dyDescent="0.25">
      <c r="A21" s="6" t="s">
        <v>296</v>
      </c>
      <c r="F21"/>
      <c r="G21"/>
      <c r="H21"/>
      <c r="I21"/>
    </row>
    <row r="22" spans="1:10" x14ac:dyDescent="0.25">
      <c r="A22" s="6" t="s">
        <v>297</v>
      </c>
    </row>
    <row r="23" spans="1:10" x14ac:dyDescent="0.25">
      <c r="A23" s="6" t="s">
        <v>298</v>
      </c>
      <c r="J23" t="s">
        <v>250</v>
      </c>
    </row>
    <row r="24" spans="1:10" x14ac:dyDescent="0.25">
      <c r="A24" s="6" t="s">
        <v>299</v>
      </c>
    </row>
    <row r="25" spans="1:10" x14ac:dyDescent="0.25">
      <c r="A25" s="6" t="s">
        <v>277</v>
      </c>
    </row>
    <row r="26" spans="1:10" x14ac:dyDescent="0.25">
      <c r="A26" s="6" t="s">
        <v>300</v>
      </c>
    </row>
    <row r="27" spans="1:10" x14ac:dyDescent="0.25">
      <c r="A27" s="6" t="s">
        <v>301</v>
      </c>
    </row>
  </sheetData>
  <phoneticPr fontId="3" type="noConversion"/>
  <printOptions horizontalCentered="1"/>
  <pageMargins left="0.75" right="0.75" top="1" bottom="1" header="0.5" footer="0.5"/>
  <pageSetup scale="61" orientation="portrait" r:id="rId1"/>
  <headerFooter alignWithMargins="0">
    <oddHeader>&amp;RPage 46 of 50</oddHeader>
    <oddFooter>&amp;R&amp;F</oddFooter>
  </headerFooter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 codeName="Sheet32">
    <pageSetUpPr fitToPage="1"/>
  </sheetPr>
  <dimension ref="A1:J31"/>
  <sheetViews>
    <sheetView zoomScale="75" workbookViewId="0">
      <selection activeCell="D19" sqref="D19:J24"/>
    </sheetView>
  </sheetViews>
  <sheetFormatPr defaultColWidth="9.109375" defaultRowHeight="13.2" x14ac:dyDescent="0.25"/>
  <cols>
    <col min="1" max="1" width="15.6640625" style="6" customWidth="1"/>
    <col min="2" max="2" width="30.6640625" style="6" customWidth="1"/>
    <col min="3" max="5" width="12.6640625" style="4" customWidth="1"/>
    <col min="6" max="6" width="12.6640625" style="2" customWidth="1"/>
    <col min="7" max="7" width="12.6640625" style="4" customWidth="1"/>
    <col min="8" max="9" width="12.6640625" style="2" customWidth="1"/>
    <col min="10" max="10" width="12.6640625" customWidth="1"/>
  </cols>
  <sheetData>
    <row r="1" spans="1:10" ht="15.6" x14ac:dyDescent="0.3">
      <c r="A1" s="5" t="s">
        <v>420</v>
      </c>
      <c r="B1" s="5"/>
    </row>
    <row r="4" spans="1:10" x14ac:dyDescent="0.25">
      <c r="C4" s="8" t="s">
        <v>107</v>
      </c>
      <c r="D4" s="8" t="s">
        <v>108</v>
      </c>
      <c r="E4" s="8" t="s">
        <v>109</v>
      </c>
      <c r="F4" s="50" t="s">
        <v>112</v>
      </c>
      <c r="G4" s="8" t="s">
        <v>156</v>
      </c>
      <c r="H4" s="50" t="s">
        <v>157</v>
      </c>
      <c r="I4" s="50" t="s">
        <v>192</v>
      </c>
    </row>
    <row r="5" spans="1:10" x14ac:dyDescent="0.25">
      <c r="A5" s="70"/>
      <c r="F5" s="50" t="s">
        <v>155</v>
      </c>
      <c r="H5" s="50" t="s">
        <v>3</v>
      </c>
      <c r="I5" s="50" t="s">
        <v>3</v>
      </c>
    </row>
    <row r="6" spans="1:10" s="6" customFormat="1" x14ac:dyDescent="0.25">
      <c r="C6" s="8"/>
      <c r="D6" s="8" t="s">
        <v>202</v>
      </c>
      <c r="E6" s="8" t="s">
        <v>101</v>
      </c>
      <c r="F6" s="50" t="s">
        <v>103</v>
      </c>
      <c r="G6" s="8" t="s">
        <v>105</v>
      </c>
      <c r="H6" s="50" t="s">
        <v>207</v>
      </c>
      <c r="I6" s="50" t="s">
        <v>206</v>
      </c>
    </row>
    <row r="7" spans="1:10" s="6" customFormat="1" x14ac:dyDescent="0.25">
      <c r="A7" s="6" t="s">
        <v>84</v>
      </c>
      <c r="B7" s="6" t="s">
        <v>76</v>
      </c>
      <c r="C7" s="8" t="s">
        <v>199</v>
      </c>
      <c r="D7" s="8" t="s">
        <v>81</v>
      </c>
      <c r="E7" s="8" t="s">
        <v>102</v>
      </c>
      <c r="F7" s="50" t="s">
        <v>104</v>
      </c>
      <c r="G7" s="8" t="s">
        <v>81</v>
      </c>
      <c r="H7" s="50" t="s">
        <v>76</v>
      </c>
      <c r="I7" s="50" t="s">
        <v>84</v>
      </c>
    </row>
    <row r="8" spans="1:10" x14ac:dyDescent="0.25">
      <c r="A8" s="72"/>
      <c r="B8" s="72"/>
      <c r="C8" s="49"/>
      <c r="D8" s="49"/>
      <c r="E8" s="49"/>
      <c r="F8" s="48"/>
      <c r="G8" s="49"/>
      <c r="H8" s="48"/>
      <c r="I8" s="48"/>
      <c r="J8" s="79"/>
    </row>
    <row r="9" spans="1:10" x14ac:dyDescent="0.25">
      <c r="A9" s="6" t="s">
        <v>243</v>
      </c>
      <c r="B9" t="s">
        <v>211</v>
      </c>
      <c r="C9" s="4">
        <f>'Mailer Arrival Profile'!$C$30</f>
        <v>0</v>
      </c>
      <c r="D9" s="4">
        <f>'Conversion Factors'!$L$20</f>
        <v>1048.0309783429961</v>
      </c>
      <c r="E9" s="4">
        <f>'Productivity Data'!$I$28</f>
        <v>58.156985400220201</v>
      </c>
      <c r="F9" s="2">
        <f>'Wage Data'!$C$11</f>
        <v>49.154294657004115</v>
      </c>
      <c r="G9" s="4">
        <f>'Cost Pool Data'!$K$27</f>
        <v>1.3606061934437479</v>
      </c>
      <c r="H9" s="2">
        <f t="shared" ref="H9:H22" si="0">(F9*G9)/(D9*E9)</f>
        <v>1.0972811170446752E-3</v>
      </c>
      <c r="I9" s="2">
        <f t="shared" ref="I9:I22" si="1">C9*H9</f>
        <v>0</v>
      </c>
    </row>
    <row r="10" spans="1:10" x14ac:dyDescent="0.25">
      <c r="A10" s="6" t="s">
        <v>241</v>
      </c>
      <c r="B10" t="s">
        <v>212</v>
      </c>
      <c r="C10" s="4">
        <f>'Mailer Arrival Profile'!$D$30</f>
        <v>0</v>
      </c>
      <c r="D10" s="4">
        <f>'Conversion Factors'!$L$21</f>
        <v>1676.2813880312062</v>
      </c>
      <c r="E10" s="4">
        <f>'Productivity Data'!$I$28</f>
        <v>58.156985400220201</v>
      </c>
      <c r="F10" s="2">
        <f>'Wage Data'!$C$11</f>
        <v>49.154294657004115</v>
      </c>
      <c r="G10" s="4">
        <f>'Cost Pool Data'!$K$27</f>
        <v>1.3606061934437479</v>
      </c>
      <c r="H10" s="2">
        <f t="shared" si="0"/>
        <v>6.8603315101188622E-4</v>
      </c>
      <c r="I10" s="2">
        <f t="shared" si="1"/>
        <v>0</v>
      </c>
    </row>
    <row r="11" spans="1:10" x14ac:dyDescent="0.25">
      <c r="B11" t="s">
        <v>213</v>
      </c>
      <c r="C11" s="4">
        <f>'Mailer Arrival Profile'!$E$30</f>
        <v>0</v>
      </c>
      <c r="D11" s="4">
        <f>'Conversion Factors'!$L$22</f>
        <v>1079.6056545024896</v>
      </c>
      <c r="E11" s="4">
        <f>'Productivity Data'!$I$28</f>
        <v>58.156985400220201</v>
      </c>
      <c r="F11" s="2">
        <f>'Wage Data'!$C$11</f>
        <v>49.154294657004115</v>
      </c>
      <c r="G11" s="4">
        <f>'Cost Pool Data'!$K$27</f>
        <v>1.3606061934437479</v>
      </c>
      <c r="H11" s="2">
        <f t="shared" si="0"/>
        <v>1.0651894956437307E-3</v>
      </c>
      <c r="I11" s="2">
        <f t="shared" si="1"/>
        <v>0</v>
      </c>
    </row>
    <row r="12" spans="1:10" x14ac:dyDescent="0.25">
      <c r="B12" t="s">
        <v>214</v>
      </c>
      <c r="C12" s="4">
        <f>'Mailer Arrival Profile'!$F$30</f>
        <v>1</v>
      </c>
      <c r="D12" s="4">
        <f>'Conversion Factors'!$L$23</f>
        <v>913.27319010541089</v>
      </c>
      <c r="E12" s="4">
        <f>'Productivity Data'!$I$27</f>
        <v>81.873572020007202</v>
      </c>
      <c r="F12" s="2">
        <f>'Wage Data'!$C$11</f>
        <v>49.154294657004115</v>
      </c>
      <c r="G12" s="4">
        <f>'Cost Pool Data'!$K$27</f>
        <v>1.3606061934437479</v>
      </c>
      <c r="H12" s="2">
        <f t="shared" si="0"/>
        <v>8.9443639987420154E-4</v>
      </c>
      <c r="I12" s="2">
        <f t="shared" si="1"/>
        <v>8.9443639987420154E-4</v>
      </c>
    </row>
    <row r="13" spans="1:10" x14ac:dyDescent="0.25">
      <c r="B13" t="s">
        <v>227</v>
      </c>
      <c r="C13" s="4">
        <f>C9</f>
        <v>0</v>
      </c>
      <c r="D13" s="4">
        <f>'Conversion Factors'!$L$20</f>
        <v>1048.0309783429961</v>
      </c>
      <c r="E13" s="4">
        <f>'Productivity Data'!$I$30</f>
        <v>39.899251235537818</v>
      </c>
      <c r="F13" s="2">
        <f>'Wage Data'!$C$11</f>
        <v>49.154294657004115</v>
      </c>
      <c r="G13" s="4">
        <f>'Cost Pool Data'!$K$27</f>
        <v>1.3606061934437479</v>
      </c>
      <c r="H13" s="2">
        <f t="shared" si="0"/>
        <v>1.5993924679735738E-3</v>
      </c>
      <c r="I13" s="2">
        <f t="shared" si="1"/>
        <v>0</v>
      </c>
    </row>
    <row r="14" spans="1:10" x14ac:dyDescent="0.25">
      <c r="B14" t="s">
        <v>228</v>
      </c>
      <c r="C14" s="4">
        <f>C10</f>
        <v>0</v>
      </c>
      <c r="D14" s="4">
        <f>'Conversion Factors'!$L$21</f>
        <v>1676.2813880312062</v>
      </c>
      <c r="E14" s="4">
        <f>'Productivity Data'!$I$30</f>
        <v>39.899251235537818</v>
      </c>
      <c r="F14" s="2">
        <f>'Wage Data'!$C$11</f>
        <v>49.154294657004115</v>
      </c>
      <c r="G14" s="4">
        <f>'Cost Pool Data'!$K$27</f>
        <v>1.3606061934437479</v>
      </c>
      <c r="H14" s="2">
        <f t="shared" si="0"/>
        <v>9.9995911481990307E-4</v>
      </c>
      <c r="I14" s="2">
        <f t="shared" si="1"/>
        <v>0</v>
      </c>
    </row>
    <row r="15" spans="1:10" x14ac:dyDescent="0.25">
      <c r="B15" t="s">
        <v>200</v>
      </c>
      <c r="C15" s="4">
        <f>C11+C12</f>
        <v>1</v>
      </c>
      <c r="D15" s="4">
        <f>'Mailer Arrival Profile'!$I$30</f>
        <v>66.275974025974023</v>
      </c>
      <c r="E15" s="4">
        <f>'Productivity Data'!$I$14</f>
        <v>49.323981905738421</v>
      </c>
      <c r="F15" s="2">
        <f>'Wage Data'!$C$11</f>
        <v>49.154294657004115</v>
      </c>
      <c r="G15" s="4">
        <f>'Cost Pool Data'!$K$30</f>
        <v>1.2805162995566952</v>
      </c>
      <c r="H15" s="2">
        <f t="shared" si="0"/>
        <v>1.9254503780717091E-2</v>
      </c>
      <c r="I15" s="2">
        <f t="shared" si="1"/>
        <v>1.9254503780717091E-2</v>
      </c>
    </row>
    <row r="16" spans="1:10" x14ac:dyDescent="0.25">
      <c r="B16" t="s">
        <v>223</v>
      </c>
      <c r="C16" s="4">
        <f t="shared" ref="C16:C21" si="2">C13</f>
        <v>0</v>
      </c>
      <c r="D16" s="4">
        <f>'Conversion Factors'!$L$20</f>
        <v>1048.0309783429961</v>
      </c>
      <c r="E16" s="4">
        <f>'Productivity Data'!$I$32</f>
        <v>61.728448910094343</v>
      </c>
      <c r="F16" s="2">
        <f>'Wage Data'!$C$11</f>
        <v>49.154294657004115</v>
      </c>
      <c r="G16" s="4">
        <f>'Cost Pool Data'!$K$27</f>
        <v>1.3606061934437479</v>
      </c>
      <c r="H16" s="2">
        <f t="shared" si="0"/>
        <v>1.0337950010188741E-3</v>
      </c>
      <c r="I16" s="2">
        <f t="shared" si="1"/>
        <v>0</v>
      </c>
    </row>
    <row r="17" spans="1:10" x14ac:dyDescent="0.25">
      <c r="B17" t="s">
        <v>224</v>
      </c>
      <c r="C17" s="4">
        <f t="shared" si="2"/>
        <v>0</v>
      </c>
      <c r="D17" s="4">
        <f>'Conversion Factors'!$L$21</f>
        <v>1676.2813880312062</v>
      </c>
      <c r="E17" s="4">
        <f>'Productivity Data'!$I$32</f>
        <v>61.728448910094343</v>
      </c>
      <c r="F17" s="2">
        <f>'Wage Data'!$C$11</f>
        <v>49.154294657004115</v>
      </c>
      <c r="G17" s="4">
        <f>'Cost Pool Data'!$K$27</f>
        <v>1.3606061934437479</v>
      </c>
      <c r="H17" s="2">
        <f t="shared" si="0"/>
        <v>6.4634087931765506E-4</v>
      </c>
      <c r="I17" s="2">
        <f t="shared" si="1"/>
        <v>0</v>
      </c>
    </row>
    <row r="18" spans="1:10" x14ac:dyDescent="0.25">
      <c r="A18" s="72"/>
      <c r="B18" s="79" t="s">
        <v>248</v>
      </c>
      <c r="C18" s="49">
        <f t="shared" si="2"/>
        <v>1</v>
      </c>
      <c r="D18" s="49">
        <f>'Conversion Factors'!$L$48</f>
        <v>400.86107774048043</v>
      </c>
      <c r="E18" s="49">
        <f>'Productivity Data'!$I$31</f>
        <v>91.071587890934111</v>
      </c>
      <c r="F18" s="48">
        <f>'Wage Data'!$C$11</f>
        <v>49.154294657004115</v>
      </c>
      <c r="G18" s="49">
        <f>'Cost Pool Data'!$K$27</f>
        <v>1.3606061934437479</v>
      </c>
      <c r="H18" s="48">
        <f t="shared" si="0"/>
        <v>1.8319647524684813E-3</v>
      </c>
      <c r="I18" s="75">
        <f t="shared" si="1"/>
        <v>1.8319647524684813E-3</v>
      </c>
      <c r="J18" s="76">
        <f>SUM(I9:I18)</f>
        <v>2.1980904933059774E-2</v>
      </c>
    </row>
    <row r="19" spans="1:10" x14ac:dyDescent="0.25">
      <c r="A19" s="6" t="s">
        <v>243</v>
      </c>
      <c r="B19" t="s">
        <v>211</v>
      </c>
      <c r="C19" s="4">
        <f t="shared" si="2"/>
        <v>0</v>
      </c>
      <c r="D19" s="4">
        <f>'Conversion Factors'!$L$20</f>
        <v>1048.0309783429961</v>
      </c>
      <c r="E19" s="4">
        <f>'Productivity Data'!$I$26</f>
        <v>48.58034429266948</v>
      </c>
      <c r="F19" s="2">
        <f>'Wage Data'!$C$11</f>
        <v>49.154294657004115</v>
      </c>
      <c r="G19" s="4">
        <f>'Cost Pool Data'!$K$48</f>
        <v>1.6214860636540271</v>
      </c>
      <c r="H19" s="2">
        <f t="shared" si="0"/>
        <v>1.5654528101928609E-3</v>
      </c>
      <c r="I19" s="2">
        <f t="shared" si="1"/>
        <v>0</v>
      </c>
    </row>
    <row r="20" spans="1:10" x14ac:dyDescent="0.25">
      <c r="A20" s="6" t="s">
        <v>85</v>
      </c>
      <c r="B20" t="s">
        <v>212</v>
      </c>
      <c r="C20" s="4">
        <f t="shared" si="2"/>
        <v>0</v>
      </c>
      <c r="D20" s="4">
        <f>'Conversion Factors'!$L$21</f>
        <v>1676.2813880312062</v>
      </c>
      <c r="E20" s="4">
        <f>'Productivity Data'!$I$26</f>
        <v>48.58034429266948</v>
      </c>
      <c r="F20" s="2">
        <f>'Wage Data'!$C$11</f>
        <v>49.154294657004115</v>
      </c>
      <c r="G20" s="4">
        <f>'Cost Pool Data'!$K$48</f>
        <v>1.6214860636540271</v>
      </c>
      <c r="H20" s="2">
        <f t="shared" si="0"/>
        <v>9.7873963878054686E-4</v>
      </c>
      <c r="I20" s="2">
        <f t="shared" si="1"/>
        <v>0</v>
      </c>
    </row>
    <row r="21" spans="1:10" x14ac:dyDescent="0.25">
      <c r="B21" t="s">
        <v>218</v>
      </c>
      <c r="C21" s="4">
        <f t="shared" si="2"/>
        <v>1</v>
      </c>
      <c r="D21" s="4">
        <f>'Conversion Factors'!$L$48</f>
        <v>400.86107774048043</v>
      </c>
      <c r="E21" s="4">
        <f>'Productivity Data'!$I$25</f>
        <v>60.332591436644847</v>
      </c>
      <c r="F21" s="2">
        <f>'Wage Data'!$C$11</f>
        <v>49.154294657004115</v>
      </c>
      <c r="G21" s="4">
        <f>'Cost Pool Data'!$K$48</f>
        <v>1.6214860636540271</v>
      </c>
      <c r="H21" s="2">
        <f t="shared" si="0"/>
        <v>3.2955569375124503E-3</v>
      </c>
      <c r="I21" s="2">
        <f t="shared" si="1"/>
        <v>3.2955569375124503E-3</v>
      </c>
    </row>
    <row r="22" spans="1:10" x14ac:dyDescent="0.25">
      <c r="A22" s="72"/>
      <c r="B22" s="79" t="s">
        <v>135</v>
      </c>
      <c r="C22" s="49">
        <f>SUM(C19:C21)</f>
        <v>1</v>
      </c>
      <c r="D22" s="49">
        <v>1</v>
      </c>
      <c r="E22" s="49">
        <f>'Productivity Data'!$I$22</f>
        <v>307.66822713635111</v>
      </c>
      <c r="F22" s="48">
        <f>'Wage Data'!$C$11</f>
        <v>49.154294657004115</v>
      </c>
      <c r="G22" s="49">
        <f>'Cost Pool Data'!$K$57</f>
        <v>1.4957786551922303</v>
      </c>
      <c r="H22" s="48">
        <f t="shared" si="0"/>
        <v>0.23897152280983572</v>
      </c>
      <c r="I22" s="75">
        <f t="shared" si="1"/>
        <v>0.23897152280983572</v>
      </c>
      <c r="J22" s="76">
        <f>SUM(I19:I22)</f>
        <v>0.24226707974734818</v>
      </c>
    </row>
    <row r="24" spans="1:10" x14ac:dyDescent="0.25">
      <c r="A24" s="29" t="s">
        <v>259</v>
      </c>
      <c r="I24" s="80" t="s">
        <v>203</v>
      </c>
      <c r="J24" s="81">
        <f>J18+J22</f>
        <v>0.26424798468040794</v>
      </c>
    </row>
    <row r="25" spans="1:10" x14ac:dyDescent="0.25">
      <c r="A25" s="6" t="s">
        <v>296</v>
      </c>
      <c r="F25"/>
      <c r="G25"/>
      <c r="H25"/>
      <c r="I25"/>
    </row>
    <row r="26" spans="1:10" x14ac:dyDescent="0.25">
      <c r="A26" s="6" t="s">
        <v>297</v>
      </c>
    </row>
    <row r="27" spans="1:10" x14ac:dyDescent="0.25">
      <c r="A27" s="6" t="s">
        <v>298</v>
      </c>
    </row>
    <row r="28" spans="1:10" x14ac:dyDescent="0.25">
      <c r="A28" s="6" t="s">
        <v>299</v>
      </c>
    </row>
    <row r="29" spans="1:10" x14ac:dyDescent="0.25">
      <c r="A29" s="6" t="s">
        <v>277</v>
      </c>
    </row>
    <row r="30" spans="1:10" x14ac:dyDescent="0.25">
      <c r="A30" s="6" t="s">
        <v>300</v>
      </c>
    </row>
    <row r="31" spans="1:10" x14ac:dyDescent="0.25">
      <c r="A31" s="6" t="s">
        <v>301</v>
      </c>
    </row>
  </sheetData>
  <phoneticPr fontId="3" type="noConversion"/>
  <printOptions horizontalCentered="1"/>
  <pageMargins left="0.75" right="0.75" top="1" bottom="1" header="0.5" footer="0.5"/>
  <pageSetup scale="61" orientation="portrait" r:id="rId1"/>
  <headerFooter alignWithMargins="0">
    <oddHeader>&amp;RPage 47 of 50</oddHeader>
    <oddFooter>&amp;R&amp;F</oddFooter>
  </headerFooter>
  <ignoredErrors>
    <ignoredError sqref="G15" formula="1"/>
  </ignoredErrors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 codeName="Sheet33">
    <pageSetUpPr fitToPage="1"/>
  </sheetPr>
  <dimension ref="A1:J22"/>
  <sheetViews>
    <sheetView zoomScale="75" workbookViewId="0">
      <selection activeCell="H28" sqref="H28"/>
    </sheetView>
  </sheetViews>
  <sheetFormatPr defaultColWidth="9.109375" defaultRowHeight="13.2" x14ac:dyDescent="0.25"/>
  <cols>
    <col min="1" max="1" width="15.6640625" style="6" customWidth="1"/>
    <col min="2" max="2" width="30.6640625" style="6" customWidth="1"/>
    <col min="3" max="5" width="12.6640625" style="4" customWidth="1"/>
    <col min="6" max="6" width="12.6640625" style="2" customWidth="1"/>
    <col min="7" max="7" width="12.6640625" style="4" customWidth="1"/>
    <col min="8" max="9" width="12.6640625" style="2" customWidth="1"/>
    <col min="10" max="10" width="12.6640625" customWidth="1"/>
  </cols>
  <sheetData>
    <row r="1" spans="1:10" ht="15.6" x14ac:dyDescent="0.3">
      <c r="A1" s="5" t="s">
        <v>421</v>
      </c>
      <c r="B1" s="5"/>
    </row>
    <row r="4" spans="1:10" x14ac:dyDescent="0.25">
      <c r="C4" s="8" t="s">
        <v>107</v>
      </c>
      <c r="D4" s="8" t="s">
        <v>108</v>
      </c>
      <c r="E4" s="8" t="s">
        <v>109</v>
      </c>
      <c r="F4" s="50" t="s">
        <v>112</v>
      </c>
      <c r="G4" s="8" t="s">
        <v>156</v>
      </c>
      <c r="H4" s="50" t="s">
        <v>157</v>
      </c>
      <c r="I4" s="50" t="s">
        <v>192</v>
      </c>
    </row>
    <row r="5" spans="1:10" x14ac:dyDescent="0.25">
      <c r="A5" s="70"/>
      <c r="F5" s="50" t="s">
        <v>155</v>
      </c>
      <c r="H5" s="50" t="s">
        <v>3</v>
      </c>
      <c r="I5" s="50" t="s">
        <v>3</v>
      </c>
    </row>
    <row r="6" spans="1:10" s="6" customFormat="1" x14ac:dyDescent="0.25">
      <c r="C6" s="8"/>
      <c r="D6" s="8" t="s">
        <v>202</v>
      </c>
      <c r="E6" s="8" t="s">
        <v>101</v>
      </c>
      <c r="F6" s="50" t="s">
        <v>103</v>
      </c>
      <c r="G6" s="8" t="s">
        <v>105</v>
      </c>
      <c r="H6" s="50" t="s">
        <v>207</v>
      </c>
      <c r="I6" s="50" t="s">
        <v>206</v>
      </c>
    </row>
    <row r="7" spans="1:10" s="6" customFormat="1" x14ac:dyDescent="0.25">
      <c r="A7" s="6" t="s">
        <v>84</v>
      </c>
      <c r="B7" s="6" t="s">
        <v>76</v>
      </c>
      <c r="C7" s="8" t="s">
        <v>199</v>
      </c>
      <c r="D7" s="8" t="s">
        <v>81</v>
      </c>
      <c r="E7" s="8" t="s">
        <v>102</v>
      </c>
      <c r="F7" s="50" t="s">
        <v>104</v>
      </c>
      <c r="G7" s="8" t="s">
        <v>81</v>
      </c>
      <c r="H7" s="50" t="s">
        <v>76</v>
      </c>
      <c r="I7" s="50" t="s">
        <v>84</v>
      </c>
    </row>
    <row r="8" spans="1:10" x14ac:dyDescent="0.25">
      <c r="A8" s="72"/>
      <c r="B8" s="72"/>
      <c r="C8" s="49"/>
      <c r="D8" s="49"/>
      <c r="E8" s="49"/>
      <c r="F8" s="48"/>
      <c r="G8" s="49"/>
      <c r="H8" s="48"/>
      <c r="I8" s="48"/>
      <c r="J8" s="79"/>
    </row>
    <row r="9" spans="1:10" x14ac:dyDescent="0.25">
      <c r="A9" s="6" t="s">
        <v>243</v>
      </c>
      <c r="B9" t="s">
        <v>211</v>
      </c>
      <c r="C9" s="4">
        <f>'Mailer Arrival Profile'!$C$31</f>
        <v>0</v>
      </c>
      <c r="D9" s="4">
        <f>'Conversion Factors'!$L$20</f>
        <v>1048.0309783429961</v>
      </c>
      <c r="E9" s="4">
        <f>'Productivity Data'!$I$26</f>
        <v>48.58034429266948</v>
      </c>
      <c r="F9" s="2">
        <f>'Wage Data'!$C$11</f>
        <v>49.154294657004115</v>
      </c>
      <c r="G9" s="4">
        <f>'Cost Pool Data'!$K$48</f>
        <v>1.6214860636540271</v>
      </c>
      <c r="H9" s="2">
        <f>(F9*G9)/(D9*E9)</f>
        <v>1.5654528101928609E-3</v>
      </c>
      <c r="I9" s="2">
        <f>C9*H9</f>
        <v>0</v>
      </c>
    </row>
    <row r="10" spans="1:10" x14ac:dyDescent="0.25">
      <c r="A10" s="6" t="s">
        <v>85</v>
      </c>
      <c r="B10" t="s">
        <v>212</v>
      </c>
      <c r="C10" s="4">
        <f>'Mailer Arrival Profile'!$D$31</f>
        <v>0</v>
      </c>
      <c r="D10" s="4">
        <f>'Conversion Factors'!$L$21</f>
        <v>1676.2813880312062</v>
      </c>
      <c r="E10" s="4">
        <f>'Productivity Data'!$I$26</f>
        <v>48.58034429266948</v>
      </c>
      <c r="F10" s="2">
        <f>'Wage Data'!$C$11</f>
        <v>49.154294657004115</v>
      </c>
      <c r="G10" s="4">
        <f>'Cost Pool Data'!$K$48</f>
        <v>1.6214860636540271</v>
      </c>
      <c r="H10" s="2">
        <f>(F10*G10)/(D10*E10)</f>
        <v>9.7873963878054686E-4</v>
      </c>
      <c r="I10" s="2">
        <f>C10*H10</f>
        <v>0</v>
      </c>
    </row>
    <row r="11" spans="1:10" x14ac:dyDescent="0.25">
      <c r="B11" t="s">
        <v>213</v>
      </c>
      <c r="C11" s="4">
        <f>'Mailer Arrival Profile'!$E$31</f>
        <v>0</v>
      </c>
      <c r="D11" s="4">
        <f>'Conversion Factors'!$L$22</f>
        <v>1079.6056545024896</v>
      </c>
      <c r="E11" s="4">
        <f>'Productivity Data'!$I$26</f>
        <v>48.58034429266948</v>
      </c>
      <c r="F11" s="2">
        <f>'Wage Data'!$C$11</f>
        <v>49.154294657004115</v>
      </c>
      <c r="G11" s="4">
        <f>'Cost Pool Data'!$K$48</f>
        <v>1.6214860636540271</v>
      </c>
      <c r="H11" s="2">
        <f>(F11*G11)/(D11*E11)</f>
        <v>1.519668809971422E-3</v>
      </c>
      <c r="I11" s="2">
        <f>C11*H11</f>
        <v>0</v>
      </c>
    </row>
    <row r="12" spans="1:10" x14ac:dyDescent="0.25">
      <c r="B12" t="s">
        <v>214</v>
      </c>
      <c r="C12" s="4">
        <f>'Mailer Arrival Profile'!$F$31</f>
        <v>1</v>
      </c>
      <c r="D12" s="4">
        <f>'Conversion Factors'!$L$23</f>
        <v>913.27319010541089</v>
      </c>
      <c r="E12" s="4">
        <f>'Productivity Data'!$I$25</f>
        <v>60.332591436644847</v>
      </c>
      <c r="F12" s="2">
        <f>'Wage Data'!$C$11</f>
        <v>49.154294657004115</v>
      </c>
      <c r="G12" s="4">
        <f>'Cost Pool Data'!$K$48</f>
        <v>1.6214860636540271</v>
      </c>
      <c r="H12" s="2">
        <f>(F12*G12)/(D12*E12)</f>
        <v>1.4465118652764568E-3</v>
      </c>
      <c r="I12" s="2">
        <f>C12*H12</f>
        <v>1.4465118652764568E-3</v>
      </c>
    </row>
    <row r="13" spans="1:10" x14ac:dyDescent="0.25">
      <c r="A13" s="72"/>
      <c r="B13" s="79" t="s">
        <v>135</v>
      </c>
      <c r="C13" s="49">
        <f>SUM(C9:C12)</f>
        <v>1</v>
      </c>
      <c r="D13" s="49">
        <v>1</v>
      </c>
      <c r="E13" s="49">
        <f>'Productivity Data'!$I$22</f>
        <v>307.66822713635111</v>
      </c>
      <c r="F13" s="48">
        <f>'Wage Data'!$C$11</f>
        <v>49.154294657004115</v>
      </c>
      <c r="G13" s="49">
        <f>'Cost Pool Data'!$K$57</f>
        <v>1.4957786551922303</v>
      </c>
      <c r="H13" s="48">
        <f>(F13*G13)/(D13*E13)</f>
        <v>0.23897152280983572</v>
      </c>
      <c r="I13" s="75">
        <f>C13*H13</f>
        <v>0.23897152280983572</v>
      </c>
      <c r="J13" s="76">
        <f>SUM(I9:I13)</f>
        <v>0.24041803467511216</v>
      </c>
    </row>
    <row r="15" spans="1:10" x14ac:dyDescent="0.25">
      <c r="A15" s="29" t="s">
        <v>259</v>
      </c>
      <c r="I15" s="80" t="s">
        <v>203</v>
      </c>
      <c r="J15" s="81">
        <f>J13</f>
        <v>0.24041803467511216</v>
      </c>
    </row>
    <row r="16" spans="1:10" x14ac:dyDescent="0.25">
      <c r="A16" s="6" t="s">
        <v>296</v>
      </c>
      <c r="F16"/>
      <c r="G16"/>
      <c r="H16"/>
      <c r="I16"/>
    </row>
    <row r="17" spans="1:1" x14ac:dyDescent="0.25">
      <c r="A17" s="6" t="s">
        <v>297</v>
      </c>
    </row>
    <row r="18" spans="1:1" x14ac:dyDescent="0.25">
      <c r="A18" s="6" t="s">
        <v>298</v>
      </c>
    </row>
    <row r="19" spans="1:1" x14ac:dyDescent="0.25">
      <c r="A19" s="6" t="s">
        <v>299</v>
      </c>
    </row>
    <row r="20" spans="1:1" x14ac:dyDescent="0.25">
      <c r="A20" s="6" t="s">
        <v>277</v>
      </c>
    </row>
    <row r="21" spans="1:1" x14ac:dyDescent="0.25">
      <c r="A21" s="6" t="s">
        <v>300</v>
      </c>
    </row>
    <row r="22" spans="1:1" x14ac:dyDescent="0.25">
      <c r="A22" s="6" t="s">
        <v>301</v>
      </c>
    </row>
  </sheetData>
  <phoneticPr fontId="3" type="noConversion"/>
  <printOptions horizontalCentered="1"/>
  <pageMargins left="0.75" right="0.75" top="1" bottom="1" header="0.5" footer="0.5"/>
  <pageSetup scale="61" orientation="portrait" r:id="rId1"/>
  <headerFooter alignWithMargins="0">
    <oddHeader>&amp;RPage 48 of 50</oddHeader>
    <oddFooter>&amp;R&amp;F</oddFooter>
  </headerFooter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>
    <pageSetUpPr fitToPage="1"/>
  </sheetPr>
  <dimension ref="A1:G18"/>
  <sheetViews>
    <sheetView zoomScale="75" workbookViewId="0">
      <selection activeCell="I25" sqref="I25"/>
    </sheetView>
  </sheetViews>
  <sheetFormatPr defaultRowHeight="13.2" x14ac:dyDescent="0.25"/>
  <cols>
    <col min="1" max="4" width="15.6640625" style="1" customWidth="1"/>
    <col min="5" max="5" width="15.6640625" style="15" customWidth="1"/>
    <col min="6" max="10" width="15.6640625" customWidth="1"/>
  </cols>
  <sheetData>
    <row r="1" spans="1:7" ht="15.6" x14ac:dyDescent="0.3">
      <c r="A1" s="38" t="s">
        <v>422</v>
      </c>
      <c r="B1" s="27"/>
      <c r="C1" s="15"/>
      <c r="D1" s="15"/>
      <c r="E1"/>
    </row>
    <row r="2" spans="1:7" x14ac:dyDescent="0.25">
      <c r="C2" s="15"/>
      <c r="D2" s="15"/>
      <c r="E2"/>
    </row>
    <row r="3" spans="1:7" x14ac:dyDescent="0.25">
      <c r="C3" s="15"/>
      <c r="D3" s="15"/>
      <c r="E3"/>
    </row>
    <row r="4" spans="1:7" x14ac:dyDescent="0.25">
      <c r="A4" s="3" t="s">
        <v>107</v>
      </c>
      <c r="B4" s="3" t="s">
        <v>108</v>
      </c>
      <c r="C4" s="3" t="s">
        <v>109</v>
      </c>
      <c r="D4" s="3" t="s">
        <v>308</v>
      </c>
      <c r="E4" s="3" t="s">
        <v>156</v>
      </c>
      <c r="F4" s="3" t="s">
        <v>157</v>
      </c>
      <c r="G4" s="3" t="s">
        <v>192</v>
      </c>
    </row>
    <row r="5" spans="1:7" x14ac:dyDescent="0.25">
      <c r="A5" s="3" t="s">
        <v>254</v>
      </c>
      <c r="B5" s="3" t="s">
        <v>305</v>
      </c>
      <c r="C5" s="3" t="s">
        <v>155</v>
      </c>
      <c r="D5" s="3" t="s">
        <v>309</v>
      </c>
      <c r="E5" s="3" t="s">
        <v>105</v>
      </c>
      <c r="F5" s="3" t="s">
        <v>7</v>
      </c>
      <c r="G5" s="3" t="s">
        <v>312</v>
      </c>
    </row>
    <row r="6" spans="1:7" x14ac:dyDescent="0.25">
      <c r="A6" s="25" t="s">
        <v>255</v>
      </c>
      <c r="B6" s="25" t="s">
        <v>81</v>
      </c>
      <c r="C6" s="25" t="s">
        <v>257</v>
      </c>
      <c r="D6" s="25" t="s">
        <v>3</v>
      </c>
      <c r="E6" s="25" t="s">
        <v>81</v>
      </c>
      <c r="F6" s="25" t="s">
        <v>3</v>
      </c>
      <c r="G6" s="25" t="s">
        <v>313</v>
      </c>
    </row>
    <row r="7" spans="1:7" x14ac:dyDescent="0.25">
      <c r="C7" s="15"/>
      <c r="D7" s="15"/>
      <c r="E7"/>
    </row>
    <row r="8" spans="1:7" x14ac:dyDescent="0.25">
      <c r="A8" s="4">
        <f>0.00056</f>
        <v>5.5999999999999995E-4</v>
      </c>
      <c r="B8" s="4">
        <f>'Cost Pool Data'!$I$44</f>
        <v>0.9584975</v>
      </c>
      <c r="C8" s="26">
        <f>'Wage Data'!$C$11</f>
        <v>49.154294657004115</v>
      </c>
      <c r="D8" s="26">
        <f>A8*B8*C8</f>
        <v>2.6383990384081006E-2</v>
      </c>
      <c r="E8" s="4">
        <f>'Cost Pool Data'!$L$43</f>
        <v>1.9204979181524358</v>
      </c>
      <c r="F8" s="2">
        <f>D8*E8</f>
        <v>5.0670398605181459E-2</v>
      </c>
      <c r="G8" s="20">
        <f>F8*100</f>
        <v>5.0670398605181459</v>
      </c>
    </row>
    <row r="11" spans="1:7" x14ac:dyDescent="0.25">
      <c r="A11" s="28" t="s">
        <v>259</v>
      </c>
      <c r="B11" s="28"/>
    </row>
    <row r="12" spans="1:7" x14ac:dyDescent="0.25">
      <c r="A12" s="6" t="s">
        <v>306</v>
      </c>
      <c r="B12" s="6"/>
      <c r="C12" s="7"/>
      <c r="D12" s="7"/>
    </row>
    <row r="13" spans="1:7" x14ac:dyDescent="0.25">
      <c r="A13" s="6" t="s">
        <v>263</v>
      </c>
      <c r="B13" s="6"/>
      <c r="C13" s="7"/>
      <c r="D13" s="7"/>
    </row>
    <row r="14" spans="1:7" x14ac:dyDescent="0.25">
      <c r="A14" s="6" t="s">
        <v>307</v>
      </c>
      <c r="B14" s="6"/>
      <c r="C14" s="7"/>
      <c r="D14" s="7"/>
    </row>
    <row r="15" spans="1:7" x14ac:dyDescent="0.25">
      <c r="A15" s="6" t="s">
        <v>256</v>
      </c>
      <c r="B15" s="6"/>
      <c r="C15" s="7"/>
      <c r="D15" s="7"/>
    </row>
    <row r="16" spans="1:7" x14ac:dyDescent="0.25">
      <c r="A16" s="6" t="s">
        <v>277</v>
      </c>
      <c r="B16" s="6"/>
      <c r="C16" s="3"/>
      <c r="D16" s="3"/>
    </row>
    <row r="17" spans="1:4" x14ac:dyDescent="0.25">
      <c r="A17" s="6" t="s">
        <v>310</v>
      </c>
      <c r="B17" s="6"/>
      <c r="C17" s="3"/>
      <c r="D17" s="3"/>
    </row>
    <row r="18" spans="1:4" x14ac:dyDescent="0.25">
      <c r="A18" s="37" t="s">
        <v>311</v>
      </c>
    </row>
  </sheetData>
  <phoneticPr fontId="3" type="noConversion"/>
  <printOptions horizontalCentered="1"/>
  <pageMargins left="0.75" right="0.75" top="1" bottom="1" header="0.5" footer="0.5"/>
  <pageSetup scale="82" orientation="portrait" r:id="rId1"/>
  <headerFooter alignWithMargins="0">
    <oddHeader>&amp;RPage 49 of 50</oddHeader>
    <oddFooter>&amp;R&amp;F</oddFooter>
  </headerFooter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>
    <pageSetUpPr fitToPage="1"/>
  </sheetPr>
  <dimension ref="A1:H42"/>
  <sheetViews>
    <sheetView zoomScale="75" zoomScaleNormal="75" workbookViewId="0">
      <selection activeCell="K13" sqref="K13"/>
    </sheetView>
  </sheetViews>
  <sheetFormatPr defaultColWidth="9.109375" defaultRowHeight="13.2" x14ac:dyDescent="0.25"/>
  <cols>
    <col min="1" max="1" width="16.6640625" customWidth="1"/>
    <col min="2" max="6" width="15.6640625" style="30" customWidth="1"/>
  </cols>
  <sheetData>
    <row r="1" spans="1:8" ht="15.6" x14ac:dyDescent="0.3">
      <c r="A1" s="5" t="s">
        <v>423</v>
      </c>
      <c r="H1" s="150"/>
    </row>
    <row r="3" spans="1:8" x14ac:dyDescent="0.25">
      <c r="A3" s="6" t="s">
        <v>121</v>
      </c>
      <c r="B3" s="30">
        <f>F17</f>
        <v>11706.037</v>
      </c>
    </row>
    <row r="4" spans="1:8" x14ac:dyDescent="0.25">
      <c r="A4" s="6" t="s">
        <v>337</v>
      </c>
      <c r="B4" s="30">
        <f>'Vol Data'!$E$48</f>
        <v>4941.2060000000001</v>
      </c>
    </row>
    <row r="5" spans="1:8" x14ac:dyDescent="0.25">
      <c r="A5" s="6" t="s">
        <v>338</v>
      </c>
      <c r="B5" s="24">
        <f>B4/B3</f>
        <v>0.42210749889138399</v>
      </c>
    </row>
    <row r="6" spans="1:8" x14ac:dyDescent="0.25">
      <c r="B6" s="24"/>
    </row>
    <row r="8" spans="1:8" x14ac:dyDescent="0.25">
      <c r="A8" s="6" t="s">
        <v>335</v>
      </c>
    </row>
    <row r="10" spans="1:8" x14ac:dyDescent="0.25">
      <c r="A10" s="6" t="s">
        <v>328</v>
      </c>
      <c r="B10" s="31" t="s">
        <v>122</v>
      </c>
      <c r="C10" s="31" t="s">
        <v>208</v>
      </c>
      <c r="D10" s="31" t="s">
        <v>209</v>
      </c>
      <c r="E10" s="31" t="s">
        <v>348</v>
      </c>
      <c r="F10" s="31" t="s">
        <v>7</v>
      </c>
    </row>
    <row r="11" spans="1:8" x14ac:dyDescent="0.25">
      <c r="A11" s="12" t="s">
        <v>334</v>
      </c>
      <c r="B11" s="30">
        <f>('Mailer Arrival Profile'!$C$47*'Vol Data'!$I$20*'Mailer Arrival Profile'!C8+'Mailer Arrival Profile'!$C$47*'Vol Data'!$I$21*'Mailer Arrival Profile'!C9+'Mailer Arrival Profile'!$C$47*'Vol Data'!$I$9*'Mailer Arrival Profile'!C15+'Mailer Arrival Profile'!$C$47*'Vol Data'!$I$10*'Mailer Arrival Profile'!C16+'Mailer Arrival Profile'!$D$47*'Vol Data'!$I$30*'Mailer Arrival Profile'!C24+'Mailer Arrival Profile'!$D$47*'Vol Data'!$I$31*'Mailer Arrival Profile'!C25)/1000</f>
        <v>463.71194431742958</v>
      </c>
      <c r="C11" s="30">
        <f>('Mailer Arrival Profile'!$C$47*'Vol Data'!$I$20*'Mailer Arrival Profile'!D8+'Mailer Arrival Profile'!$C$47*'Vol Data'!$I$21*'Mailer Arrival Profile'!D9+'Mailer Arrival Profile'!$C$47*'Vol Data'!$I$9*'Mailer Arrival Profile'!D15+'Mailer Arrival Profile'!$C$47*'Vol Data'!$I$10*'Mailer Arrival Profile'!D16+'Mailer Arrival Profile'!$D$47*'Vol Data'!$I$30*'Mailer Arrival Profile'!D24+'Mailer Arrival Profile'!$D$47*'Vol Data'!$I$31*'Mailer Arrival Profile'!D25)/1000</f>
        <v>1193.5079742493508</v>
      </c>
      <c r="D11" s="30">
        <f>('Mailer Arrival Profile'!$C$47*'Vol Data'!$I$20*'Mailer Arrival Profile'!E8+'Mailer Arrival Profile'!C47*'Vol Data'!I21*'Mailer Arrival Profile'!E9+'Mailer Arrival Profile'!C47*'Vol Data'!I9*'Mailer Arrival Profile'!E15+'Mailer Arrival Profile'!C47*'Vol Data'!I10*'Mailer Arrival Profile'!E16+'Mailer Arrival Profile'!D47*'Vol Data'!I30*'Mailer Arrival Profile'!E24+'Mailer Arrival Profile'!D47*'Vol Data'!I31*'Mailer Arrival Profile'!E25)/1000</f>
        <v>61.587064254937111</v>
      </c>
      <c r="E11" s="30">
        <f>('Mailer Arrival Profile'!$C$47*'Vol Data'!$I$20*'Mailer Arrival Profile'!F8+'Mailer Arrival Profile'!C47*'Vol Data'!I21*'Mailer Arrival Profile'!F9+'Mailer Arrival Profile'!C47*'Vol Data'!I9*'Mailer Arrival Profile'!F15+'Mailer Arrival Profile'!C47*'Vol Data'!I10*'Mailer Arrival Profile'!F16+'Mailer Arrival Profile'!D47*'Vol Data'!I30*'Mailer Arrival Profile'!F24+'Mailer Arrival Profile'!D47*'Vol Data'!I31*'Mailer Arrival Profile'!F25)/1000</f>
        <v>64.994559447393144</v>
      </c>
      <c r="F11" s="30">
        <f>SUM(B11:E11)</f>
        <v>1783.8015422691108</v>
      </c>
    </row>
    <row r="12" spans="1:8" x14ac:dyDescent="0.25">
      <c r="A12" s="12" t="s">
        <v>332</v>
      </c>
      <c r="B12" s="30">
        <f>('Mailer Arrival Profile'!$C$48*'Vol Data'!$I$20*'Mailer Arrival Profile'!C8+'Mailer Arrival Profile'!C48*'Vol Data'!I21*'Mailer Arrival Profile'!C9+'Mailer Arrival Profile'!C48*'Vol Data'!I9*'Mailer Arrival Profile'!C15+'Mailer Arrival Profile'!C48*'Vol Data'!I10*'Mailer Arrival Profile'!C16+'Mailer Arrival Profile'!D48*'Vol Data'!I30*'Mailer Arrival Profile'!C24+'Mailer Arrival Profile'!D48*'Vol Data'!I31*'Mailer Arrival Profile'!C25)/1000</f>
        <v>269.89770591733333</v>
      </c>
      <c r="C12" s="30">
        <f>('Mailer Arrival Profile'!$C$48*'Vol Data'!$I$20*'Mailer Arrival Profile'!D8+'Mailer Arrival Profile'!C48*'Vol Data'!I21*'Mailer Arrival Profile'!D9+'Mailer Arrival Profile'!C48*'Vol Data'!I9*'Mailer Arrival Profile'!D15+'Mailer Arrival Profile'!C48*'Vol Data'!I10*'Mailer Arrival Profile'!D16+'Mailer Arrival Profile'!D48*'Vol Data'!I30*'Mailer Arrival Profile'!D24+'Mailer Arrival Profile'!D48*'Vol Data'!I31*'Mailer Arrival Profile'!D25)/1000</f>
        <v>1250.0437976960909</v>
      </c>
      <c r="D12" s="30">
        <f>('Mailer Arrival Profile'!$C$48*'Vol Data'!$I$20*'Mailer Arrival Profile'!E8+'Mailer Arrival Profile'!C48*'Vol Data'!I21*'Mailer Arrival Profile'!E9+'Mailer Arrival Profile'!C48*'Vol Data'!I9*'Mailer Arrival Profile'!E15+'Mailer Arrival Profile'!C48*'Vol Data'!I10*'Mailer Arrival Profile'!E16+'Mailer Arrival Profile'!D48*'Vol Data'!I30*'Mailer Arrival Profile'!E24+'Mailer Arrival Profile'!D48*'Vol Data'!I31*'Mailer Arrival Profile'!E25)/1000</f>
        <v>92.69673039789734</v>
      </c>
      <c r="E12" s="30">
        <f>('Mailer Arrival Profile'!$C$48*'Vol Data'!$I$20*'Mailer Arrival Profile'!F8+'Mailer Arrival Profile'!C48*'Vol Data'!I21*'Mailer Arrival Profile'!F9+'Mailer Arrival Profile'!C48*'Vol Data'!I9*'Mailer Arrival Profile'!F15+'Mailer Arrival Profile'!C48*'Vol Data'!I10*'Mailer Arrival Profile'!F16+'Mailer Arrival Profile'!D48*'Vol Data'!I30*'Mailer Arrival Profile'!F24+'Mailer Arrival Profile'!D48*'Vol Data'!I31*'Mailer Arrival Profile'!F25)/1000</f>
        <v>65.6211883539642</v>
      </c>
      <c r="F12" s="30">
        <f t="shared" ref="F12:F16" si="0">SUM(B12:E12)</f>
        <v>1678.2594223652857</v>
      </c>
    </row>
    <row r="13" spans="1:8" x14ac:dyDescent="0.25">
      <c r="A13" t="s">
        <v>329</v>
      </c>
      <c r="B13" s="30">
        <f>('Mailer Arrival Profile'!$C$49*'Vol Data'!$I$20*'Mailer Arrival Profile'!C8+'Mailer Arrival Profile'!C49*'Vol Data'!I21*'Mailer Arrival Profile'!C9+'Mailer Arrival Profile'!C49*'Vol Data'!I9*'Mailer Arrival Profile'!C15+'Mailer Arrival Profile'!C49*'Vol Data'!I10*'Mailer Arrival Profile'!C16+'Mailer Arrival Profile'!D49*'Vol Data'!I30*'Mailer Arrival Profile'!C24+'Mailer Arrival Profile'!D49*'Vol Data'!I31*'Mailer Arrival Profile'!C25)/1000</f>
        <v>422.35815183833159</v>
      </c>
      <c r="C13" s="30">
        <f>('Mailer Arrival Profile'!$C$49*'Vol Data'!$I$20*'Mailer Arrival Profile'!D8+'Mailer Arrival Profile'!C49*'Vol Data'!I21*'Mailer Arrival Profile'!D9+'Mailer Arrival Profile'!C49*'Vol Data'!I9*'Mailer Arrival Profile'!D15+'Mailer Arrival Profile'!C49*'Vol Data'!I10*'Mailer Arrival Profile'!D16+'Mailer Arrival Profile'!D49*'Vol Data'!I30*'Mailer Arrival Profile'!D24+'Mailer Arrival Profile'!D49*'Vol Data'!I31*'Mailer Arrival Profile'!D25)/1000</f>
        <v>1701.912478215256</v>
      </c>
      <c r="D13" s="30">
        <f>('Mailer Arrival Profile'!$C$49*'Vol Data'!$I$20*'Mailer Arrival Profile'!E8+'Mailer Arrival Profile'!C49*'Vol Data'!I21*'Mailer Arrival Profile'!E9+'Mailer Arrival Profile'!C49*'Vol Data'!I9*'Mailer Arrival Profile'!E15+'Mailer Arrival Profile'!C49*'Vol Data'!I10*'Mailer Arrival Profile'!E16+'Mailer Arrival Profile'!D49*'Vol Data'!I30*'Mailer Arrival Profile'!E24+'Mailer Arrival Profile'!D49*'Vol Data'!I31*'Mailer Arrival Profile'!E25)/1000</f>
        <v>119.03246740298832</v>
      </c>
      <c r="E13" s="30">
        <f>('Mailer Arrival Profile'!$C$49*'Vol Data'!$I$20*'Mailer Arrival Profile'!F8+'Mailer Arrival Profile'!C49*'Vol Data'!I21*'Mailer Arrival Profile'!F9+'Mailer Arrival Profile'!C49*'Vol Data'!I9*'Mailer Arrival Profile'!F15+'Mailer Arrival Profile'!C49*'Vol Data'!I10*'Mailer Arrival Profile'!F16+'Mailer Arrival Profile'!D49*'Vol Data'!I30*'Mailer Arrival Profile'!F24+'Mailer Arrival Profile'!D49*'Vol Data'!I31*'Mailer Arrival Profile'!F25)/1000</f>
        <v>89.965937909028057</v>
      </c>
      <c r="F13" s="30">
        <f t="shared" si="0"/>
        <v>2333.2690353656039</v>
      </c>
    </row>
    <row r="14" spans="1:8" x14ac:dyDescent="0.25">
      <c r="A14" s="12" t="s">
        <v>330</v>
      </c>
      <c r="B14" s="30">
        <f>('Vol Data'!$I$22*'Mailer Arrival Profile'!C10+'Vol Data'!$I$23*'Mailer Arrival Profile'!C11+'Vol Data'!$I$11*'Mailer Arrival Profile'!C17+('Vol Data'!$I$13+'Vol Data'!$I$12)*'Mailer Arrival Profile'!C18+'Vol Data'!$I$14*'Mailer Arrival Profile'!C19+'Vol Data'!$I$32*'Mailer Arrival Profile'!C26+('Vol Data'!$I$34+'Vol Data'!$I$33)*'Mailer Arrival Profile'!C27+'Vol Data'!$I$35*'Mailer Arrival Profile'!C28)/1000</f>
        <v>930.07948932473937</v>
      </c>
      <c r="C14" s="30">
        <f>('Vol Data'!$I$22*'Mailer Arrival Profile'!D10+'Vol Data'!$I$23*'Mailer Arrival Profile'!D11+'Vol Data'!$I$11*'Mailer Arrival Profile'!D17+('Vol Data'!$I$13+'Vol Data'!$I$12)*'Mailer Arrival Profile'!D18+'Vol Data'!$I$14*'Mailer Arrival Profile'!D19+'Vol Data'!$I$32*'Mailer Arrival Profile'!D26+('Vol Data'!$I$34+'Vol Data'!$I$33)*'Mailer Arrival Profile'!D27+'Vol Data'!$I$35*'Mailer Arrival Profile'!D28)/1000</f>
        <v>1275.9695477001062</v>
      </c>
      <c r="D14" s="30">
        <f>('Vol Data'!$I$22*'Mailer Arrival Profile'!E10+'Vol Data'!$I$23*'Mailer Arrival Profile'!E11+'Vol Data'!$I$11*'Mailer Arrival Profile'!E17+('Vol Data'!$I$13+'Vol Data'!$I$12)*'Mailer Arrival Profile'!E18+'Vol Data'!$I$14*'Mailer Arrival Profile'!E19+'Vol Data'!$I$32*'Mailer Arrival Profile'!E26+('Vol Data'!$I$34+'Vol Data'!$I$33)*'Mailer Arrival Profile'!E27+'Vol Data'!$I$35*'Mailer Arrival Profile'!E28)/1000</f>
        <v>578.47413396634943</v>
      </c>
      <c r="E14" s="30">
        <f>('Vol Data'!$I$22*'Mailer Arrival Profile'!F10+'Vol Data'!$I$23*'Mailer Arrival Profile'!F11+'Vol Data'!$I$11*'Mailer Arrival Profile'!F17+('Vol Data'!$I$13+'Vol Data'!$I$12)*'Mailer Arrival Profile'!F18+'Vol Data'!$I$14*'Mailer Arrival Profile'!F19+'Vol Data'!$I$32*'Mailer Arrival Profile'!F26+('Vol Data'!$I$34+'Vol Data'!$I$33)*'Mailer Arrival Profile'!F27+'Vol Data'!$I$35*'Mailer Arrival Profile'!F28)/1000</f>
        <v>116.4898290088052</v>
      </c>
      <c r="F14" s="30">
        <f t="shared" si="0"/>
        <v>2901.0130000000004</v>
      </c>
    </row>
    <row r="15" spans="1:8" x14ac:dyDescent="0.25">
      <c r="A15" s="12" t="s">
        <v>333</v>
      </c>
      <c r="B15" s="30">
        <f>('Vol Data'!$I$24*'Mailer Arrival Profile'!C12+'Vol Data'!$I$15*'Mailer Arrival Profile'!C20+'Vol Data'!$I$16*'Mailer Arrival Profile'!C21+'Vol Data'!$I$36*'Mailer Arrival Profile'!C29+'Vol Data'!$I$37*'Mailer Arrival Profile'!C30)/1000</f>
        <v>21.073163084984706</v>
      </c>
      <c r="C15" s="30">
        <f>('Vol Data'!$I$24*'Mailer Arrival Profile'!D12+'Vol Data'!$I$15*'Mailer Arrival Profile'!D20+'Vol Data'!$I$16*'Mailer Arrival Profile'!D21+'Vol Data'!$I$36*'Mailer Arrival Profile'!D29+'Vol Data'!$I$37*'Mailer Arrival Profile'!D30)/1000</f>
        <v>22.808315712299574</v>
      </c>
      <c r="D15" s="30">
        <f>('Vol Data'!$I$24*'Mailer Arrival Profile'!E12+'Vol Data'!$I$15*'Mailer Arrival Profile'!E20+'Vol Data'!$I$16*'Mailer Arrival Profile'!E21+'Vol Data'!$I$36*'Mailer Arrival Profile'!E29+'Vol Data'!$I$37*'Mailer Arrival Profile'!E30)/1000</f>
        <v>114.24599697780434</v>
      </c>
      <c r="E15" s="30">
        <f>('Vol Data'!$I$24*'Mailer Arrival Profile'!F12+'Vol Data'!$I$15*'Mailer Arrival Profile'!F20+'Vol Data'!$I$16*'Mailer Arrival Profile'!F21+'Vol Data'!$I$36*'Mailer Arrival Profile'!F29+'Vol Data'!$I$37*'Mailer Arrival Profile'!F30)/1000</f>
        <v>2548.8015242249112</v>
      </c>
      <c r="F15" s="30">
        <f t="shared" si="0"/>
        <v>2706.9289999999996</v>
      </c>
    </row>
    <row r="16" spans="1:8" x14ac:dyDescent="0.25">
      <c r="A16" t="s">
        <v>331</v>
      </c>
      <c r="B16" s="32">
        <f>('Vol Data'!$I$17*'Mailer Arrival Profile'!C22+'Vol Data'!$I$25*'Mailer Arrival Profile'!C13+'Vol Data'!$I$38*'Mailer Arrival Profile'!C31)/1000</f>
        <v>0</v>
      </c>
      <c r="C16" s="32">
        <f>('Vol Data'!$I$17*'Mailer Arrival Profile'!D22+'Vol Data'!$I$25*'Mailer Arrival Profile'!D13+'Vol Data'!$I$38*'Mailer Arrival Profile'!D31)/1000</f>
        <v>2.9325626055488536</v>
      </c>
      <c r="D16" s="32">
        <f>('Vol Data'!$I$17*'Mailer Arrival Profile'!E22+'Vol Data'!$I$25*'Mailer Arrival Profile'!E13+'Vol Data'!$I$38*'Mailer Arrival Profile'!E31)/1000</f>
        <v>0</v>
      </c>
      <c r="E16" s="32">
        <f>('Vol Data'!$I$17*'Mailer Arrival Profile'!F22+'Vol Data'!$I$25*'Mailer Arrival Profile'!F13+'Vol Data'!$I$38*'Mailer Arrival Profile'!F31)/1000</f>
        <v>299.83243739445112</v>
      </c>
      <c r="F16" s="32">
        <f t="shared" si="0"/>
        <v>302.76499999999999</v>
      </c>
    </row>
    <row r="17" spans="1:6" x14ac:dyDescent="0.25">
      <c r="A17" s="6" t="s">
        <v>7</v>
      </c>
      <c r="B17" s="34">
        <f>SUM(B11:B16)</f>
        <v>2107.1204544828183</v>
      </c>
      <c r="C17" s="34">
        <f t="shared" ref="C17:E17" si="1">SUM(C11:C16)</f>
        <v>5447.1746761786517</v>
      </c>
      <c r="D17" s="34">
        <f t="shared" si="1"/>
        <v>966.03639299997656</v>
      </c>
      <c r="E17" s="34">
        <f t="shared" si="1"/>
        <v>3185.7054763385527</v>
      </c>
      <c r="F17" s="34">
        <f>SUM(F11:F16)</f>
        <v>11706.037</v>
      </c>
    </row>
    <row r="19" spans="1:6" x14ac:dyDescent="0.25">
      <c r="A19" s="6" t="s">
        <v>336</v>
      </c>
    </row>
    <row r="21" spans="1:6" x14ac:dyDescent="0.25">
      <c r="A21" s="6" t="s">
        <v>328</v>
      </c>
      <c r="B21" s="31" t="s">
        <v>122</v>
      </c>
      <c r="C21" s="31" t="s">
        <v>208</v>
      </c>
      <c r="D21" s="31" t="s">
        <v>209</v>
      </c>
      <c r="E21" s="31" t="s">
        <v>348</v>
      </c>
      <c r="F21" s="31" t="s">
        <v>7</v>
      </c>
    </row>
    <row r="22" spans="1:6" x14ac:dyDescent="0.25">
      <c r="A22" s="12" t="s">
        <v>334</v>
      </c>
      <c r="B22" s="30">
        <f t="shared" ref="B22:E27" si="2">B11*$B$5</f>
        <v>195.73628902189091</v>
      </c>
      <c r="C22" s="30">
        <f t="shared" si="2"/>
        <v>503.78866591731583</v>
      </c>
      <c r="D22" s="30">
        <f t="shared" si="2"/>
        <v>25.996361656714463</v>
      </c>
      <c r="E22" s="30">
        <f t="shared" si="2"/>
        <v>27.434690929886493</v>
      </c>
      <c r="F22" s="30">
        <f>SUM(B22:E22)</f>
        <v>752.95600752580776</v>
      </c>
    </row>
    <row r="23" spans="1:6" x14ac:dyDescent="0.25">
      <c r="A23" s="12" t="s">
        <v>332</v>
      </c>
      <c r="B23" s="30">
        <f t="shared" si="2"/>
        <v>113.92584560128786</v>
      </c>
      <c r="C23" s="30">
        <f t="shared" si="2"/>
        <v>527.65286095018416</v>
      </c>
      <c r="D23" s="30">
        <f t="shared" si="2"/>
        <v>39.127985023665374</v>
      </c>
      <c r="E23" s="30">
        <f t="shared" si="2"/>
        <v>27.699195690372242</v>
      </c>
      <c r="F23" s="30">
        <f t="shared" ref="F23:F27" si="3">SUM(B23:E23)</f>
        <v>708.40588726550959</v>
      </c>
    </row>
    <row r="24" spans="1:6" x14ac:dyDescent="0.25">
      <c r="A24" t="s">
        <v>329</v>
      </c>
      <c r="B24" s="30">
        <f t="shared" si="2"/>
        <v>178.28054310886554</v>
      </c>
      <c r="C24" s="30">
        <f t="shared" si="2"/>
        <v>718.39001951147873</v>
      </c>
      <c r="D24" s="30">
        <f t="shared" si="2"/>
        <v>50.244497102345591</v>
      </c>
      <c r="E24" s="30">
        <f t="shared" si="2"/>
        <v>37.975297036197382</v>
      </c>
      <c r="F24" s="30">
        <f t="shared" si="3"/>
        <v>984.89035675888726</v>
      </c>
    </row>
    <row r="25" spans="1:6" x14ac:dyDescent="0.25">
      <c r="A25" s="12" t="s">
        <v>330</v>
      </c>
      <c r="B25" s="30">
        <f t="shared" si="2"/>
        <v>392.5935270090414</v>
      </c>
      <c r="C25" s="30">
        <f t="shared" si="2"/>
        <v>538.59631444126228</v>
      </c>
      <c r="D25" s="30">
        <f t="shared" si="2"/>
        <v>244.17826986189516</v>
      </c>
      <c r="E25" s="30">
        <f t="shared" si="2"/>
        <v>49.171230369191754</v>
      </c>
      <c r="F25" s="30">
        <f t="shared" si="3"/>
        <v>1224.5393416813906</v>
      </c>
    </row>
    <row r="26" spans="1:6" x14ac:dyDescent="0.25">
      <c r="A26" s="12" t="s">
        <v>333</v>
      </c>
      <c r="B26" s="151">
        <f t="shared" si="2"/>
        <v>8.8951401635331369</v>
      </c>
      <c r="C26" s="151">
        <f t="shared" si="2"/>
        <v>9.6275610992438292</v>
      </c>
      <c r="D26" s="151">
        <f t="shared" si="2"/>
        <v>48.224092042653602</v>
      </c>
      <c r="E26" s="151">
        <f t="shared" si="2"/>
        <v>1075.8682365611246</v>
      </c>
      <c r="F26" s="151">
        <f t="shared" si="3"/>
        <v>1142.6150298665552</v>
      </c>
    </row>
    <row r="27" spans="1:6" x14ac:dyDescent="0.25">
      <c r="A27" t="s">
        <v>331</v>
      </c>
      <c r="B27" s="32">
        <f t="shared" si="2"/>
        <v>0</v>
      </c>
      <c r="C27" s="32">
        <f t="shared" si="2"/>
        <v>1.2378566667706268</v>
      </c>
      <c r="D27" s="32">
        <f t="shared" si="2"/>
        <v>0</v>
      </c>
      <c r="E27" s="32">
        <f t="shared" si="2"/>
        <v>126.56152023507924</v>
      </c>
      <c r="F27" s="32">
        <f t="shared" si="3"/>
        <v>127.79937690184987</v>
      </c>
    </row>
    <row r="28" spans="1:6" x14ac:dyDescent="0.25">
      <c r="A28" s="6" t="s">
        <v>7</v>
      </c>
      <c r="B28" s="34">
        <f>SUM(B22:B27)</f>
        <v>889.43134490461887</v>
      </c>
      <c r="C28" s="34">
        <f t="shared" ref="C28:F28" si="4">SUM(C22:C27)</f>
        <v>2299.2932785862554</v>
      </c>
      <c r="D28" s="34">
        <f t="shared" si="4"/>
        <v>407.77120568727418</v>
      </c>
      <c r="E28" s="34">
        <f t="shared" si="4"/>
        <v>1344.7101708218518</v>
      </c>
      <c r="F28" s="34">
        <f t="shared" si="4"/>
        <v>4941.2060000000001</v>
      </c>
    </row>
    <row r="30" spans="1:6" x14ac:dyDescent="0.25">
      <c r="A30" s="6" t="s">
        <v>343</v>
      </c>
      <c r="B30" s="34">
        <f>'Conversion Factors'!$M$20</f>
        <v>829.75049477521463</v>
      </c>
      <c r="C30" s="34">
        <f>'Conversion Factors'!$M$21</f>
        <v>1327.1509524465309</v>
      </c>
      <c r="D30" s="34">
        <f>'Conversion Factors'!$M$22</f>
        <v>854.74890007725003</v>
      </c>
      <c r="E30" s="34">
        <f>'Mailer Arrival Profile'!$I$33</f>
        <v>48.787027953216125</v>
      </c>
    </row>
    <row r="32" spans="1:6" x14ac:dyDescent="0.25">
      <c r="A32" s="6" t="s">
        <v>347</v>
      </c>
      <c r="B32" s="152">
        <f>'Conversion Factors'!$N$22</f>
        <v>17.520003491438416</v>
      </c>
      <c r="C32"/>
      <c r="F32"/>
    </row>
    <row r="33" spans="1:6" x14ac:dyDescent="0.25">
      <c r="A33" s="6" t="s">
        <v>349</v>
      </c>
      <c r="B33"/>
      <c r="C33"/>
      <c r="D33"/>
      <c r="E33"/>
      <c r="F33"/>
    </row>
    <row r="34" spans="1:6" x14ac:dyDescent="0.25">
      <c r="B34"/>
      <c r="C34"/>
      <c r="D34"/>
      <c r="E34"/>
      <c r="F34"/>
    </row>
    <row r="35" spans="1:6" x14ac:dyDescent="0.25">
      <c r="A35" s="6" t="s">
        <v>347</v>
      </c>
      <c r="B35" s="152">
        <f>'Conversion Factors'!$N$23</f>
        <v>14.820735156910017</v>
      </c>
      <c r="C35"/>
      <c r="D35"/>
      <c r="E35"/>
      <c r="F35"/>
    </row>
    <row r="36" spans="1:6" x14ac:dyDescent="0.25">
      <c r="A36" s="6" t="s">
        <v>365</v>
      </c>
      <c r="B36"/>
      <c r="C36"/>
      <c r="D36"/>
      <c r="E36"/>
      <c r="F36"/>
    </row>
    <row r="37" spans="1:6" x14ac:dyDescent="0.25">
      <c r="B37"/>
      <c r="C37"/>
      <c r="D37"/>
      <c r="E37"/>
      <c r="F37"/>
    </row>
    <row r="38" spans="1:6" x14ac:dyDescent="0.25">
      <c r="A38" s="6" t="s">
        <v>347</v>
      </c>
      <c r="B38" s="152">
        <f>'Conversion Factors'!$N$47</f>
        <v>30.886231220748158</v>
      </c>
      <c r="C38"/>
      <c r="D38"/>
      <c r="E38"/>
      <c r="F38"/>
    </row>
    <row r="39" spans="1:6" x14ac:dyDescent="0.25">
      <c r="A39" s="6" t="s">
        <v>350</v>
      </c>
      <c r="B39"/>
      <c r="C39"/>
      <c r="D39"/>
      <c r="E39"/>
      <c r="F39"/>
    </row>
    <row r="40" spans="1:6" x14ac:dyDescent="0.25">
      <c r="B40"/>
      <c r="C40"/>
      <c r="D40"/>
      <c r="E40"/>
      <c r="F40"/>
    </row>
    <row r="42" spans="1:6" x14ac:dyDescent="0.25">
      <c r="B42"/>
      <c r="C42"/>
      <c r="D42"/>
      <c r="E42"/>
      <c r="F42"/>
    </row>
  </sheetData>
  <printOptions horizontalCentered="1"/>
  <pageMargins left="0.7" right="0.7" top="0.75" bottom="0.75" header="0.3" footer="0.3"/>
  <pageSetup scale="97" orientation="portrait" r:id="rId1"/>
  <headerFooter>
    <oddHeader>&amp;RPage 50 of 50</oddHeader>
    <oddFooter>&amp;R&amp;F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B6EB0E29CC5B443B20AD0ADCD173D34" ma:contentTypeVersion="4" ma:contentTypeDescription="Create a new document." ma:contentTypeScope="" ma:versionID="fefafd6d308eb8b5a8cc413f7e344640">
  <xsd:schema xmlns:xsd="http://www.w3.org/2001/XMLSchema" xmlns:xs="http://www.w3.org/2001/XMLSchema" xmlns:p="http://schemas.microsoft.com/office/2006/metadata/properties" xmlns:ns2="fd280014-f047-445d-a75d-a0f18d80e10d" targetNamespace="http://schemas.microsoft.com/office/2006/metadata/properties" ma:root="true" ma:fieldsID="d0167217136ba33b7f2a5da369f8bb0e" ns2:_="">
    <xsd:import namespace="fd280014-f047-445d-a75d-a0f18d80e10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280014-f047-445d-a75d-a0f18d80e10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D212CBD-AAFE-4F83-9431-801F94D355AF}">
  <ds:schemaRefs>
    <ds:schemaRef ds:uri="http://schemas.microsoft.com/office/2006/documentManagement/types"/>
    <ds:schemaRef ds:uri="http://purl.org/dc/elements/1.1/"/>
    <ds:schemaRef ds:uri="http://purl.org/dc/dcmitype/"/>
    <ds:schemaRef ds:uri="http://schemas.microsoft.com/office/infopath/2007/PartnerControls"/>
    <ds:schemaRef ds:uri="http://www.w3.org/XML/1998/namespace"/>
    <ds:schemaRef ds:uri="http://schemas.openxmlformats.org/package/2006/metadata/core-properties"/>
    <ds:schemaRef ds:uri="fd280014-f047-445d-a75d-a0f18d80e10d"/>
    <ds:schemaRef ds:uri="http://schemas.microsoft.com/office/2006/metadata/properties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9EB5C5F7-439F-4C60-B34B-DE396F5628B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d280014-f047-445d-a75d-a0f18d80e10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EC38DF4-37F2-40A6-AE75-0D734C134BA0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f9aa5788-eb33-4a49-8ad0-76101910cac3}" enabled="0" method="" siteId="{f9aa5788-eb33-4a49-8ad0-76101910cac3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50</vt:i4>
      </vt:variant>
      <vt:variant>
        <vt:lpstr>Named Ranges</vt:lpstr>
      </vt:variant>
      <vt:variant>
        <vt:i4>1</vt:i4>
      </vt:variant>
    </vt:vector>
  </HeadingPairs>
  <TitlesOfParts>
    <vt:vector size="51" baseType="lpstr">
      <vt:lpstr>MP Summary</vt:lpstr>
      <vt:lpstr>MP Cost Adjustments</vt:lpstr>
      <vt:lpstr>Cost Pool Data</vt:lpstr>
      <vt:lpstr>Vol Data</vt:lpstr>
      <vt:lpstr>Productivity Data</vt:lpstr>
      <vt:lpstr>Wage Data</vt:lpstr>
      <vt:lpstr>Mailer Arrival Profile</vt:lpstr>
      <vt:lpstr>Postal Arrival-Dispatch Profile</vt:lpstr>
      <vt:lpstr>Other Inputs</vt:lpstr>
      <vt:lpstr>Conversion Factors</vt:lpstr>
      <vt:lpstr>M-NONE-MNDC</vt:lpstr>
      <vt:lpstr>M-NONE-NDC</vt:lpstr>
      <vt:lpstr>M-DNDC-NDC</vt:lpstr>
      <vt:lpstr>M-DNDC-5D</vt:lpstr>
      <vt:lpstr>M-DSCF-5D</vt:lpstr>
      <vt:lpstr>M-DDU-5D</vt:lpstr>
      <vt:lpstr>IR-NONE-MNDC</vt:lpstr>
      <vt:lpstr>IR-NONE-NDC</vt:lpstr>
      <vt:lpstr>IR-DNDC-NDC</vt:lpstr>
      <vt:lpstr>IR-DNDC-SCF</vt:lpstr>
      <vt:lpstr>IR-DNDC-5D</vt:lpstr>
      <vt:lpstr>IR-DSCF-SCF</vt:lpstr>
      <vt:lpstr>IR-DSCF-5D</vt:lpstr>
      <vt:lpstr>IR -DDU-5D</vt:lpstr>
      <vt:lpstr>IO-NONE-MNDC</vt:lpstr>
      <vt:lpstr>IO-NONE-NDC</vt:lpstr>
      <vt:lpstr>IO-DNDC-NDC</vt:lpstr>
      <vt:lpstr>IO-DNDC-SCF</vt:lpstr>
      <vt:lpstr>IO-DNDC-5D</vt:lpstr>
      <vt:lpstr>IO-DSCF-SCF</vt:lpstr>
      <vt:lpstr>IO-DSCF-5D</vt:lpstr>
      <vt:lpstr>IO-DDU-5D</vt:lpstr>
      <vt:lpstr>MO-NONE-MNDC</vt:lpstr>
      <vt:lpstr>MO-NONE-NDC</vt:lpstr>
      <vt:lpstr>MO-DNDC-NDC</vt:lpstr>
      <vt:lpstr>MO-DNDC-SCF</vt:lpstr>
      <vt:lpstr>MO-DNDC-5D</vt:lpstr>
      <vt:lpstr>MO-DSCF-SCF</vt:lpstr>
      <vt:lpstr>MO-DSCF-5D</vt:lpstr>
      <vt:lpstr>MO-DDU-5D</vt:lpstr>
      <vt:lpstr>M&gt;6-NONE-MNDC</vt:lpstr>
      <vt:lpstr>M&gt;6-NONE-NDC</vt:lpstr>
      <vt:lpstr>M&gt;6-DNDC-NDC</vt:lpstr>
      <vt:lpstr>M&gt;6-DNDC-SCF</vt:lpstr>
      <vt:lpstr>M&gt;6-DNDC-5D</vt:lpstr>
      <vt:lpstr>M&gt;6-DSCF-SCF</vt:lpstr>
      <vt:lpstr>M&gt;6-DSCF-5D</vt:lpstr>
      <vt:lpstr>M&gt;6-DDU-5D</vt:lpstr>
      <vt:lpstr>BC Savings</vt:lpstr>
      <vt:lpstr>Mail Entry Profile</vt:lpstr>
      <vt:lpstr>'MP Summary'!Print_Area</vt:lpstr>
    </vt:vector>
  </TitlesOfParts>
  <Company>U.S. Postal Service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Michael W Miller</dc:creator>
  <cp:lastModifiedBy>Gibson, Ayana A - Washington, DC</cp:lastModifiedBy>
  <cp:lastPrinted>2021-12-03T02:38:30Z</cp:lastPrinted>
  <dcterms:created xsi:type="dcterms:W3CDTF">2009-04-24T17:02:26Z</dcterms:created>
  <dcterms:modified xsi:type="dcterms:W3CDTF">2026-02-05T18:50:38Z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0x0101000B6EB0E29CC5B443B20AD0ADCD173D34</vt:lpwstr>
  </property>
  <property fmtid="{D5CDD505-2E9C-101B-9397-08002B2CF9AE}" pid="3" name="Order">
    <vt:r8>11900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ExtendedDescription">
    <vt:lpwstr/>
  </property>
  <property fmtid="{D5CDD505-2E9C-101B-9397-08002B2CF9AE}" pid="7" name="TriggerFlowInfo">
    <vt:lpwstr/>
  </property>
  <property fmtid="{D5CDD505-2E9C-101B-9397-08002B2CF9AE}" pid="8" name="ComplianceAssetId">
    <vt:lpwstr/>
  </property>
  <property fmtid="{D5CDD505-2E9C-101B-9397-08002B2CF9AE}" pid="9" name="TemplateUrl">
    <vt:lpwstr/>
  </property>
</Properties>
</file>