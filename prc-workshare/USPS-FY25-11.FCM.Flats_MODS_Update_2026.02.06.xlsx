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purl.oclc.org/ooxml/officeDocument/relationships/officeDocument" Target="xl/workbook.xml"/><Relationship Id="rId5" Type="http://purl.oclc.org/ooxml/officeDocument/relationships/customProperties" Target="docProps/custom.xml"/><Relationship Id="rId4" Type="http://purl.oclc.org/ooxml/officeDocument/relationships/extendedProperties" Target="docProps/app.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9426"/>
  <workbookPr dateCompatibility="0" codeName="ThisWorkbook" defaultThemeVersion="124226"/>
  <mc:AlternateContent xmlns:mc="http://schemas.openxmlformats.org/markup-compatibility/2006">
    <mc:Choice Requires="x15">
      <x15ac:absPath xmlns:x15ac="http://schemas.microsoft.com/office/spreadsheetml/2010/11/ac" url="https://usps365.sharepoint.com/sites/ACR/Shared Documents/ACR 2025/Notices_ACR 2025/Errata_Updated ACR Materials_MODS_2026.01.xx/PUBLIC Supporting Materials/USPS-FY25-11_MODS update/"/>
    </mc:Choice>
  </mc:AlternateContent>
  <xr:revisionPtr revIDLastSave="0" documentId="10_ncr:8_{B986C398-9F0E-4929-9AFE-BA0B4DDFC7A1}" xr6:coauthVersionLast="47" xr6:coauthVersionMax="47" xr10:uidLastSave="{00000000-0000-0000-0000-000000000000}"/>
  <bookViews>
    <workbookView xWindow="-108" yWindow="-108" windowWidth="23256" windowHeight="12456" tabRatio="848" xr2:uid="{00000000-000D-0000-FFFF-FFFF00000000}"/>
  </bookViews>
  <sheets>
    <sheet name="CRA ADJ UNIT COSTS-Hardcoded " sheetId="76" r:id="rId1"/>
    <sheet name="CRA ADJ UNIT COSTS" sheetId="1" r:id="rId2"/>
    <sheet name="PRESORT LEVELS HELD CONSTANT" sheetId="2" r:id="rId3"/>
    <sheet name="OUT TRAY SORT FC C&amp;L&amp;F" sheetId="77" r:id="rId4"/>
    <sheet name="CRA PRESORT FLATS" sheetId="34" r:id="rId5"/>
    <sheet name="BUNDLE OPS SUMMARY" sheetId="63" r:id="rId6"/>
    <sheet name="OP BUNDLE OPS" sheetId="62" r:id="rId7"/>
    <sheet name="MMP BUNDLE OPS" sheetId="61" r:id="rId8"/>
    <sheet name="3D BUNDLE OPS" sheetId="60" r:id="rId9"/>
    <sheet name="5D BUNDLE OPS" sheetId="59" r:id="rId10"/>
    <sheet name="NONAUTO COST" sheetId="35" r:id="rId11"/>
    <sheet name="NONAUTO MODEL" sheetId="68" r:id="rId12"/>
    <sheet name="MADC NONAUTO COST" sheetId="48" r:id="rId13"/>
    <sheet name="MADC NONAUTO MODEL" sheetId="67" r:id="rId14"/>
    <sheet name="ADC NONAUTO COST" sheetId="50" r:id="rId15"/>
    <sheet name="ADC NONAUTO MODEL" sheetId="69" r:id="rId16"/>
    <sheet name="3D NONAUTO COST" sheetId="52" r:id="rId17"/>
    <sheet name="3D NONAUTO MODEL" sheetId="70" r:id="rId18"/>
    <sheet name="5D NONAUTO COST" sheetId="54" r:id="rId19"/>
    <sheet name="5D NONAUTO MODEL" sheetId="71" r:id="rId20"/>
    <sheet name="MADC AUTO COST" sheetId="40" r:id="rId21"/>
    <sheet name="MADC AUTO MODEL" sheetId="72" r:id="rId22"/>
    <sheet name="ADC AUTO COST" sheetId="42" r:id="rId23"/>
    <sheet name="ADC AUTO MODEL" sheetId="73" r:id="rId24"/>
    <sheet name="3D AUTO COST" sheetId="44" r:id="rId25"/>
    <sheet name="3D AUTO MODEL" sheetId="74" r:id="rId26"/>
    <sheet name="5D AUTO COST" sheetId="46" r:id="rId27"/>
    <sheet name="5D AUTO MODEL" sheetId="75" r:id="rId28"/>
    <sheet name="COVERAGE FACTORS" sheetId="37" r:id="rId29"/>
    <sheet name="ACCEPT RATES" sheetId="22" r:id="rId30"/>
    <sheet name="PIECE DENSITIES" sheetId="23" r:id="rId31"/>
    <sheet name="PRODUCTIVITIES" sheetId="38" r:id="rId32"/>
    <sheet name="WAGE RATES" sheetId="26" r:id="rId33"/>
    <sheet name="PIGGYBACKS" sheetId="27" r:id="rId34"/>
    <sheet name="ENTRY PROFILE" sheetId="58" r:id="rId35"/>
    <sheet name="BUNDLE SORT" sheetId="64" r:id="rId36"/>
    <sheet name="FY VOLUME NONAUTO" sheetId="55" r:id="rId37"/>
    <sheet name="FY VOLUME AUTO" sheetId="65" r:id="rId38"/>
    <sheet name="BUNDLE DATA" sheetId="32" r:id="rId39"/>
    <sheet name="BUNDLE DENSITIES" sheetId="33" r:id="rId40"/>
  </sheets>
  <externalReferences>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s>
  <definedNames>
    <definedName name="_xlnm.Print_Area" localSheetId="28">'COVERAGE FACTORS'!$A$1:$E$63</definedName>
    <definedName name="_xlnm.Print_Area" localSheetId="1">'CRA ADJ UNIT COSTS'!$A$1:$I$57</definedName>
  </definedNames>
  <calcPr calcId="191028"/>
  <extLs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B14" i="27" l="1"/>
  <c r="B13" i="27"/>
  <c r="B12" i="27"/>
  <c r="B9" i="27"/>
  <c r="B8" i="27"/>
  <c r="B7" i="27"/>
  <c r="B6" i="27"/>
  <c r="B5" i="27"/>
  <c r="E61" i="38"/>
  <c r="D61" i="38"/>
  <c r="C61" i="38"/>
  <c r="B61" i="38"/>
  <c r="C22" i="38"/>
  <c r="C21" i="38"/>
  <c r="C20" i="38"/>
  <c r="C19" i="38"/>
  <c r="C18" i="38"/>
  <c r="C17" i="38"/>
  <c r="C7" i="38"/>
  <c r="H9" i="38"/>
  <c r="C16" i="38"/>
  <c r="E79" i="34" l="1"/>
  <c r="E78" i="34"/>
  <c r="E77" i="34"/>
  <c r="E76" i="34"/>
  <c r="E75" i="34"/>
  <c r="E74" i="34"/>
  <c r="E73" i="34"/>
  <c r="E72" i="34"/>
  <c r="G72" i="34" s="1"/>
  <c r="E71" i="34"/>
  <c r="E70" i="34"/>
  <c r="E69" i="34"/>
  <c r="E68" i="34"/>
  <c r="E67" i="34"/>
  <c r="E66" i="34"/>
  <c r="E65" i="34"/>
  <c r="E64" i="34"/>
  <c r="E63" i="34"/>
  <c r="E62" i="34"/>
  <c r="E61" i="34"/>
  <c r="E59" i="34"/>
  <c r="E46" i="34"/>
  <c r="E45" i="34"/>
  <c r="E44" i="34"/>
  <c r="E43" i="34"/>
  <c r="E42" i="34"/>
  <c r="E41" i="34"/>
  <c r="E39" i="34"/>
  <c r="E38" i="34"/>
  <c r="E37" i="34"/>
  <c r="E36" i="34"/>
  <c r="E35" i="34"/>
  <c r="E34" i="34"/>
  <c r="E33" i="34"/>
  <c r="E32" i="34"/>
  <c r="E31" i="34"/>
  <c r="E30" i="34"/>
  <c r="E29" i="34"/>
  <c r="E27" i="34"/>
  <c r="E26" i="34"/>
  <c r="E25" i="34"/>
  <c r="E24" i="34"/>
  <c r="E23" i="34"/>
  <c r="E22" i="34"/>
  <c r="E21" i="34"/>
  <c r="E20" i="34"/>
  <c r="E19" i="34"/>
  <c r="E18" i="34"/>
  <c r="E17" i="34"/>
  <c r="E13" i="34"/>
  <c r="E11" i="34"/>
  <c r="D70" i="38" l="1"/>
  <c r="C70" i="38"/>
  <c r="D69" i="38"/>
  <c r="C69" i="38"/>
  <c r="E69" i="38" l="1"/>
  <c r="C12" i="38" s="1"/>
  <c r="E70" i="38"/>
  <c r="C15" i="38" s="1"/>
  <c r="B48" i="38"/>
  <c r="B47" i="38"/>
  <c r="C48" i="38" l="1"/>
  <c r="E19" i="55" l="1"/>
  <c r="E20" i="55"/>
  <c r="D10" i="26"/>
  <c r="C10" i="26"/>
  <c r="D9" i="26"/>
  <c r="C9" i="26"/>
  <c r="D8" i="26"/>
  <c r="C8" i="26"/>
  <c r="D6" i="26"/>
  <c r="D5" i="26"/>
  <c r="B42" i="38" l="1"/>
  <c r="B17" i="38"/>
  <c r="B16" i="38"/>
  <c r="B12" i="38"/>
  <c r="B8" i="38"/>
  <c r="B7" i="38"/>
  <c r="C47" i="38" l="1"/>
  <c r="J11" i="77"/>
  <c r="J12" i="77"/>
  <c r="J10" i="77"/>
  <c r="A14" i="27"/>
  <c r="H11" i="77" l="1"/>
  <c r="H12" i="77"/>
  <c r="H10" i="77"/>
  <c r="K11" i="77"/>
  <c r="K12" i="77"/>
  <c r="K10" i="77"/>
  <c r="F11" i="77" l="1"/>
  <c r="F12" i="77"/>
  <c r="F10" i="77"/>
  <c r="D16" i="38"/>
  <c r="E7" i="38"/>
  <c r="E11" i="77" l="1"/>
  <c r="G11" i="77" s="1"/>
  <c r="E12" i="77"/>
  <c r="G12" i="77" s="1"/>
  <c r="E10" i="77"/>
  <c r="G10" i="77" s="1"/>
  <c r="D12" i="77"/>
  <c r="D11" i="77"/>
  <c r="D10" i="77"/>
  <c r="I10" i="77" l="1"/>
  <c r="I12" i="77"/>
  <c r="I11" i="77"/>
  <c r="L10" i="77" l="1"/>
  <c r="M10" i="77" s="1"/>
  <c r="N10" i="77" s="1"/>
  <c r="L12" i="77"/>
  <c r="M12" i="77" s="1"/>
  <c r="N12" i="77" s="1"/>
  <c r="L11" i="77"/>
  <c r="M11" i="77" s="1"/>
  <c r="N11" i="77" s="1"/>
  <c r="M16" i="33" l="1"/>
  <c r="M17" i="33"/>
  <c r="M15" i="33"/>
  <c r="I16" i="33"/>
  <c r="K16" i="33"/>
  <c r="K17" i="33"/>
  <c r="I15" i="33"/>
  <c r="K15" i="33"/>
  <c r="G15" i="33"/>
  <c r="M8" i="33"/>
  <c r="M9" i="33"/>
  <c r="M10" i="33"/>
  <c r="M7" i="33"/>
  <c r="G8" i="33"/>
  <c r="I8" i="33"/>
  <c r="K8" i="33"/>
  <c r="I9" i="33"/>
  <c r="K9" i="33"/>
  <c r="K10" i="33"/>
  <c r="G7" i="33"/>
  <c r="G12" i="33" s="1"/>
  <c r="I7" i="33"/>
  <c r="K7" i="33"/>
  <c r="E7" i="33"/>
  <c r="M19" i="33" l="1"/>
  <c r="K12" i="33"/>
  <c r="I12" i="33"/>
  <c r="M12" i="33"/>
  <c r="E45" i="65"/>
  <c r="E42" i="65"/>
  <c r="F42" i="65"/>
  <c r="E43" i="65"/>
  <c r="F43" i="65"/>
  <c r="E44" i="65"/>
  <c r="F44" i="65"/>
  <c r="F41" i="65"/>
  <c r="E41" i="65"/>
  <c r="E29" i="65"/>
  <c r="E30" i="65"/>
  <c r="E31" i="65"/>
  <c r="F29" i="65"/>
  <c r="F30" i="65"/>
  <c r="F28" i="65"/>
  <c r="E28" i="65"/>
  <c r="E18" i="65"/>
  <c r="F18" i="65"/>
  <c r="F17" i="65"/>
  <c r="E19" i="65"/>
  <c r="E17" i="65"/>
  <c r="E9" i="65"/>
  <c r="E10" i="65"/>
  <c r="E11" i="65"/>
  <c r="F9" i="65"/>
  <c r="F10" i="65"/>
  <c r="F11" i="65"/>
  <c r="F21" i="55"/>
  <c r="F22" i="55"/>
  <c r="F23" i="55"/>
  <c r="F26" i="55"/>
  <c r="F27" i="55"/>
  <c r="F28" i="55"/>
  <c r="F30" i="55"/>
  <c r="F31" i="55"/>
  <c r="F33" i="55"/>
  <c r="F19" i="65"/>
  <c r="E20" i="65"/>
  <c r="F20" i="65"/>
  <c r="E21" i="65"/>
  <c r="F21" i="65"/>
  <c r="E22" i="65"/>
  <c r="F22" i="65"/>
  <c r="F8" i="65"/>
  <c r="E8" i="65"/>
  <c r="A3" i="65"/>
  <c r="E8" i="55"/>
  <c r="F8" i="55"/>
  <c r="E9" i="55"/>
  <c r="F9" i="55"/>
  <c r="E10" i="55"/>
  <c r="F10" i="55"/>
  <c r="E11" i="55"/>
  <c r="F11" i="55"/>
  <c r="E12" i="55"/>
  <c r="F12" i="55"/>
  <c r="E13" i="55"/>
  <c r="F13" i="55"/>
  <c r="E14" i="55"/>
  <c r="F14" i="55"/>
  <c r="E15" i="55"/>
  <c r="F15" i="55"/>
  <c r="E16" i="55"/>
  <c r="F16" i="55"/>
  <c r="E17" i="55"/>
  <c r="F17" i="55"/>
  <c r="E18" i="55"/>
  <c r="F18" i="55"/>
  <c r="F19" i="55"/>
  <c r="F20" i="55"/>
  <c r="F7" i="55"/>
  <c r="E7" i="55"/>
  <c r="A3" i="55"/>
  <c r="B52" i="38"/>
  <c r="K15" i="22" l="1"/>
  <c r="K16" i="22"/>
  <c r="K17" i="22"/>
  <c r="K14" i="22"/>
  <c r="F15" i="22"/>
  <c r="G15" i="22"/>
  <c r="F16" i="22"/>
  <c r="G16" i="22"/>
  <c r="F17" i="22"/>
  <c r="G17" i="22"/>
  <c r="G14" i="22"/>
  <c r="F14" i="22"/>
  <c r="K11" i="22"/>
  <c r="K8" i="22"/>
  <c r="C33" i="37" l="1"/>
  <c r="C35" i="37"/>
  <c r="C37" i="37"/>
  <c r="C39" i="37"/>
  <c r="C41" i="37"/>
  <c r="C43" i="37"/>
  <c r="C45" i="37"/>
  <c r="C47" i="37"/>
  <c r="C49" i="37"/>
  <c r="C31" i="37"/>
  <c r="C9" i="37"/>
  <c r="C11" i="37"/>
  <c r="C13" i="37"/>
  <c r="C15" i="37"/>
  <c r="C17" i="37"/>
  <c r="C19" i="37"/>
  <c r="C21" i="37"/>
  <c r="C23" i="37"/>
  <c r="C25" i="37"/>
  <c r="C7" i="37"/>
  <c r="E80" i="34" l="1"/>
  <c r="F45" i="65" l="1"/>
  <c r="F46" i="65"/>
  <c r="F47" i="65"/>
  <c r="F48" i="65"/>
  <c r="F49" i="65"/>
  <c r="F50" i="65"/>
  <c r="F31" i="65"/>
  <c r="F32" i="65"/>
  <c r="F33" i="65"/>
  <c r="F34" i="65"/>
  <c r="F35" i="65"/>
  <c r="E46" i="65"/>
  <c r="E47" i="65"/>
  <c r="E48" i="65"/>
  <c r="E49" i="65"/>
  <c r="E50" i="65"/>
  <c r="E32" i="65"/>
  <c r="E33" i="65"/>
  <c r="E34" i="65"/>
  <c r="E35" i="65"/>
  <c r="F24" i="55"/>
  <c r="F25" i="55"/>
  <c r="F29" i="55"/>
  <c r="F32" i="55"/>
  <c r="F34" i="55"/>
  <c r="E35" i="55" l="1"/>
  <c r="K19" i="22"/>
  <c r="K20" i="22"/>
  <c r="C29" i="37" l="1"/>
  <c r="G47" i="65" l="1"/>
  <c r="G24" i="55"/>
  <c r="G13" i="55"/>
  <c r="G46" i="65" l="1"/>
  <c r="G27" i="55"/>
  <c r="G30" i="55"/>
  <c r="G31" i="55"/>
  <c r="G32" i="65"/>
  <c r="G7" i="55"/>
  <c r="G33" i="65"/>
  <c r="G8" i="65"/>
  <c r="G42" i="65"/>
  <c r="G8" i="55"/>
  <c r="G9" i="55"/>
  <c r="G21" i="55"/>
  <c r="G33" i="55"/>
  <c r="G34" i="65"/>
  <c r="G41" i="65"/>
  <c r="G22" i="55"/>
  <c r="G12" i="55"/>
  <c r="G23" i="55"/>
  <c r="G43" i="65"/>
  <c r="G10" i="55"/>
  <c r="G44" i="65"/>
  <c r="G17" i="65"/>
  <c r="G14" i="55"/>
  <c r="G26" i="55"/>
  <c r="G18" i="65"/>
  <c r="G28" i="65"/>
  <c r="G16" i="55"/>
  <c r="G28" i="55"/>
  <c r="G20" i="65"/>
  <c r="G29" i="65"/>
  <c r="G48" i="65"/>
  <c r="G17" i="55"/>
  <c r="G10" i="65"/>
  <c r="G21" i="65"/>
  <c r="G30" i="65"/>
  <c r="G49" i="65"/>
  <c r="E14" i="32"/>
  <c r="D14" i="32"/>
  <c r="E12" i="32"/>
  <c r="D12" i="32"/>
  <c r="E10" i="32"/>
  <c r="D10" i="32"/>
  <c r="E8" i="32"/>
  <c r="D8" i="32"/>
  <c r="B10" i="27"/>
  <c r="B56" i="38"/>
  <c r="B55" i="38"/>
  <c r="C46" i="38"/>
  <c r="C45" i="38"/>
  <c r="C44" i="38"/>
  <c r="C43" i="38"/>
  <c r="C42" i="38"/>
  <c r="C28" i="38"/>
  <c r="C27" i="38"/>
  <c r="C26" i="38"/>
  <c r="C25" i="38"/>
  <c r="C24" i="38"/>
  <c r="C23" i="38"/>
  <c r="B24" i="38"/>
  <c r="B15" i="38"/>
  <c r="B9" i="38"/>
  <c r="A60" i="1"/>
  <c r="B59" i="1"/>
  <c r="A59" i="1"/>
  <c r="A58" i="1"/>
  <c r="B57" i="1"/>
  <c r="A57" i="1"/>
  <c r="A56" i="1"/>
  <c r="A55" i="1"/>
  <c r="A54" i="1"/>
  <c r="A53" i="1"/>
  <c r="A52" i="1"/>
  <c r="A51" i="1"/>
  <c r="A50" i="1"/>
  <c r="A49" i="1"/>
  <c r="A48" i="1"/>
  <c r="A47" i="1"/>
  <c r="A46" i="1"/>
  <c r="I29" i="1"/>
  <c r="H29" i="1"/>
  <c r="G29" i="1"/>
  <c r="F29" i="1"/>
  <c r="E29" i="1"/>
  <c r="D29" i="1"/>
  <c r="G25" i="1"/>
  <c r="A23" i="1"/>
  <c r="F14" i="1"/>
  <c r="E14" i="1"/>
  <c r="D14" i="1"/>
  <c r="G10" i="1"/>
  <c r="G9" i="1"/>
  <c r="G8" i="1"/>
  <c r="G7" i="1"/>
  <c r="B27" i="38" l="1"/>
  <c r="B13" i="38"/>
  <c r="B18" i="38"/>
  <c r="B19" i="38"/>
  <c r="B10" i="38"/>
  <c r="B21" i="38"/>
  <c r="B11" i="38"/>
  <c r="B26" i="38"/>
  <c r="B25" i="38"/>
  <c r="B43" i="38"/>
  <c r="B20" i="38"/>
  <c r="B28" i="38"/>
  <c r="B44" i="38"/>
  <c r="B45" i="38"/>
  <c r="B14" i="38"/>
  <c r="B22" i="38"/>
  <c r="B30" i="38"/>
  <c r="B46" i="38"/>
  <c r="B23" i="38"/>
  <c r="B40" i="38" l="1"/>
  <c r="B32" i="38"/>
  <c r="B39" i="38"/>
  <c r="B31" i="38"/>
  <c r="B38" i="38"/>
  <c r="B34" i="38"/>
  <c r="B37" i="38"/>
  <c r="B35" i="38"/>
  <c r="B36" i="38"/>
  <c r="B41" i="38"/>
  <c r="B33" i="38"/>
  <c r="B6" i="26" l="1"/>
  <c r="A8" i="22" l="1"/>
  <c r="E23" i="65" l="1"/>
  <c r="G23" i="65" s="1"/>
  <c r="E12" i="65"/>
  <c r="G12" i="65" s="1"/>
  <c r="E36" i="65"/>
  <c r="G36" i="65" s="1"/>
  <c r="E51" i="65"/>
  <c r="G51" i="65" s="1"/>
  <c r="C57" i="37" l="1"/>
  <c r="I83" i="74" s="1"/>
  <c r="H83" i="74" s="1"/>
  <c r="L24" i="22"/>
  <c r="J5" i="22"/>
  <c r="L22" i="22"/>
  <c r="L21" i="22"/>
  <c r="L20" i="22"/>
  <c r="L19" i="22"/>
  <c r="L17" i="22"/>
  <c r="H17" i="22"/>
  <c r="L16" i="22"/>
  <c r="H16" i="22"/>
  <c r="L15" i="22"/>
  <c r="H15" i="22"/>
  <c r="I15" i="22" s="1"/>
  <c r="L14" i="22"/>
  <c r="H14" i="22"/>
  <c r="I14" i="22" s="1"/>
  <c r="L11" i="22"/>
  <c r="L8" i="22"/>
  <c r="G4" i="22"/>
  <c r="F4" i="22"/>
  <c r="E4" i="22"/>
  <c r="D4" i="22"/>
  <c r="C4" i="22"/>
  <c r="D48" i="38"/>
  <c r="E46" i="38"/>
  <c r="D63" i="52" s="1"/>
  <c r="E41" i="38"/>
  <c r="D17" i="38"/>
  <c r="D18" i="38" s="1"/>
  <c r="D19" i="38" s="1"/>
  <c r="D20" i="38" s="1"/>
  <c r="D21" i="38" s="1"/>
  <c r="D22" i="38" s="1"/>
  <c r="D23" i="38" s="1"/>
  <c r="D24" i="38" s="1"/>
  <c r="D25" i="38" s="1"/>
  <c r="D26" i="38" s="1"/>
  <c r="D27" i="38" s="1"/>
  <c r="D28" i="38" s="1"/>
  <c r="D29" i="38" s="1"/>
  <c r="D30" i="38" s="1"/>
  <c r="D31" i="38" s="1"/>
  <c r="D32" i="38" s="1"/>
  <c r="D33" i="38" s="1"/>
  <c r="D34" i="38" s="1"/>
  <c r="D35" i="38" s="1"/>
  <c r="D36" i="38" s="1"/>
  <c r="D37" i="38" s="1"/>
  <c r="D38" i="38" s="1"/>
  <c r="D39" i="38" s="1"/>
  <c r="D40" i="38" s="1"/>
  <c r="D41" i="38" s="1"/>
  <c r="E38" i="38"/>
  <c r="E35" i="38"/>
  <c r="E32" i="38"/>
  <c r="E31" i="38"/>
  <c r="E30" i="38"/>
  <c r="D33" i="44" s="1"/>
  <c r="E29" i="38"/>
  <c r="E22" i="38"/>
  <c r="E21" i="38"/>
  <c r="E18" i="38"/>
  <c r="E17" i="38"/>
  <c r="E16" i="38"/>
  <c r="D32" i="50" s="1"/>
  <c r="E22" i="40"/>
  <c r="E39" i="64"/>
  <c r="I39" i="64" s="1"/>
  <c r="K19" i="33"/>
  <c r="I19" i="33"/>
  <c r="M23" i="64"/>
  <c r="G69" i="54"/>
  <c r="E78" i="64"/>
  <c r="E77" i="64"/>
  <c r="E75" i="64"/>
  <c r="X75" i="64" s="1"/>
  <c r="E73" i="64"/>
  <c r="E76" i="58"/>
  <c r="X76" i="58" s="1"/>
  <c r="E59" i="64"/>
  <c r="H59" i="64" s="1"/>
  <c r="O15" i="71"/>
  <c r="N77" i="71" s="1"/>
  <c r="M77" i="71" s="1"/>
  <c r="O12" i="71"/>
  <c r="I41" i="71" s="1"/>
  <c r="G15" i="71"/>
  <c r="G12" i="71"/>
  <c r="N39" i="71" s="1"/>
  <c r="M39" i="71" s="1"/>
  <c r="O16" i="70"/>
  <c r="O15" i="70"/>
  <c r="N77" i="70" s="1"/>
  <c r="M77" i="70" s="1"/>
  <c r="O12" i="70"/>
  <c r="I41" i="70" s="1"/>
  <c r="G16" i="70"/>
  <c r="G15" i="70"/>
  <c r="C75" i="70" s="1"/>
  <c r="B75" i="70" s="1"/>
  <c r="A75" i="70" s="1"/>
  <c r="G12" i="70"/>
  <c r="N39" i="70" s="1"/>
  <c r="M39" i="70" s="1"/>
  <c r="O16" i="69"/>
  <c r="O15" i="69"/>
  <c r="N77" i="69" s="1"/>
  <c r="M77" i="69" s="1"/>
  <c r="O14" i="69"/>
  <c r="N67" i="69" s="1"/>
  <c r="M67" i="69" s="1"/>
  <c r="O12" i="69"/>
  <c r="I41" i="69" s="1"/>
  <c r="G16" i="69"/>
  <c r="G15" i="69"/>
  <c r="N75" i="69" s="1"/>
  <c r="M75" i="69" s="1"/>
  <c r="G14" i="69"/>
  <c r="G12" i="69"/>
  <c r="I39" i="69" s="1"/>
  <c r="O16" i="67"/>
  <c r="O15" i="67"/>
  <c r="N77" i="67" s="1"/>
  <c r="M77" i="67" s="1"/>
  <c r="O14" i="67"/>
  <c r="I67" i="67" s="1"/>
  <c r="O13" i="67"/>
  <c r="I56" i="67" s="1"/>
  <c r="O12" i="67"/>
  <c r="N41" i="67" s="1"/>
  <c r="M41" i="67" s="1"/>
  <c r="G16" i="67"/>
  <c r="G15" i="67"/>
  <c r="N75" i="67" s="1"/>
  <c r="M75" i="67" s="1"/>
  <c r="G14" i="67"/>
  <c r="C65" i="67" s="1"/>
  <c r="G13" i="67"/>
  <c r="I54" i="67" s="1"/>
  <c r="G12" i="67"/>
  <c r="I39" i="67" s="1"/>
  <c r="G30" i="62"/>
  <c r="G35" i="48"/>
  <c r="G32" i="46"/>
  <c r="G38" i="44"/>
  <c r="G23" i="46"/>
  <c r="G16" i="54"/>
  <c r="E35" i="46"/>
  <c r="C54" i="73"/>
  <c r="E59" i="58"/>
  <c r="H59" i="58" s="1"/>
  <c r="C11" i="74" s="1"/>
  <c r="C25" i="74" s="1"/>
  <c r="B25" i="74" s="1"/>
  <c r="C7" i="23"/>
  <c r="D7" i="23"/>
  <c r="D8" i="23"/>
  <c r="E73" i="58"/>
  <c r="P73" i="58" s="1"/>
  <c r="E39" i="58"/>
  <c r="G39" i="58" s="1"/>
  <c r="C25" i="71"/>
  <c r="B25" i="71" s="1"/>
  <c r="A25" i="71" s="1"/>
  <c r="C53" i="69"/>
  <c r="K76" i="46"/>
  <c r="E74" i="58"/>
  <c r="P74" i="58" s="1"/>
  <c r="V74" i="58" s="1"/>
  <c r="E75" i="58"/>
  <c r="X75" i="58" s="1"/>
  <c r="G7" i="23"/>
  <c r="G8" i="23"/>
  <c r="E9" i="23"/>
  <c r="E7" i="23"/>
  <c r="E8" i="23"/>
  <c r="G9" i="23"/>
  <c r="F7" i="23"/>
  <c r="F8" i="23"/>
  <c r="F9" i="23"/>
  <c r="E77" i="58"/>
  <c r="E78" i="58"/>
  <c r="M78" i="58" s="1"/>
  <c r="E79" i="58"/>
  <c r="Q79" i="58" s="1"/>
  <c r="W79" i="58" s="1"/>
  <c r="E81" i="58"/>
  <c r="X81" i="58" s="1"/>
  <c r="C12" i="23"/>
  <c r="G12" i="23"/>
  <c r="D12" i="23"/>
  <c r="D17" i="23" s="1"/>
  <c r="D13" i="23"/>
  <c r="G13" i="23"/>
  <c r="G18" i="23" s="1"/>
  <c r="E12" i="23"/>
  <c r="E17" i="23" s="1"/>
  <c r="E13" i="23"/>
  <c r="E18" i="23" s="1"/>
  <c r="E14" i="23"/>
  <c r="G14" i="23"/>
  <c r="G19" i="23" s="1"/>
  <c r="F12" i="23"/>
  <c r="F17" i="23" s="1"/>
  <c r="F13" i="23"/>
  <c r="F18" i="23" s="1"/>
  <c r="F14" i="23"/>
  <c r="F19" i="23" s="1"/>
  <c r="H69" i="46"/>
  <c r="C69" i="46"/>
  <c r="H48" i="46"/>
  <c r="I26" i="75"/>
  <c r="H26" i="75" s="1"/>
  <c r="G26" i="75" s="1"/>
  <c r="I38" i="75"/>
  <c r="I39" i="75"/>
  <c r="I54" i="75"/>
  <c r="E47" i="46"/>
  <c r="H47" i="46"/>
  <c r="E32" i="50"/>
  <c r="H46" i="46"/>
  <c r="H45" i="46"/>
  <c r="H42" i="46"/>
  <c r="N26" i="75"/>
  <c r="M26" i="75" s="1"/>
  <c r="N38" i="75"/>
  <c r="M38" i="75" s="1"/>
  <c r="N39" i="75"/>
  <c r="M39" i="75" s="1"/>
  <c r="E41" i="54"/>
  <c r="H41" i="46"/>
  <c r="E40" i="54"/>
  <c r="H40" i="46"/>
  <c r="E39" i="46"/>
  <c r="H39" i="46"/>
  <c r="H38" i="46"/>
  <c r="H35" i="46"/>
  <c r="H34" i="46"/>
  <c r="E33" i="46"/>
  <c r="E33" i="44"/>
  <c r="H33" i="46"/>
  <c r="E32" i="46"/>
  <c r="H32" i="46"/>
  <c r="H31" i="46"/>
  <c r="G28" i="46"/>
  <c r="H28" i="46"/>
  <c r="S82" i="64"/>
  <c r="C28" i="46" s="1"/>
  <c r="C28" i="54" s="1"/>
  <c r="G27" i="46"/>
  <c r="H27" i="46"/>
  <c r="R82" i="64"/>
  <c r="H26" i="46"/>
  <c r="H23" i="46"/>
  <c r="D38" i="32"/>
  <c r="D40" i="32" s="1"/>
  <c r="E74" i="64"/>
  <c r="Q74" i="64" s="1"/>
  <c r="W74" i="64" s="1"/>
  <c r="E79" i="64"/>
  <c r="G22" i="46"/>
  <c r="H22" i="46"/>
  <c r="H21" i="46"/>
  <c r="H18" i="46"/>
  <c r="G17" i="46"/>
  <c r="H17" i="46"/>
  <c r="H16" i="46"/>
  <c r="H13" i="46"/>
  <c r="G12" i="46"/>
  <c r="H12" i="46"/>
  <c r="H11" i="46"/>
  <c r="K4" i="46"/>
  <c r="J4" i="46"/>
  <c r="I4" i="46"/>
  <c r="H4" i="46"/>
  <c r="G4" i="46"/>
  <c r="F4" i="46"/>
  <c r="E4" i="46"/>
  <c r="D4" i="46"/>
  <c r="C4" i="46"/>
  <c r="A1" i="75"/>
  <c r="C65" i="75"/>
  <c r="N76" i="75"/>
  <c r="M76" i="75" s="1"/>
  <c r="C74" i="75"/>
  <c r="B74" i="75" s="1"/>
  <c r="A74" i="75" s="1"/>
  <c r="C75" i="75"/>
  <c r="B75" i="75" s="1"/>
  <c r="A75" i="75" s="1"/>
  <c r="I74" i="75"/>
  <c r="H74" i="75" s="1"/>
  <c r="G74" i="75" s="1"/>
  <c r="I75" i="75"/>
  <c r="H75" i="75" s="1"/>
  <c r="G75" i="75" s="1"/>
  <c r="I76" i="75"/>
  <c r="H76" i="75" s="1"/>
  <c r="G76" i="75" s="1"/>
  <c r="I77" i="75"/>
  <c r="H77" i="75" s="1"/>
  <c r="G77" i="75" s="1"/>
  <c r="N67" i="75"/>
  <c r="M67" i="75" s="1"/>
  <c r="I65" i="75"/>
  <c r="I67" i="75"/>
  <c r="N56" i="75"/>
  <c r="M56" i="75" s="1"/>
  <c r="K76" i="44"/>
  <c r="E62" i="58"/>
  <c r="X62" i="58" s="1"/>
  <c r="E63" i="58"/>
  <c r="E66" i="58"/>
  <c r="X66" i="58" s="1"/>
  <c r="H69" i="44"/>
  <c r="C69" i="44"/>
  <c r="H48" i="44"/>
  <c r="I26" i="74"/>
  <c r="H26" i="74" s="1"/>
  <c r="G26" i="74" s="1"/>
  <c r="I28" i="74"/>
  <c r="H28" i="74" s="1"/>
  <c r="G28" i="74" s="1"/>
  <c r="I38" i="74"/>
  <c r="I39" i="74"/>
  <c r="I40" i="74"/>
  <c r="I41" i="74"/>
  <c r="I54" i="74"/>
  <c r="I56" i="74"/>
  <c r="H47" i="44"/>
  <c r="E46" i="44"/>
  <c r="H46" i="44"/>
  <c r="H45" i="44"/>
  <c r="H42" i="44"/>
  <c r="N26" i="74"/>
  <c r="M26" i="74" s="1"/>
  <c r="N28" i="74"/>
  <c r="M28" i="74" s="1"/>
  <c r="N38" i="74"/>
  <c r="M38" i="74" s="1"/>
  <c r="N39" i="74"/>
  <c r="M39" i="74" s="1"/>
  <c r="N40" i="74"/>
  <c r="M40" i="74" s="1"/>
  <c r="N41" i="74"/>
  <c r="M41" i="74" s="1"/>
  <c r="H41" i="44"/>
  <c r="H40" i="44"/>
  <c r="E39" i="44"/>
  <c r="H39" i="44"/>
  <c r="H38" i="44"/>
  <c r="H35" i="44"/>
  <c r="H34" i="44"/>
  <c r="H33" i="44"/>
  <c r="E32" i="44"/>
  <c r="G32" i="44"/>
  <c r="H32" i="44"/>
  <c r="H31" i="44"/>
  <c r="G28" i="44"/>
  <c r="H28" i="44"/>
  <c r="S67" i="64"/>
  <c r="C28" i="44" s="1"/>
  <c r="C28" i="52" s="1"/>
  <c r="G27" i="44"/>
  <c r="H27" i="44"/>
  <c r="R67" i="64"/>
  <c r="C26" i="44" s="1"/>
  <c r="C26" i="52" s="1"/>
  <c r="H26" i="44"/>
  <c r="H23" i="44"/>
  <c r="E63" i="64"/>
  <c r="P63" i="64" s="1"/>
  <c r="G22" i="44"/>
  <c r="H22" i="44"/>
  <c r="H21" i="44"/>
  <c r="E18" i="44"/>
  <c r="G18" i="44"/>
  <c r="H18" i="44"/>
  <c r="G17" i="44"/>
  <c r="H17" i="44"/>
  <c r="H16" i="44"/>
  <c r="G13" i="44"/>
  <c r="H13" i="44"/>
  <c r="G12" i="44"/>
  <c r="H12" i="44"/>
  <c r="H11" i="44"/>
  <c r="K4" i="44"/>
  <c r="J4" i="44"/>
  <c r="I4" i="44"/>
  <c r="H4" i="44"/>
  <c r="G4" i="44"/>
  <c r="F4" i="44"/>
  <c r="E4" i="44"/>
  <c r="D4" i="44"/>
  <c r="C4" i="44"/>
  <c r="A1" i="74"/>
  <c r="C65" i="74"/>
  <c r="N74" i="74"/>
  <c r="M74" i="74" s="1"/>
  <c r="N76" i="74"/>
  <c r="M76" i="74" s="1"/>
  <c r="N77" i="74"/>
  <c r="M77" i="74" s="1"/>
  <c r="C74" i="74"/>
  <c r="B74" i="74" s="1"/>
  <c r="A74" i="74" s="1"/>
  <c r="C75" i="74"/>
  <c r="B75" i="74" s="1"/>
  <c r="A75" i="74" s="1"/>
  <c r="I74" i="74"/>
  <c r="H74" i="74" s="1"/>
  <c r="G74" i="74" s="1"/>
  <c r="I75" i="74"/>
  <c r="H75" i="74" s="1"/>
  <c r="G75" i="74" s="1"/>
  <c r="I76" i="74"/>
  <c r="H76" i="74" s="1"/>
  <c r="G76" i="74" s="1"/>
  <c r="I77" i="74"/>
  <c r="H77" i="74" s="1"/>
  <c r="G77" i="74" s="1"/>
  <c r="N67" i="74"/>
  <c r="M67" i="74" s="1"/>
  <c r="I65" i="74"/>
  <c r="I67" i="74"/>
  <c r="N54" i="74"/>
  <c r="M54" i="74" s="1"/>
  <c r="N56" i="74"/>
  <c r="M56" i="74" s="1"/>
  <c r="K76" i="42"/>
  <c r="H69" i="42"/>
  <c r="C69" i="42"/>
  <c r="H48" i="42"/>
  <c r="I26" i="73"/>
  <c r="H26" i="73" s="1"/>
  <c r="G26" i="73" s="1"/>
  <c r="I28" i="73"/>
  <c r="H28" i="73" s="1"/>
  <c r="G28" i="73" s="1"/>
  <c r="I38" i="73"/>
  <c r="I39" i="73"/>
  <c r="I40" i="73"/>
  <c r="I41" i="73"/>
  <c r="I54" i="73"/>
  <c r="I56" i="73"/>
  <c r="H47" i="42"/>
  <c r="H46" i="42"/>
  <c r="H45" i="42"/>
  <c r="H42" i="42"/>
  <c r="N26" i="73"/>
  <c r="M26" i="73" s="1"/>
  <c r="N28" i="73"/>
  <c r="M28" i="73" s="1"/>
  <c r="N38" i="73"/>
  <c r="M38" i="73" s="1"/>
  <c r="N39" i="73"/>
  <c r="M39" i="73" s="1"/>
  <c r="N40" i="73"/>
  <c r="M40" i="73" s="1"/>
  <c r="N41" i="73"/>
  <c r="M41" i="73" s="1"/>
  <c r="H41" i="42"/>
  <c r="H40" i="42"/>
  <c r="H39" i="42"/>
  <c r="H38" i="42"/>
  <c r="H35" i="42"/>
  <c r="H34" i="42"/>
  <c r="H33" i="42"/>
  <c r="H32" i="42"/>
  <c r="H31" i="42"/>
  <c r="E28" i="42"/>
  <c r="G28" i="42"/>
  <c r="H28" i="42"/>
  <c r="S54" i="64"/>
  <c r="C28" i="42" s="1"/>
  <c r="C28" i="50" s="1"/>
  <c r="G27" i="42"/>
  <c r="H27" i="42"/>
  <c r="R54" i="64"/>
  <c r="C26" i="42" s="1"/>
  <c r="C26" i="50" s="1"/>
  <c r="H26" i="42"/>
  <c r="G23" i="42"/>
  <c r="H23" i="42"/>
  <c r="O54" i="64"/>
  <c r="C23" i="42" s="1"/>
  <c r="C23" i="50" s="1"/>
  <c r="G22" i="42"/>
  <c r="H22" i="42"/>
  <c r="N54" i="64"/>
  <c r="C22" i="42" s="1"/>
  <c r="C22" i="50" s="1"/>
  <c r="H21" i="42"/>
  <c r="G18" i="42"/>
  <c r="H18" i="42"/>
  <c r="G17" i="42"/>
  <c r="H17" i="42"/>
  <c r="H16" i="42"/>
  <c r="G13" i="42"/>
  <c r="H13" i="42"/>
  <c r="G12" i="42"/>
  <c r="H12" i="42"/>
  <c r="H11" i="42"/>
  <c r="K4" i="42"/>
  <c r="J4" i="42"/>
  <c r="I4" i="42"/>
  <c r="H4" i="42"/>
  <c r="G4" i="42"/>
  <c r="F4" i="42"/>
  <c r="E4" i="42"/>
  <c r="D4" i="42"/>
  <c r="C4" i="42"/>
  <c r="A1" i="73"/>
  <c r="C64" i="73"/>
  <c r="C65" i="73"/>
  <c r="N74" i="73"/>
  <c r="M74" i="73" s="1"/>
  <c r="N75" i="73"/>
  <c r="M75" i="73" s="1"/>
  <c r="N76" i="73"/>
  <c r="M76" i="73" s="1"/>
  <c r="N77" i="73"/>
  <c r="M77" i="73" s="1"/>
  <c r="C74" i="73"/>
  <c r="B74" i="73" s="1"/>
  <c r="A74" i="73" s="1"/>
  <c r="C75" i="73"/>
  <c r="B75" i="73" s="1"/>
  <c r="A75" i="73" s="1"/>
  <c r="I74" i="73"/>
  <c r="H74" i="73" s="1"/>
  <c r="G74" i="73" s="1"/>
  <c r="I75" i="73"/>
  <c r="H75" i="73" s="1"/>
  <c r="G75" i="73" s="1"/>
  <c r="I76" i="73"/>
  <c r="H76" i="73" s="1"/>
  <c r="G76" i="73" s="1"/>
  <c r="I77" i="73"/>
  <c r="H77" i="73" s="1"/>
  <c r="G77" i="73" s="1"/>
  <c r="N64" i="73"/>
  <c r="M64" i="73" s="1"/>
  <c r="N65" i="73"/>
  <c r="M65" i="73" s="1"/>
  <c r="N66" i="73"/>
  <c r="M66" i="73" s="1"/>
  <c r="N67" i="73"/>
  <c r="M67" i="73" s="1"/>
  <c r="I64" i="73"/>
  <c r="I65" i="73"/>
  <c r="I66" i="73"/>
  <c r="I67" i="73"/>
  <c r="N54" i="73"/>
  <c r="M54" i="73" s="1"/>
  <c r="N56" i="73"/>
  <c r="M56" i="73" s="1"/>
  <c r="K76" i="40"/>
  <c r="H69" i="40"/>
  <c r="C69" i="40"/>
  <c r="H48" i="40"/>
  <c r="I26" i="72"/>
  <c r="H26" i="72" s="1"/>
  <c r="G26" i="72" s="1"/>
  <c r="I28" i="72"/>
  <c r="H28" i="72" s="1"/>
  <c r="G28" i="72" s="1"/>
  <c r="I38" i="72"/>
  <c r="I39" i="72"/>
  <c r="I40" i="72"/>
  <c r="I41" i="72"/>
  <c r="I53" i="72"/>
  <c r="I54" i="72"/>
  <c r="I55" i="72"/>
  <c r="I56" i="72"/>
  <c r="H47" i="40"/>
  <c r="E46" i="40"/>
  <c r="H46" i="40"/>
  <c r="H45" i="40"/>
  <c r="H42" i="40"/>
  <c r="N26" i="72"/>
  <c r="M26" i="72" s="1"/>
  <c r="N28" i="72"/>
  <c r="M28" i="72" s="1"/>
  <c r="N38" i="72"/>
  <c r="M38" i="72" s="1"/>
  <c r="N39" i="72"/>
  <c r="M39" i="72" s="1"/>
  <c r="N40" i="72"/>
  <c r="M40" i="72" s="1"/>
  <c r="N41" i="72"/>
  <c r="M41" i="72" s="1"/>
  <c r="H41" i="40"/>
  <c r="H40" i="40"/>
  <c r="E39" i="40"/>
  <c r="H39" i="40"/>
  <c r="H38" i="40"/>
  <c r="H35" i="40"/>
  <c r="H34" i="40"/>
  <c r="H33" i="40"/>
  <c r="E32" i="40"/>
  <c r="H32" i="40"/>
  <c r="H31" i="40"/>
  <c r="G28" i="40"/>
  <c r="H28" i="40"/>
  <c r="G27" i="40"/>
  <c r="H27" i="40"/>
  <c r="H26" i="40"/>
  <c r="H23" i="40"/>
  <c r="G22" i="40"/>
  <c r="H22" i="40"/>
  <c r="H21" i="40"/>
  <c r="E18" i="40"/>
  <c r="H18" i="40"/>
  <c r="G17" i="40"/>
  <c r="H17" i="40"/>
  <c r="H16" i="40"/>
  <c r="H13" i="40"/>
  <c r="G12" i="40"/>
  <c r="H12" i="40"/>
  <c r="H11" i="40"/>
  <c r="A1" i="72"/>
  <c r="K4" i="40"/>
  <c r="J4" i="40"/>
  <c r="I4" i="40"/>
  <c r="H4" i="40"/>
  <c r="G4" i="40"/>
  <c r="F4" i="40"/>
  <c r="E4" i="40"/>
  <c r="D4" i="40"/>
  <c r="C4" i="40"/>
  <c r="C64" i="72"/>
  <c r="C65" i="72"/>
  <c r="N74" i="72"/>
  <c r="M74" i="72" s="1"/>
  <c r="N75" i="72"/>
  <c r="M75" i="72" s="1"/>
  <c r="N76" i="72"/>
  <c r="M76" i="72" s="1"/>
  <c r="N77" i="72"/>
  <c r="M77" i="72" s="1"/>
  <c r="C74" i="72"/>
  <c r="B74" i="72" s="1"/>
  <c r="A74" i="72" s="1"/>
  <c r="C75" i="72"/>
  <c r="B75" i="72" s="1"/>
  <c r="A75" i="72" s="1"/>
  <c r="I74" i="72"/>
  <c r="H74" i="72" s="1"/>
  <c r="G74" i="72" s="1"/>
  <c r="I75" i="72"/>
  <c r="H75" i="72" s="1"/>
  <c r="G75" i="72" s="1"/>
  <c r="I76" i="72"/>
  <c r="H76" i="72" s="1"/>
  <c r="G76" i="72" s="1"/>
  <c r="I77" i="72"/>
  <c r="H77" i="72" s="1"/>
  <c r="G77" i="72" s="1"/>
  <c r="N64" i="72"/>
  <c r="M64" i="72" s="1"/>
  <c r="N65" i="72"/>
  <c r="M65" i="72" s="1"/>
  <c r="N66" i="72"/>
  <c r="M66" i="72" s="1"/>
  <c r="N67" i="72"/>
  <c r="M67" i="72" s="1"/>
  <c r="I64" i="72"/>
  <c r="I65" i="72"/>
  <c r="I66" i="72"/>
  <c r="I67" i="72"/>
  <c r="N53" i="72"/>
  <c r="M53" i="72" s="1"/>
  <c r="N54" i="72"/>
  <c r="M54" i="72" s="1"/>
  <c r="N55" i="72"/>
  <c r="M55" i="72" s="1"/>
  <c r="N56" i="72"/>
  <c r="M56" i="72" s="1"/>
  <c r="K76" i="54"/>
  <c r="H69" i="54"/>
  <c r="C69" i="54"/>
  <c r="H48" i="54"/>
  <c r="I25" i="71"/>
  <c r="H25" i="71" s="1"/>
  <c r="G25" i="71" s="1"/>
  <c r="I27" i="71"/>
  <c r="H27" i="71" s="1"/>
  <c r="G27" i="71" s="1"/>
  <c r="I38" i="71"/>
  <c r="I40" i="71"/>
  <c r="I53" i="71"/>
  <c r="I55" i="71"/>
  <c r="H47" i="54"/>
  <c r="E46" i="54"/>
  <c r="G46" i="54"/>
  <c r="H46" i="54"/>
  <c r="H45" i="54"/>
  <c r="H42" i="54"/>
  <c r="N25" i="71"/>
  <c r="M25" i="71" s="1"/>
  <c r="N27" i="71"/>
  <c r="M27" i="71" s="1"/>
  <c r="N38" i="71"/>
  <c r="M38" i="71" s="1"/>
  <c r="N40" i="71"/>
  <c r="M40" i="71" s="1"/>
  <c r="H41" i="54"/>
  <c r="H40" i="54"/>
  <c r="E39" i="54"/>
  <c r="H39" i="54"/>
  <c r="H38" i="54"/>
  <c r="H35" i="54"/>
  <c r="H34" i="54"/>
  <c r="H33" i="54"/>
  <c r="E32" i="54"/>
  <c r="G32" i="54"/>
  <c r="H32" i="54"/>
  <c r="H31" i="54"/>
  <c r="G28" i="54"/>
  <c r="H28" i="54"/>
  <c r="G27" i="54"/>
  <c r="H27" i="54"/>
  <c r="G26" i="54"/>
  <c r="H26" i="54"/>
  <c r="E23" i="54"/>
  <c r="H23" i="54"/>
  <c r="G22" i="54"/>
  <c r="H22" i="54"/>
  <c r="H21" i="54"/>
  <c r="H18" i="54"/>
  <c r="G17" i="54"/>
  <c r="H17" i="54"/>
  <c r="H16" i="54"/>
  <c r="G13" i="54"/>
  <c r="H13" i="54"/>
  <c r="G12" i="54"/>
  <c r="H12" i="54"/>
  <c r="G11" i="54"/>
  <c r="H11" i="54"/>
  <c r="K4" i="54"/>
  <c r="J4" i="54"/>
  <c r="I4" i="54"/>
  <c r="H4" i="54"/>
  <c r="G4" i="54"/>
  <c r="F4" i="54"/>
  <c r="E4" i="54"/>
  <c r="D4" i="54"/>
  <c r="C4" i="54"/>
  <c r="A1" i="71"/>
  <c r="C64" i="71"/>
  <c r="N74" i="71"/>
  <c r="M74" i="71" s="1"/>
  <c r="N76" i="71"/>
  <c r="M76" i="71" s="1"/>
  <c r="C74" i="71"/>
  <c r="B74" i="71" s="1"/>
  <c r="A74" i="71" s="1"/>
  <c r="I74" i="71"/>
  <c r="H74" i="71" s="1"/>
  <c r="G74" i="71" s="1"/>
  <c r="I76" i="71"/>
  <c r="H76" i="71" s="1"/>
  <c r="G76" i="71" s="1"/>
  <c r="N64" i="71"/>
  <c r="M64" i="71" s="1"/>
  <c r="N66" i="71"/>
  <c r="M66" i="71" s="1"/>
  <c r="I64" i="71"/>
  <c r="I66" i="71"/>
  <c r="N53" i="71"/>
  <c r="M53" i="71" s="1"/>
  <c r="N55" i="71"/>
  <c r="M55" i="71" s="1"/>
  <c r="K76" i="52"/>
  <c r="H69" i="52"/>
  <c r="C69" i="52"/>
  <c r="I25" i="70"/>
  <c r="H25" i="70" s="1"/>
  <c r="G25" i="70" s="1"/>
  <c r="I27" i="70"/>
  <c r="H27" i="70" s="1"/>
  <c r="G27" i="70" s="1"/>
  <c r="I38" i="70"/>
  <c r="I39" i="70"/>
  <c r="I40" i="70"/>
  <c r="I53" i="70"/>
  <c r="I55" i="70"/>
  <c r="H48" i="52"/>
  <c r="H47" i="52"/>
  <c r="E46" i="52"/>
  <c r="G46" i="52"/>
  <c r="H46" i="52"/>
  <c r="H45" i="52"/>
  <c r="N25" i="70"/>
  <c r="M25" i="70" s="1"/>
  <c r="N27" i="70"/>
  <c r="M27" i="70" s="1"/>
  <c r="N38" i="70"/>
  <c r="M38" i="70" s="1"/>
  <c r="N40" i="70"/>
  <c r="M40" i="70" s="1"/>
  <c r="H42" i="52"/>
  <c r="H41" i="52"/>
  <c r="H40" i="52"/>
  <c r="E39" i="52"/>
  <c r="H39" i="52"/>
  <c r="H38" i="52"/>
  <c r="H35" i="52"/>
  <c r="H34" i="52"/>
  <c r="H33" i="52"/>
  <c r="E32" i="52"/>
  <c r="H32" i="52"/>
  <c r="H31" i="52"/>
  <c r="H28" i="52"/>
  <c r="G27" i="52"/>
  <c r="H27" i="52"/>
  <c r="H26" i="52"/>
  <c r="H23" i="52"/>
  <c r="G22" i="52"/>
  <c r="H22" i="52"/>
  <c r="H21" i="52"/>
  <c r="H18" i="52"/>
  <c r="G17" i="52"/>
  <c r="H17" i="52"/>
  <c r="H16" i="52"/>
  <c r="H13" i="52"/>
  <c r="G12" i="52"/>
  <c r="H12" i="52"/>
  <c r="H11" i="52"/>
  <c r="K4" i="52"/>
  <c r="J4" i="52"/>
  <c r="I4" i="52"/>
  <c r="H4" i="52"/>
  <c r="G4" i="52"/>
  <c r="F4" i="52"/>
  <c r="E4" i="52"/>
  <c r="D4" i="52"/>
  <c r="C4" i="52"/>
  <c r="A1" i="70"/>
  <c r="C64" i="70"/>
  <c r="N74" i="70"/>
  <c r="M74" i="70" s="1"/>
  <c r="N76" i="70"/>
  <c r="M76" i="70" s="1"/>
  <c r="C74" i="70"/>
  <c r="B74" i="70" s="1"/>
  <c r="A74" i="70" s="1"/>
  <c r="I74" i="70"/>
  <c r="H74" i="70" s="1"/>
  <c r="G74" i="70" s="1"/>
  <c r="I76" i="70"/>
  <c r="H76" i="70" s="1"/>
  <c r="G76" i="70" s="1"/>
  <c r="N64" i="70"/>
  <c r="M64" i="70" s="1"/>
  <c r="N66" i="70"/>
  <c r="M66" i="70" s="1"/>
  <c r="I64" i="70"/>
  <c r="I66" i="70"/>
  <c r="N53" i="70"/>
  <c r="M53" i="70" s="1"/>
  <c r="N55" i="70"/>
  <c r="M55" i="70" s="1"/>
  <c r="K76" i="50"/>
  <c r="H69" i="50"/>
  <c r="C69" i="50"/>
  <c r="I25" i="69"/>
  <c r="H25" i="69" s="1"/>
  <c r="G25" i="69" s="1"/>
  <c r="I27" i="69"/>
  <c r="H27" i="69" s="1"/>
  <c r="G27" i="69" s="1"/>
  <c r="I38" i="69"/>
  <c r="I40" i="69"/>
  <c r="I53" i="69"/>
  <c r="I55" i="69"/>
  <c r="H48" i="50"/>
  <c r="H47" i="50"/>
  <c r="E46" i="50"/>
  <c r="G46" i="50"/>
  <c r="H46" i="50"/>
  <c r="H45" i="50"/>
  <c r="N25" i="69"/>
  <c r="M25" i="69" s="1"/>
  <c r="N27" i="69"/>
  <c r="M27" i="69" s="1"/>
  <c r="N38" i="69"/>
  <c r="M38" i="69" s="1"/>
  <c r="N40" i="69"/>
  <c r="M40" i="69" s="1"/>
  <c r="H42" i="50"/>
  <c r="H41" i="50"/>
  <c r="H40" i="50"/>
  <c r="E39" i="50"/>
  <c r="H39" i="50"/>
  <c r="H38" i="50"/>
  <c r="H35" i="50"/>
  <c r="H34" i="50"/>
  <c r="H33" i="50"/>
  <c r="G32" i="50"/>
  <c r="H32" i="50"/>
  <c r="H31" i="50"/>
  <c r="G28" i="50"/>
  <c r="H28" i="50"/>
  <c r="G27" i="50"/>
  <c r="H27" i="50"/>
  <c r="G26" i="50"/>
  <c r="H26" i="50"/>
  <c r="G23" i="50"/>
  <c r="H23" i="50"/>
  <c r="G22" i="50"/>
  <c r="H22" i="50"/>
  <c r="E21" i="50"/>
  <c r="H21" i="50"/>
  <c r="G18" i="50"/>
  <c r="H18" i="50"/>
  <c r="G17" i="50"/>
  <c r="H17" i="50"/>
  <c r="G16" i="50"/>
  <c r="H16" i="50"/>
  <c r="H13" i="50"/>
  <c r="G12" i="50"/>
  <c r="H12" i="50"/>
  <c r="H11" i="50"/>
  <c r="K4" i="50"/>
  <c r="J4" i="50"/>
  <c r="I4" i="50"/>
  <c r="H4" i="50"/>
  <c r="G4" i="50"/>
  <c r="F4" i="50"/>
  <c r="E4" i="50"/>
  <c r="D4" i="50"/>
  <c r="C4" i="50"/>
  <c r="A1" i="69"/>
  <c r="C64" i="69"/>
  <c r="C65" i="69"/>
  <c r="N74" i="69"/>
  <c r="M74" i="69" s="1"/>
  <c r="N76" i="69"/>
  <c r="M76" i="69" s="1"/>
  <c r="C74" i="69"/>
  <c r="B74" i="69" s="1"/>
  <c r="A74" i="69" s="1"/>
  <c r="I74" i="69"/>
  <c r="H74" i="69" s="1"/>
  <c r="G74" i="69" s="1"/>
  <c r="I76" i="69"/>
  <c r="H76" i="69" s="1"/>
  <c r="G76" i="69" s="1"/>
  <c r="N64" i="69"/>
  <c r="M64" i="69" s="1"/>
  <c r="N65" i="69"/>
  <c r="M65" i="69" s="1"/>
  <c r="N66" i="69"/>
  <c r="M66" i="69" s="1"/>
  <c r="I64" i="69"/>
  <c r="I65" i="69"/>
  <c r="I66" i="69"/>
  <c r="I67" i="69"/>
  <c r="N53" i="69"/>
  <c r="M53" i="69" s="1"/>
  <c r="N55" i="69"/>
  <c r="M55" i="69" s="1"/>
  <c r="K76" i="35"/>
  <c r="H69" i="35"/>
  <c r="C69" i="35"/>
  <c r="I25" i="68"/>
  <c r="H25" i="68" s="1"/>
  <c r="G25" i="68" s="1"/>
  <c r="I27" i="68"/>
  <c r="H27" i="68" s="1"/>
  <c r="G27" i="68" s="1"/>
  <c r="I38" i="68"/>
  <c r="I39" i="68"/>
  <c r="I40" i="68"/>
  <c r="I41" i="68"/>
  <c r="I53" i="68"/>
  <c r="I55" i="68"/>
  <c r="H48" i="35"/>
  <c r="H47" i="35"/>
  <c r="E46" i="35"/>
  <c r="G46" i="35"/>
  <c r="H46" i="35"/>
  <c r="H45" i="35"/>
  <c r="N25" i="68"/>
  <c r="M25" i="68" s="1"/>
  <c r="N27" i="68"/>
  <c r="M27" i="68" s="1"/>
  <c r="N38" i="68"/>
  <c r="M38" i="68" s="1"/>
  <c r="N39" i="68"/>
  <c r="M39" i="68" s="1"/>
  <c r="N40" i="68"/>
  <c r="M40" i="68" s="1"/>
  <c r="N41" i="68"/>
  <c r="M41" i="68" s="1"/>
  <c r="H42" i="35"/>
  <c r="H41" i="35"/>
  <c r="H40" i="35"/>
  <c r="E39" i="35"/>
  <c r="H39" i="35"/>
  <c r="H38" i="35"/>
  <c r="H35" i="35"/>
  <c r="H34" i="35"/>
  <c r="H33" i="35"/>
  <c r="E32" i="35"/>
  <c r="H32" i="35"/>
  <c r="H31" i="35"/>
  <c r="H28" i="35"/>
  <c r="S34" i="64"/>
  <c r="C28" i="35" s="1"/>
  <c r="G27" i="35"/>
  <c r="H27" i="35"/>
  <c r="R34" i="64"/>
  <c r="C26" i="35" s="1"/>
  <c r="G26" i="35"/>
  <c r="H26" i="35"/>
  <c r="G23" i="35"/>
  <c r="H23" i="35"/>
  <c r="G22" i="35"/>
  <c r="H22" i="35"/>
  <c r="G21" i="35"/>
  <c r="H21" i="35"/>
  <c r="G18" i="35"/>
  <c r="H18" i="35"/>
  <c r="G17" i="35"/>
  <c r="H17" i="35"/>
  <c r="G16" i="35"/>
  <c r="H16" i="35"/>
  <c r="H13" i="35"/>
  <c r="G12" i="35"/>
  <c r="H12" i="35"/>
  <c r="H11" i="35"/>
  <c r="K4" i="35"/>
  <c r="J4" i="35"/>
  <c r="I4" i="35"/>
  <c r="H4" i="35"/>
  <c r="G4" i="35"/>
  <c r="F4" i="35"/>
  <c r="E4" i="35"/>
  <c r="D4" i="35"/>
  <c r="C4" i="35"/>
  <c r="A1" i="68"/>
  <c r="C64" i="68"/>
  <c r="N74" i="68"/>
  <c r="M74" i="68" s="1"/>
  <c r="N75" i="68"/>
  <c r="M75" i="68" s="1"/>
  <c r="N76" i="68"/>
  <c r="M76" i="68" s="1"/>
  <c r="N77" i="68"/>
  <c r="M77" i="68" s="1"/>
  <c r="C74" i="68"/>
  <c r="B74" i="68" s="1"/>
  <c r="A74" i="68" s="1"/>
  <c r="C75" i="68"/>
  <c r="B75" i="68" s="1"/>
  <c r="A75" i="68" s="1"/>
  <c r="I74" i="68"/>
  <c r="H74" i="68" s="1"/>
  <c r="G74" i="68" s="1"/>
  <c r="I75" i="68"/>
  <c r="H75" i="68" s="1"/>
  <c r="G75" i="68" s="1"/>
  <c r="I76" i="68"/>
  <c r="H76" i="68" s="1"/>
  <c r="G76" i="68" s="1"/>
  <c r="I77" i="68"/>
  <c r="H77" i="68" s="1"/>
  <c r="G77" i="68" s="1"/>
  <c r="N64" i="68"/>
  <c r="M64" i="68" s="1"/>
  <c r="N66" i="68"/>
  <c r="M66" i="68" s="1"/>
  <c r="I64" i="68"/>
  <c r="I66" i="68"/>
  <c r="N53" i="68"/>
  <c r="M53" i="68" s="1"/>
  <c r="N55" i="68"/>
  <c r="M55" i="68" s="1"/>
  <c r="H69" i="48"/>
  <c r="C69" i="48"/>
  <c r="I25" i="67"/>
  <c r="H25" i="67" s="1"/>
  <c r="G25" i="67" s="1"/>
  <c r="I27" i="67"/>
  <c r="H27" i="67" s="1"/>
  <c r="G27" i="67" s="1"/>
  <c r="I38" i="67"/>
  <c r="I40" i="67"/>
  <c r="I53" i="67"/>
  <c r="I55" i="67"/>
  <c r="H48" i="48"/>
  <c r="H47" i="48"/>
  <c r="E46" i="48"/>
  <c r="H46" i="48"/>
  <c r="H45" i="48"/>
  <c r="N25" i="67"/>
  <c r="M25" i="67" s="1"/>
  <c r="N27" i="67"/>
  <c r="M27" i="67" s="1"/>
  <c r="N38" i="67"/>
  <c r="M38" i="67" s="1"/>
  <c r="N40" i="67"/>
  <c r="M40" i="67" s="1"/>
  <c r="H42" i="48"/>
  <c r="H41" i="48"/>
  <c r="H40" i="48"/>
  <c r="E39" i="48"/>
  <c r="G39" i="48"/>
  <c r="H39" i="48"/>
  <c r="H38" i="48"/>
  <c r="H35" i="48"/>
  <c r="H34" i="48"/>
  <c r="H33" i="48"/>
  <c r="E32" i="48"/>
  <c r="G32" i="48"/>
  <c r="H32" i="48"/>
  <c r="E31" i="48"/>
  <c r="H31" i="48"/>
  <c r="H28" i="48"/>
  <c r="G27" i="48"/>
  <c r="H27" i="48"/>
  <c r="H26" i="48"/>
  <c r="H23" i="48"/>
  <c r="G22" i="48"/>
  <c r="H22" i="48"/>
  <c r="H21" i="48"/>
  <c r="E18" i="48"/>
  <c r="H18" i="48"/>
  <c r="G17" i="48"/>
  <c r="H17" i="48"/>
  <c r="H16" i="48"/>
  <c r="E13" i="48"/>
  <c r="G13" i="48"/>
  <c r="H13" i="48"/>
  <c r="G12" i="48"/>
  <c r="H12" i="48"/>
  <c r="E11" i="48"/>
  <c r="H11" i="48"/>
  <c r="K76" i="48"/>
  <c r="K4" i="48"/>
  <c r="J4" i="48"/>
  <c r="I4" i="48"/>
  <c r="H4" i="48"/>
  <c r="G4" i="48"/>
  <c r="F4" i="48"/>
  <c r="E4" i="48"/>
  <c r="D4" i="48"/>
  <c r="C4" i="48"/>
  <c r="C64" i="67"/>
  <c r="C74" i="67"/>
  <c r="B74" i="67" s="1"/>
  <c r="A74" i="67" s="1"/>
  <c r="C75" i="67"/>
  <c r="B75" i="67" s="1"/>
  <c r="A75" i="67" s="1"/>
  <c r="N53" i="67"/>
  <c r="M53" i="67" s="1"/>
  <c r="N55" i="67"/>
  <c r="M55" i="67" s="1"/>
  <c r="N64" i="67"/>
  <c r="M64" i="67" s="1"/>
  <c r="N66" i="67"/>
  <c r="M66" i="67" s="1"/>
  <c r="N67" i="67"/>
  <c r="M67" i="67" s="1"/>
  <c r="I64" i="67"/>
  <c r="I66" i="67"/>
  <c r="N74" i="67"/>
  <c r="M74" i="67" s="1"/>
  <c r="N76" i="67"/>
  <c r="M76" i="67" s="1"/>
  <c r="I74" i="67"/>
  <c r="H74" i="67" s="1"/>
  <c r="G74" i="67" s="1"/>
  <c r="I75" i="67"/>
  <c r="H75" i="67" s="1"/>
  <c r="G75" i="67" s="1"/>
  <c r="I76" i="67"/>
  <c r="H76" i="67" s="1"/>
  <c r="G76" i="67" s="1"/>
  <c r="A1" i="67"/>
  <c r="G16" i="23"/>
  <c r="F16" i="23"/>
  <c r="E16" i="23"/>
  <c r="D16" i="23"/>
  <c r="G11" i="23"/>
  <c r="F11" i="23"/>
  <c r="E11" i="23"/>
  <c r="D11" i="23"/>
  <c r="G6" i="23"/>
  <c r="F6" i="23"/>
  <c r="E6" i="23"/>
  <c r="D6" i="23"/>
  <c r="C16" i="23"/>
  <c r="C11" i="23"/>
  <c r="C6" i="23"/>
  <c r="D76" i="34"/>
  <c r="D75" i="34"/>
  <c r="D73" i="34"/>
  <c r="D66" i="34"/>
  <c r="D65" i="34"/>
  <c r="D64" i="34"/>
  <c r="D63" i="34"/>
  <c r="D62" i="34"/>
  <c r="D61" i="34"/>
  <c r="D59" i="34"/>
  <c r="D46" i="34"/>
  <c r="D39" i="34"/>
  <c r="D25" i="34"/>
  <c r="D24" i="34"/>
  <c r="D23" i="34"/>
  <c r="D22" i="34"/>
  <c r="D11" i="34"/>
  <c r="G19" i="33"/>
  <c r="E12" i="33"/>
  <c r="E66" i="42"/>
  <c r="C12" i="62"/>
  <c r="G12" i="62"/>
  <c r="H12" i="62"/>
  <c r="A40" i="59"/>
  <c r="F39" i="59"/>
  <c r="A39" i="59"/>
  <c r="F38" i="59"/>
  <c r="A38" i="59"/>
  <c r="F37" i="59"/>
  <c r="A37" i="59"/>
  <c r="F36" i="59"/>
  <c r="F35" i="59"/>
  <c r="A35" i="59"/>
  <c r="A40" i="60"/>
  <c r="F39" i="60"/>
  <c r="A39" i="60"/>
  <c r="F38" i="60"/>
  <c r="A38" i="60"/>
  <c r="F37" i="60"/>
  <c r="A37" i="60"/>
  <c r="F36" i="60"/>
  <c r="F35" i="60"/>
  <c r="A35" i="60"/>
  <c r="A40" i="61"/>
  <c r="F39" i="61"/>
  <c r="A39" i="61"/>
  <c r="F38" i="61"/>
  <c r="A38" i="61"/>
  <c r="F37" i="61"/>
  <c r="A37" i="61"/>
  <c r="F36" i="61"/>
  <c r="F35" i="61"/>
  <c r="A35" i="61"/>
  <c r="H49" i="40"/>
  <c r="H52" i="40"/>
  <c r="E53" i="40"/>
  <c r="H53" i="40"/>
  <c r="G53" i="40"/>
  <c r="E54" i="40"/>
  <c r="H54" i="40"/>
  <c r="H55" i="40"/>
  <c r="H56" i="40"/>
  <c r="H59" i="40"/>
  <c r="E60" i="40"/>
  <c r="H60" i="40"/>
  <c r="G60" i="40"/>
  <c r="H61" i="40"/>
  <c r="H62" i="40"/>
  <c r="E63" i="40"/>
  <c r="H63" i="40"/>
  <c r="E66" i="40"/>
  <c r="H66" i="40"/>
  <c r="E67" i="40"/>
  <c r="H67" i="40"/>
  <c r="G67" i="40"/>
  <c r="H68" i="40"/>
  <c r="H70" i="40"/>
  <c r="E74" i="40"/>
  <c r="H74" i="40"/>
  <c r="G74" i="40"/>
  <c r="E20" i="1"/>
  <c r="E21" i="1"/>
  <c r="E22" i="1"/>
  <c r="C13" i="23"/>
  <c r="C18" i="23" s="1"/>
  <c r="C14" i="23"/>
  <c r="C19" i="23" s="1"/>
  <c r="E53" i="35"/>
  <c r="H53" i="35"/>
  <c r="G53" i="35"/>
  <c r="E60" i="35"/>
  <c r="H60" i="35"/>
  <c r="E67" i="35"/>
  <c r="H67" i="35"/>
  <c r="G67" i="35"/>
  <c r="E74" i="35"/>
  <c r="H74" i="35"/>
  <c r="E49" i="35"/>
  <c r="H49" i="35"/>
  <c r="G52" i="35"/>
  <c r="H52" i="35"/>
  <c r="H54" i="35"/>
  <c r="H55" i="35"/>
  <c r="E56" i="35"/>
  <c r="H56" i="35"/>
  <c r="G59" i="35"/>
  <c r="H59" i="35"/>
  <c r="H61" i="35"/>
  <c r="H62" i="35"/>
  <c r="E63" i="35"/>
  <c r="H63" i="35"/>
  <c r="G66" i="35"/>
  <c r="H66" i="35"/>
  <c r="H68" i="35"/>
  <c r="H70" i="35"/>
  <c r="E53" i="42"/>
  <c r="H53" i="42"/>
  <c r="G53" i="42"/>
  <c r="E60" i="42"/>
  <c r="H60" i="42"/>
  <c r="E67" i="42"/>
  <c r="H67" i="42"/>
  <c r="G67" i="42"/>
  <c r="E74" i="42"/>
  <c r="H74" i="42"/>
  <c r="E49" i="42"/>
  <c r="H49" i="42"/>
  <c r="H52" i="42"/>
  <c r="H54" i="42"/>
  <c r="H55" i="42"/>
  <c r="E56" i="42"/>
  <c r="H56" i="42"/>
  <c r="H59" i="42"/>
  <c r="H61" i="42"/>
  <c r="H62" i="42"/>
  <c r="E63" i="42"/>
  <c r="H63" i="42"/>
  <c r="H66" i="42"/>
  <c r="H68" i="42"/>
  <c r="E70" i="42"/>
  <c r="H70" i="42"/>
  <c r="E53" i="44"/>
  <c r="H53" i="44"/>
  <c r="E60" i="44"/>
  <c r="H60" i="44"/>
  <c r="G60" i="44"/>
  <c r="E67" i="44"/>
  <c r="H67" i="44"/>
  <c r="E74" i="44"/>
  <c r="H74" i="44"/>
  <c r="G74" i="44"/>
  <c r="H49" i="44"/>
  <c r="H52" i="44"/>
  <c r="H54" i="44"/>
  <c r="E55" i="44"/>
  <c r="H55" i="44"/>
  <c r="H56" i="44"/>
  <c r="H59" i="44"/>
  <c r="H61" i="44"/>
  <c r="E62" i="44"/>
  <c r="H62" i="44"/>
  <c r="H63" i="44"/>
  <c r="H66" i="44"/>
  <c r="H68" i="44"/>
  <c r="E70" i="44"/>
  <c r="H70" i="44"/>
  <c r="E53" i="46"/>
  <c r="H53" i="46"/>
  <c r="G53" i="46"/>
  <c r="E60" i="46"/>
  <c r="H60" i="46"/>
  <c r="E67" i="46"/>
  <c r="H67" i="46"/>
  <c r="G67" i="46"/>
  <c r="E74" i="46"/>
  <c r="H74" i="46"/>
  <c r="H49" i="46"/>
  <c r="H52" i="46"/>
  <c r="H54" i="46"/>
  <c r="E55" i="46"/>
  <c r="H55" i="46"/>
  <c r="H56" i="46"/>
  <c r="H59" i="46"/>
  <c r="H61" i="46"/>
  <c r="E62" i="46"/>
  <c r="H62" i="46"/>
  <c r="H63" i="46"/>
  <c r="H66" i="46"/>
  <c r="H68" i="46"/>
  <c r="H70" i="46"/>
  <c r="H23" i="62"/>
  <c r="G23" i="62"/>
  <c r="C11" i="62"/>
  <c r="C13" i="62"/>
  <c r="G13" i="62"/>
  <c r="H13" i="62"/>
  <c r="E28" i="62"/>
  <c r="H28" i="62"/>
  <c r="E11" i="62"/>
  <c r="H11" i="62"/>
  <c r="G11" i="62"/>
  <c r="H16" i="62"/>
  <c r="G16" i="62"/>
  <c r="H17" i="62"/>
  <c r="G17" i="62"/>
  <c r="H21" i="62"/>
  <c r="G21" i="62"/>
  <c r="E22" i="62"/>
  <c r="H22" i="62"/>
  <c r="G22" i="62"/>
  <c r="H26" i="62"/>
  <c r="H27" i="62"/>
  <c r="G27" i="62"/>
  <c r="H18" i="62"/>
  <c r="H30" i="62"/>
  <c r="H23" i="61"/>
  <c r="G23" i="61"/>
  <c r="C16" i="61"/>
  <c r="G16" i="61"/>
  <c r="H16" i="61"/>
  <c r="C18" i="61"/>
  <c r="G18" i="61"/>
  <c r="H18" i="61"/>
  <c r="H28" i="61"/>
  <c r="G28" i="61"/>
  <c r="H11" i="61"/>
  <c r="G11" i="61"/>
  <c r="E12" i="61"/>
  <c r="H12" i="61"/>
  <c r="G12" i="61"/>
  <c r="H17" i="61"/>
  <c r="G17" i="61"/>
  <c r="H21" i="61"/>
  <c r="H22" i="61"/>
  <c r="G22" i="61"/>
  <c r="E26" i="61"/>
  <c r="H26" i="61"/>
  <c r="G26" i="61"/>
  <c r="H27" i="61"/>
  <c r="G27" i="61"/>
  <c r="H13" i="61"/>
  <c r="G13" i="61"/>
  <c r="H30" i="61"/>
  <c r="H23" i="60"/>
  <c r="G23" i="60"/>
  <c r="C23" i="60"/>
  <c r="H28" i="60"/>
  <c r="G28" i="60"/>
  <c r="C21" i="60"/>
  <c r="H11" i="60"/>
  <c r="E12" i="60"/>
  <c r="H12" i="60"/>
  <c r="G12" i="60"/>
  <c r="H16" i="60"/>
  <c r="G16" i="60"/>
  <c r="H17" i="60"/>
  <c r="G17" i="60"/>
  <c r="H21" i="60"/>
  <c r="G21" i="60"/>
  <c r="E22" i="60"/>
  <c r="H22" i="60"/>
  <c r="G22" i="60"/>
  <c r="H26" i="60"/>
  <c r="H27" i="60"/>
  <c r="G27" i="60"/>
  <c r="H13" i="60"/>
  <c r="H18" i="60"/>
  <c r="G30" i="60"/>
  <c r="H30" i="60"/>
  <c r="H23" i="59"/>
  <c r="H28" i="59"/>
  <c r="G28" i="59"/>
  <c r="C28" i="59"/>
  <c r="H11" i="59"/>
  <c r="H12" i="59"/>
  <c r="G12" i="59"/>
  <c r="E16" i="59"/>
  <c r="H16" i="59"/>
  <c r="G16" i="59"/>
  <c r="H17" i="59"/>
  <c r="G17" i="59"/>
  <c r="H21" i="59"/>
  <c r="G21" i="59"/>
  <c r="H22" i="59"/>
  <c r="G22" i="59"/>
  <c r="E26" i="59"/>
  <c r="H26" i="59"/>
  <c r="H27" i="59"/>
  <c r="G27" i="59"/>
  <c r="H13" i="59"/>
  <c r="G18" i="59"/>
  <c r="H18" i="59"/>
  <c r="G30" i="59"/>
  <c r="H30" i="59"/>
  <c r="B14" i="63"/>
  <c r="B16" i="63"/>
  <c r="I49" i="58"/>
  <c r="D14" i="23"/>
  <c r="D9" i="23"/>
  <c r="C9" i="23"/>
  <c r="C8" i="23"/>
  <c r="D17" i="32"/>
  <c r="E40" i="32"/>
  <c r="D36" i="32"/>
  <c r="D34" i="32"/>
  <c r="D32" i="32"/>
  <c r="D22" i="32"/>
  <c r="D24" i="32"/>
  <c r="D26" i="32"/>
  <c r="F23" i="64" s="1"/>
  <c r="J43" i="64"/>
  <c r="C16" i="40" s="1"/>
  <c r="C16" i="48" s="1"/>
  <c r="K43" i="64"/>
  <c r="C18" i="40" s="1"/>
  <c r="C18" i="48" s="1"/>
  <c r="N43" i="64"/>
  <c r="C21" i="40"/>
  <c r="C21" i="48" s="1"/>
  <c r="O43" i="64"/>
  <c r="C23" i="40" s="1"/>
  <c r="C23" i="48" s="1"/>
  <c r="R43" i="64"/>
  <c r="C27" i="40" s="1"/>
  <c r="C27" i="48" s="1"/>
  <c r="S43" i="64"/>
  <c r="C28" i="40" s="1"/>
  <c r="C28" i="48" s="1"/>
  <c r="W75" i="58"/>
  <c r="W76" i="58"/>
  <c r="W80" i="58"/>
  <c r="W81" i="58"/>
  <c r="V75" i="58"/>
  <c r="V76" i="58"/>
  <c r="V80" i="58"/>
  <c r="V81" i="58"/>
  <c r="U82" i="58"/>
  <c r="T82" i="58"/>
  <c r="S82" i="58"/>
  <c r="R82" i="58"/>
  <c r="W62" i="58"/>
  <c r="W66" i="58"/>
  <c r="V62" i="58"/>
  <c r="V66" i="58"/>
  <c r="U67" i="58"/>
  <c r="T67" i="58"/>
  <c r="S67" i="58"/>
  <c r="R67" i="58"/>
  <c r="W50" i="58"/>
  <c r="W53" i="58"/>
  <c r="V50" i="58"/>
  <c r="V53" i="58"/>
  <c r="U54" i="58"/>
  <c r="T54" i="58"/>
  <c r="S54" i="58"/>
  <c r="R54" i="58"/>
  <c r="Q54" i="58"/>
  <c r="P54" i="58"/>
  <c r="O54" i="58"/>
  <c r="N54" i="58"/>
  <c r="V75" i="64"/>
  <c r="W75" i="64"/>
  <c r="V76" i="64"/>
  <c r="X76" i="64" s="1"/>
  <c r="W76" i="64"/>
  <c r="V80" i="64"/>
  <c r="W80" i="64"/>
  <c r="V81" i="64"/>
  <c r="W81" i="64"/>
  <c r="U82" i="64"/>
  <c r="T82" i="64"/>
  <c r="X62" i="64"/>
  <c r="W62" i="64"/>
  <c r="W66" i="64"/>
  <c r="V62" i="64"/>
  <c r="V66" i="64"/>
  <c r="U67" i="64"/>
  <c r="T67" i="64"/>
  <c r="I49" i="64"/>
  <c r="W50" i="64"/>
  <c r="W53" i="64"/>
  <c r="V50" i="64"/>
  <c r="V53" i="64"/>
  <c r="U54" i="64"/>
  <c r="T54" i="64"/>
  <c r="Q54" i="64"/>
  <c r="P54" i="64"/>
  <c r="W40" i="64"/>
  <c r="W42" i="64"/>
  <c r="V40" i="64"/>
  <c r="V42" i="64"/>
  <c r="U43" i="64"/>
  <c r="T43" i="64"/>
  <c r="Q43" i="64"/>
  <c r="P43" i="64"/>
  <c r="M43" i="64"/>
  <c r="L43" i="64"/>
  <c r="V10" i="64"/>
  <c r="W10" i="64"/>
  <c r="V14" i="64"/>
  <c r="W14" i="64"/>
  <c r="V17" i="64"/>
  <c r="W17" i="64"/>
  <c r="X17" i="64" s="1"/>
  <c r="V19" i="64"/>
  <c r="X19" i="64" s="1"/>
  <c r="W19" i="64"/>
  <c r="H23" i="64"/>
  <c r="L23" i="64"/>
  <c r="V24" i="64"/>
  <c r="W24" i="64"/>
  <c r="V28" i="64"/>
  <c r="W28" i="64"/>
  <c r="X28" i="64" s="1"/>
  <c r="V31" i="64"/>
  <c r="X31" i="64" s="1"/>
  <c r="W31" i="64"/>
  <c r="V33" i="64"/>
  <c r="W33" i="64"/>
  <c r="W18" i="64"/>
  <c r="W32" i="64"/>
  <c r="V18" i="64"/>
  <c r="V32" i="64"/>
  <c r="U34" i="64"/>
  <c r="T34" i="64"/>
  <c r="E74" i="54"/>
  <c r="G74" i="54"/>
  <c r="H74" i="54"/>
  <c r="E74" i="52"/>
  <c r="H74" i="52"/>
  <c r="E74" i="50"/>
  <c r="G74" i="50"/>
  <c r="H74" i="50"/>
  <c r="E74" i="48"/>
  <c r="H74" i="48"/>
  <c r="E49" i="54"/>
  <c r="H49" i="54"/>
  <c r="G52" i="54"/>
  <c r="H52" i="54"/>
  <c r="E53" i="54"/>
  <c r="H53" i="54"/>
  <c r="H54" i="54"/>
  <c r="E55" i="54"/>
  <c r="H55" i="54"/>
  <c r="H56" i="54"/>
  <c r="H59" i="54"/>
  <c r="E60" i="54"/>
  <c r="G60" i="54"/>
  <c r="H60" i="54"/>
  <c r="H61" i="54"/>
  <c r="E62" i="54"/>
  <c r="H62" i="54"/>
  <c r="H63" i="54"/>
  <c r="H66" i="54"/>
  <c r="E67" i="54"/>
  <c r="G67" i="54"/>
  <c r="H67" i="54"/>
  <c r="H68" i="54"/>
  <c r="E70" i="54"/>
  <c r="H70" i="54"/>
  <c r="H49" i="52"/>
  <c r="H52" i="52"/>
  <c r="E53" i="52"/>
  <c r="G53" i="52"/>
  <c r="H53" i="52"/>
  <c r="E54" i="52"/>
  <c r="H54" i="52"/>
  <c r="H55" i="52"/>
  <c r="H56" i="52"/>
  <c r="H59" i="52"/>
  <c r="E60" i="52"/>
  <c r="G60" i="52"/>
  <c r="H60" i="52"/>
  <c r="H61" i="52"/>
  <c r="H62" i="52"/>
  <c r="H63" i="52"/>
  <c r="E66" i="52"/>
  <c r="H66" i="52"/>
  <c r="E67" i="52"/>
  <c r="G67" i="52"/>
  <c r="H67" i="52"/>
  <c r="H68" i="52"/>
  <c r="H70" i="52"/>
  <c r="E49" i="50"/>
  <c r="H49" i="50"/>
  <c r="E52" i="50"/>
  <c r="H52" i="50"/>
  <c r="E53" i="50"/>
  <c r="G53" i="50"/>
  <c r="H53" i="50"/>
  <c r="H54" i="50"/>
  <c r="H55" i="50"/>
  <c r="H56" i="50"/>
  <c r="E59" i="50"/>
  <c r="H59" i="50"/>
  <c r="E60" i="50"/>
  <c r="G60" i="50"/>
  <c r="H60" i="50"/>
  <c r="H61" i="50"/>
  <c r="H62" i="50"/>
  <c r="H63" i="50"/>
  <c r="E66" i="50"/>
  <c r="H66" i="50"/>
  <c r="E67" i="50"/>
  <c r="H67" i="50"/>
  <c r="H68" i="50"/>
  <c r="H70" i="50"/>
  <c r="H49" i="48"/>
  <c r="E52" i="48"/>
  <c r="H52" i="48"/>
  <c r="E53" i="48"/>
  <c r="G53" i="48"/>
  <c r="H53" i="48"/>
  <c r="H54" i="48"/>
  <c r="H55" i="48"/>
  <c r="E56" i="48"/>
  <c r="H56" i="48"/>
  <c r="H59" i="48"/>
  <c r="E60" i="48"/>
  <c r="H60" i="48"/>
  <c r="H61" i="48"/>
  <c r="E62" i="48"/>
  <c r="H62" i="48"/>
  <c r="H63" i="48"/>
  <c r="H66" i="48"/>
  <c r="E67" i="48"/>
  <c r="G67" i="48"/>
  <c r="H67" i="48"/>
  <c r="E68" i="48"/>
  <c r="H68" i="48"/>
  <c r="H70" i="48"/>
  <c r="L12" i="34"/>
  <c r="H3" i="63"/>
  <c r="G3" i="63"/>
  <c r="E3" i="63"/>
  <c r="C3" i="63"/>
  <c r="B3" i="63"/>
  <c r="K32" i="59"/>
  <c r="K4" i="59"/>
  <c r="J4" i="59"/>
  <c r="I4" i="59"/>
  <c r="H4" i="59"/>
  <c r="G4" i="59"/>
  <c r="F4" i="59"/>
  <c r="E4" i="59"/>
  <c r="D4" i="59"/>
  <c r="C4" i="59"/>
  <c r="K32" i="60"/>
  <c r="K4" i="60"/>
  <c r="J4" i="60"/>
  <c r="I4" i="60"/>
  <c r="H4" i="60"/>
  <c r="G4" i="60"/>
  <c r="F4" i="60"/>
  <c r="E4" i="60"/>
  <c r="D4" i="60"/>
  <c r="C4" i="60"/>
  <c r="K32" i="61"/>
  <c r="K4" i="61"/>
  <c r="J4" i="61"/>
  <c r="I4" i="61"/>
  <c r="H4" i="61"/>
  <c r="G4" i="61"/>
  <c r="F4" i="61"/>
  <c r="E4" i="61"/>
  <c r="D4" i="61"/>
  <c r="C4" i="61"/>
  <c r="F39" i="62"/>
  <c r="A40" i="62"/>
  <c r="F38" i="62"/>
  <c r="A39" i="62"/>
  <c r="F37" i="62"/>
  <c r="A38" i="62"/>
  <c r="F36" i="62"/>
  <c r="A37" i="62"/>
  <c r="F35" i="62"/>
  <c r="A35" i="62"/>
  <c r="K32" i="62"/>
  <c r="K4" i="62"/>
  <c r="J4" i="62"/>
  <c r="I4" i="62"/>
  <c r="H4" i="62"/>
  <c r="G4" i="62"/>
  <c r="F4" i="62"/>
  <c r="E4" i="62"/>
  <c r="D4" i="62"/>
  <c r="C4" i="62"/>
  <c r="W40" i="58"/>
  <c r="W42" i="58"/>
  <c r="V40" i="58"/>
  <c r="V42" i="58"/>
  <c r="U43" i="58"/>
  <c r="T43" i="58"/>
  <c r="S43" i="58"/>
  <c r="R43" i="58"/>
  <c r="Q43" i="58"/>
  <c r="P43" i="58"/>
  <c r="O43" i="58"/>
  <c r="N43" i="58"/>
  <c r="M43" i="58"/>
  <c r="L43" i="58"/>
  <c r="K43" i="58"/>
  <c r="J43" i="58"/>
  <c r="V10" i="58"/>
  <c r="W10" i="58"/>
  <c r="V14" i="58"/>
  <c r="W14" i="58"/>
  <c r="V17" i="58"/>
  <c r="W17" i="58"/>
  <c r="V19" i="58"/>
  <c r="W19" i="58"/>
  <c r="V24" i="58"/>
  <c r="W24" i="58"/>
  <c r="V28" i="58"/>
  <c r="W28" i="58"/>
  <c r="V31" i="58"/>
  <c r="W31" i="58"/>
  <c r="V33" i="58"/>
  <c r="W33" i="58"/>
  <c r="W18" i="58"/>
  <c r="W32" i="58"/>
  <c r="V18" i="58"/>
  <c r="V32" i="58"/>
  <c r="U34" i="58"/>
  <c r="T34" i="58"/>
  <c r="S34" i="58"/>
  <c r="R34" i="58"/>
  <c r="C3" i="32"/>
  <c r="D3" i="32"/>
  <c r="E3" i="32"/>
  <c r="C17" i="32"/>
  <c r="D28" i="32"/>
  <c r="E45" i="32"/>
  <c r="A49" i="32"/>
  <c r="A50" i="32"/>
  <c r="A51" i="32"/>
  <c r="A52" i="32"/>
  <c r="A53" i="32"/>
  <c r="A54" i="32"/>
  <c r="B4" i="38"/>
  <c r="C4" i="38"/>
  <c r="E4" i="38"/>
  <c r="A81" i="46"/>
  <c r="F81" i="46"/>
  <c r="A82" i="46"/>
  <c r="F82" i="46"/>
  <c r="A83" i="46"/>
  <c r="F83" i="46"/>
  <c r="A84" i="46"/>
  <c r="F84" i="46"/>
  <c r="A85" i="46"/>
  <c r="F85" i="46"/>
  <c r="A81" i="44"/>
  <c r="F81" i="44"/>
  <c r="A82" i="44"/>
  <c r="F82" i="44"/>
  <c r="A83" i="44"/>
  <c r="F83" i="44"/>
  <c r="A84" i="44"/>
  <c r="F84" i="44"/>
  <c r="A85" i="44"/>
  <c r="F85" i="44"/>
  <c r="A81" i="42"/>
  <c r="F81" i="42"/>
  <c r="A82" i="42"/>
  <c r="F82" i="42"/>
  <c r="A83" i="42"/>
  <c r="F83" i="42"/>
  <c r="A84" i="42"/>
  <c r="F84" i="42"/>
  <c r="A85" i="42"/>
  <c r="F85" i="42"/>
  <c r="A81" i="40"/>
  <c r="F81" i="40"/>
  <c r="A82" i="40"/>
  <c r="F82" i="40"/>
  <c r="A83" i="40"/>
  <c r="F83" i="40"/>
  <c r="A84" i="40"/>
  <c r="F84" i="40"/>
  <c r="A85" i="40"/>
  <c r="F85" i="40"/>
  <c r="A81" i="54"/>
  <c r="F81" i="54"/>
  <c r="A82" i="54"/>
  <c r="F82" i="54"/>
  <c r="A83" i="54"/>
  <c r="F83" i="54"/>
  <c r="A84" i="54"/>
  <c r="F84" i="54"/>
  <c r="A85" i="54"/>
  <c r="F85" i="54"/>
  <c r="A81" i="52"/>
  <c r="F81" i="52"/>
  <c r="A82" i="52"/>
  <c r="F82" i="52"/>
  <c r="A83" i="52"/>
  <c r="F83" i="52"/>
  <c r="A84" i="52"/>
  <c r="F84" i="52"/>
  <c r="A85" i="52"/>
  <c r="F85" i="52"/>
  <c r="A81" i="50"/>
  <c r="F81" i="50"/>
  <c r="A82" i="50"/>
  <c r="F82" i="50"/>
  <c r="A83" i="50"/>
  <c r="F83" i="50"/>
  <c r="A84" i="50"/>
  <c r="F84" i="50"/>
  <c r="A85" i="50"/>
  <c r="F85" i="50"/>
  <c r="A81" i="48"/>
  <c r="F81" i="48"/>
  <c r="A82" i="48"/>
  <c r="F82" i="48"/>
  <c r="A83" i="48"/>
  <c r="F83" i="48"/>
  <c r="A84" i="48"/>
  <c r="F84" i="48"/>
  <c r="A85" i="48"/>
  <c r="F85" i="48"/>
  <c r="A81" i="35"/>
  <c r="F81" i="35"/>
  <c r="A82" i="35"/>
  <c r="F82" i="35"/>
  <c r="A83" i="35"/>
  <c r="F83" i="35"/>
  <c r="A84" i="35"/>
  <c r="F84" i="35"/>
  <c r="A85" i="35"/>
  <c r="F85" i="35"/>
  <c r="D7" i="2"/>
  <c r="E7" i="2"/>
  <c r="F7" i="2"/>
  <c r="G7" i="2"/>
  <c r="B20" i="2"/>
  <c r="B22" i="2"/>
  <c r="B24" i="2"/>
  <c r="B26" i="2"/>
  <c r="A29" i="2"/>
  <c r="A30" i="2"/>
  <c r="A31" i="2"/>
  <c r="A32" i="2"/>
  <c r="B34" i="1"/>
  <c r="B36" i="1"/>
  <c r="B38" i="1"/>
  <c r="B40" i="1"/>
  <c r="B42" i="1"/>
  <c r="C17" i="61"/>
  <c r="C22" i="60"/>
  <c r="C26" i="59"/>
  <c r="C27" i="59"/>
  <c r="G18" i="34"/>
  <c r="G21" i="34"/>
  <c r="G68" i="34"/>
  <c r="H29" i="34"/>
  <c r="H30" i="34"/>
  <c r="H34" i="34"/>
  <c r="H37" i="34"/>
  <c r="H42" i="34"/>
  <c r="H69" i="34"/>
  <c r="H71" i="34"/>
  <c r="I41" i="34"/>
  <c r="I79" i="34"/>
  <c r="G14" i="34"/>
  <c r="G17" i="34"/>
  <c r="G58" i="34"/>
  <c r="G70" i="34"/>
  <c r="G74" i="34"/>
  <c r="H26" i="34"/>
  <c r="H31" i="34"/>
  <c r="I78" i="34"/>
  <c r="C26" i="46"/>
  <c r="C26" i="54" s="1"/>
  <c r="I38" i="34"/>
  <c r="C22" i="40"/>
  <c r="C22" i="48" s="1"/>
  <c r="N39" i="69"/>
  <c r="M39" i="69" s="1"/>
  <c r="C75" i="69"/>
  <c r="B75" i="69" s="1"/>
  <c r="A75" i="69" s="1"/>
  <c r="I77" i="69"/>
  <c r="H77" i="69" s="1"/>
  <c r="G77" i="69" s="1"/>
  <c r="I39" i="71"/>
  <c r="N41" i="70"/>
  <c r="M41" i="70" s="1"/>
  <c r="I41" i="67"/>
  <c r="I75" i="71"/>
  <c r="H75" i="71" s="1"/>
  <c r="G75" i="71" s="1"/>
  <c r="I77" i="67"/>
  <c r="H77" i="67" s="1"/>
  <c r="G77" i="67" s="1"/>
  <c r="N39" i="67"/>
  <c r="M39" i="67" s="1"/>
  <c r="E70" i="52"/>
  <c r="G70" i="52"/>
  <c r="C75" i="71"/>
  <c r="B75" i="71" s="1"/>
  <c r="A75" i="71" s="1"/>
  <c r="I84" i="73"/>
  <c r="H84" i="73" s="1"/>
  <c r="E68" i="52"/>
  <c r="E68" i="44"/>
  <c r="G59" i="48"/>
  <c r="G49" i="52"/>
  <c r="G59" i="46"/>
  <c r="G52" i="40"/>
  <c r="E69" i="50"/>
  <c r="G45" i="54"/>
  <c r="G70" i="48"/>
  <c r="G63" i="54"/>
  <c r="G63" i="46"/>
  <c r="G63" i="44"/>
  <c r="G56" i="44"/>
  <c r="G49" i="44"/>
  <c r="G59" i="42"/>
  <c r="G52" i="42"/>
  <c r="E69" i="35"/>
  <c r="G63" i="48"/>
  <c r="G66" i="46"/>
  <c r="G56" i="46"/>
  <c r="G49" i="46"/>
  <c r="G46" i="44"/>
  <c r="G53" i="54"/>
  <c r="G74" i="52"/>
  <c r="G13" i="59"/>
  <c r="G26" i="59"/>
  <c r="G23" i="59"/>
  <c r="G18" i="60"/>
  <c r="G13" i="60"/>
  <c r="G26" i="60"/>
  <c r="G30" i="61"/>
  <c r="G18" i="62"/>
  <c r="G26" i="62"/>
  <c r="G74" i="46"/>
  <c r="G67" i="44"/>
  <c r="G60" i="42"/>
  <c r="G74" i="35"/>
  <c r="G26" i="48"/>
  <c r="G28" i="48"/>
  <c r="G11" i="35"/>
  <c r="G13" i="35"/>
  <c r="G39" i="35"/>
  <c r="G11" i="50"/>
  <c r="G13" i="50"/>
  <c r="G39" i="50"/>
  <c r="G16" i="52"/>
  <c r="G18" i="52"/>
  <c r="G26" i="52"/>
  <c r="G28" i="52"/>
  <c r="G32" i="52"/>
  <c r="G21" i="54"/>
  <c r="G23" i="54"/>
  <c r="G39" i="54"/>
  <c r="G18" i="40"/>
  <c r="G26" i="42"/>
  <c r="G32" i="42"/>
  <c r="G46" i="42"/>
  <c r="G26" i="44"/>
  <c r="G18" i="46"/>
  <c r="G60" i="48"/>
  <c r="G67" i="50"/>
  <c r="G74" i="48"/>
  <c r="G11" i="59"/>
  <c r="G11" i="60"/>
  <c r="G21" i="61"/>
  <c r="G28" i="62"/>
  <c r="G60" i="46"/>
  <c r="G53" i="44"/>
  <c r="G74" i="42"/>
  <c r="G60" i="35"/>
  <c r="G11" i="48"/>
  <c r="G16" i="48"/>
  <c r="G18" i="48"/>
  <c r="G21" i="48"/>
  <c r="G23" i="48"/>
  <c r="G46" i="48"/>
  <c r="G28" i="35"/>
  <c r="G32" i="35"/>
  <c r="G21" i="50"/>
  <c r="G11" i="52"/>
  <c r="G13" i="52"/>
  <c r="G21" i="52"/>
  <c r="G23" i="52"/>
  <c r="G39" i="52"/>
  <c r="G18" i="54"/>
  <c r="G13" i="40"/>
  <c r="G23" i="40"/>
  <c r="G46" i="40"/>
  <c r="G23" i="44"/>
  <c r="I84" i="75"/>
  <c r="H84" i="75" s="1"/>
  <c r="G13" i="46"/>
  <c r="E55" i="52"/>
  <c r="E61" i="48"/>
  <c r="E55" i="48"/>
  <c r="G52" i="48"/>
  <c r="E49" i="48"/>
  <c r="G66" i="50"/>
  <c r="E63" i="50"/>
  <c r="G59" i="50"/>
  <c r="E56" i="50"/>
  <c r="G66" i="52"/>
  <c r="E63" i="52"/>
  <c r="E59" i="52"/>
  <c r="G70" i="54"/>
  <c r="E68" i="54"/>
  <c r="E61" i="54"/>
  <c r="G56" i="54"/>
  <c r="E54" i="54"/>
  <c r="G49" i="54"/>
  <c r="E22" i="59"/>
  <c r="E12" i="59"/>
  <c r="E13" i="60"/>
  <c r="E21" i="60"/>
  <c r="E11" i="60"/>
  <c r="E28" i="60"/>
  <c r="E22" i="61"/>
  <c r="E11" i="61"/>
  <c r="E30" i="62"/>
  <c r="E18" i="62"/>
  <c r="E21" i="62"/>
  <c r="E23" i="62"/>
  <c r="E70" i="46"/>
  <c r="E68" i="46"/>
  <c r="E61" i="46"/>
  <c r="E54" i="46"/>
  <c r="G70" i="44"/>
  <c r="E61" i="44"/>
  <c r="E54" i="44"/>
  <c r="G70" i="42"/>
  <c r="E68" i="42"/>
  <c r="G63" i="42"/>
  <c r="E62" i="42"/>
  <c r="G56" i="42"/>
  <c r="E55" i="42"/>
  <c r="G49" i="42"/>
  <c r="E70" i="35"/>
  <c r="G63" i="35"/>
  <c r="E62" i="35"/>
  <c r="G56" i="35"/>
  <c r="E55" i="35"/>
  <c r="G49" i="35"/>
  <c r="G70" i="40"/>
  <c r="G56" i="40"/>
  <c r="E55" i="40"/>
  <c r="E12" i="48"/>
  <c r="E16" i="48"/>
  <c r="E21" i="48"/>
  <c r="E23" i="48"/>
  <c r="G35" i="35"/>
  <c r="G31" i="50"/>
  <c r="E41" i="50"/>
  <c r="G35" i="52"/>
  <c r="E33" i="54"/>
  <c r="G35" i="40"/>
  <c r="E35" i="42"/>
  <c r="G45" i="42"/>
  <c r="E11" i="44"/>
  <c r="G35" i="44"/>
  <c r="E17" i="46"/>
  <c r="E70" i="48"/>
  <c r="G66" i="48"/>
  <c r="E63" i="48"/>
  <c r="E59" i="48"/>
  <c r="G70" i="50"/>
  <c r="E68" i="50"/>
  <c r="E61" i="50"/>
  <c r="G56" i="50"/>
  <c r="E61" i="52"/>
  <c r="G56" i="52"/>
  <c r="G52" i="52"/>
  <c r="E49" i="52"/>
  <c r="G66" i="54"/>
  <c r="E63" i="54"/>
  <c r="G59" i="54"/>
  <c r="E56" i="54"/>
  <c r="E52" i="54"/>
  <c r="E27" i="59"/>
  <c r="E17" i="59"/>
  <c r="E26" i="60"/>
  <c r="E16" i="60"/>
  <c r="E27" i="61"/>
  <c r="E17" i="61"/>
  <c r="E18" i="61"/>
  <c r="E16" i="61"/>
  <c r="E23" i="61"/>
  <c r="E26" i="62"/>
  <c r="E16" i="62"/>
  <c r="E63" i="46"/>
  <c r="E56" i="46"/>
  <c r="G52" i="46"/>
  <c r="E49" i="46"/>
  <c r="G66" i="44"/>
  <c r="E63" i="44"/>
  <c r="G59" i="44"/>
  <c r="E56" i="44"/>
  <c r="G52" i="44"/>
  <c r="E49" i="44"/>
  <c r="G66" i="42"/>
  <c r="E59" i="42"/>
  <c r="E52" i="42"/>
  <c r="E66" i="35"/>
  <c r="E59" i="35"/>
  <c r="E52" i="35"/>
  <c r="G63" i="40"/>
  <c r="E62" i="40"/>
  <c r="E61" i="40"/>
  <c r="G59" i="40"/>
  <c r="E52" i="40"/>
  <c r="E49" i="40"/>
  <c r="E27" i="48"/>
  <c r="E28" i="48"/>
  <c r="E40" i="48"/>
  <c r="E12" i="35"/>
  <c r="E13" i="35"/>
  <c r="E48" i="50"/>
  <c r="E23" i="52"/>
  <c r="E41" i="52"/>
  <c r="E22" i="54"/>
  <c r="E17" i="40"/>
  <c r="G38" i="40"/>
  <c r="E21" i="42"/>
  <c r="E34" i="42"/>
  <c r="E40" i="42"/>
  <c r="E41" i="42"/>
  <c r="E34" i="44"/>
  <c r="E28" i="46"/>
  <c r="E45" i="46"/>
  <c r="E38" i="46"/>
  <c r="E21" i="46"/>
  <c r="E12" i="46"/>
  <c r="E11" i="46"/>
  <c r="E45" i="44"/>
  <c r="E41" i="44"/>
  <c r="E40" i="44"/>
  <c r="E35" i="44"/>
  <c r="E26" i="44"/>
  <c r="E21" i="44"/>
  <c r="E16" i="44"/>
  <c r="E48" i="42"/>
  <c r="E42" i="42"/>
  <c r="E26" i="42"/>
  <c r="E23" i="42"/>
  <c r="E45" i="40"/>
  <c r="E40" i="40"/>
  <c r="E35" i="40"/>
  <c r="E33" i="40"/>
  <c r="E28" i="40"/>
  <c r="E27" i="40"/>
  <c r="E21" i="40"/>
  <c r="E11" i="40"/>
  <c r="E69" i="54"/>
  <c r="E48" i="54"/>
  <c r="E42" i="54"/>
  <c r="E38" i="54"/>
  <c r="E31" i="54"/>
  <c r="E28" i="54"/>
  <c r="E27" i="54"/>
  <c r="E18" i="54"/>
  <c r="E17" i="54"/>
  <c r="E69" i="52"/>
  <c r="E47" i="52"/>
  <c r="E38" i="52"/>
  <c r="E35" i="52"/>
  <c r="E34" i="52"/>
  <c r="E28" i="52"/>
  <c r="E27" i="52"/>
  <c r="E18" i="52"/>
  <c r="E16" i="52"/>
  <c r="E28" i="50"/>
  <c r="E27" i="50"/>
  <c r="E16" i="50"/>
  <c r="E11" i="50"/>
  <c r="E42" i="35"/>
  <c r="E38" i="35"/>
  <c r="E35" i="35"/>
  <c r="E34" i="35"/>
  <c r="E33" i="35"/>
  <c r="E23" i="35"/>
  <c r="E21" i="35"/>
  <c r="E17" i="35"/>
  <c r="E42" i="48"/>
  <c r="E38" i="48"/>
  <c r="E35" i="48"/>
  <c r="E34" i="48"/>
  <c r="E34" i="46"/>
  <c r="E31" i="46"/>
  <c r="E23" i="46"/>
  <c r="E22" i="46"/>
  <c r="E16" i="46"/>
  <c r="E47" i="44"/>
  <c r="E38" i="44"/>
  <c r="E31" i="44"/>
  <c r="E28" i="44"/>
  <c r="E17" i="44"/>
  <c r="E45" i="42"/>
  <c r="E33" i="42"/>
  <c r="E22" i="42"/>
  <c r="E18" i="42"/>
  <c r="E17" i="42"/>
  <c r="E16" i="42"/>
  <c r="E69" i="40"/>
  <c r="E48" i="40"/>
  <c r="E47" i="40"/>
  <c r="E41" i="40"/>
  <c r="E38" i="40"/>
  <c r="E34" i="40"/>
  <c r="E31" i="40"/>
  <c r="E23" i="40"/>
  <c r="E16" i="40"/>
  <c r="E12" i="40"/>
  <c r="E45" i="54"/>
  <c r="E21" i="54"/>
  <c r="E11" i="54"/>
  <c r="E40" i="52"/>
  <c r="E31" i="52"/>
  <c r="E21" i="52"/>
  <c r="E17" i="52"/>
  <c r="E45" i="50"/>
  <c r="E40" i="50"/>
  <c r="E31" i="50"/>
  <c r="E18" i="50"/>
  <c r="E17" i="50"/>
  <c r="E12" i="50"/>
  <c r="E47" i="35"/>
  <c r="E41" i="35"/>
  <c r="E40" i="35"/>
  <c r="E27" i="35"/>
  <c r="E26" i="35"/>
  <c r="E22" i="35"/>
  <c r="E11" i="35"/>
  <c r="E69" i="48"/>
  <c r="E48" i="48"/>
  <c r="E47" i="48"/>
  <c r="E27" i="46"/>
  <c r="E26" i="46"/>
  <c r="E13" i="46"/>
  <c r="E42" i="44"/>
  <c r="E27" i="44"/>
  <c r="E23" i="44"/>
  <c r="E22" i="44"/>
  <c r="E12" i="44"/>
  <c r="E69" i="42"/>
  <c r="E47" i="42"/>
  <c r="E38" i="42"/>
  <c r="E31" i="42"/>
  <c r="E27" i="42"/>
  <c r="E13" i="42"/>
  <c r="E12" i="42"/>
  <c r="E42" i="40"/>
  <c r="E26" i="40"/>
  <c r="E13" i="40"/>
  <c r="E47" i="54"/>
  <c r="E35" i="54"/>
  <c r="E34" i="54"/>
  <c r="E26" i="54"/>
  <c r="E16" i="54"/>
  <c r="E48" i="52"/>
  <c r="E42" i="52"/>
  <c r="E33" i="52"/>
  <c r="E26" i="52"/>
  <c r="E13" i="52"/>
  <c r="E12" i="52"/>
  <c r="E42" i="50"/>
  <c r="E38" i="50"/>
  <c r="E35" i="50"/>
  <c r="E34" i="50"/>
  <c r="E26" i="50"/>
  <c r="E22" i="50"/>
  <c r="E13" i="50"/>
  <c r="E45" i="35"/>
  <c r="E31" i="35"/>
  <c r="E28" i="35"/>
  <c r="E18" i="35"/>
  <c r="E16" i="35"/>
  <c r="E45" i="48"/>
  <c r="E41" i="48"/>
  <c r="E33" i="48"/>
  <c r="G45" i="46"/>
  <c r="G38" i="46"/>
  <c r="G38" i="42"/>
  <c r="G31" i="42"/>
  <c r="G38" i="50"/>
  <c r="G45" i="35"/>
  <c r="G45" i="48"/>
  <c r="G31" i="48"/>
  <c r="G31" i="46"/>
  <c r="G45" i="44"/>
  <c r="G45" i="40"/>
  <c r="G38" i="54"/>
  <c r="G31" i="54"/>
  <c r="G38" i="52"/>
  <c r="G38" i="35"/>
  <c r="G31" i="35"/>
  <c r="G38" i="48"/>
  <c r="G31" i="44"/>
  <c r="G45" i="52"/>
  <c r="G45" i="50"/>
  <c r="G42" i="44"/>
  <c r="G35" i="42"/>
  <c r="G42" i="52"/>
  <c r="G42" i="50"/>
  <c r="G42" i="46"/>
  <c r="G42" i="42"/>
  <c r="G42" i="40"/>
  <c r="G42" i="54"/>
  <c r="G35" i="54"/>
  <c r="G35" i="50"/>
  <c r="G42" i="48"/>
  <c r="G35" i="46"/>
  <c r="G42" i="35"/>
  <c r="E66" i="48"/>
  <c r="G56" i="48"/>
  <c r="E54" i="48"/>
  <c r="G49" i="48"/>
  <c r="E70" i="50"/>
  <c r="G63" i="50"/>
  <c r="E62" i="50"/>
  <c r="E55" i="50"/>
  <c r="E54" i="50"/>
  <c r="G52" i="50"/>
  <c r="G49" i="50"/>
  <c r="G63" i="52"/>
  <c r="E62" i="52"/>
  <c r="G59" i="52"/>
  <c r="E56" i="52"/>
  <c r="E52" i="52"/>
  <c r="E66" i="54"/>
  <c r="E59" i="54"/>
  <c r="E30" i="59"/>
  <c r="E18" i="59"/>
  <c r="E13" i="59"/>
  <c r="E21" i="59"/>
  <c r="E11" i="59"/>
  <c r="E28" i="59"/>
  <c r="E23" i="59"/>
  <c r="E30" i="60"/>
  <c r="E18" i="60"/>
  <c r="E27" i="60"/>
  <c r="E17" i="60"/>
  <c r="E23" i="60"/>
  <c r="E30" i="61"/>
  <c r="E13" i="61"/>
  <c r="E21" i="61"/>
  <c r="E28" i="61"/>
  <c r="E27" i="62"/>
  <c r="E17" i="62"/>
  <c r="E13" i="62"/>
  <c r="G70" i="46"/>
  <c r="E66" i="46"/>
  <c r="E59" i="46"/>
  <c r="E52" i="46"/>
  <c r="E66" i="44"/>
  <c r="E59" i="44"/>
  <c r="E52" i="44"/>
  <c r="E61" i="42"/>
  <c r="E54" i="42"/>
  <c r="G70" i="35"/>
  <c r="E68" i="35"/>
  <c r="E61" i="35"/>
  <c r="E54" i="35"/>
  <c r="E70" i="40"/>
  <c r="E68" i="40"/>
  <c r="G66" i="40"/>
  <c r="E59" i="40"/>
  <c r="E56" i="40"/>
  <c r="G49" i="40"/>
  <c r="E12" i="62"/>
  <c r="E17" i="48"/>
  <c r="E22" i="48"/>
  <c r="E26" i="48"/>
  <c r="E48" i="35"/>
  <c r="E23" i="50"/>
  <c r="E33" i="50"/>
  <c r="E47" i="50"/>
  <c r="E11" i="52"/>
  <c r="E22" i="52"/>
  <c r="G31" i="52"/>
  <c r="E45" i="52"/>
  <c r="E12" i="54"/>
  <c r="E13" i="54"/>
  <c r="G31" i="40"/>
  <c r="E11" i="42"/>
  <c r="E13" i="44"/>
  <c r="E48" i="44"/>
  <c r="E69" i="44"/>
  <c r="G46" i="46"/>
  <c r="D53" i="42"/>
  <c r="G39" i="42"/>
  <c r="E41" i="46"/>
  <c r="I83" i="67"/>
  <c r="H83" i="67" s="1"/>
  <c r="I83" i="71"/>
  <c r="H83" i="71" s="1"/>
  <c r="I84" i="72"/>
  <c r="H84" i="72" s="1"/>
  <c r="I83" i="73"/>
  <c r="H83" i="73" s="1"/>
  <c r="I84" i="69"/>
  <c r="H84" i="69" s="1"/>
  <c r="I84" i="70"/>
  <c r="H84" i="70" s="1"/>
  <c r="I83" i="72"/>
  <c r="H83" i="72" s="1"/>
  <c r="I84" i="74"/>
  <c r="H84" i="74" s="1"/>
  <c r="I84" i="67"/>
  <c r="H84" i="67" s="1"/>
  <c r="I83" i="68"/>
  <c r="H83" i="68" s="1"/>
  <c r="I83" i="69"/>
  <c r="H83" i="69" s="1"/>
  <c r="I83" i="70"/>
  <c r="H83" i="70" s="1"/>
  <c r="G13" i="34"/>
  <c r="J23" i="64"/>
  <c r="K23" i="64"/>
  <c r="H27" i="34"/>
  <c r="C27" i="35"/>
  <c r="G16" i="46"/>
  <c r="G11" i="46"/>
  <c r="G21" i="46"/>
  <c r="G21" i="44"/>
  <c r="G16" i="44"/>
  <c r="G11" i="44"/>
  <c r="G16" i="42"/>
  <c r="G11" i="42"/>
  <c r="G21" i="40"/>
  <c r="G26" i="46"/>
  <c r="G21" i="42"/>
  <c r="G26" i="40"/>
  <c r="G16" i="40"/>
  <c r="G11" i="40"/>
  <c r="G39" i="46"/>
  <c r="G39" i="40"/>
  <c r="G39" i="44"/>
  <c r="G32" i="40"/>
  <c r="C27" i="46"/>
  <c r="C27" i="54" s="1"/>
  <c r="N41" i="75"/>
  <c r="M41" i="75" s="1"/>
  <c r="E48" i="46"/>
  <c r="C53" i="68"/>
  <c r="C39" i="68"/>
  <c r="N77" i="75"/>
  <c r="M77" i="75" s="1"/>
  <c r="E18" i="46"/>
  <c r="I40" i="75"/>
  <c r="C53" i="67"/>
  <c r="C39" i="71"/>
  <c r="C38" i="68"/>
  <c r="C38" i="75"/>
  <c r="C26" i="73"/>
  <c r="B26" i="73" s="1"/>
  <c r="A26" i="73" s="1"/>
  <c r="C39" i="73"/>
  <c r="C38" i="67"/>
  <c r="I28" i="75"/>
  <c r="H28" i="75" s="1"/>
  <c r="G28" i="75" s="1"/>
  <c r="I41" i="75"/>
  <c r="N28" i="75"/>
  <c r="M28" i="75" s="1"/>
  <c r="C26" i="75"/>
  <c r="B26" i="75" s="1"/>
  <c r="A26" i="75" s="1"/>
  <c r="C39" i="75"/>
  <c r="C38" i="74"/>
  <c r="C38" i="70"/>
  <c r="C38" i="69"/>
  <c r="C25" i="67"/>
  <c r="B25" i="67" s="1"/>
  <c r="A25" i="67" s="1"/>
  <c r="C39" i="67"/>
  <c r="N40" i="75"/>
  <c r="M40" i="75" s="1"/>
  <c r="C26" i="74"/>
  <c r="B26" i="74" s="1"/>
  <c r="A26" i="74" s="1"/>
  <c r="C39" i="74"/>
  <c r="C38" i="72"/>
  <c r="C38" i="71"/>
  <c r="C25" i="70"/>
  <c r="B25" i="70" s="1"/>
  <c r="A25" i="70" s="1"/>
  <c r="C25" i="69"/>
  <c r="B25" i="69" s="1"/>
  <c r="A25" i="69" s="1"/>
  <c r="C39" i="69"/>
  <c r="C54" i="72"/>
  <c r="C53" i="71"/>
  <c r="C53" i="70"/>
  <c r="C53" i="72"/>
  <c r="I56" i="75"/>
  <c r="C54" i="75"/>
  <c r="C54" i="74"/>
  <c r="C54" i="67"/>
  <c r="E42" i="46"/>
  <c r="E40" i="46"/>
  <c r="E69" i="46"/>
  <c r="E50" i="58"/>
  <c r="X50" i="58" s="1"/>
  <c r="E51" i="64"/>
  <c r="E49" i="58"/>
  <c r="K49" i="58" s="1"/>
  <c r="E48" i="58"/>
  <c r="E51" i="58"/>
  <c r="J51" i="58" s="1"/>
  <c r="B12" i="63"/>
  <c r="E52" i="58"/>
  <c r="L52" i="58" s="1"/>
  <c r="V52" i="58" s="1"/>
  <c r="E48" i="64"/>
  <c r="J48" i="64" s="1"/>
  <c r="E52" i="64"/>
  <c r="J52" i="64" s="1"/>
  <c r="E60" i="58"/>
  <c r="E60" i="64"/>
  <c r="Q60" i="64" s="1"/>
  <c r="E64" i="58"/>
  <c r="K64" i="58" s="1"/>
  <c r="E64" i="64"/>
  <c r="P64" i="64" s="1"/>
  <c r="E72" i="64"/>
  <c r="I72" i="64" s="1"/>
  <c r="E72" i="58"/>
  <c r="Q72" i="58" s="1"/>
  <c r="D42" i="32" l="1"/>
  <c r="H38" i="69"/>
  <c r="G38" i="69" s="1"/>
  <c r="D33" i="46"/>
  <c r="F33" i="46" s="1"/>
  <c r="I33" i="46" s="1"/>
  <c r="L64" i="64"/>
  <c r="V64" i="64" s="1"/>
  <c r="H39" i="74"/>
  <c r="G39" i="74" s="1"/>
  <c r="H38" i="67"/>
  <c r="G38" i="67" s="1"/>
  <c r="H39" i="70"/>
  <c r="G39" i="70" s="1"/>
  <c r="H41" i="68"/>
  <c r="G41" i="68" s="1"/>
  <c r="H38" i="68"/>
  <c r="G38" i="68" s="1"/>
  <c r="H41" i="73"/>
  <c r="G41" i="73" s="1"/>
  <c r="H40" i="74"/>
  <c r="G40" i="74" s="1"/>
  <c r="B54" i="67"/>
  <c r="A54" i="67" s="1"/>
  <c r="D33" i="50"/>
  <c r="F33" i="50" s="1"/>
  <c r="I33" i="50" s="1"/>
  <c r="X10" i="64"/>
  <c r="B54" i="73"/>
  <c r="A54" i="73" s="1"/>
  <c r="K60" i="58"/>
  <c r="G51" i="64"/>
  <c r="X81" i="64"/>
  <c r="H40" i="72"/>
  <c r="G40" i="72" s="1"/>
  <c r="H40" i="71"/>
  <c r="G40" i="71" s="1"/>
  <c r="D33" i="40"/>
  <c r="F33" i="40" s="1"/>
  <c r="I33" i="40" s="1"/>
  <c r="G23" i="64"/>
  <c r="X24" i="64"/>
  <c r="X14" i="64"/>
  <c r="H64" i="70"/>
  <c r="G64" i="70" s="1"/>
  <c r="D33" i="42"/>
  <c r="F33" i="42" s="1"/>
  <c r="I33" i="42" s="1"/>
  <c r="N56" i="67"/>
  <c r="M56" i="67" s="1"/>
  <c r="V23" i="64"/>
  <c r="I77" i="71"/>
  <c r="H77" i="71" s="1"/>
  <c r="G77" i="71" s="1"/>
  <c r="F77" i="58"/>
  <c r="I75" i="70"/>
  <c r="H75" i="70" s="1"/>
  <c r="G75" i="70" s="1"/>
  <c r="J17" i="22"/>
  <c r="C21" i="61"/>
  <c r="H65" i="73"/>
  <c r="G65" i="73" s="1"/>
  <c r="G47" i="46"/>
  <c r="H66" i="71"/>
  <c r="G66" i="71" s="1"/>
  <c r="H66" i="72"/>
  <c r="G66" i="72" s="1"/>
  <c r="H39" i="71"/>
  <c r="G39" i="71" s="1"/>
  <c r="I75" i="69"/>
  <c r="H75" i="69" s="1"/>
  <c r="G75" i="69" s="1"/>
  <c r="P74" i="64"/>
  <c r="V74" i="64" s="1"/>
  <c r="X74" i="64" s="1"/>
  <c r="O74" i="64"/>
  <c r="J64" i="64"/>
  <c r="C21" i="42"/>
  <c r="C21" i="50" s="1"/>
  <c r="X33" i="64"/>
  <c r="H38" i="70"/>
  <c r="G38" i="70" s="1"/>
  <c r="H39" i="72"/>
  <c r="G39" i="72" s="1"/>
  <c r="J77" i="58"/>
  <c r="H41" i="75"/>
  <c r="G41" i="75" s="1"/>
  <c r="N74" i="64"/>
  <c r="K73" i="58"/>
  <c r="C27" i="42"/>
  <c r="C27" i="50" s="1"/>
  <c r="C17" i="23"/>
  <c r="C17" i="40"/>
  <c r="C17" i="48" s="1"/>
  <c r="N65" i="67"/>
  <c r="M65" i="67" s="1"/>
  <c r="N75" i="70"/>
  <c r="M75" i="70" s="1"/>
  <c r="H38" i="72"/>
  <c r="G38" i="72" s="1"/>
  <c r="H39" i="73"/>
  <c r="G39" i="73" s="1"/>
  <c r="H38" i="74"/>
  <c r="G38" i="74" s="1"/>
  <c r="G48" i="44"/>
  <c r="N79" i="64"/>
  <c r="H39" i="75"/>
  <c r="G39" i="75" s="1"/>
  <c r="H39" i="67"/>
  <c r="G39" i="67" s="1"/>
  <c r="H41" i="71"/>
  <c r="G41" i="71" s="1"/>
  <c r="H40" i="68"/>
  <c r="G40" i="68" s="1"/>
  <c r="C27" i="44"/>
  <c r="C27" i="52" s="1"/>
  <c r="H38" i="71"/>
  <c r="G38" i="71" s="1"/>
  <c r="H40" i="73"/>
  <c r="G40" i="73" s="1"/>
  <c r="H39" i="69"/>
  <c r="G39" i="69" s="1"/>
  <c r="Q77" i="58"/>
  <c r="F48" i="58"/>
  <c r="C39" i="70"/>
  <c r="B39" i="70" s="1"/>
  <c r="A39" i="70" s="1"/>
  <c r="H40" i="75"/>
  <c r="G40" i="75" s="1"/>
  <c r="H41" i="67"/>
  <c r="G41" i="67" s="1"/>
  <c r="I77" i="70"/>
  <c r="H77" i="70" s="1"/>
  <c r="G77" i="70" s="1"/>
  <c r="I65" i="67"/>
  <c r="H65" i="67" s="1"/>
  <c r="G65" i="67" s="1"/>
  <c r="G55" i="52"/>
  <c r="H40" i="67"/>
  <c r="G40" i="67" s="1"/>
  <c r="H39" i="68"/>
  <c r="G39" i="68" s="1"/>
  <c r="H40" i="69"/>
  <c r="G40" i="69" s="1"/>
  <c r="H40" i="70"/>
  <c r="G40" i="70" s="1"/>
  <c r="H41" i="72"/>
  <c r="G41" i="72" s="1"/>
  <c r="H38" i="73"/>
  <c r="G38" i="73" s="1"/>
  <c r="H41" i="74"/>
  <c r="G41" i="74" s="1"/>
  <c r="H38" i="75"/>
  <c r="G38" i="75" s="1"/>
  <c r="H41" i="69"/>
  <c r="G41" i="69" s="1"/>
  <c r="H66" i="69"/>
  <c r="G66" i="69" s="1"/>
  <c r="B53" i="72"/>
  <c r="A53" i="72" s="1"/>
  <c r="H6" i="23"/>
  <c r="H11" i="23"/>
  <c r="J63" i="58"/>
  <c r="F63" i="52"/>
  <c r="I63" i="52" s="1"/>
  <c r="J63" i="52" s="1"/>
  <c r="N54" i="67"/>
  <c r="M54" i="67" s="1"/>
  <c r="N41" i="69"/>
  <c r="M41" i="69" s="1"/>
  <c r="C26" i="40"/>
  <c r="C26" i="48" s="1"/>
  <c r="B65" i="67"/>
  <c r="A65" i="67" s="1"/>
  <c r="N41" i="71"/>
  <c r="M41" i="71" s="1"/>
  <c r="H65" i="75"/>
  <c r="G65" i="75" s="1"/>
  <c r="H64" i="69"/>
  <c r="G64" i="69" s="1"/>
  <c r="B54" i="74"/>
  <c r="A54" i="74" s="1"/>
  <c r="B53" i="70"/>
  <c r="A53" i="70" s="1"/>
  <c r="B53" i="67"/>
  <c r="A53" i="67" s="1"/>
  <c r="H65" i="74"/>
  <c r="G65" i="74" s="1"/>
  <c r="H67" i="67"/>
  <c r="G67" i="67" s="1"/>
  <c r="H64" i="68"/>
  <c r="G64" i="68" s="1"/>
  <c r="H65" i="69"/>
  <c r="G65" i="69" s="1"/>
  <c r="H64" i="71"/>
  <c r="G64" i="71" s="1"/>
  <c r="H65" i="72"/>
  <c r="G65" i="72" s="1"/>
  <c r="H67" i="74"/>
  <c r="G67" i="74" s="1"/>
  <c r="H67" i="75"/>
  <c r="G67" i="75" s="1"/>
  <c r="H64" i="73"/>
  <c r="G64" i="73" s="1"/>
  <c r="H66" i="67"/>
  <c r="G66" i="67" s="1"/>
  <c r="B54" i="75"/>
  <c r="A54" i="75" s="1"/>
  <c r="B53" i="71"/>
  <c r="A53" i="71" s="1"/>
  <c r="B53" i="68"/>
  <c r="A53" i="68" s="1"/>
  <c r="H14" i="23"/>
  <c r="H64" i="72"/>
  <c r="G64" i="72" s="1"/>
  <c r="H67" i="73"/>
  <c r="G67" i="73" s="1"/>
  <c r="B53" i="69"/>
  <c r="A53" i="69" s="1"/>
  <c r="H66" i="68"/>
  <c r="G66" i="68" s="1"/>
  <c r="B54" i="72"/>
  <c r="A54" i="72" s="1"/>
  <c r="H64" i="67"/>
  <c r="G64" i="67" s="1"/>
  <c r="H67" i="69"/>
  <c r="G67" i="69" s="1"/>
  <c r="H66" i="70"/>
  <c r="G66" i="70" s="1"/>
  <c r="H67" i="72"/>
  <c r="G67" i="72" s="1"/>
  <c r="H66" i="73"/>
  <c r="G66" i="73" s="1"/>
  <c r="N60" i="58"/>
  <c r="M51" i="58"/>
  <c r="N79" i="58"/>
  <c r="D33" i="48"/>
  <c r="F33" i="48" s="1"/>
  <c r="I33" i="48" s="1"/>
  <c r="D33" i="52"/>
  <c r="F33" i="52" s="1"/>
  <c r="I33" i="52" s="1"/>
  <c r="D33" i="54"/>
  <c r="F33" i="54" s="1"/>
  <c r="I33" i="54" s="1"/>
  <c r="D33" i="35"/>
  <c r="F33" i="35" s="1"/>
  <c r="I33" i="35" s="1"/>
  <c r="D60" i="46"/>
  <c r="F60" i="46" s="1"/>
  <c r="I60" i="46" s="1"/>
  <c r="J60" i="46" s="1"/>
  <c r="D46" i="40"/>
  <c r="F46" i="40" s="1"/>
  <c r="I46" i="40" s="1"/>
  <c r="J46" i="40" s="1"/>
  <c r="D39" i="42"/>
  <c r="D74" i="42"/>
  <c r="F74" i="42" s="1"/>
  <c r="I74" i="42" s="1"/>
  <c r="D32" i="40"/>
  <c r="F32" i="40" s="1"/>
  <c r="I32" i="40" s="1"/>
  <c r="J32" i="40" s="1"/>
  <c r="D74" i="52"/>
  <c r="F74" i="52" s="1"/>
  <c r="I74" i="52" s="1"/>
  <c r="J74" i="52" s="1"/>
  <c r="D46" i="44"/>
  <c r="F46" i="44" s="1"/>
  <c r="I46" i="44" s="1"/>
  <c r="J46" i="44" s="1"/>
  <c r="D67" i="50"/>
  <c r="F67" i="50" s="1"/>
  <c r="I67" i="50" s="1"/>
  <c r="J67" i="50" s="1"/>
  <c r="D32" i="52"/>
  <c r="F32" i="52" s="1"/>
  <c r="I32" i="52" s="1"/>
  <c r="J32" i="52" s="1"/>
  <c r="D46" i="50"/>
  <c r="F46" i="50" s="1"/>
  <c r="I46" i="50" s="1"/>
  <c r="D60" i="35"/>
  <c r="F60" i="35" s="1"/>
  <c r="I60" i="35" s="1"/>
  <c r="D60" i="52"/>
  <c r="F60" i="52" s="1"/>
  <c r="I60" i="52" s="1"/>
  <c r="J60" i="52" s="1"/>
  <c r="D32" i="35"/>
  <c r="F32" i="35" s="1"/>
  <c r="D74" i="40"/>
  <c r="F74" i="40" s="1"/>
  <c r="D60" i="44"/>
  <c r="F60" i="44" s="1"/>
  <c r="I60" i="44" s="1"/>
  <c r="D67" i="48"/>
  <c r="F67" i="48" s="1"/>
  <c r="I67" i="48" s="1"/>
  <c r="D60" i="54"/>
  <c r="F60" i="54" s="1"/>
  <c r="I60" i="54" s="1"/>
  <c r="D32" i="42"/>
  <c r="D39" i="50"/>
  <c r="F39" i="50" s="1"/>
  <c r="D60" i="40"/>
  <c r="F60" i="40" s="1"/>
  <c r="I60" i="40" s="1"/>
  <c r="J60" i="40" s="1"/>
  <c r="D60" i="42"/>
  <c r="F60" i="42" s="1"/>
  <c r="I60" i="42" s="1"/>
  <c r="J60" i="42" s="1"/>
  <c r="D53" i="50"/>
  <c r="F53" i="50" s="1"/>
  <c r="I53" i="50" s="1"/>
  <c r="J53" i="50" s="1"/>
  <c r="D39" i="44"/>
  <c r="F39" i="44" s="1"/>
  <c r="I39" i="44" s="1"/>
  <c r="J39" i="44" s="1"/>
  <c r="D53" i="54"/>
  <c r="F53" i="54" s="1"/>
  <c r="I53" i="54" s="1"/>
  <c r="J53" i="54" s="1"/>
  <c r="D46" i="54"/>
  <c r="F46" i="54" s="1"/>
  <c r="I46" i="54" s="1"/>
  <c r="J46" i="54" s="1"/>
  <c r="D67" i="35"/>
  <c r="F67" i="35" s="1"/>
  <c r="I67" i="35" s="1"/>
  <c r="J67" i="35" s="1"/>
  <c r="D67" i="44"/>
  <c r="F67" i="44" s="1"/>
  <c r="I67" i="44" s="1"/>
  <c r="J67" i="44" s="1"/>
  <c r="D67" i="46"/>
  <c r="F67" i="46" s="1"/>
  <c r="I67" i="46" s="1"/>
  <c r="J67" i="46" s="1"/>
  <c r="D74" i="50"/>
  <c r="F74" i="50" s="1"/>
  <c r="I74" i="50" s="1"/>
  <c r="J74" i="50" s="1"/>
  <c r="D67" i="52"/>
  <c r="F67" i="52" s="1"/>
  <c r="I67" i="52" s="1"/>
  <c r="J67" i="52" s="1"/>
  <c r="D32" i="48"/>
  <c r="F32" i="48" s="1"/>
  <c r="I32" i="48" s="1"/>
  <c r="D39" i="46"/>
  <c r="F39" i="46" s="1"/>
  <c r="I39" i="46" s="1"/>
  <c r="J39" i="46" s="1"/>
  <c r="D67" i="54"/>
  <c r="F67" i="54" s="1"/>
  <c r="I67" i="54" s="1"/>
  <c r="F53" i="42"/>
  <c r="I53" i="42" s="1"/>
  <c r="J53" i="42" s="1"/>
  <c r="D46" i="42"/>
  <c r="D32" i="54"/>
  <c r="F32" i="54" s="1"/>
  <c r="I32" i="54" s="1"/>
  <c r="J32" i="54" s="1"/>
  <c r="D39" i="48"/>
  <c r="F39" i="48" s="1"/>
  <c r="I39" i="48" s="1"/>
  <c r="J39" i="48" s="1"/>
  <c r="D32" i="44"/>
  <c r="F32" i="44" s="1"/>
  <c r="D46" i="35"/>
  <c r="F46" i="35" s="1"/>
  <c r="I46" i="35" s="1"/>
  <c r="J46" i="35" s="1"/>
  <c r="D53" i="35"/>
  <c r="F53" i="35" s="1"/>
  <c r="I53" i="35" s="1"/>
  <c r="J53" i="35" s="1"/>
  <c r="D74" i="35"/>
  <c r="F74" i="35" s="1"/>
  <c r="I74" i="35" s="1"/>
  <c r="J74" i="35" s="1"/>
  <c r="D74" i="44"/>
  <c r="F74" i="44" s="1"/>
  <c r="I74" i="44" s="1"/>
  <c r="D74" i="46"/>
  <c r="F74" i="46" s="1"/>
  <c r="I74" i="46" s="1"/>
  <c r="D74" i="48"/>
  <c r="F74" i="48" s="1"/>
  <c r="I74" i="48" s="1"/>
  <c r="D53" i="48"/>
  <c r="F53" i="48" s="1"/>
  <c r="I53" i="48" s="1"/>
  <c r="J53" i="48" s="1"/>
  <c r="D39" i="52"/>
  <c r="F39" i="52" s="1"/>
  <c r="I39" i="52" s="1"/>
  <c r="J39" i="52" s="1"/>
  <c r="D60" i="50"/>
  <c r="F60" i="50" s="1"/>
  <c r="I60" i="50" s="1"/>
  <c r="J60" i="50" s="1"/>
  <c r="D46" i="52"/>
  <c r="F46" i="52" s="1"/>
  <c r="I46" i="52" s="1"/>
  <c r="J46" i="52" s="1"/>
  <c r="D39" i="35"/>
  <c r="F39" i="35" s="1"/>
  <c r="I39" i="35" s="1"/>
  <c r="J39" i="35" s="1"/>
  <c r="D53" i="40"/>
  <c r="F53" i="40" s="1"/>
  <c r="D67" i="40"/>
  <c r="F67" i="40" s="1"/>
  <c r="I67" i="40" s="1"/>
  <c r="J67" i="40" s="1"/>
  <c r="D67" i="42"/>
  <c r="F67" i="42" s="1"/>
  <c r="I67" i="42" s="1"/>
  <c r="D32" i="46"/>
  <c r="F32" i="46" s="1"/>
  <c r="I32" i="46" s="1"/>
  <c r="J32" i="46" s="1"/>
  <c r="D39" i="40"/>
  <c r="F39" i="40" s="1"/>
  <c r="I39" i="40" s="1"/>
  <c r="J39" i="40" s="1"/>
  <c r="D46" i="48"/>
  <c r="F46" i="48" s="1"/>
  <c r="I46" i="48" s="1"/>
  <c r="J46" i="48" s="1"/>
  <c r="D46" i="46"/>
  <c r="D53" i="44"/>
  <c r="F53" i="44" s="1"/>
  <c r="I53" i="44" s="1"/>
  <c r="J53" i="44" s="1"/>
  <c r="D53" i="46"/>
  <c r="F53" i="46" s="1"/>
  <c r="I53" i="46" s="1"/>
  <c r="J53" i="46" s="1"/>
  <c r="D74" i="54"/>
  <c r="F74" i="54" s="1"/>
  <c r="I74" i="54" s="1"/>
  <c r="J74" i="54" s="1"/>
  <c r="D53" i="52"/>
  <c r="F53" i="52" s="1"/>
  <c r="I53" i="52" s="1"/>
  <c r="J53" i="52" s="1"/>
  <c r="D60" i="48"/>
  <c r="F60" i="48" s="1"/>
  <c r="I60" i="48" s="1"/>
  <c r="J60" i="48" s="1"/>
  <c r="D39" i="54"/>
  <c r="F39" i="54" s="1"/>
  <c r="I39" i="54" s="1"/>
  <c r="D40" i="40"/>
  <c r="F40" i="40" s="1"/>
  <c r="I40" i="40" s="1"/>
  <c r="D40" i="54"/>
  <c r="F40" i="54" s="1"/>
  <c r="I40" i="54" s="1"/>
  <c r="D40" i="48"/>
  <c r="F40" i="48" s="1"/>
  <c r="I40" i="48" s="1"/>
  <c r="D40" i="35"/>
  <c r="F40" i="35" s="1"/>
  <c r="I40" i="35" s="1"/>
  <c r="D40" i="52"/>
  <c r="F40" i="52" s="1"/>
  <c r="I40" i="52" s="1"/>
  <c r="D40" i="42"/>
  <c r="F40" i="42" s="1"/>
  <c r="I40" i="42" s="1"/>
  <c r="D40" i="44"/>
  <c r="F40" i="44" s="1"/>
  <c r="I40" i="44" s="1"/>
  <c r="D40" i="50"/>
  <c r="F40" i="50" s="1"/>
  <c r="I40" i="50" s="1"/>
  <c r="D40" i="46"/>
  <c r="F40" i="46" s="1"/>
  <c r="I40" i="46" s="1"/>
  <c r="D69" i="46"/>
  <c r="F69" i="46" s="1"/>
  <c r="I69" i="46" s="1"/>
  <c r="D69" i="48"/>
  <c r="F69" i="48" s="1"/>
  <c r="I69" i="48" s="1"/>
  <c r="D69" i="35"/>
  <c r="F69" i="35" s="1"/>
  <c r="I69" i="35" s="1"/>
  <c r="D69" i="42"/>
  <c r="F69" i="42" s="1"/>
  <c r="I69" i="42" s="1"/>
  <c r="D69" i="54"/>
  <c r="F69" i="54" s="1"/>
  <c r="I69" i="54" s="1"/>
  <c r="J69" i="54" s="1"/>
  <c r="D69" i="52"/>
  <c r="F69" i="52" s="1"/>
  <c r="I69" i="52" s="1"/>
  <c r="D69" i="50"/>
  <c r="F69" i="50" s="1"/>
  <c r="I69" i="50" s="1"/>
  <c r="D69" i="40"/>
  <c r="F69" i="40" s="1"/>
  <c r="I69" i="40" s="1"/>
  <c r="D69" i="44"/>
  <c r="F69" i="44" s="1"/>
  <c r="I69" i="44" s="1"/>
  <c r="D47" i="46"/>
  <c r="F47" i="46" s="1"/>
  <c r="I47" i="46" s="1"/>
  <c r="D47" i="52"/>
  <c r="F47" i="52" s="1"/>
  <c r="I47" i="52" s="1"/>
  <c r="D47" i="42"/>
  <c r="F47" i="42" s="1"/>
  <c r="I47" i="42" s="1"/>
  <c r="D47" i="44"/>
  <c r="F47" i="44" s="1"/>
  <c r="I47" i="44" s="1"/>
  <c r="D47" i="40"/>
  <c r="F47" i="40" s="1"/>
  <c r="I47" i="40" s="1"/>
  <c r="D47" i="54"/>
  <c r="F47" i="54" s="1"/>
  <c r="I47" i="54" s="1"/>
  <c r="D47" i="48"/>
  <c r="F47" i="48" s="1"/>
  <c r="I47" i="48" s="1"/>
  <c r="D47" i="50"/>
  <c r="F47" i="50" s="1"/>
  <c r="I47" i="50" s="1"/>
  <c r="D47" i="35"/>
  <c r="F47" i="35" s="1"/>
  <c r="I47" i="35" s="1"/>
  <c r="D68" i="40"/>
  <c r="F68" i="40" s="1"/>
  <c r="I68" i="40" s="1"/>
  <c r="D68" i="50"/>
  <c r="F68" i="50" s="1"/>
  <c r="I68" i="50" s="1"/>
  <c r="D68" i="48"/>
  <c r="F68" i="48" s="1"/>
  <c r="I68" i="48" s="1"/>
  <c r="E24" i="38"/>
  <c r="D38" i="42" s="1"/>
  <c r="F38" i="42" s="1"/>
  <c r="I38" i="42" s="1"/>
  <c r="B38" i="70"/>
  <c r="A38" i="70" s="1"/>
  <c r="E20" i="38"/>
  <c r="E25" i="38"/>
  <c r="E26" i="38"/>
  <c r="E45" i="38"/>
  <c r="D56" i="44" s="1"/>
  <c r="F56" i="44" s="1"/>
  <c r="I56" i="44" s="1"/>
  <c r="J56" i="44" s="1"/>
  <c r="B39" i="75"/>
  <c r="A39" i="75" s="1"/>
  <c r="B38" i="75"/>
  <c r="A38" i="75" s="1"/>
  <c r="B65" i="74"/>
  <c r="A65" i="74" s="1"/>
  <c r="H41" i="70"/>
  <c r="G41" i="70" s="1"/>
  <c r="E19" i="38"/>
  <c r="E34" i="38"/>
  <c r="D61" i="40" s="1"/>
  <c r="F61" i="40" s="1"/>
  <c r="I61" i="40" s="1"/>
  <c r="E36" i="38"/>
  <c r="D34" i="46" s="1"/>
  <c r="F34" i="46" s="1"/>
  <c r="I34" i="46" s="1"/>
  <c r="E39" i="38"/>
  <c r="D55" i="54" s="1"/>
  <c r="F55" i="54" s="1"/>
  <c r="I55" i="54" s="1"/>
  <c r="E42" i="38"/>
  <c r="D35" i="44" s="1"/>
  <c r="F35" i="44" s="1"/>
  <c r="I35" i="44" s="1"/>
  <c r="J35" i="44" s="1"/>
  <c r="E47" i="38"/>
  <c r="D70" i="52" s="1"/>
  <c r="F70" i="52" s="1"/>
  <c r="I70" i="52" s="1"/>
  <c r="J70" i="52" s="1"/>
  <c r="G54" i="40"/>
  <c r="G41" i="48"/>
  <c r="G34" i="52"/>
  <c r="G61" i="48"/>
  <c r="G68" i="54"/>
  <c r="G48" i="46"/>
  <c r="G68" i="48"/>
  <c r="G62" i="48"/>
  <c r="G54" i="48"/>
  <c r="G62" i="50"/>
  <c r="G54" i="50"/>
  <c r="G61" i="52"/>
  <c r="G55" i="54"/>
  <c r="G61" i="42"/>
  <c r="G41" i="50"/>
  <c r="G33" i="42"/>
  <c r="G68" i="50"/>
  <c r="G54" i="52"/>
  <c r="G61" i="54"/>
  <c r="G34" i="50"/>
  <c r="G40" i="54"/>
  <c r="G41" i="46"/>
  <c r="G55" i="48"/>
  <c r="G61" i="50"/>
  <c r="G55" i="50"/>
  <c r="G68" i="52"/>
  <c r="G62" i="52"/>
  <c r="G62" i="54"/>
  <c r="G54" i="46"/>
  <c r="G54" i="44"/>
  <c r="G48" i="48"/>
  <c r="G47" i="35"/>
  <c r="G41" i="52"/>
  <c r="G33" i="54"/>
  <c r="K63" i="58"/>
  <c r="H63" i="58"/>
  <c r="H67" i="58" s="1"/>
  <c r="H72" i="58"/>
  <c r="C11" i="75" s="1"/>
  <c r="I25" i="75" s="1"/>
  <c r="H25" i="75" s="1"/>
  <c r="F51" i="58"/>
  <c r="O64" i="64"/>
  <c r="P64" i="58"/>
  <c r="Q63" i="58"/>
  <c r="M52" i="64"/>
  <c r="W52" i="64" s="1"/>
  <c r="G63" i="58"/>
  <c r="F63" i="58"/>
  <c r="Q78" i="58"/>
  <c r="W78" i="58" s="1"/>
  <c r="O78" i="58"/>
  <c r="Q74" i="58"/>
  <c r="W74" i="58" s="1"/>
  <c r="X74" i="58" s="1"/>
  <c r="O74" i="58"/>
  <c r="J78" i="58"/>
  <c r="L78" i="58"/>
  <c r="K78" i="58"/>
  <c r="P78" i="58"/>
  <c r="N78" i="58"/>
  <c r="J72" i="58"/>
  <c r="K72" i="58"/>
  <c r="P72" i="64"/>
  <c r="N59" i="58"/>
  <c r="N64" i="64"/>
  <c r="M64" i="64"/>
  <c r="K64" i="64"/>
  <c r="Q64" i="64"/>
  <c r="J60" i="58"/>
  <c r="G11" i="70"/>
  <c r="I26" i="70" s="1"/>
  <c r="H26" i="70" s="1"/>
  <c r="M63" i="58"/>
  <c r="P63" i="58"/>
  <c r="L60" i="58"/>
  <c r="O60" i="58"/>
  <c r="Q60" i="58"/>
  <c r="P60" i="58"/>
  <c r="N63" i="64"/>
  <c r="H51" i="64"/>
  <c r="I51" i="58"/>
  <c r="K51" i="58"/>
  <c r="K52" i="64"/>
  <c r="H51" i="58"/>
  <c r="L52" i="64"/>
  <c r="V52" i="64" s="1"/>
  <c r="G51" i="58"/>
  <c r="L51" i="58"/>
  <c r="I39" i="58"/>
  <c r="W39" i="58" s="1"/>
  <c r="F39" i="58"/>
  <c r="H39" i="58"/>
  <c r="V39" i="58" s="1"/>
  <c r="F39" i="64"/>
  <c r="C22" i="61"/>
  <c r="O77" i="58"/>
  <c r="C17" i="62"/>
  <c r="C18" i="62"/>
  <c r="I17" i="22"/>
  <c r="D48" i="54"/>
  <c r="F48" i="54" s="1"/>
  <c r="I48" i="54" s="1"/>
  <c r="D48" i="52"/>
  <c r="F48" i="52" s="1"/>
  <c r="I48" i="52" s="1"/>
  <c r="D48" i="40"/>
  <c r="F48" i="40" s="1"/>
  <c r="I48" i="40" s="1"/>
  <c r="D48" i="48"/>
  <c r="F48" i="48" s="1"/>
  <c r="I48" i="48" s="1"/>
  <c r="D48" i="44"/>
  <c r="F48" i="44" s="1"/>
  <c r="I48" i="44" s="1"/>
  <c r="D48" i="35"/>
  <c r="F48" i="35" s="1"/>
  <c r="I48" i="35" s="1"/>
  <c r="D48" i="46"/>
  <c r="F48" i="46" s="1"/>
  <c r="I48" i="46" s="1"/>
  <c r="D48" i="50"/>
  <c r="F48" i="50" s="1"/>
  <c r="I48" i="50" s="1"/>
  <c r="D48" i="42"/>
  <c r="F48" i="42" s="1"/>
  <c r="I48" i="42" s="1"/>
  <c r="D68" i="35"/>
  <c r="F68" i="35" s="1"/>
  <c r="I68" i="35" s="1"/>
  <c r="D68" i="42"/>
  <c r="F68" i="42" s="1"/>
  <c r="I68" i="42" s="1"/>
  <c r="F33" i="44"/>
  <c r="I33" i="44" s="1"/>
  <c r="D68" i="46"/>
  <c r="F68" i="46" s="1"/>
  <c r="I68" i="46" s="1"/>
  <c r="D68" i="44"/>
  <c r="F68" i="44" s="1"/>
  <c r="I68" i="44" s="1"/>
  <c r="D68" i="52"/>
  <c r="F68" i="52" s="1"/>
  <c r="I68" i="52" s="1"/>
  <c r="D68" i="54"/>
  <c r="F68" i="54" s="1"/>
  <c r="O63" i="64"/>
  <c r="I59" i="64"/>
  <c r="K63" i="64"/>
  <c r="P79" i="64"/>
  <c r="V79" i="64" s="1"/>
  <c r="F72" i="58"/>
  <c r="I72" i="58"/>
  <c r="L72" i="58"/>
  <c r="K48" i="64"/>
  <c r="G48" i="58"/>
  <c r="O79" i="64"/>
  <c r="Q79" i="64"/>
  <c r="W79" i="64" s="1"/>
  <c r="G39" i="64"/>
  <c r="P72" i="58"/>
  <c r="M72" i="58"/>
  <c r="G72" i="58"/>
  <c r="I48" i="64"/>
  <c r="L48" i="58"/>
  <c r="I63" i="64"/>
  <c r="H63" i="64"/>
  <c r="H67" i="64" s="1"/>
  <c r="L63" i="58"/>
  <c r="I63" i="58"/>
  <c r="P79" i="58"/>
  <c r="V79" i="58" s="1"/>
  <c r="X79" i="58" s="1"/>
  <c r="N73" i="58"/>
  <c r="M59" i="58"/>
  <c r="O79" i="58"/>
  <c r="O73" i="58"/>
  <c r="Q63" i="64"/>
  <c r="N72" i="58"/>
  <c r="O72" i="58"/>
  <c r="K72" i="64"/>
  <c r="M60" i="58"/>
  <c r="L48" i="64"/>
  <c r="M64" i="58"/>
  <c r="N74" i="58"/>
  <c r="P59" i="58"/>
  <c r="G63" i="64"/>
  <c r="N25" i="74"/>
  <c r="M25" i="74" s="1"/>
  <c r="O63" i="58"/>
  <c r="N63" i="58"/>
  <c r="J73" i="58"/>
  <c r="H39" i="64"/>
  <c r="V39" i="64" s="1"/>
  <c r="O59" i="58"/>
  <c r="F63" i="64"/>
  <c r="M73" i="58"/>
  <c r="F32" i="50"/>
  <c r="I32" i="50" s="1"/>
  <c r="J14" i="22"/>
  <c r="J15" i="22"/>
  <c r="C23" i="61"/>
  <c r="C16" i="62"/>
  <c r="F48" i="64"/>
  <c r="Q72" i="64"/>
  <c r="H48" i="58"/>
  <c r="K48" i="58"/>
  <c r="L64" i="58"/>
  <c r="N77" i="58"/>
  <c r="P77" i="58"/>
  <c r="M77" i="58"/>
  <c r="L72" i="64"/>
  <c r="J72" i="64"/>
  <c r="H48" i="64"/>
  <c r="M48" i="64"/>
  <c r="M72" i="64"/>
  <c r="I48" i="58"/>
  <c r="M48" i="58"/>
  <c r="J48" i="58"/>
  <c r="J64" i="58"/>
  <c r="Q64" i="58"/>
  <c r="I77" i="58"/>
  <c r="H77" i="58"/>
  <c r="J63" i="64"/>
  <c r="L63" i="64"/>
  <c r="I25" i="74"/>
  <c r="H25" i="74" s="1"/>
  <c r="G25" i="74" s="1"/>
  <c r="L59" i="58"/>
  <c r="L77" i="58"/>
  <c r="L73" i="58"/>
  <c r="I59" i="58"/>
  <c r="Q73" i="58"/>
  <c r="G72" i="64"/>
  <c r="N72" i="64"/>
  <c r="G48" i="64"/>
  <c r="O64" i="58"/>
  <c r="G77" i="58"/>
  <c r="F72" i="64"/>
  <c r="H72" i="64"/>
  <c r="O72" i="64"/>
  <c r="N64" i="58"/>
  <c r="K77" i="58"/>
  <c r="Q59" i="58"/>
  <c r="M63" i="64"/>
  <c r="F59" i="58"/>
  <c r="G59" i="58"/>
  <c r="C28" i="60"/>
  <c r="C26" i="60"/>
  <c r="C27" i="60"/>
  <c r="A25" i="74"/>
  <c r="C31" i="44"/>
  <c r="P60" i="64"/>
  <c r="L60" i="64"/>
  <c r="K60" i="64"/>
  <c r="O60" i="64"/>
  <c r="J60" i="64"/>
  <c r="K52" i="58"/>
  <c r="M52" i="58"/>
  <c r="J52" i="58"/>
  <c r="J49" i="58"/>
  <c r="M49" i="58"/>
  <c r="L49" i="58"/>
  <c r="J59" i="58"/>
  <c r="K59" i="58"/>
  <c r="H82" i="34"/>
  <c r="G82" i="34"/>
  <c r="I82" i="34"/>
  <c r="G69" i="44"/>
  <c r="G69" i="46"/>
  <c r="G40" i="46"/>
  <c r="G33" i="46"/>
  <c r="G47" i="44"/>
  <c r="G40" i="44"/>
  <c r="G33" i="44"/>
  <c r="G48" i="42"/>
  <c r="G41" i="42"/>
  <c r="G34" i="42"/>
  <c r="G69" i="42"/>
  <c r="G34" i="46"/>
  <c r="G47" i="42"/>
  <c r="G48" i="40"/>
  <c r="G47" i="40"/>
  <c r="G40" i="40"/>
  <c r="G33" i="40"/>
  <c r="G47" i="52"/>
  <c r="G47" i="50"/>
  <c r="G40" i="35"/>
  <c r="G33" i="35"/>
  <c r="G69" i="48"/>
  <c r="G34" i="48"/>
  <c r="G61" i="40"/>
  <c r="G68" i="40"/>
  <c r="G55" i="35"/>
  <c r="G62" i="35"/>
  <c r="G54" i="42"/>
  <c r="G34" i="44"/>
  <c r="G40" i="42"/>
  <c r="G69" i="40"/>
  <c r="G41" i="54"/>
  <c r="G34" i="54"/>
  <c r="G40" i="52"/>
  <c r="G33" i="52"/>
  <c r="G69" i="50"/>
  <c r="G40" i="50"/>
  <c r="G33" i="50"/>
  <c r="G48" i="35"/>
  <c r="G47" i="48"/>
  <c r="G40" i="48"/>
  <c r="G55" i="40"/>
  <c r="G62" i="42"/>
  <c r="G62" i="44"/>
  <c r="G68" i="44"/>
  <c r="G62" i="46"/>
  <c r="G68" i="46"/>
  <c r="G54" i="54"/>
  <c r="G41" i="44"/>
  <c r="G41" i="40"/>
  <c r="G34" i="40"/>
  <c r="G48" i="54"/>
  <c r="G47" i="54"/>
  <c r="G69" i="52"/>
  <c r="G48" i="52"/>
  <c r="G48" i="50"/>
  <c r="G69" i="35"/>
  <c r="G41" i="35"/>
  <c r="G34" i="35"/>
  <c r="G33" i="48"/>
  <c r="G62" i="40"/>
  <c r="G54" i="35"/>
  <c r="G61" i="35"/>
  <c r="G68" i="35"/>
  <c r="G55" i="42"/>
  <c r="G68" i="42"/>
  <c r="G55" i="44"/>
  <c r="G61" i="44"/>
  <c r="G55" i="46"/>
  <c r="G61" i="46"/>
  <c r="I23" i="64"/>
  <c r="W23" i="64" s="1"/>
  <c r="E42" i="58"/>
  <c r="X42" i="58" s="1"/>
  <c r="E40" i="58"/>
  <c r="E41" i="58"/>
  <c r="E19" i="1"/>
  <c r="B10" i="63"/>
  <c r="E53" i="58"/>
  <c r="X53" i="58" s="1"/>
  <c r="E49" i="64"/>
  <c r="E54" i="64" s="1"/>
  <c r="E61" i="58"/>
  <c r="E61" i="64"/>
  <c r="E65" i="58"/>
  <c r="E65" i="64"/>
  <c r="E80" i="58"/>
  <c r="E80" i="64"/>
  <c r="X80" i="64" s="1"/>
  <c r="E23" i="38"/>
  <c r="E27" i="38"/>
  <c r="E28" i="38"/>
  <c r="E37" i="38"/>
  <c r="E40" i="38"/>
  <c r="J16" i="22"/>
  <c r="E46" i="46"/>
  <c r="E46" i="42"/>
  <c r="E39" i="42"/>
  <c r="E32" i="42"/>
  <c r="C26" i="72"/>
  <c r="B26" i="72" s="1"/>
  <c r="A26" i="72" s="1"/>
  <c r="C25" i="68"/>
  <c r="B25" i="68" s="1"/>
  <c r="C38" i="73"/>
  <c r="B38" i="73" s="1"/>
  <c r="A38" i="73" s="1"/>
  <c r="C39" i="72"/>
  <c r="B39" i="72" s="1"/>
  <c r="A39" i="72" s="1"/>
  <c r="N75" i="75"/>
  <c r="M75" i="75" s="1"/>
  <c r="N54" i="75"/>
  <c r="M54" i="75" s="1"/>
  <c r="N75" i="71"/>
  <c r="M75" i="71" s="1"/>
  <c r="N75" i="74"/>
  <c r="M75" i="74" s="1"/>
  <c r="N65" i="74"/>
  <c r="M65" i="74" s="1"/>
  <c r="C61" i="37"/>
  <c r="N74" i="75"/>
  <c r="M74" i="75" s="1"/>
  <c r="N65" i="75"/>
  <c r="M65" i="75" s="1"/>
  <c r="H7" i="23"/>
  <c r="B65" i="69"/>
  <c r="A65" i="69" s="1"/>
  <c r="E41" i="64"/>
  <c r="F41" i="64" s="1"/>
  <c r="J59" i="64"/>
  <c r="E43" i="38"/>
  <c r="D42" i="50" s="1"/>
  <c r="F42" i="50" s="1"/>
  <c r="I42" i="50" s="1"/>
  <c r="J42" i="50" s="1"/>
  <c r="C56" i="38"/>
  <c r="D56" i="38" s="1"/>
  <c r="C55" i="38"/>
  <c r="D55" i="38" s="1"/>
  <c r="I16" i="22"/>
  <c r="H9" i="23"/>
  <c r="E33" i="38"/>
  <c r="E44" i="38"/>
  <c r="L78" i="64"/>
  <c r="Q78" i="64"/>
  <c r="N78" i="64"/>
  <c r="M78" i="64"/>
  <c r="P78" i="64"/>
  <c r="O78" i="64"/>
  <c r="J78" i="64"/>
  <c r="K78" i="64"/>
  <c r="P77" i="64"/>
  <c r="J77" i="64"/>
  <c r="I77" i="64"/>
  <c r="H77" i="64"/>
  <c r="F77" i="64"/>
  <c r="G77" i="64"/>
  <c r="N77" i="64"/>
  <c r="Q77" i="64"/>
  <c r="O77" i="64"/>
  <c r="K77" i="64"/>
  <c r="M77" i="64"/>
  <c r="L77" i="64"/>
  <c r="L51" i="64"/>
  <c r="F51" i="64"/>
  <c r="K51" i="64"/>
  <c r="M60" i="64"/>
  <c r="W60" i="64" s="1"/>
  <c r="N59" i="64"/>
  <c r="L59" i="64"/>
  <c r="B39" i="69"/>
  <c r="A39" i="69" s="1"/>
  <c r="B38" i="71"/>
  <c r="B39" i="74"/>
  <c r="A39" i="74" s="1"/>
  <c r="B38" i="67"/>
  <c r="A38" i="67" s="1"/>
  <c r="B39" i="71"/>
  <c r="A39" i="71" s="1"/>
  <c r="B39" i="68"/>
  <c r="A39" i="68" s="1"/>
  <c r="O59" i="64"/>
  <c r="B64" i="73"/>
  <c r="A64" i="73" s="1"/>
  <c r="B64" i="71"/>
  <c r="A64" i="71" s="1"/>
  <c r="B65" i="75"/>
  <c r="A65" i="75" s="1"/>
  <c r="B64" i="72"/>
  <c r="A64" i="72" s="1"/>
  <c r="J51" i="64"/>
  <c r="I51" i="64"/>
  <c r="N60" i="64"/>
  <c r="M59" i="64"/>
  <c r="P59" i="64"/>
  <c r="B39" i="67"/>
  <c r="A39" i="67" s="1"/>
  <c r="B38" i="69"/>
  <c r="A38" i="69" s="1"/>
  <c r="B38" i="74"/>
  <c r="A38" i="74" s="1"/>
  <c r="B38" i="68"/>
  <c r="A38" i="68" s="1"/>
  <c r="B64" i="68"/>
  <c r="A64" i="68" s="1"/>
  <c r="H13" i="23"/>
  <c r="M51" i="64"/>
  <c r="K59" i="64"/>
  <c r="F59" i="64"/>
  <c r="G59" i="64"/>
  <c r="B38" i="72"/>
  <c r="B39" i="73"/>
  <c r="A39" i="73" s="1"/>
  <c r="B64" i="70"/>
  <c r="A64" i="70" s="1"/>
  <c r="B64" i="67"/>
  <c r="A64" i="67" s="1"/>
  <c r="B65" i="72"/>
  <c r="A65" i="72" s="1"/>
  <c r="B64" i="69"/>
  <c r="A64" i="69" s="1"/>
  <c r="B65" i="73"/>
  <c r="A65" i="73" s="1"/>
  <c r="Q59" i="64"/>
  <c r="W39" i="64"/>
  <c r="M73" i="64"/>
  <c r="J73" i="64"/>
  <c r="N73" i="64"/>
  <c r="P73" i="64"/>
  <c r="K73" i="64"/>
  <c r="O73" i="64"/>
  <c r="L73" i="64"/>
  <c r="Q73" i="64"/>
  <c r="H8" i="23"/>
  <c r="D18" i="23"/>
  <c r="H55" i="67"/>
  <c r="G55" i="67" s="1"/>
  <c r="H54" i="74"/>
  <c r="G54" i="74" s="1"/>
  <c r="H55" i="68"/>
  <c r="G55" i="68" s="1"/>
  <c r="H55" i="72"/>
  <c r="G55" i="72" s="1"/>
  <c r="H53" i="67"/>
  <c r="H55" i="70"/>
  <c r="G55" i="70" s="1"/>
  <c r="H53" i="72"/>
  <c r="H54" i="67"/>
  <c r="G54" i="67" s="1"/>
  <c r="H53" i="68"/>
  <c r="H53" i="70"/>
  <c r="H53" i="69"/>
  <c r="H53" i="71"/>
  <c r="H56" i="73"/>
  <c r="G56" i="73" s="1"/>
  <c r="H55" i="69"/>
  <c r="G55" i="69" s="1"/>
  <c r="H56" i="67"/>
  <c r="G56" i="67" s="1"/>
  <c r="H55" i="71"/>
  <c r="G55" i="71" s="1"/>
  <c r="H54" i="72"/>
  <c r="G54" i="72" s="1"/>
  <c r="H56" i="74"/>
  <c r="G56" i="74" s="1"/>
  <c r="H54" i="75"/>
  <c r="G54" i="75" s="1"/>
  <c r="H56" i="75"/>
  <c r="G56" i="75" s="1"/>
  <c r="H54" i="73"/>
  <c r="G54" i="73" s="1"/>
  <c r="H56" i="72"/>
  <c r="G56" i="72" s="1"/>
  <c r="D63" i="42"/>
  <c r="F63" i="42" s="1"/>
  <c r="D63" i="48"/>
  <c r="F63" i="48" s="1"/>
  <c r="D63" i="35"/>
  <c r="F63" i="35" s="1"/>
  <c r="D63" i="40"/>
  <c r="F63" i="40" s="1"/>
  <c r="D63" i="54"/>
  <c r="F63" i="54" s="1"/>
  <c r="D63" i="46"/>
  <c r="F63" i="46" s="1"/>
  <c r="D63" i="44"/>
  <c r="F63" i="44" s="1"/>
  <c r="D63" i="50"/>
  <c r="F63" i="50" s="1"/>
  <c r="G17" i="23"/>
  <c r="H12" i="23"/>
  <c r="E62" i="38" l="1"/>
  <c r="D62" i="38"/>
  <c r="C62" i="38"/>
  <c r="C63" i="38" s="1"/>
  <c r="C9" i="38" s="1"/>
  <c r="E9" i="38" s="1"/>
  <c r="B62" i="38"/>
  <c r="B63" i="38" s="1"/>
  <c r="C8" i="38" s="1"/>
  <c r="E8" i="38" s="1"/>
  <c r="E26" i="64"/>
  <c r="J26" i="64" s="1"/>
  <c r="D35" i="42"/>
  <c r="F35" i="42" s="1"/>
  <c r="I35" i="42" s="1"/>
  <c r="J35" i="42" s="1"/>
  <c r="D35" i="46"/>
  <c r="F35" i="46" s="1"/>
  <c r="I35" i="46" s="1"/>
  <c r="J35" i="46" s="1"/>
  <c r="D34" i="35"/>
  <c r="F34" i="35" s="1"/>
  <c r="I34" i="35" s="1"/>
  <c r="J67" i="54"/>
  <c r="F39" i="42"/>
  <c r="I39" i="42" s="1"/>
  <c r="J39" i="42" s="1"/>
  <c r="F54" i="58"/>
  <c r="F82" i="58"/>
  <c r="N25" i="75"/>
  <c r="M25" i="75" s="1"/>
  <c r="G54" i="64"/>
  <c r="C13" i="42" s="1"/>
  <c r="C13" i="50" s="1"/>
  <c r="J47" i="46"/>
  <c r="J60" i="54"/>
  <c r="J33" i="50"/>
  <c r="J33" i="52"/>
  <c r="D55" i="44"/>
  <c r="F55" i="44" s="1"/>
  <c r="I55" i="44" s="1"/>
  <c r="J33" i="42"/>
  <c r="G67" i="58"/>
  <c r="J68" i="48"/>
  <c r="J68" i="44"/>
  <c r="J32" i="48"/>
  <c r="D34" i="42"/>
  <c r="F34" i="42" s="1"/>
  <c r="I34" i="42" s="1"/>
  <c r="J34" i="42" s="1"/>
  <c r="D34" i="52"/>
  <c r="F34" i="52" s="1"/>
  <c r="I34" i="52" s="1"/>
  <c r="J34" i="52" s="1"/>
  <c r="J47" i="44"/>
  <c r="D55" i="35"/>
  <c r="F55" i="35" s="1"/>
  <c r="I55" i="35" s="1"/>
  <c r="D55" i="40"/>
  <c r="F55" i="40" s="1"/>
  <c r="I55" i="40" s="1"/>
  <c r="D52" i="44"/>
  <c r="F52" i="44" s="1"/>
  <c r="I52" i="44" s="1"/>
  <c r="J52" i="44" s="1"/>
  <c r="D55" i="50"/>
  <c r="F55" i="50" s="1"/>
  <c r="I55" i="50" s="1"/>
  <c r="J48" i="40"/>
  <c r="D55" i="52"/>
  <c r="F55" i="52" s="1"/>
  <c r="I55" i="52" s="1"/>
  <c r="J55" i="52" s="1"/>
  <c r="D61" i="44"/>
  <c r="F61" i="44" s="1"/>
  <c r="I61" i="44" s="1"/>
  <c r="D34" i="40"/>
  <c r="F34" i="40" s="1"/>
  <c r="I34" i="40" s="1"/>
  <c r="J47" i="50"/>
  <c r="D61" i="35"/>
  <c r="F61" i="35" s="1"/>
  <c r="I61" i="35" s="1"/>
  <c r="J61" i="35" s="1"/>
  <c r="D34" i="48"/>
  <c r="F34" i="48" s="1"/>
  <c r="I34" i="48" s="1"/>
  <c r="J40" i="44"/>
  <c r="I39" i="50"/>
  <c r="J39" i="50" s="1"/>
  <c r="F46" i="42"/>
  <c r="I46" i="42" s="1"/>
  <c r="J46" i="42" s="1"/>
  <c r="J60" i="44"/>
  <c r="J74" i="46"/>
  <c r="J60" i="35"/>
  <c r="X23" i="64"/>
  <c r="K67" i="58"/>
  <c r="W51" i="58"/>
  <c r="J47" i="35"/>
  <c r="G11" i="71"/>
  <c r="I26" i="71" s="1"/>
  <c r="H26" i="71" s="1"/>
  <c r="D61" i="42"/>
  <c r="F61" i="42" s="1"/>
  <c r="I61" i="42" s="1"/>
  <c r="D61" i="54"/>
  <c r="F61" i="54" s="1"/>
  <c r="I61" i="54" s="1"/>
  <c r="V64" i="58"/>
  <c r="D61" i="52"/>
  <c r="F61" i="52" s="1"/>
  <c r="I61" i="52" s="1"/>
  <c r="J61" i="52" s="1"/>
  <c r="D61" i="46"/>
  <c r="F61" i="46" s="1"/>
  <c r="I61" i="46" s="1"/>
  <c r="D61" i="50"/>
  <c r="F61" i="50" s="1"/>
  <c r="I61" i="50" s="1"/>
  <c r="J61" i="50" s="1"/>
  <c r="J67" i="42"/>
  <c r="F46" i="46"/>
  <c r="I46" i="46" s="1"/>
  <c r="D61" i="48"/>
  <c r="F61" i="48" s="1"/>
  <c r="I61" i="48" s="1"/>
  <c r="J61" i="48" s="1"/>
  <c r="D52" i="48"/>
  <c r="F52" i="48" s="1"/>
  <c r="I52" i="48" s="1"/>
  <c r="J52" i="48" s="1"/>
  <c r="D70" i="54"/>
  <c r="F70" i="54" s="1"/>
  <c r="I70" i="54" s="1"/>
  <c r="J70" i="54" s="1"/>
  <c r="D70" i="46"/>
  <c r="F70" i="46" s="1"/>
  <c r="I70" i="46" s="1"/>
  <c r="J70" i="46" s="1"/>
  <c r="F67" i="58"/>
  <c r="D52" i="35"/>
  <c r="F52" i="35" s="1"/>
  <c r="I52" i="35" s="1"/>
  <c r="J52" i="35" s="1"/>
  <c r="D35" i="35"/>
  <c r="F35" i="35" s="1"/>
  <c r="I35" i="35" s="1"/>
  <c r="J35" i="35" s="1"/>
  <c r="N26" i="70"/>
  <c r="M26" i="70" s="1"/>
  <c r="K11" i="74"/>
  <c r="O11" i="70" s="1"/>
  <c r="J48" i="44"/>
  <c r="D38" i="48"/>
  <c r="F38" i="48" s="1"/>
  <c r="I38" i="48" s="1"/>
  <c r="J38" i="48" s="1"/>
  <c r="G82" i="58"/>
  <c r="W63" i="58"/>
  <c r="G54" i="58"/>
  <c r="V63" i="58"/>
  <c r="D38" i="35"/>
  <c r="F38" i="35" s="1"/>
  <c r="I38" i="35" s="1"/>
  <c r="J38" i="35" s="1"/>
  <c r="J74" i="48"/>
  <c r="J74" i="42"/>
  <c r="X39" i="58"/>
  <c r="D52" i="52"/>
  <c r="F52" i="52" s="1"/>
  <c r="I52" i="52" s="1"/>
  <c r="J52" i="52" s="1"/>
  <c r="J55" i="54"/>
  <c r="E82" i="34"/>
  <c r="G83" i="34" s="1"/>
  <c r="G11" i="34" s="1"/>
  <c r="X52" i="64"/>
  <c r="J40" i="54"/>
  <c r="C25" i="75"/>
  <c r="B25" i="75" s="1"/>
  <c r="C31" i="46" s="1"/>
  <c r="M82" i="58"/>
  <c r="D38" i="50"/>
  <c r="F38" i="50" s="1"/>
  <c r="I38" i="50" s="1"/>
  <c r="J38" i="50" s="1"/>
  <c r="D38" i="46"/>
  <c r="F38" i="46" s="1"/>
  <c r="I38" i="46" s="1"/>
  <c r="K11" i="73"/>
  <c r="I27" i="73" s="1"/>
  <c r="H27" i="73" s="1"/>
  <c r="D38" i="44"/>
  <c r="F38" i="44" s="1"/>
  <c r="I38" i="44" s="1"/>
  <c r="J38" i="44" s="1"/>
  <c r="K13" i="75"/>
  <c r="N55" i="75" s="1"/>
  <c r="M55" i="75" s="1"/>
  <c r="D38" i="40"/>
  <c r="F38" i="40" s="1"/>
  <c r="I38" i="40" s="1"/>
  <c r="J38" i="40" s="1"/>
  <c r="D38" i="54"/>
  <c r="F38" i="54" s="1"/>
  <c r="I38" i="54" s="1"/>
  <c r="J38" i="54" s="1"/>
  <c r="D38" i="52"/>
  <c r="F38" i="52" s="1"/>
  <c r="I38" i="52" s="1"/>
  <c r="J38" i="52" s="1"/>
  <c r="D42" i="54"/>
  <c r="F42" i="54" s="1"/>
  <c r="I42" i="54" s="1"/>
  <c r="J42" i="54" s="1"/>
  <c r="D42" i="42"/>
  <c r="F42" i="42" s="1"/>
  <c r="I42" i="42" s="1"/>
  <c r="J42" i="42" s="1"/>
  <c r="D55" i="48"/>
  <c r="F55" i="48" s="1"/>
  <c r="I55" i="48" s="1"/>
  <c r="D55" i="46"/>
  <c r="F55" i="46" s="1"/>
  <c r="I55" i="46" s="1"/>
  <c r="J47" i="52"/>
  <c r="J33" i="35"/>
  <c r="J69" i="40"/>
  <c r="J40" i="46"/>
  <c r="D55" i="42"/>
  <c r="F55" i="42" s="1"/>
  <c r="I55" i="42" s="1"/>
  <c r="J67" i="48"/>
  <c r="F32" i="42"/>
  <c r="I32" i="42" s="1"/>
  <c r="J32" i="42" s="1"/>
  <c r="I32" i="35"/>
  <c r="J32" i="35" s="1"/>
  <c r="J74" i="44"/>
  <c r="I53" i="40"/>
  <c r="J53" i="40" s="1"/>
  <c r="I32" i="44"/>
  <c r="J32" i="44" s="1"/>
  <c r="J39" i="54"/>
  <c r="J40" i="40"/>
  <c r="J40" i="52"/>
  <c r="J47" i="54"/>
  <c r="J68" i="40"/>
  <c r="J33" i="40"/>
  <c r="J69" i="35"/>
  <c r="J40" i="50"/>
  <c r="J48" i="50"/>
  <c r="J40" i="35"/>
  <c r="J47" i="40"/>
  <c r="J68" i="35"/>
  <c r="J34" i="46"/>
  <c r="J48" i="52"/>
  <c r="J68" i="46"/>
  <c r="J48" i="35"/>
  <c r="J40" i="42"/>
  <c r="J69" i="44"/>
  <c r="J48" i="54"/>
  <c r="J33" i="46"/>
  <c r="J33" i="44"/>
  <c r="J38" i="42"/>
  <c r="J46" i="50"/>
  <c r="J69" i="52"/>
  <c r="J69" i="48"/>
  <c r="D70" i="40"/>
  <c r="F70" i="40" s="1"/>
  <c r="I70" i="40" s="1"/>
  <c r="J70" i="40" s="1"/>
  <c r="D70" i="35"/>
  <c r="F70" i="35" s="1"/>
  <c r="I70" i="35" s="1"/>
  <c r="J70" i="35" s="1"/>
  <c r="D35" i="50"/>
  <c r="F35" i="50" s="1"/>
  <c r="I35" i="50" s="1"/>
  <c r="J35" i="50" s="1"/>
  <c r="D35" i="40"/>
  <c r="F35" i="40" s="1"/>
  <c r="I35" i="40" s="1"/>
  <c r="J35" i="40" s="1"/>
  <c r="J40" i="48"/>
  <c r="J47" i="42"/>
  <c r="D35" i="52"/>
  <c r="F35" i="52" s="1"/>
  <c r="I35" i="52" s="1"/>
  <c r="J35" i="52" s="1"/>
  <c r="D35" i="48"/>
  <c r="F35" i="48" s="1"/>
  <c r="I35" i="48" s="1"/>
  <c r="J35" i="48" s="1"/>
  <c r="J33" i="48"/>
  <c r="J47" i="48"/>
  <c r="J61" i="40"/>
  <c r="D52" i="50"/>
  <c r="F52" i="50" s="1"/>
  <c r="I52" i="50" s="1"/>
  <c r="D52" i="42"/>
  <c r="F52" i="42" s="1"/>
  <c r="I52" i="42" s="1"/>
  <c r="J52" i="42" s="1"/>
  <c r="J48" i="46"/>
  <c r="D34" i="44"/>
  <c r="F34" i="44" s="1"/>
  <c r="I34" i="44" s="1"/>
  <c r="D34" i="50"/>
  <c r="F34" i="50" s="1"/>
  <c r="D34" i="54"/>
  <c r="F34" i="54" s="1"/>
  <c r="I34" i="54" s="1"/>
  <c r="D45" i="35"/>
  <c r="F45" i="35" s="1"/>
  <c r="D45" i="54"/>
  <c r="F45" i="54" s="1"/>
  <c r="D45" i="46"/>
  <c r="F45" i="46" s="1"/>
  <c r="I45" i="46" s="1"/>
  <c r="J45" i="46" s="1"/>
  <c r="D45" i="42"/>
  <c r="F45" i="42" s="1"/>
  <c r="I45" i="42" s="1"/>
  <c r="J45" i="42" s="1"/>
  <c r="D45" i="50"/>
  <c r="F45" i="50" s="1"/>
  <c r="D45" i="48"/>
  <c r="F45" i="48" s="1"/>
  <c r="D45" i="40"/>
  <c r="F45" i="40" s="1"/>
  <c r="D45" i="44"/>
  <c r="F45" i="44" s="1"/>
  <c r="D45" i="52"/>
  <c r="F45" i="52" s="1"/>
  <c r="J69" i="46"/>
  <c r="D70" i="48"/>
  <c r="F70" i="48" s="1"/>
  <c r="I70" i="48" s="1"/>
  <c r="J70" i="48" s="1"/>
  <c r="D70" i="44"/>
  <c r="F70" i="44" s="1"/>
  <c r="I70" i="44" s="1"/>
  <c r="J70" i="44" s="1"/>
  <c r="D70" i="50"/>
  <c r="F70" i="50" s="1"/>
  <c r="I70" i="50" s="1"/>
  <c r="J70" i="50" s="1"/>
  <c r="D70" i="42"/>
  <c r="F70" i="42" s="1"/>
  <c r="I70" i="42" s="1"/>
  <c r="J70" i="42" s="1"/>
  <c r="D35" i="54"/>
  <c r="F35" i="54" s="1"/>
  <c r="I35" i="54" s="1"/>
  <c r="J35" i="54" s="1"/>
  <c r="J69" i="42"/>
  <c r="D52" i="40"/>
  <c r="F52" i="40" s="1"/>
  <c r="I52" i="40" s="1"/>
  <c r="J68" i="50"/>
  <c r="D52" i="54"/>
  <c r="F52" i="54" s="1"/>
  <c r="I52" i="54" s="1"/>
  <c r="J52" i="54" s="1"/>
  <c r="D52" i="46"/>
  <c r="F52" i="46" s="1"/>
  <c r="J68" i="52"/>
  <c r="J33" i="54"/>
  <c r="J48" i="48"/>
  <c r="J69" i="50"/>
  <c r="D42" i="46"/>
  <c r="F42" i="46" s="1"/>
  <c r="I42" i="46" s="1"/>
  <c r="J42" i="46" s="1"/>
  <c r="D42" i="40"/>
  <c r="F42" i="40" s="1"/>
  <c r="I42" i="40" s="1"/>
  <c r="J42" i="40" s="1"/>
  <c r="V78" i="58"/>
  <c r="X78" i="58" s="1"/>
  <c r="D42" i="44"/>
  <c r="F42" i="44" s="1"/>
  <c r="I42" i="44" s="1"/>
  <c r="J42" i="44" s="1"/>
  <c r="D42" i="35"/>
  <c r="F42" i="35" s="1"/>
  <c r="I42" i="35" s="1"/>
  <c r="J42" i="35" s="1"/>
  <c r="D42" i="48"/>
  <c r="F42" i="48" s="1"/>
  <c r="I42" i="48" s="1"/>
  <c r="J42" i="48" s="1"/>
  <c r="D42" i="52"/>
  <c r="F42" i="52" s="1"/>
  <c r="I42" i="52" s="1"/>
  <c r="J42" i="52" s="1"/>
  <c r="J82" i="58"/>
  <c r="J32" i="50"/>
  <c r="X79" i="64"/>
  <c r="W64" i="64"/>
  <c r="X64" i="64" s="1"/>
  <c r="V51" i="64"/>
  <c r="K14" i="75"/>
  <c r="N66" i="75" s="1"/>
  <c r="M66" i="75" s="1"/>
  <c r="W60" i="58"/>
  <c r="W64" i="58"/>
  <c r="K82" i="58"/>
  <c r="V72" i="58"/>
  <c r="C26" i="70"/>
  <c r="B26" i="70" s="1"/>
  <c r="C31" i="52" s="1"/>
  <c r="V60" i="58"/>
  <c r="W59" i="58"/>
  <c r="G67" i="64"/>
  <c r="C13" i="44" s="1"/>
  <c r="C13" i="52" s="1"/>
  <c r="I54" i="58"/>
  <c r="V48" i="64"/>
  <c r="V51" i="58"/>
  <c r="H54" i="64"/>
  <c r="F43" i="64"/>
  <c r="C11" i="40" s="1"/>
  <c r="C11" i="48" s="1"/>
  <c r="C26" i="61"/>
  <c r="W72" i="58"/>
  <c r="V59" i="58"/>
  <c r="J67" i="64"/>
  <c r="C17" i="44" s="1"/>
  <c r="C17" i="52" s="1"/>
  <c r="L82" i="58"/>
  <c r="C22" i="62"/>
  <c r="C16" i="75"/>
  <c r="G16" i="71" s="1"/>
  <c r="I84" i="71" s="1"/>
  <c r="H84" i="71" s="1"/>
  <c r="I67" i="58"/>
  <c r="I67" i="64"/>
  <c r="C21" i="62"/>
  <c r="O82" i="58"/>
  <c r="C23" i="62"/>
  <c r="N82" i="58"/>
  <c r="C27" i="61"/>
  <c r="D56" i="35"/>
  <c r="F56" i="35" s="1"/>
  <c r="I56" i="35" s="1"/>
  <c r="J56" i="35" s="1"/>
  <c r="D56" i="50"/>
  <c r="F56" i="50" s="1"/>
  <c r="I56" i="50" s="1"/>
  <c r="J56" i="50" s="1"/>
  <c r="J48" i="42"/>
  <c r="I68" i="54"/>
  <c r="J68" i="54" s="1"/>
  <c r="J68" i="42"/>
  <c r="W63" i="64"/>
  <c r="H41" i="64"/>
  <c r="V41" i="64" s="1"/>
  <c r="W72" i="64"/>
  <c r="I41" i="64"/>
  <c r="W41" i="64" s="1"/>
  <c r="W43" i="64" s="1"/>
  <c r="V72" i="64"/>
  <c r="F67" i="64"/>
  <c r="V63" i="64"/>
  <c r="P82" i="58"/>
  <c r="E43" i="64"/>
  <c r="G82" i="64"/>
  <c r="C13" i="46" s="1"/>
  <c r="C13" i="54" s="1"/>
  <c r="Q82" i="58"/>
  <c r="C14" i="75"/>
  <c r="I64" i="75" s="1"/>
  <c r="H64" i="75" s="1"/>
  <c r="G64" i="75" s="1"/>
  <c r="F82" i="64"/>
  <c r="C12" i="46" s="1"/>
  <c r="C12" i="54" s="1"/>
  <c r="W48" i="64"/>
  <c r="M67" i="58"/>
  <c r="I74" i="40"/>
  <c r="J74" i="40" s="1"/>
  <c r="C28" i="61"/>
  <c r="X18" i="64"/>
  <c r="V77" i="58"/>
  <c r="K11" i="75"/>
  <c r="P82" i="64"/>
  <c r="M67" i="64"/>
  <c r="C65" i="37"/>
  <c r="C97" i="72" s="1"/>
  <c r="B97" i="72" s="1"/>
  <c r="A97" i="72" s="1"/>
  <c r="J67" i="58"/>
  <c r="K54" i="58"/>
  <c r="H82" i="58"/>
  <c r="L67" i="58"/>
  <c r="C13" i="74"/>
  <c r="W77" i="58"/>
  <c r="I82" i="58"/>
  <c r="C11" i="73"/>
  <c r="H54" i="58"/>
  <c r="V48" i="58"/>
  <c r="V73" i="58"/>
  <c r="K13" i="74"/>
  <c r="E22" i="64"/>
  <c r="C13" i="75"/>
  <c r="J82" i="64"/>
  <c r="C17" i="46" s="1"/>
  <c r="C17" i="54" s="1"/>
  <c r="E30" i="64"/>
  <c r="E82" i="64"/>
  <c r="G41" i="64"/>
  <c r="G43" i="64" s="1"/>
  <c r="C13" i="40" s="1"/>
  <c r="C13" i="48" s="1"/>
  <c r="K67" i="64"/>
  <c r="C18" i="44" s="1"/>
  <c r="C18" i="52" s="1"/>
  <c r="F54" i="64"/>
  <c r="C11" i="42" s="1"/>
  <c r="C11" i="50" s="1"/>
  <c r="W48" i="58"/>
  <c r="W73" i="58"/>
  <c r="D49" i="46"/>
  <c r="F49" i="46" s="1"/>
  <c r="I49" i="46" s="1"/>
  <c r="J49" i="46" s="1"/>
  <c r="D49" i="48"/>
  <c r="F49" i="48" s="1"/>
  <c r="I49" i="48" s="1"/>
  <c r="J49" i="48" s="1"/>
  <c r="D49" i="42"/>
  <c r="F49" i="42" s="1"/>
  <c r="I49" i="42" s="1"/>
  <c r="J49" i="42" s="1"/>
  <c r="D49" i="52"/>
  <c r="F49" i="52" s="1"/>
  <c r="I49" i="52" s="1"/>
  <c r="J49" i="52" s="1"/>
  <c r="D49" i="50"/>
  <c r="F49" i="50" s="1"/>
  <c r="I49" i="50" s="1"/>
  <c r="J49" i="50" s="1"/>
  <c r="D49" i="35"/>
  <c r="F49" i="35" s="1"/>
  <c r="I49" i="35" s="1"/>
  <c r="J49" i="35" s="1"/>
  <c r="D49" i="40"/>
  <c r="F49" i="40" s="1"/>
  <c r="I49" i="40" s="1"/>
  <c r="J49" i="40" s="1"/>
  <c r="D49" i="54"/>
  <c r="F49" i="54" s="1"/>
  <c r="I49" i="54" s="1"/>
  <c r="J49" i="54" s="1"/>
  <c r="D49" i="44"/>
  <c r="F49" i="44" s="1"/>
  <c r="I49" i="44" s="1"/>
  <c r="J49" i="44" s="1"/>
  <c r="D56" i="42"/>
  <c r="F56" i="42" s="1"/>
  <c r="I56" i="42" s="1"/>
  <c r="J56" i="42" s="1"/>
  <c r="D56" i="52"/>
  <c r="F56" i="52" s="1"/>
  <c r="I56" i="52" s="1"/>
  <c r="J56" i="52" s="1"/>
  <c r="O82" i="64"/>
  <c r="C23" i="46" s="1"/>
  <c r="C23" i="54" s="1"/>
  <c r="N82" i="64"/>
  <c r="C22" i="46" s="1"/>
  <c r="C22" i="54" s="1"/>
  <c r="E16" i="58"/>
  <c r="E20" i="58"/>
  <c r="E26" i="58"/>
  <c r="E17" i="58"/>
  <c r="X17" i="58" s="1"/>
  <c r="E12" i="64"/>
  <c r="E16" i="64"/>
  <c r="E15" i="58"/>
  <c r="E7" i="64"/>
  <c r="E20" i="64"/>
  <c r="E14" i="58"/>
  <c r="X14" i="58" s="1"/>
  <c r="E10" i="58"/>
  <c r="X10" i="58" s="1"/>
  <c r="E27" i="58"/>
  <c r="E31" i="58"/>
  <c r="X31" i="58" s="1"/>
  <c r="E23" i="58"/>
  <c r="E22" i="58"/>
  <c r="E28" i="58"/>
  <c r="X28" i="58" s="1"/>
  <c r="E15" i="64"/>
  <c r="E30" i="58"/>
  <c r="E29" i="64"/>
  <c r="E32" i="58"/>
  <c r="X32" i="58" s="1"/>
  <c r="E21" i="64"/>
  <c r="E32" i="64"/>
  <c r="X32" i="64" s="1"/>
  <c r="E8" i="58"/>
  <c r="E7" i="58"/>
  <c r="E33" i="58"/>
  <c r="X33" i="58" s="1"/>
  <c r="E24" i="58"/>
  <c r="X24" i="58" s="1"/>
  <c r="E21" i="58"/>
  <c r="E27" i="64"/>
  <c r="E9" i="64"/>
  <c r="E18" i="1"/>
  <c r="E6" i="64"/>
  <c r="E25" i="64"/>
  <c r="E6" i="58"/>
  <c r="E13" i="58"/>
  <c r="E13" i="64"/>
  <c r="E9" i="58"/>
  <c r="E29" i="58"/>
  <c r="B8" i="63"/>
  <c r="E11" i="58"/>
  <c r="E18" i="58"/>
  <c r="X18" i="58" s="1"/>
  <c r="E8" i="64"/>
  <c r="E25" i="58"/>
  <c r="E12" i="58"/>
  <c r="E11" i="64"/>
  <c r="E19" i="58"/>
  <c r="X19" i="58" s="1"/>
  <c r="D41" i="54"/>
  <c r="F41" i="54" s="1"/>
  <c r="D41" i="35"/>
  <c r="F41" i="35" s="1"/>
  <c r="D41" i="42"/>
  <c r="F41" i="42" s="1"/>
  <c r="D41" i="52"/>
  <c r="F41" i="52" s="1"/>
  <c r="D41" i="50"/>
  <c r="F41" i="50" s="1"/>
  <c r="D41" i="46"/>
  <c r="F41" i="46" s="1"/>
  <c r="D41" i="48"/>
  <c r="F41" i="48" s="1"/>
  <c r="D41" i="40"/>
  <c r="F41" i="40" s="1"/>
  <c r="D41" i="44"/>
  <c r="F41" i="44" s="1"/>
  <c r="X80" i="58"/>
  <c r="E82" i="58"/>
  <c r="O61" i="58"/>
  <c r="P61" i="58"/>
  <c r="N61" i="58"/>
  <c r="Q61" i="58"/>
  <c r="E67" i="58"/>
  <c r="G26" i="70"/>
  <c r="W49" i="58"/>
  <c r="M54" i="58"/>
  <c r="W52" i="58"/>
  <c r="X52" i="58" s="1"/>
  <c r="K13" i="73"/>
  <c r="C32" i="44"/>
  <c r="D23" i="74"/>
  <c r="D31" i="52"/>
  <c r="F31" i="52" s="1"/>
  <c r="D31" i="40"/>
  <c r="F31" i="40" s="1"/>
  <c r="D31" i="35"/>
  <c r="F31" i="35" s="1"/>
  <c r="D31" i="48"/>
  <c r="F31" i="48" s="1"/>
  <c r="D31" i="54"/>
  <c r="F31" i="54" s="1"/>
  <c r="D31" i="46"/>
  <c r="F31" i="46" s="1"/>
  <c r="D31" i="50"/>
  <c r="F31" i="50" s="1"/>
  <c r="D31" i="42"/>
  <c r="F31" i="42" s="1"/>
  <c r="D31" i="44"/>
  <c r="F31" i="44" s="1"/>
  <c r="V49" i="58"/>
  <c r="C13" i="73"/>
  <c r="L54" i="58"/>
  <c r="D56" i="46"/>
  <c r="F56" i="46" s="1"/>
  <c r="I56" i="46" s="1"/>
  <c r="J56" i="46" s="1"/>
  <c r="D56" i="40"/>
  <c r="F56" i="40" s="1"/>
  <c r="I56" i="40" s="1"/>
  <c r="J56" i="40" s="1"/>
  <c r="D66" i="40"/>
  <c r="F66" i="40" s="1"/>
  <c r="D66" i="35"/>
  <c r="F66" i="35" s="1"/>
  <c r="D66" i="46"/>
  <c r="F66" i="46" s="1"/>
  <c r="D66" i="42"/>
  <c r="F66" i="42" s="1"/>
  <c r="D66" i="48"/>
  <c r="F66" i="48" s="1"/>
  <c r="D66" i="44"/>
  <c r="F66" i="44" s="1"/>
  <c r="D66" i="54"/>
  <c r="F66" i="54" s="1"/>
  <c r="D66" i="50"/>
  <c r="F66" i="50" s="1"/>
  <c r="D66" i="52"/>
  <c r="F66" i="52" s="1"/>
  <c r="P65" i="64"/>
  <c r="V65" i="64" s="1"/>
  <c r="Q65" i="64"/>
  <c r="W65" i="64" s="1"/>
  <c r="O65" i="64"/>
  <c r="N65" i="64"/>
  <c r="M49" i="64"/>
  <c r="W49" i="64" s="1"/>
  <c r="K49" i="64"/>
  <c r="K54" i="64" s="1"/>
  <c r="C18" i="42" s="1"/>
  <c r="C18" i="50" s="1"/>
  <c r="J49" i="64"/>
  <c r="J54" i="64" s="1"/>
  <c r="L49" i="64"/>
  <c r="F41" i="58"/>
  <c r="F43" i="58" s="1"/>
  <c r="H41" i="58"/>
  <c r="I41" i="58"/>
  <c r="G41" i="58"/>
  <c r="G43" i="58" s="1"/>
  <c r="E54" i="58"/>
  <c r="V60" i="64"/>
  <c r="X60" i="64" s="1"/>
  <c r="D62" i="48"/>
  <c r="F62" i="48" s="1"/>
  <c r="D62" i="46"/>
  <c r="F62" i="46" s="1"/>
  <c r="D62" i="35"/>
  <c r="F62" i="35" s="1"/>
  <c r="D62" i="42"/>
  <c r="F62" i="42" s="1"/>
  <c r="D62" i="44"/>
  <c r="F62" i="44" s="1"/>
  <c r="D62" i="40"/>
  <c r="F62" i="40" s="1"/>
  <c r="D62" i="52"/>
  <c r="F62" i="52" s="1"/>
  <c r="D62" i="50"/>
  <c r="F62" i="50" s="1"/>
  <c r="D62" i="54"/>
  <c r="F62" i="54" s="1"/>
  <c r="N61" i="64"/>
  <c r="O61" i="64"/>
  <c r="P61" i="64"/>
  <c r="V61" i="64" s="1"/>
  <c r="Q61" i="64"/>
  <c r="W61" i="64" s="1"/>
  <c r="D56" i="54"/>
  <c r="F56" i="54" s="1"/>
  <c r="I56" i="54" s="1"/>
  <c r="J56" i="54" s="1"/>
  <c r="D56" i="48"/>
  <c r="F56" i="48" s="1"/>
  <c r="I56" i="48" s="1"/>
  <c r="J56" i="48" s="1"/>
  <c r="N83" i="73"/>
  <c r="M83" i="73" s="1"/>
  <c r="N84" i="69"/>
  <c r="M84" i="69" s="1"/>
  <c r="N83" i="74"/>
  <c r="M83" i="74" s="1"/>
  <c r="N83" i="72"/>
  <c r="M83" i="72" s="1"/>
  <c r="N84" i="75"/>
  <c r="M84" i="75" s="1"/>
  <c r="N83" i="69"/>
  <c r="M83" i="69" s="1"/>
  <c r="N83" i="71"/>
  <c r="M83" i="71" s="1"/>
  <c r="N84" i="67"/>
  <c r="M84" i="67" s="1"/>
  <c r="N83" i="68"/>
  <c r="M83" i="68" s="1"/>
  <c r="N84" i="74"/>
  <c r="M84" i="74" s="1"/>
  <c r="N84" i="72"/>
  <c r="M84" i="72" s="1"/>
  <c r="N83" i="70"/>
  <c r="M83" i="70" s="1"/>
  <c r="N84" i="73"/>
  <c r="M84" i="73" s="1"/>
  <c r="N84" i="70"/>
  <c r="M84" i="70" s="1"/>
  <c r="N83" i="67"/>
  <c r="M83" i="67" s="1"/>
  <c r="A25" i="68"/>
  <c r="D59" i="54"/>
  <c r="F59" i="54" s="1"/>
  <c r="D59" i="40"/>
  <c r="F59" i="40" s="1"/>
  <c r="D59" i="48"/>
  <c r="F59" i="48" s="1"/>
  <c r="D59" i="44"/>
  <c r="F59" i="44" s="1"/>
  <c r="D59" i="52"/>
  <c r="F59" i="52" s="1"/>
  <c r="D59" i="42"/>
  <c r="F59" i="42" s="1"/>
  <c r="D59" i="46"/>
  <c r="F59" i="46" s="1"/>
  <c r="D59" i="35"/>
  <c r="F59" i="35" s="1"/>
  <c r="D59" i="50"/>
  <c r="F59" i="50" s="1"/>
  <c r="D54" i="54"/>
  <c r="F54" i="54" s="1"/>
  <c r="D54" i="46"/>
  <c r="F54" i="46" s="1"/>
  <c r="D54" i="50"/>
  <c r="F54" i="50" s="1"/>
  <c r="D54" i="35"/>
  <c r="F54" i="35" s="1"/>
  <c r="D54" i="48"/>
  <c r="F54" i="48" s="1"/>
  <c r="D54" i="44"/>
  <c r="F54" i="44" s="1"/>
  <c r="D54" i="40"/>
  <c r="F54" i="40" s="1"/>
  <c r="D54" i="52"/>
  <c r="F54" i="52" s="1"/>
  <c r="D54" i="42"/>
  <c r="F54" i="42" s="1"/>
  <c r="P65" i="58"/>
  <c r="V65" i="58" s="1"/>
  <c r="N65" i="58"/>
  <c r="O65" i="58"/>
  <c r="Q65" i="58"/>
  <c r="X40" i="58"/>
  <c r="E43" i="58"/>
  <c r="J54" i="58"/>
  <c r="E67" i="64"/>
  <c r="G25" i="75"/>
  <c r="W78" i="64"/>
  <c r="L67" i="64"/>
  <c r="V59" i="64"/>
  <c r="W77" i="64"/>
  <c r="I82" i="64"/>
  <c r="K82" i="64"/>
  <c r="C18" i="46" s="1"/>
  <c r="C18" i="54" s="1"/>
  <c r="W59" i="64"/>
  <c r="A38" i="72"/>
  <c r="V77" i="64"/>
  <c r="H82" i="64"/>
  <c r="Q82" i="64"/>
  <c r="I54" i="64"/>
  <c r="W51" i="64"/>
  <c r="A38" i="71"/>
  <c r="V78" i="64"/>
  <c r="M82" i="64"/>
  <c r="W73" i="64"/>
  <c r="X39" i="64"/>
  <c r="L82" i="64"/>
  <c r="V73" i="64"/>
  <c r="G53" i="69"/>
  <c r="G53" i="72"/>
  <c r="I63" i="44"/>
  <c r="J63" i="44" s="1"/>
  <c r="I63" i="35"/>
  <c r="J63" i="35" s="1"/>
  <c r="I63" i="46"/>
  <c r="J63" i="46" s="1"/>
  <c r="I63" i="48"/>
  <c r="J63" i="48" s="1"/>
  <c r="G53" i="70"/>
  <c r="I63" i="54"/>
  <c r="J63" i="54" s="1"/>
  <c r="I63" i="42"/>
  <c r="J63" i="42" s="1"/>
  <c r="G53" i="68"/>
  <c r="G53" i="67"/>
  <c r="I63" i="50"/>
  <c r="J63" i="50" s="1"/>
  <c r="I63" i="40"/>
  <c r="J63" i="40" s="1"/>
  <c r="G53" i="71"/>
  <c r="L26" i="64" l="1"/>
  <c r="N26" i="64"/>
  <c r="P26" i="64"/>
  <c r="O26" i="64"/>
  <c r="M26" i="64"/>
  <c r="Q26" i="64"/>
  <c r="K26" i="64"/>
  <c r="J34" i="35"/>
  <c r="J55" i="44"/>
  <c r="X64" i="58"/>
  <c r="N27" i="74"/>
  <c r="M27" i="74" s="1"/>
  <c r="J55" i="50"/>
  <c r="G45" i="34"/>
  <c r="G39" i="34"/>
  <c r="G20" i="34"/>
  <c r="N26" i="71"/>
  <c r="M26" i="71" s="1"/>
  <c r="C26" i="71"/>
  <c r="B26" i="71" s="1"/>
  <c r="A26" i="71" s="1"/>
  <c r="J55" i="40"/>
  <c r="G77" i="34"/>
  <c r="G35" i="34"/>
  <c r="G59" i="34"/>
  <c r="G66" i="34"/>
  <c r="G33" i="34"/>
  <c r="G44" i="34"/>
  <c r="G76" i="34"/>
  <c r="G25" i="34"/>
  <c r="G65" i="34"/>
  <c r="G32" i="34"/>
  <c r="G63" i="34"/>
  <c r="X63" i="58"/>
  <c r="X51" i="58"/>
  <c r="J61" i="44"/>
  <c r="J55" i="35"/>
  <c r="J34" i="40"/>
  <c r="J55" i="48"/>
  <c r="J38" i="46"/>
  <c r="J34" i="48"/>
  <c r="J46" i="46"/>
  <c r="X48" i="64"/>
  <c r="G22" i="34"/>
  <c r="G62" i="34"/>
  <c r="G36" i="34"/>
  <c r="G19" i="34"/>
  <c r="G43" i="34"/>
  <c r="G64" i="34"/>
  <c r="G73" i="34"/>
  <c r="I83" i="34"/>
  <c r="I76" i="34" s="1"/>
  <c r="C12" i="42"/>
  <c r="C12" i="50" s="1"/>
  <c r="I27" i="74"/>
  <c r="H27" i="74" s="1"/>
  <c r="C33" i="44" s="1"/>
  <c r="J61" i="46"/>
  <c r="J61" i="42"/>
  <c r="J61" i="54"/>
  <c r="J55" i="46"/>
  <c r="G24" i="34"/>
  <c r="G75" i="34"/>
  <c r="G23" i="34"/>
  <c r="G61" i="34"/>
  <c r="G67" i="34"/>
  <c r="G46" i="34"/>
  <c r="J55" i="42"/>
  <c r="N27" i="73"/>
  <c r="M27" i="73" s="1"/>
  <c r="C12" i="40"/>
  <c r="C12" i="48" s="1"/>
  <c r="A25" i="75"/>
  <c r="C32" i="46" s="1"/>
  <c r="A26" i="70"/>
  <c r="C32" i="52" s="1"/>
  <c r="C11" i="46"/>
  <c r="C11" i="54" s="1"/>
  <c r="I43" i="64"/>
  <c r="I66" i="75"/>
  <c r="H66" i="75" s="1"/>
  <c r="G66" i="75" s="1"/>
  <c r="C16" i="44"/>
  <c r="C16" i="52" s="1"/>
  <c r="I55" i="75"/>
  <c r="H55" i="75" s="1"/>
  <c r="G55" i="75" s="1"/>
  <c r="N83" i="75"/>
  <c r="M83" i="75" s="1"/>
  <c r="X60" i="58"/>
  <c r="H83" i="34"/>
  <c r="D16" i="60"/>
  <c r="F16" i="60" s="1"/>
  <c r="I16" i="60" s="1"/>
  <c r="J16" i="60" s="1"/>
  <c r="K16" i="60" s="1"/>
  <c r="D26" i="46"/>
  <c r="F26" i="46" s="1"/>
  <c r="I26" i="46" s="1"/>
  <c r="J26" i="46" s="1"/>
  <c r="X65" i="64"/>
  <c r="O11" i="69"/>
  <c r="I28" i="69" s="1"/>
  <c r="H28" i="69" s="1"/>
  <c r="O14" i="71"/>
  <c r="N67" i="71" s="1"/>
  <c r="M67" i="71" s="1"/>
  <c r="O13" i="71"/>
  <c r="N56" i="71" s="1"/>
  <c r="M56" i="71" s="1"/>
  <c r="X72" i="58"/>
  <c r="J52" i="40"/>
  <c r="I45" i="48"/>
  <c r="J45" i="48" s="1"/>
  <c r="D26" i="52"/>
  <c r="F26" i="52" s="1"/>
  <c r="I26" i="52" s="1"/>
  <c r="J26" i="52" s="1"/>
  <c r="I45" i="52"/>
  <c r="J45" i="52" s="1"/>
  <c r="I45" i="50"/>
  <c r="J45" i="50" s="1"/>
  <c r="I45" i="35"/>
  <c r="J45" i="35" s="1"/>
  <c r="J34" i="44"/>
  <c r="J52" i="50"/>
  <c r="I45" i="44"/>
  <c r="J45" i="44" s="1"/>
  <c r="J34" i="54"/>
  <c r="I45" i="54"/>
  <c r="J45" i="54" s="1"/>
  <c r="D16" i="44"/>
  <c r="F16" i="44" s="1"/>
  <c r="I16" i="44" s="1"/>
  <c r="J16" i="44" s="1"/>
  <c r="D21" i="52"/>
  <c r="F21" i="52" s="1"/>
  <c r="I21" i="52" s="1"/>
  <c r="J21" i="52" s="1"/>
  <c r="D16" i="61"/>
  <c r="F16" i="61" s="1"/>
  <c r="I16" i="61" s="1"/>
  <c r="J16" i="61" s="1"/>
  <c r="K16" i="61" s="1"/>
  <c r="I52" i="46"/>
  <c r="J52" i="46" s="1"/>
  <c r="I45" i="40"/>
  <c r="J45" i="40" s="1"/>
  <c r="I34" i="50"/>
  <c r="J34" i="50" s="1"/>
  <c r="D26" i="59"/>
  <c r="F26" i="59" s="1"/>
  <c r="I26" i="59" s="1"/>
  <c r="J26" i="59" s="1"/>
  <c r="K26" i="59" s="1"/>
  <c r="D16" i="59"/>
  <c r="F16" i="59" s="1"/>
  <c r="I16" i="59" s="1"/>
  <c r="J16" i="59" s="1"/>
  <c r="K16" i="59" s="1"/>
  <c r="D16" i="62"/>
  <c r="F16" i="62" s="1"/>
  <c r="I16" i="62" s="1"/>
  <c r="J16" i="62" s="1"/>
  <c r="K16" i="62" s="1"/>
  <c r="D21" i="59"/>
  <c r="F21" i="59" s="1"/>
  <c r="I21" i="59" s="1"/>
  <c r="J21" i="59" s="1"/>
  <c r="K21" i="59" s="1"/>
  <c r="D21" i="60"/>
  <c r="F21" i="60" s="1"/>
  <c r="I21" i="60" s="1"/>
  <c r="J21" i="60" s="1"/>
  <c r="K21" i="60" s="1"/>
  <c r="D26" i="44"/>
  <c r="F26" i="44" s="1"/>
  <c r="I26" i="44" s="1"/>
  <c r="J26" i="44" s="1"/>
  <c r="D16" i="46"/>
  <c r="F16" i="46" s="1"/>
  <c r="I16" i="46" s="1"/>
  <c r="J16" i="46" s="1"/>
  <c r="D26" i="40"/>
  <c r="F26" i="40" s="1"/>
  <c r="I26" i="40" s="1"/>
  <c r="J26" i="40" s="1"/>
  <c r="D26" i="61"/>
  <c r="F26" i="61" s="1"/>
  <c r="I26" i="61" s="1"/>
  <c r="J26" i="61" s="1"/>
  <c r="K26" i="61" s="1"/>
  <c r="D16" i="40"/>
  <c r="F16" i="40" s="1"/>
  <c r="I16" i="40" s="1"/>
  <c r="J16" i="40" s="1"/>
  <c r="D21" i="62"/>
  <c r="F21" i="62" s="1"/>
  <c r="I21" i="62" s="1"/>
  <c r="J21" i="62" s="1"/>
  <c r="K21" i="62" s="1"/>
  <c r="D26" i="62"/>
  <c r="F26" i="62" s="1"/>
  <c r="I26" i="62" s="1"/>
  <c r="J26" i="62" s="1"/>
  <c r="D26" i="48"/>
  <c r="F26" i="48" s="1"/>
  <c r="I26" i="48" s="1"/>
  <c r="J26" i="48" s="1"/>
  <c r="D16" i="42"/>
  <c r="F16" i="42" s="1"/>
  <c r="I16" i="42" s="1"/>
  <c r="J16" i="42" s="1"/>
  <c r="V82" i="58"/>
  <c r="C27" i="62"/>
  <c r="X59" i="58"/>
  <c r="C16" i="46"/>
  <c r="C16" i="54" s="1"/>
  <c r="C21" i="46"/>
  <c r="C21" i="54" s="1"/>
  <c r="H43" i="64"/>
  <c r="C28" i="62"/>
  <c r="C26" i="62"/>
  <c r="I83" i="75"/>
  <c r="H83" i="75" s="1"/>
  <c r="N84" i="71"/>
  <c r="M84" i="71" s="1"/>
  <c r="W54" i="58"/>
  <c r="X63" i="64"/>
  <c r="D11" i="60"/>
  <c r="F11" i="60" s="1"/>
  <c r="I11" i="60" s="1"/>
  <c r="J11" i="60" s="1"/>
  <c r="K11" i="60" s="1"/>
  <c r="D11" i="62"/>
  <c r="F11" i="62" s="1"/>
  <c r="I11" i="62" s="1"/>
  <c r="J11" i="62" s="1"/>
  <c r="K11" i="62" s="1"/>
  <c r="D11" i="40"/>
  <c r="F11" i="40" s="1"/>
  <c r="I11" i="40" s="1"/>
  <c r="J11" i="40" s="1"/>
  <c r="D11" i="50"/>
  <c r="F11" i="50" s="1"/>
  <c r="I11" i="50" s="1"/>
  <c r="J11" i="50" s="1"/>
  <c r="D11" i="48"/>
  <c r="F11" i="48" s="1"/>
  <c r="I11" i="48" s="1"/>
  <c r="J11" i="48" s="1"/>
  <c r="D11" i="61"/>
  <c r="F11" i="61" s="1"/>
  <c r="I11" i="61" s="1"/>
  <c r="J11" i="61" s="1"/>
  <c r="K11" i="61" s="1"/>
  <c r="D11" i="46"/>
  <c r="F11" i="46" s="1"/>
  <c r="I11" i="46" s="1"/>
  <c r="J11" i="46" s="1"/>
  <c r="D11" i="52"/>
  <c r="F11" i="52" s="1"/>
  <c r="I11" i="52" s="1"/>
  <c r="J11" i="52" s="1"/>
  <c r="D11" i="42"/>
  <c r="F11" i="42" s="1"/>
  <c r="I11" i="42" s="1"/>
  <c r="J11" i="42" s="1"/>
  <c r="D11" i="44"/>
  <c r="F11" i="44" s="1"/>
  <c r="I11" i="44" s="1"/>
  <c r="J11" i="44" s="1"/>
  <c r="D11" i="35"/>
  <c r="F11" i="35" s="1"/>
  <c r="I11" i="35" s="1"/>
  <c r="J11" i="35" s="1"/>
  <c r="D11" i="54"/>
  <c r="F11" i="54" s="1"/>
  <c r="I11" i="54" s="1"/>
  <c r="J11" i="54" s="1"/>
  <c r="D11" i="59"/>
  <c r="F11" i="59" s="1"/>
  <c r="I11" i="59" s="1"/>
  <c r="J11" i="59" s="1"/>
  <c r="K11" i="59" s="1"/>
  <c r="C97" i="73"/>
  <c r="B97" i="73" s="1"/>
  <c r="A97" i="73" s="1"/>
  <c r="C97" i="67"/>
  <c r="B97" i="67" s="1"/>
  <c r="A97" i="67" s="1"/>
  <c r="X72" i="64"/>
  <c r="N67" i="64"/>
  <c r="C22" i="44" s="1"/>
  <c r="C22" i="52" s="1"/>
  <c r="C17" i="42"/>
  <c r="C17" i="50" s="1"/>
  <c r="C16" i="42"/>
  <c r="C16" i="50" s="1"/>
  <c r="C64" i="75"/>
  <c r="B64" i="75" s="1"/>
  <c r="A64" i="75" s="1"/>
  <c r="G14" i="71"/>
  <c r="C96" i="67"/>
  <c r="B96" i="67" s="1"/>
  <c r="A96" i="67" s="1"/>
  <c r="N64" i="75"/>
  <c r="M64" i="75" s="1"/>
  <c r="C96" i="71"/>
  <c r="B96" i="71" s="1"/>
  <c r="A96" i="71" s="1"/>
  <c r="C98" i="69"/>
  <c r="B98" i="69" s="1"/>
  <c r="A98" i="69" s="1"/>
  <c r="V26" i="64"/>
  <c r="X78" i="64"/>
  <c r="O67" i="64"/>
  <c r="C23" i="44" s="1"/>
  <c r="C23" i="52" s="1"/>
  <c r="C96" i="72"/>
  <c r="B96" i="72" s="1"/>
  <c r="A96" i="72" s="1"/>
  <c r="C97" i="74"/>
  <c r="B97" i="74" s="1"/>
  <c r="A97" i="74" s="1"/>
  <c r="C11" i="44"/>
  <c r="C11" i="52" s="1"/>
  <c r="C12" i="44"/>
  <c r="C12" i="52" s="1"/>
  <c r="C98" i="67"/>
  <c r="B98" i="67" s="1"/>
  <c r="A98" i="67" s="1"/>
  <c r="C97" i="70"/>
  <c r="B97" i="70" s="1"/>
  <c r="A97" i="70" s="1"/>
  <c r="C96" i="74"/>
  <c r="B96" i="74" s="1"/>
  <c r="A96" i="74" s="1"/>
  <c r="C95" i="71"/>
  <c r="B95" i="71" s="1"/>
  <c r="A95" i="71" s="1"/>
  <c r="C96" i="75"/>
  <c r="B96" i="75" s="1"/>
  <c r="A96" i="75" s="1"/>
  <c r="C97" i="71"/>
  <c r="B97" i="71" s="1"/>
  <c r="A97" i="71" s="1"/>
  <c r="C98" i="75"/>
  <c r="B98" i="75" s="1"/>
  <c r="A98" i="75" s="1"/>
  <c r="C98" i="73"/>
  <c r="B98" i="73" s="1"/>
  <c r="A98" i="73" s="1"/>
  <c r="C95" i="74"/>
  <c r="B95" i="74" s="1"/>
  <c r="A95" i="74" s="1"/>
  <c r="C98" i="74"/>
  <c r="B98" i="74" s="1"/>
  <c r="A98" i="74" s="1"/>
  <c r="C96" i="73"/>
  <c r="B96" i="73" s="1"/>
  <c r="A96" i="73" s="1"/>
  <c r="C95" i="73"/>
  <c r="B95" i="73" s="1"/>
  <c r="A95" i="73" s="1"/>
  <c r="C97" i="68"/>
  <c r="B97" i="68" s="1"/>
  <c r="A97" i="68" s="1"/>
  <c r="C95" i="72"/>
  <c r="B95" i="72" s="1"/>
  <c r="A95" i="72" s="1"/>
  <c r="C95" i="69"/>
  <c r="B95" i="69" s="1"/>
  <c r="A95" i="69" s="1"/>
  <c r="C95" i="70"/>
  <c r="B95" i="70" s="1"/>
  <c r="A95" i="70" s="1"/>
  <c r="X73" i="58"/>
  <c r="W82" i="58"/>
  <c r="J22" i="64"/>
  <c r="P22" i="64"/>
  <c r="I22" i="64"/>
  <c r="H22" i="64"/>
  <c r="O22" i="64"/>
  <c r="G22" i="64"/>
  <c r="K22" i="64"/>
  <c r="L22" i="64"/>
  <c r="Q22" i="64"/>
  <c r="F22" i="64"/>
  <c r="N22" i="64"/>
  <c r="M22" i="64"/>
  <c r="Q30" i="64"/>
  <c r="W30" i="64" s="1"/>
  <c r="P30" i="64"/>
  <c r="V30" i="64" s="1"/>
  <c r="N30" i="64"/>
  <c r="O30" i="64"/>
  <c r="N55" i="74"/>
  <c r="M55" i="74" s="1"/>
  <c r="I55" i="74"/>
  <c r="H55" i="74" s="1"/>
  <c r="G55" i="74" s="1"/>
  <c r="O13" i="70"/>
  <c r="G11" i="69"/>
  <c r="I25" i="73"/>
  <c r="H25" i="73" s="1"/>
  <c r="G25" i="73" s="1"/>
  <c r="C25" i="73"/>
  <c r="N25" i="73"/>
  <c r="M25" i="73" s="1"/>
  <c r="D16" i="54"/>
  <c r="F16" i="54" s="1"/>
  <c r="I16" i="54" s="1"/>
  <c r="J16" i="54" s="1"/>
  <c r="D16" i="52"/>
  <c r="F16" i="52" s="1"/>
  <c r="I16" i="52" s="1"/>
  <c r="J16" i="52" s="1"/>
  <c r="D26" i="54"/>
  <c r="F26" i="54" s="1"/>
  <c r="I26" i="54" s="1"/>
  <c r="J26" i="54" s="1"/>
  <c r="D21" i="48"/>
  <c r="F21" i="48" s="1"/>
  <c r="I21" i="48" s="1"/>
  <c r="J21" i="48" s="1"/>
  <c r="D26" i="60"/>
  <c r="F26" i="60" s="1"/>
  <c r="I26" i="60" s="1"/>
  <c r="J26" i="60" s="1"/>
  <c r="K26" i="60" s="1"/>
  <c r="D21" i="61"/>
  <c r="F21" i="61" s="1"/>
  <c r="I21" i="61" s="1"/>
  <c r="J21" i="61" s="1"/>
  <c r="K21" i="61" s="1"/>
  <c r="D21" i="42"/>
  <c r="F21" i="42" s="1"/>
  <c r="I21" i="42" s="1"/>
  <c r="J21" i="42" s="1"/>
  <c r="D16" i="50"/>
  <c r="F16" i="50" s="1"/>
  <c r="I16" i="50" s="1"/>
  <c r="J16" i="50" s="1"/>
  <c r="D26" i="50"/>
  <c r="F26" i="50" s="1"/>
  <c r="I26" i="50" s="1"/>
  <c r="J26" i="50" s="1"/>
  <c r="D21" i="44"/>
  <c r="F21" i="44" s="1"/>
  <c r="I21" i="44" s="1"/>
  <c r="J21" i="44" s="1"/>
  <c r="O67" i="58"/>
  <c r="C59" i="37"/>
  <c r="C95" i="75"/>
  <c r="B95" i="75" s="1"/>
  <c r="A95" i="75" s="1"/>
  <c r="N27" i="75"/>
  <c r="M27" i="75" s="1"/>
  <c r="I27" i="75"/>
  <c r="H27" i="75" s="1"/>
  <c r="O11" i="71"/>
  <c r="D16" i="48"/>
  <c r="F16" i="48" s="1"/>
  <c r="I16" i="48" s="1"/>
  <c r="J16" i="48" s="1"/>
  <c r="D16" i="35"/>
  <c r="F16" i="35" s="1"/>
  <c r="I16" i="35" s="1"/>
  <c r="J16" i="35" s="1"/>
  <c r="D26" i="35"/>
  <c r="F26" i="35" s="1"/>
  <c r="I26" i="35" s="1"/>
  <c r="J26" i="35" s="1"/>
  <c r="D26" i="42"/>
  <c r="F26" i="42" s="1"/>
  <c r="I26" i="42" s="1"/>
  <c r="J26" i="42" s="1"/>
  <c r="D21" i="50"/>
  <c r="F21" i="50" s="1"/>
  <c r="I21" i="50" s="1"/>
  <c r="J21" i="50" s="1"/>
  <c r="D21" i="40"/>
  <c r="F21" i="40" s="1"/>
  <c r="I21" i="40" s="1"/>
  <c r="J21" i="40" s="1"/>
  <c r="D21" i="35"/>
  <c r="F21" i="35" s="1"/>
  <c r="I21" i="35" s="1"/>
  <c r="J21" i="35" s="1"/>
  <c r="D21" i="46"/>
  <c r="F21" i="46" s="1"/>
  <c r="I21" i="46" s="1"/>
  <c r="J21" i="46" s="1"/>
  <c r="D21" i="54"/>
  <c r="F21" i="54" s="1"/>
  <c r="I21" i="54" s="1"/>
  <c r="J21" i="54" s="1"/>
  <c r="W67" i="64"/>
  <c r="X61" i="64"/>
  <c r="C96" i="69"/>
  <c r="B96" i="69" s="1"/>
  <c r="A96" i="69" s="1"/>
  <c r="C95" i="67"/>
  <c r="B95" i="67" s="1"/>
  <c r="A95" i="67" s="1"/>
  <c r="C96" i="70"/>
  <c r="B96" i="70" s="1"/>
  <c r="A96" i="70" s="1"/>
  <c r="C98" i="72"/>
  <c r="B98" i="72" s="1"/>
  <c r="A98" i="72" s="1"/>
  <c r="C97" i="69"/>
  <c r="B97" i="69" s="1"/>
  <c r="A97" i="69" s="1"/>
  <c r="C98" i="70"/>
  <c r="B98" i="70" s="1"/>
  <c r="A98" i="70" s="1"/>
  <c r="C95" i="68"/>
  <c r="B95" i="68" s="1"/>
  <c r="A95" i="68" s="1"/>
  <c r="C55" i="37"/>
  <c r="C53" i="75"/>
  <c r="B53" i="75" s="1"/>
  <c r="A53" i="75" s="1"/>
  <c r="G13" i="71"/>
  <c r="N53" i="75"/>
  <c r="M53" i="75" s="1"/>
  <c r="I53" i="75"/>
  <c r="H53" i="75" s="1"/>
  <c r="G53" i="75" s="1"/>
  <c r="X48" i="58"/>
  <c r="I53" i="74"/>
  <c r="H53" i="74" s="1"/>
  <c r="G53" i="74" s="1"/>
  <c r="C53" i="74"/>
  <c r="B53" i="74" s="1"/>
  <c r="A53" i="74" s="1"/>
  <c r="G13" i="70"/>
  <c r="N53" i="74"/>
  <c r="M53" i="74" s="1"/>
  <c r="X77" i="58"/>
  <c r="I31" i="50"/>
  <c r="J31" i="50" s="1"/>
  <c r="I41" i="52"/>
  <c r="J41" i="52" s="1"/>
  <c r="L8" i="64"/>
  <c r="M8" i="64"/>
  <c r="J8" i="64"/>
  <c r="Q8" i="64"/>
  <c r="P8" i="64"/>
  <c r="K8" i="64"/>
  <c r="I8" i="64"/>
  <c r="O8" i="64"/>
  <c r="N8" i="64"/>
  <c r="H8" i="64"/>
  <c r="F8" i="64"/>
  <c r="G8" i="64"/>
  <c r="F6" i="58"/>
  <c r="H6" i="58"/>
  <c r="G6" i="58"/>
  <c r="I6" i="58"/>
  <c r="E34" i="58"/>
  <c r="O15" i="64"/>
  <c r="P15" i="64"/>
  <c r="V15" i="64" s="1"/>
  <c r="Q15" i="64"/>
  <c r="W15" i="64" s="1"/>
  <c r="N15" i="64"/>
  <c r="G20" i="64"/>
  <c r="F20" i="64"/>
  <c r="I20" i="64"/>
  <c r="W20" i="64" s="1"/>
  <c r="H20" i="64"/>
  <c r="V20" i="64" s="1"/>
  <c r="I54" i="52"/>
  <c r="J54" i="52" s="1"/>
  <c r="I54" i="35"/>
  <c r="J54" i="35" s="1"/>
  <c r="I59" i="50"/>
  <c r="J59" i="50" s="1"/>
  <c r="I59" i="52"/>
  <c r="J59" i="52" s="1"/>
  <c r="I59" i="54"/>
  <c r="J59" i="54" s="1"/>
  <c r="I62" i="52"/>
  <c r="J62" i="52" s="1"/>
  <c r="I62" i="35"/>
  <c r="J62" i="35" s="1"/>
  <c r="V49" i="64"/>
  <c r="L54" i="64"/>
  <c r="I66" i="52"/>
  <c r="J66" i="52" s="1"/>
  <c r="I66" i="48"/>
  <c r="J66" i="48" s="1"/>
  <c r="I66" i="40"/>
  <c r="J66" i="40" s="1"/>
  <c r="Q67" i="64"/>
  <c r="G27" i="73"/>
  <c r="I31" i="46"/>
  <c r="J31" i="46" s="1"/>
  <c r="I31" i="40"/>
  <c r="J31" i="40" s="1"/>
  <c r="I55" i="73"/>
  <c r="H55" i="73" s="1"/>
  <c r="G55" i="73" s="1"/>
  <c r="O13" i="69"/>
  <c r="N55" i="73"/>
  <c r="M55" i="73" s="1"/>
  <c r="W61" i="58"/>
  <c r="Q67" i="58"/>
  <c r="C14" i="74"/>
  <c r="I41" i="48"/>
  <c r="J41" i="48" s="1"/>
  <c r="I41" i="42"/>
  <c r="J41" i="42" s="1"/>
  <c r="K11" i="64"/>
  <c r="J11" i="64"/>
  <c r="M11" i="64"/>
  <c r="W11" i="64" s="1"/>
  <c r="L11" i="64"/>
  <c r="V11" i="64" s="1"/>
  <c r="P9" i="58"/>
  <c r="I9" i="58"/>
  <c r="M9" i="58"/>
  <c r="F9" i="58"/>
  <c r="O9" i="58"/>
  <c r="N9" i="58"/>
  <c r="Q9" i="58"/>
  <c r="K9" i="58"/>
  <c r="H9" i="58"/>
  <c r="G9" i="58"/>
  <c r="L9" i="58"/>
  <c r="J9" i="58"/>
  <c r="J25" i="64"/>
  <c r="K25" i="64"/>
  <c r="M25" i="64"/>
  <c r="W25" i="64" s="1"/>
  <c r="L25" i="64"/>
  <c r="V25" i="64" s="1"/>
  <c r="L27" i="64"/>
  <c r="P27" i="64"/>
  <c r="Q27" i="64"/>
  <c r="O27" i="64"/>
  <c r="M27" i="64"/>
  <c r="J27" i="64"/>
  <c r="N27" i="64"/>
  <c r="K27" i="64"/>
  <c r="I7" i="58"/>
  <c r="L7" i="58"/>
  <c r="K7" i="58"/>
  <c r="G7" i="58"/>
  <c r="M7" i="58"/>
  <c r="H7" i="58"/>
  <c r="J7" i="58"/>
  <c r="F7" i="58"/>
  <c r="L27" i="58"/>
  <c r="J27" i="58"/>
  <c r="M27" i="58"/>
  <c r="K27" i="58"/>
  <c r="Q27" i="58"/>
  <c r="O27" i="58"/>
  <c r="P27" i="58"/>
  <c r="N27" i="58"/>
  <c r="L7" i="64"/>
  <c r="J7" i="64"/>
  <c r="M7" i="64"/>
  <c r="F7" i="64"/>
  <c r="I7" i="64"/>
  <c r="G7" i="64"/>
  <c r="K7" i="64"/>
  <c r="H7" i="64"/>
  <c r="M54" i="64"/>
  <c r="W65" i="58"/>
  <c r="X65" i="58" s="1"/>
  <c r="K14" i="74"/>
  <c r="I54" i="42"/>
  <c r="J54" i="42" s="1"/>
  <c r="I54" i="48"/>
  <c r="J54" i="48" s="1"/>
  <c r="I54" i="54"/>
  <c r="J54" i="54" s="1"/>
  <c r="I59" i="42"/>
  <c r="J59" i="42" s="1"/>
  <c r="I59" i="40"/>
  <c r="J59" i="40" s="1"/>
  <c r="I62" i="50"/>
  <c r="J62" i="50" s="1"/>
  <c r="I62" i="42"/>
  <c r="J62" i="42" s="1"/>
  <c r="I66" i="44"/>
  <c r="J66" i="44" s="1"/>
  <c r="I66" i="35"/>
  <c r="J66" i="35" s="1"/>
  <c r="X49" i="58"/>
  <c r="V54" i="58"/>
  <c r="I31" i="35"/>
  <c r="J31" i="35" s="1"/>
  <c r="I41" i="40"/>
  <c r="J41" i="40" s="1"/>
  <c r="Q29" i="58"/>
  <c r="W29" i="58" s="1"/>
  <c r="N29" i="58"/>
  <c r="P29" i="58"/>
  <c r="V29" i="58" s="1"/>
  <c r="O29" i="58"/>
  <c r="I9" i="64"/>
  <c r="Q9" i="64"/>
  <c r="F9" i="64"/>
  <c r="N9" i="64"/>
  <c r="O9" i="64"/>
  <c r="K9" i="64"/>
  <c r="J9" i="64"/>
  <c r="P9" i="64"/>
  <c r="M9" i="64"/>
  <c r="H9" i="64"/>
  <c r="G9" i="64"/>
  <c r="L9" i="64"/>
  <c r="K21" i="64"/>
  <c r="G21" i="64"/>
  <c r="L21" i="64"/>
  <c r="J21" i="64"/>
  <c r="M21" i="64"/>
  <c r="F21" i="64"/>
  <c r="H21" i="64"/>
  <c r="I21" i="64"/>
  <c r="M12" i="64"/>
  <c r="Q12" i="64"/>
  <c r="L12" i="64"/>
  <c r="K12" i="64"/>
  <c r="N12" i="64"/>
  <c r="J12" i="64"/>
  <c r="O12" i="64"/>
  <c r="P12" i="64"/>
  <c r="P16" i="58"/>
  <c r="V16" i="58" s="1"/>
  <c r="Q16" i="58"/>
  <c r="W16" i="58" s="1"/>
  <c r="O16" i="58"/>
  <c r="N16" i="58"/>
  <c r="V67" i="64"/>
  <c r="W54" i="64"/>
  <c r="I54" i="40"/>
  <c r="J54" i="40" s="1"/>
  <c r="I54" i="50"/>
  <c r="J54" i="50" s="1"/>
  <c r="I59" i="35"/>
  <c r="J59" i="35" s="1"/>
  <c r="I59" i="44"/>
  <c r="J59" i="44" s="1"/>
  <c r="I62" i="40"/>
  <c r="J62" i="40" s="1"/>
  <c r="I62" i="46"/>
  <c r="J62" i="46" s="1"/>
  <c r="P67" i="64"/>
  <c r="I43" i="58"/>
  <c r="W41" i="58"/>
  <c r="W43" i="58" s="1"/>
  <c r="I66" i="50"/>
  <c r="J66" i="50" s="1"/>
  <c r="I66" i="42"/>
  <c r="J66" i="42" s="1"/>
  <c r="I31" i="44"/>
  <c r="J31" i="44" s="1"/>
  <c r="I31" i="54"/>
  <c r="J31" i="54" s="1"/>
  <c r="I31" i="52"/>
  <c r="J31" i="52" s="1"/>
  <c r="G26" i="71"/>
  <c r="N28" i="70"/>
  <c r="I28" i="70"/>
  <c r="H28" i="70" s="1"/>
  <c r="N67" i="58"/>
  <c r="K16" i="75"/>
  <c r="I41" i="46"/>
  <c r="J41" i="46" s="1"/>
  <c r="I41" i="35"/>
  <c r="J41" i="35" s="1"/>
  <c r="Q12" i="58"/>
  <c r="O12" i="58"/>
  <c r="J12" i="58"/>
  <c r="L12" i="58"/>
  <c r="M12" i="58"/>
  <c r="K12" i="58"/>
  <c r="N12" i="58"/>
  <c r="P12" i="58"/>
  <c r="L11" i="58"/>
  <c r="V11" i="58" s="1"/>
  <c r="M11" i="58"/>
  <c r="W11" i="58" s="1"/>
  <c r="K11" i="58"/>
  <c r="J11" i="58"/>
  <c r="P13" i="64"/>
  <c r="N13" i="64"/>
  <c r="L13" i="64"/>
  <c r="J13" i="64"/>
  <c r="M13" i="64"/>
  <c r="Q13" i="64"/>
  <c r="O13" i="64"/>
  <c r="K13" i="64"/>
  <c r="F6" i="64"/>
  <c r="G6" i="64"/>
  <c r="E34" i="64"/>
  <c r="H6" i="64"/>
  <c r="I6" i="64"/>
  <c r="H21" i="58"/>
  <c r="I21" i="58"/>
  <c r="L21" i="58"/>
  <c r="K21" i="58"/>
  <c r="M21" i="58"/>
  <c r="G21" i="58"/>
  <c r="J21" i="58"/>
  <c r="F21" i="58"/>
  <c r="H8" i="58"/>
  <c r="K8" i="58"/>
  <c r="J8" i="58"/>
  <c r="M8" i="58"/>
  <c r="P8" i="58"/>
  <c r="G8" i="58"/>
  <c r="N8" i="58"/>
  <c r="I8" i="58"/>
  <c r="Q8" i="58"/>
  <c r="L8" i="58"/>
  <c r="F8" i="58"/>
  <c r="O8" i="58"/>
  <c r="N29" i="64"/>
  <c r="O29" i="64"/>
  <c r="P29" i="64"/>
  <c r="V29" i="64" s="1"/>
  <c r="Q29" i="64"/>
  <c r="W29" i="64" s="1"/>
  <c r="I22" i="58"/>
  <c r="H22" i="58"/>
  <c r="K22" i="58"/>
  <c r="L22" i="58"/>
  <c r="G22" i="58"/>
  <c r="N22" i="58"/>
  <c r="M22" i="58"/>
  <c r="F22" i="58"/>
  <c r="J22" i="58"/>
  <c r="Q22" i="58"/>
  <c r="P22" i="58"/>
  <c r="O22" i="58"/>
  <c r="P15" i="58"/>
  <c r="V15" i="58" s="1"/>
  <c r="Q15" i="58"/>
  <c r="W15" i="58" s="1"/>
  <c r="O15" i="58"/>
  <c r="N15" i="58"/>
  <c r="L26" i="58"/>
  <c r="K26" i="58"/>
  <c r="J26" i="58"/>
  <c r="N26" i="58"/>
  <c r="P26" i="58"/>
  <c r="M26" i="58"/>
  <c r="Q26" i="58"/>
  <c r="O26" i="58"/>
  <c r="C11" i="72"/>
  <c r="I54" i="44"/>
  <c r="J54" i="44" s="1"/>
  <c r="I54" i="46"/>
  <c r="J54" i="46" s="1"/>
  <c r="I59" i="46"/>
  <c r="J59" i="46" s="1"/>
  <c r="I59" i="48"/>
  <c r="J59" i="48" s="1"/>
  <c r="I62" i="54"/>
  <c r="J62" i="54" s="1"/>
  <c r="I62" i="44"/>
  <c r="J62" i="44" s="1"/>
  <c r="I62" i="48"/>
  <c r="J62" i="48" s="1"/>
  <c r="V41" i="58"/>
  <c r="K11" i="72"/>
  <c r="H43" i="58"/>
  <c r="I66" i="54"/>
  <c r="J66" i="54" s="1"/>
  <c r="I66" i="46"/>
  <c r="J66" i="46" s="1"/>
  <c r="C53" i="73"/>
  <c r="B53" i="73" s="1"/>
  <c r="A53" i="73" s="1"/>
  <c r="C6" i="73"/>
  <c r="G13" i="69"/>
  <c r="N53" i="73"/>
  <c r="M53" i="73" s="1"/>
  <c r="I53" i="73"/>
  <c r="H53" i="73" s="1"/>
  <c r="G53" i="73" s="1"/>
  <c r="I31" i="42"/>
  <c r="J31" i="42" s="1"/>
  <c r="I31" i="48"/>
  <c r="J31" i="48" s="1"/>
  <c r="D34" i="74"/>
  <c r="D33" i="74"/>
  <c r="D31" i="74"/>
  <c r="D30" i="74"/>
  <c r="C42" i="74" s="1"/>
  <c r="B42" i="74" s="1"/>
  <c r="D32" i="74"/>
  <c r="V61" i="58"/>
  <c r="P67" i="58"/>
  <c r="I41" i="44"/>
  <c r="J41" i="44" s="1"/>
  <c r="I41" i="50"/>
  <c r="J41" i="50" s="1"/>
  <c r="I41" i="54"/>
  <c r="J41" i="54" s="1"/>
  <c r="K25" i="58"/>
  <c r="L25" i="58"/>
  <c r="V25" i="58" s="1"/>
  <c r="J25" i="58"/>
  <c r="M25" i="58"/>
  <c r="W25" i="58" s="1"/>
  <c r="B18" i="63"/>
  <c r="C8" i="63" s="1"/>
  <c r="P13" i="58"/>
  <c r="N13" i="58"/>
  <c r="O13" i="58"/>
  <c r="M13" i="58"/>
  <c r="J13" i="58"/>
  <c r="K13" i="58"/>
  <c r="Q13" i="58"/>
  <c r="L13" i="58"/>
  <c r="E23" i="1"/>
  <c r="F18" i="1" s="1"/>
  <c r="P30" i="58"/>
  <c r="V30" i="58" s="1"/>
  <c r="Q30" i="58"/>
  <c r="W30" i="58" s="1"/>
  <c r="O30" i="58"/>
  <c r="N30" i="58"/>
  <c r="J23" i="58"/>
  <c r="M23" i="58"/>
  <c r="I23" i="58"/>
  <c r="H23" i="58"/>
  <c r="K23" i="58"/>
  <c r="G23" i="58"/>
  <c r="F23" i="58"/>
  <c r="L23" i="58"/>
  <c r="Q16" i="64"/>
  <c r="W16" i="64" s="1"/>
  <c r="N16" i="64"/>
  <c r="P16" i="64"/>
  <c r="V16" i="64" s="1"/>
  <c r="O16" i="64"/>
  <c r="F20" i="58"/>
  <c r="I20" i="58"/>
  <c r="W20" i="58" s="1"/>
  <c r="H20" i="58"/>
  <c r="G20" i="58"/>
  <c r="X51" i="64"/>
  <c r="W82" i="64"/>
  <c r="X59" i="64"/>
  <c r="X77" i="64"/>
  <c r="X73" i="64"/>
  <c r="V82" i="64"/>
  <c r="X41" i="64"/>
  <c r="X43" i="64" s="1"/>
  <c r="V43" i="64"/>
  <c r="W26" i="64" l="1"/>
  <c r="X26" i="64" s="1"/>
  <c r="I73" i="34"/>
  <c r="C31" i="54"/>
  <c r="W12" i="58"/>
  <c r="G27" i="74"/>
  <c r="C34" i="44" s="1"/>
  <c r="I25" i="34"/>
  <c r="I20" i="34"/>
  <c r="I65" i="34"/>
  <c r="I35" i="34"/>
  <c r="I39" i="34"/>
  <c r="I64" i="34"/>
  <c r="I22" i="34"/>
  <c r="I46" i="34"/>
  <c r="I11" i="34"/>
  <c r="G80" i="34"/>
  <c r="G81" i="34" s="1"/>
  <c r="I56" i="71"/>
  <c r="H56" i="71" s="1"/>
  <c r="G56" i="71" s="1"/>
  <c r="D23" i="75"/>
  <c r="D31" i="75" s="1"/>
  <c r="D23" i="70"/>
  <c r="D34" i="70" s="1"/>
  <c r="I67" i="71"/>
  <c r="H67" i="71" s="1"/>
  <c r="G67" i="71" s="1"/>
  <c r="I23" i="34"/>
  <c r="I67" i="34"/>
  <c r="I75" i="34"/>
  <c r="I36" i="34"/>
  <c r="I19" i="34"/>
  <c r="I43" i="34"/>
  <c r="I24" i="34"/>
  <c r="I32" i="34"/>
  <c r="I44" i="34"/>
  <c r="I61" i="34"/>
  <c r="I45" i="34"/>
  <c r="I33" i="34"/>
  <c r="I63" i="34"/>
  <c r="I66" i="34"/>
  <c r="I62" i="34"/>
  <c r="I77" i="34"/>
  <c r="I59" i="34"/>
  <c r="V7" i="58"/>
  <c r="H36" i="34"/>
  <c r="H33" i="34"/>
  <c r="H23" i="34"/>
  <c r="H43" i="34"/>
  <c r="H22" i="34"/>
  <c r="H25" i="34"/>
  <c r="H76" i="34"/>
  <c r="H59" i="34"/>
  <c r="H77" i="34"/>
  <c r="H62" i="34"/>
  <c r="H19" i="34"/>
  <c r="H39" i="34"/>
  <c r="H35" i="34"/>
  <c r="H32" i="34"/>
  <c r="H46" i="34"/>
  <c r="H24" i="34"/>
  <c r="H63" i="34"/>
  <c r="H61" i="34"/>
  <c r="H65" i="34"/>
  <c r="H11" i="34"/>
  <c r="H45" i="34"/>
  <c r="H64" i="34"/>
  <c r="H67" i="34"/>
  <c r="H44" i="34"/>
  <c r="H20" i="34"/>
  <c r="H73" i="34"/>
  <c r="H75" i="34"/>
  <c r="H66" i="34"/>
  <c r="N28" i="69"/>
  <c r="M28" i="69" s="1"/>
  <c r="K26" i="62"/>
  <c r="C84" i="75"/>
  <c r="B84" i="75" s="1"/>
  <c r="A84" i="75" s="1"/>
  <c r="X82" i="58"/>
  <c r="C21" i="44"/>
  <c r="C21" i="52" s="1"/>
  <c r="C83" i="68"/>
  <c r="B83" i="68" s="1"/>
  <c r="A83" i="68" s="1"/>
  <c r="X30" i="64"/>
  <c r="W26" i="58"/>
  <c r="X25" i="58"/>
  <c r="C83" i="73"/>
  <c r="B83" i="73" s="1"/>
  <c r="A83" i="73" s="1"/>
  <c r="C84" i="71"/>
  <c r="B84" i="71" s="1"/>
  <c r="A84" i="71" s="1"/>
  <c r="X67" i="64"/>
  <c r="X15" i="64"/>
  <c r="I65" i="71"/>
  <c r="H65" i="71" s="1"/>
  <c r="G65" i="71" s="1"/>
  <c r="N65" i="71"/>
  <c r="M65" i="71" s="1"/>
  <c r="C65" i="71"/>
  <c r="B65" i="71" s="1"/>
  <c r="A65" i="71" s="1"/>
  <c r="V9" i="64"/>
  <c r="X54" i="58"/>
  <c r="C83" i="74"/>
  <c r="B83" i="74" s="1"/>
  <c r="A83" i="74" s="1"/>
  <c r="C84" i="74"/>
  <c r="B84" i="74" s="1"/>
  <c r="A84" i="74" s="1"/>
  <c r="C84" i="69"/>
  <c r="B84" i="69" s="1"/>
  <c r="A84" i="69" s="1"/>
  <c r="C83" i="72"/>
  <c r="B83" i="72" s="1"/>
  <c r="A83" i="72" s="1"/>
  <c r="C83" i="71"/>
  <c r="B83" i="71" s="1"/>
  <c r="A83" i="71" s="1"/>
  <c r="C84" i="72"/>
  <c r="B84" i="72" s="1"/>
  <c r="A84" i="72" s="1"/>
  <c r="C83" i="70"/>
  <c r="B83" i="70" s="1"/>
  <c r="A83" i="70" s="1"/>
  <c r="C83" i="67"/>
  <c r="B83" i="67" s="1"/>
  <c r="A83" i="67" s="1"/>
  <c r="C84" i="67"/>
  <c r="B84" i="67" s="1"/>
  <c r="A84" i="67" s="1"/>
  <c r="C84" i="73"/>
  <c r="B84" i="73" s="1"/>
  <c r="A84" i="73" s="1"/>
  <c r="C33" i="42"/>
  <c r="C83" i="75"/>
  <c r="B83" i="75" s="1"/>
  <c r="A83" i="75" s="1"/>
  <c r="C83" i="69"/>
  <c r="B83" i="69" s="1"/>
  <c r="A83" i="69" s="1"/>
  <c r="C84" i="70"/>
  <c r="B84" i="70" s="1"/>
  <c r="A84" i="70" s="1"/>
  <c r="X16" i="58"/>
  <c r="W12" i="64"/>
  <c r="N28" i="71"/>
  <c r="M28" i="71" s="1"/>
  <c r="I28" i="71"/>
  <c r="H28" i="71" s="1"/>
  <c r="I86" i="67"/>
  <c r="H86" i="67" s="1"/>
  <c r="I86" i="72"/>
  <c r="H86" i="72" s="1"/>
  <c r="N86" i="69"/>
  <c r="M86" i="69" s="1"/>
  <c r="I85" i="74"/>
  <c r="N85" i="68"/>
  <c r="M85" i="68" s="1"/>
  <c r="I86" i="74"/>
  <c r="H86" i="74" s="1"/>
  <c r="N86" i="75"/>
  <c r="M86" i="75" s="1"/>
  <c r="N85" i="67"/>
  <c r="M85" i="67" s="1"/>
  <c r="I85" i="73"/>
  <c r="N86" i="72"/>
  <c r="M86" i="72" s="1"/>
  <c r="I85" i="71"/>
  <c r="N85" i="69"/>
  <c r="M85" i="69" s="1"/>
  <c r="I86" i="69"/>
  <c r="H86" i="69" s="1"/>
  <c r="N86" i="73"/>
  <c r="M86" i="73" s="1"/>
  <c r="I85" i="70"/>
  <c r="I85" i="72"/>
  <c r="N85" i="74"/>
  <c r="M85" i="74" s="1"/>
  <c r="N85" i="70"/>
  <c r="M85" i="70" s="1"/>
  <c r="I85" i="67"/>
  <c r="I86" i="70"/>
  <c r="H86" i="70" s="1"/>
  <c r="N86" i="74"/>
  <c r="M86" i="74" s="1"/>
  <c r="I85" i="69"/>
  <c r="N85" i="73"/>
  <c r="M85" i="73" s="1"/>
  <c r="N86" i="67"/>
  <c r="M86" i="67" s="1"/>
  <c r="N85" i="71"/>
  <c r="M85" i="71" s="1"/>
  <c r="I86" i="75"/>
  <c r="H86" i="75" s="1"/>
  <c r="N86" i="70"/>
  <c r="M86" i="70" s="1"/>
  <c r="I86" i="73"/>
  <c r="H86" i="73" s="1"/>
  <c r="N85" i="72"/>
  <c r="M85" i="72" s="1"/>
  <c r="I85" i="68"/>
  <c r="I54" i="71"/>
  <c r="H54" i="71" s="1"/>
  <c r="G54" i="71" s="1"/>
  <c r="N54" i="71"/>
  <c r="M54" i="71" s="1"/>
  <c r="C54" i="71"/>
  <c r="B54" i="71" s="1"/>
  <c r="A54" i="71" s="1"/>
  <c r="F34" i="64"/>
  <c r="C12" i="35" s="1"/>
  <c r="W13" i="64"/>
  <c r="X11" i="58"/>
  <c r="W27" i="58"/>
  <c r="W27" i="64"/>
  <c r="C63" i="37"/>
  <c r="G27" i="75"/>
  <c r="C33" i="46"/>
  <c r="C26" i="69"/>
  <c r="I26" i="69"/>
  <c r="H26" i="69" s="1"/>
  <c r="G26" i="69" s="1"/>
  <c r="N26" i="69"/>
  <c r="M26" i="69" s="1"/>
  <c r="V22" i="64"/>
  <c r="N54" i="70"/>
  <c r="M54" i="70" s="1"/>
  <c r="I54" i="70"/>
  <c r="H54" i="70" s="1"/>
  <c r="G54" i="70" s="1"/>
  <c r="C54" i="70"/>
  <c r="B54" i="70" s="1"/>
  <c r="A54" i="70" s="1"/>
  <c r="B25" i="73"/>
  <c r="X30" i="58"/>
  <c r="V12" i="64"/>
  <c r="X29" i="58"/>
  <c r="I56" i="70"/>
  <c r="H56" i="70" s="1"/>
  <c r="G56" i="70" s="1"/>
  <c r="N56" i="70"/>
  <c r="M56" i="70" s="1"/>
  <c r="W22" i="64"/>
  <c r="O34" i="58"/>
  <c r="V13" i="58"/>
  <c r="W13" i="58"/>
  <c r="A42" i="74"/>
  <c r="C38" i="44"/>
  <c r="C54" i="69"/>
  <c r="B54" i="69" s="1"/>
  <c r="A54" i="69" s="1"/>
  <c r="C6" i="69"/>
  <c r="N54" i="69"/>
  <c r="M54" i="69" s="1"/>
  <c r="I54" i="69"/>
  <c r="H54" i="69" s="1"/>
  <c r="G54" i="69" s="1"/>
  <c r="X41" i="58"/>
  <c r="X43" i="58" s="1"/>
  <c r="V43" i="58"/>
  <c r="X29" i="64"/>
  <c r="N34" i="58"/>
  <c r="H34" i="64"/>
  <c r="V6" i="64"/>
  <c r="K34" i="64"/>
  <c r="C18" i="35" s="1"/>
  <c r="J34" i="64"/>
  <c r="V12" i="58"/>
  <c r="M28" i="70"/>
  <c r="L34" i="58"/>
  <c r="G16" i="68"/>
  <c r="W9" i="58"/>
  <c r="W67" i="58"/>
  <c r="D23" i="71"/>
  <c r="C32" i="54"/>
  <c r="X49" i="64"/>
  <c r="X54" i="64" s="1"/>
  <c r="V54" i="64"/>
  <c r="F34" i="58"/>
  <c r="N34" i="64"/>
  <c r="V8" i="64"/>
  <c r="P34" i="64"/>
  <c r="W8" i="58"/>
  <c r="G14" i="68"/>
  <c r="W6" i="64"/>
  <c r="I34" i="64"/>
  <c r="K34" i="58"/>
  <c r="V6" i="58"/>
  <c r="G11" i="68"/>
  <c r="H34" i="58"/>
  <c r="X16" i="64"/>
  <c r="C12" i="63"/>
  <c r="C14" i="63"/>
  <c r="C16" i="63"/>
  <c r="C10" i="63"/>
  <c r="X61" i="58"/>
  <c r="X67" i="58" s="1"/>
  <c r="V67" i="58"/>
  <c r="N25" i="72"/>
  <c r="G11" i="67"/>
  <c r="C25" i="72"/>
  <c r="B25" i="72" s="1"/>
  <c r="C6" i="72"/>
  <c r="I25" i="72"/>
  <c r="H25" i="72" s="1"/>
  <c r="V22" i="58"/>
  <c r="O13" i="68"/>
  <c r="W21" i="58"/>
  <c r="O34" i="64"/>
  <c r="C23" i="35" s="1"/>
  <c r="V13" i="64"/>
  <c r="I85" i="75"/>
  <c r="O16" i="71"/>
  <c r="N85" i="75"/>
  <c r="M85" i="75" s="1"/>
  <c r="C97" i="75"/>
  <c r="B97" i="75" s="1"/>
  <c r="A97" i="75" s="1"/>
  <c r="C6" i="75"/>
  <c r="W9" i="64"/>
  <c r="I66" i="74"/>
  <c r="H66" i="74" s="1"/>
  <c r="G66" i="74" s="1"/>
  <c r="O14" i="70"/>
  <c r="N66" i="74"/>
  <c r="M66" i="74" s="1"/>
  <c r="W7" i="64"/>
  <c r="L34" i="64"/>
  <c r="V27" i="58"/>
  <c r="M34" i="58"/>
  <c r="W7" i="58"/>
  <c r="G13" i="68"/>
  <c r="V27" i="64"/>
  <c r="V9" i="58"/>
  <c r="X20" i="64"/>
  <c r="W6" i="58"/>
  <c r="I34" i="58"/>
  <c r="O11" i="68"/>
  <c r="V20" i="58"/>
  <c r="X20" i="58" s="1"/>
  <c r="W23" i="58"/>
  <c r="O16" i="68"/>
  <c r="O11" i="67"/>
  <c r="N27" i="72"/>
  <c r="M27" i="72" s="1"/>
  <c r="I27" i="72"/>
  <c r="H27" i="72" s="1"/>
  <c r="G27" i="72" s="1"/>
  <c r="G28" i="70"/>
  <c r="C33" i="52"/>
  <c r="V21" i="64"/>
  <c r="M34" i="64"/>
  <c r="J34" i="58"/>
  <c r="C34" i="42"/>
  <c r="J23" i="73"/>
  <c r="X82" i="64"/>
  <c r="V23" i="58"/>
  <c r="F22" i="1"/>
  <c r="F20" i="1"/>
  <c r="F21" i="1"/>
  <c r="F19" i="1"/>
  <c r="V26" i="58"/>
  <c r="X15" i="58"/>
  <c r="W22" i="58"/>
  <c r="O14" i="68"/>
  <c r="Q34" i="58"/>
  <c r="P34" i="58"/>
  <c r="V8" i="58"/>
  <c r="V21" i="58"/>
  <c r="G34" i="64"/>
  <c r="C13" i="35" s="1"/>
  <c r="Q34" i="64"/>
  <c r="W21" i="64"/>
  <c r="V7" i="64"/>
  <c r="X25" i="64"/>
  <c r="X11" i="64"/>
  <c r="C6" i="74"/>
  <c r="C64" i="74"/>
  <c r="B64" i="74" s="1"/>
  <c r="A64" i="74" s="1"/>
  <c r="G14" i="70"/>
  <c r="N64" i="74"/>
  <c r="M64" i="74" s="1"/>
  <c r="I64" i="74"/>
  <c r="H64" i="74" s="1"/>
  <c r="G64" i="74" s="1"/>
  <c r="I56" i="69"/>
  <c r="H56" i="69" s="1"/>
  <c r="G56" i="69" s="1"/>
  <c r="N56" i="69"/>
  <c r="M56" i="69" s="1"/>
  <c r="G34" i="58"/>
  <c r="W8" i="64"/>
  <c r="G28" i="69"/>
  <c r="J23" i="74" l="1"/>
  <c r="J32" i="74" s="1"/>
  <c r="D34" i="75"/>
  <c r="F7" i="1"/>
  <c r="D32" i="75"/>
  <c r="X12" i="58"/>
  <c r="C11" i="35"/>
  <c r="D33" i="75"/>
  <c r="D30" i="75"/>
  <c r="C42" i="75" s="1"/>
  <c r="B42" i="75" s="1"/>
  <c r="A42" i="75" s="1"/>
  <c r="D33" i="70"/>
  <c r="D30" i="70"/>
  <c r="C42" i="70" s="1"/>
  <c r="B42" i="70" s="1"/>
  <c r="C38" i="52" s="1"/>
  <c r="D32" i="70"/>
  <c r="D31" i="70"/>
  <c r="I80" i="34"/>
  <c r="I81" i="34" s="1"/>
  <c r="X7" i="58"/>
  <c r="X13" i="64"/>
  <c r="H80" i="34"/>
  <c r="C33" i="50"/>
  <c r="X26" i="58"/>
  <c r="X7" i="64"/>
  <c r="X8" i="58"/>
  <c r="X27" i="58"/>
  <c r="F23" i="1"/>
  <c r="X12" i="64"/>
  <c r="X23" i="58"/>
  <c r="X27" i="64"/>
  <c r="X9" i="64"/>
  <c r="X8" i="64"/>
  <c r="X9" i="58"/>
  <c r="J81" i="67"/>
  <c r="H85" i="67"/>
  <c r="H85" i="70"/>
  <c r="J81" i="70"/>
  <c r="H85" i="71"/>
  <c r="J81" i="71"/>
  <c r="G28" i="71"/>
  <c r="C33" i="54"/>
  <c r="C18" i="63"/>
  <c r="B26" i="69"/>
  <c r="H85" i="68"/>
  <c r="J81" i="68"/>
  <c r="J81" i="69"/>
  <c r="H85" i="69"/>
  <c r="J23" i="75"/>
  <c r="C34" i="46"/>
  <c r="H85" i="72"/>
  <c r="J81" i="72"/>
  <c r="J81" i="74"/>
  <c r="H85" i="74"/>
  <c r="X21" i="64"/>
  <c r="A25" i="73"/>
  <c r="C31" i="42"/>
  <c r="X22" i="64"/>
  <c r="J81" i="73"/>
  <c r="H85" i="73"/>
  <c r="X6" i="58"/>
  <c r="V34" i="58"/>
  <c r="I86" i="68"/>
  <c r="H86" i="68" s="1"/>
  <c r="N86" i="68"/>
  <c r="M86" i="68" s="1"/>
  <c r="C98" i="68"/>
  <c r="B98" i="68" s="1"/>
  <c r="A98" i="68" s="1"/>
  <c r="W34" i="58"/>
  <c r="J81" i="75"/>
  <c r="H85" i="75"/>
  <c r="I56" i="68"/>
  <c r="H56" i="68" s="1"/>
  <c r="G56" i="68" s="1"/>
  <c r="N56" i="68"/>
  <c r="M56" i="68" s="1"/>
  <c r="X6" i="64"/>
  <c r="V34" i="64"/>
  <c r="X13" i="58"/>
  <c r="J31" i="73"/>
  <c r="J34" i="73"/>
  <c r="J32" i="73"/>
  <c r="J30" i="73"/>
  <c r="I42" i="73" s="1"/>
  <c r="H42" i="73" s="1"/>
  <c r="J33" i="73"/>
  <c r="N84" i="68"/>
  <c r="M84" i="68" s="1"/>
  <c r="I84" i="68"/>
  <c r="H84" i="68" s="1"/>
  <c r="C96" i="68"/>
  <c r="B96" i="68" s="1"/>
  <c r="A96" i="68" s="1"/>
  <c r="C84" i="68"/>
  <c r="B84" i="68" s="1"/>
  <c r="A84" i="68" s="1"/>
  <c r="X21" i="58"/>
  <c r="N67" i="68"/>
  <c r="M67" i="68" s="1"/>
  <c r="I67" i="68"/>
  <c r="H67" i="68" s="1"/>
  <c r="G67" i="68" s="1"/>
  <c r="C34" i="52"/>
  <c r="J23" i="70"/>
  <c r="I28" i="67"/>
  <c r="H28" i="67" s="1"/>
  <c r="G28" i="67" s="1"/>
  <c r="N28" i="67"/>
  <c r="M28" i="67" s="1"/>
  <c r="N67" i="70"/>
  <c r="M67" i="70" s="1"/>
  <c r="I67" i="70"/>
  <c r="H67" i="70" s="1"/>
  <c r="G67" i="70" s="1"/>
  <c r="X22" i="58"/>
  <c r="A25" i="72"/>
  <c r="C31" i="40"/>
  <c r="N28" i="68"/>
  <c r="M28" i="68" s="1"/>
  <c r="I28" i="68"/>
  <c r="H28" i="68" s="1"/>
  <c r="G28" i="68" s="1"/>
  <c r="I86" i="71"/>
  <c r="H86" i="71" s="1"/>
  <c r="N86" i="71"/>
  <c r="M86" i="71" s="1"/>
  <c r="C98" i="71"/>
  <c r="B98" i="71" s="1"/>
  <c r="A98" i="71" s="1"/>
  <c r="C6" i="71"/>
  <c r="M25" i="72"/>
  <c r="I65" i="68"/>
  <c r="H65" i="68" s="1"/>
  <c r="G65" i="68" s="1"/>
  <c r="C65" i="68"/>
  <c r="B65" i="68" s="1"/>
  <c r="A65" i="68" s="1"/>
  <c r="N65" i="68"/>
  <c r="M65" i="68" s="1"/>
  <c r="D33" i="71"/>
  <c r="D34" i="71"/>
  <c r="D32" i="71"/>
  <c r="D31" i="71"/>
  <c r="D30" i="71"/>
  <c r="C42" i="71" s="1"/>
  <c r="B42" i="71" s="1"/>
  <c r="C34" i="50"/>
  <c r="J23" i="69"/>
  <c r="C65" i="70"/>
  <c r="B65" i="70" s="1"/>
  <c r="A65" i="70" s="1"/>
  <c r="I65" i="70"/>
  <c r="H65" i="70" s="1"/>
  <c r="G65" i="70" s="1"/>
  <c r="C6" i="70"/>
  <c r="N65" i="70"/>
  <c r="M65" i="70" s="1"/>
  <c r="N54" i="68"/>
  <c r="M54" i="68" s="1"/>
  <c r="I54" i="68"/>
  <c r="H54" i="68" s="1"/>
  <c r="G54" i="68" s="1"/>
  <c r="C54" i="68"/>
  <c r="B54" i="68" s="1"/>
  <c r="A54" i="68" s="1"/>
  <c r="G25" i="72"/>
  <c r="C33" i="40"/>
  <c r="N26" i="67"/>
  <c r="C26" i="67"/>
  <c r="B26" i="67" s="1"/>
  <c r="C6" i="67"/>
  <c r="I26" i="67"/>
  <c r="H26" i="67" s="1"/>
  <c r="I26" i="68"/>
  <c r="H26" i="68" s="1"/>
  <c r="N26" i="68"/>
  <c r="C26" i="68"/>
  <c r="B26" i="68" s="1"/>
  <c r="C6" i="68"/>
  <c r="W34" i="64"/>
  <c r="C21" i="35"/>
  <c r="C22" i="35"/>
  <c r="C17" i="35"/>
  <c r="C16" i="35"/>
  <c r="C39" i="44"/>
  <c r="D36" i="74"/>
  <c r="J33" i="74" l="1"/>
  <c r="N29" i="74"/>
  <c r="O31" i="74" s="1"/>
  <c r="J31" i="74"/>
  <c r="J34" i="74"/>
  <c r="J30" i="74"/>
  <c r="I42" i="74" s="1"/>
  <c r="H42" i="74" s="1"/>
  <c r="C40" i="44" s="1"/>
  <c r="F9" i="1"/>
  <c r="H40" i="1" s="1"/>
  <c r="C38" i="46"/>
  <c r="A42" i="70"/>
  <c r="D36" i="70" s="1"/>
  <c r="F8" i="1"/>
  <c r="H81" i="34"/>
  <c r="X34" i="64"/>
  <c r="C32" i="42"/>
  <c r="D23" i="73"/>
  <c r="J23" i="71"/>
  <c r="C34" i="54"/>
  <c r="A26" i="69"/>
  <c r="C31" i="50"/>
  <c r="N29" i="75"/>
  <c r="J32" i="75"/>
  <c r="J33" i="75"/>
  <c r="J31" i="75"/>
  <c r="J30" i="75"/>
  <c r="I42" i="75" s="1"/>
  <c r="H42" i="75" s="1"/>
  <c r="J34" i="75"/>
  <c r="C33" i="35"/>
  <c r="G26" i="68"/>
  <c r="J34" i="70"/>
  <c r="J30" i="70"/>
  <c r="I42" i="70" s="1"/>
  <c r="H42" i="70" s="1"/>
  <c r="J33" i="70"/>
  <c r="J31" i="70"/>
  <c r="J32" i="70"/>
  <c r="N29" i="70"/>
  <c r="G26" i="67"/>
  <c r="C33" i="48"/>
  <c r="O33" i="74"/>
  <c r="O30" i="74"/>
  <c r="A42" i="71"/>
  <c r="C38" i="54"/>
  <c r="D46" i="74"/>
  <c r="D44" i="74"/>
  <c r="D45" i="74"/>
  <c r="D43" i="74"/>
  <c r="C57" i="74" s="1"/>
  <c r="B57" i="74" s="1"/>
  <c r="D23" i="72"/>
  <c r="C32" i="40"/>
  <c r="A26" i="68"/>
  <c r="C31" i="35"/>
  <c r="J23" i="72"/>
  <c r="C34" i="40"/>
  <c r="M26" i="67"/>
  <c r="C39" i="46"/>
  <c r="D36" i="75"/>
  <c r="X34" i="58"/>
  <c r="M26" i="68"/>
  <c r="A26" i="67"/>
  <c r="C31" i="48"/>
  <c r="J34" i="69"/>
  <c r="J32" i="69"/>
  <c r="J33" i="69"/>
  <c r="J30" i="69"/>
  <c r="I42" i="69" s="1"/>
  <c r="H42" i="69" s="1"/>
  <c r="J31" i="69"/>
  <c r="G42" i="73"/>
  <c r="C40" i="42"/>
  <c r="O34" i="74" l="1"/>
  <c r="O32" i="74"/>
  <c r="M29" i="74"/>
  <c r="C35" i="44" s="1"/>
  <c r="G42" i="74"/>
  <c r="J36" i="74" s="1"/>
  <c r="C39" i="52"/>
  <c r="H12" i="2"/>
  <c r="H38" i="1"/>
  <c r="H36" i="1"/>
  <c r="H16" i="2"/>
  <c r="H26" i="2"/>
  <c r="H18" i="2"/>
  <c r="H34" i="1"/>
  <c r="H42" i="1"/>
  <c r="H20" i="2"/>
  <c r="H22" i="2"/>
  <c r="H24" i="2"/>
  <c r="H14" i="2"/>
  <c r="F24" i="2"/>
  <c r="F22" i="2"/>
  <c r="F14" i="2"/>
  <c r="F36" i="1"/>
  <c r="F26" i="2"/>
  <c r="F38" i="1"/>
  <c r="F12" i="2"/>
  <c r="F18" i="2"/>
  <c r="F10" i="1"/>
  <c r="F40" i="1"/>
  <c r="F42" i="1"/>
  <c r="F16" i="2"/>
  <c r="F20" i="2"/>
  <c r="F34" i="1"/>
  <c r="G42" i="75"/>
  <c r="C40" i="46"/>
  <c r="O32" i="75"/>
  <c r="O34" i="75"/>
  <c r="O31" i="75"/>
  <c r="O33" i="75"/>
  <c r="M29" i="75"/>
  <c r="C35" i="46" s="1"/>
  <c r="O30" i="75"/>
  <c r="J30" i="71"/>
  <c r="I42" i="71" s="1"/>
  <c r="H42" i="71" s="1"/>
  <c r="J32" i="71"/>
  <c r="N29" i="71"/>
  <c r="J31" i="71"/>
  <c r="J33" i="71"/>
  <c r="J34" i="71"/>
  <c r="D33" i="73"/>
  <c r="D31" i="73"/>
  <c r="D30" i="73"/>
  <c r="C42" i="73" s="1"/>
  <c r="D32" i="73"/>
  <c r="D34" i="73"/>
  <c r="N29" i="73"/>
  <c r="C32" i="50"/>
  <c r="D23" i="69"/>
  <c r="C45" i="44"/>
  <c r="A57" i="74"/>
  <c r="C32" i="48"/>
  <c r="D23" i="67"/>
  <c r="D43" i="75"/>
  <c r="D45" i="75"/>
  <c r="D46" i="75"/>
  <c r="D44" i="75"/>
  <c r="D36" i="71"/>
  <c r="C39" i="54"/>
  <c r="C34" i="48"/>
  <c r="J23" i="67"/>
  <c r="J30" i="72"/>
  <c r="I42" i="72" s="1"/>
  <c r="H42" i="72" s="1"/>
  <c r="J34" i="72"/>
  <c r="J33" i="72"/>
  <c r="J31" i="72"/>
  <c r="J32" i="72"/>
  <c r="D23" i="68"/>
  <c r="C32" i="35"/>
  <c r="D32" i="72"/>
  <c r="N29" i="72"/>
  <c r="D30" i="72"/>
  <c r="C42" i="72" s="1"/>
  <c r="B42" i="72" s="1"/>
  <c r="D34" i="72"/>
  <c r="D31" i="72"/>
  <c r="D33" i="72"/>
  <c r="M29" i="70"/>
  <c r="C35" i="52" s="1"/>
  <c r="O30" i="70"/>
  <c r="O32" i="70"/>
  <c r="O34" i="70"/>
  <c r="O33" i="70"/>
  <c r="O31" i="70"/>
  <c r="G42" i="70"/>
  <c r="C40" i="52"/>
  <c r="J23" i="68"/>
  <c r="C34" i="35"/>
  <c r="C41" i="42"/>
  <c r="J36" i="73"/>
  <c r="D44" i="70"/>
  <c r="D46" i="70"/>
  <c r="D45" i="70"/>
  <c r="D43" i="70"/>
  <c r="C57" i="70" s="1"/>
  <c r="B57" i="70" s="1"/>
  <c r="G42" i="69"/>
  <c r="C40" i="50"/>
  <c r="C41" i="44" l="1"/>
  <c r="O32" i="73"/>
  <c r="O34" i="73"/>
  <c r="M29" i="73"/>
  <c r="C35" i="42" s="1"/>
  <c r="O31" i="73"/>
  <c r="O33" i="73"/>
  <c r="O30" i="73"/>
  <c r="O30" i="71"/>
  <c r="M29" i="71"/>
  <c r="C35" i="54" s="1"/>
  <c r="O34" i="71"/>
  <c r="O31" i="71"/>
  <c r="O32" i="71"/>
  <c r="O33" i="71"/>
  <c r="D34" i="69"/>
  <c r="D32" i="69"/>
  <c r="D33" i="69"/>
  <c r="D30" i="69"/>
  <c r="C42" i="69" s="1"/>
  <c r="D31" i="69"/>
  <c r="N29" i="69"/>
  <c r="B42" i="73"/>
  <c r="G42" i="71"/>
  <c r="C40" i="54"/>
  <c r="C41" i="46"/>
  <c r="J36" i="75"/>
  <c r="C45" i="52"/>
  <c r="A57" i="70"/>
  <c r="J34" i="68"/>
  <c r="J30" i="68"/>
  <c r="I42" i="68" s="1"/>
  <c r="H42" i="68" s="1"/>
  <c r="J31" i="68"/>
  <c r="J32" i="68"/>
  <c r="J33" i="68"/>
  <c r="A42" i="72"/>
  <c r="C38" i="40"/>
  <c r="D30" i="68"/>
  <c r="C42" i="68" s="1"/>
  <c r="B42" i="68" s="1"/>
  <c r="D33" i="68"/>
  <c r="D31" i="68"/>
  <c r="N29" i="68"/>
  <c r="D34" i="68"/>
  <c r="D32" i="68"/>
  <c r="J45" i="74"/>
  <c r="J43" i="74"/>
  <c r="I57" i="74" s="1"/>
  <c r="H57" i="74" s="1"/>
  <c r="J44" i="74"/>
  <c r="J46" i="74"/>
  <c r="N42" i="74"/>
  <c r="N29" i="67"/>
  <c r="D31" i="67"/>
  <c r="D30" i="67"/>
  <c r="C42" i="67" s="1"/>
  <c r="B42" i="67" s="1"/>
  <c r="D32" i="67"/>
  <c r="D34" i="67"/>
  <c r="D33" i="67"/>
  <c r="J43" i="73"/>
  <c r="J46" i="73"/>
  <c r="J44" i="73"/>
  <c r="J45" i="73"/>
  <c r="M29" i="72"/>
  <c r="C35" i="40" s="1"/>
  <c r="O33" i="72"/>
  <c r="O31" i="72"/>
  <c r="O32" i="72"/>
  <c r="O30" i="72"/>
  <c r="O34" i="72"/>
  <c r="D46" i="71"/>
  <c r="D43" i="71"/>
  <c r="D45" i="71"/>
  <c r="D44" i="71"/>
  <c r="D51" i="74"/>
  <c r="C46" i="44"/>
  <c r="J36" i="69"/>
  <c r="C41" i="50"/>
  <c r="C41" i="52"/>
  <c r="J36" i="70"/>
  <c r="C40" i="40"/>
  <c r="G42" i="72"/>
  <c r="J32" i="67"/>
  <c r="J31" i="67"/>
  <c r="J34" i="67"/>
  <c r="J33" i="67"/>
  <c r="J30" i="67"/>
  <c r="I42" i="67" s="1"/>
  <c r="H42" i="67" s="1"/>
  <c r="C57" i="75"/>
  <c r="B57" i="75" s="1"/>
  <c r="J36" i="71" l="1"/>
  <c r="C41" i="54"/>
  <c r="J46" i="75"/>
  <c r="J45" i="75"/>
  <c r="J43" i="75"/>
  <c r="I57" i="75" s="1"/>
  <c r="H57" i="75" s="1"/>
  <c r="C47" i="46" s="1"/>
  <c r="N42" i="75"/>
  <c r="J44" i="75"/>
  <c r="A42" i="73"/>
  <c r="C38" i="42"/>
  <c r="B42" i="69"/>
  <c r="O32" i="69"/>
  <c r="O31" i="69"/>
  <c r="M29" i="69"/>
  <c r="C35" i="50" s="1"/>
  <c r="O34" i="69"/>
  <c r="O30" i="69"/>
  <c r="O33" i="69"/>
  <c r="O43" i="74"/>
  <c r="M42" i="74"/>
  <c r="C42" i="44" s="1"/>
  <c r="O44" i="74"/>
  <c r="O45" i="74"/>
  <c r="O46" i="74"/>
  <c r="D36" i="72"/>
  <c r="C39" i="40"/>
  <c r="A57" i="75"/>
  <c r="C45" i="46"/>
  <c r="C57" i="71"/>
  <c r="B57" i="71" s="1"/>
  <c r="A42" i="67"/>
  <c r="C38" i="48"/>
  <c r="J36" i="72"/>
  <c r="C41" i="40"/>
  <c r="J43" i="69"/>
  <c r="J45" i="69"/>
  <c r="J46" i="69"/>
  <c r="J44" i="69"/>
  <c r="C38" i="35"/>
  <c r="A42" i="68"/>
  <c r="C46" i="52"/>
  <c r="D51" i="70"/>
  <c r="D58" i="74"/>
  <c r="C68" i="74" s="1"/>
  <c r="B68" i="74" s="1"/>
  <c r="D60" i="74"/>
  <c r="D59" i="74"/>
  <c r="G42" i="68"/>
  <c r="C40" i="35"/>
  <c r="G42" i="67"/>
  <c r="C40" i="48"/>
  <c r="N42" i="70"/>
  <c r="J46" i="70"/>
  <c r="J43" i="70"/>
  <c r="I57" i="70" s="1"/>
  <c r="H57" i="70" s="1"/>
  <c r="J44" i="70"/>
  <c r="J45" i="70"/>
  <c r="M29" i="67"/>
  <c r="C35" i="48" s="1"/>
  <c r="O31" i="67"/>
  <c r="O33" i="67"/>
  <c r="O30" i="67"/>
  <c r="O32" i="67"/>
  <c r="O34" i="67"/>
  <c r="C47" i="44"/>
  <c r="G57" i="74"/>
  <c r="M29" i="68"/>
  <c r="C35" i="35" s="1"/>
  <c r="O31" i="68"/>
  <c r="O34" i="68"/>
  <c r="O32" i="68"/>
  <c r="O33" i="68"/>
  <c r="O30" i="68"/>
  <c r="G57" i="75" l="1"/>
  <c r="C48" i="46" s="1"/>
  <c r="D36" i="73"/>
  <c r="C39" i="42"/>
  <c r="C38" i="50"/>
  <c r="A42" i="69"/>
  <c r="O43" i="75"/>
  <c r="O45" i="75"/>
  <c r="O46" i="75"/>
  <c r="O44" i="75"/>
  <c r="M42" i="75"/>
  <c r="C42" i="46" s="1"/>
  <c r="J45" i="71"/>
  <c r="N42" i="71"/>
  <c r="J43" i="71"/>
  <c r="I57" i="71" s="1"/>
  <c r="H57" i="71" s="1"/>
  <c r="G57" i="71" s="1"/>
  <c r="J44" i="71"/>
  <c r="J46" i="71"/>
  <c r="C41" i="48"/>
  <c r="J36" i="67"/>
  <c r="C46" i="46"/>
  <c r="D51" i="75"/>
  <c r="A68" i="74"/>
  <c r="C52" i="44"/>
  <c r="G57" i="70"/>
  <c r="C47" i="52"/>
  <c r="D36" i="68"/>
  <c r="C39" i="35"/>
  <c r="J43" i="72"/>
  <c r="J46" i="72"/>
  <c r="J45" i="72"/>
  <c r="J44" i="72"/>
  <c r="O45" i="70"/>
  <c r="O46" i="70"/>
  <c r="O43" i="70"/>
  <c r="M42" i="70"/>
  <c r="C42" i="52" s="1"/>
  <c r="O44" i="70"/>
  <c r="J36" i="68"/>
  <c r="C41" i="35"/>
  <c r="D59" i="70"/>
  <c r="D58" i="70"/>
  <c r="D60" i="70"/>
  <c r="C39" i="48"/>
  <c r="D36" i="67"/>
  <c r="A57" i="71"/>
  <c r="C45" i="54"/>
  <c r="N42" i="72"/>
  <c r="D43" i="72"/>
  <c r="D46" i="72"/>
  <c r="D45" i="72"/>
  <c r="D44" i="72"/>
  <c r="C48" i="44"/>
  <c r="J51" i="74"/>
  <c r="J51" i="75" l="1"/>
  <c r="J59" i="75" s="1"/>
  <c r="C47" i="54"/>
  <c r="O43" i="71"/>
  <c r="M42" i="71"/>
  <c r="C42" i="54" s="1"/>
  <c r="O44" i="71"/>
  <c r="O45" i="71"/>
  <c r="O46" i="71"/>
  <c r="C39" i="50"/>
  <c r="D36" i="69"/>
  <c r="D43" i="73"/>
  <c r="D46" i="73"/>
  <c r="D45" i="73"/>
  <c r="N42" i="73"/>
  <c r="D44" i="73"/>
  <c r="D43" i="67"/>
  <c r="D45" i="67"/>
  <c r="D46" i="67"/>
  <c r="D44" i="67"/>
  <c r="N42" i="67"/>
  <c r="M42" i="72"/>
  <c r="C42" i="40" s="1"/>
  <c r="O45" i="72"/>
  <c r="O43" i="72"/>
  <c r="O46" i="72"/>
  <c r="O44" i="72"/>
  <c r="D46" i="68"/>
  <c r="D43" i="68"/>
  <c r="N42" i="68"/>
  <c r="D45" i="68"/>
  <c r="D44" i="68"/>
  <c r="C48" i="54"/>
  <c r="J51" i="71"/>
  <c r="J45" i="68"/>
  <c r="J44" i="68"/>
  <c r="J46" i="68"/>
  <c r="J43" i="68"/>
  <c r="J43" i="67"/>
  <c r="J44" i="67"/>
  <c r="J45" i="67"/>
  <c r="J46" i="67"/>
  <c r="C57" i="72"/>
  <c r="B57" i="72" s="1"/>
  <c r="I57" i="72"/>
  <c r="H57" i="72" s="1"/>
  <c r="D60" i="75"/>
  <c r="D59" i="75"/>
  <c r="D58" i="75"/>
  <c r="N57" i="74"/>
  <c r="J58" i="74"/>
  <c r="I68" i="74" s="1"/>
  <c r="H68" i="74" s="1"/>
  <c r="J60" i="74"/>
  <c r="J59" i="74"/>
  <c r="C46" i="54"/>
  <c r="D51" i="71"/>
  <c r="C68" i="70"/>
  <c r="B68" i="70" s="1"/>
  <c r="C48" i="52"/>
  <c r="J51" i="70"/>
  <c r="C53" i="44"/>
  <c r="D62" i="74"/>
  <c r="N57" i="75" l="1"/>
  <c r="O60" i="75" s="1"/>
  <c r="J60" i="75"/>
  <c r="J58" i="75"/>
  <c r="I68" i="75" s="1"/>
  <c r="H68" i="75" s="1"/>
  <c r="C57" i="73"/>
  <c r="I57" i="73"/>
  <c r="O44" i="73"/>
  <c r="O45" i="73"/>
  <c r="O46" i="73"/>
  <c r="O43" i="73"/>
  <c r="M42" i="73"/>
  <c r="C42" i="42" s="1"/>
  <c r="D44" i="69"/>
  <c r="N42" i="69"/>
  <c r="D46" i="69"/>
  <c r="D43" i="69"/>
  <c r="D45" i="69"/>
  <c r="D69" i="74"/>
  <c r="D70" i="74"/>
  <c r="C52" i="52"/>
  <c r="A68" i="70"/>
  <c r="O60" i="74"/>
  <c r="M57" i="74"/>
  <c r="C49" i="44" s="1"/>
  <c r="O59" i="74"/>
  <c r="O58" i="74"/>
  <c r="C57" i="68"/>
  <c r="B57" i="68" s="1"/>
  <c r="I57" i="68"/>
  <c r="H57" i="68" s="1"/>
  <c r="D58" i="71"/>
  <c r="N57" i="71"/>
  <c r="D59" i="71"/>
  <c r="D60" i="71"/>
  <c r="J58" i="71"/>
  <c r="J59" i="71"/>
  <c r="J60" i="71"/>
  <c r="J58" i="70"/>
  <c r="I68" i="70" s="1"/>
  <c r="H68" i="70" s="1"/>
  <c r="J59" i="70"/>
  <c r="J60" i="70"/>
  <c r="N57" i="70"/>
  <c r="C68" i="75"/>
  <c r="B68" i="75" s="1"/>
  <c r="C47" i="40"/>
  <c r="G57" i="72"/>
  <c r="C54" i="44"/>
  <c r="G68" i="74"/>
  <c r="O44" i="68"/>
  <c r="M42" i="68"/>
  <c r="C42" i="35" s="1"/>
  <c r="O46" i="68"/>
  <c r="O45" i="68"/>
  <c r="O43" i="68"/>
  <c r="C45" i="40"/>
  <c r="A57" i="72"/>
  <c r="O45" i="67"/>
  <c r="O44" i="67"/>
  <c r="M42" i="67"/>
  <c r="C42" i="48" s="1"/>
  <c r="O43" i="67"/>
  <c r="O46" i="67"/>
  <c r="C57" i="67"/>
  <c r="B57" i="67" s="1"/>
  <c r="I57" i="67"/>
  <c r="H57" i="67" s="1"/>
  <c r="O59" i="75" l="1"/>
  <c r="M57" i="75"/>
  <c r="C49" i="46" s="1"/>
  <c r="O58" i="75"/>
  <c r="O45" i="69"/>
  <c r="O46" i="69"/>
  <c r="O44" i="69"/>
  <c r="M42" i="69"/>
  <c r="C42" i="50" s="1"/>
  <c r="O43" i="69"/>
  <c r="C57" i="69"/>
  <c r="I57" i="69"/>
  <c r="H57" i="73"/>
  <c r="B57" i="73"/>
  <c r="D51" i="72"/>
  <c r="C46" i="40"/>
  <c r="C54" i="46"/>
  <c r="G68" i="75"/>
  <c r="C47" i="35"/>
  <c r="G57" i="68"/>
  <c r="C47" i="48"/>
  <c r="G57" i="67"/>
  <c r="C55" i="44"/>
  <c r="J62" i="74"/>
  <c r="C48" i="40"/>
  <c r="J51" i="72"/>
  <c r="O58" i="70"/>
  <c r="M57" i="70"/>
  <c r="C49" i="52" s="1"/>
  <c r="O60" i="70"/>
  <c r="O59" i="70"/>
  <c r="A57" i="68"/>
  <c r="C45" i="35"/>
  <c r="C54" i="52"/>
  <c r="G68" i="70"/>
  <c r="A57" i="67"/>
  <c r="C45" i="48"/>
  <c r="O59" i="71"/>
  <c r="O60" i="71"/>
  <c r="M57" i="71"/>
  <c r="C49" i="54" s="1"/>
  <c r="O58" i="71"/>
  <c r="C53" i="52"/>
  <c r="D62" i="70"/>
  <c r="C78" i="74"/>
  <c r="B78" i="74" s="1"/>
  <c r="A78" i="74" s="1"/>
  <c r="D72" i="74" s="1"/>
  <c r="D79" i="74" s="1"/>
  <c r="A68" i="75"/>
  <c r="C52" i="46"/>
  <c r="C68" i="71"/>
  <c r="B68" i="71" s="1"/>
  <c r="I68" i="71"/>
  <c r="H68" i="71" s="1"/>
  <c r="H57" i="69" l="1"/>
  <c r="C45" i="42"/>
  <c r="A57" i="73"/>
  <c r="C47" i="42"/>
  <c r="G57" i="73"/>
  <c r="B57" i="69"/>
  <c r="J59" i="72"/>
  <c r="J58" i="72"/>
  <c r="J60" i="72"/>
  <c r="C52" i="54"/>
  <c r="A68" i="71"/>
  <c r="C46" i="48"/>
  <c r="D51" i="67"/>
  <c r="C46" i="35"/>
  <c r="D51" i="68"/>
  <c r="G68" i="71"/>
  <c r="C54" i="54"/>
  <c r="J51" i="67"/>
  <c r="C48" i="48"/>
  <c r="D70" i="70"/>
  <c r="D69" i="70"/>
  <c r="J62" i="70"/>
  <c r="N68" i="70" s="1"/>
  <c r="C55" i="52"/>
  <c r="J69" i="74"/>
  <c r="I78" i="74" s="1"/>
  <c r="H78" i="74" s="1"/>
  <c r="J70" i="74"/>
  <c r="N68" i="74"/>
  <c r="J51" i="68"/>
  <c r="C48" i="35"/>
  <c r="J62" i="75"/>
  <c r="C55" i="46"/>
  <c r="D62" i="75"/>
  <c r="C53" i="46"/>
  <c r="D58" i="72"/>
  <c r="C68" i="72" s="1"/>
  <c r="B68" i="72" s="1"/>
  <c r="N57" i="72"/>
  <c r="D59" i="72"/>
  <c r="D60" i="72"/>
  <c r="C87" i="74"/>
  <c r="B87" i="74" s="1"/>
  <c r="A57" i="69" l="1"/>
  <c r="C45" i="50"/>
  <c r="J51" i="73"/>
  <c r="C48" i="42"/>
  <c r="C46" i="42"/>
  <c r="D51" i="73"/>
  <c r="C47" i="50"/>
  <c r="G57" i="69"/>
  <c r="M68" i="70"/>
  <c r="C56" i="52" s="1"/>
  <c r="O70" i="70"/>
  <c r="O69" i="70"/>
  <c r="O70" i="74"/>
  <c r="M68" i="74"/>
  <c r="C56" i="44" s="1"/>
  <c r="O69" i="74"/>
  <c r="J70" i="70"/>
  <c r="J69" i="70"/>
  <c r="I78" i="70" s="1"/>
  <c r="H78" i="70" s="1"/>
  <c r="D58" i="68"/>
  <c r="D60" i="68"/>
  <c r="N57" i="68"/>
  <c r="D59" i="68"/>
  <c r="N68" i="75"/>
  <c r="D69" i="75"/>
  <c r="D70" i="75"/>
  <c r="J59" i="68"/>
  <c r="J58" i="68"/>
  <c r="J60" i="68"/>
  <c r="J62" i="71"/>
  <c r="C55" i="54"/>
  <c r="M57" i="72"/>
  <c r="C49" i="40" s="1"/>
  <c r="O58" i="72"/>
  <c r="O60" i="72"/>
  <c r="O59" i="72"/>
  <c r="J69" i="75"/>
  <c r="J70" i="75"/>
  <c r="C78" i="70"/>
  <c r="B78" i="70" s="1"/>
  <c r="A78" i="70" s="1"/>
  <c r="D72" i="70" s="1"/>
  <c r="D79" i="70" s="1"/>
  <c r="C87" i="70" s="1"/>
  <c r="B87" i="70" s="1"/>
  <c r="J58" i="67"/>
  <c r="J59" i="67"/>
  <c r="J60" i="67"/>
  <c r="I68" i="72"/>
  <c r="H68" i="72" s="1"/>
  <c r="C52" i="40"/>
  <c r="A68" i="72"/>
  <c r="C61" i="44"/>
  <c r="G78" i="74"/>
  <c r="D59" i="67"/>
  <c r="N57" i="67"/>
  <c r="D60" i="67"/>
  <c r="D58" i="67"/>
  <c r="C53" i="54"/>
  <c r="D62" i="71"/>
  <c r="A87" i="74"/>
  <c r="N57" i="73" l="1"/>
  <c r="D59" i="73"/>
  <c r="D60" i="73"/>
  <c r="D58" i="73"/>
  <c r="C68" i="73" s="1"/>
  <c r="C46" i="50"/>
  <c r="D51" i="69"/>
  <c r="C48" i="50"/>
  <c r="J51" i="69"/>
  <c r="J60" i="73"/>
  <c r="J58" i="73"/>
  <c r="J59" i="73"/>
  <c r="O60" i="67"/>
  <c r="O59" i="67"/>
  <c r="O58" i="67"/>
  <c r="M57" i="67"/>
  <c r="C49" i="48" s="1"/>
  <c r="G68" i="72"/>
  <c r="C54" i="40"/>
  <c r="C78" i="75"/>
  <c r="B78" i="75" s="1"/>
  <c r="A78" i="75" s="1"/>
  <c r="D72" i="75" s="1"/>
  <c r="D79" i="75" s="1"/>
  <c r="C87" i="75" s="1"/>
  <c r="B87" i="75" s="1"/>
  <c r="A87" i="75" s="1"/>
  <c r="D81" i="75" s="1"/>
  <c r="D88" i="75" s="1"/>
  <c r="I78" i="75"/>
  <c r="H78" i="75" s="1"/>
  <c r="I68" i="68"/>
  <c r="H68" i="68" s="1"/>
  <c r="C68" i="68"/>
  <c r="B68" i="68" s="1"/>
  <c r="N68" i="71"/>
  <c r="D69" i="71"/>
  <c r="D70" i="71"/>
  <c r="C68" i="67"/>
  <c r="B68" i="67" s="1"/>
  <c r="I68" i="67"/>
  <c r="H68" i="67" s="1"/>
  <c r="C62" i="44"/>
  <c r="J72" i="74"/>
  <c r="J79" i="74" s="1"/>
  <c r="I87" i="74" s="1"/>
  <c r="G78" i="70"/>
  <c r="C61" i="52"/>
  <c r="O69" i="75"/>
  <c r="O70" i="75"/>
  <c r="M68" i="75"/>
  <c r="C56" i="46" s="1"/>
  <c r="C53" i="40"/>
  <c r="D62" i="72"/>
  <c r="J69" i="71"/>
  <c r="J70" i="71"/>
  <c r="O58" i="68"/>
  <c r="O59" i="68"/>
  <c r="M57" i="68"/>
  <c r="C49" i="35" s="1"/>
  <c r="O60" i="68"/>
  <c r="D81" i="74"/>
  <c r="A87" i="70"/>
  <c r="I68" i="73" l="1"/>
  <c r="H68" i="73" s="1"/>
  <c r="O60" i="73"/>
  <c r="O59" i="73"/>
  <c r="M57" i="73"/>
  <c r="C49" i="42" s="1"/>
  <c r="O58" i="73"/>
  <c r="J58" i="69"/>
  <c r="J60" i="69"/>
  <c r="J59" i="69"/>
  <c r="B68" i="73"/>
  <c r="N57" i="69"/>
  <c r="D58" i="69"/>
  <c r="C68" i="69" s="1"/>
  <c r="D59" i="69"/>
  <c r="D60" i="69"/>
  <c r="C62" i="52"/>
  <c r="J72" i="70"/>
  <c r="J79" i="70" s="1"/>
  <c r="I87" i="70" s="1"/>
  <c r="C52" i="48"/>
  <c r="A68" i="67"/>
  <c r="H87" i="74"/>
  <c r="C68" i="44" s="1"/>
  <c r="J88" i="74"/>
  <c r="C52" i="35"/>
  <c r="A68" i="68"/>
  <c r="J62" i="72"/>
  <c r="N68" i="72" s="1"/>
  <c r="C55" i="40"/>
  <c r="C61" i="46"/>
  <c r="G78" i="75"/>
  <c r="C54" i="35"/>
  <c r="G68" i="68"/>
  <c r="D69" i="72"/>
  <c r="C78" i="72" s="1"/>
  <c r="B78" i="72" s="1"/>
  <c r="A78" i="72" s="1"/>
  <c r="D72" i="72" s="1"/>
  <c r="D79" i="72" s="1"/>
  <c r="D70" i="72"/>
  <c r="M68" i="71"/>
  <c r="C56" i="54" s="1"/>
  <c r="O70" i="71"/>
  <c r="O69" i="71"/>
  <c r="C54" i="48"/>
  <c r="G68" i="67"/>
  <c r="I78" i="71"/>
  <c r="H78" i="71" s="1"/>
  <c r="C78" i="71"/>
  <c r="B78" i="71" s="1"/>
  <c r="A78" i="71" s="1"/>
  <c r="D72" i="71" s="1"/>
  <c r="D79" i="71" s="1"/>
  <c r="D88" i="74"/>
  <c r="D81" i="70"/>
  <c r="B68" i="69" l="1"/>
  <c r="G68" i="73"/>
  <c r="C54" i="42"/>
  <c r="C52" i="42"/>
  <c r="A68" i="73"/>
  <c r="O59" i="69"/>
  <c r="M57" i="69"/>
  <c r="C49" i="50" s="1"/>
  <c r="O58" i="69"/>
  <c r="O60" i="69"/>
  <c r="I68" i="69"/>
  <c r="D62" i="68"/>
  <c r="C53" i="35"/>
  <c r="C61" i="54"/>
  <c r="G78" i="71"/>
  <c r="O70" i="72"/>
  <c r="M68" i="72"/>
  <c r="C56" i="40" s="1"/>
  <c r="O69" i="72"/>
  <c r="C55" i="35"/>
  <c r="J62" i="68"/>
  <c r="D62" i="67"/>
  <c r="C53" i="48"/>
  <c r="J62" i="67"/>
  <c r="C55" i="48"/>
  <c r="C87" i="72"/>
  <c r="B87" i="72" s="1"/>
  <c r="A87" i="72" s="1"/>
  <c r="D81" i="72" s="1"/>
  <c r="D88" i="72" s="1"/>
  <c r="C87" i="71"/>
  <c r="B87" i="71" s="1"/>
  <c r="A87" i="71" s="1"/>
  <c r="D81" i="71" s="1"/>
  <c r="D88" i="71" s="1"/>
  <c r="J88" i="70"/>
  <c r="H87" i="70"/>
  <c r="C68" i="52" s="1"/>
  <c r="C62" i="46"/>
  <c r="J72" i="75"/>
  <c r="J79" i="75" s="1"/>
  <c r="I87" i="75" s="1"/>
  <c r="J69" i="72"/>
  <c r="I78" i="72" s="1"/>
  <c r="H78" i="72" s="1"/>
  <c r="J70" i="72"/>
  <c r="D88" i="70"/>
  <c r="D62" i="73" l="1"/>
  <c r="C53" i="42"/>
  <c r="C52" i="50"/>
  <c r="A68" i="69"/>
  <c r="C55" i="42"/>
  <c r="J62" i="73"/>
  <c r="H68" i="69"/>
  <c r="G78" i="72"/>
  <c r="C61" i="40"/>
  <c r="J69" i="68"/>
  <c r="J70" i="68"/>
  <c r="H87" i="75"/>
  <c r="C68" i="46" s="1"/>
  <c r="J88" i="75"/>
  <c r="N68" i="67"/>
  <c r="J70" i="67"/>
  <c r="J69" i="67"/>
  <c r="N68" i="68"/>
  <c r="D70" i="68"/>
  <c r="D69" i="68"/>
  <c r="D69" i="67"/>
  <c r="D70" i="67"/>
  <c r="C62" i="54"/>
  <c r="J72" i="71"/>
  <c r="C53" i="50" l="1"/>
  <c r="D62" i="69"/>
  <c r="G68" i="69"/>
  <c r="C54" i="50"/>
  <c r="J69" i="73"/>
  <c r="J70" i="73"/>
  <c r="N68" i="73"/>
  <c r="D70" i="73"/>
  <c r="D69" i="73"/>
  <c r="C78" i="73" s="1"/>
  <c r="O69" i="68"/>
  <c r="O70" i="68"/>
  <c r="M68" i="68"/>
  <c r="C56" i="35" s="1"/>
  <c r="I78" i="67"/>
  <c r="H78" i="67" s="1"/>
  <c r="C78" i="67"/>
  <c r="B78" i="67" s="1"/>
  <c r="C62" i="40"/>
  <c r="J72" i="72"/>
  <c r="O69" i="67"/>
  <c r="O70" i="67"/>
  <c r="M68" i="67"/>
  <c r="C56" i="48" s="1"/>
  <c r="J79" i="71"/>
  <c r="I87" i="71" s="1"/>
  <c r="I78" i="68"/>
  <c r="H78" i="68" s="1"/>
  <c r="C78" i="68"/>
  <c r="B78" i="68" s="1"/>
  <c r="O69" i="73" l="1"/>
  <c r="M68" i="73"/>
  <c r="C56" i="42" s="1"/>
  <c r="O70" i="73"/>
  <c r="C55" i="50"/>
  <c r="J62" i="69"/>
  <c r="N68" i="69" s="1"/>
  <c r="D70" i="69"/>
  <c r="D69" i="69"/>
  <c r="C78" i="69" s="1"/>
  <c r="B78" i="73"/>
  <c r="A78" i="73" s="1"/>
  <c r="D72" i="73" s="1"/>
  <c r="D79" i="73" s="1"/>
  <c r="C87" i="73" s="1"/>
  <c r="I78" i="73"/>
  <c r="H78" i="73" s="1"/>
  <c r="H87" i="71"/>
  <c r="C68" i="54" s="1"/>
  <c r="J88" i="71"/>
  <c r="J79" i="72"/>
  <c r="I87" i="72" s="1"/>
  <c r="G78" i="67"/>
  <c r="C61" i="48"/>
  <c r="A78" i="67"/>
  <c r="A78" i="68"/>
  <c r="G78" i="68"/>
  <c r="C61" i="35"/>
  <c r="B87" i="73" l="1"/>
  <c r="A87" i="73" s="1"/>
  <c r="D81" i="73" s="1"/>
  <c r="D88" i="73" s="1"/>
  <c r="O70" i="69"/>
  <c r="M68" i="69"/>
  <c r="C56" i="50" s="1"/>
  <c r="O69" i="69"/>
  <c r="G78" i="73"/>
  <c r="C61" i="42"/>
  <c r="J70" i="69"/>
  <c r="J69" i="69"/>
  <c r="I78" i="69" s="1"/>
  <c r="H78" i="69" s="1"/>
  <c r="B78" i="69"/>
  <c r="A78" i="69" s="1"/>
  <c r="D72" i="69" s="1"/>
  <c r="D79" i="69" s="1"/>
  <c r="C87" i="69" s="1"/>
  <c r="D72" i="67"/>
  <c r="H87" i="72"/>
  <c r="C68" i="40" s="1"/>
  <c r="J88" i="72"/>
  <c r="C62" i="35"/>
  <c r="J72" i="68"/>
  <c r="J79" i="68" s="1"/>
  <c r="D72" i="68"/>
  <c r="C62" i="48"/>
  <c r="J72" i="67"/>
  <c r="J79" i="67" s="1"/>
  <c r="B87" i="69" l="1"/>
  <c r="A87" i="69" s="1"/>
  <c r="D81" i="69" s="1"/>
  <c r="D88" i="69" s="1"/>
  <c r="J72" i="73"/>
  <c r="J79" i="73" s="1"/>
  <c r="I87" i="73" s="1"/>
  <c r="C62" i="42"/>
  <c r="G78" i="69"/>
  <c r="C61" i="50"/>
  <c r="D79" i="68"/>
  <c r="D79" i="67"/>
  <c r="J72" i="69" l="1"/>
  <c r="J79" i="69" s="1"/>
  <c r="I87" i="69" s="1"/>
  <c r="C62" i="50"/>
  <c r="J88" i="73"/>
  <c r="H87" i="73"/>
  <c r="C68" i="42" s="1"/>
  <c r="C87" i="68"/>
  <c r="B87" i="68" s="1"/>
  <c r="I87" i="68"/>
  <c r="C87" i="67"/>
  <c r="B87" i="67" s="1"/>
  <c r="I87" i="67"/>
  <c r="H87" i="69" l="1"/>
  <c r="C68" i="50" s="1"/>
  <c r="J88" i="69"/>
  <c r="A87" i="67"/>
  <c r="J88" i="67"/>
  <c r="H87" i="67"/>
  <c r="C68" i="48" s="1"/>
  <c r="H87" i="68"/>
  <c r="C68" i="35" s="1"/>
  <c r="J88" i="68"/>
  <c r="A87" i="68"/>
  <c r="D81" i="68" l="1"/>
  <c r="D81" i="67"/>
  <c r="D88" i="67" l="1"/>
  <c r="D88" i="68"/>
  <c r="C13" i="38" l="1"/>
  <c r="E13" i="38" s="1"/>
  <c r="E12" i="38"/>
  <c r="C14" i="38"/>
  <c r="E14" i="38" s="1"/>
  <c r="E15" i="38" l="1"/>
  <c r="E48" i="38"/>
  <c r="D23" i="48"/>
  <c r="F23" i="48" s="1"/>
  <c r="I23" i="48" s="1"/>
  <c r="J23" i="48" s="1"/>
  <c r="D23" i="61"/>
  <c r="F23" i="61" s="1"/>
  <c r="I23" i="61" s="1"/>
  <c r="J23" i="61" s="1"/>
  <c r="K23" i="61" s="1"/>
  <c r="D23" i="35"/>
  <c r="F23" i="35" s="1"/>
  <c r="I23" i="35" s="1"/>
  <c r="J23" i="35" s="1"/>
  <c r="D23" i="62"/>
  <c r="F23" i="62" s="1"/>
  <c r="I23" i="62" s="1"/>
  <c r="J23" i="62" s="1"/>
  <c r="K23" i="62" s="1"/>
  <c r="D23" i="60"/>
  <c r="F23" i="60" s="1"/>
  <c r="I23" i="60" s="1"/>
  <c r="J23" i="60" s="1"/>
  <c r="K23" i="60" s="1"/>
  <c r="D23" i="46"/>
  <c r="F23" i="46" s="1"/>
  <c r="I23" i="46" s="1"/>
  <c r="J23" i="46" s="1"/>
  <c r="D23" i="59"/>
  <c r="F23" i="59" s="1"/>
  <c r="I23" i="59" s="1"/>
  <c r="J23" i="59" s="1"/>
  <c r="K23" i="59" s="1"/>
  <c r="D23" i="52"/>
  <c r="F23" i="52" s="1"/>
  <c r="I23" i="52" s="1"/>
  <c r="J23" i="52" s="1"/>
  <c r="D23" i="40"/>
  <c r="F23" i="40" s="1"/>
  <c r="I23" i="40" s="1"/>
  <c r="J23" i="40" s="1"/>
  <c r="D23" i="50"/>
  <c r="F23" i="50" s="1"/>
  <c r="I23" i="50" s="1"/>
  <c r="J23" i="50" s="1"/>
  <c r="D23" i="54"/>
  <c r="F23" i="54" s="1"/>
  <c r="I23" i="54" s="1"/>
  <c r="J23" i="54" s="1"/>
  <c r="D23" i="44"/>
  <c r="F23" i="44" s="1"/>
  <c r="I23" i="44" s="1"/>
  <c r="J23" i="44" s="1"/>
  <c r="D23" i="42"/>
  <c r="F23" i="42" s="1"/>
  <c r="I23" i="42" s="1"/>
  <c r="J23" i="42" s="1"/>
  <c r="D13" i="60"/>
  <c r="F13" i="60" s="1"/>
  <c r="I13" i="60" s="1"/>
  <c r="J13" i="60" s="1"/>
  <c r="K13" i="60" s="1"/>
  <c r="D13" i="59"/>
  <c r="F13" i="59" s="1"/>
  <c r="I13" i="59" s="1"/>
  <c r="J13" i="59" s="1"/>
  <c r="K13" i="59" s="1"/>
  <c r="D13" i="44"/>
  <c r="F13" i="44" s="1"/>
  <c r="I13" i="44" s="1"/>
  <c r="J13" i="44" s="1"/>
  <c r="D13" i="42"/>
  <c r="F13" i="42" s="1"/>
  <c r="I13" i="42" s="1"/>
  <c r="J13" i="42" s="1"/>
  <c r="D13" i="54"/>
  <c r="F13" i="54" s="1"/>
  <c r="I13" i="54" s="1"/>
  <c r="J13" i="54" s="1"/>
  <c r="D13" i="46"/>
  <c r="F13" i="46" s="1"/>
  <c r="I13" i="46" s="1"/>
  <c r="J13" i="46" s="1"/>
  <c r="D13" i="48"/>
  <c r="F13" i="48" s="1"/>
  <c r="I13" i="48" s="1"/>
  <c r="J13" i="48" s="1"/>
  <c r="D13" i="52"/>
  <c r="F13" i="52" s="1"/>
  <c r="I13" i="52" s="1"/>
  <c r="J13" i="52" s="1"/>
  <c r="D13" i="62"/>
  <c r="F13" i="62" s="1"/>
  <c r="I13" i="62" s="1"/>
  <c r="J13" i="62" s="1"/>
  <c r="K13" i="62" s="1"/>
  <c r="D13" i="61"/>
  <c r="F13" i="61" s="1"/>
  <c r="I13" i="61" s="1"/>
  <c r="J13" i="61" s="1"/>
  <c r="K13" i="61" s="1"/>
  <c r="D13" i="40"/>
  <c r="F13" i="40" s="1"/>
  <c r="I13" i="40" s="1"/>
  <c r="J13" i="40" s="1"/>
  <c r="D13" i="50"/>
  <c r="F13" i="50" s="1"/>
  <c r="I13" i="50" s="1"/>
  <c r="J13" i="50" s="1"/>
  <c r="D13" i="35"/>
  <c r="F13" i="35" s="1"/>
  <c r="I13" i="35" s="1"/>
  <c r="J13" i="35" s="1"/>
  <c r="D18" i="35"/>
  <c r="F18" i="35" s="1"/>
  <c r="I18" i="35" s="1"/>
  <c r="J18" i="35" s="1"/>
  <c r="D18" i="44"/>
  <c r="F18" i="44" s="1"/>
  <c r="I18" i="44" s="1"/>
  <c r="J18" i="44" s="1"/>
  <c r="D18" i="54"/>
  <c r="F18" i="54" s="1"/>
  <c r="I18" i="54" s="1"/>
  <c r="J18" i="54" s="1"/>
  <c r="D18" i="42"/>
  <c r="F18" i="42" s="1"/>
  <c r="I18" i="42" s="1"/>
  <c r="J18" i="42" s="1"/>
  <c r="D18" i="61"/>
  <c r="F18" i="61" s="1"/>
  <c r="I18" i="61" s="1"/>
  <c r="J18" i="61" s="1"/>
  <c r="K18" i="61" s="1"/>
  <c r="D18" i="40"/>
  <c r="F18" i="40" s="1"/>
  <c r="I18" i="40" s="1"/>
  <c r="J18" i="40" s="1"/>
  <c r="D18" i="48"/>
  <c r="F18" i="48" s="1"/>
  <c r="I18" i="48" s="1"/>
  <c r="J18" i="48" s="1"/>
  <c r="D18" i="50"/>
  <c r="F18" i="50" s="1"/>
  <c r="I18" i="50" s="1"/>
  <c r="J18" i="50" s="1"/>
  <c r="D18" i="52"/>
  <c r="F18" i="52" s="1"/>
  <c r="I18" i="52" s="1"/>
  <c r="J18" i="52" s="1"/>
  <c r="D18" i="62"/>
  <c r="F18" i="62" s="1"/>
  <c r="I18" i="62" s="1"/>
  <c r="J18" i="62" s="1"/>
  <c r="K18" i="62" s="1"/>
  <c r="D18" i="60"/>
  <c r="F18" i="60" s="1"/>
  <c r="I18" i="60" s="1"/>
  <c r="J18" i="60" s="1"/>
  <c r="K18" i="60" s="1"/>
  <c r="D18" i="46"/>
  <c r="F18" i="46" s="1"/>
  <c r="I18" i="46" s="1"/>
  <c r="J18" i="46" s="1"/>
  <c r="D18" i="59"/>
  <c r="F18" i="59" s="1"/>
  <c r="I18" i="59" s="1"/>
  <c r="J18" i="59" s="1"/>
  <c r="K18" i="59" s="1"/>
  <c r="D30" i="59" l="1"/>
  <c r="F30" i="59" s="1"/>
  <c r="I30" i="59" s="1"/>
  <c r="J30" i="59" s="1"/>
  <c r="K30" i="59" s="1"/>
  <c r="D30" i="62"/>
  <c r="F30" i="62" s="1"/>
  <c r="I30" i="62" s="1"/>
  <c r="J30" i="62" s="1"/>
  <c r="K30" i="62" s="1"/>
  <c r="D30" i="61"/>
  <c r="F30" i="61" s="1"/>
  <c r="I30" i="61" s="1"/>
  <c r="J30" i="61" s="1"/>
  <c r="K30" i="61" s="1"/>
  <c r="D30" i="60"/>
  <c r="F30" i="60" s="1"/>
  <c r="I30" i="60" s="1"/>
  <c r="J30" i="60" s="1"/>
  <c r="K30" i="60" s="1"/>
  <c r="D28" i="50"/>
  <c r="F28" i="50" s="1"/>
  <c r="I28" i="50" s="1"/>
  <c r="J28" i="50" s="1"/>
  <c r="D28" i="46"/>
  <c r="F28" i="46" s="1"/>
  <c r="I28" i="46" s="1"/>
  <c r="J28" i="46" s="1"/>
  <c r="D28" i="40"/>
  <c r="F28" i="40" s="1"/>
  <c r="I28" i="40" s="1"/>
  <c r="J28" i="40" s="1"/>
  <c r="D28" i="44"/>
  <c r="F28" i="44" s="1"/>
  <c r="I28" i="44" s="1"/>
  <c r="J28" i="44" s="1"/>
  <c r="D28" i="35"/>
  <c r="F28" i="35" s="1"/>
  <c r="I28" i="35" s="1"/>
  <c r="J28" i="35" s="1"/>
  <c r="D28" i="42"/>
  <c r="F28" i="42" s="1"/>
  <c r="I28" i="42" s="1"/>
  <c r="J28" i="42" s="1"/>
  <c r="D28" i="62"/>
  <c r="F28" i="62" s="1"/>
  <c r="I28" i="62" s="1"/>
  <c r="J28" i="62" s="1"/>
  <c r="K28" i="62" s="1"/>
  <c r="D28" i="48"/>
  <c r="F28" i="48" s="1"/>
  <c r="I28" i="48" s="1"/>
  <c r="J28" i="48" s="1"/>
  <c r="D28" i="54"/>
  <c r="F28" i="54" s="1"/>
  <c r="I28" i="54" s="1"/>
  <c r="J28" i="54" s="1"/>
  <c r="D28" i="59"/>
  <c r="F28" i="59" s="1"/>
  <c r="I28" i="59" s="1"/>
  <c r="J28" i="59" s="1"/>
  <c r="K28" i="59" s="1"/>
  <c r="D28" i="52"/>
  <c r="F28" i="52" s="1"/>
  <c r="I28" i="52" s="1"/>
  <c r="J28" i="52" s="1"/>
  <c r="D28" i="61"/>
  <c r="F28" i="61" s="1"/>
  <c r="I28" i="61" s="1"/>
  <c r="J28" i="61" s="1"/>
  <c r="K28" i="61" s="1"/>
  <c r="D28" i="60"/>
  <c r="F28" i="60" s="1"/>
  <c r="I28" i="60" s="1"/>
  <c r="J28" i="60" s="1"/>
  <c r="K28" i="60" s="1"/>
  <c r="E63" i="38" l="1"/>
  <c r="C11" i="38" s="1"/>
  <c r="E11" i="38" s="1"/>
  <c r="D63" i="38"/>
  <c r="C10" i="38" s="1"/>
  <c r="E10" i="38" s="1"/>
  <c r="D22" i="50" l="1"/>
  <c r="F22" i="50" s="1"/>
  <c r="I22" i="50" s="1"/>
  <c r="J22" i="50" s="1"/>
  <c r="D27" i="40"/>
  <c r="F27" i="40" s="1"/>
  <c r="I27" i="40" s="1"/>
  <c r="J27" i="40" s="1"/>
  <c r="D17" i="40"/>
  <c r="F17" i="40" s="1"/>
  <c r="I17" i="40" s="1"/>
  <c r="J17" i="40" s="1"/>
  <c r="D17" i="48"/>
  <c r="F17" i="48" s="1"/>
  <c r="I17" i="48" s="1"/>
  <c r="J17" i="48" s="1"/>
  <c r="D17" i="54"/>
  <c r="F17" i="54" s="1"/>
  <c r="I17" i="54" s="1"/>
  <c r="J17" i="54" s="1"/>
  <c r="D27" i="61"/>
  <c r="F27" i="61" s="1"/>
  <c r="I27" i="61" s="1"/>
  <c r="J27" i="61" s="1"/>
  <c r="K27" i="61" s="1"/>
  <c r="D17" i="61"/>
  <c r="F17" i="61" s="1"/>
  <c r="I17" i="61" s="1"/>
  <c r="J17" i="61" s="1"/>
  <c r="K17" i="61" s="1"/>
  <c r="D17" i="50"/>
  <c r="F17" i="50" s="1"/>
  <c r="I17" i="50" s="1"/>
  <c r="J17" i="50" s="1"/>
  <c r="D27" i="54"/>
  <c r="F27" i="54" s="1"/>
  <c r="I27" i="54" s="1"/>
  <c r="J27" i="54" s="1"/>
  <c r="D22" i="48"/>
  <c r="F22" i="48" s="1"/>
  <c r="I22" i="48" s="1"/>
  <c r="J22" i="48" s="1"/>
  <c r="D22" i="40"/>
  <c r="F22" i="40" s="1"/>
  <c r="I22" i="40" s="1"/>
  <c r="J22" i="40" s="1"/>
  <c r="D17" i="46"/>
  <c r="F17" i="46" s="1"/>
  <c r="I17" i="46" s="1"/>
  <c r="J17" i="46" s="1"/>
  <c r="D27" i="60"/>
  <c r="F27" i="60" s="1"/>
  <c r="I27" i="60" s="1"/>
  <c r="J27" i="60" s="1"/>
  <c r="K27" i="60" s="1"/>
  <c r="D27" i="35"/>
  <c r="F27" i="35" s="1"/>
  <c r="I27" i="35" s="1"/>
  <c r="J27" i="35" s="1"/>
  <c r="D27" i="52"/>
  <c r="F27" i="52" s="1"/>
  <c r="I27" i="52" s="1"/>
  <c r="J27" i="52" s="1"/>
  <c r="D17" i="44"/>
  <c r="F17" i="44" s="1"/>
  <c r="I17" i="44" s="1"/>
  <c r="J17" i="44" s="1"/>
  <c r="D22" i="46"/>
  <c r="F22" i="46" s="1"/>
  <c r="I22" i="46" s="1"/>
  <c r="J22" i="46" s="1"/>
  <c r="D17" i="62"/>
  <c r="F17" i="62" s="1"/>
  <c r="I17" i="62" s="1"/>
  <c r="J17" i="62" s="1"/>
  <c r="K17" i="62" s="1"/>
  <c r="D17" i="35"/>
  <c r="F17" i="35" s="1"/>
  <c r="I17" i="35" s="1"/>
  <c r="J17" i="35" s="1"/>
  <c r="D17" i="52"/>
  <c r="F17" i="52" s="1"/>
  <c r="I17" i="52" s="1"/>
  <c r="J17" i="52" s="1"/>
  <c r="D22" i="52"/>
  <c r="F22" i="52" s="1"/>
  <c r="I22" i="52" s="1"/>
  <c r="J22" i="52" s="1"/>
  <c r="D27" i="50"/>
  <c r="F27" i="50" s="1"/>
  <c r="I27" i="50" s="1"/>
  <c r="J27" i="50" s="1"/>
  <c r="D27" i="46"/>
  <c r="F27" i="46" s="1"/>
  <c r="I27" i="46" s="1"/>
  <c r="J27" i="46" s="1"/>
  <c r="D27" i="48"/>
  <c r="F27" i="48" s="1"/>
  <c r="I27" i="48" s="1"/>
  <c r="J27" i="48" s="1"/>
  <c r="D22" i="62"/>
  <c r="F22" i="62" s="1"/>
  <c r="I22" i="62" s="1"/>
  <c r="J22" i="62" s="1"/>
  <c r="K22" i="62" s="1"/>
  <c r="D22" i="44"/>
  <c r="F22" i="44" s="1"/>
  <c r="I22" i="44" s="1"/>
  <c r="J22" i="44" s="1"/>
  <c r="D27" i="44"/>
  <c r="F27" i="44" s="1"/>
  <c r="I27" i="44" s="1"/>
  <c r="J27" i="44" s="1"/>
  <c r="D22" i="42"/>
  <c r="F22" i="42" s="1"/>
  <c r="I22" i="42" s="1"/>
  <c r="J22" i="42" s="1"/>
  <c r="D22" i="59"/>
  <c r="F22" i="59" s="1"/>
  <c r="I22" i="59" s="1"/>
  <c r="J22" i="59" s="1"/>
  <c r="K22" i="59" s="1"/>
  <c r="D17" i="59"/>
  <c r="F17" i="59" s="1"/>
  <c r="I17" i="59" s="1"/>
  <c r="J17" i="59" s="1"/>
  <c r="K17" i="59" s="1"/>
  <c r="D22" i="60"/>
  <c r="F22" i="60" s="1"/>
  <c r="I22" i="60" s="1"/>
  <c r="J22" i="60" s="1"/>
  <c r="K22" i="60" s="1"/>
  <c r="D22" i="35"/>
  <c r="F22" i="35" s="1"/>
  <c r="I22" i="35" s="1"/>
  <c r="J22" i="35" s="1"/>
  <c r="D27" i="59"/>
  <c r="F27" i="59" s="1"/>
  <c r="I27" i="59" s="1"/>
  <c r="J27" i="59" s="1"/>
  <c r="K27" i="59" s="1"/>
  <c r="D17" i="42"/>
  <c r="F17" i="42" s="1"/>
  <c r="I17" i="42" s="1"/>
  <c r="J17" i="42" s="1"/>
  <c r="D22" i="61"/>
  <c r="F22" i="61" s="1"/>
  <c r="I22" i="61" s="1"/>
  <c r="J22" i="61" s="1"/>
  <c r="K22" i="61" s="1"/>
  <c r="D27" i="62"/>
  <c r="F27" i="62" s="1"/>
  <c r="I27" i="62" s="1"/>
  <c r="J27" i="62" s="1"/>
  <c r="K27" i="62" s="1"/>
  <c r="D27" i="42"/>
  <c r="F27" i="42" s="1"/>
  <c r="I27" i="42" s="1"/>
  <c r="J27" i="42" s="1"/>
  <c r="D22" i="54"/>
  <c r="F22" i="54" s="1"/>
  <c r="I22" i="54" s="1"/>
  <c r="J22" i="54" s="1"/>
  <c r="D17" i="60"/>
  <c r="F17" i="60" s="1"/>
  <c r="I17" i="60" s="1"/>
  <c r="J17" i="60" s="1"/>
  <c r="K17" i="60" s="1"/>
  <c r="D12" i="60"/>
  <c r="F12" i="60" s="1"/>
  <c r="I12" i="60" s="1"/>
  <c r="J12" i="60" s="1"/>
  <c r="K12" i="60" s="1"/>
  <c r="D12" i="40"/>
  <c r="F12" i="40" s="1"/>
  <c r="I12" i="40" s="1"/>
  <c r="J12" i="40" s="1"/>
  <c r="D12" i="52"/>
  <c r="F12" i="52" s="1"/>
  <c r="I12" i="52" s="1"/>
  <c r="J12" i="52" s="1"/>
  <c r="D12" i="48"/>
  <c r="F12" i="48" s="1"/>
  <c r="I12" i="48" s="1"/>
  <c r="J12" i="48" s="1"/>
  <c r="D12" i="46"/>
  <c r="F12" i="46" s="1"/>
  <c r="I12" i="46" s="1"/>
  <c r="J12" i="46" s="1"/>
  <c r="D12" i="61"/>
  <c r="F12" i="61" s="1"/>
  <c r="I12" i="61" s="1"/>
  <c r="J12" i="61" s="1"/>
  <c r="K12" i="61" s="1"/>
  <c r="D12" i="54"/>
  <c r="F12" i="54" s="1"/>
  <c r="I12" i="54" s="1"/>
  <c r="J12" i="54" s="1"/>
  <c r="D12" i="35"/>
  <c r="F12" i="35" s="1"/>
  <c r="I12" i="35" s="1"/>
  <c r="J12" i="35" s="1"/>
  <c r="D12" i="42"/>
  <c r="F12" i="42" s="1"/>
  <c r="I12" i="42" s="1"/>
  <c r="J12" i="42" s="1"/>
  <c r="D12" i="50"/>
  <c r="F12" i="50" s="1"/>
  <c r="I12" i="50" s="1"/>
  <c r="J12" i="50" s="1"/>
  <c r="D12" i="59"/>
  <c r="F12" i="59" s="1"/>
  <c r="I12" i="59" s="1"/>
  <c r="J12" i="59" s="1"/>
  <c r="K12" i="59" s="1"/>
  <c r="D12" i="62"/>
  <c r="F12" i="62" s="1"/>
  <c r="I12" i="62" s="1"/>
  <c r="J12" i="62" s="1"/>
  <c r="K12" i="62" s="1"/>
  <c r="D12" i="44"/>
  <c r="F12" i="44" s="1"/>
  <c r="I12" i="44" s="1"/>
  <c r="J12" i="44" s="1"/>
  <c r="K33" i="61" l="1"/>
  <c r="K33" i="60"/>
  <c r="K33" i="62"/>
  <c r="K33" i="59"/>
  <c r="I26" i="2" l="1"/>
  <c r="G26" i="2"/>
  <c r="E26" i="2"/>
  <c r="D26" i="2"/>
  <c r="K66" i="50"/>
  <c r="C66" i="50"/>
  <c r="K60" i="48"/>
  <c r="C60" i="48"/>
  <c r="D127" i="71"/>
  <c r="K74" i="54"/>
  <c r="C74" i="54"/>
  <c r="K74" i="48"/>
  <c r="C74" i="48"/>
  <c r="M78" i="73"/>
  <c r="C63" i="42"/>
  <c r="K63" i="42"/>
  <c r="K63" i="50"/>
  <c r="C63" i="50"/>
  <c r="M78" i="69"/>
  <c r="H12" i="63"/>
  <c r="G12" i="63"/>
  <c r="K74" i="35"/>
  <c r="C74" i="35"/>
  <c r="K63" i="44"/>
  <c r="C63" i="44"/>
  <c r="M78" i="74"/>
  <c r="M87" i="71"/>
  <c r="C70" i="54"/>
  <c r="K70" i="54"/>
  <c r="K66" i="46"/>
  <c r="C66" i="46"/>
  <c r="K66" i="52"/>
  <c r="C66" i="52"/>
  <c r="K59" i="52"/>
  <c r="C59" i="52"/>
  <c r="K70" i="46"/>
  <c r="C70" i="46"/>
  <c r="M87" i="75"/>
  <c r="K67" i="46"/>
  <c r="C67" i="46"/>
  <c r="M87" i="68"/>
  <c r="C70" i="35"/>
  <c r="K70" i="35"/>
  <c r="D113" i="71"/>
  <c r="D127" i="70"/>
  <c r="K60" i="44"/>
  <c r="C60" i="44"/>
  <c r="K66" i="44"/>
  <c r="C66" i="44"/>
  <c r="K66" i="35"/>
  <c r="C66" i="35"/>
  <c r="D40" i="1"/>
  <c r="H16" i="63"/>
  <c r="G16" i="63"/>
  <c r="H14" i="63"/>
  <c r="G14" i="63"/>
  <c r="D127" i="69"/>
  <c r="E14" i="63"/>
  <c r="E40" i="1"/>
  <c r="G40" i="1"/>
  <c r="I40" i="1"/>
  <c r="E12" i="63"/>
  <c r="E38" i="1"/>
  <c r="G38" i="1"/>
  <c r="I38" i="1"/>
  <c r="K59" i="50"/>
  <c r="C59" i="50"/>
  <c r="I18" i="2"/>
  <c r="G18" i="2"/>
  <c r="E18" i="2"/>
  <c r="D18" i="2"/>
  <c r="K77" i="54"/>
  <c r="K11" i="54"/>
  <c r="K60" i="50"/>
  <c r="C60" i="50"/>
  <c r="D113" i="72"/>
  <c r="K74" i="42"/>
  <c r="C74" i="42"/>
  <c r="K11" i="46"/>
  <c r="K77" i="46"/>
  <c r="D22" i="1"/>
  <c r="D42" i="1"/>
  <c r="K67" i="40"/>
  <c r="C67" i="40"/>
  <c r="C66" i="40"/>
  <c r="K66" i="40"/>
  <c r="K59" i="40"/>
  <c r="C59" i="40"/>
  <c r="K70" i="52"/>
  <c r="C70" i="52"/>
  <c r="M87" i="70"/>
  <c r="D127" i="75"/>
  <c r="M87" i="74"/>
  <c r="C70" i="44"/>
  <c r="K70" i="44"/>
  <c r="H18" i="63"/>
  <c r="G18" i="63"/>
  <c r="K60" i="46"/>
  <c r="C60" i="46"/>
  <c r="K60" i="35"/>
  <c r="C60" i="35"/>
  <c r="K60" i="54"/>
  <c r="C60" i="54"/>
  <c r="K59" i="35"/>
  <c r="C59" i="35"/>
  <c r="K67" i="42"/>
  <c r="C67" i="42"/>
  <c r="K67" i="44"/>
  <c r="C67" i="44"/>
  <c r="K63" i="46"/>
  <c r="C63" i="46"/>
  <c r="M78" i="75"/>
  <c r="D100" i="68"/>
  <c r="C74" i="52"/>
  <c r="K74" i="52"/>
  <c r="D38" i="1"/>
  <c r="C74" i="46"/>
  <c r="K74" i="46"/>
  <c r="K11" i="44"/>
  <c r="K77" i="44"/>
  <c r="D21" i="1"/>
  <c r="D24" i="2"/>
  <c r="E24" i="2"/>
  <c r="G24" i="2"/>
  <c r="I24" i="2"/>
  <c r="K60" i="52"/>
  <c r="C60" i="52"/>
  <c r="D100" i="70"/>
  <c r="D120" i="67"/>
  <c r="K63" i="35"/>
  <c r="M78" i="68"/>
  <c r="C63" i="35"/>
  <c r="D113" i="75"/>
  <c r="E16" i="63"/>
  <c r="E42" i="1"/>
  <c r="G42" i="1"/>
  <c r="I42" i="1"/>
  <c r="K63" i="48"/>
  <c r="C63" i="48"/>
  <c r="M78" i="67"/>
  <c r="A126" i="67"/>
  <c r="C67" i="48"/>
  <c r="K67" i="48"/>
  <c r="I20" i="2"/>
  <c r="G20" i="2"/>
  <c r="E20" i="2"/>
  <c r="D20" i="2"/>
  <c r="K67" i="54"/>
  <c r="C67" i="54"/>
  <c r="D100" i="67"/>
  <c r="D100" i="69"/>
  <c r="C59" i="46"/>
  <c r="K59" i="46"/>
  <c r="M87" i="72"/>
  <c r="C70" i="40"/>
  <c r="K70" i="40"/>
  <c r="G8" i="63"/>
  <c r="H8" i="63"/>
  <c r="K67" i="52"/>
  <c r="C67" i="52"/>
  <c r="C74" i="40"/>
  <c r="K74" i="40"/>
  <c r="I34" i="1"/>
  <c r="K59" i="42"/>
  <c r="C59" i="42"/>
  <c r="D120" i="68"/>
  <c r="C74" i="50"/>
  <c r="K74" i="50"/>
  <c r="E34" i="1"/>
  <c r="G34" i="1"/>
  <c r="E8" i="63"/>
  <c r="E18" i="63"/>
  <c r="K11" i="42"/>
  <c r="K77" i="42"/>
  <c r="D20" i="1"/>
  <c r="D22" i="2"/>
  <c r="E22" i="2"/>
  <c r="G22" i="2"/>
  <c r="I22" i="2"/>
  <c r="D113" i="69"/>
  <c r="I14" i="2"/>
  <c r="G14" i="2"/>
  <c r="K11" i="50"/>
  <c r="K77" i="50"/>
  <c r="D14" i="2"/>
  <c r="E14" i="2"/>
  <c r="D113" i="70"/>
  <c r="D127" i="67"/>
  <c r="K60" i="40"/>
  <c r="C60" i="40"/>
  <c r="D100" i="73"/>
  <c r="D100" i="74"/>
  <c r="B126" i="74"/>
  <c r="A126" i="74"/>
  <c r="D120" i="74"/>
  <c r="K66" i="48"/>
  <c r="A99" i="67"/>
  <c r="D93" i="67"/>
  <c r="C126" i="67"/>
  <c r="B126" i="67"/>
  <c r="C66" i="48"/>
  <c r="K63" i="54"/>
  <c r="C63" i="54"/>
  <c r="M78" i="71"/>
  <c r="D120" i="69"/>
  <c r="K11" i="40"/>
  <c r="K77" i="40"/>
  <c r="D19" i="1"/>
  <c r="D36" i="1"/>
  <c r="C60" i="42"/>
  <c r="K60" i="42"/>
  <c r="D127" i="73"/>
  <c r="D93" i="74"/>
  <c r="C126" i="74"/>
  <c r="D127" i="74"/>
  <c r="C59" i="54"/>
  <c r="K59" i="54"/>
  <c r="I36" i="1"/>
  <c r="E36" i="1"/>
  <c r="G36" i="1"/>
  <c r="E10" i="63"/>
  <c r="A99" i="70"/>
  <c r="D93" i="70"/>
  <c r="C126" i="70"/>
  <c r="B126" i="70"/>
  <c r="A126" i="70"/>
  <c r="D120" i="70"/>
  <c r="B126" i="68"/>
  <c r="A126" i="68"/>
  <c r="C67" i="35"/>
  <c r="K67" i="35"/>
  <c r="D34" i="1"/>
  <c r="D113" i="67"/>
  <c r="A126" i="71"/>
  <c r="D120" i="71"/>
  <c r="D100" i="75"/>
  <c r="D113" i="68"/>
  <c r="K66" i="54"/>
  <c r="A99" i="71"/>
  <c r="D93" i="71"/>
  <c r="C126" i="71"/>
  <c r="B126" i="71"/>
  <c r="C66" i="54"/>
  <c r="D113" i="74"/>
  <c r="A126" i="73"/>
  <c r="D120" i="73"/>
  <c r="C59" i="44"/>
  <c r="K59" i="44"/>
  <c r="K63" i="52"/>
  <c r="M78" i="70"/>
  <c r="C63" i="52"/>
  <c r="A99" i="69"/>
  <c r="D93" i="69"/>
  <c r="C126" i="69"/>
  <c r="B126" i="69"/>
  <c r="A126" i="69"/>
  <c r="C67" i="50"/>
  <c r="K67" i="50"/>
  <c r="A99" i="68"/>
  <c r="D93" i="68"/>
  <c r="C126" i="68"/>
  <c r="D127" i="68"/>
  <c r="K11" i="52"/>
  <c r="K77" i="52"/>
  <c r="D16" i="2"/>
  <c r="E16" i="2"/>
  <c r="G16" i="2"/>
  <c r="I16" i="2"/>
  <c r="K41" i="44"/>
  <c r="K31" i="44"/>
  <c r="K13" i="44"/>
  <c r="K23" i="44"/>
  <c r="K22" i="44"/>
  <c r="K17" i="44"/>
  <c r="K21" i="44"/>
  <c r="K53" i="44"/>
  <c r="K16" i="44"/>
  <c r="K35" i="44"/>
  <c r="K47" i="44"/>
  <c r="K12" i="44"/>
  <c r="K49" i="44"/>
  <c r="K61" i="44"/>
  <c r="K18" i="44"/>
  <c r="K46" i="44"/>
  <c r="K56" i="44"/>
  <c r="K27" i="44"/>
  <c r="K54" i="44"/>
  <c r="K48" i="44"/>
  <c r="K32" i="44"/>
  <c r="K26" i="44"/>
  <c r="K69" i="44"/>
  <c r="K55" i="44"/>
  <c r="K42" i="44"/>
  <c r="K68" i="44"/>
  <c r="K28" i="44"/>
  <c r="K33" i="44"/>
  <c r="K38" i="44"/>
  <c r="K62" i="44"/>
  <c r="K40" i="44"/>
  <c r="K34" i="44"/>
  <c r="K39" i="44"/>
  <c r="K45" i="44"/>
  <c r="B112" i="74"/>
  <c r="A112" i="74"/>
  <c r="D106" i="74"/>
  <c r="N78" i="74"/>
  <c r="O79" i="74"/>
  <c r="N87" i="74"/>
  <c r="O88" i="74"/>
  <c r="G6" i="74"/>
  <c r="K52" i="44"/>
  <c r="K13" i="50"/>
  <c r="K16" i="50"/>
  <c r="K41" i="50"/>
  <c r="K47" i="50"/>
  <c r="K18" i="50"/>
  <c r="K55" i="50"/>
  <c r="K61" i="50"/>
  <c r="K48" i="50"/>
  <c r="K42" i="50"/>
  <c r="K17" i="50"/>
  <c r="K27" i="50"/>
  <c r="K68" i="50"/>
  <c r="K38" i="50"/>
  <c r="K31" i="50"/>
  <c r="K12" i="50"/>
  <c r="K54" i="50"/>
  <c r="K28" i="50"/>
  <c r="K45" i="50"/>
  <c r="K56" i="50"/>
  <c r="K26" i="50"/>
  <c r="K23" i="50"/>
  <c r="K49" i="50"/>
  <c r="K46" i="50"/>
  <c r="K34" i="50"/>
  <c r="K52" i="50"/>
  <c r="K35" i="50"/>
  <c r="K53" i="50"/>
  <c r="K40" i="50"/>
  <c r="K22" i="50"/>
  <c r="K62" i="50"/>
  <c r="K39" i="50"/>
  <c r="K32" i="50"/>
  <c r="K33" i="50"/>
  <c r="K21" i="50"/>
  <c r="O88" i="69"/>
  <c r="G6" i="69"/>
  <c r="K69" i="50"/>
  <c r="K62" i="52"/>
  <c r="K34" i="52"/>
  <c r="K68" i="52"/>
  <c r="K39" i="52"/>
  <c r="K38" i="52"/>
  <c r="K13" i="52"/>
  <c r="K54" i="52"/>
  <c r="K41" i="52"/>
  <c r="K27" i="52"/>
  <c r="K33" i="52"/>
  <c r="K35" i="52"/>
  <c r="K12" i="52"/>
  <c r="K52" i="52"/>
  <c r="K21" i="52"/>
  <c r="K46" i="52"/>
  <c r="K22" i="52"/>
  <c r="K26" i="52"/>
  <c r="K16" i="52"/>
  <c r="K32" i="52"/>
  <c r="K23" i="52"/>
  <c r="K17" i="52"/>
  <c r="K28" i="52"/>
  <c r="K61" i="52"/>
  <c r="K45" i="52"/>
  <c r="K48" i="52"/>
  <c r="K56" i="52"/>
  <c r="K42" i="52"/>
  <c r="K55" i="52"/>
  <c r="K40" i="52"/>
  <c r="K69" i="52"/>
  <c r="K47" i="52"/>
  <c r="K53" i="52"/>
  <c r="K18" i="52"/>
  <c r="K49" i="52"/>
  <c r="D114" i="70"/>
  <c r="C99" i="70"/>
  <c r="B99" i="70"/>
  <c r="E93" i="70"/>
  <c r="C112" i="70"/>
  <c r="B112" i="70"/>
  <c r="A112" i="70"/>
  <c r="D106" i="70"/>
  <c r="N78" i="70"/>
  <c r="O79" i="70"/>
  <c r="N87" i="70"/>
  <c r="O88" i="70"/>
  <c r="G6" i="70"/>
  <c r="K31" i="52"/>
  <c r="K23" i="54"/>
  <c r="K40" i="54"/>
  <c r="K16" i="54"/>
  <c r="K17" i="54"/>
  <c r="K55" i="54"/>
  <c r="K39" i="54"/>
  <c r="K35" i="54"/>
  <c r="K38" i="54"/>
  <c r="K45" i="54"/>
  <c r="K21" i="54"/>
  <c r="K12" i="54"/>
  <c r="K47" i="54"/>
  <c r="K49" i="54"/>
  <c r="K31" i="54"/>
  <c r="K32" i="54"/>
  <c r="K26" i="54"/>
  <c r="K48" i="54"/>
  <c r="K27" i="54"/>
  <c r="K42" i="54"/>
  <c r="K54" i="54"/>
  <c r="K52" i="54"/>
  <c r="K56" i="54"/>
  <c r="K41" i="54"/>
  <c r="K61" i="54"/>
  <c r="K69" i="54"/>
  <c r="K33" i="54"/>
  <c r="K53" i="54"/>
  <c r="K46" i="54"/>
  <c r="K34" i="54"/>
  <c r="K28" i="54"/>
  <c r="K22" i="54"/>
  <c r="K18" i="54"/>
  <c r="K68" i="54"/>
  <c r="K62" i="54"/>
  <c r="B112" i="71"/>
  <c r="A112" i="71"/>
  <c r="D106" i="71"/>
  <c r="N78" i="71"/>
  <c r="O79" i="71"/>
  <c r="N87" i="71"/>
  <c r="O88" i="71"/>
  <c r="G6" i="71"/>
  <c r="K13" i="54"/>
  <c r="M87" i="67"/>
  <c r="C70" i="48"/>
  <c r="K70" i="48"/>
  <c r="K46" i="40"/>
  <c r="K34" i="40"/>
  <c r="K13" i="40"/>
  <c r="K32" i="40"/>
  <c r="K55" i="40"/>
  <c r="K68" i="40"/>
  <c r="K52" i="40"/>
  <c r="K56" i="40"/>
  <c r="K18" i="40"/>
  <c r="K47" i="40"/>
  <c r="K27" i="40"/>
  <c r="K17" i="40"/>
  <c r="K42" i="40"/>
  <c r="K26" i="40"/>
  <c r="K45" i="40"/>
  <c r="K22" i="40"/>
  <c r="K35" i="40"/>
  <c r="K41" i="40"/>
  <c r="K16" i="40"/>
  <c r="K48" i="40"/>
  <c r="K69" i="40"/>
  <c r="K39" i="40"/>
  <c r="K53" i="40"/>
  <c r="K12" i="40"/>
  <c r="K28" i="40"/>
  <c r="K54" i="40"/>
  <c r="K62" i="40"/>
  <c r="K49" i="40"/>
  <c r="K38" i="40"/>
  <c r="K33" i="40"/>
  <c r="K40" i="40"/>
  <c r="K61" i="40"/>
  <c r="K23" i="40"/>
  <c r="K21" i="40"/>
  <c r="O79" i="72"/>
  <c r="N87" i="72"/>
  <c r="O88" i="72"/>
  <c r="G6" i="72"/>
  <c r="K31" i="40"/>
  <c r="K26" i="48"/>
  <c r="K73" i="52"/>
  <c r="K56" i="48"/>
  <c r="K73" i="50"/>
  <c r="K21" i="48"/>
  <c r="K27" i="48"/>
  <c r="K68" i="48"/>
  <c r="K12" i="48"/>
  <c r="K32" i="48"/>
  <c r="K39" i="48"/>
  <c r="K73" i="46"/>
  <c r="K73" i="42"/>
  <c r="K22" i="48"/>
  <c r="K23" i="48"/>
  <c r="K46" i="48"/>
  <c r="K62" i="48"/>
  <c r="K55" i="48"/>
  <c r="K13" i="48"/>
  <c r="K16" i="48"/>
  <c r="K31" i="48"/>
  <c r="K38" i="48"/>
  <c r="K61" i="48"/>
  <c r="K28" i="48"/>
  <c r="K17" i="48"/>
  <c r="K73" i="54"/>
  <c r="K73" i="40"/>
  <c r="K73" i="44"/>
  <c r="K54" i="48"/>
  <c r="K49" i="48"/>
  <c r="K73" i="48"/>
  <c r="K69" i="48"/>
  <c r="K34" i="48"/>
  <c r="K53" i="48"/>
  <c r="K18" i="48"/>
  <c r="K73" i="35"/>
  <c r="K41" i="48"/>
  <c r="K52" i="48"/>
  <c r="K33" i="48"/>
  <c r="K35" i="48"/>
  <c r="K45" i="48"/>
  <c r="K48" i="48"/>
  <c r="K40" i="48"/>
  <c r="K47" i="48"/>
  <c r="K42" i="48"/>
  <c r="K54" i="46"/>
  <c r="K12" i="46"/>
  <c r="K21" i="46"/>
  <c r="K18" i="46"/>
  <c r="K28" i="46"/>
  <c r="K69" i="46"/>
  <c r="K23" i="46"/>
  <c r="K13" i="46"/>
  <c r="K38" i="46"/>
  <c r="K62" i="46"/>
  <c r="K68" i="46"/>
  <c r="K55" i="46"/>
  <c r="K16" i="46"/>
  <c r="K61" i="46"/>
  <c r="K47" i="46"/>
  <c r="K17" i="46"/>
  <c r="K42" i="46"/>
  <c r="K33" i="46"/>
  <c r="K56" i="46"/>
  <c r="K35" i="46"/>
  <c r="K27" i="46"/>
  <c r="K40" i="46"/>
  <c r="K53" i="46"/>
  <c r="K26" i="46"/>
  <c r="K22" i="46"/>
  <c r="K48" i="46"/>
  <c r="K32" i="46"/>
  <c r="K49" i="46"/>
  <c r="K31" i="46"/>
  <c r="K45" i="46"/>
  <c r="K41" i="46"/>
  <c r="K46" i="46"/>
  <c r="K34" i="46"/>
  <c r="K52" i="46"/>
  <c r="B112" i="75"/>
  <c r="A112" i="75"/>
  <c r="D106" i="75"/>
  <c r="N78" i="75"/>
  <c r="O79" i="75"/>
  <c r="N87" i="75"/>
  <c r="O88" i="75"/>
  <c r="G6" i="75"/>
  <c r="K39" i="46"/>
  <c r="D113" i="73"/>
  <c r="K13" i="42"/>
  <c r="K16" i="42"/>
  <c r="K21" i="42"/>
  <c r="K62" i="42"/>
  <c r="K48" i="42"/>
  <c r="K33" i="42"/>
  <c r="K68" i="42"/>
  <c r="K22" i="42"/>
  <c r="K53" i="42"/>
  <c r="K42" i="42"/>
  <c r="K26" i="42"/>
  <c r="K32" i="42"/>
  <c r="K23" i="42"/>
  <c r="K28" i="42"/>
  <c r="K41" i="42"/>
  <c r="K35" i="42"/>
  <c r="K27" i="42"/>
  <c r="K69" i="42"/>
  <c r="K18" i="42"/>
  <c r="K38" i="42"/>
  <c r="K56" i="42"/>
  <c r="K39" i="42"/>
  <c r="K61" i="42"/>
  <c r="K12" i="42"/>
  <c r="K55" i="42"/>
  <c r="K54" i="42"/>
  <c r="K49" i="42"/>
  <c r="K17" i="42"/>
  <c r="K46" i="42"/>
  <c r="K31" i="42"/>
  <c r="K47" i="42"/>
  <c r="K45" i="42"/>
  <c r="K34" i="42"/>
  <c r="K40" i="42"/>
  <c r="O88" i="73"/>
  <c r="G6" i="73"/>
  <c r="K52" i="42"/>
  <c r="K31" i="35"/>
  <c r="K56" i="35"/>
  <c r="K41" i="35"/>
  <c r="K54" i="35"/>
  <c r="K61" i="35"/>
  <c r="K69" i="35"/>
  <c r="K40" i="35"/>
  <c r="K21" i="35"/>
  <c r="K49" i="35"/>
  <c r="K16" i="35"/>
  <c r="K12" i="35"/>
  <c r="K42" i="35"/>
  <c r="K45" i="35"/>
  <c r="K52" i="35"/>
  <c r="K22" i="35"/>
  <c r="K34" i="35"/>
  <c r="K47" i="35"/>
  <c r="K46" i="35"/>
  <c r="K48" i="35"/>
  <c r="K27" i="35"/>
  <c r="K35" i="35"/>
  <c r="K26" i="35"/>
  <c r="K18" i="35"/>
  <c r="K68" i="35"/>
  <c r="K17" i="35"/>
  <c r="K23" i="35"/>
  <c r="K33" i="35"/>
  <c r="K53" i="35"/>
  <c r="K32" i="35"/>
  <c r="K62" i="35"/>
  <c r="K28" i="35"/>
  <c r="K39" i="35"/>
  <c r="K13" i="35"/>
  <c r="K38" i="35"/>
  <c r="K55" i="35"/>
  <c r="B99" i="71"/>
  <c r="E93" i="71"/>
  <c r="C112" i="71"/>
  <c r="D114" i="71"/>
  <c r="C99" i="71"/>
  <c r="D100" i="71"/>
  <c r="C59" i="48"/>
  <c r="K59" i="48"/>
  <c r="D127" i="72"/>
  <c r="D100" i="72"/>
  <c r="E93" i="74"/>
  <c r="C112" i="74"/>
  <c r="D114" i="74"/>
  <c r="C99" i="74"/>
  <c r="B99" i="74"/>
  <c r="A99" i="74"/>
  <c r="C74" i="44"/>
  <c r="K74" i="44"/>
  <c r="A99" i="72"/>
  <c r="D93" i="72"/>
  <c r="C126" i="72"/>
  <c r="B126" i="72"/>
  <c r="A126" i="72"/>
  <c r="D120" i="72"/>
  <c r="D114" i="68"/>
  <c r="C99" i="68"/>
  <c r="B99" i="68"/>
  <c r="E93" i="68"/>
  <c r="C112" i="68"/>
  <c r="B112" i="68"/>
  <c r="A112" i="68"/>
  <c r="D106" i="68"/>
  <c r="N78" i="68"/>
  <c r="O79" i="68"/>
  <c r="N87" i="68"/>
  <c r="O88" i="68"/>
  <c r="G6" i="68"/>
  <c r="K11" i="35"/>
  <c r="K77" i="35"/>
  <c r="D18" i="1"/>
  <c r="D23" i="1"/>
  <c r="F25" i="1"/>
  <c r="G10" i="63"/>
  <c r="H10" i="63"/>
  <c r="A99" i="73"/>
  <c r="D93" i="73"/>
  <c r="C126" i="73"/>
  <c r="B126" i="73"/>
  <c r="C66" i="42"/>
  <c r="K66" i="42"/>
  <c r="D114" i="73"/>
  <c r="C99" i="73"/>
  <c r="B99" i="73"/>
  <c r="E93" i="73"/>
  <c r="C112" i="73"/>
  <c r="B112" i="73"/>
  <c r="A112" i="73"/>
  <c r="D106" i="73"/>
  <c r="N78" i="73"/>
  <c r="O79" i="73"/>
  <c r="N87" i="73"/>
  <c r="M87" i="73"/>
  <c r="C70" i="42"/>
  <c r="K70" i="42"/>
  <c r="E93" i="75"/>
  <c r="C112" i="75"/>
  <c r="D114" i="75"/>
  <c r="C99" i="75"/>
  <c r="B99" i="75"/>
  <c r="A99" i="75"/>
  <c r="D93" i="75"/>
  <c r="C126" i="75"/>
  <c r="B126" i="75"/>
  <c r="A126" i="75"/>
  <c r="D120" i="75"/>
  <c r="D114" i="69"/>
  <c r="C99" i="69"/>
  <c r="B99" i="69"/>
  <c r="E93" i="69"/>
  <c r="C112" i="69"/>
  <c r="B112" i="69"/>
  <c r="A112" i="69"/>
  <c r="D106" i="69"/>
  <c r="N78" i="69"/>
  <c r="O79" i="69"/>
  <c r="N87" i="69"/>
  <c r="M87" i="69"/>
  <c r="C70" i="50"/>
  <c r="K70" i="50"/>
  <c r="D114" i="72"/>
  <c r="C99" i="72"/>
  <c r="B99" i="72"/>
  <c r="E93" i="72"/>
  <c r="C112" i="72"/>
  <c r="B112" i="72"/>
  <c r="A112" i="72"/>
  <c r="D106" i="72"/>
  <c r="N78" i="72"/>
  <c r="M78" i="72"/>
  <c r="C63" i="40"/>
  <c r="K63" i="40"/>
  <c r="D114" i="67"/>
  <c r="C99" i="67"/>
  <c r="B99" i="67"/>
  <c r="E93" i="67"/>
  <c r="C112" i="67"/>
  <c r="B112" i="67"/>
  <c r="A112" i="67"/>
  <c r="D106" i="67"/>
  <c r="N78" i="67"/>
  <c r="O79" i="67"/>
  <c r="N87" i="67"/>
  <c r="O88" i="67"/>
  <c r="G6" i="67"/>
  <c r="K11" i="48"/>
  <c r="K77" i="48"/>
  <c r="D12" i="2"/>
  <c r="E12" i="2"/>
  <c r="G12" i="2"/>
  <c r="I12" i="2"/>
</calcChain>
</file>

<file path=xl/sharedStrings.xml><?xml version="1.0" encoding="utf-8"?>
<sst xmlns="http://purl.oclc.org/ooxml/spreadsheetml/main" count="4623" uniqueCount="630">
  <si>
    <t>FIRST-CLASS PRESORT FLATS MAIL PROCESSING UNIT COST SUMMARY</t>
  </si>
  <si>
    <t>CRA FLATS MAIL PROCESSING UNIT COSTS</t>
  </si>
  <si>
    <t>Proportional Worksharing Related Cost Pools</t>
  </si>
  <si>
    <t>(1)</t>
  </si>
  <si>
    <t>Worksharing Related Fixed Cost Pools</t>
  </si>
  <si>
    <t>(2)</t>
  </si>
  <si>
    <t>Non Worksharing Related Fixed Costs</t>
  </si>
  <si>
    <t>(3)</t>
  </si>
  <si>
    <t>Total</t>
  </si>
  <si>
    <t>(4)</t>
  </si>
  <si>
    <t>CRA PROPORTIONAL ADJUSTMENT FACTOR</t>
  </si>
  <si>
    <t>(5)</t>
  </si>
  <si>
    <t>(6)</t>
  </si>
  <si>
    <t>(7)</t>
  </si>
  <si>
    <t>FY</t>
  </si>
  <si>
    <t>Base Model Costs</t>
  </si>
  <si>
    <t>Model Cost</t>
  </si>
  <si>
    <t>Volume</t>
  </si>
  <si>
    <t>Volume %</t>
  </si>
  <si>
    <t>Nonauto Presort</t>
  </si>
  <si>
    <t>Mixed ADC Auto Presort</t>
  </si>
  <si>
    <t>ADC Auto Presort</t>
  </si>
  <si>
    <t>3-Digit Auto Presort</t>
  </si>
  <si>
    <t>5-Digit Auto Presort</t>
  </si>
  <si>
    <t>(8)</t>
  </si>
  <si>
    <t>Total Weighted Model Cost</t>
  </si>
  <si>
    <t>CRA Proportional Adjustment</t>
  </si>
  <si>
    <t>(9)</t>
  </si>
  <si>
    <t>.</t>
  </si>
  <si>
    <t>ADJUSTED FLATS MAIL PROCESSING UNIT COSTS (CENTS)</t>
  </si>
  <si>
    <t>(10)</t>
  </si>
  <si>
    <t>(11)</t>
  </si>
  <si>
    <t>(12)</t>
  </si>
  <si>
    <t>(13)</t>
  </si>
  <si>
    <t>(14)</t>
  </si>
  <si>
    <t>(15)</t>
  </si>
  <si>
    <t>WS Related</t>
  </si>
  <si>
    <t>Total WS Rel.</t>
  </si>
  <si>
    <t>NonWS Rel</t>
  </si>
  <si>
    <t>Model</t>
  </si>
  <si>
    <t>Proportional</t>
  </si>
  <si>
    <t>Fixed</t>
  </si>
  <si>
    <t>Mail Proc</t>
  </si>
  <si>
    <t>Rate Category</t>
  </si>
  <si>
    <t>Unit Cost</t>
  </si>
  <si>
    <t xml:space="preserve"> </t>
  </si>
  <si>
    <t>Source:</t>
  </si>
  <si>
    <t>Sum of proportional cost pools on 'CRA PRESORT FLATS' worksheet</t>
  </si>
  <si>
    <t>Sum of worksharing related fixed cost pools on 'CRA PRESORT FLATS' worksheet</t>
  </si>
  <si>
    <t>Sum of non-worksharing related fixed cost pools on 'CRA PRESORT FLATS' worksheet</t>
  </si>
  <si>
    <t>(1) + (2) + (3)</t>
  </si>
  <si>
    <t>Model costs from respective rate category "COST" spreadsheets</t>
  </si>
  <si>
    <t>FY mail volumes from 'FY VOLUME NONAUTO' and 'FY VOLUME AUTO' worksheets</t>
  </si>
  <si>
    <t>Rate Category (6) / Total (6)</t>
  </si>
  <si>
    <t>Sum [ Rate Category (5) * (7) ]</t>
  </si>
  <si>
    <t>(1) / (8)</t>
  </si>
  <si>
    <t>(9) * (10)</t>
  </si>
  <si>
    <t>(11) + (12)</t>
  </si>
  <si>
    <t>(13) + (14)</t>
  </si>
  <si>
    <t>PRESORT LEVELS HELD CONSTANT</t>
  </si>
  <si>
    <t>WS related</t>
  </si>
  <si>
    <t>Total WS rel.</t>
  </si>
  <si>
    <t>Mixed ADC Nonauto Presort</t>
  </si>
  <si>
    <t>ADC Nonauto Presort</t>
  </si>
  <si>
    <t>3-Digit Nonauto Presort</t>
  </si>
  <si>
    <t>5-Digit Nonauto Presort</t>
  </si>
  <si>
    <t xml:space="preserve">(1) * [ (8) from 'CRA ADJ UNIT COSTS' ] </t>
  </si>
  <si>
    <t>(2) from 'CRA ADJ UNIT COSTS'</t>
  </si>
  <si>
    <t>(2) + (3)</t>
  </si>
  <si>
    <t>Sum of Non-worksharing related Fixed costs.</t>
  </si>
  <si>
    <t>(4)+(5)</t>
  </si>
  <si>
    <t>CRA FIRST-CLASS PRESORT FLATS MAIL PROCESSING UNIT COSTS</t>
  </si>
  <si>
    <t>Cost</t>
  </si>
  <si>
    <t>MP</t>
  </si>
  <si>
    <t xml:space="preserve">Pool </t>
  </si>
  <si>
    <t>Cost Pool</t>
  </si>
  <si>
    <t>Unit</t>
  </si>
  <si>
    <t>Work-sharing-Related</t>
  </si>
  <si>
    <t>No.</t>
  </si>
  <si>
    <t>Source</t>
  </si>
  <si>
    <t>Abbreviation</t>
  </si>
  <si>
    <t>Costs</t>
  </si>
  <si>
    <t>Proportional (Cents)</t>
  </si>
  <si>
    <t>Fixed (Cents)</t>
  </si>
  <si>
    <t>Non-WS Related (Cents)</t>
  </si>
  <si>
    <t>Key</t>
  </si>
  <si>
    <t>Treatment</t>
  </si>
  <si>
    <t>Piece Sorting</t>
  </si>
  <si>
    <t>Fwd/Accept/Cust.Srv.</t>
  </si>
  <si>
    <t>WS Fixed</t>
  </si>
  <si>
    <t>MODS 11</t>
  </si>
  <si>
    <t>D/BCS</t>
  </si>
  <si>
    <t>Non-WS</t>
  </si>
  <si>
    <t>Non WS</t>
  </si>
  <si>
    <t>Unexpected</t>
  </si>
  <si>
    <t>MODS 12</t>
  </si>
  <si>
    <t>AFSM100</t>
  </si>
  <si>
    <t>Allied/Support</t>
  </si>
  <si>
    <t>Piggybacked</t>
  </si>
  <si>
    <t>FSS</t>
  </si>
  <si>
    <t>MODS 13</t>
  </si>
  <si>
    <t>APBS BUNDLE</t>
  </si>
  <si>
    <t>Note: OPBULK, OPPREF and Pouching</t>
  </si>
  <si>
    <t>APBSPRIO</t>
  </si>
  <si>
    <t xml:space="preserve">were WS related fixed in 3 column system, </t>
  </si>
  <si>
    <t>MODS 16</t>
  </si>
  <si>
    <t>LCUS-SSM</t>
  </si>
  <si>
    <t>are grouped with prep and accept</t>
  </si>
  <si>
    <t>1TRAYSRT</t>
  </si>
  <si>
    <t>MODS 14</t>
  </si>
  <si>
    <t>MANF</t>
  </si>
  <si>
    <t>MANL</t>
  </si>
  <si>
    <t>MANP</t>
  </si>
  <si>
    <t>PRIORITY</t>
  </si>
  <si>
    <t>MODS 15</t>
  </si>
  <si>
    <t>LD15</t>
  </si>
  <si>
    <t>MODS 17</t>
  </si>
  <si>
    <t>1CANCEL</t>
  </si>
  <si>
    <t>1DSPATCH</t>
  </si>
  <si>
    <t>1MTRPREP</t>
  </si>
  <si>
    <t>1OPBULK</t>
  </si>
  <si>
    <t>1OPPREF</t>
  </si>
  <si>
    <t>1OPTRANS</t>
  </si>
  <si>
    <t>1PLATFRM</t>
  </si>
  <si>
    <t>1POUCHNG</t>
  </si>
  <si>
    <t>1PRESORT</t>
  </si>
  <si>
    <t>1SACKS_H</t>
  </si>
  <si>
    <t>1SCAN</t>
  </si>
  <si>
    <t>MODS 18</t>
  </si>
  <si>
    <t>BUSREPLY</t>
  </si>
  <si>
    <t>EXPRESS</t>
  </si>
  <si>
    <t>REGISTRY</t>
  </si>
  <si>
    <t>REWRAP</t>
  </si>
  <si>
    <t>1EEQMT</t>
  </si>
  <si>
    <t>1MISC</t>
  </si>
  <si>
    <t>1SUPPORT</t>
  </si>
  <si>
    <t>MODS 19</t>
  </si>
  <si>
    <t>INTL ISC</t>
  </si>
  <si>
    <t>NDCS</t>
  </si>
  <si>
    <t>OTHR</t>
  </si>
  <si>
    <t>PLA</t>
  </si>
  <si>
    <t>PSM</t>
  </si>
  <si>
    <t>APBS</t>
  </si>
  <si>
    <t>SSM</t>
  </si>
  <si>
    <t>TRAYSORT</t>
  </si>
  <si>
    <t>ALLIED</t>
  </si>
  <si>
    <t>AUTO/MEC</t>
  </si>
  <si>
    <t>NON MODS</t>
  </si>
  <si>
    <t>BULKACCP</t>
  </si>
  <si>
    <t>CFS</t>
  </si>
  <si>
    <t>D.PO BOX</t>
  </si>
  <si>
    <t>MISC</t>
  </si>
  <si>
    <t>OTH ACCT</t>
  </si>
  <si>
    <t>Total Assigned</t>
  </si>
  <si>
    <t>(piggyback basis)</t>
  </si>
  <si>
    <t>FIRST-CLASS MAIL PARCEL ADDITIONAL MAIL PROCESSING UNIT COST SUMMARY</t>
  </si>
  <si>
    <t>Parcel Cost Proxy</t>
  </si>
  <si>
    <t xml:space="preserve">Note: Column J data was removed as it provided MP costs of FCM parcels which are classified as Competitive products this year.  This column is not needed for pricing this year and is therefore redundant. </t>
  </si>
  <si>
    <t>Average</t>
  </si>
  <si>
    <t>Bundle Operations</t>
  </si>
  <si>
    <t>Additional</t>
  </si>
  <si>
    <t xml:space="preserve">FY </t>
  </si>
  <si>
    <t>First-Class Mail</t>
  </si>
  <si>
    <t>Piece Distribution</t>
  </si>
  <si>
    <t>Volume (%)</t>
  </si>
  <si>
    <t>Flat (Cents)</t>
  </si>
  <si>
    <t>(Cents)</t>
  </si>
  <si>
    <t>Nonautomation</t>
  </si>
  <si>
    <t>Automation MADC</t>
  </si>
  <si>
    <t>Automation ADC</t>
  </si>
  <si>
    <t>Automation 3-Digit</t>
  </si>
  <si>
    <t>Automation 5-Digit</t>
  </si>
  <si>
    <t>Total / Aggregate</t>
  </si>
  <si>
    <t>(1)  FY mail volumes from 'FY VOLUME NONAUTO' and 'FY VOLUME AUTO' worksheets</t>
  </si>
  <si>
    <t>(2)  Rate Category (1) / Total (1)</t>
  </si>
  <si>
    <t>(3)  Average CRA-adjusted flats mail processing unit cost estimate by rate category from page 1</t>
  </si>
  <si>
    <t>(4)  Model costs (pages 5 through 8) * proportional CRA adjustment factor (page 1) + fixed CRA adjustment factor (page 1)</t>
  </si>
  <si>
    <t xml:space="preserve">       Note: The nonautomation model cost is the weighted average of models costs on pages 5 through 8 using</t>
  </si>
  <si>
    <t xml:space="preserve">       FY mail volume data from 'FY VOLUME NONAUTO' worksheets</t>
  </si>
  <si>
    <t>(5)  (4) - (3)</t>
  </si>
  <si>
    <t>OUTGOING PRIMARY (BUNDLE OPS PIECE DISTRIBUTION)</t>
  </si>
  <si>
    <t>COST SHEET</t>
  </si>
  <si>
    <t>Bundles</t>
  </si>
  <si>
    <t>Direct</t>
  </si>
  <si>
    <t>Premium</t>
  </si>
  <si>
    <t>Weighted</t>
  </si>
  <si>
    <t>or Pieces</t>
  </si>
  <si>
    <t>Wage</t>
  </si>
  <si>
    <t>Cents</t>
  </si>
  <si>
    <t>Piggyback</t>
  </si>
  <si>
    <t>Pay</t>
  </si>
  <si>
    <t>Operation</t>
  </si>
  <si>
    <t>Per Hour</t>
  </si>
  <si>
    <t>Rate</t>
  </si>
  <si>
    <t>Per Piece</t>
  </si>
  <si>
    <t>Factor</t>
  </si>
  <si>
    <t>Adjust</t>
  </si>
  <si>
    <t>Outgoing Primary (Bundle Ops)</t>
  </si>
  <si>
    <t>APPS</t>
  </si>
  <si>
    <t>APBS / LIPS</t>
  </si>
  <si>
    <t>Manual</t>
  </si>
  <si>
    <t>Incoming MMP (Bundle Ops)</t>
  </si>
  <si>
    <t>Incoming Primary (Bundle Ops)</t>
  </si>
  <si>
    <t>Incoming Secondary (Bundle Ops)</t>
  </si>
  <si>
    <t>Incoming Secondary (Piece Ops)</t>
  </si>
  <si>
    <t xml:space="preserve">MODEL COST = </t>
  </si>
  <si>
    <t>Bundle data', 'Bundle densities' and 'Coverage factors'</t>
  </si>
  <si>
    <t>Values From 'Wage Rates' worksheet</t>
  </si>
  <si>
    <t xml:space="preserve"> used to flow 10,000 pieces through model</t>
  </si>
  <si>
    <t>[ (6) - 1 ] * (4)</t>
  </si>
  <si>
    <t>Values From 'Productivities' worksheet</t>
  </si>
  <si>
    <t>(4) * (5) + (7)</t>
  </si>
  <si>
    <t>(1) * (8) / 10,000 Pieces</t>
  </si>
  <si>
    <t xml:space="preserve">[ (3) * (100 cents/dollar) ] / (2) </t>
  </si>
  <si>
    <t>Sum (9)</t>
  </si>
  <si>
    <t>Values From 'Piggybacks' worksheet</t>
  </si>
  <si>
    <t>INCOMING MMP (BUNDLE OPS PIECE DISTRIBUTION)</t>
  </si>
  <si>
    <t>INCOMING PRIMARY (BUNDLE OPS PIECE DISTRIBUTION)</t>
  </si>
  <si>
    <t>INCOMING SECONDARY (BUNDLE OPS PIECE DISTRIBUTION)</t>
  </si>
  <si>
    <t>NONAUTO PRESORT</t>
  </si>
  <si>
    <t>Outgoing Primary (Bundles)</t>
  </si>
  <si>
    <t>Incoming MMP (Bundles)</t>
  </si>
  <si>
    <t>Incoming Primary (Bundles)</t>
  </si>
  <si>
    <t>Incoming Secondary (Bundles)</t>
  </si>
  <si>
    <t>Outgoing Primary (Piece)</t>
  </si>
  <si>
    <t>AFSM100 Auto</t>
  </si>
  <si>
    <t>REC Keying</t>
  </si>
  <si>
    <t>UFSM1000 Auto</t>
  </si>
  <si>
    <t>UFSM1000 Keying</t>
  </si>
  <si>
    <t>Outgoing Secondary (Piece)</t>
  </si>
  <si>
    <t>Incoming MMP (Piece)</t>
  </si>
  <si>
    <t>Incoming SCF (Piece)</t>
  </si>
  <si>
    <t>Incoming Primary (Piece)</t>
  </si>
  <si>
    <t>Incoming Secondary (Piece)</t>
  </si>
  <si>
    <t xml:space="preserve">FSS </t>
  </si>
  <si>
    <t>Values From Pages 10 and 34</t>
  </si>
  <si>
    <t>Values From Page 31</t>
  </si>
  <si>
    <t>Values From Page 30</t>
  </si>
  <si>
    <t>Values From Page 32</t>
  </si>
  <si>
    <t>MAIL FLOW MODEL</t>
  </si>
  <si>
    <t>PCS IN =</t>
  </si>
  <si>
    <t>PCS OUT =</t>
  </si>
  <si>
    <t>PIECE ENTRY POINTS:</t>
  </si>
  <si>
    <t>BC Mach Out Prim</t>
  </si>
  <si>
    <t>Non-BC Mach Out Prim</t>
  </si>
  <si>
    <t>BC Nonmach Out Prim</t>
  </si>
  <si>
    <t>Non-BC Nonmach Out Prim</t>
  </si>
  <si>
    <t>BC Mach Out Sec</t>
  </si>
  <si>
    <t>Non-BC Mach Out Sec</t>
  </si>
  <si>
    <t>BC Nonmach Out Sec</t>
  </si>
  <si>
    <t>Non-BC Nonmach Out Sec</t>
  </si>
  <si>
    <t>BC Mach Inc MMP</t>
  </si>
  <si>
    <t>Non-BC Mach Inc MMP</t>
  </si>
  <si>
    <t>BC Nonmach Inc MMP</t>
  </si>
  <si>
    <t>Non-BC Nonmach Inc MMP</t>
  </si>
  <si>
    <t>BC Mach Inc SCF</t>
  </si>
  <si>
    <t>Non-BC Mach Inc SCF</t>
  </si>
  <si>
    <t>BC Nonmach Inc SCF</t>
  </si>
  <si>
    <t>Non-BC Nonmach Inc SCF</t>
  </si>
  <si>
    <t>BC Mach Inc Prim</t>
  </si>
  <si>
    <t>Non-BC Mach Inc Prim</t>
  </si>
  <si>
    <t>BC Nonmach Inc Prim</t>
  </si>
  <si>
    <t>Non-BC Nonmach Inc Prim</t>
  </si>
  <si>
    <t>BC Mach Inc Sec</t>
  </si>
  <si>
    <t>Non-BC Mach Inc Sec</t>
  </si>
  <si>
    <t>BC Nonmach Inc Sec</t>
  </si>
  <si>
    <t>Non-BC Nonmach Inc Sec</t>
  </si>
  <si>
    <t>MACHINABLE OUTGOING</t>
  </si>
  <si>
    <t>NONMACHINABLE OUTGOING</t>
  </si>
  <si>
    <t>Rejects</t>
  </si>
  <si>
    <t>REC</t>
  </si>
  <si>
    <t>Out Prim AFSM100</t>
  </si>
  <si>
    <t>Out Prim</t>
  </si>
  <si>
    <t>Keyed</t>
  </si>
  <si>
    <t>Out Prim UFSM1000</t>
  </si>
  <si>
    <t>Out Prim Manual</t>
  </si>
  <si>
    <t>Out Sec Mach</t>
  </si>
  <si>
    <t>Out Sec Nonmach</t>
  </si>
  <si>
    <t>Out Sec Manual</t>
  </si>
  <si>
    <t>Inc MMP Mach</t>
  </si>
  <si>
    <t>Inc MMP Nonmach</t>
  </si>
  <si>
    <t>Inc MMP Manual</t>
  </si>
  <si>
    <t>Inc SCF Mach</t>
  </si>
  <si>
    <t>Inc SCF Nonmach</t>
  </si>
  <si>
    <t>Inc SCF Manual</t>
  </si>
  <si>
    <t>Inc Prim Mach</t>
  </si>
  <si>
    <t>Inc Prim Nonmach</t>
  </si>
  <si>
    <t>Inc Prim Manual</t>
  </si>
  <si>
    <t>Inc Sec Mach</t>
  </si>
  <si>
    <t>Inc Sec Nonmach</t>
  </si>
  <si>
    <t>Inc Sec Manual</t>
  </si>
  <si>
    <t>Out Sec AFSM100</t>
  </si>
  <si>
    <t>Out Sec</t>
  </si>
  <si>
    <t>Out Sec UFSM1000</t>
  </si>
  <si>
    <t>MACHINABLE INCOMING</t>
  </si>
  <si>
    <t>NONMACHINABLE INCOMING</t>
  </si>
  <si>
    <t>Inc MMP AFSM100</t>
  </si>
  <si>
    <t>Inc MMP</t>
  </si>
  <si>
    <t>Inc MMP UFSM1000</t>
  </si>
  <si>
    <t>Inc SCF AFSM100</t>
  </si>
  <si>
    <t>Inc SCF</t>
  </si>
  <si>
    <t>Inc SCF UFSM1000</t>
  </si>
  <si>
    <t>Inc Prim AFSM100</t>
  </si>
  <si>
    <t>Inc Prim</t>
  </si>
  <si>
    <t>Inc Prim UFSM1000</t>
  </si>
  <si>
    <t>Inc Sec AFSM100</t>
  </si>
  <si>
    <t>Inc Sec</t>
  </si>
  <si>
    <t>Inc Sec UFSM1000</t>
  </si>
  <si>
    <t>Finalized to Carrier Route</t>
  </si>
  <si>
    <t>IS</t>
  </si>
  <si>
    <t>IP</t>
  </si>
  <si>
    <t>Finalized to DPS</t>
  </si>
  <si>
    <t>This section of the model requires the iterative calculation function within Excel to be enabled.  An iterative process is used to account for the flow of FSS out-of-scheme rejects.  FSS out-of-scheme rejects flow upstream to Incoming Primary (IP) operations where they are sorted to the correct scheme.  If the correct scheme is worked on the FSS the piece will flow downstream to the FSS operation, this creates the iterative flow within the model.</t>
  </si>
  <si>
    <t>Inc Prim AFSM100 - FSS Reject</t>
  </si>
  <si>
    <t>Inc Sec AFSM100 - FSS Reject</t>
  </si>
  <si>
    <t>MADC NONAUTO PRESORT</t>
  </si>
  <si>
    <t>Values From Pages 12 and 34</t>
  </si>
  <si>
    <t>ADC NONAUTO PRESORT</t>
  </si>
  <si>
    <t>Values From Pages 14 and 34</t>
  </si>
  <si>
    <t>\</t>
  </si>
  <si>
    <t>3-DIGIT NONAUTO PRESORT</t>
  </si>
  <si>
    <t>Values From Pages 16 and 34</t>
  </si>
  <si>
    <t>5-DIGIT NONAUTO PRESORT</t>
  </si>
  <si>
    <t>Values From Page 18 and 34</t>
  </si>
  <si>
    <t xml:space="preserve">This section of the model requires the iterative calculation function within Excel to be enabled.  An iterative process is used to account for the flow of FSS out-of-scheme rejects.  FSS out-of-scheme rejects flow upstream to Incoming Primary (IP) operations where they are sorted to the correct scheme.  If the correct scheme is worked on the FSS the piece will flow downstream to the FSS operation, this creates the iterative flow within the model.
</t>
  </si>
  <si>
    <t>MADC AUTO PRESORT</t>
  </si>
  <si>
    <t>Values From Page 20 and 34</t>
  </si>
  <si>
    <t>ADC AUTO PRESORT</t>
  </si>
  <si>
    <t>Values From Page 22 and 34</t>
  </si>
  <si>
    <t>3-DIGIT AUTO PRESORT</t>
  </si>
  <si>
    <t>Values From Page 24 and 34</t>
  </si>
  <si>
    <t>5-DIGIT AUTO PRESORT</t>
  </si>
  <si>
    <t>Values From Page 26 and 34</t>
  </si>
  <si>
    <t>FLATS COVERAGE FACTORS</t>
  </si>
  <si>
    <t>Originating</t>
  </si>
  <si>
    <t>Activity</t>
  </si>
  <si>
    <t>Method</t>
  </si>
  <si>
    <t>First-Class</t>
  </si>
  <si>
    <t>Bundle Sorting</t>
  </si>
  <si>
    <t>MANUAL</t>
  </si>
  <si>
    <t>TOTAL</t>
  </si>
  <si>
    <t>AFSM100 Only</t>
  </si>
  <si>
    <t>UFSM1000 Only</t>
  </si>
  <si>
    <t>AFSM100 / UFSM1000</t>
  </si>
  <si>
    <t>ATHS</t>
  </si>
  <si>
    <t>Destinating</t>
  </si>
  <si>
    <t>FSS and Other Coverage factors</t>
  </si>
  <si>
    <t>Proportion of mail worked on FSS</t>
  </si>
  <si>
    <t>FSS Site Coverage factor</t>
  </si>
  <si>
    <t>Proportion of flats destinating at a FSS site that destinate in a FSS zone.  Source: Analysis of PDR files.</t>
  </si>
  <si>
    <t>FCM Flats Share</t>
  </si>
  <si>
    <t>Volume Variable</t>
  </si>
  <si>
    <t>of VV Costs</t>
  </si>
  <si>
    <t>Implied Pieces</t>
  </si>
  <si>
    <t>Coverage Rate</t>
  </si>
  <si>
    <t>FSS Costs</t>
  </si>
  <si>
    <t>FCM Presort Flats</t>
  </si>
  <si>
    <t>FSS Processed Flats Volume</t>
  </si>
  <si>
    <t>Proportion of non-HD and Saturation flat-shaped volume processed on the FSS</t>
  </si>
  <si>
    <t>Proportion of non-HighDensity and Saturation flat-shaped volume processed on the FSS</t>
  </si>
  <si>
    <t xml:space="preserve">(2) </t>
  </si>
  <si>
    <t>FLATS ACCEPT / FINALIZATION RATES</t>
  </si>
  <si>
    <t>(BARCODE)</t>
  </si>
  <si>
    <t>(NO BARCODE)</t>
  </si>
  <si>
    <t>REFED</t>
  </si>
  <si>
    <t>REC IMAGE</t>
  </si>
  <si>
    <t>OPER</t>
  </si>
  <si>
    <t>BCR</t>
  </si>
  <si>
    <t>OCR</t>
  </si>
  <si>
    <t>KEYING</t>
  </si>
  <si>
    <t>MISFACED/</t>
  </si>
  <si>
    <t>FINALIZATION</t>
  </si>
  <si>
    <t xml:space="preserve">REC </t>
  </si>
  <si>
    <t>OUT OF</t>
  </si>
  <si>
    <t xml:space="preserve">OTHER </t>
  </si>
  <si>
    <t>ACCEPT</t>
  </si>
  <si>
    <t>EQUIPMENT</t>
  </si>
  <si>
    <t>LEVEL</t>
  </si>
  <si>
    <t>REC TIME OUT</t>
  </si>
  <si>
    <t>RATE</t>
  </si>
  <si>
    <t>REJECTION</t>
  </si>
  <si>
    <t>SCHEME</t>
  </si>
  <si>
    <t>Reject</t>
  </si>
  <si>
    <t>All</t>
  </si>
  <si>
    <t>---</t>
  </si>
  <si>
    <t>Outgoing</t>
  </si>
  <si>
    <t>Incoming</t>
  </si>
  <si>
    <t>OP</t>
  </si>
  <si>
    <t>OS</t>
  </si>
  <si>
    <t>MMP</t>
  </si>
  <si>
    <t>SCF</t>
  </si>
  <si>
    <t>UFSM1000</t>
  </si>
  <si>
    <t>(1) Engineering Estimates</t>
  </si>
  <si>
    <t>(2) UFSM key mode sort rates</t>
  </si>
  <si>
    <t>Data Source: WebEOR</t>
  </si>
  <si>
    <t>(3) Misfaced &amp; VCS Timeout/ Fed</t>
  </si>
  <si>
    <t>(4) Images Keyed / Input</t>
  </si>
  <si>
    <t>Data Source: WebROADS</t>
  </si>
  <si>
    <t>(5) Sorted / Fed</t>
  </si>
  <si>
    <t>(6) Sorted / Fed based</t>
  </si>
  <si>
    <t>(7) MODS Op 538 TPH/TPF</t>
  </si>
  <si>
    <t>(8) MODS Out-of-Scheme Rejects/TPF Op 538</t>
  </si>
  <si>
    <t>(9) 1-(8)</t>
  </si>
  <si>
    <t>PIECE DISTRIBUTION MAIL FLOW DENSITY TABLES SUMMARY</t>
  </si>
  <si>
    <t>PROPOSAL 18 - DOCKET No. RM 2012-2</t>
  </si>
  <si>
    <t>Source: Piece Density Study - AFSM100 and UFSM1000)</t>
  </si>
  <si>
    <t>Manual operations use UFSM1000 density data as proxy.</t>
  </si>
  <si>
    <t>FLATS OPERATION PRODUCTIVITIES</t>
  </si>
  <si>
    <t>Variability</t>
  </si>
  <si>
    <t>MODS</t>
  </si>
  <si>
    <t>Marginal</t>
  </si>
  <si>
    <t>Description</t>
  </si>
  <si>
    <t>Productivity</t>
  </si>
  <si>
    <t>Productivity Source</t>
  </si>
  <si>
    <t>APPS Outgoing</t>
  </si>
  <si>
    <t>APPS Incoming</t>
  </si>
  <si>
    <t>APBS / LIPS Outgoing</t>
  </si>
  <si>
    <t>APBS / LIPS Incoming</t>
  </si>
  <si>
    <t>Manual Bundle Sort Out MADC</t>
  </si>
  <si>
    <t>Manual Bundle Sort Inc ADC</t>
  </si>
  <si>
    <t>Manual Bundle Sort Inc Primary</t>
  </si>
  <si>
    <t>Manual Bundle Sort Inc Secondary</t>
  </si>
  <si>
    <t>AFSM100 Outgoing Primary</t>
  </si>
  <si>
    <t>AFSM100 Outgoing Secondary</t>
  </si>
  <si>
    <t>AFSM100 Incoming MMP</t>
  </si>
  <si>
    <t>AFSM100 Incoming SCF</t>
  </si>
  <si>
    <t>AFSM100 Incoming Primary</t>
  </si>
  <si>
    <t>AFSM100 Incoming Secondary</t>
  </si>
  <si>
    <t>AFSM100 ATHS Outgoing Primary</t>
  </si>
  <si>
    <t>AFSM100 ATHS Outgoing Secondary</t>
  </si>
  <si>
    <t>AFSM100 ATHS Incoming MMP</t>
  </si>
  <si>
    <t>AFSM100 ATHS Incoming SCF</t>
  </si>
  <si>
    <t>AFSM100 ATHS Incoming Primary</t>
  </si>
  <si>
    <t>AFSM100 ATHS Incoming Secondary</t>
  </si>
  <si>
    <t>UFSM1000 Outgoing</t>
  </si>
  <si>
    <t>UFSM1000 Incoming</t>
  </si>
  <si>
    <t>Manual Outgoing Primary</t>
  </si>
  <si>
    <t>USPS-FY15-23</t>
  </si>
  <si>
    <t>Manual Outgoing Secondary</t>
  </si>
  <si>
    <t>Manual Incoming MMP</t>
  </si>
  <si>
    <t>Manual Incoming SCF</t>
  </si>
  <si>
    <t>Manual Incoming Primary</t>
  </si>
  <si>
    <t>Manual Incoming Secondary</t>
  </si>
  <si>
    <t>Docket No. RM2025-4 Order No. 8713 (February 21, 2025)</t>
  </si>
  <si>
    <t>Manual Incoming Secondary (Parcel)</t>
  </si>
  <si>
    <t>Modification 13 of Proposal 12 filed under Docket No. RM2009-1</t>
  </si>
  <si>
    <t>Average pieces per bundle for non-5-Digit bundle USPS Marketing Mail &amp; Periodicals</t>
  </si>
  <si>
    <t>Single Piece sorts as a proportion of TPH</t>
  </si>
  <si>
    <t xml:space="preserve"> Proportion SP Sorts</t>
  </si>
  <si>
    <t>Implied Breakage</t>
  </si>
  <si>
    <t>TPF Conversion to Bundles</t>
  </si>
  <si>
    <t>Modification 11 of Proposal 12 filed under Docket No. RM2009-1</t>
  </si>
  <si>
    <t>Acknowledge reject rates on APBS and APPS.  Assume rejected pieces are re-fed.</t>
  </si>
  <si>
    <t>APPS Out</t>
  </si>
  <si>
    <t>APPS In</t>
  </si>
  <si>
    <t>APBS Out</t>
  </si>
  <si>
    <t>APBS In</t>
  </si>
  <si>
    <t>Reject Rate</t>
  </si>
  <si>
    <t xml:space="preserve"> Mail Rejects Adjustment and Single Piece Sort adjustment</t>
  </si>
  <si>
    <t>(2) Productivity values from sources as indicated</t>
  </si>
  <si>
    <t>(3)  (2) / (1)</t>
  </si>
  <si>
    <t>(4) Adjusted APPS Outgoing Productivity; Modifications 11 &amp; 13-Proposal 12 in Docket No. RM2009-1</t>
  </si>
  <si>
    <t>(5) Adjusted APPS Incoming Productivity; Modifications 11 &amp; 13-Proposal 12 in Docket No. RM2009-1</t>
  </si>
  <si>
    <t>(6) Adjusted APBS/LIPS Outgoing Productivity; Modifications 11 &amp; 13-Proposal 12 in Docket No. RM2009-1</t>
  </si>
  <si>
    <t>(7) Adjusted APBS/LIPS Incoming Productivity; Modifications 11 &amp; 13-Proposal 12 in Docket No. RM2009-1</t>
  </si>
  <si>
    <t>FLATS WAGE RATES</t>
  </si>
  <si>
    <t>LDC 15 (Remote Encoding Centers/Video Coding System)</t>
  </si>
  <si>
    <t>Other Mail Processing (excludes REC)</t>
  </si>
  <si>
    <t>FLATS PIGGYBACK FACTORS</t>
  </si>
  <si>
    <t>Manual Bundles (MODS 17 POUCHING)</t>
  </si>
  <si>
    <t>AFSM100 (MODS 12 AFSM100)</t>
  </si>
  <si>
    <t>UFSM1000 (MODS 12 FSM/1000)</t>
  </si>
  <si>
    <t>FSS (MODS 12 FSS)</t>
  </si>
  <si>
    <t>Manual (MODS 14 MANF)</t>
  </si>
  <si>
    <t>Manual (MODS 14 MANP)</t>
  </si>
  <si>
    <t>FIRST-CLASS MAIL PRESORT FLATS BUNDLE SORT</t>
  </si>
  <si>
    <t>Out</t>
  </si>
  <si>
    <t>Inc</t>
  </si>
  <si>
    <t>Prim</t>
  </si>
  <si>
    <t>Sec</t>
  </si>
  <si>
    <t>Price Category</t>
  </si>
  <si>
    <t>Machinability</t>
  </si>
  <si>
    <t>Tub Presort</t>
  </si>
  <si>
    <t>Bundle Presort</t>
  </si>
  <si>
    <t>Mech</t>
  </si>
  <si>
    <t>Man</t>
  </si>
  <si>
    <t>Broken</t>
  </si>
  <si>
    <t>Finalized</t>
  </si>
  <si>
    <t>Processed</t>
  </si>
  <si>
    <t>Nonauto Presort Flats</t>
  </si>
  <si>
    <t>Mixed ADC</t>
  </si>
  <si>
    <t>ADC</t>
  </si>
  <si>
    <t>3-Digit</t>
  </si>
  <si>
    <t>5-Digit</t>
  </si>
  <si>
    <t>N/A (FULL TRAYS)</t>
  </si>
  <si>
    <t>N/A</t>
  </si>
  <si>
    <t>Mixed ADC Auto Presort Flats</t>
  </si>
  <si>
    <t>ADC Auto Presort Flats</t>
  </si>
  <si>
    <t>3-Digit Auto Presort Flats</t>
  </si>
  <si>
    <t>5-Digit Auto Presort Flats</t>
  </si>
  <si>
    <t>FIRST-CLASS MAIL PRESORT FLATS ENTRY PROFILE</t>
  </si>
  <si>
    <t>Pieces</t>
  </si>
  <si>
    <t>FIRST-CLASS MAIL PRESORT FLATS MAIL CHARACTERISTICS DATA</t>
  </si>
  <si>
    <t>NONAUTO</t>
  </si>
  <si>
    <t>Table MCS - 3</t>
  </si>
  <si>
    <t>AVERAGE</t>
  </si>
  <si>
    <t>PCS PER</t>
  </si>
  <si>
    <t>PRICE CATEGORY</t>
  </si>
  <si>
    <t>MACHINABILITY</t>
  </si>
  <si>
    <t>TUB PRESORT</t>
  </si>
  <si>
    <t>BUNDLE PRESORT</t>
  </si>
  <si>
    <t>VOLUME</t>
  </si>
  <si>
    <t>BUNDLE</t>
  </si>
  <si>
    <t>BUNDLES</t>
  </si>
  <si>
    <t>AUTO</t>
  </si>
  <si>
    <t>NA</t>
  </si>
  <si>
    <t>BUNDLE DATA</t>
  </si>
  <si>
    <t>Initial</t>
  </si>
  <si>
    <t>Subsequent</t>
  </si>
  <si>
    <t xml:space="preserve">Intentionally </t>
  </si>
  <si>
    <t>Breakage</t>
  </si>
  <si>
    <t>Blank</t>
  </si>
  <si>
    <t>Machinable Flats - Pallets</t>
  </si>
  <si>
    <t>Nonmachinable Flats - Pallets</t>
  </si>
  <si>
    <t>Machinable Flats - Sacks</t>
  </si>
  <si>
    <t>Nonmachinable Flats - Sacks</t>
  </si>
  <si>
    <t>Container / Package</t>
  </si>
  <si>
    <t>Handlings</t>
  </si>
  <si>
    <t>%Mech</t>
  </si>
  <si>
    <t>MADC / MADC</t>
  </si>
  <si>
    <t>MADC / ADC</t>
  </si>
  <si>
    <t>MADC / 3D</t>
  </si>
  <si>
    <t>MADC / 5D</t>
  </si>
  <si>
    <t>MADC / CR</t>
  </si>
  <si>
    <t>ADC / ADC</t>
  </si>
  <si>
    <t>ADC / 3D</t>
  </si>
  <si>
    <t>ADC / 5D</t>
  </si>
  <si>
    <t>ADC / CR</t>
  </si>
  <si>
    <t>3D / 3D</t>
  </si>
  <si>
    <t>3D / 5D</t>
  </si>
  <si>
    <t>3D / CR</t>
  </si>
  <si>
    <t>5D / 5D</t>
  </si>
  <si>
    <t>5D / CR</t>
  </si>
  <si>
    <t>Intentionally Blank</t>
  </si>
  <si>
    <t>Docket No. RM2009-1, Proposal Two</t>
  </si>
  <si>
    <t>Modification 5 - Proposal 12 Docket No. RM2009-1</t>
  </si>
  <si>
    <t xml:space="preserve">Summary of APPS and APBS / LIPS Coverage Factors </t>
  </si>
  <si>
    <t>Modifications 6 and 7 - Proposal 12 in Docket No. RM2009-1</t>
  </si>
  <si>
    <t>BUNDLE DISTRIBUTION MAIL FLOW DENSITY TABLES SUMMARY</t>
  </si>
  <si>
    <t>Development Based on Mail.dat files</t>
  </si>
  <si>
    <t>Table MCS-11</t>
  </si>
  <si>
    <t>MADC Bundle</t>
  </si>
  <si>
    <t>ADC Bundle</t>
  </si>
  <si>
    <t>3D Bundle</t>
  </si>
  <si>
    <t>5D Bundle</t>
  </si>
  <si>
    <t>CR Bundle</t>
  </si>
  <si>
    <t>MADC Container to:</t>
  </si>
  <si>
    <t>MADC</t>
  </si>
  <si>
    <t>3D</t>
  </si>
  <si>
    <t>5D</t>
  </si>
  <si>
    <t>CR</t>
  </si>
  <si>
    <t>Piece</t>
  </si>
  <si>
    <t>ADC Container to:</t>
  </si>
  <si>
    <t>3D Container to:</t>
  </si>
  <si>
    <t>5D Container to:</t>
  </si>
  <si>
    <t>CR Container to:</t>
  </si>
  <si>
    <t>USPS-FY25-26</t>
  </si>
  <si>
    <t>Presort flats from USPS-FY25-26, sheet 'FLAT Unit Costs W Final Adj'</t>
  </si>
  <si>
    <t>Source: USPS-FY25-14</t>
  </si>
  <si>
    <t xml:space="preserve">(8) USPS-FY25-14 MAILCHARV.xls worksheet 'NON 5D-CONTAINER AVE BUN SIZE' </t>
  </si>
  <si>
    <t>(1) USPS-FY25-7 Table 1</t>
  </si>
  <si>
    <t>USPS-FY25-25</t>
  </si>
  <si>
    <t>USPS-FY25-14, FCM Models use PER data as a proxy</t>
  </si>
  <si>
    <t>USPS-FY25-7 -  Part 8</t>
  </si>
  <si>
    <t>USPS-FY25-7 -  Part 7</t>
  </si>
  <si>
    <t>OUTGOING LETTER TRAY/FLAT TUB SORTING UNIT COST AVOIDANCE</t>
  </si>
  <si>
    <t>[1]</t>
  </si>
  <si>
    <t>[2]</t>
  </si>
  <si>
    <t>[3]</t>
  </si>
  <si>
    <t>[4]</t>
  </si>
  <si>
    <t>[5]</t>
  </si>
  <si>
    <t>[6]</t>
  </si>
  <si>
    <t>[7]</t>
  </si>
  <si>
    <t>[8]</t>
  </si>
  <si>
    <t>[9]</t>
  </si>
  <si>
    <t>[10]</t>
  </si>
  <si>
    <t>[11]</t>
  </si>
  <si>
    <t>Trays</t>
  </si>
  <si>
    <t>Per</t>
  </si>
  <si>
    <t>Product</t>
  </si>
  <si>
    <t>Tray/Tub</t>
  </si>
  <si>
    <t>Hour</t>
  </si>
  <si>
    <t>Per Tray</t>
  </si>
  <si>
    <t>Outgoing Letter Tray Sort</t>
  </si>
  <si>
    <t>First-Class Mail Presort Cards</t>
  </si>
  <si>
    <t>First-Class Mail Presort Letters</t>
  </si>
  <si>
    <t>Outgoing Flat Tub Sort</t>
  </si>
  <si>
    <t>First-Class Mail Presort Flats</t>
  </si>
  <si>
    <t>Sources:</t>
  </si>
  <si>
    <t>USPS-FY25-14 Table MCS-16</t>
  </si>
  <si>
    <t>USPS-FY25-23</t>
  </si>
  <si>
    <t>Tab 'WAGE RATES - PIGGYBACK FACTORS'</t>
  </si>
  <si>
    <t>[2] / [3]</t>
  </si>
  <si>
    <t>[5] * 100 / [4]</t>
  </si>
  <si>
    <t>[6] * ( [8] - 1 )</t>
  </si>
  <si>
    <t>[6] * [7] + [9]</t>
  </si>
  <si>
    <t>[10] / [1]</t>
  </si>
  <si>
    <t>Tray Sortation Outgoing</t>
  </si>
  <si>
    <t>Manual Bundle sorting - Plant includes Overhead factors From USPS-FY25-11 PER cost model sheet 'ACR Modifications Cell H22</t>
  </si>
  <si>
    <t>Manual bundle sorting - DU includes Overhead factors From USPS-FY25-11 PER cost model sheet 'ACR Modifications Cell H23</t>
  </si>
  <si>
    <t>Premium Pay Factor 
Non-NDCs</t>
  </si>
  <si>
    <t>First-Class Premium Pay Adjustment Factor (Cards)</t>
  </si>
  <si>
    <t>First-Class Premium Pay Adjustment Factor (Letters)</t>
  </si>
  <si>
    <t>First-Class Premium Pay Adjustment Factor (Flats)</t>
  </si>
  <si>
    <t>USPS-FY25-7 -  Part 9</t>
  </si>
  <si>
    <t>Tab " PRODUCTIVITIES"</t>
  </si>
  <si>
    <t>Estimate w/</t>
  </si>
  <si>
    <t>Manual Bundle Productivity Estimates</t>
  </si>
  <si>
    <t>Estimate (9)</t>
  </si>
  <si>
    <t>FY2025 Overhead Factor (10)</t>
  </si>
  <si>
    <t>Overhead (11)</t>
  </si>
  <si>
    <t>Manual bundle sorting productivity per hour - Plant</t>
  </si>
  <si>
    <t>Manual bundle sorting productivity per hour - DDU</t>
  </si>
  <si>
    <t>(9) Manual bundle sorting productivity: Docket No. RM2009-1, Proposal 12</t>
  </si>
  <si>
    <t>(10) Overhead Factors: USPS-FY25-7 Part 7.xlsx</t>
  </si>
  <si>
    <t>(11)  (9) / (10)</t>
  </si>
  <si>
    <t>Premium Pay Factor 
All Facilities</t>
  </si>
  <si>
    <t>USPS-FY25-7, Part 3.  Total sum of flat costs in FSS cost pool in MODS and NDC sites of all classes.</t>
  </si>
  <si>
    <t xml:space="preserve">This sheet contains identical but harcoded data from the 'CRA ADJ UNIT COSTS' to prevent any errors while linking to other spreadsheets. </t>
  </si>
  <si>
    <t xml:space="preserve">While linking, click File -&gt; Options -&gt; Formulas -&gt; and check the radio button for "Enable Iterative Calculation". </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</si>
</sst>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41" formatCode="_(* #,##0_);_(* \(#,##0\);_(* &quot;-&quot;_);_(@_)"/>
    <numFmt numFmtId="43" formatCode="_(* #,##0.00_);_(* \(#,##0.00\);_(* &quot;-&quot;??_);_(@_)"/>
    <numFmt numFmtId="164" formatCode="&quot;$&quot;#,##0.000"/>
    <numFmt numFmtId="165" formatCode="#,##0.000"/>
    <numFmt numFmtId="166" formatCode="0.000"/>
    <numFmt numFmtId="167" formatCode="0.0000"/>
    <numFmt numFmtId="168" formatCode="&quot;$&quot;#,##0"/>
    <numFmt numFmtId="169" formatCode="#,##0.0"/>
    <numFmt numFmtId="170" formatCode="_(* #,##0_);_(* \(#,##0\);_(* &quot;-&quot;??_);_(@_)"/>
    <numFmt numFmtId="171" formatCode="0.0%"/>
    <numFmt numFmtId="172" formatCode="0.000_);[Red]\(0.000\)"/>
    <numFmt numFmtId="173" formatCode="0.00000"/>
    <numFmt numFmtId="174" formatCode="_(* #,##0.00000_);_(* \(#,##0.00000\);_(* &quot;-&quot;??_);_(@_)"/>
    <numFmt numFmtId="175" formatCode="0.000%"/>
    <numFmt numFmtId="176" formatCode="&quot;$&quot;#,##0\ ;\(&quot;$&quot;#,##0\)"/>
    <numFmt numFmtId="177" formatCode="#,##0.00000000"/>
    <numFmt numFmtId="178" formatCode="#,##0.0000000000"/>
    <numFmt numFmtId="179" formatCode="#,##0.0000000"/>
    <numFmt numFmtId="180" formatCode="#,##0.000000000"/>
    <numFmt numFmtId="181" formatCode="&quot;$&quot;#,##0.0;\(&quot;$&quot;#,##0.0\)"/>
    <numFmt numFmtId="182" formatCode="0.00000000000000"/>
    <numFmt numFmtId="183" formatCode="&quot;$&quot;#,##0.000_);\(&quot;$&quot;#,##0.000\)"/>
    <numFmt numFmtId="184" formatCode="0.0"/>
    <numFmt numFmtId="185" formatCode="&quot;$&quot;#,##0.0000"/>
    <numFmt numFmtId="186" formatCode="_(* #,##0.000_);_(* \(#,##0.000\);_(* &quot;-&quot;??_);_(@_)"/>
    <numFmt numFmtId="187" formatCode="0.000000"/>
  </numFmts>
  <fonts count="64" x14ac:knownFonts="1">
    <font>
      <sz val="10"/>
      <name val="Arial"/>
    </font>
    <font>
      <sz val="10"/>
      <name val="Arial"/>
      <family val="2"/>
    </font>
    <font>
      <b/>
      <sz val="10"/>
      <name val="Arial"/>
      <family val="2"/>
    </font>
    <font>
      <sz val="10"/>
      <name val="Arial"/>
      <family val="2"/>
    </font>
    <font>
      <b/>
      <sz val="14"/>
      <name val="Arial"/>
      <family val="2"/>
    </font>
    <font>
      <sz val="10"/>
      <color indexed="10"/>
      <name val="Arial"/>
      <family val="2"/>
    </font>
    <font>
      <u val="double"/>
      <sz val="10"/>
      <name val="Arial"/>
      <family val="2"/>
    </font>
    <font>
      <sz val="10"/>
      <color indexed="8"/>
      <name val="Arial"/>
      <family val="2"/>
    </font>
    <font>
      <b/>
      <sz val="10"/>
      <color indexed="8"/>
      <name val="Arial"/>
      <family val="2"/>
    </font>
    <font>
      <b/>
      <sz val="12"/>
      <name val="Arial"/>
      <family val="2"/>
    </font>
    <font>
      <b/>
      <u/>
      <sz val="10"/>
      <name val="Arial"/>
      <family val="2"/>
    </font>
    <font>
      <b/>
      <sz val="22"/>
      <name val="Arial"/>
      <family val="2"/>
    </font>
    <font>
      <b/>
      <sz val="18"/>
      <name val="Arial"/>
      <family val="2"/>
    </font>
    <font>
      <sz val="14"/>
      <name val="Arial"/>
      <family val="2"/>
    </font>
    <font>
      <b/>
      <sz val="10"/>
      <color indexed="12"/>
      <name val="Arial"/>
      <family val="2"/>
    </font>
    <font>
      <sz val="10"/>
      <color indexed="12"/>
      <name val="Arial"/>
      <family val="2"/>
    </font>
    <font>
      <b/>
      <sz val="10"/>
      <color indexed="17"/>
      <name val="Arial"/>
      <family val="2"/>
    </font>
    <font>
      <sz val="10"/>
      <color indexed="17"/>
      <name val="Arial"/>
      <family val="2"/>
    </font>
    <font>
      <b/>
      <sz val="10"/>
      <color indexed="10"/>
      <name val="Arial"/>
      <family val="2"/>
    </font>
    <font>
      <sz val="10"/>
      <color indexed="20"/>
      <name val="Arial"/>
      <family val="2"/>
    </font>
    <font>
      <sz val="10"/>
      <color indexed="25"/>
      <name val="Arial"/>
      <family val="2"/>
    </font>
    <font>
      <sz val="10"/>
      <color indexed="53"/>
      <name val="Arial"/>
      <family val="2"/>
    </font>
    <font>
      <sz val="12"/>
      <name val="Arial"/>
      <family val="2"/>
    </font>
    <font>
      <b/>
      <sz val="11"/>
      <name val="Arial"/>
      <family val="2"/>
    </font>
    <font>
      <b/>
      <sz val="10"/>
      <name val="Arial"/>
      <family val="2"/>
    </font>
    <font>
      <sz val="9"/>
      <name val="Arial"/>
      <family val="2"/>
    </font>
    <font>
      <b/>
      <sz val="9"/>
      <name val="Arial"/>
      <family val="2"/>
    </font>
    <font>
      <sz val="12"/>
      <color indexed="8"/>
      <name val="Arial"/>
      <family val="2"/>
    </font>
    <font>
      <b/>
      <sz val="12"/>
      <color indexed="8"/>
      <name val="Arial"/>
      <family val="2"/>
    </font>
    <font>
      <sz val="8"/>
      <name val="Arial"/>
      <family val="2"/>
    </font>
    <font>
      <sz val="10"/>
      <color indexed="14"/>
      <name val="Arial"/>
      <family val="2"/>
    </font>
    <font>
      <u/>
      <sz val="10"/>
      <name val="Arial"/>
      <family val="2"/>
    </font>
    <font>
      <sz val="10"/>
      <color indexed="12"/>
      <name val="Arial"/>
      <family val="2"/>
    </font>
    <font>
      <b/>
      <sz val="12"/>
      <color indexed="10"/>
      <name val="Arial"/>
      <family val="2"/>
    </font>
    <font>
      <sz val="10"/>
      <color indexed="40"/>
      <name val="Arial"/>
      <family val="2"/>
    </font>
    <font>
      <sz val="10"/>
      <color indexed="61"/>
      <name val="Arial"/>
      <family val="2"/>
    </font>
    <font>
      <b/>
      <sz val="8"/>
      <name val="Arial"/>
      <family val="2"/>
    </font>
    <font>
      <sz val="10"/>
      <name val="Univers"/>
      <family val="2"/>
    </font>
    <font>
      <sz val="10"/>
      <color indexed="9"/>
      <name val="Arial"/>
      <family val="2"/>
    </font>
    <font>
      <sz val="12"/>
      <name val="Helv"/>
    </font>
    <font>
      <sz val="10"/>
      <color indexed="24"/>
      <name val="Arial"/>
      <family val="2"/>
    </font>
    <font>
      <sz val="18"/>
      <name val="Arial"/>
      <family val="2"/>
    </font>
    <font>
      <sz val="8"/>
      <name val="Arial"/>
      <family val="2"/>
    </font>
    <font>
      <b/>
      <sz val="10"/>
      <color indexed="53"/>
      <name val="Arial"/>
      <family val="2"/>
    </font>
    <font>
      <sz val="10"/>
      <color rgb="FFFF0000"/>
      <name val="Arial"/>
      <family val="2"/>
    </font>
    <font>
      <b/>
      <sz val="11"/>
      <color rgb="FFFF0000"/>
      <name val="Arial"/>
      <family val="2"/>
    </font>
    <font>
      <sz val="12"/>
      <color rgb="FFFF0000"/>
      <name val="Arial"/>
      <family val="2"/>
    </font>
    <font>
      <sz val="9"/>
      <color rgb="FFFF0000"/>
      <name val="Arial"/>
      <family val="2"/>
    </font>
    <font>
      <b/>
      <sz val="9"/>
      <color rgb="FFFF0000"/>
      <name val="Arial"/>
      <family val="2"/>
    </font>
    <font>
      <b/>
      <sz val="10"/>
      <color rgb="FFFF0000"/>
      <name val="Arial"/>
      <family val="2"/>
    </font>
    <font>
      <b/>
      <sz val="12"/>
      <color rgb="FFFF0000"/>
      <name val="Arial"/>
      <family val="2"/>
    </font>
    <font>
      <sz val="11"/>
      <color theme="1"/>
      <name val="Arial"/>
      <family val="2"/>
    </font>
    <font>
      <b/>
      <u/>
      <sz val="9"/>
      <name val="Arial"/>
      <family val="2"/>
    </font>
    <font>
      <sz val="10"/>
      <color theme="1"/>
      <name val="Arial"/>
      <family val="2"/>
    </font>
    <font>
      <b/>
      <sz val="11"/>
      <color theme="1"/>
      <name val="Arial"/>
      <family val="2"/>
    </font>
    <font>
      <sz val="12"/>
      <color theme="1"/>
      <name val="Arial"/>
      <family val="2"/>
    </font>
    <font>
      <b/>
      <sz val="10"/>
      <color theme="1"/>
      <name val="Arial"/>
      <family val="2"/>
    </font>
    <font>
      <sz val="9"/>
      <color theme="1"/>
      <name val="Arial"/>
      <family val="2"/>
    </font>
    <font>
      <b/>
      <sz val="9"/>
      <color theme="1"/>
      <name val="Arial"/>
      <family val="2"/>
    </font>
    <font>
      <sz val="11"/>
      <name val="Aptos"/>
      <family val="2"/>
    </font>
    <font>
      <b/>
      <sz val="12"/>
      <color theme="1"/>
      <name val="Arial"/>
      <family val="2"/>
    </font>
    <font>
      <b/>
      <u/>
      <sz val="12"/>
      <name val="Arial"/>
      <family val="2"/>
    </font>
    <font>
      <b/>
      <u/>
      <sz val="12"/>
      <color theme="1"/>
      <name val="Arial"/>
      <family val="2"/>
    </font>
    <font>
      <b/>
      <u/>
      <sz val="10"/>
      <color rgb="FFFF0000"/>
      <name val="Arial"/>
      <family val="2"/>
    </font>
  </fonts>
  <fills count="11">
    <fill>
      <patternFill patternType="none"/>
    </fill>
    <fill>
      <patternFill patternType="gray125"/>
    </fill>
    <fill>
      <patternFill patternType="solid">
        <fgColor indexed="43"/>
        <bgColor indexed="64"/>
      </patternFill>
    </fill>
    <fill>
      <patternFill patternType="solid">
        <fgColor indexed="12"/>
        <bgColor indexed="64"/>
      </patternFill>
    </fill>
    <fill>
      <patternFill patternType="solid">
        <fgColor indexed="22"/>
        <bgColor indexed="64"/>
      </patternFill>
    </fill>
    <fill>
      <patternFill patternType="solid">
        <fgColor indexed="15"/>
        <bgColor indexed="64"/>
      </patternFill>
    </fill>
    <fill>
      <patternFill patternType="solid">
        <fgColor indexed="45"/>
        <bgColor indexed="64"/>
      </patternFill>
    </fill>
    <fill>
      <patternFill patternType="solid">
        <fgColor indexed="11"/>
        <bgColor indexed="64"/>
      </patternFill>
    </fill>
    <fill>
      <patternFill patternType="solid">
        <fgColor indexed="47"/>
        <bgColor indexed="64"/>
      </patternFill>
    </fill>
    <fill>
      <patternFill patternType="solid">
        <fgColor indexed="13"/>
        <bgColor indexed="64"/>
      </patternFill>
    </fill>
    <fill>
      <patternFill patternType="solid">
        <fgColor rgb="FFFFFF00"/>
        <bgColor indexed="64"/>
      </patternFill>
    </fill>
  </fills>
  <borders count="39">
    <border>
      <start/>
      <end/>
      <top/>
      <bottom/>
      <diagonal/>
    </border>
    <border>
      <start/>
      <end/>
      <top/>
      <bottom style="thin">
        <color indexed="64"/>
      </bottom>
      <diagonal/>
    </border>
    <border>
      <start style="thin">
        <color indexed="64"/>
      </start>
      <end style="thin">
        <color indexed="64"/>
      </end>
      <top style="thin">
        <color indexed="64"/>
      </top>
      <bottom style="thin">
        <color indexed="64"/>
      </bottom>
      <diagonal/>
    </border>
    <border>
      <start/>
      <end/>
      <top style="thin">
        <color indexed="64"/>
      </top>
      <bottom/>
      <diagonal/>
    </border>
    <border>
      <start/>
      <end/>
      <top style="thin">
        <color indexed="64"/>
      </top>
      <bottom style="double">
        <color indexed="64"/>
      </bottom>
      <diagonal/>
    </border>
    <border>
      <start style="thin">
        <color indexed="64"/>
      </start>
      <end/>
      <top/>
      <bottom style="thin">
        <color indexed="64"/>
      </bottom>
      <diagonal/>
    </border>
    <border>
      <start style="thin">
        <color indexed="64"/>
      </start>
      <end/>
      <top/>
      <bottom/>
      <diagonal/>
    </border>
    <border>
      <start style="thin">
        <color indexed="64"/>
      </start>
      <end/>
      <top style="thin">
        <color indexed="64"/>
      </top>
      <bottom/>
      <diagonal/>
    </border>
    <border>
      <start style="thin">
        <color indexed="64"/>
      </start>
      <end style="thin">
        <color indexed="64"/>
      </end>
      <top/>
      <bottom style="thin">
        <color indexed="64"/>
      </bottom>
      <diagonal/>
    </border>
    <border>
      <start/>
      <end style="thin">
        <color indexed="64"/>
      </end>
      <top/>
      <bottom/>
      <diagonal/>
    </border>
    <border>
      <start style="thin">
        <color indexed="64"/>
      </start>
      <end style="thin">
        <color indexed="64"/>
      </end>
      <top style="thin">
        <color indexed="64"/>
      </top>
      <bottom/>
      <diagonal/>
    </border>
    <border>
      <start/>
      <end style="thin">
        <color indexed="64"/>
      </end>
      <top style="thin">
        <color indexed="64"/>
      </top>
      <bottom/>
      <diagonal/>
    </border>
    <border>
      <start/>
      <end style="thin">
        <color indexed="64"/>
      </end>
      <top/>
      <bottom style="thin">
        <color indexed="64"/>
      </bottom>
      <diagonal/>
    </border>
    <border>
      <start style="thin">
        <color indexed="64"/>
      </start>
      <end style="thin">
        <color indexed="64"/>
      </end>
      <top/>
      <bottom/>
      <diagonal/>
    </border>
    <border>
      <start style="dotted">
        <color indexed="64"/>
      </start>
      <end/>
      <top style="dotted">
        <color indexed="64"/>
      </top>
      <bottom/>
      <diagonal/>
    </border>
    <border>
      <start/>
      <end/>
      <top style="dotted">
        <color indexed="64"/>
      </top>
      <bottom/>
      <diagonal/>
    </border>
    <border>
      <start/>
      <end style="dotted">
        <color indexed="64"/>
      </end>
      <top style="dotted">
        <color indexed="64"/>
      </top>
      <bottom/>
      <diagonal/>
    </border>
    <border>
      <start/>
      <end style="dotted">
        <color indexed="64"/>
      </end>
      <top/>
      <bottom/>
      <diagonal/>
    </border>
    <border>
      <start style="dotted">
        <color indexed="64"/>
      </start>
      <end/>
      <top/>
      <bottom/>
      <diagonal/>
    </border>
    <border>
      <start style="dotted">
        <color indexed="64"/>
      </start>
      <end style="thin">
        <color indexed="64"/>
      </end>
      <top/>
      <bottom/>
      <diagonal/>
    </border>
    <border>
      <start style="dotted">
        <color indexed="64"/>
      </start>
      <end/>
      <top/>
      <bottom style="dotted">
        <color indexed="64"/>
      </bottom>
      <diagonal/>
    </border>
    <border>
      <start/>
      <end/>
      <top/>
      <bottom style="dotted">
        <color indexed="64"/>
      </bottom>
      <diagonal/>
    </border>
    <border>
      <start/>
      <end style="dotted">
        <color indexed="64"/>
      </end>
      <top/>
      <bottom style="dotted">
        <color indexed="64"/>
      </bottom>
      <diagonal/>
    </border>
    <border>
      <start style="dotted">
        <color indexed="64"/>
      </start>
      <end/>
      <top style="thin">
        <color indexed="64"/>
      </top>
      <bottom/>
      <diagonal/>
    </border>
    <border>
      <start style="dotted">
        <color indexed="64"/>
      </start>
      <end/>
      <top/>
      <bottom style="thin">
        <color indexed="64"/>
      </bottom>
      <diagonal/>
    </border>
    <border>
      <start style="medium">
        <color indexed="64"/>
      </start>
      <end style="medium">
        <color indexed="64"/>
      </end>
      <top style="medium">
        <color indexed="64"/>
      </top>
      <bottom style="medium">
        <color indexed="64"/>
      </bottom>
      <diagonal/>
    </border>
    <border>
      <start/>
      <end/>
      <top/>
      <bottom style="medium">
        <color indexed="64"/>
      </bottom>
      <diagonal/>
    </border>
    <border>
      <start style="dotted">
        <color indexed="64"/>
      </start>
      <end style="thin">
        <color indexed="64"/>
      </end>
      <top/>
      <bottom style="thin">
        <color indexed="64"/>
      </bottom>
      <diagonal/>
    </border>
    <border>
      <start/>
      <end style="thin">
        <color indexed="64"/>
      </end>
      <top style="thin">
        <color indexed="64"/>
      </top>
      <bottom style="thin">
        <color indexed="64"/>
      </bottom>
      <diagonal/>
    </border>
    <border>
      <start/>
      <end/>
      <top/>
      <bottom style="double">
        <color indexed="64"/>
      </bottom>
      <diagonal/>
    </border>
    <border>
      <start style="thin">
        <color indexed="64"/>
      </start>
      <end/>
      <top style="thin">
        <color indexed="64"/>
      </top>
      <bottom style="thin">
        <color indexed="64"/>
      </bottom>
      <diagonal/>
    </border>
    <border>
      <start style="medium">
        <color indexed="64"/>
      </start>
      <end/>
      <top/>
      <bottom/>
      <diagonal/>
    </border>
    <border>
      <start/>
      <end style="medium">
        <color indexed="64"/>
      </end>
      <top/>
      <bottom/>
      <diagonal/>
    </border>
    <border>
      <start style="medium">
        <color indexed="64"/>
      </start>
      <end/>
      <top/>
      <bottom style="medium">
        <color indexed="64"/>
      </bottom>
      <diagonal/>
    </border>
    <border>
      <start/>
      <end style="medium">
        <color indexed="64"/>
      </end>
      <top/>
      <bottom style="medium">
        <color indexed="64"/>
      </bottom>
      <diagonal/>
    </border>
    <border>
      <start style="medium">
        <color indexed="64"/>
      </start>
      <end/>
      <top style="medium">
        <color indexed="64"/>
      </top>
      <bottom/>
      <diagonal/>
    </border>
    <border>
      <start/>
      <end/>
      <top style="medium">
        <color indexed="64"/>
      </top>
      <bottom/>
      <diagonal/>
    </border>
    <border>
      <start/>
      <end style="medium">
        <color indexed="64"/>
      </end>
      <top style="medium">
        <color indexed="64"/>
      </top>
      <bottom/>
      <diagonal/>
    </border>
    <border>
      <start/>
      <end/>
      <top style="thin">
        <color indexed="64"/>
      </top>
      <bottom style="thin">
        <color indexed="64"/>
      </bottom>
      <diagonal/>
    </border>
  </borders>
  <cellStyleXfs count="23">
    <xf numFmtId="0" fontId="0" fillId="0" borderId="0"/>
    <xf numFmtId="0" fontId="39" fillId="0" borderId="1" applyBorder="0"/>
    <xf numFmtId="10" fontId="1" fillId="2" borderId="2" applyNumberFormat="0" applyFont="0" applyBorder="0" applyAlignment="0" applyProtection="0">
      <alignment horizontal="center"/>
    </xf>
    <xf numFmtId="41" fontId="1" fillId="2" borderId="0" applyNumberFormat="0" applyFont="0" applyBorder="0" applyAlignment="0" applyProtection="0"/>
    <xf numFmtId="43" fontId="1" fillId="0" borderId="0" applyFont="0" applyFill="0" applyBorder="0" applyAlignment="0" applyProtection="0"/>
    <xf numFmtId="3" fontId="40" fillId="0" borderId="0" applyFont="0" applyFill="0" applyBorder="0" applyAlignment="0" applyProtection="0"/>
    <xf numFmtId="176" fontId="40" fillId="0" borderId="0" applyFont="0" applyFill="0" applyBorder="0" applyAlignment="0" applyProtection="0"/>
    <xf numFmtId="0" fontId="40" fillId="0" borderId="0" applyFont="0" applyFill="0" applyBorder="0" applyAlignment="0" applyProtection="0"/>
    <xf numFmtId="2" fontId="40" fillId="0" borderId="0" applyFont="0" applyFill="0" applyBorder="0" applyAlignment="0" applyProtection="0"/>
    <xf numFmtId="41" fontId="15" fillId="0" borderId="0" applyNumberFormat="0" applyFill="0" applyBorder="0" applyAlignment="0" applyProtection="0"/>
    <xf numFmtId="41" fontId="38" fillId="3" borderId="0" applyNumberFormat="0" applyBorder="0" applyAlignment="0" applyProtection="0"/>
    <xf numFmtId="177" fontId="1" fillId="0" borderId="0" applyFont="0" applyFill="0" applyBorder="0" applyAlignment="0" applyProtection="0"/>
    <xf numFmtId="178" fontId="1" fillId="0" borderId="0" applyFont="0" applyFill="0" applyBorder="0" applyAlignment="0" applyProtection="0"/>
    <xf numFmtId="179" fontId="1" fillId="0" borderId="0" applyFont="0" applyFill="0" applyBorder="0" applyAlignment="0" applyProtection="0"/>
    <xf numFmtId="180" fontId="1" fillId="0" borderId="0" applyFont="0" applyFill="0" applyBorder="0" applyAlignment="0" applyProtection="0"/>
    <xf numFmtId="181" fontId="1" fillId="0" borderId="0"/>
    <xf numFmtId="0" fontId="1" fillId="0" borderId="0"/>
    <xf numFmtId="9" fontId="1" fillId="0" borderId="0" applyFont="0" applyFill="0" applyBorder="0" applyAlignment="0" applyProtection="0"/>
    <xf numFmtId="41" fontId="15" fillId="0" borderId="3" applyNumberFormat="0" applyFont="0" applyFill="0" applyAlignment="0" applyProtection="0"/>
    <xf numFmtId="41" fontId="1" fillId="0" borderId="4" applyNumberFormat="0" applyFont="0" applyFill="0" applyAlignment="0" applyProtection="0"/>
    <xf numFmtId="0" fontId="51" fillId="0" borderId="0"/>
    <xf numFmtId="0" fontId="51" fillId="0" borderId="0"/>
    <xf numFmtId="9" fontId="51" fillId="0" borderId="0" applyFont="0" applyFill="0" applyBorder="0" applyAlignment="0" applyProtection="0"/>
  </cellStyleXfs>
  <cellXfs count="449">
    <xf numFmtId="0" fontId="0" fillId="0" borderId="0" xfId="0"/>
    <xf numFmtId="0" fontId="2" fillId="0" borderId="0" xfId="0" applyFont="1"/>
    <xf numFmtId="3" fontId="0" fillId="0" borderId="0" xfId="0" applyNumberFormat="1"/>
    <xf numFmtId="3" fontId="2" fillId="0" borderId="0" xfId="0" applyNumberFormat="1" applyFont="1"/>
    <xf numFmtId="0" fontId="4" fillId="0" borderId="0" xfId="0" applyFont="1"/>
    <xf numFmtId="0" fontId="2" fillId="0" borderId="0" xfId="0" applyFont="1" applyAlignment="1">
      <alignment wrapText="1"/>
    </xf>
    <xf numFmtId="0" fontId="3" fillId="0" borderId="0" xfId="0" applyFont="1"/>
    <xf numFmtId="0" fontId="5" fillId="0" borderId="0" xfId="0" applyFont="1"/>
    <xf numFmtId="0" fontId="6" fillId="0" borderId="0" xfId="0" applyFont="1"/>
    <xf numFmtId="0" fontId="7" fillId="0" borderId="0" xfId="0" quotePrefix="1" applyFont="1"/>
    <xf numFmtId="0" fontId="8" fillId="0" borderId="0" xfId="0" applyFont="1"/>
    <xf numFmtId="0" fontId="7" fillId="0" borderId="0" xfId="0" applyFont="1"/>
    <xf numFmtId="10" fontId="0" fillId="0" borderId="0" xfId="0" applyNumberFormat="1" applyAlignment="1">
      <alignment horizontal="center"/>
    </xf>
    <xf numFmtId="10" fontId="2" fillId="0" borderId="0" xfId="0" applyNumberFormat="1" applyFont="1" applyAlignment="1">
      <alignment horizontal="center"/>
    </xf>
    <xf numFmtId="2" fontId="0" fillId="0" borderId="0" xfId="0" applyNumberFormat="1" applyAlignment="1">
      <alignment horizontal="center"/>
    </xf>
    <xf numFmtId="2" fontId="2" fillId="0" borderId="0" xfId="0" applyNumberFormat="1" applyFont="1" applyAlignment="1">
      <alignment horizontal="center"/>
    </xf>
    <xf numFmtId="3" fontId="2" fillId="0" borderId="0" xfId="0" applyNumberFormat="1" applyFont="1" applyAlignment="1">
      <alignment horizontal="center"/>
    </xf>
    <xf numFmtId="1" fontId="0" fillId="0" borderId="0" xfId="0" applyNumberFormat="1" applyAlignment="1">
      <alignment horizontal="center"/>
    </xf>
    <xf numFmtId="1" fontId="0" fillId="0" borderId="1" xfId="0" applyNumberFormat="1" applyBorder="1"/>
    <xf numFmtId="1" fontId="0" fillId="0" borderId="0" xfId="0" applyNumberFormat="1"/>
    <xf numFmtId="1" fontId="0" fillId="0" borderId="5" xfId="0" applyNumberFormat="1" applyBorder="1"/>
    <xf numFmtId="1" fontId="0" fillId="0" borderId="6" xfId="0" applyNumberFormat="1" applyBorder="1"/>
    <xf numFmtId="1" fontId="2" fillId="0" borderId="0" xfId="0" applyNumberFormat="1" applyFont="1" applyAlignment="1">
      <alignment horizontal="left"/>
    </xf>
    <xf numFmtId="1" fontId="2" fillId="0" borderId="0" xfId="0" applyNumberFormat="1" applyFont="1"/>
    <xf numFmtId="0" fontId="0" fillId="0" borderId="0" xfId="0" applyAlignment="1">
      <alignment horizontal="right"/>
    </xf>
    <xf numFmtId="1" fontId="0" fillId="0" borderId="7" xfId="0" applyNumberFormat="1" applyBorder="1"/>
    <xf numFmtId="1" fontId="0" fillId="0" borderId="1" xfId="0" applyNumberFormat="1" applyBorder="1" applyAlignment="1">
      <alignment horizontal="center"/>
    </xf>
    <xf numFmtId="1" fontId="0" fillId="0" borderId="3" xfId="0" applyNumberFormat="1" applyBorder="1"/>
    <xf numFmtId="1" fontId="0" fillId="0" borderId="3" xfId="0" applyNumberFormat="1" applyBorder="1" applyAlignment="1">
      <alignment horizontal="center"/>
    </xf>
    <xf numFmtId="1" fontId="0" fillId="0" borderId="7" xfId="0" applyNumberFormat="1" applyBorder="1" applyAlignment="1">
      <alignment horizontal="center"/>
    </xf>
    <xf numFmtId="0" fontId="0" fillId="0" borderId="0" xfId="0" applyAlignment="1">
      <alignment horizontal="center"/>
    </xf>
    <xf numFmtId="0" fontId="2" fillId="0" borderId="0" xfId="0" applyFont="1" applyAlignment="1">
      <alignment horizontal="center"/>
    </xf>
    <xf numFmtId="0" fontId="0" fillId="0" borderId="0" xfId="0" applyAlignment="1">
      <alignment horizontal="left"/>
    </xf>
    <xf numFmtId="0" fontId="2" fillId="0" borderId="0" xfId="0" applyFont="1" applyAlignment="1">
      <alignment horizontal="left"/>
    </xf>
    <xf numFmtId="1" fontId="0" fillId="0" borderId="8" xfId="0" applyNumberFormat="1" applyBorder="1"/>
    <xf numFmtId="0" fontId="10" fillId="0" borderId="0" xfId="0" applyFont="1"/>
    <xf numFmtId="0" fontId="10" fillId="0" borderId="0" xfId="0" applyFont="1" applyAlignment="1">
      <alignment horizontal="center"/>
    </xf>
    <xf numFmtId="164" fontId="0" fillId="0" borderId="0" xfId="0" applyNumberFormat="1" applyAlignment="1">
      <alignment horizontal="center"/>
    </xf>
    <xf numFmtId="164" fontId="2" fillId="0" borderId="0" xfId="0" applyNumberFormat="1" applyFont="1" applyAlignment="1">
      <alignment horizontal="center"/>
    </xf>
    <xf numFmtId="164" fontId="10" fillId="0" borderId="0" xfId="0" applyNumberFormat="1" applyFont="1" applyAlignment="1">
      <alignment horizontal="center"/>
    </xf>
    <xf numFmtId="166" fontId="2" fillId="0" borderId="0" xfId="0" applyNumberFormat="1" applyFont="1" applyAlignment="1">
      <alignment horizontal="center"/>
    </xf>
    <xf numFmtId="166" fontId="0" fillId="0" borderId="0" xfId="0" applyNumberFormat="1" applyAlignment="1">
      <alignment horizontal="center"/>
    </xf>
    <xf numFmtId="166" fontId="10" fillId="0" borderId="0" xfId="0" applyNumberFormat="1" applyFont="1" applyAlignment="1">
      <alignment horizontal="center"/>
    </xf>
    <xf numFmtId="1" fontId="2" fillId="0" borderId="0" xfId="0" applyNumberFormat="1" applyFont="1" applyAlignment="1">
      <alignment horizontal="center"/>
    </xf>
    <xf numFmtId="0" fontId="0" fillId="0" borderId="5" xfId="0" applyBorder="1"/>
    <xf numFmtId="1" fontId="0" fillId="0" borderId="9" xfId="0" applyNumberFormat="1" applyBorder="1"/>
    <xf numFmtId="0" fontId="4" fillId="0" borderId="0" xfId="0" applyFont="1" applyAlignment="1">
      <alignment horizontal="left"/>
    </xf>
    <xf numFmtId="1" fontId="4" fillId="0" borderId="0" xfId="0" applyNumberFormat="1" applyFont="1" applyAlignment="1">
      <alignment horizontal="left"/>
    </xf>
    <xf numFmtId="1" fontId="13" fillId="0" borderId="2" xfId="0" applyNumberFormat="1" applyFont="1" applyBorder="1" applyAlignment="1">
      <alignment horizontal="center"/>
    </xf>
    <xf numFmtId="1" fontId="4" fillId="0" borderId="0" xfId="0" applyNumberFormat="1" applyFont="1"/>
    <xf numFmtId="1" fontId="0" fillId="0" borderId="10" xfId="0" applyNumberFormat="1" applyBorder="1" applyAlignment="1">
      <alignment horizontal="center"/>
    </xf>
    <xf numFmtId="0" fontId="9" fillId="0" borderId="0" xfId="0" applyFont="1"/>
    <xf numFmtId="0" fontId="9" fillId="0" borderId="0" xfId="0" applyFont="1" applyAlignment="1">
      <alignment horizontal="left"/>
    </xf>
    <xf numFmtId="10" fontId="9" fillId="0" borderId="0" xfId="0" applyNumberFormat="1" applyFont="1" applyAlignment="1">
      <alignment horizontal="center"/>
    </xf>
    <xf numFmtId="0" fontId="10" fillId="0" borderId="0" xfId="0" applyFont="1" applyAlignment="1">
      <alignment horizontal="left"/>
    </xf>
    <xf numFmtId="10" fontId="10" fillId="0" borderId="0" xfId="0" applyNumberFormat="1" applyFont="1" applyAlignment="1">
      <alignment horizontal="center"/>
    </xf>
    <xf numFmtId="1" fontId="11" fillId="0" borderId="0" xfId="0" applyNumberFormat="1" applyFont="1"/>
    <xf numFmtId="1" fontId="12" fillId="0" borderId="0" xfId="0" applyNumberFormat="1" applyFont="1"/>
    <xf numFmtId="1" fontId="0" fillId="0" borderId="0" xfId="0" applyNumberFormat="1" applyAlignment="1">
      <alignment horizontal="left"/>
    </xf>
    <xf numFmtId="1" fontId="0" fillId="0" borderId="3" xfId="0" applyNumberFormat="1" applyBorder="1" applyAlignment="1">
      <alignment horizontal="left"/>
    </xf>
    <xf numFmtId="1" fontId="0" fillId="0" borderId="1" xfId="0" applyNumberFormat="1" applyBorder="1" applyAlignment="1">
      <alignment horizontal="left"/>
    </xf>
    <xf numFmtId="1" fontId="14" fillId="0" borderId="3" xfId="0" applyNumberFormat="1" applyFont="1" applyBorder="1" applyAlignment="1">
      <alignment horizontal="right"/>
    </xf>
    <xf numFmtId="1" fontId="14" fillId="0" borderId="0" xfId="0" applyNumberFormat="1" applyFont="1" applyAlignment="1">
      <alignment horizontal="right"/>
    </xf>
    <xf numFmtId="1" fontId="15" fillId="0" borderId="0" xfId="0" applyNumberFormat="1" applyFont="1" applyAlignment="1">
      <alignment horizontal="center"/>
    </xf>
    <xf numFmtId="1" fontId="14" fillId="0" borderId="1" xfId="0" applyNumberFormat="1" applyFont="1" applyBorder="1" applyAlignment="1">
      <alignment horizontal="right"/>
    </xf>
    <xf numFmtId="1" fontId="15" fillId="0" borderId="1" xfId="0" applyNumberFormat="1" applyFont="1" applyBorder="1" applyAlignment="1">
      <alignment horizontal="center"/>
    </xf>
    <xf numFmtId="1" fontId="8" fillId="0" borderId="3" xfId="0" applyNumberFormat="1" applyFont="1" applyBorder="1" applyAlignment="1">
      <alignment horizontal="right"/>
    </xf>
    <xf numFmtId="1" fontId="7" fillId="0" borderId="3" xfId="0" applyNumberFormat="1" applyFont="1" applyBorder="1" applyAlignment="1">
      <alignment horizontal="center"/>
    </xf>
    <xf numFmtId="1" fontId="8" fillId="0" borderId="0" xfId="0" applyNumberFormat="1" applyFont="1" applyAlignment="1">
      <alignment horizontal="right"/>
    </xf>
    <xf numFmtId="1" fontId="7" fillId="0" borderId="0" xfId="0" applyNumberFormat="1" applyFont="1" applyAlignment="1">
      <alignment horizontal="center"/>
    </xf>
    <xf numFmtId="1" fontId="8" fillId="0" borderId="1" xfId="0" applyNumberFormat="1" applyFont="1" applyBorder="1" applyAlignment="1">
      <alignment horizontal="right"/>
    </xf>
    <xf numFmtId="1" fontId="7" fillId="0" borderId="1" xfId="0" applyNumberFormat="1" applyFont="1" applyBorder="1" applyAlignment="1">
      <alignment horizontal="center"/>
    </xf>
    <xf numFmtId="1" fontId="16" fillId="0" borderId="3" xfId="0" applyNumberFormat="1" applyFont="1" applyBorder="1" applyAlignment="1">
      <alignment horizontal="right"/>
    </xf>
    <xf numFmtId="1" fontId="17" fillId="0" borderId="3" xfId="0" applyNumberFormat="1" applyFont="1" applyBorder="1" applyAlignment="1">
      <alignment horizontal="center"/>
    </xf>
    <xf numFmtId="1" fontId="16" fillId="0" borderId="0" xfId="0" applyNumberFormat="1" applyFont="1" applyAlignment="1">
      <alignment horizontal="right"/>
    </xf>
    <xf numFmtId="1" fontId="17" fillId="0" borderId="0" xfId="0" applyNumberFormat="1" applyFont="1" applyAlignment="1">
      <alignment horizontal="center"/>
    </xf>
    <xf numFmtId="1" fontId="16" fillId="0" borderId="1" xfId="0" applyNumberFormat="1" applyFont="1" applyBorder="1" applyAlignment="1">
      <alignment horizontal="right"/>
    </xf>
    <xf numFmtId="1" fontId="17" fillId="0" borderId="1" xfId="0" applyNumberFormat="1" applyFont="1" applyBorder="1" applyAlignment="1">
      <alignment horizontal="center"/>
    </xf>
    <xf numFmtId="1" fontId="18" fillId="0" borderId="3" xfId="0" applyNumberFormat="1" applyFont="1" applyBorder="1" applyAlignment="1">
      <alignment horizontal="right"/>
    </xf>
    <xf numFmtId="1" fontId="5" fillId="0" borderId="11" xfId="0" applyNumberFormat="1" applyFont="1" applyBorder="1" applyAlignment="1">
      <alignment horizontal="center"/>
    </xf>
    <xf numFmtId="1" fontId="18" fillId="0" borderId="0" xfId="0" applyNumberFormat="1" applyFont="1" applyAlignment="1">
      <alignment horizontal="right"/>
    </xf>
    <xf numFmtId="1" fontId="5" fillId="0" borderId="9" xfId="0" applyNumberFormat="1" applyFont="1" applyBorder="1" applyAlignment="1">
      <alignment horizontal="center"/>
    </xf>
    <xf numFmtId="1" fontId="18" fillId="0" borderId="1" xfId="0" applyNumberFormat="1" applyFont="1" applyBorder="1" applyAlignment="1">
      <alignment horizontal="right"/>
    </xf>
    <xf numFmtId="1" fontId="5" fillId="0" borderId="12" xfId="0" applyNumberFormat="1" applyFont="1" applyBorder="1" applyAlignment="1">
      <alignment horizontal="center"/>
    </xf>
    <xf numFmtId="1" fontId="15" fillId="0" borderId="13" xfId="0" applyNumberFormat="1" applyFont="1" applyBorder="1" applyAlignment="1">
      <alignment horizontal="center"/>
    </xf>
    <xf numFmtId="1" fontId="15" fillId="0" borderId="6" xfId="0" applyNumberFormat="1" applyFont="1" applyBorder="1" applyAlignment="1">
      <alignment horizontal="center"/>
    </xf>
    <xf numFmtId="1" fontId="2" fillId="4" borderId="7" xfId="0" applyNumberFormat="1" applyFont="1" applyFill="1" applyBorder="1" applyAlignment="1">
      <alignment horizontal="left"/>
    </xf>
    <xf numFmtId="1" fontId="2" fillId="4" borderId="11" xfId="0" applyNumberFormat="1" applyFont="1" applyFill="1" applyBorder="1" applyAlignment="1">
      <alignment horizontal="center"/>
    </xf>
    <xf numFmtId="1" fontId="15" fillId="0" borderId="9" xfId="0" applyNumberFormat="1" applyFont="1" applyBorder="1"/>
    <xf numFmtId="1" fontId="17" fillId="0" borderId="6" xfId="0" applyNumberFormat="1" applyFont="1" applyBorder="1" applyAlignment="1">
      <alignment horizontal="center"/>
    </xf>
    <xf numFmtId="1" fontId="17" fillId="0" borderId="13" xfId="0" applyNumberFormat="1" applyFont="1" applyBorder="1" applyAlignment="1">
      <alignment horizontal="center"/>
    </xf>
    <xf numFmtId="1" fontId="17" fillId="0" borderId="0" xfId="0" applyNumberFormat="1" applyFont="1" applyAlignment="1">
      <alignment horizontal="left"/>
    </xf>
    <xf numFmtId="1" fontId="5" fillId="0" borderId="13" xfId="0" applyNumberFormat="1" applyFont="1" applyBorder="1" applyAlignment="1">
      <alignment horizontal="center"/>
    </xf>
    <xf numFmtId="1" fontId="5" fillId="0" borderId="9" xfId="0" applyNumberFormat="1" applyFont="1" applyBorder="1"/>
    <xf numFmtId="1" fontId="5" fillId="0" borderId="6" xfId="0" applyNumberFormat="1" applyFont="1" applyBorder="1" applyAlignment="1">
      <alignment horizontal="center"/>
    </xf>
    <xf numFmtId="1" fontId="19" fillId="0" borderId="6" xfId="0" applyNumberFormat="1" applyFont="1" applyBorder="1" applyAlignment="1">
      <alignment horizontal="left"/>
    </xf>
    <xf numFmtId="1" fontId="19" fillId="0" borderId="0" xfId="0" applyNumberFormat="1" applyFont="1" applyAlignment="1">
      <alignment horizontal="left"/>
    </xf>
    <xf numFmtId="1" fontId="15" fillId="0" borderId="0" xfId="0" applyNumberFormat="1" applyFont="1"/>
    <xf numFmtId="1" fontId="5" fillId="0" borderId="0" xfId="0" applyNumberFormat="1" applyFont="1"/>
    <xf numFmtId="1" fontId="5" fillId="0" borderId="6" xfId="0" applyNumberFormat="1" applyFont="1" applyBorder="1" applyAlignment="1">
      <alignment horizontal="left"/>
    </xf>
    <xf numFmtId="1" fontId="19" fillId="0" borderId="8" xfId="0" applyNumberFormat="1" applyFont="1" applyBorder="1" applyAlignment="1">
      <alignment horizontal="center"/>
    </xf>
    <xf numFmtId="1" fontId="19" fillId="0" borderId="5" xfId="0" applyNumberFormat="1" applyFont="1" applyBorder="1" applyAlignment="1">
      <alignment horizontal="center"/>
    </xf>
    <xf numFmtId="1" fontId="21" fillId="0" borderId="5" xfId="0" applyNumberFormat="1" applyFont="1" applyBorder="1" applyAlignment="1">
      <alignment horizontal="left"/>
    </xf>
    <xf numFmtId="1" fontId="0" fillId="0" borderId="14" xfId="0" applyNumberFormat="1" applyBorder="1"/>
    <xf numFmtId="0" fontId="0" fillId="0" borderId="15" xfId="0" applyBorder="1"/>
    <xf numFmtId="1" fontId="0" fillId="0" borderId="15" xfId="0" applyNumberFormat="1" applyBorder="1"/>
    <xf numFmtId="1" fontId="0" fillId="0" borderId="15" xfId="0" applyNumberFormat="1" applyBorder="1" applyAlignment="1">
      <alignment horizontal="left"/>
    </xf>
    <xf numFmtId="1" fontId="0" fillId="0" borderId="16" xfId="0" applyNumberFormat="1" applyBorder="1"/>
    <xf numFmtId="1" fontId="0" fillId="0" borderId="17" xfId="0" applyNumberFormat="1" applyBorder="1"/>
    <xf numFmtId="1" fontId="17" fillId="0" borderId="18" xfId="0" applyNumberFormat="1" applyFont="1" applyBorder="1" applyAlignment="1">
      <alignment horizontal="center"/>
    </xf>
    <xf numFmtId="1" fontId="5" fillId="0" borderId="18" xfId="0" applyNumberFormat="1" applyFont="1" applyBorder="1" applyAlignment="1">
      <alignment horizontal="center"/>
    </xf>
    <xf numFmtId="1" fontId="0" fillId="0" borderId="19" xfId="0" applyNumberFormat="1" applyBorder="1"/>
    <xf numFmtId="1" fontId="20" fillId="0" borderId="0" xfId="0" applyNumberFormat="1" applyFont="1" applyAlignment="1">
      <alignment horizontal="left"/>
    </xf>
    <xf numFmtId="1" fontId="0" fillId="0" borderId="18" xfId="0" applyNumberFormat="1" applyBorder="1"/>
    <xf numFmtId="1" fontId="0" fillId="0" borderId="20" xfId="0" applyNumberFormat="1" applyBorder="1"/>
    <xf numFmtId="0" fontId="0" fillId="0" borderId="21" xfId="0" applyBorder="1"/>
    <xf numFmtId="1" fontId="0" fillId="0" borderId="21" xfId="0" applyNumberFormat="1" applyBorder="1"/>
    <xf numFmtId="1" fontId="0" fillId="0" borderId="21" xfId="0" applyNumberFormat="1" applyBorder="1" applyAlignment="1">
      <alignment horizontal="left"/>
    </xf>
    <xf numFmtId="1" fontId="0" fillId="0" borderId="22" xfId="0" applyNumberFormat="1" applyBorder="1"/>
    <xf numFmtId="1" fontId="15" fillId="0" borderId="0" xfId="0" applyNumberFormat="1" applyFont="1" applyAlignment="1">
      <alignment horizontal="left"/>
    </xf>
    <xf numFmtId="1" fontId="0" fillId="0" borderId="23" xfId="0" applyNumberFormat="1" applyBorder="1" applyAlignment="1">
      <alignment horizontal="center"/>
    </xf>
    <xf numFmtId="1" fontId="2" fillId="0" borderId="18" xfId="0" applyNumberFormat="1" applyFont="1" applyBorder="1"/>
    <xf numFmtId="1" fontId="12" fillId="0" borderId="18" xfId="0" applyNumberFormat="1" applyFont="1" applyBorder="1"/>
    <xf numFmtId="1" fontId="12" fillId="0" borderId="0" xfId="0" applyNumberFormat="1" applyFont="1" applyAlignment="1">
      <alignment horizontal="left"/>
    </xf>
    <xf numFmtId="1" fontId="12" fillId="0" borderId="17" xfId="0" applyNumberFormat="1" applyFont="1" applyBorder="1"/>
    <xf numFmtId="0" fontId="12" fillId="0" borderId="0" xfId="0" applyFont="1"/>
    <xf numFmtId="1" fontId="2" fillId="0" borderId="24" xfId="0" applyNumberFormat="1" applyFont="1" applyBorder="1"/>
    <xf numFmtId="1" fontId="12" fillId="0" borderId="0" xfId="0" applyNumberFormat="1" applyFont="1" applyAlignment="1">
      <alignment horizontal="center"/>
    </xf>
    <xf numFmtId="1" fontId="15" fillId="0" borderId="15" xfId="0" applyNumberFormat="1" applyFont="1" applyBorder="1"/>
    <xf numFmtId="1" fontId="5" fillId="0" borderId="15" xfId="0" applyNumberFormat="1" applyFont="1" applyBorder="1"/>
    <xf numFmtId="1" fontId="17" fillId="0" borderId="15" xfId="0" applyNumberFormat="1" applyFont="1" applyBorder="1" applyAlignment="1">
      <alignment horizontal="left"/>
    </xf>
    <xf numFmtId="1" fontId="19" fillId="0" borderId="15" xfId="0" applyNumberFormat="1" applyFont="1" applyBorder="1" applyAlignment="1">
      <alignment horizontal="left"/>
    </xf>
    <xf numFmtId="167" fontId="0" fillId="0" borderId="0" xfId="0" applyNumberFormat="1" applyAlignment="1">
      <alignment horizontal="center"/>
    </xf>
    <xf numFmtId="167" fontId="2" fillId="0" borderId="0" xfId="0" applyNumberFormat="1" applyFont="1" applyAlignment="1">
      <alignment horizontal="center"/>
    </xf>
    <xf numFmtId="3" fontId="10" fillId="0" borderId="0" xfId="0" applyNumberFormat="1" applyFont="1" applyAlignment="1">
      <alignment horizontal="center"/>
    </xf>
    <xf numFmtId="167" fontId="10" fillId="0" borderId="0" xfId="0" applyNumberFormat="1" applyFont="1" applyAlignment="1">
      <alignment horizontal="center"/>
    </xf>
    <xf numFmtId="166" fontId="2" fillId="0" borderId="0" xfId="0" applyNumberFormat="1" applyFont="1" applyAlignment="1">
      <alignment horizontal="right"/>
    </xf>
    <xf numFmtId="166" fontId="2" fillId="0" borderId="25" xfId="0" applyNumberFormat="1" applyFont="1" applyBorder="1" applyAlignment="1">
      <alignment horizontal="center"/>
    </xf>
    <xf numFmtId="167" fontId="2" fillId="0" borderId="0" xfId="0" applyNumberFormat="1" applyFont="1" applyAlignment="1">
      <alignment horizontal="right"/>
    </xf>
    <xf numFmtId="0" fontId="2" fillId="0" borderId="0" xfId="0" applyFont="1" applyAlignment="1">
      <alignment horizontal="right"/>
    </xf>
    <xf numFmtId="166" fontId="2" fillId="0" borderId="0" xfId="0" applyNumberFormat="1" applyFont="1" applyAlignment="1">
      <alignment horizontal="left"/>
    </xf>
    <xf numFmtId="1" fontId="5" fillId="0" borderId="0" xfId="0" applyNumberFormat="1" applyFont="1" applyAlignment="1">
      <alignment horizontal="center"/>
    </xf>
    <xf numFmtId="0" fontId="22" fillId="0" borderId="0" xfId="0" applyFont="1"/>
    <xf numFmtId="167" fontId="23" fillId="0" borderId="0" xfId="0" applyNumberFormat="1" applyFont="1" applyAlignment="1">
      <alignment horizontal="center"/>
    </xf>
    <xf numFmtId="0" fontId="23" fillId="0" borderId="0" xfId="0" applyFont="1"/>
    <xf numFmtId="0" fontId="1" fillId="0" borderId="0" xfId="0" applyFont="1" applyAlignment="1">
      <alignment horizontal="center"/>
    </xf>
    <xf numFmtId="0" fontId="1" fillId="0" borderId="0" xfId="0" applyFont="1"/>
    <xf numFmtId="0" fontId="24" fillId="0" borderId="0" xfId="0" applyFont="1"/>
    <xf numFmtId="0" fontId="23" fillId="0" borderId="0" xfId="0" applyFont="1" applyAlignment="1">
      <alignment horizontal="left"/>
    </xf>
    <xf numFmtId="166" fontId="23" fillId="0" borderId="0" xfId="0" applyNumberFormat="1" applyFont="1" applyAlignment="1">
      <alignment horizontal="center"/>
    </xf>
    <xf numFmtId="3" fontId="23" fillId="0" borderId="0" xfId="0" applyNumberFormat="1" applyFont="1" applyAlignment="1">
      <alignment horizontal="right"/>
    </xf>
    <xf numFmtId="168" fontId="23" fillId="0" borderId="0" xfId="0" applyNumberFormat="1" applyFont="1" applyAlignment="1">
      <alignment horizontal="center"/>
    </xf>
    <xf numFmtId="0" fontId="9" fillId="0" borderId="26" xfId="0" applyFont="1" applyBorder="1"/>
    <xf numFmtId="166" fontId="22" fillId="0" borderId="26" xfId="0" applyNumberFormat="1" applyFont="1" applyBorder="1" applyAlignment="1">
      <alignment horizontal="center"/>
    </xf>
    <xf numFmtId="3" fontId="22" fillId="0" borderId="26" xfId="0" applyNumberFormat="1" applyFont="1" applyBorder="1" applyAlignment="1">
      <alignment horizontal="right"/>
    </xf>
    <xf numFmtId="0" fontId="22" fillId="0" borderId="26" xfId="0" applyFont="1" applyBorder="1" applyAlignment="1">
      <alignment horizontal="center"/>
    </xf>
    <xf numFmtId="168" fontId="22" fillId="0" borderId="26" xfId="0" applyNumberFormat="1" applyFont="1" applyBorder="1" applyAlignment="1">
      <alignment horizontal="center"/>
    </xf>
    <xf numFmtId="168" fontId="2" fillId="0" borderId="0" xfId="0" applyNumberFormat="1" applyFont="1" applyAlignment="1">
      <alignment horizontal="left"/>
    </xf>
    <xf numFmtId="0" fontId="2" fillId="0" borderId="0" xfId="0" quotePrefix="1" applyFont="1" applyAlignment="1">
      <alignment horizontal="left"/>
    </xf>
    <xf numFmtId="0" fontId="2" fillId="0" borderId="26" xfId="0" applyFont="1" applyBorder="1"/>
    <xf numFmtId="3" fontId="2" fillId="0" borderId="0" xfId="0" applyNumberFormat="1" applyFont="1" applyAlignment="1">
      <alignment horizontal="right"/>
    </xf>
    <xf numFmtId="10" fontId="2" fillId="0" borderId="0" xfId="17" applyNumberFormat="1" applyFont="1" applyAlignment="1">
      <alignment horizontal="right"/>
    </xf>
    <xf numFmtId="168" fontId="2" fillId="0" borderId="0" xfId="0" applyNumberFormat="1" applyFont="1" applyAlignment="1">
      <alignment horizontal="center"/>
    </xf>
    <xf numFmtId="0" fontId="9" fillId="0" borderId="26" xfId="0" applyFont="1" applyBorder="1" applyAlignment="1">
      <alignment horizontal="left"/>
    </xf>
    <xf numFmtId="0" fontId="22" fillId="0" borderId="26" xfId="0" applyFont="1" applyBorder="1"/>
    <xf numFmtId="168" fontId="10" fillId="0" borderId="0" xfId="0" applyNumberFormat="1" applyFont="1" applyAlignment="1">
      <alignment horizontal="center"/>
    </xf>
    <xf numFmtId="0" fontId="2" fillId="0" borderId="26" xfId="0" applyFont="1" applyBorder="1" applyAlignment="1">
      <alignment horizontal="left"/>
    </xf>
    <xf numFmtId="166" fontId="2" fillId="0" borderId="26" xfId="0" applyNumberFormat="1" applyFont="1" applyBorder="1" applyAlignment="1">
      <alignment horizontal="center"/>
    </xf>
    <xf numFmtId="0" fontId="25" fillId="0" borderId="0" xfId="0" applyFont="1"/>
    <xf numFmtId="166" fontId="25" fillId="0" borderId="0" xfId="0" applyNumberFormat="1" applyFont="1" applyAlignment="1">
      <alignment horizontal="center"/>
    </xf>
    <xf numFmtId="3" fontId="25" fillId="0" borderId="0" xfId="0" applyNumberFormat="1" applyFont="1" applyAlignment="1">
      <alignment horizontal="right"/>
    </xf>
    <xf numFmtId="168" fontId="25" fillId="0" borderId="0" xfId="0" applyNumberFormat="1" applyFont="1" applyAlignment="1">
      <alignment horizontal="center"/>
    </xf>
    <xf numFmtId="0" fontId="26" fillId="0" borderId="0" xfId="0" applyFont="1" applyAlignment="1">
      <alignment horizontal="right"/>
    </xf>
    <xf numFmtId="0" fontId="26" fillId="0" borderId="0" xfId="0" applyFont="1"/>
    <xf numFmtId="0" fontId="27" fillId="0" borderId="0" xfId="0" quotePrefix="1" applyFont="1"/>
    <xf numFmtId="0" fontId="28" fillId="0" borderId="0" xfId="0" applyFont="1"/>
    <xf numFmtId="3" fontId="0" fillId="0" borderId="0" xfId="0" applyNumberFormat="1" applyAlignment="1">
      <alignment horizontal="center"/>
    </xf>
    <xf numFmtId="1" fontId="12" fillId="0" borderId="18" xfId="0" applyNumberFormat="1" applyFont="1" applyBorder="1" applyAlignment="1">
      <alignment horizontal="left"/>
    </xf>
    <xf numFmtId="1" fontId="0" fillId="0" borderId="18" xfId="0" applyNumberFormat="1" applyBorder="1" applyAlignment="1">
      <alignment horizontal="center"/>
    </xf>
    <xf numFmtId="1" fontId="15" fillId="0" borderId="19" xfId="0" applyNumberFormat="1" applyFont="1" applyBorder="1" applyAlignment="1">
      <alignment horizontal="center"/>
    </xf>
    <xf numFmtId="1" fontId="2" fillId="0" borderId="27" xfId="0" applyNumberFormat="1" applyFont="1" applyBorder="1"/>
    <xf numFmtId="1" fontId="30" fillId="0" borderId="6" xfId="0" applyNumberFormat="1" applyFont="1" applyBorder="1" applyAlignment="1">
      <alignment horizontal="left"/>
    </xf>
    <xf numFmtId="1" fontId="30" fillId="0" borderId="0" xfId="0" applyNumberFormat="1" applyFont="1" applyAlignment="1">
      <alignment horizontal="left"/>
    </xf>
    <xf numFmtId="1" fontId="21" fillId="0" borderId="27" xfId="0" applyNumberFormat="1" applyFont="1" applyBorder="1" applyAlignment="1">
      <alignment horizontal="center"/>
    </xf>
    <xf numFmtId="1" fontId="30" fillId="0" borderId="19" xfId="0" applyNumberFormat="1" applyFont="1" applyBorder="1" applyAlignment="1">
      <alignment horizontal="center"/>
    </xf>
    <xf numFmtId="1" fontId="30" fillId="0" borderId="5" xfId="0" applyNumberFormat="1" applyFont="1" applyBorder="1" applyAlignment="1">
      <alignment horizontal="center"/>
    </xf>
    <xf numFmtId="1" fontId="30" fillId="0" borderId="8" xfId="0" applyNumberFormat="1" applyFont="1" applyBorder="1" applyAlignment="1">
      <alignment horizontal="center"/>
    </xf>
    <xf numFmtId="1" fontId="21" fillId="0" borderId="5" xfId="0" applyNumberFormat="1" applyFont="1" applyBorder="1" applyAlignment="1">
      <alignment horizontal="center"/>
    </xf>
    <xf numFmtId="1" fontId="21" fillId="0" borderId="8" xfId="0" applyNumberFormat="1" applyFont="1" applyBorder="1" applyAlignment="1">
      <alignment horizontal="center"/>
    </xf>
    <xf numFmtId="1" fontId="19" fillId="0" borderId="5" xfId="0" applyNumberFormat="1" applyFont="1" applyBorder="1" applyAlignment="1">
      <alignment horizontal="left"/>
    </xf>
    <xf numFmtId="0" fontId="0" fillId="0" borderId="0" xfId="0" quotePrefix="1" applyAlignment="1">
      <alignment horizontal="left"/>
    </xf>
    <xf numFmtId="1" fontId="10" fillId="0" borderId="0" xfId="0" applyNumberFormat="1" applyFont="1" applyAlignment="1">
      <alignment horizontal="center"/>
    </xf>
    <xf numFmtId="0" fontId="32" fillId="0" borderId="0" xfId="0" applyFont="1"/>
    <xf numFmtId="166" fontId="2" fillId="0" borderId="28" xfId="0" applyNumberFormat="1" applyFont="1" applyBorder="1" applyAlignment="1">
      <alignment horizontal="center"/>
    </xf>
    <xf numFmtId="166" fontId="0" fillId="0" borderId="10" xfId="0" applyNumberFormat="1" applyBorder="1" applyAlignment="1">
      <alignment horizontal="center"/>
    </xf>
    <xf numFmtId="166" fontId="0" fillId="0" borderId="13" xfId="0" applyNumberFormat="1" applyBorder="1" applyAlignment="1">
      <alignment horizontal="center"/>
    </xf>
    <xf numFmtId="166" fontId="2" fillId="0" borderId="8" xfId="0" applyNumberFormat="1" applyFont="1" applyBorder="1" applyAlignment="1">
      <alignment horizontal="center"/>
    </xf>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171" fontId="0" fillId="0" borderId="0" xfId="17" applyNumberFormat="1" applyFont="1" applyAlignment="1">
      <alignment horizontal="center"/>
    </xf>
    <xf numFmtId="0" fontId="2" fillId="0" borderId="29" xfId="0" quotePrefix="1" applyFont="1" applyBorder="1" applyAlignment="1">
      <alignment horizontal="center" wrapText="1"/>
    </xf>
    <xf numFmtId="0" fontId="2" fillId="0" borderId="29" xfId="0" applyFont="1" applyBorder="1" applyAlignment="1">
      <alignment horizontal="center" wrapText="1"/>
    </xf>
    <xf numFmtId="167" fontId="23" fillId="0" borderId="0" xfId="0" applyNumberFormat="1" applyFont="1" applyAlignment="1">
      <alignment horizontal="centerContinuous"/>
    </xf>
    <xf numFmtId="0" fontId="2" fillId="0" borderId="0" xfId="0" quotePrefix="1" applyFont="1" applyAlignment="1">
      <alignment wrapText="1"/>
    </xf>
    <xf numFmtId="43" fontId="0" fillId="0" borderId="0" xfId="0" applyNumberFormat="1"/>
    <xf numFmtId="168" fontId="26" fillId="0" borderId="0" xfId="0" applyNumberFormat="1" applyFont="1" applyAlignment="1">
      <alignment horizontal="center"/>
    </xf>
    <xf numFmtId="168" fontId="26" fillId="0" borderId="0" xfId="0" applyNumberFormat="1" applyFont="1" applyAlignment="1">
      <alignment horizontal="right"/>
    </xf>
    <xf numFmtId="172" fontId="18" fillId="0" borderId="0" xfId="0" applyNumberFormat="1" applyFont="1" applyAlignment="1">
      <alignment horizontal="center"/>
    </xf>
    <xf numFmtId="0" fontId="33" fillId="0" borderId="0" xfId="0" applyFont="1" applyAlignment="1">
      <alignment horizontal="left"/>
    </xf>
    <xf numFmtId="1" fontId="0" fillId="4" borderId="28" xfId="0" applyNumberFormat="1" applyFill="1" applyBorder="1"/>
    <xf numFmtId="1" fontId="2" fillId="4" borderId="30" xfId="0" applyNumberFormat="1" applyFont="1" applyFill="1" applyBorder="1"/>
    <xf numFmtId="1" fontId="34" fillId="0" borderId="8" xfId="0" applyNumberFormat="1" applyFont="1" applyBorder="1" applyAlignment="1">
      <alignment horizontal="center"/>
    </xf>
    <xf numFmtId="1" fontId="34" fillId="0" borderId="5" xfId="0" applyNumberFormat="1" applyFont="1" applyBorder="1" applyAlignment="1">
      <alignment horizontal="center"/>
    </xf>
    <xf numFmtId="0" fontId="2" fillId="0" borderId="0" xfId="0" quotePrefix="1" applyFont="1"/>
    <xf numFmtId="10" fontId="1" fillId="0" borderId="0" xfId="0" applyNumberFormat="1" applyFont="1" applyAlignment="1">
      <alignment horizontal="center"/>
    </xf>
    <xf numFmtId="0" fontId="1" fillId="5" borderId="0" xfId="0" applyFont="1" applyFill="1"/>
    <xf numFmtId="166" fontId="15" fillId="0" borderId="0" xfId="0" applyNumberFormat="1" applyFont="1" applyAlignment="1">
      <alignment horizontal="center"/>
    </xf>
    <xf numFmtId="166" fontId="15" fillId="0" borderId="0" xfId="4" applyNumberFormat="1" applyFont="1" applyFill="1" applyAlignment="1">
      <alignment horizontal="center"/>
    </xf>
    <xf numFmtId="10" fontId="2" fillId="0" borderId="0" xfId="0" applyNumberFormat="1" applyFont="1" applyAlignment="1">
      <alignment horizontal="left"/>
    </xf>
    <xf numFmtId="175" fontId="0" fillId="0" borderId="0" xfId="0" applyNumberFormat="1" applyAlignment="1">
      <alignment horizontal="center"/>
    </xf>
    <xf numFmtId="0" fontId="18" fillId="0" borderId="0" xfId="0" applyFont="1"/>
    <xf numFmtId="0" fontId="36" fillId="0" borderId="0" xfId="0" applyFont="1" applyAlignment="1">
      <alignment vertical="center" wrapText="1"/>
    </xf>
    <xf numFmtId="0" fontId="26" fillId="0" borderId="0" xfId="0" quotePrefix="1" applyFont="1" applyAlignment="1">
      <alignment horizontal="left"/>
    </xf>
    <xf numFmtId="0" fontId="25" fillId="0" borderId="0" xfId="0" quotePrefix="1" applyFont="1" applyAlignment="1">
      <alignment horizontal="left"/>
    </xf>
    <xf numFmtId="0" fontId="26" fillId="0" borderId="0" xfId="0" applyFont="1" applyAlignment="1">
      <alignment horizontal="left"/>
    </xf>
    <xf numFmtId="0" fontId="37" fillId="0" borderId="0" xfId="0" applyFont="1"/>
    <xf numFmtId="169" fontId="0" fillId="0" borderId="0" xfId="0" applyNumberFormat="1" applyAlignment="1">
      <alignment horizontal="center"/>
    </xf>
    <xf numFmtId="10" fontId="7" fillId="0" borderId="0" xfId="17" applyNumberFormat="1" applyFont="1" applyFill="1" applyBorder="1"/>
    <xf numFmtId="10" fontId="0" fillId="0" borderId="0" xfId="0" applyNumberFormat="1"/>
    <xf numFmtId="10" fontId="0" fillId="0" borderId="9" xfId="0" applyNumberFormat="1" applyBorder="1" applyAlignment="1">
      <alignment horizontal="center"/>
    </xf>
    <xf numFmtId="0" fontId="8" fillId="0" borderId="0" xfId="0" applyFont="1" applyAlignment="1">
      <alignment wrapText="1"/>
    </xf>
    <xf numFmtId="10" fontId="7" fillId="0" borderId="0" xfId="17" applyNumberFormat="1" applyFont="1" applyFill="1"/>
    <xf numFmtId="0" fontId="26" fillId="0" borderId="0" xfId="0" quotePrefix="1" applyFont="1"/>
    <xf numFmtId="166" fontId="26" fillId="0" borderId="0" xfId="0" applyNumberFormat="1" applyFont="1" applyAlignment="1">
      <alignment horizontal="center"/>
    </xf>
    <xf numFmtId="3" fontId="26" fillId="0" borderId="0" xfId="0" applyNumberFormat="1" applyFont="1" applyAlignment="1">
      <alignment horizontal="right"/>
    </xf>
    <xf numFmtId="0" fontId="2" fillId="0" borderId="0" xfId="0" quotePrefix="1" applyFont="1" applyAlignment="1">
      <alignment horizontal="center"/>
    </xf>
    <xf numFmtId="0" fontId="26" fillId="0" borderId="0" xfId="0" quotePrefix="1" applyFont="1" applyAlignment="1">
      <alignment horizontal="right"/>
    </xf>
    <xf numFmtId="0" fontId="31" fillId="0" borderId="0" xfId="0" applyFont="1"/>
    <xf numFmtId="166" fontId="1" fillId="0" borderId="0" xfId="0" applyNumberFormat="1" applyFont="1" applyAlignment="1">
      <alignment horizontal="center"/>
    </xf>
    <xf numFmtId="10" fontId="7" fillId="0" borderId="0" xfId="17" applyNumberFormat="1" applyFont="1" applyBorder="1"/>
    <xf numFmtId="9" fontId="7" fillId="0" borderId="0" xfId="17" applyFont="1" applyBorder="1"/>
    <xf numFmtId="10" fontId="7" fillId="0" borderId="1" xfId="17" applyNumberFormat="1" applyFont="1" applyFill="1" applyBorder="1"/>
    <xf numFmtId="3" fontId="0" fillId="0" borderId="0" xfId="0" applyNumberFormat="1" applyAlignment="1">
      <alignment horizontal="right"/>
    </xf>
    <xf numFmtId="10" fontId="10" fillId="0" borderId="0" xfId="0" applyNumberFormat="1" applyFont="1" applyAlignment="1">
      <alignment horizontal="left"/>
    </xf>
    <xf numFmtId="0" fontId="10" fillId="0" borderId="31" xfId="0" applyFont="1" applyBorder="1"/>
    <xf numFmtId="10" fontId="10" fillId="0" borderId="32" xfId="0" applyNumberFormat="1" applyFont="1" applyBorder="1" applyAlignment="1">
      <alignment horizontal="center"/>
    </xf>
    <xf numFmtId="0" fontId="2" fillId="0" borderId="31" xfId="0" applyFont="1" applyBorder="1"/>
    <xf numFmtId="10" fontId="0" fillId="0" borderId="32" xfId="0" applyNumberFormat="1" applyBorder="1" applyAlignment="1">
      <alignment horizontal="center"/>
    </xf>
    <xf numFmtId="0" fontId="9" fillId="0" borderId="31" xfId="0" applyFont="1" applyBorder="1"/>
    <xf numFmtId="0" fontId="2" fillId="0" borderId="33" xfId="0" applyFont="1" applyBorder="1"/>
    <xf numFmtId="10" fontId="0" fillId="0" borderId="26" xfId="0" applyNumberFormat="1" applyBorder="1" applyAlignment="1">
      <alignment horizontal="center"/>
    </xf>
    <xf numFmtId="10" fontId="0" fillId="0" borderId="34" xfId="0" applyNumberFormat="1" applyBorder="1" applyAlignment="1">
      <alignment horizontal="center"/>
    </xf>
    <xf numFmtId="0" fontId="8" fillId="0" borderId="0" xfId="0" applyFont="1" applyAlignment="1">
      <alignment horizontal="right" wrapText="1"/>
    </xf>
    <xf numFmtId="0" fontId="7" fillId="0" borderId="0" xfId="0" applyFont="1" applyAlignment="1">
      <alignment horizontal="right"/>
    </xf>
    <xf numFmtId="10" fontId="0" fillId="0" borderId="0" xfId="17" applyNumberFormat="1" applyFont="1" applyFill="1"/>
    <xf numFmtId="167" fontId="35" fillId="6" borderId="0" xfId="0" applyNumberFormat="1" applyFont="1" applyFill="1" applyAlignment="1">
      <alignment horizontal="left"/>
    </xf>
    <xf numFmtId="1" fontId="21" fillId="6" borderId="27" xfId="0" applyNumberFormat="1" applyFont="1" applyFill="1" applyBorder="1" applyAlignment="1">
      <alignment horizontal="center"/>
    </xf>
    <xf numFmtId="1" fontId="21" fillId="6" borderId="5" xfId="0" applyNumberFormat="1" applyFont="1" applyFill="1" applyBorder="1" applyAlignment="1">
      <alignment horizontal="center"/>
    </xf>
    <xf numFmtId="1" fontId="21" fillId="6" borderId="8" xfId="0" applyNumberFormat="1" applyFont="1" applyFill="1" applyBorder="1" applyAlignment="1">
      <alignment horizontal="center"/>
    </xf>
    <xf numFmtId="2" fontId="19" fillId="6" borderId="0" xfId="0" applyNumberFormat="1" applyFont="1" applyFill="1" applyAlignment="1">
      <alignment horizontal="left"/>
    </xf>
    <xf numFmtId="1" fontId="1" fillId="0" borderId="23" xfId="0" applyNumberFormat="1" applyFont="1" applyBorder="1" applyAlignment="1">
      <alignment horizontal="center"/>
    </xf>
    <xf numFmtId="1" fontId="43" fillId="6" borderId="27" xfId="0" applyNumberFormat="1" applyFont="1" applyFill="1" applyBorder="1" applyAlignment="1">
      <alignment horizontal="center"/>
    </xf>
    <xf numFmtId="2" fontId="21" fillId="6" borderId="5" xfId="0" applyNumberFormat="1" applyFont="1" applyFill="1" applyBorder="1" applyAlignment="1">
      <alignment horizontal="left"/>
    </xf>
    <xf numFmtId="1" fontId="35" fillId="6" borderId="0" xfId="0" applyNumberFormat="1" applyFont="1" applyFill="1" applyAlignment="1">
      <alignment horizontal="left"/>
    </xf>
    <xf numFmtId="1" fontId="35" fillId="0" borderId="0" xfId="0" applyNumberFormat="1" applyFont="1"/>
    <xf numFmtId="3" fontId="1" fillId="0" borderId="0" xfId="0" applyNumberFormat="1" applyFont="1"/>
    <xf numFmtId="164" fontId="1" fillId="0" borderId="0" xfId="0" applyNumberFormat="1" applyFont="1" applyAlignment="1">
      <alignment horizontal="center"/>
    </xf>
    <xf numFmtId="167" fontId="1" fillId="0" borderId="0" xfId="0" applyNumberFormat="1" applyFont="1" applyAlignment="1">
      <alignment horizontal="center"/>
    </xf>
    <xf numFmtId="10" fontId="7" fillId="0" borderId="0" xfId="0" applyNumberFormat="1" applyFont="1"/>
    <xf numFmtId="0" fontId="2" fillId="0" borderId="0" xfId="16" applyFont="1"/>
    <xf numFmtId="0" fontId="2" fillId="0" borderId="0" xfId="16" applyFont="1" applyAlignment="1">
      <alignment horizontal="left"/>
    </xf>
    <xf numFmtId="10" fontId="1" fillId="0" borderId="0" xfId="16" applyNumberFormat="1" applyAlignment="1">
      <alignment horizontal="center"/>
    </xf>
    <xf numFmtId="10" fontId="2" fillId="0" borderId="0" xfId="16" applyNumberFormat="1" applyFont="1" applyAlignment="1">
      <alignment horizontal="center"/>
    </xf>
    <xf numFmtId="10" fontId="2" fillId="0" borderId="0" xfId="16" quotePrefix="1" applyNumberFormat="1" applyFont="1" applyAlignment="1">
      <alignment horizontal="center"/>
    </xf>
    <xf numFmtId="182" fontId="2" fillId="0" borderId="0" xfId="0" applyNumberFormat="1" applyFont="1"/>
    <xf numFmtId="10" fontId="18" fillId="0" borderId="0" xfId="0" applyNumberFormat="1" applyFont="1" applyAlignment="1">
      <alignment horizontal="center"/>
    </xf>
    <xf numFmtId="10" fontId="2" fillId="0" borderId="0" xfId="0" quotePrefix="1" applyNumberFormat="1" applyFont="1" applyAlignment="1">
      <alignment horizontal="center"/>
    </xf>
    <xf numFmtId="3" fontId="31" fillId="0" borderId="0" xfId="0" applyNumberFormat="1" applyFont="1"/>
    <xf numFmtId="10" fontId="1" fillId="0" borderId="0" xfId="17" applyNumberFormat="1" applyFont="1" applyFill="1"/>
    <xf numFmtId="10" fontId="1" fillId="0" borderId="3" xfId="17" applyNumberFormat="1" applyFont="1" applyFill="1" applyBorder="1"/>
    <xf numFmtId="3" fontId="1" fillId="0" borderId="0" xfId="16" applyNumberFormat="1"/>
    <xf numFmtId="9" fontId="41" fillId="0" borderId="0" xfId="17" applyFont="1" applyFill="1"/>
    <xf numFmtId="169" fontId="2" fillId="0" borderId="0" xfId="0" applyNumberFormat="1" applyFont="1" applyAlignment="1">
      <alignment horizontal="center"/>
    </xf>
    <xf numFmtId="9" fontId="0" fillId="0" borderId="0" xfId="0" applyNumberFormat="1"/>
    <xf numFmtId="9" fontId="0" fillId="0" borderId="0" xfId="17" applyFont="1"/>
    <xf numFmtId="0" fontId="1" fillId="7" borderId="0" xfId="0" applyFont="1" applyFill="1"/>
    <xf numFmtId="166" fontId="2" fillId="0" borderId="0" xfId="0" applyNumberFormat="1" applyFont="1"/>
    <xf numFmtId="0" fontId="45" fillId="0" borderId="0" xfId="0" applyFont="1"/>
    <xf numFmtId="0" fontId="44" fillId="0" borderId="0" xfId="0" applyFont="1"/>
    <xf numFmtId="0" fontId="46" fillId="0" borderId="0" xfId="0" applyFont="1"/>
    <xf numFmtId="0" fontId="47" fillId="0" borderId="0" xfId="0" applyFont="1"/>
    <xf numFmtId="0" fontId="48" fillId="0" borderId="0" xfId="0" applyFont="1"/>
    <xf numFmtId="9" fontId="44" fillId="0" borderId="0" xfId="17" applyFont="1"/>
    <xf numFmtId="0" fontId="49" fillId="0" borderId="0" xfId="0" applyFont="1"/>
    <xf numFmtId="9" fontId="49" fillId="0" borderId="0" xfId="17" applyFont="1"/>
    <xf numFmtId="166" fontId="49" fillId="0" borderId="0" xfId="0" applyNumberFormat="1" applyFont="1" applyAlignment="1">
      <alignment horizontal="center"/>
    </xf>
    <xf numFmtId="0" fontId="50" fillId="0" borderId="0" xfId="0" applyFont="1"/>
    <xf numFmtId="43" fontId="0" fillId="0" borderId="0" xfId="4" applyFont="1" applyFill="1"/>
    <xf numFmtId="43" fontId="1" fillId="0" borderId="0" xfId="4" applyFont="1" applyFill="1" applyBorder="1"/>
    <xf numFmtId="43" fontId="0" fillId="0" borderId="0" xfId="4" applyFont="1" applyFill="1" applyBorder="1"/>
    <xf numFmtId="173" fontId="0" fillId="0" borderId="0" xfId="0" applyNumberFormat="1"/>
    <xf numFmtId="166" fontId="2" fillId="0" borderId="0" xfId="0" quotePrefix="1" applyNumberFormat="1" applyFont="1" applyAlignment="1">
      <alignment horizontal="center"/>
    </xf>
    <xf numFmtId="166" fontId="2" fillId="0" borderId="0" xfId="0" quotePrefix="1" applyNumberFormat="1" applyFont="1" applyAlignment="1">
      <alignment horizontal="right"/>
    </xf>
    <xf numFmtId="166" fontId="0" fillId="0" borderId="0" xfId="0" applyNumberFormat="1" applyAlignment="1">
      <alignment horizontal="right"/>
    </xf>
    <xf numFmtId="10" fontId="2" fillId="0" borderId="0" xfId="17" quotePrefix="1" applyNumberFormat="1" applyFont="1" applyAlignment="1">
      <alignment wrapText="1"/>
    </xf>
    <xf numFmtId="10" fontId="25" fillId="0" borderId="0" xfId="0" applyNumberFormat="1" applyFont="1"/>
    <xf numFmtId="10" fontId="7" fillId="0" borderId="0" xfId="17" applyNumberFormat="1" applyFont="1"/>
    <xf numFmtId="10" fontId="0" fillId="0" borderId="0" xfId="17" applyNumberFormat="1" applyFont="1" applyFill="1" applyAlignment="1">
      <alignment horizontal="right"/>
    </xf>
    <xf numFmtId="0" fontId="52" fillId="0" borderId="0" xfId="0" applyFont="1" applyAlignment="1">
      <alignment horizontal="left"/>
    </xf>
    <xf numFmtId="184" fontId="0" fillId="0" borderId="0" xfId="0" applyNumberFormat="1"/>
    <xf numFmtId="184" fontId="0" fillId="0" borderId="0" xfId="0" applyNumberFormat="1" applyAlignment="1">
      <alignment horizontal="right"/>
    </xf>
    <xf numFmtId="184" fontId="2" fillId="0" borderId="0" xfId="0" applyNumberFormat="1" applyFont="1" applyAlignment="1">
      <alignment horizontal="center"/>
    </xf>
    <xf numFmtId="184" fontId="0" fillId="0" borderId="0" xfId="0" applyNumberFormat="1" applyAlignment="1">
      <alignment horizontal="center"/>
    </xf>
    <xf numFmtId="10" fontId="0" fillId="0" borderId="1" xfId="0" applyNumberFormat="1" applyBorder="1" applyAlignment="1">
      <alignment horizontal="center"/>
    </xf>
    <xf numFmtId="10" fontId="0" fillId="0" borderId="12" xfId="0" applyNumberFormat="1" applyBorder="1" applyAlignment="1">
      <alignment horizontal="center"/>
    </xf>
    <xf numFmtId="10" fontId="0" fillId="0" borderId="38" xfId="0" applyNumberFormat="1" applyBorder="1" applyAlignment="1">
      <alignment horizontal="center"/>
    </xf>
    <xf numFmtId="10" fontId="2" fillId="0" borderId="0" xfId="17" applyNumberFormat="1" applyFont="1" applyFill="1" applyAlignment="1">
      <alignment horizontal="center"/>
    </xf>
    <xf numFmtId="10" fontId="54" fillId="0" borderId="0" xfId="0" applyNumberFormat="1" applyFont="1"/>
    <xf numFmtId="10" fontId="53" fillId="0" borderId="0" xfId="0" applyNumberFormat="1" applyFont="1"/>
    <xf numFmtId="10" fontId="55" fillId="0" borderId="0" xfId="0" applyNumberFormat="1" applyFont="1"/>
    <xf numFmtId="10" fontId="56" fillId="0" borderId="0" xfId="0" applyNumberFormat="1" applyFont="1"/>
    <xf numFmtId="10" fontId="57" fillId="0" borderId="0" xfId="0" applyNumberFormat="1" applyFont="1"/>
    <xf numFmtId="10" fontId="58" fillId="0" borderId="0" xfId="0" applyNumberFormat="1" applyFont="1"/>
    <xf numFmtId="3" fontId="1" fillId="0" borderId="0" xfId="0" applyNumberFormat="1" applyFont="1" applyAlignment="1">
      <alignment horizontal="right"/>
    </xf>
    <xf numFmtId="165" fontId="2" fillId="0" borderId="0" xfId="0" applyNumberFormat="1" applyFont="1"/>
    <xf numFmtId="165" fontId="2" fillId="0" borderId="0" xfId="0" applyNumberFormat="1" applyFont="1" applyAlignment="1">
      <alignment horizontal="right"/>
    </xf>
    <xf numFmtId="10" fontId="1" fillId="0" borderId="1" xfId="17" applyNumberFormat="1" applyFont="1" applyFill="1" applyBorder="1"/>
    <xf numFmtId="10" fontId="7" fillId="0" borderId="1" xfId="17" applyNumberFormat="1" applyFont="1" applyBorder="1"/>
    <xf numFmtId="172" fontId="49" fillId="0" borderId="0" xfId="0" applyNumberFormat="1" applyFont="1" applyAlignment="1">
      <alignment horizontal="center"/>
    </xf>
    <xf numFmtId="10" fontId="2" fillId="0" borderId="0" xfId="0" quotePrefix="1" applyNumberFormat="1" applyFont="1" applyAlignment="1">
      <alignment horizontal="left"/>
    </xf>
    <xf numFmtId="179" fontId="0" fillId="0" borderId="0" xfId="0" applyNumberFormat="1"/>
    <xf numFmtId="0" fontId="0" fillId="0" borderId="0" xfId="0" applyAlignment="1">
      <alignment wrapText="1"/>
    </xf>
    <xf numFmtId="10" fontId="10" fillId="0" borderId="0" xfId="16" applyNumberFormat="1" applyFont="1" applyAlignment="1">
      <alignment horizontal="center"/>
    </xf>
    <xf numFmtId="10" fontId="2" fillId="0" borderId="0" xfId="16" applyNumberFormat="1" applyFont="1" applyAlignment="1">
      <alignment horizontal="left"/>
    </xf>
    <xf numFmtId="0" fontId="1" fillId="0" borderId="0" xfId="16" applyAlignment="1">
      <alignment horizontal="left"/>
    </xf>
    <xf numFmtId="9" fontId="0" fillId="0" borderId="0" xfId="0" applyNumberFormat="1" applyAlignment="1">
      <alignment horizontal="center"/>
    </xf>
    <xf numFmtId="175" fontId="2" fillId="0" borderId="0" xfId="0" applyNumberFormat="1" applyFont="1" applyAlignment="1">
      <alignment horizontal="center"/>
    </xf>
    <xf numFmtId="9" fontId="2" fillId="0" borderId="0" xfId="0" applyNumberFormat="1" applyFont="1" applyAlignment="1">
      <alignment horizontal="center"/>
    </xf>
    <xf numFmtId="0" fontId="1" fillId="0" borderId="0" xfId="0" applyFont="1" applyAlignment="1">
      <alignment horizontal="left"/>
    </xf>
    <xf numFmtId="1" fontId="0" fillId="0" borderId="0" xfId="0" applyNumberFormat="1" applyAlignment="1">
      <alignment horizontal="right"/>
    </xf>
    <xf numFmtId="175" fontId="2" fillId="0" borderId="0" xfId="0" quotePrefix="1" applyNumberFormat="1" applyFont="1" applyAlignment="1">
      <alignment horizontal="right"/>
    </xf>
    <xf numFmtId="1" fontId="2" fillId="0" borderId="0" xfId="0" quotePrefix="1" applyNumberFormat="1" applyFont="1" applyAlignment="1">
      <alignment horizontal="right"/>
    </xf>
    <xf numFmtId="0" fontId="2" fillId="0" borderId="0" xfId="0" quotePrefix="1" applyFont="1" applyAlignment="1">
      <alignment horizontal="right"/>
    </xf>
    <xf numFmtId="184" fontId="10" fillId="0" borderId="0" xfId="0" applyNumberFormat="1" applyFont="1" applyAlignment="1">
      <alignment horizontal="center"/>
    </xf>
    <xf numFmtId="168" fontId="1" fillId="0" borderId="0" xfId="0" applyNumberFormat="1" applyFont="1" applyAlignment="1">
      <alignment horizontal="center"/>
    </xf>
    <xf numFmtId="0" fontId="1" fillId="0" borderId="0" xfId="0" quotePrefix="1" applyFont="1" applyAlignment="1">
      <alignment horizontal="left"/>
    </xf>
    <xf numFmtId="10" fontId="1" fillId="0" borderId="0" xfId="17" applyNumberFormat="1" applyFont="1"/>
    <xf numFmtId="166" fontId="1" fillId="0" borderId="26" xfId="0" applyNumberFormat="1" applyFont="1" applyBorder="1" applyAlignment="1">
      <alignment horizontal="center"/>
    </xf>
    <xf numFmtId="0" fontId="1" fillId="0" borderId="26" xfId="0" applyFont="1" applyBorder="1"/>
    <xf numFmtId="0" fontId="1" fillId="0" borderId="26" xfId="0" applyFont="1" applyBorder="1" applyAlignment="1">
      <alignment horizontal="center"/>
    </xf>
    <xf numFmtId="168" fontId="1" fillId="0" borderId="26" xfId="0" applyNumberFormat="1" applyFont="1" applyBorder="1" applyAlignment="1">
      <alignment horizontal="center"/>
    </xf>
    <xf numFmtId="166" fontId="1" fillId="0" borderId="0" xfId="0" applyNumberFormat="1" applyFont="1"/>
    <xf numFmtId="165" fontId="1" fillId="0" borderId="0" xfId="0" applyNumberFormat="1" applyFont="1"/>
    <xf numFmtId="0" fontId="1" fillId="0" borderId="0" xfId="0" applyFont="1" applyAlignment="1">
      <alignment horizontal="right"/>
    </xf>
    <xf numFmtId="0" fontId="1" fillId="6" borderId="0" xfId="0" applyFont="1" applyFill="1"/>
    <xf numFmtId="43" fontId="2" fillId="0" borderId="0" xfId="0" applyNumberFormat="1" applyFont="1"/>
    <xf numFmtId="39" fontId="5" fillId="0" borderId="13" xfId="4" applyNumberFormat="1" applyFont="1" applyBorder="1" applyAlignment="1">
      <alignment horizontal="center"/>
    </xf>
    <xf numFmtId="0" fontId="15" fillId="0" borderId="0" xfId="0" applyFont="1"/>
    <xf numFmtId="170" fontId="1" fillId="0" borderId="0" xfId="4" applyNumberFormat="1" applyFont="1" applyBorder="1"/>
    <xf numFmtId="170" fontId="1" fillId="0" borderId="0" xfId="0" applyNumberFormat="1" applyFont="1"/>
    <xf numFmtId="3" fontId="1" fillId="0" borderId="0" xfId="0" applyNumberFormat="1" applyFont="1" applyAlignment="1">
      <alignment horizontal="center"/>
    </xf>
    <xf numFmtId="1" fontId="21" fillId="0" borderId="6" xfId="0" applyNumberFormat="1" applyFont="1" applyBorder="1" applyAlignment="1">
      <alignment horizontal="left"/>
    </xf>
    <xf numFmtId="1" fontId="21" fillId="0" borderId="0" xfId="0" applyNumberFormat="1" applyFont="1" applyAlignment="1">
      <alignment horizontal="left"/>
    </xf>
    <xf numFmtId="1" fontId="30" fillId="0" borderId="18" xfId="0" applyNumberFormat="1" applyFont="1" applyBorder="1"/>
    <xf numFmtId="1" fontId="30" fillId="0" borderId="0" xfId="0" applyNumberFormat="1" applyFont="1"/>
    <xf numFmtId="1" fontId="30" fillId="0" borderId="5" xfId="0" applyNumberFormat="1" applyFont="1" applyBorder="1" applyAlignment="1">
      <alignment horizontal="left"/>
    </xf>
    <xf numFmtId="1" fontId="34" fillId="0" borderId="5" xfId="0" applyNumberFormat="1" applyFont="1" applyBorder="1" applyAlignment="1">
      <alignment horizontal="left"/>
    </xf>
    <xf numFmtId="1" fontId="21" fillId="6" borderId="6" xfId="0" applyNumberFormat="1" applyFont="1" applyFill="1" applyBorder="1" applyAlignment="1">
      <alignment horizontal="left"/>
    </xf>
    <xf numFmtId="173" fontId="1" fillId="0" borderId="0" xfId="0" applyNumberFormat="1" applyFont="1"/>
    <xf numFmtId="174" fontId="1" fillId="0" borderId="0" xfId="0" applyNumberFormat="1" applyFont="1"/>
    <xf numFmtId="43" fontId="1" fillId="0" borderId="0" xfId="4" applyFont="1" applyBorder="1"/>
    <xf numFmtId="166" fontId="5" fillId="0" borderId="0" xfId="0" applyNumberFormat="1" applyFont="1"/>
    <xf numFmtId="10" fontId="1" fillId="0" borderId="0" xfId="17" applyNumberFormat="1" applyFont="1" applyFill="1" applyBorder="1"/>
    <xf numFmtId="0" fontId="55" fillId="0" borderId="0" xfId="0" applyFont="1"/>
    <xf numFmtId="166" fontId="55" fillId="0" borderId="0" xfId="0" applyNumberFormat="1" applyFont="1"/>
    <xf numFmtId="164" fontId="55" fillId="0" borderId="0" xfId="0" applyNumberFormat="1" applyFont="1" applyAlignment="1">
      <alignment horizontal="center"/>
    </xf>
    <xf numFmtId="166" fontId="55" fillId="0" borderId="0" xfId="0" applyNumberFormat="1" applyFont="1" applyAlignment="1">
      <alignment horizontal="center"/>
    </xf>
    <xf numFmtId="166" fontId="22" fillId="0" borderId="0" xfId="0" applyNumberFormat="1" applyFont="1"/>
    <xf numFmtId="164" fontId="22" fillId="0" borderId="0" xfId="0" applyNumberFormat="1" applyFont="1" applyAlignment="1">
      <alignment horizontal="center"/>
    </xf>
    <xf numFmtId="166" fontId="22" fillId="0" borderId="0" xfId="0" applyNumberFormat="1" applyFont="1" applyAlignment="1">
      <alignment horizontal="center"/>
    </xf>
    <xf numFmtId="166" fontId="9" fillId="0" borderId="0" xfId="0" applyNumberFormat="1" applyFont="1" applyAlignment="1">
      <alignment horizontal="center"/>
    </xf>
    <xf numFmtId="164" fontId="9" fillId="0" borderId="0" xfId="0" applyNumberFormat="1" applyFont="1" applyAlignment="1">
      <alignment horizontal="center"/>
    </xf>
    <xf numFmtId="166" fontId="60" fillId="0" borderId="0" xfId="0" applyNumberFormat="1" applyFont="1" applyAlignment="1">
      <alignment horizontal="center"/>
    </xf>
    <xf numFmtId="0" fontId="61" fillId="0" borderId="0" xfId="0" applyFont="1"/>
    <xf numFmtId="0" fontId="62" fillId="0" borderId="0" xfId="0" applyFont="1"/>
    <xf numFmtId="166" fontId="61" fillId="0" borderId="0" xfId="0" applyNumberFormat="1" applyFont="1" applyAlignment="1">
      <alignment horizontal="center"/>
    </xf>
    <xf numFmtId="164" fontId="61" fillId="0" borderId="0" xfId="0" applyNumberFormat="1" applyFont="1" applyAlignment="1">
      <alignment horizontal="center"/>
    </xf>
    <xf numFmtId="164" fontId="55" fillId="0" borderId="0" xfId="0" applyNumberFormat="1" applyFont="1"/>
    <xf numFmtId="167" fontId="55" fillId="0" borderId="0" xfId="0" applyNumberFormat="1" applyFont="1" applyAlignment="1">
      <alignment horizontal="center"/>
    </xf>
    <xf numFmtId="185" fontId="55" fillId="0" borderId="0" xfId="0" applyNumberFormat="1" applyFont="1" applyAlignment="1">
      <alignment horizontal="center"/>
    </xf>
    <xf numFmtId="0" fontId="9" fillId="0" borderId="0" xfId="0" applyFont="1" applyAlignment="1">
      <alignment horizontal="right"/>
    </xf>
    <xf numFmtId="166" fontId="9" fillId="0" borderId="0" xfId="0" applyNumberFormat="1" applyFont="1" applyAlignment="1">
      <alignment horizontal="right"/>
    </xf>
    <xf numFmtId="166" fontId="9" fillId="0" borderId="0" xfId="0" applyNumberFormat="1" applyFont="1"/>
    <xf numFmtId="166" fontId="9" fillId="0" borderId="0" xfId="0" applyNumberFormat="1" applyFont="1" applyAlignment="1">
      <alignment horizontal="left"/>
    </xf>
    <xf numFmtId="167" fontId="9" fillId="0" borderId="0" xfId="0" applyNumberFormat="1" applyFont="1" applyAlignment="1">
      <alignment horizontal="right"/>
    </xf>
    <xf numFmtId="167" fontId="9" fillId="0" borderId="0" xfId="0" applyNumberFormat="1" applyFont="1" applyAlignment="1">
      <alignment horizontal="left"/>
    </xf>
    <xf numFmtId="183" fontId="1" fillId="0" borderId="0" xfId="4" applyNumberFormat="1" applyFont="1" applyFill="1" applyBorder="1" applyAlignment="1">
      <alignment wrapText="1"/>
    </xf>
    <xf numFmtId="0" fontId="1" fillId="0" borderId="0" xfId="16" applyAlignment="1">
      <alignment wrapText="1"/>
    </xf>
    <xf numFmtId="0" fontId="1" fillId="0" borderId="0" xfId="16"/>
    <xf numFmtId="0" fontId="1" fillId="0" borderId="0" xfId="16" applyAlignment="1">
      <alignment horizontal="center"/>
    </xf>
    <xf numFmtId="0" fontId="1" fillId="0" borderId="0" xfId="16" applyAlignment="1">
      <alignment horizontal="right"/>
    </xf>
    <xf numFmtId="0" fontId="38" fillId="0" borderId="0" xfId="16" applyFont="1"/>
    <xf numFmtId="2" fontId="1" fillId="0" borderId="0" xfId="16" applyNumberFormat="1"/>
    <xf numFmtId="165" fontId="1" fillId="0" borderId="0" xfId="16" applyNumberFormat="1"/>
    <xf numFmtId="4" fontId="1" fillId="0" borderId="0" xfId="16" applyNumberFormat="1"/>
    <xf numFmtId="43" fontId="23" fillId="0" borderId="0" xfId="0" applyNumberFormat="1" applyFont="1"/>
    <xf numFmtId="2" fontId="22" fillId="0" borderId="0" xfId="0" applyNumberFormat="1" applyFont="1" applyAlignment="1">
      <alignment horizontal="center"/>
    </xf>
    <xf numFmtId="173" fontId="22" fillId="0" borderId="0" xfId="0" applyNumberFormat="1" applyFont="1" applyAlignment="1">
      <alignment horizontal="center"/>
    </xf>
    <xf numFmtId="183" fontId="1" fillId="0" borderId="0" xfId="4" applyNumberFormat="1" applyFont="1" applyFill="1" applyBorder="1"/>
    <xf numFmtId="164" fontId="0" fillId="0" borderId="0" xfId="0" applyNumberFormat="1" applyAlignment="1">
      <alignment horizontal="center" wrapText="1"/>
    </xf>
    <xf numFmtId="186" fontId="0" fillId="0" borderId="0" xfId="4" applyNumberFormat="1" applyFont="1" applyFill="1" applyAlignment="1">
      <alignment horizontal="center"/>
    </xf>
    <xf numFmtId="0" fontId="0" fillId="0" borderId="0" xfId="0" quotePrefix="1"/>
    <xf numFmtId="10" fontId="7" fillId="0" borderId="0" xfId="0" applyNumberFormat="1" applyFont="1" applyAlignment="1">
      <alignment horizontal="center"/>
    </xf>
    <xf numFmtId="0" fontId="59" fillId="0" borderId="0" xfId="0" applyFont="1" applyAlignment="1">
      <alignment vertical="center"/>
    </xf>
    <xf numFmtId="0" fontId="1" fillId="0" borderId="0" xfId="0" applyFont="1" applyAlignment="1">
      <alignment horizontal="left" wrapText="1"/>
    </xf>
    <xf numFmtId="2" fontId="0" fillId="0" borderId="0" xfId="0" applyNumberFormat="1"/>
    <xf numFmtId="167" fontId="0" fillId="0" borderId="0" xfId="0" applyNumberFormat="1"/>
    <xf numFmtId="2" fontId="0" fillId="0" borderId="0" xfId="0" applyNumberFormat="1" applyAlignment="1">
      <alignment horizontal="right"/>
    </xf>
    <xf numFmtId="1" fontId="1" fillId="0" borderId="0" xfId="0" applyNumberFormat="1" applyFont="1" applyAlignment="1">
      <alignment horizontal="right"/>
    </xf>
    <xf numFmtId="1" fontId="1" fillId="0" borderId="0" xfId="16" applyNumberFormat="1"/>
    <xf numFmtId="10" fontId="0" fillId="0" borderId="0" xfId="0" applyNumberFormat="1" applyAlignment="1">
      <alignment horizontal="right"/>
    </xf>
    <xf numFmtId="10" fontId="2" fillId="0" borderId="0" xfId="0" applyNumberFormat="1" applyFont="1" applyAlignment="1">
      <alignment horizontal="right"/>
    </xf>
    <xf numFmtId="10" fontId="2" fillId="0" borderId="0" xfId="0" applyNumberFormat="1" applyFont="1"/>
    <xf numFmtId="171" fontId="0" fillId="0" borderId="0" xfId="17" applyNumberFormat="1" applyFont="1" applyFill="1"/>
    <xf numFmtId="187" fontId="2" fillId="0" borderId="0" xfId="0" applyNumberFormat="1" applyFont="1" applyAlignment="1">
      <alignment horizontal="right"/>
    </xf>
    <xf numFmtId="1" fontId="0" fillId="10" borderId="0" xfId="0" applyNumberFormat="1" applyFill="1" applyAlignment="1">
      <alignment horizontal="center"/>
    </xf>
    <xf numFmtId="1" fontId="1" fillId="10" borderId="0" xfId="16" applyNumberFormat="1" applyFill="1" applyAlignment="1">
      <alignment horizontal="center"/>
    </xf>
    <xf numFmtId="0" fontId="49" fillId="0" borderId="0" xfId="0" applyFont="1" applyAlignment="1">
      <alignment horizontal="center"/>
    </xf>
    <xf numFmtId="168" fontId="49" fillId="0" borderId="0" xfId="0" applyNumberFormat="1" applyFont="1" applyAlignment="1">
      <alignment horizontal="center"/>
    </xf>
    <xf numFmtId="168" fontId="63" fillId="0" borderId="0" xfId="0" applyNumberFormat="1" applyFont="1" applyAlignment="1">
      <alignment horizontal="center"/>
    </xf>
    <xf numFmtId="9" fontId="49" fillId="0" borderId="0" xfId="17" applyFont="1" applyAlignment="1">
      <alignment wrapText="1"/>
    </xf>
    <xf numFmtId="10" fontId="49" fillId="0" borderId="0" xfId="0" applyNumberFormat="1" applyFont="1" applyAlignment="1">
      <alignment wrapText="1"/>
    </xf>
    <xf numFmtId="166" fontId="1" fillId="0" borderId="0" xfId="4" applyNumberFormat="1" applyFont="1" applyFill="1" applyAlignment="1">
      <alignment horizontal="center"/>
    </xf>
    <xf numFmtId="166" fontId="5" fillId="0" borderId="0" xfId="0" applyNumberFormat="1" applyFont="1" applyAlignment="1">
      <alignment horizontal="center" wrapText="1"/>
    </xf>
    <xf numFmtId="1" fontId="2" fillId="0" borderId="0" xfId="0" applyNumberFormat="1" applyFont="1" applyAlignment="1">
      <alignment horizontal="center"/>
    </xf>
    <xf numFmtId="0" fontId="15" fillId="0" borderId="0" xfId="0" applyFont="1" applyAlignment="1">
      <alignment wrapText="1"/>
    </xf>
    <xf numFmtId="4" fontId="15" fillId="0" borderId="0" xfId="0" applyNumberFormat="1" applyFont="1" applyAlignment="1">
      <alignment horizontal="left" wrapText="1"/>
    </xf>
    <xf numFmtId="10" fontId="4" fillId="0" borderId="35" xfId="0" applyNumberFormat="1" applyFont="1" applyBorder="1" applyAlignment="1">
      <alignment horizontal="center"/>
    </xf>
    <xf numFmtId="10" fontId="4" fillId="0" borderId="36" xfId="0" applyNumberFormat="1" applyFont="1" applyBorder="1" applyAlignment="1">
      <alignment horizontal="center"/>
    </xf>
    <xf numFmtId="10" fontId="4" fillId="0" borderId="37" xfId="0" applyNumberFormat="1" applyFont="1" applyBorder="1" applyAlignment="1">
      <alignment horizontal="center"/>
    </xf>
    <xf numFmtId="0" fontId="9" fillId="0" borderId="35" xfId="0" applyFont="1" applyBorder="1" applyAlignment="1">
      <alignment horizontal="center"/>
    </xf>
    <xf numFmtId="0" fontId="9" fillId="0" borderId="36" xfId="0" applyFont="1" applyBorder="1" applyAlignment="1">
      <alignment horizontal="center"/>
    </xf>
    <xf numFmtId="0" fontId="9" fillId="0" borderId="37" xfId="0" applyFont="1" applyBorder="1" applyAlignment="1">
      <alignment horizontal="center"/>
    </xf>
    <xf numFmtId="0" fontId="1" fillId="0" borderId="0" xfId="0" applyFont="1" applyAlignment="1">
      <alignment horizontal="center" wrapText="1"/>
    </xf>
    <xf numFmtId="0" fontId="0" fillId="0" borderId="0" xfId="0" applyAlignment="1">
      <alignment horizontal="center" wrapText="1"/>
    </xf>
    <xf numFmtId="0" fontId="2" fillId="0" borderId="0" xfId="0" quotePrefix="1" applyFont="1" applyAlignment="1">
      <alignment horizontal="center" wrapText="1"/>
    </xf>
  </cellXfs>
  <cellStyles count="23">
    <cellStyle name="ac" xfId="1" xr:uid="{00000000-0005-0000-0000-000000000000}"/>
    <cellStyle name="assumption" xfId="2" xr:uid="{00000000-0005-0000-0000-000001000000}"/>
    <cellStyle name="assumptions" xfId="3" xr:uid="{00000000-0005-0000-0000-000002000000}"/>
    <cellStyle name="Comma" xfId="4" builtinId="3"/>
    <cellStyle name="Comma0" xfId="5" xr:uid="{00000000-0005-0000-0000-000004000000}"/>
    <cellStyle name="Currency0" xfId="6" xr:uid="{00000000-0005-0000-0000-000005000000}"/>
    <cellStyle name="Date" xfId="7" xr:uid="{00000000-0005-0000-0000-000006000000}"/>
    <cellStyle name="Fixed" xfId="8" xr:uid="{00000000-0005-0000-0000-000007000000}"/>
    <cellStyle name="Given" xfId="9" xr:uid="{00000000-0005-0000-0000-000008000000}"/>
    <cellStyle name="header" xfId="10" xr:uid="{00000000-0005-0000-0000-000009000000}"/>
    <cellStyle name="Milliers [0]_EDYAN" xfId="11" xr:uid="{00000000-0005-0000-0000-00000A000000}"/>
    <cellStyle name="Milliers_EDYAN" xfId="12" xr:uid="{00000000-0005-0000-0000-00000B000000}"/>
    <cellStyle name="Monétaire [0]_EDYAN" xfId="13" xr:uid="{00000000-0005-0000-0000-00000C000000}"/>
    <cellStyle name="Monétaire_EDYAN" xfId="14" xr:uid="{00000000-0005-0000-0000-00000D000000}"/>
    <cellStyle name="Normal" xfId="0" builtinId="0"/>
    <cellStyle name="Normal - Style1" xfId="15" xr:uid="{00000000-0005-0000-0000-00000F000000}"/>
    <cellStyle name="Normal 2" xfId="16" xr:uid="{00000000-0005-0000-0000-000010000000}"/>
    <cellStyle name="Normal 2 2" xfId="21" xr:uid="{D99136F4-7E10-44E1-93F6-AC39E65BDD60}"/>
    <cellStyle name="Normal 4" xfId="20" xr:uid="{B68AB25E-A796-4D7C-8B17-F878A8948F7D}"/>
    <cellStyle name="Percent" xfId="17" builtinId="5"/>
    <cellStyle name="Percent 3" xfId="22" xr:uid="{2A398561-1186-4AB0-9BE1-613904164285}"/>
    <cellStyle name="topline" xfId="18" xr:uid="{00000000-0005-0000-0000-000012000000}"/>
    <cellStyle name="underscore" xfId="19" xr:uid="{00000000-0005-0000-0000-000013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purl.oclc.org/ooxml/officeDocument/relationships/worksheet" Target="worksheets/sheet26.xml"/><Relationship Id="rId21" Type="http://purl.oclc.org/ooxml/officeDocument/relationships/worksheet" Target="worksheets/sheet21.xml"/><Relationship Id="rId42" Type="http://purl.oclc.org/ooxml/officeDocument/relationships/externalLink" Target="externalLinks/externalLink2.xml"/><Relationship Id="rId47" Type="http://purl.oclc.org/ooxml/officeDocument/relationships/externalLink" Target="externalLinks/externalLink7.xml"/><Relationship Id="rId63" Type="http://purl.oclc.org/ooxml/officeDocument/relationships/theme" Target="theme/theme1.xml"/><Relationship Id="rId68" Type="http://purl.oclc.org/ooxml/officeDocument/relationships/customXml" Target="../customXml/item2.xml"/><Relationship Id="rId7" Type="http://purl.oclc.org/ooxml/officeDocument/relationships/worksheet" Target="worksheets/sheet7.xml"/><Relationship Id="rId2" Type="http://purl.oclc.org/ooxml/officeDocument/relationships/worksheet" Target="worksheets/sheet2.xml"/><Relationship Id="rId16" Type="http://purl.oclc.org/ooxml/officeDocument/relationships/worksheet" Target="worksheets/sheet16.xml"/><Relationship Id="rId29" Type="http://purl.oclc.org/ooxml/officeDocument/relationships/worksheet" Target="worksheets/sheet29.xml"/><Relationship Id="rId11" Type="http://purl.oclc.org/ooxml/officeDocument/relationships/worksheet" Target="worksheets/sheet11.xml"/><Relationship Id="rId24" Type="http://purl.oclc.org/ooxml/officeDocument/relationships/worksheet" Target="worksheets/sheet24.xml"/><Relationship Id="rId32" Type="http://purl.oclc.org/ooxml/officeDocument/relationships/worksheet" Target="worksheets/sheet32.xml"/><Relationship Id="rId37" Type="http://purl.oclc.org/ooxml/officeDocument/relationships/worksheet" Target="worksheets/sheet37.xml"/><Relationship Id="rId40" Type="http://purl.oclc.org/ooxml/officeDocument/relationships/worksheet" Target="worksheets/sheet40.xml"/><Relationship Id="rId45" Type="http://purl.oclc.org/ooxml/officeDocument/relationships/externalLink" Target="externalLinks/externalLink5.xml"/><Relationship Id="rId53" Type="http://purl.oclc.org/ooxml/officeDocument/relationships/externalLink" Target="externalLinks/externalLink13.xml"/><Relationship Id="rId58" Type="http://purl.oclc.org/ooxml/officeDocument/relationships/externalLink" Target="externalLinks/externalLink18.xml"/><Relationship Id="rId66" Type="http://purl.oclc.org/ooxml/officeDocument/relationships/calcChain" Target="calcChain.xml"/><Relationship Id="rId5" Type="http://purl.oclc.org/ooxml/officeDocument/relationships/worksheet" Target="worksheets/sheet5.xml"/><Relationship Id="rId61" Type="http://purl.oclc.org/ooxml/officeDocument/relationships/externalLink" Target="externalLinks/externalLink21.xml"/><Relationship Id="rId19" Type="http://purl.oclc.org/ooxml/officeDocument/relationships/worksheet" Target="worksheets/sheet19.xml"/><Relationship Id="rId14" Type="http://purl.oclc.org/ooxml/officeDocument/relationships/worksheet" Target="worksheets/sheet14.xml"/><Relationship Id="rId22" Type="http://purl.oclc.org/ooxml/officeDocument/relationships/worksheet" Target="worksheets/sheet22.xml"/><Relationship Id="rId27" Type="http://purl.oclc.org/ooxml/officeDocument/relationships/worksheet" Target="worksheets/sheet27.xml"/><Relationship Id="rId30" Type="http://purl.oclc.org/ooxml/officeDocument/relationships/worksheet" Target="worksheets/sheet30.xml"/><Relationship Id="rId35" Type="http://purl.oclc.org/ooxml/officeDocument/relationships/worksheet" Target="worksheets/sheet35.xml"/><Relationship Id="rId43" Type="http://purl.oclc.org/ooxml/officeDocument/relationships/externalLink" Target="externalLinks/externalLink3.xml"/><Relationship Id="rId48" Type="http://purl.oclc.org/ooxml/officeDocument/relationships/externalLink" Target="externalLinks/externalLink8.xml"/><Relationship Id="rId56" Type="http://purl.oclc.org/ooxml/officeDocument/relationships/externalLink" Target="externalLinks/externalLink16.xml"/><Relationship Id="rId64" Type="http://purl.oclc.org/ooxml/officeDocument/relationships/styles" Target="styles.xml"/><Relationship Id="rId69" Type="http://purl.oclc.org/ooxml/officeDocument/relationships/customXml" Target="../customXml/item3.xml"/><Relationship Id="rId8" Type="http://purl.oclc.org/ooxml/officeDocument/relationships/worksheet" Target="worksheets/sheet8.xml"/><Relationship Id="rId51" Type="http://purl.oclc.org/ooxml/officeDocument/relationships/externalLink" Target="externalLinks/externalLink11.xml"/><Relationship Id="rId3" Type="http://purl.oclc.org/ooxml/officeDocument/relationships/worksheet" Target="worksheets/sheet3.xml"/><Relationship Id="rId12" Type="http://purl.oclc.org/ooxml/officeDocument/relationships/worksheet" Target="worksheets/sheet12.xml"/><Relationship Id="rId17" Type="http://purl.oclc.org/ooxml/officeDocument/relationships/worksheet" Target="worksheets/sheet17.xml"/><Relationship Id="rId25" Type="http://purl.oclc.org/ooxml/officeDocument/relationships/worksheet" Target="worksheets/sheet25.xml"/><Relationship Id="rId33" Type="http://purl.oclc.org/ooxml/officeDocument/relationships/worksheet" Target="worksheets/sheet33.xml"/><Relationship Id="rId38" Type="http://purl.oclc.org/ooxml/officeDocument/relationships/worksheet" Target="worksheets/sheet38.xml"/><Relationship Id="rId46" Type="http://purl.oclc.org/ooxml/officeDocument/relationships/externalLink" Target="externalLinks/externalLink6.xml"/><Relationship Id="rId59" Type="http://purl.oclc.org/ooxml/officeDocument/relationships/externalLink" Target="externalLinks/externalLink19.xml"/><Relationship Id="rId67" Type="http://purl.oclc.org/ooxml/officeDocument/relationships/customXml" Target="../customXml/item1.xml"/><Relationship Id="rId20" Type="http://purl.oclc.org/ooxml/officeDocument/relationships/worksheet" Target="worksheets/sheet20.xml"/><Relationship Id="rId41" Type="http://purl.oclc.org/ooxml/officeDocument/relationships/externalLink" Target="externalLinks/externalLink1.xml"/><Relationship Id="rId54" Type="http://purl.oclc.org/ooxml/officeDocument/relationships/externalLink" Target="externalLinks/externalLink14.xml"/><Relationship Id="rId62" Type="http://purl.oclc.org/ooxml/officeDocument/relationships/externalLink" Target="externalLinks/externalLink22.xml"/><Relationship Id="rId1" Type="http://purl.oclc.org/ooxml/officeDocument/relationships/worksheet" Target="worksheets/sheet1.xml"/><Relationship Id="rId6" Type="http://purl.oclc.org/ooxml/officeDocument/relationships/worksheet" Target="worksheets/sheet6.xml"/><Relationship Id="rId15" Type="http://purl.oclc.org/ooxml/officeDocument/relationships/worksheet" Target="worksheets/sheet15.xml"/><Relationship Id="rId23" Type="http://purl.oclc.org/ooxml/officeDocument/relationships/worksheet" Target="worksheets/sheet23.xml"/><Relationship Id="rId28" Type="http://purl.oclc.org/ooxml/officeDocument/relationships/worksheet" Target="worksheets/sheet28.xml"/><Relationship Id="rId36" Type="http://purl.oclc.org/ooxml/officeDocument/relationships/worksheet" Target="worksheets/sheet36.xml"/><Relationship Id="rId49" Type="http://purl.oclc.org/ooxml/officeDocument/relationships/externalLink" Target="externalLinks/externalLink9.xml"/><Relationship Id="rId57" Type="http://purl.oclc.org/ooxml/officeDocument/relationships/externalLink" Target="externalLinks/externalLink17.xml"/><Relationship Id="rId10" Type="http://purl.oclc.org/ooxml/officeDocument/relationships/worksheet" Target="worksheets/sheet10.xml"/><Relationship Id="rId31" Type="http://purl.oclc.org/ooxml/officeDocument/relationships/worksheet" Target="worksheets/sheet31.xml"/><Relationship Id="rId44" Type="http://purl.oclc.org/ooxml/officeDocument/relationships/externalLink" Target="externalLinks/externalLink4.xml"/><Relationship Id="rId52" Type="http://purl.oclc.org/ooxml/officeDocument/relationships/externalLink" Target="externalLinks/externalLink12.xml"/><Relationship Id="rId60" Type="http://purl.oclc.org/ooxml/officeDocument/relationships/externalLink" Target="externalLinks/externalLink20.xml"/><Relationship Id="rId65" Type="http://purl.oclc.org/ooxml/officeDocument/relationships/sharedStrings" Target="sharedStrings.xml"/><Relationship Id="rId4" Type="http://purl.oclc.org/ooxml/officeDocument/relationships/worksheet" Target="worksheets/sheet4.xml"/><Relationship Id="rId9" Type="http://purl.oclc.org/ooxml/officeDocument/relationships/worksheet" Target="worksheets/sheet9.xml"/><Relationship Id="rId13" Type="http://purl.oclc.org/ooxml/officeDocument/relationships/worksheet" Target="worksheets/sheet13.xml"/><Relationship Id="rId18" Type="http://purl.oclc.org/ooxml/officeDocument/relationships/worksheet" Target="worksheets/sheet18.xml"/><Relationship Id="rId39" Type="http://purl.oclc.org/ooxml/officeDocument/relationships/worksheet" Target="worksheets/sheet39.xml"/><Relationship Id="rId34" Type="http://purl.oclc.org/ooxml/officeDocument/relationships/worksheet" Target="worksheets/sheet34.xml"/><Relationship Id="rId50" Type="http://purl.oclc.org/ooxml/officeDocument/relationships/externalLink" Target="externalLinks/externalLink10.xml"/><Relationship Id="rId55" Type="http://purl.oclc.org/ooxml/officeDocument/relationships/externalLink" Target="externalLinks/externalLink15.xml"/></Relationships>
</file>

<file path=xl/drawings/drawing1.xml><?xml version="1.0" encoding="utf-8"?>
<xdr:wsDr xmlns:xdr="http://purl.oclc.org/ooxml/drawingml/spreadsheetDrawing" xmlns:a="http://purl.oclc.org/ooxml/drawingml/main">
  <xdr:twoCellAnchor>
    <xdr:from>
      <xdr:col>6</xdr:col>
      <xdr:colOff>0</xdr:colOff>
      <xdr:row>30</xdr:row>
      <xdr:rowOff>0</xdr:rowOff>
    </xdr:from>
    <xdr:to>
      <xdr:col>6</xdr:col>
      <xdr:colOff>0</xdr:colOff>
      <xdr:row>30</xdr:row>
      <xdr:rowOff>0</xdr:rowOff>
    </xdr:to>
    <xdr:sp macro="" textlink="">
      <xdr:nvSpPr>
        <xdr:cNvPr id="2176" name="Line 1">
          <a:extLst>
            <a:ext uri="{FF2B5EF4-FFF2-40B4-BE49-F238E27FC236}">
              <a16:creationId xmlns:a16="http://schemas.microsoft.com/office/drawing/2014/main" id="{00000000-0008-0000-0900-000080080000}"/>
            </a:ext>
          </a:extLst>
        </xdr:cNvPr>
        <xdr:cNvSpPr>
          <a:spLocks noChangeShapeType="1"/>
        </xdr:cNvSpPr>
      </xdr:nvSpPr>
      <xdr:spPr bwMode="auto">
        <a:xfrm>
          <a:off x="4389120" y="56921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31</xdr:row>
      <xdr:rowOff>0</xdr:rowOff>
    </xdr:from>
    <xdr:to>
      <xdr:col>6</xdr:col>
      <xdr:colOff>0</xdr:colOff>
      <xdr:row>31</xdr:row>
      <xdr:rowOff>0</xdr:rowOff>
    </xdr:to>
    <xdr:sp macro="" textlink="">
      <xdr:nvSpPr>
        <xdr:cNvPr id="2177" name="Line 2">
          <a:extLst>
            <a:ext uri="{FF2B5EF4-FFF2-40B4-BE49-F238E27FC236}">
              <a16:creationId xmlns:a16="http://schemas.microsoft.com/office/drawing/2014/main" id="{00000000-0008-0000-0900-000081080000}"/>
            </a:ext>
          </a:extLst>
        </xdr:cNvPr>
        <xdr:cNvSpPr>
          <a:spLocks noChangeShapeType="1"/>
        </xdr:cNvSpPr>
      </xdr:nvSpPr>
      <xdr:spPr bwMode="auto">
        <a:xfrm>
          <a:off x="4389120" y="58597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23</xdr:row>
      <xdr:rowOff>0</xdr:rowOff>
    </xdr:from>
    <xdr:to>
      <xdr:col>6</xdr:col>
      <xdr:colOff>0</xdr:colOff>
      <xdr:row>23</xdr:row>
      <xdr:rowOff>0</xdr:rowOff>
    </xdr:to>
    <xdr:sp macro="" textlink="">
      <xdr:nvSpPr>
        <xdr:cNvPr id="2178" name="Line 3">
          <a:extLst>
            <a:ext uri="{FF2B5EF4-FFF2-40B4-BE49-F238E27FC236}">
              <a16:creationId xmlns:a16="http://schemas.microsoft.com/office/drawing/2014/main" id="{00000000-0008-0000-0900-000082080000}"/>
            </a:ext>
          </a:extLst>
        </xdr:cNvPr>
        <xdr:cNvSpPr>
          <a:spLocks noChangeShapeType="1"/>
        </xdr:cNvSpPr>
      </xdr:nvSpPr>
      <xdr:spPr bwMode="auto">
        <a:xfrm>
          <a:off x="4389120" y="45186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23</xdr:row>
      <xdr:rowOff>0</xdr:rowOff>
    </xdr:from>
    <xdr:to>
      <xdr:col>9</xdr:col>
      <xdr:colOff>662940</xdr:colOff>
      <xdr:row>23</xdr:row>
      <xdr:rowOff>0</xdr:rowOff>
    </xdr:to>
    <xdr:sp macro="" textlink="">
      <xdr:nvSpPr>
        <xdr:cNvPr id="2179" name="Line 4">
          <a:extLst>
            <a:ext uri="{FF2B5EF4-FFF2-40B4-BE49-F238E27FC236}">
              <a16:creationId xmlns:a16="http://schemas.microsoft.com/office/drawing/2014/main" id="{00000000-0008-0000-0900-000083080000}"/>
            </a:ext>
          </a:extLst>
        </xdr:cNvPr>
        <xdr:cNvSpPr>
          <a:spLocks noChangeShapeType="1"/>
        </xdr:cNvSpPr>
      </xdr:nvSpPr>
      <xdr:spPr bwMode="auto">
        <a:xfrm>
          <a:off x="6926580" y="451866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30</xdr:row>
      <xdr:rowOff>0</xdr:rowOff>
    </xdr:from>
    <xdr:to>
      <xdr:col>14</xdr:col>
      <xdr:colOff>662940</xdr:colOff>
      <xdr:row>30</xdr:row>
      <xdr:rowOff>0</xdr:rowOff>
    </xdr:to>
    <xdr:sp macro="" textlink="">
      <xdr:nvSpPr>
        <xdr:cNvPr id="2180" name="Line 5">
          <a:extLst>
            <a:ext uri="{FF2B5EF4-FFF2-40B4-BE49-F238E27FC236}">
              <a16:creationId xmlns:a16="http://schemas.microsoft.com/office/drawing/2014/main" id="{00000000-0008-0000-0900-000084080000}"/>
            </a:ext>
          </a:extLst>
        </xdr:cNvPr>
        <xdr:cNvSpPr>
          <a:spLocks noChangeShapeType="1"/>
        </xdr:cNvSpPr>
      </xdr:nvSpPr>
      <xdr:spPr bwMode="auto">
        <a:xfrm>
          <a:off x="10584180" y="569214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31</xdr:row>
      <xdr:rowOff>0</xdr:rowOff>
    </xdr:from>
    <xdr:to>
      <xdr:col>14</xdr:col>
      <xdr:colOff>662940</xdr:colOff>
      <xdr:row>31</xdr:row>
      <xdr:rowOff>0</xdr:rowOff>
    </xdr:to>
    <xdr:sp macro="" textlink="">
      <xdr:nvSpPr>
        <xdr:cNvPr id="2181" name="Line 6">
          <a:extLst>
            <a:ext uri="{FF2B5EF4-FFF2-40B4-BE49-F238E27FC236}">
              <a16:creationId xmlns:a16="http://schemas.microsoft.com/office/drawing/2014/main" id="{00000000-0008-0000-0900-000085080000}"/>
            </a:ext>
          </a:extLst>
        </xdr:cNvPr>
        <xdr:cNvSpPr>
          <a:spLocks noChangeShapeType="1"/>
        </xdr:cNvSpPr>
      </xdr:nvSpPr>
      <xdr:spPr bwMode="auto">
        <a:xfrm>
          <a:off x="10584180" y="585978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32</xdr:row>
      <xdr:rowOff>0</xdr:rowOff>
    </xdr:from>
    <xdr:to>
      <xdr:col>6</xdr:col>
      <xdr:colOff>0</xdr:colOff>
      <xdr:row>32</xdr:row>
      <xdr:rowOff>0</xdr:rowOff>
    </xdr:to>
    <xdr:sp macro="" textlink="">
      <xdr:nvSpPr>
        <xdr:cNvPr id="2182" name="Line 7">
          <a:extLst>
            <a:ext uri="{FF2B5EF4-FFF2-40B4-BE49-F238E27FC236}">
              <a16:creationId xmlns:a16="http://schemas.microsoft.com/office/drawing/2014/main" id="{00000000-0008-0000-0900-000086080000}"/>
            </a:ext>
          </a:extLst>
        </xdr:cNvPr>
        <xdr:cNvSpPr>
          <a:spLocks noChangeShapeType="1"/>
        </xdr:cNvSpPr>
      </xdr:nvSpPr>
      <xdr:spPr bwMode="auto">
        <a:xfrm>
          <a:off x="4389120" y="60274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33</xdr:row>
      <xdr:rowOff>0</xdr:rowOff>
    </xdr:from>
    <xdr:to>
      <xdr:col>6</xdr:col>
      <xdr:colOff>0</xdr:colOff>
      <xdr:row>33</xdr:row>
      <xdr:rowOff>0</xdr:rowOff>
    </xdr:to>
    <xdr:sp macro="" textlink="">
      <xdr:nvSpPr>
        <xdr:cNvPr id="2183" name="Line 8">
          <a:extLst>
            <a:ext uri="{FF2B5EF4-FFF2-40B4-BE49-F238E27FC236}">
              <a16:creationId xmlns:a16="http://schemas.microsoft.com/office/drawing/2014/main" id="{00000000-0008-0000-0900-000087080000}"/>
            </a:ext>
          </a:extLst>
        </xdr:cNvPr>
        <xdr:cNvSpPr>
          <a:spLocks noChangeShapeType="1"/>
        </xdr:cNvSpPr>
      </xdr:nvSpPr>
      <xdr:spPr bwMode="auto">
        <a:xfrm>
          <a:off x="4389120" y="61950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34</xdr:row>
      <xdr:rowOff>0</xdr:rowOff>
    </xdr:from>
    <xdr:to>
      <xdr:col>6</xdr:col>
      <xdr:colOff>0</xdr:colOff>
      <xdr:row>34</xdr:row>
      <xdr:rowOff>0</xdr:rowOff>
    </xdr:to>
    <xdr:sp macro="" textlink="">
      <xdr:nvSpPr>
        <xdr:cNvPr id="2184" name="Line 9">
          <a:extLst>
            <a:ext uri="{FF2B5EF4-FFF2-40B4-BE49-F238E27FC236}">
              <a16:creationId xmlns:a16="http://schemas.microsoft.com/office/drawing/2014/main" id="{00000000-0008-0000-0900-000088080000}"/>
            </a:ext>
          </a:extLst>
        </xdr:cNvPr>
        <xdr:cNvSpPr>
          <a:spLocks noChangeShapeType="1"/>
        </xdr:cNvSpPr>
      </xdr:nvSpPr>
      <xdr:spPr bwMode="auto">
        <a:xfrm>
          <a:off x="4389120" y="6362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32</xdr:row>
      <xdr:rowOff>0</xdr:rowOff>
    </xdr:from>
    <xdr:to>
      <xdr:col>10</xdr:col>
      <xdr:colOff>0</xdr:colOff>
      <xdr:row>32</xdr:row>
      <xdr:rowOff>0</xdr:rowOff>
    </xdr:to>
    <xdr:sp macro="" textlink="">
      <xdr:nvSpPr>
        <xdr:cNvPr id="2185" name="Line 10">
          <a:extLst>
            <a:ext uri="{FF2B5EF4-FFF2-40B4-BE49-F238E27FC236}">
              <a16:creationId xmlns:a16="http://schemas.microsoft.com/office/drawing/2014/main" id="{00000000-0008-0000-0900-000089080000}"/>
            </a:ext>
          </a:extLst>
        </xdr:cNvPr>
        <xdr:cNvSpPr>
          <a:spLocks noChangeShapeType="1"/>
        </xdr:cNvSpPr>
      </xdr:nvSpPr>
      <xdr:spPr bwMode="auto">
        <a:xfrm>
          <a:off x="6926580" y="6027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33</xdr:row>
      <xdr:rowOff>0</xdr:rowOff>
    </xdr:from>
    <xdr:to>
      <xdr:col>10</xdr:col>
      <xdr:colOff>0</xdr:colOff>
      <xdr:row>33</xdr:row>
      <xdr:rowOff>0</xdr:rowOff>
    </xdr:to>
    <xdr:sp macro="" textlink="">
      <xdr:nvSpPr>
        <xdr:cNvPr id="2186" name="Line 11">
          <a:extLst>
            <a:ext uri="{FF2B5EF4-FFF2-40B4-BE49-F238E27FC236}">
              <a16:creationId xmlns:a16="http://schemas.microsoft.com/office/drawing/2014/main" id="{00000000-0008-0000-0900-00008A080000}"/>
            </a:ext>
          </a:extLst>
        </xdr:cNvPr>
        <xdr:cNvSpPr>
          <a:spLocks noChangeShapeType="1"/>
        </xdr:cNvSpPr>
      </xdr:nvSpPr>
      <xdr:spPr bwMode="auto">
        <a:xfrm>
          <a:off x="6926580" y="61950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34</xdr:row>
      <xdr:rowOff>0</xdr:rowOff>
    </xdr:from>
    <xdr:to>
      <xdr:col>10</xdr:col>
      <xdr:colOff>0</xdr:colOff>
      <xdr:row>34</xdr:row>
      <xdr:rowOff>0</xdr:rowOff>
    </xdr:to>
    <xdr:sp macro="" textlink="">
      <xdr:nvSpPr>
        <xdr:cNvPr id="2187" name="Line 12">
          <a:extLst>
            <a:ext uri="{FF2B5EF4-FFF2-40B4-BE49-F238E27FC236}">
              <a16:creationId xmlns:a16="http://schemas.microsoft.com/office/drawing/2014/main" id="{00000000-0008-0000-0900-00008B080000}"/>
            </a:ext>
          </a:extLst>
        </xdr:cNvPr>
        <xdr:cNvSpPr>
          <a:spLocks noChangeShapeType="1"/>
        </xdr:cNvSpPr>
      </xdr:nvSpPr>
      <xdr:spPr bwMode="auto">
        <a:xfrm>
          <a:off x="6926580" y="6362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32</xdr:row>
      <xdr:rowOff>0</xdr:rowOff>
    </xdr:from>
    <xdr:to>
      <xdr:col>15</xdr:col>
      <xdr:colOff>0</xdr:colOff>
      <xdr:row>32</xdr:row>
      <xdr:rowOff>0</xdr:rowOff>
    </xdr:to>
    <xdr:sp macro="" textlink="">
      <xdr:nvSpPr>
        <xdr:cNvPr id="2188" name="Line 13">
          <a:extLst>
            <a:ext uri="{FF2B5EF4-FFF2-40B4-BE49-F238E27FC236}">
              <a16:creationId xmlns:a16="http://schemas.microsoft.com/office/drawing/2014/main" id="{00000000-0008-0000-0900-00008C080000}"/>
            </a:ext>
          </a:extLst>
        </xdr:cNvPr>
        <xdr:cNvSpPr>
          <a:spLocks noChangeShapeType="1"/>
        </xdr:cNvSpPr>
      </xdr:nvSpPr>
      <xdr:spPr bwMode="auto">
        <a:xfrm>
          <a:off x="10584180" y="6027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33</xdr:row>
      <xdr:rowOff>0</xdr:rowOff>
    </xdr:from>
    <xdr:to>
      <xdr:col>15</xdr:col>
      <xdr:colOff>0</xdr:colOff>
      <xdr:row>33</xdr:row>
      <xdr:rowOff>0</xdr:rowOff>
    </xdr:to>
    <xdr:sp macro="" textlink="">
      <xdr:nvSpPr>
        <xdr:cNvPr id="2189" name="Line 14">
          <a:extLst>
            <a:ext uri="{FF2B5EF4-FFF2-40B4-BE49-F238E27FC236}">
              <a16:creationId xmlns:a16="http://schemas.microsoft.com/office/drawing/2014/main" id="{00000000-0008-0000-0900-00008D080000}"/>
            </a:ext>
          </a:extLst>
        </xdr:cNvPr>
        <xdr:cNvSpPr>
          <a:spLocks noChangeShapeType="1"/>
        </xdr:cNvSpPr>
      </xdr:nvSpPr>
      <xdr:spPr bwMode="auto">
        <a:xfrm>
          <a:off x="10584180" y="61950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34</xdr:row>
      <xdr:rowOff>0</xdr:rowOff>
    </xdr:from>
    <xdr:to>
      <xdr:col>15</xdr:col>
      <xdr:colOff>0</xdr:colOff>
      <xdr:row>34</xdr:row>
      <xdr:rowOff>0</xdr:rowOff>
    </xdr:to>
    <xdr:sp macro="" textlink="">
      <xdr:nvSpPr>
        <xdr:cNvPr id="2190" name="Line 15">
          <a:extLst>
            <a:ext uri="{FF2B5EF4-FFF2-40B4-BE49-F238E27FC236}">
              <a16:creationId xmlns:a16="http://schemas.microsoft.com/office/drawing/2014/main" id="{00000000-0008-0000-0900-00008E080000}"/>
            </a:ext>
          </a:extLst>
        </xdr:cNvPr>
        <xdr:cNvSpPr>
          <a:spLocks noChangeShapeType="1"/>
        </xdr:cNvSpPr>
      </xdr:nvSpPr>
      <xdr:spPr bwMode="auto">
        <a:xfrm>
          <a:off x="10584180" y="6362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43</xdr:row>
      <xdr:rowOff>0</xdr:rowOff>
    </xdr:from>
    <xdr:to>
      <xdr:col>14</xdr:col>
      <xdr:colOff>640080</xdr:colOff>
      <xdr:row>43</xdr:row>
      <xdr:rowOff>0</xdr:rowOff>
    </xdr:to>
    <xdr:sp macro="" textlink="">
      <xdr:nvSpPr>
        <xdr:cNvPr id="2191" name="Line 16">
          <a:extLst>
            <a:ext uri="{FF2B5EF4-FFF2-40B4-BE49-F238E27FC236}">
              <a16:creationId xmlns:a16="http://schemas.microsoft.com/office/drawing/2014/main" id="{00000000-0008-0000-0900-00008F080000}"/>
            </a:ext>
          </a:extLst>
        </xdr:cNvPr>
        <xdr:cNvSpPr>
          <a:spLocks noChangeShapeType="1"/>
        </xdr:cNvSpPr>
      </xdr:nvSpPr>
      <xdr:spPr bwMode="auto">
        <a:xfrm>
          <a:off x="10584180" y="787146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23</xdr:row>
      <xdr:rowOff>0</xdr:rowOff>
    </xdr:from>
    <xdr:to>
      <xdr:col>4</xdr:col>
      <xdr:colOff>7620</xdr:colOff>
      <xdr:row>23</xdr:row>
      <xdr:rowOff>0</xdr:rowOff>
    </xdr:to>
    <xdr:sp macro="" textlink="">
      <xdr:nvSpPr>
        <xdr:cNvPr id="2192" name="Line 17">
          <a:extLst>
            <a:ext uri="{FF2B5EF4-FFF2-40B4-BE49-F238E27FC236}">
              <a16:creationId xmlns:a16="http://schemas.microsoft.com/office/drawing/2014/main" id="{00000000-0008-0000-0900-000090080000}"/>
            </a:ext>
          </a:extLst>
        </xdr:cNvPr>
        <xdr:cNvSpPr>
          <a:spLocks noChangeShapeType="1"/>
        </xdr:cNvSpPr>
      </xdr:nvSpPr>
      <xdr:spPr bwMode="auto">
        <a:xfrm>
          <a:off x="2194560" y="4518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30</xdr:row>
      <xdr:rowOff>0</xdr:rowOff>
    </xdr:from>
    <xdr:to>
      <xdr:col>4</xdr:col>
      <xdr:colOff>7620</xdr:colOff>
      <xdr:row>30</xdr:row>
      <xdr:rowOff>0</xdr:rowOff>
    </xdr:to>
    <xdr:sp macro="" textlink="">
      <xdr:nvSpPr>
        <xdr:cNvPr id="2193" name="Line 18">
          <a:extLst>
            <a:ext uri="{FF2B5EF4-FFF2-40B4-BE49-F238E27FC236}">
              <a16:creationId xmlns:a16="http://schemas.microsoft.com/office/drawing/2014/main" id="{00000000-0008-0000-0900-000091080000}"/>
            </a:ext>
          </a:extLst>
        </xdr:cNvPr>
        <xdr:cNvSpPr>
          <a:spLocks noChangeShapeType="1"/>
        </xdr:cNvSpPr>
      </xdr:nvSpPr>
      <xdr:spPr bwMode="auto">
        <a:xfrm>
          <a:off x="2194560" y="56921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31</xdr:row>
      <xdr:rowOff>0</xdr:rowOff>
    </xdr:from>
    <xdr:to>
      <xdr:col>4</xdr:col>
      <xdr:colOff>7620</xdr:colOff>
      <xdr:row>31</xdr:row>
      <xdr:rowOff>0</xdr:rowOff>
    </xdr:to>
    <xdr:sp macro="" textlink="">
      <xdr:nvSpPr>
        <xdr:cNvPr id="2194" name="Line 19">
          <a:extLst>
            <a:ext uri="{FF2B5EF4-FFF2-40B4-BE49-F238E27FC236}">
              <a16:creationId xmlns:a16="http://schemas.microsoft.com/office/drawing/2014/main" id="{00000000-0008-0000-0900-000092080000}"/>
            </a:ext>
          </a:extLst>
        </xdr:cNvPr>
        <xdr:cNvSpPr>
          <a:spLocks noChangeShapeType="1"/>
        </xdr:cNvSpPr>
      </xdr:nvSpPr>
      <xdr:spPr bwMode="auto">
        <a:xfrm>
          <a:off x="2194560" y="58597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32</xdr:row>
      <xdr:rowOff>0</xdr:rowOff>
    </xdr:from>
    <xdr:to>
      <xdr:col>4</xdr:col>
      <xdr:colOff>7620</xdr:colOff>
      <xdr:row>32</xdr:row>
      <xdr:rowOff>0</xdr:rowOff>
    </xdr:to>
    <xdr:sp macro="" textlink="">
      <xdr:nvSpPr>
        <xdr:cNvPr id="2195" name="Line 20">
          <a:extLst>
            <a:ext uri="{FF2B5EF4-FFF2-40B4-BE49-F238E27FC236}">
              <a16:creationId xmlns:a16="http://schemas.microsoft.com/office/drawing/2014/main" id="{00000000-0008-0000-0900-000093080000}"/>
            </a:ext>
          </a:extLst>
        </xdr:cNvPr>
        <xdr:cNvSpPr>
          <a:spLocks noChangeShapeType="1"/>
        </xdr:cNvSpPr>
      </xdr:nvSpPr>
      <xdr:spPr bwMode="auto">
        <a:xfrm>
          <a:off x="2194560" y="6027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33</xdr:row>
      <xdr:rowOff>0</xdr:rowOff>
    </xdr:from>
    <xdr:to>
      <xdr:col>4</xdr:col>
      <xdr:colOff>7620</xdr:colOff>
      <xdr:row>33</xdr:row>
      <xdr:rowOff>0</xdr:rowOff>
    </xdr:to>
    <xdr:sp macro="" textlink="">
      <xdr:nvSpPr>
        <xdr:cNvPr id="2196" name="Line 21">
          <a:extLst>
            <a:ext uri="{FF2B5EF4-FFF2-40B4-BE49-F238E27FC236}">
              <a16:creationId xmlns:a16="http://schemas.microsoft.com/office/drawing/2014/main" id="{00000000-0008-0000-0900-000094080000}"/>
            </a:ext>
          </a:extLst>
        </xdr:cNvPr>
        <xdr:cNvSpPr>
          <a:spLocks noChangeShapeType="1"/>
        </xdr:cNvSpPr>
      </xdr:nvSpPr>
      <xdr:spPr bwMode="auto">
        <a:xfrm>
          <a:off x="2194560" y="61950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34</xdr:row>
      <xdr:rowOff>0</xdr:rowOff>
    </xdr:from>
    <xdr:to>
      <xdr:col>4</xdr:col>
      <xdr:colOff>7620</xdr:colOff>
      <xdr:row>34</xdr:row>
      <xdr:rowOff>0</xdr:rowOff>
    </xdr:to>
    <xdr:sp macro="" textlink="">
      <xdr:nvSpPr>
        <xdr:cNvPr id="2197" name="Line 22">
          <a:extLst>
            <a:ext uri="{FF2B5EF4-FFF2-40B4-BE49-F238E27FC236}">
              <a16:creationId xmlns:a16="http://schemas.microsoft.com/office/drawing/2014/main" id="{00000000-0008-0000-0900-000095080000}"/>
            </a:ext>
          </a:extLst>
        </xdr:cNvPr>
        <xdr:cNvSpPr>
          <a:spLocks noChangeShapeType="1"/>
        </xdr:cNvSpPr>
      </xdr:nvSpPr>
      <xdr:spPr bwMode="auto">
        <a:xfrm>
          <a:off x="2194560" y="6362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2198" name="Line 23">
          <a:extLst>
            <a:ext uri="{FF2B5EF4-FFF2-40B4-BE49-F238E27FC236}">
              <a16:creationId xmlns:a16="http://schemas.microsoft.com/office/drawing/2014/main" id="{00000000-0008-0000-0900-000096080000}"/>
            </a:ext>
          </a:extLst>
        </xdr:cNvPr>
        <xdr:cNvSpPr>
          <a:spLocks noChangeShapeType="1"/>
        </xdr:cNvSpPr>
      </xdr:nvSpPr>
      <xdr:spPr bwMode="auto">
        <a:xfrm>
          <a:off x="21945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2199" name="Line 24">
          <a:extLst>
            <a:ext uri="{FF2B5EF4-FFF2-40B4-BE49-F238E27FC236}">
              <a16:creationId xmlns:a16="http://schemas.microsoft.com/office/drawing/2014/main" id="{00000000-0008-0000-0900-000097080000}"/>
            </a:ext>
          </a:extLst>
        </xdr:cNvPr>
        <xdr:cNvSpPr>
          <a:spLocks noChangeShapeType="1"/>
        </xdr:cNvSpPr>
      </xdr:nvSpPr>
      <xdr:spPr bwMode="auto">
        <a:xfrm>
          <a:off x="21945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36</xdr:row>
      <xdr:rowOff>0</xdr:rowOff>
    </xdr:from>
    <xdr:to>
      <xdr:col>10</xdr:col>
      <xdr:colOff>0</xdr:colOff>
      <xdr:row>36</xdr:row>
      <xdr:rowOff>0</xdr:rowOff>
    </xdr:to>
    <xdr:sp macro="" textlink="">
      <xdr:nvSpPr>
        <xdr:cNvPr id="2200" name="Line 25">
          <a:extLst>
            <a:ext uri="{FF2B5EF4-FFF2-40B4-BE49-F238E27FC236}">
              <a16:creationId xmlns:a16="http://schemas.microsoft.com/office/drawing/2014/main" id="{00000000-0008-0000-0900-000098080000}"/>
            </a:ext>
          </a:extLst>
        </xdr:cNvPr>
        <xdr:cNvSpPr>
          <a:spLocks noChangeShapeType="1"/>
        </xdr:cNvSpPr>
      </xdr:nvSpPr>
      <xdr:spPr bwMode="auto">
        <a:xfrm>
          <a:off x="6926580" y="66979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44</xdr:row>
      <xdr:rowOff>0</xdr:rowOff>
    </xdr:from>
    <xdr:to>
      <xdr:col>14</xdr:col>
      <xdr:colOff>640080</xdr:colOff>
      <xdr:row>44</xdr:row>
      <xdr:rowOff>0</xdr:rowOff>
    </xdr:to>
    <xdr:sp macro="" textlink="">
      <xdr:nvSpPr>
        <xdr:cNvPr id="2201" name="Line 26">
          <a:extLst>
            <a:ext uri="{FF2B5EF4-FFF2-40B4-BE49-F238E27FC236}">
              <a16:creationId xmlns:a16="http://schemas.microsoft.com/office/drawing/2014/main" id="{00000000-0008-0000-0900-000099080000}"/>
            </a:ext>
          </a:extLst>
        </xdr:cNvPr>
        <xdr:cNvSpPr>
          <a:spLocks noChangeShapeType="1"/>
        </xdr:cNvSpPr>
      </xdr:nvSpPr>
      <xdr:spPr bwMode="auto">
        <a:xfrm>
          <a:off x="10584180" y="803910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36</xdr:row>
      <xdr:rowOff>0</xdr:rowOff>
    </xdr:from>
    <xdr:to>
      <xdr:col>6</xdr:col>
      <xdr:colOff>0</xdr:colOff>
      <xdr:row>36</xdr:row>
      <xdr:rowOff>0</xdr:rowOff>
    </xdr:to>
    <xdr:sp macro="" textlink="">
      <xdr:nvSpPr>
        <xdr:cNvPr id="2202" name="Line 27">
          <a:extLst>
            <a:ext uri="{FF2B5EF4-FFF2-40B4-BE49-F238E27FC236}">
              <a16:creationId xmlns:a16="http://schemas.microsoft.com/office/drawing/2014/main" id="{00000000-0008-0000-0900-00009A080000}"/>
            </a:ext>
          </a:extLst>
        </xdr:cNvPr>
        <xdr:cNvSpPr>
          <a:spLocks noChangeShapeType="1"/>
        </xdr:cNvSpPr>
      </xdr:nvSpPr>
      <xdr:spPr bwMode="auto">
        <a:xfrm>
          <a:off x="4389120" y="66979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45</xdr:row>
      <xdr:rowOff>0</xdr:rowOff>
    </xdr:from>
    <xdr:to>
      <xdr:col>6</xdr:col>
      <xdr:colOff>0</xdr:colOff>
      <xdr:row>45</xdr:row>
      <xdr:rowOff>0</xdr:rowOff>
    </xdr:to>
    <xdr:sp macro="" textlink="">
      <xdr:nvSpPr>
        <xdr:cNvPr id="2203" name="Line 28">
          <a:extLst>
            <a:ext uri="{FF2B5EF4-FFF2-40B4-BE49-F238E27FC236}">
              <a16:creationId xmlns:a16="http://schemas.microsoft.com/office/drawing/2014/main" id="{00000000-0008-0000-0900-00009B080000}"/>
            </a:ext>
          </a:extLst>
        </xdr:cNvPr>
        <xdr:cNvSpPr>
          <a:spLocks noChangeShapeType="1"/>
        </xdr:cNvSpPr>
      </xdr:nvSpPr>
      <xdr:spPr bwMode="auto">
        <a:xfrm>
          <a:off x="4389120" y="82067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45</xdr:row>
      <xdr:rowOff>0</xdr:rowOff>
    </xdr:from>
    <xdr:to>
      <xdr:col>10</xdr:col>
      <xdr:colOff>0</xdr:colOff>
      <xdr:row>45</xdr:row>
      <xdr:rowOff>0</xdr:rowOff>
    </xdr:to>
    <xdr:sp macro="" textlink="">
      <xdr:nvSpPr>
        <xdr:cNvPr id="2204" name="Line 29">
          <a:extLst>
            <a:ext uri="{FF2B5EF4-FFF2-40B4-BE49-F238E27FC236}">
              <a16:creationId xmlns:a16="http://schemas.microsoft.com/office/drawing/2014/main" id="{00000000-0008-0000-0900-00009C080000}"/>
            </a:ext>
          </a:extLst>
        </xdr:cNvPr>
        <xdr:cNvSpPr>
          <a:spLocks noChangeShapeType="1"/>
        </xdr:cNvSpPr>
      </xdr:nvSpPr>
      <xdr:spPr bwMode="auto">
        <a:xfrm>
          <a:off x="6926580" y="82067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46</xdr:row>
      <xdr:rowOff>0</xdr:rowOff>
    </xdr:from>
    <xdr:to>
      <xdr:col>10</xdr:col>
      <xdr:colOff>0</xdr:colOff>
      <xdr:row>46</xdr:row>
      <xdr:rowOff>0</xdr:rowOff>
    </xdr:to>
    <xdr:sp macro="" textlink="">
      <xdr:nvSpPr>
        <xdr:cNvPr id="2205" name="Line 30">
          <a:extLst>
            <a:ext uri="{FF2B5EF4-FFF2-40B4-BE49-F238E27FC236}">
              <a16:creationId xmlns:a16="http://schemas.microsoft.com/office/drawing/2014/main" id="{00000000-0008-0000-0900-00009D080000}"/>
            </a:ext>
          </a:extLst>
        </xdr:cNvPr>
        <xdr:cNvSpPr>
          <a:spLocks noChangeShapeType="1"/>
        </xdr:cNvSpPr>
      </xdr:nvSpPr>
      <xdr:spPr bwMode="auto">
        <a:xfrm>
          <a:off x="6926580" y="83743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45</xdr:row>
      <xdr:rowOff>0</xdr:rowOff>
    </xdr:from>
    <xdr:to>
      <xdr:col>15</xdr:col>
      <xdr:colOff>0</xdr:colOff>
      <xdr:row>45</xdr:row>
      <xdr:rowOff>0</xdr:rowOff>
    </xdr:to>
    <xdr:sp macro="" textlink="">
      <xdr:nvSpPr>
        <xdr:cNvPr id="2206" name="Line 31">
          <a:extLst>
            <a:ext uri="{FF2B5EF4-FFF2-40B4-BE49-F238E27FC236}">
              <a16:creationId xmlns:a16="http://schemas.microsoft.com/office/drawing/2014/main" id="{00000000-0008-0000-0900-00009E080000}"/>
            </a:ext>
          </a:extLst>
        </xdr:cNvPr>
        <xdr:cNvSpPr>
          <a:spLocks noChangeShapeType="1"/>
        </xdr:cNvSpPr>
      </xdr:nvSpPr>
      <xdr:spPr bwMode="auto">
        <a:xfrm>
          <a:off x="10584180" y="82067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46</xdr:row>
      <xdr:rowOff>0</xdr:rowOff>
    </xdr:from>
    <xdr:to>
      <xdr:col>15</xdr:col>
      <xdr:colOff>0</xdr:colOff>
      <xdr:row>46</xdr:row>
      <xdr:rowOff>0</xdr:rowOff>
    </xdr:to>
    <xdr:sp macro="" textlink="">
      <xdr:nvSpPr>
        <xdr:cNvPr id="2207" name="Line 32">
          <a:extLst>
            <a:ext uri="{FF2B5EF4-FFF2-40B4-BE49-F238E27FC236}">
              <a16:creationId xmlns:a16="http://schemas.microsoft.com/office/drawing/2014/main" id="{00000000-0008-0000-0900-00009F080000}"/>
            </a:ext>
          </a:extLst>
        </xdr:cNvPr>
        <xdr:cNvSpPr>
          <a:spLocks noChangeShapeType="1"/>
        </xdr:cNvSpPr>
      </xdr:nvSpPr>
      <xdr:spPr bwMode="auto">
        <a:xfrm>
          <a:off x="10584180" y="83743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36</xdr:row>
      <xdr:rowOff>0</xdr:rowOff>
    </xdr:from>
    <xdr:to>
      <xdr:col>4</xdr:col>
      <xdr:colOff>7620</xdr:colOff>
      <xdr:row>36</xdr:row>
      <xdr:rowOff>0</xdr:rowOff>
    </xdr:to>
    <xdr:sp macro="" textlink="">
      <xdr:nvSpPr>
        <xdr:cNvPr id="2208" name="Line 33">
          <a:extLst>
            <a:ext uri="{FF2B5EF4-FFF2-40B4-BE49-F238E27FC236}">
              <a16:creationId xmlns:a16="http://schemas.microsoft.com/office/drawing/2014/main" id="{00000000-0008-0000-0900-0000A0080000}"/>
            </a:ext>
          </a:extLst>
        </xdr:cNvPr>
        <xdr:cNvSpPr>
          <a:spLocks noChangeShapeType="1"/>
        </xdr:cNvSpPr>
      </xdr:nvSpPr>
      <xdr:spPr bwMode="auto">
        <a:xfrm>
          <a:off x="2194560" y="669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2209" name="Line 34">
          <a:extLst>
            <a:ext uri="{FF2B5EF4-FFF2-40B4-BE49-F238E27FC236}">
              <a16:creationId xmlns:a16="http://schemas.microsoft.com/office/drawing/2014/main" id="{00000000-0008-0000-0900-0000A1080000}"/>
            </a:ext>
          </a:extLst>
        </xdr:cNvPr>
        <xdr:cNvSpPr>
          <a:spLocks noChangeShapeType="1"/>
        </xdr:cNvSpPr>
      </xdr:nvSpPr>
      <xdr:spPr bwMode="auto">
        <a:xfrm>
          <a:off x="21945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2210" name="Line 35">
          <a:extLst>
            <a:ext uri="{FF2B5EF4-FFF2-40B4-BE49-F238E27FC236}">
              <a16:creationId xmlns:a16="http://schemas.microsoft.com/office/drawing/2014/main" id="{00000000-0008-0000-0900-0000A2080000}"/>
            </a:ext>
          </a:extLst>
        </xdr:cNvPr>
        <xdr:cNvSpPr>
          <a:spLocks noChangeShapeType="1"/>
        </xdr:cNvSpPr>
      </xdr:nvSpPr>
      <xdr:spPr bwMode="auto">
        <a:xfrm>
          <a:off x="21945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44</xdr:row>
      <xdr:rowOff>0</xdr:rowOff>
    </xdr:from>
    <xdr:to>
      <xdr:col>4</xdr:col>
      <xdr:colOff>7620</xdr:colOff>
      <xdr:row>44</xdr:row>
      <xdr:rowOff>0</xdr:rowOff>
    </xdr:to>
    <xdr:sp macro="" textlink="">
      <xdr:nvSpPr>
        <xdr:cNvPr id="2211" name="Line 36">
          <a:extLst>
            <a:ext uri="{FF2B5EF4-FFF2-40B4-BE49-F238E27FC236}">
              <a16:creationId xmlns:a16="http://schemas.microsoft.com/office/drawing/2014/main" id="{00000000-0008-0000-0900-0000A3080000}"/>
            </a:ext>
          </a:extLst>
        </xdr:cNvPr>
        <xdr:cNvSpPr>
          <a:spLocks noChangeShapeType="1"/>
        </xdr:cNvSpPr>
      </xdr:nvSpPr>
      <xdr:spPr bwMode="auto">
        <a:xfrm>
          <a:off x="2194560" y="80391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45</xdr:row>
      <xdr:rowOff>0</xdr:rowOff>
    </xdr:from>
    <xdr:to>
      <xdr:col>4</xdr:col>
      <xdr:colOff>7620</xdr:colOff>
      <xdr:row>45</xdr:row>
      <xdr:rowOff>0</xdr:rowOff>
    </xdr:to>
    <xdr:sp macro="" textlink="">
      <xdr:nvSpPr>
        <xdr:cNvPr id="2212" name="Line 37">
          <a:extLst>
            <a:ext uri="{FF2B5EF4-FFF2-40B4-BE49-F238E27FC236}">
              <a16:creationId xmlns:a16="http://schemas.microsoft.com/office/drawing/2014/main" id="{00000000-0008-0000-0900-0000A4080000}"/>
            </a:ext>
          </a:extLst>
        </xdr:cNvPr>
        <xdr:cNvSpPr>
          <a:spLocks noChangeShapeType="1"/>
        </xdr:cNvSpPr>
      </xdr:nvSpPr>
      <xdr:spPr bwMode="auto">
        <a:xfrm>
          <a:off x="2194560" y="82067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46</xdr:row>
      <xdr:rowOff>0</xdr:rowOff>
    </xdr:from>
    <xdr:to>
      <xdr:col>4</xdr:col>
      <xdr:colOff>7620</xdr:colOff>
      <xdr:row>46</xdr:row>
      <xdr:rowOff>0</xdr:rowOff>
    </xdr:to>
    <xdr:sp macro="" textlink="">
      <xdr:nvSpPr>
        <xdr:cNvPr id="2213" name="Line 38">
          <a:extLst>
            <a:ext uri="{FF2B5EF4-FFF2-40B4-BE49-F238E27FC236}">
              <a16:creationId xmlns:a16="http://schemas.microsoft.com/office/drawing/2014/main" id="{00000000-0008-0000-0900-0000A5080000}"/>
            </a:ext>
          </a:extLst>
        </xdr:cNvPr>
        <xdr:cNvSpPr>
          <a:spLocks noChangeShapeType="1"/>
        </xdr:cNvSpPr>
      </xdr:nvSpPr>
      <xdr:spPr bwMode="auto">
        <a:xfrm>
          <a:off x="2194560" y="83743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46</xdr:row>
      <xdr:rowOff>0</xdr:rowOff>
    </xdr:from>
    <xdr:to>
      <xdr:col>6</xdr:col>
      <xdr:colOff>0</xdr:colOff>
      <xdr:row>46</xdr:row>
      <xdr:rowOff>0</xdr:rowOff>
    </xdr:to>
    <xdr:sp macro="" textlink="">
      <xdr:nvSpPr>
        <xdr:cNvPr id="2214" name="Line 39">
          <a:extLst>
            <a:ext uri="{FF2B5EF4-FFF2-40B4-BE49-F238E27FC236}">
              <a16:creationId xmlns:a16="http://schemas.microsoft.com/office/drawing/2014/main" id="{00000000-0008-0000-0900-0000A6080000}"/>
            </a:ext>
          </a:extLst>
        </xdr:cNvPr>
        <xdr:cNvSpPr>
          <a:spLocks noChangeShapeType="1"/>
        </xdr:cNvSpPr>
      </xdr:nvSpPr>
      <xdr:spPr bwMode="auto">
        <a:xfrm>
          <a:off x="4389120" y="83743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58</xdr:row>
      <xdr:rowOff>0</xdr:rowOff>
    </xdr:from>
    <xdr:to>
      <xdr:col>14</xdr:col>
      <xdr:colOff>640080</xdr:colOff>
      <xdr:row>58</xdr:row>
      <xdr:rowOff>0</xdr:rowOff>
    </xdr:to>
    <xdr:sp macro="" textlink="">
      <xdr:nvSpPr>
        <xdr:cNvPr id="2215" name="Line 40">
          <a:extLst>
            <a:ext uri="{FF2B5EF4-FFF2-40B4-BE49-F238E27FC236}">
              <a16:creationId xmlns:a16="http://schemas.microsoft.com/office/drawing/2014/main" id="{00000000-0008-0000-0900-0000A7080000}"/>
            </a:ext>
          </a:extLst>
        </xdr:cNvPr>
        <xdr:cNvSpPr>
          <a:spLocks noChangeShapeType="1"/>
        </xdr:cNvSpPr>
      </xdr:nvSpPr>
      <xdr:spPr bwMode="auto">
        <a:xfrm>
          <a:off x="10584180" y="1050798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2216" name="Line 41">
          <a:extLst>
            <a:ext uri="{FF2B5EF4-FFF2-40B4-BE49-F238E27FC236}">
              <a16:creationId xmlns:a16="http://schemas.microsoft.com/office/drawing/2014/main" id="{00000000-0008-0000-0900-0000A808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2217" name="Line 42">
          <a:extLst>
            <a:ext uri="{FF2B5EF4-FFF2-40B4-BE49-F238E27FC236}">
              <a16:creationId xmlns:a16="http://schemas.microsoft.com/office/drawing/2014/main" id="{00000000-0008-0000-0900-0000A908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51</xdr:row>
      <xdr:rowOff>0</xdr:rowOff>
    </xdr:from>
    <xdr:to>
      <xdr:col>10</xdr:col>
      <xdr:colOff>0</xdr:colOff>
      <xdr:row>51</xdr:row>
      <xdr:rowOff>0</xdr:rowOff>
    </xdr:to>
    <xdr:sp macro="" textlink="">
      <xdr:nvSpPr>
        <xdr:cNvPr id="2218" name="Line 43">
          <a:extLst>
            <a:ext uri="{FF2B5EF4-FFF2-40B4-BE49-F238E27FC236}">
              <a16:creationId xmlns:a16="http://schemas.microsoft.com/office/drawing/2014/main" id="{00000000-0008-0000-0900-0000AA080000}"/>
            </a:ext>
          </a:extLst>
        </xdr:cNvPr>
        <xdr:cNvSpPr>
          <a:spLocks noChangeShapeType="1"/>
        </xdr:cNvSpPr>
      </xdr:nvSpPr>
      <xdr:spPr bwMode="auto">
        <a:xfrm>
          <a:off x="6926580" y="93345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59</xdr:row>
      <xdr:rowOff>0</xdr:rowOff>
    </xdr:from>
    <xdr:to>
      <xdr:col>14</xdr:col>
      <xdr:colOff>640080</xdr:colOff>
      <xdr:row>59</xdr:row>
      <xdr:rowOff>0</xdr:rowOff>
    </xdr:to>
    <xdr:sp macro="" textlink="">
      <xdr:nvSpPr>
        <xdr:cNvPr id="2219" name="Line 44">
          <a:extLst>
            <a:ext uri="{FF2B5EF4-FFF2-40B4-BE49-F238E27FC236}">
              <a16:creationId xmlns:a16="http://schemas.microsoft.com/office/drawing/2014/main" id="{00000000-0008-0000-0900-0000AB080000}"/>
            </a:ext>
          </a:extLst>
        </xdr:cNvPr>
        <xdr:cNvSpPr>
          <a:spLocks noChangeShapeType="1"/>
        </xdr:cNvSpPr>
      </xdr:nvSpPr>
      <xdr:spPr bwMode="auto">
        <a:xfrm>
          <a:off x="10584180" y="106756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51</xdr:row>
      <xdr:rowOff>0</xdr:rowOff>
    </xdr:from>
    <xdr:to>
      <xdr:col>6</xdr:col>
      <xdr:colOff>0</xdr:colOff>
      <xdr:row>51</xdr:row>
      <xdr:rowOff>0</xdr:rowOff>
    </xdr:to>
    <xdr:sp macro="" textlink="">
      <xdr:nvSpPr>
        <xdr:cNvPr id="2220" name="Line 45">
          <a:extLst>
            <a:ext uri="{FF2B5EF4-FFF2-40B4-BE49-F238E27FC236}">
              <a16:creationId xmlns:a16="http://schemas.microsoft.com/office/drawing/2014/main" id="{00000000-0008-0000-0900-0000AC080000}"/>
            </a:ext>
          </a:extLst>
        </xdr:cNvPr>
        <xdr:cNvSpPr>
          <a:spLocks noChangeShapeType="1"/>
        </xdr:cNvSpPr>
      </xdr:nvSpPr>
      <xdr:spPr bwMode="auto">
        <a:xfrm>
          <a:off x="4389120" y="9334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60</xdr:row>
      <xdr:rowOff>0</xdr:rowOff>
    </xdr:from>
    <xdr:to>
      <xdr:col>10</xdr:col>
      <xdr:colOff>0</xdr:colOff>
      <xdr:row>60</xdr:row>
      <xdr:rowOff>0</xdr:rowOff>
    </xdr:to>
    <xdr:sp macro="" textlink="">
      <xdr:nvSpPr>
        <xdr:cNvPr id="2221" name="Line 46">
          <a:extLst>
            <a:ext uri="{FF2B5EF4-FFF2-40B4-BE49-F238E27FC236}">
              <a16:creationId xmlns:a16="http://schemas.microsoft.com/office/drawing/2014/main" id="{00000000-0008-0000-0900-0000AD080000}"/>
            </a:ext>
          </a:extLst>
        </xdr:cNvPr>
        <xdr:cNvSpPr>
          <a:spLocks noChangeShapeType="1"/>
        </xdr:cNvSpPr>
      </xdr:nvSpPr>
      <xdr:spPr bwMode="auto">
        <a:xfrm>
          <a:off x="6926580" y="108432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60</xdr:row>
      <xdr:rowOff>0</xdr:rowOff>
    </xdr:from>
    <xdr:to>
      <xdr:col>15</xdr:col>
      <xdr:colOff>0</xdr:colOff>
      <xdr:row>60</xdr:row>
      <xdr:rowOff>0</xdr:rowOff>
    </xdr:to>
    <xdr:sp macro="" textlink="">
      <xdr:nvSpPr>
        <xdr:cNvPr id="2222" name="Line 47">
          <a:extLst>
            <a:ext uri="{FF2B5EF4-FFF2-40B4-BE49-F238E27FC236}">
              <a16:creationId xmlns:a16="http://schemas.microsoft.com/office/drawing/2014/main" id="{00000000-0008-0000-0900-0000AE080000}"/>
            </a:ext>
          </a:extLst>
        </xdr:cNvPr>
        <xdr:cNvSpPr>
          <a:spLocks noChangeShapeType="1"/>
        </xdr:cNvSpPr>
      </xdr:nvSpPr>
      <xdr:spPr bwMode="auto">
        <a:xfrm>
          <a:off x="10584180" y="108432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51</xdr:row>
      <xdr:rowOff>0</xdr:rowOff>
    </xdr:from>
    <xdr:to>
      <xdr:col>4</xdr:col>
      <xdr:colOff>7620</xdr:colOff>
      <xdr:row>51</xdr:row>
      <xdr:rowOff>0</xdr:rowOff>
    </xdr:to>
    <xdr:sp macro="" textlink="">
      <xdr:nvSpPr>
        <xdr:cNvPr id="2223" name="Line 48">
          <a:extLst>
            <a:ext uri="{FF2B5EF4-FFF2-40B4-BE49-F238E27FC236}">
              <a16:creationId xmlns:a16="http://schemas.microsoft.com/office/drawing/2014/main" id="{00000000-0008-0000-0900-0000AF080000}"/>
            </a:ext>
          </a:extLst>
        </xdr:cNvPr>
        <xdr:cNvSpPr>
          <a:spLocks noChangeShapeType="1"/>
        </xdr:cNvSpPr>
      </xdr:nvSpPr>
      <xdr:spPr bwMode="auto">
        <a:xfrm>
          <a:off x="2194560" y="93345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2224" name="Line 49">
          <a:extLst>
            <a:ext uri="{FF2B5EF4-FFF2-40B4-BE49-F238E27FC236}">
              <a16:creationId xmlns:a16="http://schemas.microsoft.com/office/drawing/2014/main" id="{00000000-0008-0000-0900-0000B008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2225" name="Line 50">
          <a:extLst>
            <a:ext uri="{FF2B5EF4-FFF2-40B4-BE49-F238E27FC236}">
              <a16:creationId xmlns:a16="http://schemas.microsoft.com/office/drawing/2014/main" id="{00000000-0008-0000-0900-0000B108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2226" name="Line 51">
          <a:extLst>
            <a:ext uri="{FF2B5EF4-FFF2-40B4-BE49-F238E27FC236}">
              <a16:creationId xmlns:a16="http://schemas.microsoft.com/office/drawing/2014/main" id="{00000000-0008-0000-0900-0000B208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59</xdr:row>
      <xdr:rowOff>0</xdr:rowOff>
    </xdr:from>
    <xdr:to>
      <xdr:col>4</xdr:col>
      <xdr:colOff>7620</xdr:colOff>
      <xdr:row>59</xdr:row>
      <xdr:rowOff>0</xdr:rowOff>
    </xdr:to>
    <xdr:sp macro="" textlink="">
      <xdr:nvSpPr>
        <xdr:cNvPr id="2227" name="Line 52">
          <a:extLst>
            <a:ext uri="{FF2B5EF4-FFF2-40B4-BE49-F238E27FC236}">
              <a16:creationId xmlns:a16="http://schemas.microsoft.com/office/drawing/2014/main" id="{00000000-0008-0000-0900-0000B3080000}"/>
            </a:ext>
          </a:extLst>
        </xdr:cNvPr>
        <xdr:cNvSpPr>
          <a:spLocks noChangeShapeType="1"/>
        </xdr:cNvSpPr>
      </xdr:nvSpPr>
      <xdr:spPr bwMode="auto">
        <a:xfrm>
          <a:off x="2194560" y="106756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60</xdr:row>
      <xdr:rowOff>0</xdr:rowOff>
    </xdr:from>
    <xdr:to>
      <xdr:col>4</xdr:col>
      <xdr:colOff>7620</xdr:colOff>
      <xdr:row>60</xdr:row>
      <xdr:rowOff>0</xdr:rowOff>
    </xdr:to>
    <xdr:sp macro="" textlink="">
      <xdr:nvSpPr>
        <xdr:cNvPr id="2228" name="Line 53">
          <a:extLst>
            <a:ext uri="{FF2B5EF4-FFF2-40B4-BE49-F238E27FC236}">
              <a16:creationId xmlns:a16="http://schemas.microsoft.com/office/drawing/2014/main" id="{00000000-0008-0000-0900-0000B4080000}"/>
            </a:ext>
          </a:extLst>
        </xdr:cNvPr>
        <xdr:cNvSpPr>
          <a:spLocks noChangeShapeType="1"/>
        </xdr:cNvSpPr>
      </xdr:nvSpPr>
      <xdr:spPr bwMode="auto">
        <a:xfrm>
          <a:off x="2194560" y="108432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60</xdr:row>
      <xdr:rowOff>0</xdr:rowOff>
    </xdr:from>
    <xdr:to>
      <xdr:col>6</xdr:col>
      <xdr:colOff>0</xdr:colOff>
      <xdr:row>60</xdr:row>
      <xdr:rowOff>0</xdr:rowOff>
    </xdr:to>
    <xdr:sp macro="" textlink="">
      <xdr:nvSpPr>
        <xdr:cNvPr id="2229" name="Line 54">
          <a:extLst>
            <a:ext uri="{FF2B5EF4-FFF2-40B4-BE49-F238E27FC236}">
              <a16:creationId xmlns:a16="http://schemas.microsoft.com/office/drawing/2014/main" id="{00000000-0008-0000-0900-0000B5080000}"/>
            </a:ext>
          </a:extLst>
        </xdr:cNvPr>
        <xdr:cNvSpPr>
          <a:spLocks noChangeShapeType="1"/>
        </xdr:cNvSpPr>
      </xdr:nvSpPr>
      <xdr:spPr bwMode="auto">
        <a:xfrm>
          <a:off x="4389120" y="108432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29</xdr:row>
      <xdr:rowOff>0</xdr:rowOff>
    </xdr:from>
    <xdr:to>
      <xdr:col>7</xdr:col>
      <xdr:colOff>45720</xdr:colOff>
      <xdr:row>29</xdr:row>
      <xdr:rowOff>0</xdr:rowOff>
    </xdr:to>
    <xdr:sp macro="" textlink="">
      <xdr:nvSpPr>
        <xdr:cNvPr id="2230" name="Line 55">
          <a:extLst>
            <a:ext uri="{FF2B5EF4-FFF2-40B4-BE49-F238E27FC236}">
              <a16:creationId xmlns:a16="http://schemas.microsoft.com/office/drawing/2014/main" id="{00000000-0008-0000-0900-0000B6080000}"/>
            </a:ext>
          </a:extLst>
        </xdr:cNvPr>
        <xdr:cNvSpPr>
          <a:spLocks noChangeShapeType="1"/>
        </xdr:cNvSpPr>
      </xdr:nvSpPr>
      <xdr:spPr bwMode="auto">
        <a:xfrm>
          <a:off x="4389120" y="552450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42</xdr:row>
      <xdr:rowOff>0</xdr:rowOff>
    </xdr:from>
    <xdr:to>
      <xdr:col>7</xdr:col>
      <xdr:colOff>45720</xdr:colOff>
      <xdr:row>42</xdr:row>
      <xdr:rowOff>0</xdr:rowOff>
    </xdr:to>
    <xdr:sp macro="" textlink="">
      <xdr:nvSpPr>
        <xdr:cNvPr id="2231" name="Line 56">
          <a:extLst>
            <a:ext uri="{FF2B5EF4-FFF2-40B4-BE49-F238E27FC236}">
              <a16:creationId xmlns:a16="http://schemas.microsoft.com/office/drawing/2014/main" id="{00000000-0008-0000-0900-0000B7080000}"/>
            </a:ext>
          </a:extLst>
        </xdr:cNvPr>
        <xdr:cNvSpPr>
          <a:spLocks noChangeShapeType="1"/>
        </xdr:cNvSpPr>
      </xdr:nvSpPr>
      <xdr:spPr bwMode="auto">
        <a:xfrm>
          <a:off x="4389120" y="770382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57</xdr:row>
      <xdr:rowOff>0</xdr:rowOff>
    </xdr:from>
    <xdr:to>
      <xdr:col>7</xdr:col>
      <xdr:colOff>45720</xdr:colOff>
      <xdr:row>57</xdr:row>
      <xdr:rowOff>0</xdr:rowOff>
    </xdr:to>
    <xdr:sp macro="" textlink="">
      <xdr:nvSpPr>
        <xdr:cNvPr id="2232" name="Line 57">
          <a:extLst>
            <a:ext uri="{FF2B5EF4-FFF2-40B4-BE49-F238E27FC236}">
              <a16:creationId xmlns:a16="http://schemas.microsoft.com/office/drawing/2014/main" id="{00000000-0008-0000-0900-0000B8080000}"/>
            </a:ext>
          </a:extLst>
        </xdr:cNvPr>
        <xdr:cNvSpPr>
          <a:spLocks noChangeShapeType="1"/>
        </xdr:cNvSpPr>
      </xdr:nvSpPr>
      <xdr:spPr bwMode="auto">
        <a:xfrm>
          <a:off x="4389120" y="1034034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69</xdr:row>
      <xdr:rowOff>0</xdr:rowOff>
    </xdr:from>
    <xdr:to>
      <xdr:col>6</xdr:col>
      <xdr:colOff>0</xdr:colOff>
      <xdr:row>69</xdr:row>
      <xdr:rowOff>0</xdr:rowOff>
    </xdr:to>
    <xdr:sp macro="" textlink="">
      <xdr:nvSpPr>
        <xdr:cNvPr id="2233" name="Line 58">
          <a:extLst>
            <a:ext uri="{FF2B5EF4-FFF2-40B4-BE49-F238E27FC236}">
              <a16:creationId xmlns:a16="http://schemas.microsoft.com/office/drawing/2014/main" id="{00000000-0008-0000-0900-0000B9080000}"/>
            </a:ext>
          </a:extLst>
        </xdr:cNvPr>
        <xdr:cNvSpPr>
          <a:spLocks noChangeShapeType="1"/>
        </xdr:cNvSpPr>
      </xdr:nvSpPr>
      <xdr:spPr bwMode="auto">
        <a:xfrm>
          <a:off x="4389120" y="123520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69</xdr:row>
      <xdr:rowOff>0</xdr:rowOff>
    </xdr:from>
    <xdr:to>
      <xdr:col>14</xdr:col>
      <xdr:colOff>640080</xdr:colOff>
      <xdr:row>69</xdr:row>
      <xdr:rowOff>0</xdr:rowOff>
    </xdr:to>
    <xdr:sp macro="" textlink="">
      <xdr:nvSpPr>
        <xdr:cNvPr id="2234" name="Line 59">
          <a:extLst>
            <a:ext uri="{FF2B5EF4-FFF2-40B4-BE49-F238E27FC236}">
              <a16:creationId xmlns:a16="http://schemas.microsoft.com/office/drawing/2014/main" id="{00000000-0008-0000-0900-0000BA080000}"/>
            </a:ext>
          </a:extLst>
        </xdr:cNvPr>
        <xdr:cNvSpPr>
          <a:spLocks noChangeShapeType="1"/>
        </xdr:cNvSpPr>
      </xdr:nvSpPr>
      <xdr:spPr bwMode="auto">
        <a:xfrm>
          <a:off x="10584180" y="123520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70</xdr:row>
      <xdr:rowOff>0</xdr:rowOff>
    </xdr:from>
    <xdr:to>
      <xdr:col>6</xdr:col>
      <xdr:colOff>0</xdr:colOff>
      <xdr:row>70</xdr:row>
      <xdr:rowOff>0</xdr:rowOff>
    </xdr:to>
    <xdr:sp macro="" textlink="">
      <xdr:nvSpPr>
        <xdr:cNvPr id="2235" name="Line 60">
          <a:extLst>
            <a:ext uri="{FF2B5EF4-FFF2-40B4-BE49-F238E27FC236}">
              <a16:creationId xmlns:a16="http://schemas.microsoft.com/office/drawing/2014/main" id="{00000000-0008-0000-0900-0000BB080000}"/>
            </a:ext>
          </a:extLst>
        </xdr:cNvPr>
        <xdr:cNvSpPr>
          <a:spLocks noChangeShapeType="1"/>
        </xdr:cNvSpPr>
      </xdr:nvSpPr>
      <xdr:spPr bwMode="auto">
        <a:xfrm>
          <a:off x="4389120" y="125196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2236" name="Line 61">
          <a:extLst>
            <a:ext uri="{FF2B5EF4-FFF2-40B4-BE49-F238E27FC236}">
              <a16:creationId xmlns:a16="http://schemas.microsoft.com/office/drawing/2014/main" id="{00000000-0008-0000-0900-0000BC08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2237" name="Line 62">
          <a:extLst>
            <a:ext uri="{FF2B5EF4-FFF2-40B4-BE49-F238E27FC236}">
              <a16:creationId xmlns:a16="http://schemas.microsoft.com/office/drawing/2014/main" id="{00000000-0008-0000-0900-0000BD08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62</xdr:row>
      <xdr:rowOff>0</xdr:rowOff>
    </xdr:from>
    <xdr:to>
      <xdr:col>10</xdr:col>
      <xdr:colOff>0</xdr:colOff>
      <xdr:row>62</xdr:row>
      <xdr:rowOff>0</xdr:rowOff>
    </xdr:to>
    <xdr:sp macro="" textlink="">
      <xdr:nvSpPr>
        <xdr:cNvPr id="2238" name="Line 63">
          <a:extLst>
            <a:ext uri="{FF2B5EF4-FFF2-40B4-BE49-F238E27FC236}">
              <a16:creationId xmlns:a16="http://schemas.microsoft.com/office/drawing/2014/main" id="{00000000-0008-0000-0900-0000BE080000}"/>
            </a:ext>
          </a:extLst>
        </xdr:cNvPr>
        <xdr:cNvSpPr>
          <a:spLocks noChangeShapeType="1"/>
        </xdr:cNvSpPr>
      </xdr:nvSpPr>
      <xdr:spPr bwMode="auto">
        <a:xfrm>
          <a:off x="6926580" y="111785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70</xdr:row>
      <xdr:rowOff>0</xdr:rowOff>
    </xdr:from>
    <xdr:to>
      <xdr:col>14</xdr:col>
      <xdr:colOff>640080</xdr:colOff>
      <xdr:row>70</xdr:row>
      <xdr:rowOff>0</xdr:rowOff>
    </xdr:to>
    <xdr:sp macro="" textlink="">
      <xdr:nvSpPr>
        <xdr:cNvPr id="2239" name="Line 64">
          <a:extLst>
            <a:ext uri="{FF2B5EF4-FFF2-40B4-BE49-F238E27FC236}">
              <a16:creationId xmlns:a16="http://schemas.microsoft.com/office/drawing/2014/main" id="{00000000-0008-0000-0900-0000BF080000}"/>
            </a:ext>
          </a:extLst>
        </xdr:cNvPr>
        <xdr:cNvSpPr>
          <a:spLocks noChangeShapeType="1"/>
        </xdr:cNvSpPr>
      </xdr:nvSpPr>
      <xdr:spPr bwMode="auto">
        <a:xfrm>
          <a:off x="10584180" y="1251966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62</xdr:row>
      <xdr:rowOff>0</xdr:rowOff>
    </xdr:from>
    <xdr:to>
      <xdr:col>6</xdr:col>
      <xdr:colOff>0</xdr:colOff>
      <xdr:row>62</xdr:row>
      <xdr:rowOff>0</xdr:rowOff>
    </xdr:to>
    <xdr:sp macro="" textlink="">
      <xdr:nvSpPr>
        <xdr:cNvPr id="2240" name="Line 65">
          <a:extLst>
            <a:ext uri="{FF2B5EF4-FFF2-40B4-BE49-F238E27FC236}">
              <a16:creationId xmlns:a16="http://schemas.microsoft.com/office/drawing/2014/main" id="{00000000-0008-0000-0900-0000C0080000}"/>
            </a:ext>
          </a:extLst>
        </xdr:cNvPr>
        <xdr:cNvSpPr>
          <a:spLocks noChangeShapeType="1"/>
        </xdr:cNvSpPr>
      </xdr:nvSpPr>
      <xdr:spPr bwMode="auto">
        <a:xfrm>
          <a:off x="4389120" y="111785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62</xdr:row>
      <xdr:rowOff>0</xdr:rowOff>
    </xdr:from>
    <xdr:to>
      <xdr:col>4</xdr:col>
      <xdr:colOff>7620</xdr:colOff>
      <xdr:row>62</xdr:row>
      <xdr:rowOff>0</xdr:rowOff>
    </xdr:to>
    <xdr:sp macro="" textlink="">
      <xdr:nvSpPr>
        <xdr:cNvPr id="2241" name="Line 66">
          <a:extLst>
            <a:ext uri="{FF2B5EF4-FFF2-40B4-BE49-F238E27FC236}">
              <a16:creationId xmlns:a16="http://schemas.microsoft.com/office/drawing/2014/main" id="{00000000-0008-0000-0900-0000C1080000}"/>
            </a:ext>
          </a:extLst>
        </xdr:cNvPr>
        <xdr:cNvSpPr>
          <a:spLocks noChangeShapeType="1"/>
        </xdr:cNvSpPr>
      </xdr:nvSpPr>
      <xdr:spPr bwMode="auto">
        <a:xfrm>
          <a:off x="2194560" y="11178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2242" name="Line 67">
          <a:extLst>
            <a:ext uri="{FF2B5EF4-FFF2-40B4-BE49-F238E27FC236}">
              <a16:creationId xmlns:a16="http://schemas.microsoft.com/office/drawing/2014/main" id="{00000000-0008-0000-0900-0000C208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2243" name="Line 68">
          <a:extLst>
            <a:ext uri="{FF2B5EF4-FFF2-40B4-BE49-F238E27FC236}">
              <a16:creationId xmlns:a16="http://schemas.microsoft.com/office/drawing/2014/main" id="{00000000-0008-0000-0900-0000C308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2244" name="Line 69">
          <a:extLst>
            <a:ext uri="{FF2B5EF4-FFF2-40B4-BE49-F238E27FC236}">
              <a16:creationId xmlns:a16="http://schemas.microsoft.com/office/drawing/2014/main" id="{00000000-0008-0000-0900-0000C408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2245" name="Line 70">
          <a:extLst>
            <a:ext uri="{FF2B5EF4-FFF2-40B4-BE49-F238E27FC236}">
              <a16:creationId xmlns:a16="http://schemas.microsoft.com/office/drawing/2014/main" id="{00000000-0008-0000-0900-0000C508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68</xdr:row>
      <xdr:rowOff>0</xdr:rowOff>
    </xdr:from>
    <xdr:to>
      <xdr:col>7</xdr:col>
      <xdr:colOff>45720</xdr:colOff>
      <xdr:row>68</xdr:row>
      <xdr:rowOff>0</xdr:rowOff>
    </xdr:to>
    <xdr:sp macro="" textlink="">
      <xdr:nvSpPr>
        <xdr:cNvPr id="2246" name="Line 71">
          <a:extLst>
            <a:ext uri="{FF2B5EF4-FFF2-40B4-BE49-F238E27FC236}">
              <a16:creationId xmlns:a16="http://schemas.microsoft.com/office/drawing/2014/main" id="{00000000-0008-0000-0900-0000C6080000}"/>
            </a:ext>
          </a:extLst>
        </xdr:cNvPr>
        <xdr:cNvSpPr>
          <a:spLocks noChangeShapeType="1"/>
        </xdr:cNvSpPr>
      </xdr:nvSpPr>
      <xdr:spPr bwMode="auto">
        <a:xfrm>
          <a:off x="4389120" y="1218438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70</xdr:row>
      <xdr:rowOff>0</xdr:rowOff>
    </xdr:from>
    <xdr:to>
      <xdr:col>4</xdr:col>
      <xdr:colOff>7620</xdr:colOff>
      <xdr:row>70</xdr:row>
      <xdr:rowOff>0</xdr:rowOff>
    </xdr:to>
    <xdr:sp macro="" textlink="">
      <xdr:nvSpPr>
        <xdr:cNvPr id="2247" name="Line 72">
          <a:extLst>
            <a:ext uri="{FF2B5EF4-FFF2-40B4-BE49-F238E27FC236}">
              <a16:creationId xmlns:a16="http://schemas.microsoft.com/office/drawing/2014/main" id="{00000000-0008-0000-0900-0000C7080000}"/>
            </a:ext>
          </a:extLst>
        </xdr:cNvPr>
        <xdr:cNvSpPr>
          <a:spLocks noChangeShapeType="1"/>
        </xdr:cNvSpPr>
      </xdr:nvSpPr>
      <xdr:spPr bwMode="auto">
        <a:xfrm>
          <a:off x="2194560" y="12519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79</xdr:row>
      <xdr:rowOff>0</xdr:rowOff>
    </xdr:from>
    <xdr:to>
      <xdr:col>6</xdr:col>
      <xdr:colOff>0</xdr:colOff>
      <xdr:row>79</xdr:row>
      <xdr:rowOff>0</xdr:rowOff>
    </xdr:to>
    <xdr:sp macro="" textlink="">
      <xdr:nvSpPr>
        <xdr:cNvPr id="2248" name="Line 73">
          <a:extLst>
            <a:ext uri="{FF2B5EF4-FFF2-40B4-BE49-F238E27FC236}">
              <a16:creationId xmlns:a16="http://schemas.microsoft.com/office/drawing/2014/main" id="{00000000-0008-0000-0900-0000C8080000}"/>
            </a:ext>
          </a:extLst>
        </xdr:cNvPr>
        <xdr:cNvSpPr>
          <a:spLocks noChangeShapeType="1"/>
        </xdr:cNvSpPr>
      </xdr:nvSpPr>
      <xdr:spPr bwMode="auto">
        <a:xfrm>
          <a:off x="4389120" y="140284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79</xdr:row>
      <xdr:rowOff>0</xdr:rowOff>
    </xdr:from>
    <xdr:to>
      <xdr:col>14</xdr:col>
      <xdr:colOff>640080</xdr:colOff>
      <xdr:row>79</xdr:row>
      <xdr:rowOff>0</xdr:rowOff>
    </xdr:to>
    <xdr:sp macro="" textlink="">
      <xdr:nvSpPr>
        <xdr:cNvPr id="2249" name="Line 74">
          <a:extLst>
            <a:ext uri="{FF2B5EF4-FFF2-40B4-BE49-F238E27FC236}">
              <a16:creationId xmlns:a16="http://schemas.microsoft.com/office/drawing/2014/main" id="{00000000-0008-0000-0900-0000C9080000}"/>
            </a:ext>
          </a:extLst>
        </xdr:cNvPr>
        <xdr:cNvSpPr>
          <a:spLocks noChangeShapeType="1"/>
        </xdr:cNvSpPr>
      </xdr:nvSpPr>
      <xdr:spPr bwMode="auto">
        <a:xfrm>
          <a:off x="10584180" y="140284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2250" name="Line 75">
          <a:extLst>
            <a:ext uri="{FF2B5EF4-FFF2-40B4-BE49-F238E27FC236}">
              <a16:creationId xmlns:a16="http://schemas.microsoft.com/office/drawing/2014/main" id="{00000000-0008-0000-0900-0000CA08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2251" name="Line 76">
          <a:extLst>
            <a:ext uri="{FF2B5EF4-FFF2-40B4-BE49-F238E27FC236}">
              <a16:creationId xmlns:a16="http://schemas.microsoft.com/office/drawing/2014/main" id="{00000000-0008-0000-0900-0000CB08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72</xdr:row>
      <xdr:rowOff>0</xdr:rowOff>
    </xdr:from>
    <xdr:to>
      <xdr:col>10</xdr:col>
      <xdr:colOff>0</xdr:colOff>
      <xdr:row>72</xdr:row>
      <xdr:rowOff>0</xdr:rowOff>
    </xdr:to>
    <xdr:sp macro="" textlink="">
      <xdr:nvSpPr>
        <xdr:cNvPr id="2252" name="Line 77">
          <a:extLst>
            <a:ext uri="{FF2B5EF4-FFF2-40B4-BE49-F238E27FC236}">
              <a16:creationId xmlns:a16="http://schemas.microsoft.com/office/drawing/2014/main" id="{00000000-0008-0000-0900-0000CC080000}"/>
            </a:ext>
          </a:extLst>
        </xdr:cNvPr>
        <xdr:cNvSpPr>
          <a:spLocks noChangeShapeType="1"/>
        </xdr:cNvSpPr>
      </xdr:nvSpPr>
      <xdr:spPr bwMode="auto">
        <a:xfrm>
          <a:off x="6926580" y="128549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72</xdr:row>
      <xdr:rowOff>0</xdr:rowOff>
    </xdr:from>
    <xdr:to>
      <xdr:col>6</xdr:col>
      <xdr:colOff>0</xdr:colOff>
      <xdr:row>72</xdr:row>
      <xdr:rowOff>0</xdr:rowOff>
    </xdr:to>
    <xdr:sp macro="" textlink="">
      <xdr:nvSpPr>
        <xdr:cNvPr id="2253" name="Line 78">
          <a:extLst>
            <a:ext uri="{FF2B5EF4-FFF2-40B4-BE49-F238E27FC236}">
              <a16:creationId xmlns:a16="http://schemas.microsoft.com/office/drawing/2014/main" id="{00000000-0008-0000-0900-0000CD080000}"/>
            </a:ext>
          </a:extLst>
        </xdr:cNvPr>
        <xdr:cNvSpPr>
          <a:spLocks noChangeShapeType="1"/>
        </xdr:cNvSpPr>
      </xdr:nvSpPr>
      <xdr:spPr bwMode="auto">
        <a:xfrm>
          <a:off x="4389120" y="128549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72</xdr:row>
      <xdr:rowOff>0</xdr:rowOff>
    </xdr:from>
    <xdr:to>
      <xdr:col>4</xdr:col>
      <xdr:colOff>7620</xdr:colOff>
      <xdr:row>72</xdr:row>
      <xdr:rowOff>0</xdr:rowOff>
    </xdr:to>
    <xdr:sp macro="" textlink="">
      <xdr:nvSpPr>
        <xdr:cNvPr id="2254" name="Line 79">
          <a:extLst>
            <a:ext uri="{FF2B5EF4-FFF2-40B4-BE49-F238E27FC236}">
              <a16:creationId xmlns:a16="http://schemas.microsoft.com/office/drawing/2014/main" id="{00000000-0008-0000-0900-0000CE080000}"/>
            </a:ext>
          </a:extLst>
        </xdr:cNvPr>
        <xdr:cNvSpPr>
          <a:spLocks noChangeShapeType="1"/>
        </xdr:cNvSpPr>
      </xdr:nvSpPr>
      <xdr:spPr bwMode="auto">
        <a:xfrm>
          <a:off x="2194560" y="128549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2255" name="Line 80">
          <a:extLst>
            <a:ext uri="{FF2B5EF4-FFF2-40B4-BE49-F238E27FC236}">
              <a16:creationId xmlns:a16="http://schemas.microsoft.com/office/drawing/2014/main" id="{00000000-0008-0000-0900-0000CF08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2256" name="Line 81">
          <a:extLst>
            <a:ext uri="{FF2B5EF4-FFF2-40B4-BE49-F238E27FC236}">
              <a16:creationId xmlns:a16="http://schemas.microsoft.com/office/drawing/2014/main" id="{00000000-0008-0000-0900-0000D008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2257" name="Line 82">
          <a:extLst>
            <a:ext uri="{FF2B5EF4-FFF2-40B4-BE49-F238E27FC236}">
              <a16:creationId xmlns:a16="http://schemas.microsoft.com/office/drawing/2014/main" id="{00000000-0008-0000-0900-0000D108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2258" name="Line 83">
          <a:extLst>
            <a:ext uri="{FF2B5EF4-FFF2-40B4-BE49-F238E27FC236}">
              <a16:creationId xmlns:a16="http://schemas.microsoft.com/office/drawing/2014/main" id="{00000000-0008-0000-0900-0000D208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78</xdr:row>
      <xdr:rowOff>0</xdr:rowOff>
    </xdr:from>
    <xdr:to>
      <xdr:col>7</xdr:col>
      <xdr:colOff>45720</xdr:colOff>
      <xdr:row>78</xdr:row>
      <xdr:rowOff>0</xdr:rowOff>
    </xdr:to>
    <xdr:sp macro="" textlink="">
      <xdr:nvSpPr>
        <xdr:cNvPr id="2259" name="Line 84">
          <a:extLst>
            <a:ext uri="{FF2B5EF4-FFF2-40B4-BE49-F238E27FC236}">
              <a16:creationId xmlns:a16="http://schemas.microsoft.com/office/drawing/2014/main" id="{00000000-0008-0000-0900-0000D3080000}"/>
            </a:ext>
          </a:extLst>
        </xdr:cNvPr>
        <xdr:cNvSpPr>
          <a:spLocks noChangeShapeType="1"/>
        </xdr:cNvSpPr>
      </xdr:nvSpPr>
      <xdr:spPr bwMode="auto">
        <a:xfrm>
          <a:off x="4389120" y="1386078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2260" name="Line 85">
          <a:extLst>
            <a:ext uri="{FF2B5EF4-FFF2-40B4-BE49-F238E27FC236}">
              <a16:creationId xmlns:a16="http://schemas.microsoft.com/office/drawing/2014/main" id="{00000000-0008-0000-0900-0000D4080000}"/>
            </a:ext>
          </a:extLst>
        </xdr:cNvPr>
        <xdr:cNvSpPr>
          <a:spLocks noChangeShapeType="1"/>
        </xdr:cNvSpPr>
      </xdr:nvSpPr>
      <xdr:spPr bwMode="auto">
        <a:xfrm>
          <a:off x="69265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2261" name="Line 86">
          <a:extLst>
            <a:ext uri="{FF2B5EF4-FFF2-40B4-BE49-F238E27FC236}">
              <a16:creationId xmlns:a16="http://schemas.microsoft.com/office/drawing/2014/main" id="{00000000-0008-0000-0900-0000D5080000}"/>
            </a:ext>
          </a:extLst>
        </xdr:cNvPr>
        <xdr:cNvSpPr>
          <a:spLocks noChangeShapeType="1"/>
        </xdr:cNvSpPr>
      </xdr:nvSpPr>
      <xdr:spPr bwMode="auto">
        <a:xfrm>
          <a:off x="43891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2262" name="Line 87">
          <a:extLst>
            <a:ext uri="{FF2B5EF4-FFF2-40B4-BE49-F238E27FC236}">
              <a16:creationId xmlns:a16="http://schemas.microsoft.com/office/drawing/2014/main" id="{00000000-0008-0000-0900-0000D6080000}"/>
            </a:ext>
          </a:extLst>
        </xdr:cNvPr>
        <xdr:cNvSpPr>
          <a:spLocks noChangeShapeType="1"/>
        </xdr:cNvSpPr>
      </xdr:nvSpPr>
      <xdr:spPr bwMode="auto">
        <a:xfrm>
          <a:off x="21945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2263" name="Line 88">
          <a:extLst>
            <a:ext uri="{FF2B5EF4-FFF2-40B4-BE49-F238E27FC236}">
              <a16:creationId xmlns:a16="http://schemas.microsoft.com/office/drawing/2014/main" id="{00000000-0008-0000-0900-0000D7080000}"/>
            </a:ext>
          </a:extLst>
        </xdr:cNvPr>
        <xdr:cNvSpPr>
          <a:spLocks noChangeShapeType="1"/>
        </xdr:cNvSpPr>
      </xdr:nvSpPr>
      <xdr:spPr bwMode="auto">
        <a:xfrm>
          <a:off x="4389120" y="1536954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44</xdr:row>
      <xdr:rowOff>0</xdr:rowOff>
    </xdr:from>
    <xdr:to>
      <xdr:col>6</xdr:col>
      <xdr:colOff>0</xdr:colOff>
      <xdr:row>44</xdr:row>
      <xdr:rowOff>0</xdr:rowOff>
    </xdr:to>
    <xdr:sp macro="" textlink="">
      <xdr:nvSpPr>
        <xdr:cNvPr id="2264" name="Line 89">
          <a:extLst>
            <a:ext uri="{FF2B5EF4-FFF2-40B4-BE49-F238E27FC236}">
              <a16:creationId xmlns:a16="http://schemas.microsoft.com/office/drawing/2014/main" id="{00000000-0008-0000-0900-0000D8080000}"/>
            </a:ext>
          </a:extLst>
        </xdr:cNvPr>
        <xdr:cNvSpPr>
          <a:spLocks noChangeShapeType="1"/>
        </xdr:cNvSpPr>
      </xdr:nvSpPr>
      <xdr:spPr bwMode="auto">
        <a:xfrm>
          <a:off x="4389120" y="80391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43</xdr:row>
      <xdr:rowOff>0</xdr:rowOff>
    </xdr:from>
    <xdr:to>
      <xdr:col>6</xdr:col>
      <xdr:colOff>0</xdr:colOff>
      <xdr:row>43</xdr:row>
      <xdr:rowOff>0</xdr:rowOff>
    </xdr:to>
    <xdr:sp macro="" textlink="">
      <xdr:nvSpPr>
        <xdr:cNvPr id="2265" name="Line 90">
          <a:extLst>
            <a:ext uri="{FF2B5EF4-FFF2-40B4-BE49-F238E27FC236}">
              <a16:creationId xmlns:a16="http://schemas.microsoft.com/office/drawing/2014/main" id="{00000000-0008-0000-0900-0000D9080000}"/>
            </a:ext>
          </a:extLst>
        </xdr:cNvPr>
        <xdr:cNvSpPr>
          <a:spLocks noChangeShapeType="1"/>
        </xdr:cNvSpPr>
      </xdr:nvSpPr>
      <xdr:spPr bwMode="auto">
        <a:xfrm>
          <a:off x="4389120" y="78714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59</xdr:row>
      <xdr:rowOff>0</xdr:rowOff>
    </xdr:from>
    <xdr:to>
      <xdr:col>6</xdr:col>
      <xdr:colOff>0</xdr:colOff>
      <xdr:row>59</xdr:row>
      <xdr:rowOff>0</xdr:rowOff>
    </xdr:to>
    <xdr:sp macro="" textlink="">
      <xdr:nvSpPr>
        <xdr:cNvPr id="2266" name="Line 91">
          <a:extLst>
            <a:ext uri="{FF2B5EF4-FFF2-40B4-BE49-F238E27FC236}">
              <a16:creationId xmlns:a16="http://schemas.microsoft.com/office/drawing/2014/main" id="{00000000-0008-0000-0900-0000DA080000}"/>
            </a:ext>
          </a:extLst>
        </xdr:cNvPr>
        <xdr:cNvSpPr>
          <a:spLocks noChangeShapeType="1"/>
        </xdr:cNvSpPr>
      </xdr:nvSpPr>
      <xdr:spPr bwMode="auto">
        <a:xfrm>
          <a:off x="4389120" y="106756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58</xdr:row>
      <xdr:rowOff>0</xdr:rowOff>
    </xdr:from>
    <xdr:to>
      <xdr:col>6</xdr:col>
      <xdr:colOff>0</xdr:colOff>
      <xdr:row>58</xdr:row>
      <xdr:rowOff>0</xdr:rowOff>
    </xdr:to>
    <xdr:sp macro="" textlink="">
      <xdr:nvSpPr>
        <xdr:cNvPr id="2267" name="Line 92">
          <a:extLst>
            <a:ext uri="{FF2B5EF4-FFF2-40B4-BE49-F238E27FC236}">
              <a16:creationId xmlns:a16="http://schemas.microsoft.com/office/drawing/2014/main" id="{00000000-0008-0000-0900-0000DB080000}"/>
            </a:ext>
          </a:extLst>
        </xdr:cNvPr>
        <xdr:cNvSpPr>
          <a:spLocks noChangeShapeType="1"/>
        </xdr:cNvSpPr>
      </xdr:nvSpPr>
      <xdr:spPr bwMode="auto">
        <a:xfrm>
          <a:off x="4389120" y="105079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31</xdr:row>
      <xdr:rowOff>0</xdr:rowOff>
    </xdr:from>
    <xdr:to>
      <xdr:col>10</xdr:col>
      <xdr:colOff>0</xdr:colOff>
      <xdr:row>31</xdr:row>
      <xdr:rowOff>0</xdr:rowOff>
    </xdr:to>
    <xdr:sp macro="" textlink="">
      <xdr:nvSpPr>
        <xdr:cNvPr id="2268" name="Line 93">
          <a:extLst>
            <a:ext uri="{FF2B5EF4-FFF2-40B4-BE49-F238E27FC236}">
              <a16:creationId xmlns:a16="http://schemas.microsoft.com/office/drawing/2014/main" id="{00000000-0008-0000-0900-0000DC080000}"/>
            </a:ext>
          </a:extLst>
        </xdr:cNvPr>
        <xdr:cNvSpPr>
          <a:spLocks noChangeShapeType="1"/>
        </xdr:cNvSpPr>
      </xdr:nvSpPr>
      <xdr:spPr bwMode="auto">
        <a:xfrm>
          <a:off x="6926580" y="58597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30</xdr:row>
      <xdr:rowOff>0</xdr:rowOff>
    </xdr:from>
    <xdr:to>
      <xdr:col>10</xdr:col>
      <xdr:colOff>0</xdr:colOff>
      <xdr:row>30</xdr:row>
      <xdr:rowOff>0</xdr:rowOff>
    </xdr:to>
    <xdr:sp macro="" textlink="">
      <xdr:nvSpPr>
        <xdr:cNvPr id="2269" name="Line 94">
          <a:extLst>
            <a:ext uri="{FF2B5EF4-FFF2-40B4-BE49-F238E27FC236}">
              <a16:creationId xmlns:a16="http://schemas.microsoft.com/office/drawing/2014/main" id="{00000000-0008-0000-0900-0000DD080000}"/>
            </a:ext>
          </a:extLst>
        </xdr:cNvPr>
        <xdr:cNvSpPr>
          <a:spLocks noChangeShapeType="1"/>
        </xdr:cNvSpPr>
      </xdr:nvSpPr>
      <xdr:spPr bwMode="auto">
        <a:xfrm>
          <a:off x="6926580" y="56921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44</xdr:row>
      <xdr:rowOff>0</xdr:rowOff>
    </xdr:from>
    <xdr:to>
      <xdr:col>10</xdr:col>
      <xdr:colOff>0</xdr:colOff>
      <xdr:row>44</xdr:row>
      <xdr:rowOff>0</xdr:rowOff>
    </xdr:to>
    <xdr:sp macro="" textlink="">
      <xdr:nvSpPr>
        <xdr:cNvPr id="2270" name="Line 95">
          <a:extLst>
            <a:ext uri="{FF2B5EF4-FFF2-40B4-BE49-F238E27FC236}">
              <a16:creationId xmlns:a16="http://schemas.microsoft.com/office/drawing/2014/main" id="{00000000-0008-0000-0900-0000DE080000}"/>
            </a:ext>
          </a:extLst>
        </xdr:cNvPr>
        <xdr:cNvSpPr>
          <a:spLocks noChangeShapeType="1"/>
        </xdr:cNvSpPr>
      </xdr:nvSpPr>
      <xdr:spPr bwMode="auto">
        <a:xfrm>
          <a:off x="6926580" y="80391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43</xdr:row>
      <xdr:rowOff>0</xdr:rowOff>
    </xdr:from>
    <xdr:to>
      <xdr:col>10</xdr:col>
      <xdr:colOff>0</xdr:colOff>
      <xdr:row>43</xdr:row>
      <xdr:rowOff>0</xdr:rowOff>
    </xdr:to>
    <xdr:sp macro="" textlink="">
      <xdr:nvSpPr>
        <xdr:cNvPr id="2271" name="Line 96">
          <a:extLst>
            <a:ext uri="{FF2B5EF4-FFF2-40B4-BE49-F238E27FC236}">
              <a16:creationId xmlns:a16="http://schemas.microsoft.com/office/drawing/2014/main" id="{00000000-0008-0000-0900-0000DF080000}"/>
            </a:ext>
          </a:extLst>
        </xdr:cNvPr>
        <xdr:cNvSpPr>
          <a:spLocks noChangeShapeType="1"/>
        </xdr:cNvSpPr>
      </xdr:nvSpPr>
      <xdr:spPr bwMode="auto">
        <a:xfrm>
          <a:off x="6926580" y="78714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59</xdr:row>
      <xdr:rowOff>0</xdr:rowOff>
    </xdr:from>
    <xdr:to>
      <xdr:col>10</xdr:col>
      <xdr:colOff>0</xdr:colOff>
      <xdr:row>59</xdr:row>
      <xdr:rowOff>0</xdr:rowOff>
    </xdr:to>
    <xdr:sp macro="" textlink="">
      <xdr:nvSpPr>
        <xdr:cNvPr id="2272" name="Line 97">
          <a:extLst>
            <a:ext uri="{FF2B5EF4-FFF2-40B4-BE49-F238E27FC236}">
              <a16:creationId xmlns:a16="http://schemas.microsoft.com/office/drawing/2014/main" id="{00000000-0008-0000-0900-0000E0080000}"/>
            </a:ext>
          </a:extLst>
        </xdr:cNvPr>
        <xdr:cNvSpPr>
          <a:spLocks noChangeShapeType="1"/>
        </xdr:cNvSpPr>
      </xdr:nvSpPr>
      <xdr:spPr bwMode="auto">
        <a:xfrm>
          <a:off x="6926580" y="106756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58</xdr:row>
      <xdr:rowOff>0</xdr:rowOff>
    </xdr:from>
    <xdr:to>
      <xdr:col>10</xdr:col>
      <xdr:colOff>0</xdr:colOff>
      <xdr:row>58</xdr:row>
      <xdr:rowOff>0</xdr:rowOff>
    </xdr:to>
    <xdr:sp macro="" textlink="">
      <xdr:nvSpPr>
        <xdr:cNvPr id="2273" name="Line 98">
          <a:extLst>
            <a:ext uri="{FF2B5EF4-FFF2-40B4-BE49-F238E27FC236}">
              <a16:creationId xmlns:a16="http://schemas.microsoft.com/office/drawing/2014/main" id="{00000000-0008-0000-0900-0000E1080000}"/>
            </a:ext>
          </a:extLst>
        </xdr:cNvPr>
        <xdr:cNvSpPr>
          <a:spLocks noChangeShapeType="1"/>
        </xdr:cNvSpPr>
      </xdr:nvSpPr>
      <xdr:spPr bwMode="auto">
        <a:xfrm>
          <a:off x="6926580" y="105079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70</xdr:row>
      <xdr:rowOff>0</xdr:rowOff>
    </xdr:from>
    <xdr:to>
      <xdr:col>10</xdr:col>
      <xdr:colOff>0</xdr:colOff>
      <xdr:row>70</xdr:row>
      <xdr:rowOff>0</xdr:rowOff>
    </xdr:to>
    <xdr:sp macro="" textlink="">
      <xdr:nvSpPr>
        <xdr:cNvPr id="2274" name="Line 99">
          <a:extLst>
            <a:ext uri="{FF2B5EF4-FFF2-40B4-BE49-F238E27FC236}">
              <a16:creationId xmlns:a16="http://schemas.microsoft.com/office/drawing/2014/main" id="{00000000-0008-0000-0900-0000E2080000}"/>
            </a:ext>
          </a:extLst>
        </xdr:cNvPr>
        <xdr:cNvSpPr>
          <a:spLocks noChangeShapeType="1"/>
        </xdr:cNvSpPr>
      </xdr:nvSpPr>
      <xdr:spPr bwMode="auto">
        <a:xfrm>
          <a:off x="6926580" y="125196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69</xdr:row>
      <xdr:rowOff>0</xdr:rowOff>
    </xdr:from>
    <xdr:to>
      <xdr:col>10</xdr:col>
      <xdr:colOff>0</xdr:colOff>
      <xdr:row>69</xdr:row>
      <xdr:rowOff>0</xdr:rowOff>
    </xdr:to>
    <xdr:sp macro="" textlink="">
      <xdr:nvSpPr>
        <xdr:cNvPr id="2275" name="Line 100">
          <a:extLst>
            <a:ext uri="{FF2B5EF4-FFF2-40B4-BE49-F238E27FC236}">
              <a16:creationId xmlns:a16="http://schemas.microsoft.com/office/drawing/2014/main" id="{00000000-0008-0000-0900-0000E3080000}"/>
            </a:ext>
          </a:extLst>
        </xdr:cNvPr>
        <xdr:cNvSpPr>
          <a:spLocks noChangeShapeType="1"/>
        </xdr:cNvSpPr>
      </xdr:nvSpPr>
      <xdr:spPr bwMode="auto">
        <a:xfrm>
          <a:off x="6926580" y="123520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79</xdr:row>
      <xdr:rowOff>0</xdr:rowOff>
    </xdr:from>
    <xdr:to>
      <xdr:col>10</xdr:col>
      <xdr:colOff>0</xdr:colOff>
      <xdr:row>79</xdr:row>
      <xdr:rowOff>0</xdr:rowOff>
    </xdr:to>
    <xdr:sp macro="" textlink="">
      <xdr:nvSpPr>
        <xdr:cNvPr id="2276" name="Line 101">
          <a:extLst>
            <a:ext uri="{FF2B5EF4-FFF2-40B4-BE49-F238E27FC236}">
              <a16:creationId xmlns:a16="http://schemas.microsoft.com/office/drawing/2014/main" id="{00000000-0008-0000-0900-0000E4080000}"/>
            </a:ext>
          </a:extLst>
        </xdr:cNvPr>
        <xdr:cNvSpPr>
          <a:spLocks noChangeShapeType="1"/>
        </xdr:cNvSpPr>
      </xdr:nvSpPr>
      <xdr:spPr bwMode="auto">
        <a:xfrm>
          <a:off x="6926580" y="14028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2277" name="Line 102">
          <a:extLst>
            <a:ext uri="{FF2B5EF4-FFF2-40B4-BE49-F238E27FC236}">
              <a16:creationId xmlns:a16="http://schemas.microsoft.com/office/drawing/2014/main" id="{00000000-0008-0000-0900-0000E5080000}"/>
            </a:ext>
          </a:extLst>
        </xdr:cNvPr>
        <xdr:cNvSpPr>
          <a:spLocks noChangeShapeType="1"/>
        </xdr:cNvSpPr>
      </xdr:nvSpPr>
      <xdr:spPr bwMode="auto">
        <a:xfrm>
          <a:off x="21945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2278" name="Line 108">
          <a:extLst>
            <a:ext uri="{FF2B5EF4-FFF2-40B4-BE49-F238E27FC236}">
              <a16:creationId xmlns:a16="http://schemas.microsoft.com/office/drawing/2014/main" id="{00000000-0008-0000-0900-0000E6080000}"/>
            </a:ext>
          </a:extLst>
        </xdr:cNvPr>
        <xdr:cNvSpPr>
          <a:spLocks noChangeShapeType="1"/>
        </xdr:cNvSpPr>
      </xdr:nvSpPr>
      <xdr:spPr bwMode="auto">
        <a:xfrm>
          <a:off x="69265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2279" name="Line 109">
          <a:extLst>
            <a:ext uri="{FF2B5EF4-FFF2-40B4-BE49-F238E27FC236}">
              <a16:creationId xmlns:a16="http://schemas.microsoft.com/office/drawing/2014/main" id="{00000000-0008-0000-0900-0000E7080000}"/>
            </a:ext>
          </a:extLst>
        </xdr:cNvPr>
        <xdr:cNvSpPr>
          <a:spLocks noChangeShapeType="1"/>
        </xdr:cNvSpPr>
      </xdr:nvSpPr>
      <xdr:spPr bwMode="auto">
        <a:xfrm>
          <a:off x="43891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2280" name="Line 110">
          <a:extLst>
            <a:ext uri="{FF2B5EF4-FFF2-40B4-BE49-F238E27FC236}">
              <a16:creationId xmlns:a16="http://schemas.microsoft.com/office/drawing/2014/main" id="{00000000-0008-0000-0900-0000E8080000}"/>
            </a:ext>
          </a:extLst>
        </xdr:cNvPr>
        <xdr:cNvSpPr>
          <a:spLocks noChangeShapeType="1"/>
        </xdr:cNvSpPr>
      </xdr:nvSpPr>
      <xdr:spPr bwMode="auto">
        <a:xfrm>
          <a:off x="21945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2281" name="Line 111">
          <a:extLst>
            <a:ext uri="{FF2B5EF4-FFF2-40B4-BE49-F238E27FC236}">
              <a16:creationId xmlns:a16="http://schemas.microsoft.com/office/drawing/2014/main" id="{00000000-0008-0000-0900-0000E9080000}"/>
            </a:ext>
          </a:extLst>
        </xdr:cNvPr>
        <xdr:cNvSpPr>
          <a:spLocks noChangeShapeType="1"/>
        </xdr:cNvSpPr>
      </xdr:nvSpPr>
      <xdr:spPr bwMode="auto">
        <a:xfrm>
          <a:off x="4389120" y="1536954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2282" name="Line 112">
          <a:extLst>
            <a:ext uri="{FF2B5EF4-FFF2-40B4-BE49-F238E27FC236}">
              <a16:creationId xmlns:a16="http://schemas.microsoft.com/office/drawing/2014/main" id="{00000000-0008-0000-0900-0000EA080000}"/>
            </a:ext>
          </a:extLst>
        </xdr:cNvPr>
        <xdr:cNvSpPr>
          <a:spLocks noChangeShapeType="1"/>
        </xdr:cNvSpPr>
      </xdr:nvSpPr>
      <xdr:spPr bwMode="auto">
        <a:xfrm>
          <a:off x="21945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2283" name="Line 75">
          <a:extLst>
            <a:ext uri="{FF2B5EF4-FFF2-40B4-BE49-F238E27FC236}">
              <a16:creationId xmlns:a16="http://schemas.microsoft.com/office/drawing/2014/main" id="{00000000-0008-0000-0900-0000EB080000}"/>
            </a:ext>
          </a:extLst>
        </xdr:cNvPr>
        <xdr:cNvSpPr>
          <a:spLocks noChangeShapeType="1"/>
        </xdr:cNvSpPr>
      </xdr:nvSpPr>
      <xdr:spPr bwMode="auto">
        <a:xfrm>
          <a:off x="2194560" y="19560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2284" name="Line 87">
          <a:extLst>
            <a:ext uri="{FF2B5EF4-FFF2-40B4-BE49-F238E27FC236}">
              <a16:creationId xmlns:a16="http://schemas.microsoft.com/office/drawing/2014/main" id="{00000000-0008-0000-0900-0000EC080000}"/>
            </a:ext>
          </a:extLst>
        </xdr:cNvPr>
        <xdr:cNvSpPr>
          <a:spLocks noChangeShapeType="1"/>
        </xdr:cNvSpPr>
      </xdr:nvSpPr>
      <xdr:spPr bwMode="auto">
        <a:xfrm>
          <a:off x="2194560" y="20734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2285" name="Line 75">
          <a:extLst>
            <a:ext uri="{FF2B5EF4-FFF2-40B4-BE49-F238E27FC236}">
              <a16:creationId xmlns:a16="http://schemas.microsoft.com/office/drawing/2014/main" id="{00000000-0008-0000-0900-0000ED080000}"/>
            </a:ext>
          </a:extLst>
        </xdr:cNvPr>
        <xdr:cNvSpPr>
          <a:spLocks noChangeShapeType="1"/>
        </xdr:cNvSpPr>
      </xdr:nvSpPr>
      <xdr:spPr bwMode="auto">
        <a:xfrm>
          <a:off x="2194560" y="197281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2286" name="Line 79">
          <a:extLst>
            <a:ext uri="{FF2B5EF4-FFF2-40B4-BE49-F238E27FC236}">
              <a16:creationId xmlns:a16="http://schemas.microsoft.com/office/drawing/2014/main" id="{00000000-0008-0000-0900-0000EE080000}"/>
            </a:ext>
          </a:extLst>
        </xdr:cNvPr>
        <xdr:cNvSpPr>
          <a:spLocks noChangeShapeType="1"/>
        </xdr:cNvSpPr>
      </xdr:nvSpPr>
      <xdr:spPr bwMode="auto">
        <a:xfrm>
          <a:off x="2194560" y="18554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2287" name="Line 87">
          <a:extLst>
            <a:ext uri="{FF2B5EF4-FFF2-40B4-BE49-F238E27FC236}">
              <a16:creationId xmlns:a16="http://schemas.microsoft.com/office/drawing/2014/main" id="{00000000-0008-0000-0900-0000EF080000}"/>
            </a:ext>
          </a:extLst>
        </xdr:cNvPr>
        <xdr:cNvSpPr>
          <a:spLocks noChangeShapeType="1"/>
        </xdr:cNvSpPr>
      </xdr:nvSpPr>
      <xdr:spPr bwMode="auto">
        <a:xfrm>
          <a:off x="2194560" y="20901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2288" name="Line 75">
          <a:extLst>
            <a:ext uri="{FF2B5EF4-FFF2-40B4-BE49-F238E27FC236}">
              <a16:creationId xmlns:a16="http://schemas.microsoft.com/office/drawing/2014/main" id="{00000000-0008-0000-0900-0000F0080000}"/>
            </a:ext>
          </a:extLst>
        </xdr:cNvPr>
        <xdr:cNvSpPr>
          <a:spLocks noChangeShapeType="1"/>
        </xdr:cNvSpPr>
      </xdr:nvSpPr>
      <xdr:spPr bwMode="auto">
        <a:xfrm>
          <a:off x="2194560" y="19560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2289" name="Line 87">
          <a:extLst>
            <a:ext uri="{FF2B5EF4-FFF2-40B4-BE49-F238E27FC236}">
              <a16:creationId xmlns:a16="http://schemas.microsoft.com/office/drawing/2014/main" id="{00000000-0008-0000-0900-0000F1080000}"/>
            </a:ext>
          </a:extLst>
        </xdr:cNvPr>
        <xdr:cNvSpPr>
          <a:spLocks noChangeShapeType="1"/>
        </xdr:cNvSpPr>
      </xdr:nvSpPr>
      <xdr:spPr bwMode="auto">
        <a:xfrm>
          <a:off x="2194560" y="20734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2290" name="Line 75">
          <a:extLst>
            <a:ext uri="{FF2B5EF4-FFF2-40B4-BE49-F238E27FC236}">
              <a16:creationId xmlns:a16="http://schemas.microsoft.com/office/drawing/2014/main" id="{00000000-0008-0000-0900-0000F2080000}"/>
            </a:ext>
          </a:extLst>
        </xdr:cNvPr>
        <xdr:cNvSpPr>
          <a:spLocks noChangeShapeType="1"/>
        </xdr:cNvSpPr>
      </xdr:nvSpPr>
      <xdr:spPr bwMode="auto">
        <a:xfrm>
          <a:off x="2194560" y="197281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2291" name="Line 79">
          <a:extLst>
            <a:ext uri="{FF2B5EF4-FFF2-40B4-BE49-F238E27FC236}">
              <a16:creationId xmlns:a16="http://schemas.microsoft.com/office/drawing/2014/main" id="{00000000-0008-0000-0900-0000F3080000}"/>
            </a:ext>
          </a:extLst>
        </xdr:cNvPr>
        <xdr:cNvSpPr>
          <a:spLocks noChangeShapeType="1"/>
        </xdr:cNvSpPr>
      </xdr:nvSpPr>
      <xdr:spPr bwMode="auto">
        <a:xfrm>
          <a:off x="2194560" y="18554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2292" name="Line 87">
          <a:extLst>
            <a:ext uri="{FF2B5EF4-FFF2-40B4-BE49-F238E27FC236}">
              <a16:creationId xmlns:a16="http://schemas.microsoft.com/office/drawing/2014/main" id="{00000000-0008-0000-0900-0000F4080000}"/>
            </a:ext>
          </a:extLst>
        </xdr:cNvPr>
        <xdr:cNvSpPr>
          <a:spLocks noChangeShapeType="1"/>
        </xdr:cNvSpPr>
      </xdr:nvSpPr>
      <xdr:spPr bwMode="auto">
        <a:xfrm>
          <a:off x="2194560" y="20901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purl.oclc.org/ooxml/drawingml/spreadsheetDrawing" xmlns:a="http://purl.oclc.org/ooxml/drawingml/main">
  <xdr:twoCellAnchor>
    <xdr:from>
      <xdr:col>6</xdr:col>
      <xdr:colOff>0</xdr:colOff>
      <xdr:row>30</xdr:row>
      <xdr:rowOff>0</xdr:rowOff>
    </xdr:from>
    <xdr:to>
      <xdr:col>6</xdr:col>
      <xdr:colOff>0</xdr:colOff>
      <xdr:row>30</xdr:row>
      <xdr:rowOff>0</xdr:rowOff>
    </xdr:to>
    <xdr:sp macro="" textlink="">
      <xdr:nvSpPr>
        <xdr:cNvPr id="4214" name="Line 1">
          <a:extLst>
            <a:ext uri="{FF2B5EF4-FFF2-40B4-BE49-F238E27FC236}">
              <a16:creationId xmlns:a16="http://schemas.microsoft.com/office/drawing/2014/main" id="{00000000-0008-0000-0B00-000076100000}"/>
            </a:ext>
          </a:extLst>
        </xdr:cNvPr>
        <xdr:cNvSpPr>
          <a:spLocks noChangeShapeType="1"/>
        </xdr:cNvSpPr>
      </xdr:nvSpPr>
      <xdr:spPr bwMode="auto">
        <a:xfrm>
          <a:off x="4389120" y="56921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31</xdr:row>
      <xdr:rowOff>0</xdr:rowOff>
    </xdr:from>
    <xdr:to>
      <xdr:col>6</xdr:col>
      <xdr:colOff>0</xdr:colOff>
      <xdr:row>31</xdr:row>
      <xdr:rowOff>0</xdr:rowOff>
    </xdr:to>
    <xdr:sp macro="" textlink="">
      <xdr:nvSpPr>
        <xdr:cNvPr id="4215" name="Line 2">
          <a:extLst>
            <a:ext uri="{FF2B5EF4-FFF2-40B4-BE49-F238E27FC236}">
              <a16:creationId xmlns:a16="http://schemas.microsoft.com/office/drawing/2014/main" id="{00000000-0008-0000-0B00-000077100000}"/>
            </a:ext>
          </a:extLst>
        </xdr:cNvPr>
        <xdr:cNvSpPr>
          <a:spLocks noChangeShapeType="1"/>
        </xdr:cNvSpPr>
      </xdr:nvSpPr>
      <xdr:spPr bwMode="auto">
        <a:xfrm>
          <a:off x="4389120" y="58597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23</xdr:row>
      <xdr:rowOff>0</xdr:rowOff>
    </xdr:from>
    <xdr:to>
      <xdr:col>6</xdr:col>
      <xdr:colOff>0</xdr:colOff>
      <xdr:row>23</xdr:row>
      <xdr:rowOff>0</xdr:rowOff>
    </xdr:to>
    <xdr:sp macro="" textlink="">
      <xdr:nvSpPr>
        <xdr:cNvPr id="4216" name="Line 3">
          <a:extLst>
            <a:ext uri="{FF2B5EF4-FFF2-40B4-BE49-F238E27FC236}">
              <a16:creationId xmlns:a16="http://schemas.microsoft.com/office/drawing/2014/main" id="{00000000-0008-0000-0B00-000078100000}"/>
            </a:ext>
          </a:extLst>
        </xdr:cNvPr>
        <xdr:cNvSpPr>
          <a:spLocks noChangeShapeType="1"/>
        </xdr:cNvSpPr>
      </xdr:nvSpPr>
      <xdr:spPr bwMode="auto">
        <a:xfrm>
          <a:off x="4389120" y="45186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23</xdr:row>
      <xdr:rowOff>0</xdr:rowOff>
    </xdr:from>
    <xdr:to>
      <xdr:col>9</xdr:col>
      <xdr:colOff>662940</xdr:colOff>
      <xdr:row>23</xdr:row>
      <xdr:rowOff>0</xdr:rowOff>
    </xdr:to>
    <xdr:sp macro="" textlink="">
      <xdr:nvSpPr>
        <xdr:cNvPr id="4217" name="Line 4">
          <a:extLst>
            <a:ext uri="{FF2B5EF4-FFF2-40B4-BE49-F238E27FC236}">
              <a16:creationId xmlns:a16="http://schemas.microsoft.com/office/drawing/2014/main" id="{00000000-0008-0000-0B00-000079100000}"/>
            </a:ext>
          </a:extLst>
        </xdr:cNvPr>
        <xdr:cNvSpPr>
          <a:spLocks noChangeShapeType="1"/>
        </xdr:cNvSpPr>
      </xdr:nvSpPr>
      <xdr:spPr bwMode="auto">
        <a:xfrm>
          <a:off x="6926580" y="451866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30</xdr:row>
      <xdr:rowOff>0</xdr:rowOff>
    </xdr:from>
    <xdr:to>
      <xdr:col>14</xdr:col>
      <xdr:colOff>662940</xdr:colOff>
      <xdr:row>30</xdr:row>
      <xdr:rowOff>0</xdr:rowOff>
    </xdr:to>
    <xdr:sp macro="" textlink="">
      <xdr:nvSpPr>
        <xdr:cNvPr id="4218" name="Line 5">
          <a:extLst>
            <a:ext uri="{FF2B5EF4-FFF2-40B4-BE49-F238E27FC236}">
              <a16:creationId xmlns:a16="http://schemas.microsoft.com/office/drawing/2014/main" id="{00000000-0008-0000-0B00-00007A100000}"/>
            </a:ext>
          </a:extLst>
        </xdr:cNvPr>
        <xdr:cNvSpPr>
          <a:spLocks noChangeShapeType="1"/>
        </xdr:cNvSpPr>
      </xdr:nvSpPr>
      <xdr:spPr bwMode="auto">
        <a:xfrm>
          <a:off x="10584180" y="569214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31</xdr:row>
      <xdr:rowOff>0</xdr:rowOff>
    </xdr:from>
    <xdr:to>
      <xdr:col>14</xdr:col>
      <xdr:colOff>662940</xdr:colOff>
      <xdr:row>31</xdr:row>
      <xdr:rowOff>0</xdr:rowOff>
    </xdr:to>
    <xdr:sp macro="" textlink="">
      <xdr:nvSpPr>
        <xdr:cNvPr id="4219" name="Line 6">
          <a:extLst>
            <a:ext uri="{FF2B5EF4-FFF2-40B4-BE49-F238E27FC236}">
              <a16:creationId xmlns:a16="http://schemas.microsoft.com/office/drawing/2014/main" id="{00000000-0008-0000-0B00-00007B100000}"/>
            </a:ext>
          </a:extLst>
        </xdr:cNvPr>
        <xdr:cNvSpPr>
          <a:spLocks noChangeShapeType="1"/>
        </xdr:cNvSpPr>
      </xdr:nvSpPr>
      <xdr:spPr bwMode="auto">
        <a:xfrm>
          <a:off x="10584180" y="585978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32</xdr:row>
      <xdr:rowOff>0</xdr:rowOff>
    </xdr:from>
    <xdr:to>
      <xdr:col>6</xdr:col>
      <xdr:colOff>0</xdr:colOff>
      <xdr:row>32</xdr:row>
      <xdr:rowOff>0</xdr:rowOff>
    </xdr:to>
    <xdr:sp macro="" textlink="">
      <xdr:nvSpPr>
        <xdr:cNvPr id="4220" name="Line 7">
          <a:extLst>
            <a:ext uri="{FF2B5EF4-FFF2-40B4-BE49-F238E27FC236}">
              <a16:creationId xmlns:a16="http://schemas.microsoft.com/office/drawing/2014/main" id="{00000000-0008-0000-0B00-00007C100000}"/>
            </a:ext>
          </a:extLst>
        </xdr:cNvPr>
        <xdr:cNvSpPr>
          <a:spLocks noChangeShapeType="1"/>
        </xdr:cNvSpPr>
      </xdr:nvSpPr>
      <xdr:spPr bwMode="auto">
        <a:xfrm>
          <a:off x="4389120" y="60274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33</xdr:row>
      <xdr:rowOff>0</xdr:rowOff>
    </xdr:from>
    <xdr:to>
      <xdr:col>6</xdr:col>
      <xdr:colOff>0</xdr:colOff>
      <xdr:row>33</xdr:row>
      <xdr:rowOff>0</xdr:rowOff>
    </xdr:to>
    <xdr:sp macro="" textlink="">
      <xdr:nvSpPr>
        <xdr:cNvPr id="4221" name="Line 8">
          <a:extLst>
            <a:ext uri="{FF2B5EF4-FFF2-40B4-BE49-F238E27FC236}">
              <a16:creationId xmlns:a16="http://schemas.microsoft.com/office/drawing/2014/main" id="{00000000-0008-0000-0B00-00007D100000}"/>
            </a:ext>
          </a:extLst>
        </xdr:cNvPr>
        <xdr:cNvSpPr>
          <a:spLocks noChangeShapeType="1"/>
        </xdr:cNvSpPr>
      </xdr:nvSpPr>
      <xdr:spPr bwMode="auto">
        <a:xfrm>
          <a:off x="4389120" y="61950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34</xdr:row>
      <xdr:rowOff>0</xdr:rowOff>
    </xdr:from>
    <xdr:to>
      <xdr:col>6</xdr:col>
      <xdr:colOff>0</xdr:colOff>
      <xdr:row>34</xdr:row>
      <xdr:rowOff>0</xdr:rowOff>
    </xdr:to>
    <xdr:sp macro="" textlink="">
      <xdr:nvSpPr>
        <xdr:cNvPr id="4222" name="Line 9">
          <a:extLst>
            <a:ext uri="{FF2B5EF4-FFF2-40B4-BE49-F238E27FC236}">
              <a16:creationId xmlns:a16="http://schemas.microsoft.com/office/drawing/2014/main" id="{00000000-0008-0000-0B00-00007E100000}"/>
            </a:ext>
          </a:extLst>
        </xdr:cNvPr>
        <xdr:cNvSpPr>
          <a:spLocks noChangeShapeType="1"/>
        </xdr:cNvSpPr>
      </xdr:nvSpPr>
      <xdr:spPr bwMode="auto">
        <a:xfrm>
          <a:off x="4389120" y="6362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32</xdr:row>
      <xdr:rowOff>0</xdr:rowOff>
    </xdr:from>
    <xdr:to>
      <xdr:col>10</xdr:col>
      <xdr:colOff>0</xdr:colOff>
      <xdr:row>32</xdr:row>
      <xdr:rowOff>0</xdr:rowOff>
    </xdr:to>
    <xdr:sp macro="" textlink="">
      <xdr:nvSpPr>
        <xdr:cNvPr id="4223" name="Line 10">
          <a:extLst>
            <a:ext uri="{FF2B5EF4-FFF2-40B4-BE49-F238E27FC236}">
              <a16:creationId xmlns:a16="http://schemas.microsoft.com/office/drawing/2014/main" id="{00000000-0008-0000-0B00-00007F100000}"/>
            </a:ext>
          </a:extLst>
        </xdr:cNvPr>
        <xdr:cNvSpPr>
          <a:spLocks noChangeShapeType="1"/>
        </xdr:cNvSpPr>
      </xdr:nvSpPr>
      <xdr:spPr bwMode="auto">
        <a:xfrm>
          <a:off x="6926580" y="6027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33</xdr:row>
      <xdr:rowOff>0</xdr:rowOff>
    </xdr:from>
    <xdr:to>
      <xdr:col>10</xdr:col>
      <xdr:colOff>0</xdr:colOff>
      <xdr:row>33</xdr:row>
      <xdr:rowOff>0</xdr:rowOff>
    </xdr:to>
    <xdr:sp macro="" textlink="">
      <xdr:nvSpPr>
        <xdr:cNvPr id="4224" name="Line 11">
          <a:extLst>
            <a:ext uri="{FF2B5EF4-FFF2-40B4-BE49-F238E27FC236}">
              <a16:creationId xmlns:a16="http://schemas.microsoft.com/office/drawing/2014/main" id="{00000000-0008-0000-0B00-000080100000}"/>
            </a:ext>
          </a:extLst>
        </xdr:cNvPr>
        <xdr:cNvSpPr>
          <a:spLocks noChangeShapeType="1"/>
        </xdr:cNvSpPr>
      </xdr:nvSpPr>
      <xdr:spPr bwMode="auto">
        <a:xfrm>
          <a:off x="6926580" y="61950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34</xdr:row>
      <xdr:rowOff>0</xdr:rowOff>
    </xdr:from>
    <xdr:to>
      <xdr:col>10</xdr:col>
      <xdr:colOff>0</xdr:colOff>
      <xdr:row>34</xdr:row>
      <xdr:rowOff>0</xdr:rowOff>
    </xdr:to>
    <xdr:sp macro="" textlink="">
      <xdr:nvSpPr>
        <xdr:cNvPr id="4225" name="Line 12">
          <a:extLst>
            <a:ext uri="{FF2B5EF4-FFF2-40B4-BE49-F238E27FC236}">
              <a16:creationId xmlns:a16="http://schemas.microsoft.com/office/drawing/2014/main" id="{00000000-0008-0000-0B00-000081100000}"/>
            </a:ext>
          </a:extLst>
        </xdr:cNvPr>
        <xdr:cNvSpPr>
          <a:spLocks noChangeShapeType="1"/>
        </xdr:cNvSpPr>
      </xdr:nvSpPr>
      <xdr:spPr bwMode="auto">
        <a:xfrm>
          <a:off x="6926580" y="6362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32</xdr:row>
      <xdr:rowOff>0</xdr:rowOff>
    </xdr:from>
    <xdr:to>
      <xdr:col>15</xdr:col>
      <xdr:colOff>0</xdr:colOff>
      <xdr:row>32</xdr:row>
      <xdr:rowOff>0</xdr:rowOff>
    </xdr:to>
    <xdr:sp macro="" textlink="">
      <xdr:nvSpPr>
        <xdr:cNvPr id="4226" name="Line 13">
          <a:extLst>
            <a:ext uri="{FF2B5EF4-FFF2-40B4-BE49-F238E27FC236}">
              <a16:creationId xmlns:a16="http://schemas.microsoft.com/office/drawing/2014/main" id="{00000000-0008-0000-0B00-000082100000}"/>
            </a:ext>
          </a:extLst>
        </xdr:cNvPr>
        <xdr:cNvSpPr>
          <a:spLocks noChangeShapeType="1"/>
        </xdr:cNvSpPr>
      </xdr:nvSpPr>
      <xdr:spPr bwMode="auto">
        <a:xfrm>
          <a:off x="10584180" y="6027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33</xdr:row>
      <xdr:rowOff>0</xdr:rowOff>
    </xdr:from>
    <xdr:to>
      <xdr:col>15</xdr:col>
      <xdr:colOff>0</xdr:colOff>
      <xdr:row>33</xdr:row>
      <xdr:rowOff>0</xdr:rowOff>
    </xdr:to>
    <xdr:sp macro="" textlink="">
      <xdr:nvSpPr>
        <xdr:cNvPr id="4227" name="Line 14">
          <a:extLst>
            <a:ext uri="{FF2B5EF4-FFF2-40B4-BE49-F238E27FC236}">
              <a16:creationId xmlns:a16="http://schemas.microsoft.com/office/drawing/2014/main" id="{00000000-0008-0000-0B00-000083100000}"/>
            </a:ext>
          </a:extLst>
        </xdr:cNvPr>
        <xdr:cNvSpPr>
          <a:spLocks noChangeShapeType="1"/>
        </xdr:cNvSpPr>
      </xdr:nvSpPr>
      <xdr:spPr bwMode="auto">
        <a:xfrm>
          <a:off x="10584180" y="61950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34</xdr:row>
      <xdr:rowOff>0</xdr:rowOff>
    </xdr:from>
    <xdr:to>
      <xdr:col>15</xdr:col>
      <xdr:colOff>0</xdr:colOff>
      <xdr:row>34</xdr:row>
      <xdr:rowOff>0</xdr:rowOff>
    </xdr:to>
    <xdr:sp macro="" textlink="">
      <xdr:nvSpPr>
        <xdr:cNvPr id="4228" name="Line 15">
          <a:extLst>
            <a:ext uri="{FF2B5EF4-FFF2-40B4-BE49-F238E27FC236}">
              <a16:creationId xmlns:a16="http://schemas.microsoft.com/office/drawing/2014/main" id="{00000000-0008-0000-0B00-000084100000}"/>
            </a:ext>
          </a:extLst>
        </xdr:cNvPr>
        <xdr:cNvSpPr>
          <a:spLocks noChangeShapeType="1"/>
        </xdr:cNvSpPr>
      </xdr:nvSpPr>
      <xdr:spPr bwMode="auto">
        <a:xfrm>
          <a:off x="10584180" y="6362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43</xdr:row>
      <xdr:rowOff>0</xdr:rowOff>
    </xdr:from>
    <xdr:to>
      <xdr:col>14</xdr:col>
      <xdr:colOff>640080</xdr:colOff>
      <xdr:row>43</xdr:row>
      <xdr:rowOff>0</xdr:rowOff>
    </xdr:to>
    <xdr:sp macro="" textlink="">
      <xdr:nvSpPr>
        <xdr:cNvPr id="4229" name="Line 16">
          <a:extLst>
            <a:ext uri="{FF2B5EF4-FFF2-40B4-BE49-F238E27FC236}">
              <a16:creationId xmlns:a16="http://schemas.microsoft.com/office/drawing/2014/main" id="{00000000-0008-0000-0B00-000085100000}"/>
            </a:ext>
          </a:extLst>
        </xdr:cNvPr>
        <xdr:cNvSpPr>
          <a:spLocks noChangeShapeType="1"/>
        </xdr:cNvSpPr>
      </xdr:nvSpPr>
      <xdr:spPr bwMode="auto">
        <a:xfrm>
          <a:off x="10584180" y="787146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23</xdr:row>
      <xdr:rowOff>0</xdr:rowOff>
    </xdr:from>
    <xdr:to>
      <xdr:col>4</xdr:col>
      <xdr:colOff>7620</xdr:colOff>
      <xdr:row>23</xdr:row>
      <xdr:rowOff>0</xdr:rowOff>
    </xdr:to>
    <xdr:sp macro="" textlink="">
      <xdr:nvSpPr>
        <xdr:cNvPr id="4230" name="Line 17">
          <a:extLst>
            <a:ext uri="{FF2B5EF4-FFF2-40B4-BE49-F238E27FC236}">
              <a16:creationId xmlns:a16="http://schemas.microsoft.com/office/drawing/2014/main" id="{00000000-0008-0000-0B00-000086100000}"/>
            </a:ext>
          </a:extLst>
        </xdr:cNvPr>
        <xdr:cNvSpPr>
          <a:spLocks noChangeShapeType="1"/>
        </xdr:cNvSpPr>
      </xdr:nvSpPr>
      <xdr:spPr bwMode="auto">
        <a:xfrm>
          <a:off x="2194560" y="4518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30</xdr:row>
      <xdr:rowOff>0</xdr:rowOff>
    </xdr:from>
    <xdr:to>
      <xdr:col>4</xdr:col>
      <xdr:colOff>7620</xdr:colOff>
      <xdr:row>30</xdr:row>
      <xdr:rowOff>0</xdr:rowOff>
    </xdr:to>
    <xdr:sp macro="" textlink="">
      <xdr:nvSpPr>
        <xdr:cNvPr id="4231" name="Line 18">
          <a:extLst>
            <a:ext uri="{FF2B5EF4-FFF2-40B4-BE49-F238E27FC236}">
              <a16:creationId xmlns:a16="http://schemas.microsoft.com/office/drawing/2014/main" id="{00000000-0008-0000-0B00-000087100000}"/>
            </a:ext>
          </a:extLst>
        </xdr:cNvPr>
        <xdr:cNvSpPr>
          <a:spLocks noChangeShapeType="1"/>
        </xdr:cNvSpPr>
      </xdr:nvSpPr>
      <xdr:spPr bwMode="auto">
        <a:xfrm>
          <a:off x="2194560" y="56921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31</xdr:row>
      <xdr:rowOff>0</xdr:rowOff>
    </xdr:from>
    <xdr:to>
      <xdr:col>4</xdr:col>
      <xdr:colOff>7620</xdr:colOff>
      <xdr:row>31</xdr:row>
      <xdr:rowOff>0</xdr:rowOff>
    </xdr:to>
    <xdr:sp macro="" textlink="">
      <xdr:nvSpPr>
        <xdr:cNvPr id="4232" name="Line 19">
          <a:extLst>
            <a:ext uri="{FF2B5EF4-FFF2-40B4-BE49-F238E27FC236}">
              <a16:creationId xmlns:a16="http://schemas.microsoft.com/office/drawing/2014/main" id="{00000000-0008-0000-0B00-000088100000}"/>
            </a:ext>
          </a:extLst>
        </xdr:cNvPr>
        <xdr:cNvSpPr>
          <a:spLocks noChangeShapeType="1"/>
        </xdr:cNvSpPr>
      </xdr:nvSpPr>
      <xdr:spPr bwMode="auto">
        <a:xfrm>
          <a:off x="2194560" y="58597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32</xdr:row>
      <xdr:rowOff>0</xdr:rowOff>
    </xdr:from>
    <xdr:to>
      <xdr:col>4</xdr:col>
      <xdr:colOff>7620</xdr:colOff>
      <xdr:row>32</xdr:row>
      <xdr:rowOff>0</xdr:rowOff>
    </xdr:to>
    <xdr:sp macro="" textlink="">
      <xdr:nvSpPr>
        <xdr:cNvPr id="4233" name="Line 20">
          <a:extLst>
            <a:ext uri="{FF2B5EF4-FFF2-40B4-BE49-F238E27FC236}">
              <a16:creationId xmlns:a16="http://schemas.microsoft.com/office/drawing/2014/main" id="{00000000-0008-0000-0B00-000089100000}"/>
            </a:ext>
          </a:extLst>
        </xdr:cNvPr>
        <xdr:cNvSpPr>
          <a:spLocks noChangeShapeType="1"/>
        </xdr:cNvSpPr>
      </xdr:nvSpPr>
      <xdr:spPr bwMode="auto">
        <a:xfrm>
          <a:off x="2194560" y="6027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33</xdr:row>
      <xdr:rowOff>0</xdr:rowOff>
    </xdr:from>
    <xdr:to>
      <xdr:col>4</xdr:col>
      <xdr:colOff>7620</xdr:colOff>
      <xdr:row>33</xdr:row>
      <xdr:rowOff>0</xdr:rowOff>
    </xdr:to>
    <xdr:sp macro="" textlink="">
      <xdr:nvSpPr>
        <xdr:cNvPr id="4234" name="Line 21">
          <a:extLst>
            <a:ext uri="{FF2B5EF4-FFF2-40B4-BE49-F238E27FC236}">
              <a16:creationId xmlns:a16="http://schemas.microsoft.com/office/drawing/2014/main" id="{00000000-0008-0000-0B00-00008A100000}"/>
            </a:ext>
          </a:extLst>
        </xdr:cNvPr>
        <xdr:cNvSpPr>
          <a:spLocks noChangeShapeType="1"/>
        </xdr:cNvSpPr>
      </xdr:nvSpPr>
      <xdr:spPr bwMode="auto">
        <a:xfrm>
          <a:off x="2194560" y="61950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34</xdr:row>
      <xdr:rowOff>0</xdr:rowOff>
    </xdr:from>
    <xdr:to>
      <xdr:col>4</xdr:col>
      <xdr:colOff>7620</xdr:colOff>
      <xdr:row>34</xdr:row>
      <xdr:rowOff>0</xdr:rowOff>
    </xdr:to>
    <xdr:sp macro="" textlink="">
      <xdr:nvSpPr>
        <xdr:cNvPr id="4235" name="Line 22">
          <a:extLst>
            <a:ext uri="{FF2B5EF4-FFF2-40B4-BE49-F238E27FC236}">
              <a16:creationId xmlns:a16="http://schemas.microsoft.com/office/drawing/2014/main" id="{00000000-0008-0000-0B00-00008B100000}"/>
            </a:ext>
          </a:extLst>
        </xdr:cNvPr>
        <xdr:cNvSpPr>
          <a:spLocks noChangeShapeType="1"/>
        </xdr:cNvSpPr>
      </xdr:nvSpPr>
      <xdr:spPr bwMode="auto">
        <a:xfrm>
          <a:off x="2194560" y="6362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4236" name="Line 23">
          <a:extLst>
            <a:ext uri="{FF2B5EF4-FFF2-40B4-BE49-F238E27FC236}">
              <a16:creationId xmlns:a16="http://schemas.microsoft.com/office/drawing/2014/main" id="{00000000-0008-0000-0B00-00008C100000}"/>
            </a:ext>
          </a:extLst>
        </xdr:cNvPr>
        <xdr:cNvSpPr>
          <a:spLocks noChangeShapeType="1"/>
        </xdr:cNvSpPr>
      </xdr:nvSpPr>
      <xdr:spPr bwMode="auto">
        <a:xfrm>
          <a:off x="21945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4237" name="Line 24">
          <a:extLst>
            <a:ext uri="{FF2B5EF4-FFF2-40B4-BE49-F238E27FC236}">
              <a16:creationId xmlns:a16="http://schemas.microsoft.com/office/drawing/2014/main" id="{00000000-0008-0000-0B00-00008D100000}"/>
            </a:ext>
          </a:extLst>
        </xdr:cNvPr>
        <xdr:cNvSpPr>
          <a:spLocks noChangeShapeType="1"/>
        </xdr:cNvSpPr>
      </xdr:nvSpPr>
      <xdr:spPr bwMode="auto">
        <a:xfrm>
          <a:off x="21945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36</xdr:row>
      <xdr:rowOff>0</xdr:rowOff>
    </xdr:from>
    <xdr:to>
      <xdr:col>10</xdr:col>
      <xdr:colOff>0</xdr:colOff>
      <xdr:row>36</xdr:row>
      <xdr:rowOff>0</xdr:rowOff>
    </xdr:to>
    <xdr:sp macro="" textlink="">
      <xdr:nvSpPr>
        <xdr:cNvPr id="4238" name="Line 25">
          <a:extLst>
            <a:ext uri="{FF2B5EF4-FFF2-40B4-BE49-F238E27FC236}">
              <a16:creationId xmlns:a16="http://schemas.microsoft.com/office/drawing/2014/main" id="{00000000-0008-0000-0B00-00008E100000}"/>
            </a:ext>
          </a:extLst>
        </xdr:cNvPr>
        <xdr:cNvSpPr>
          <a:spLocks noChangeShapeType="1"/>
        </xdr:cNvSpPr>
      </xdr:nvSpPr>
      <xdr:spPr bwMode="auto">
        <a:xfrm>
          <a:off x="6926580" y="66979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44</xdr:row>
      <xdr:rowOff>0</xdr:rowOff>
    </xdr:from>
    <xdr:to>
      <xdr:col>14</xdr:col>
      <xdr:colOff>640080</xdr:colOff>
      <xdr:row>44</xdr:row>
      <xdr:rowOff>0</xdr:rowOff>
    </xdr:to>
    <xdr:sp macro="" textlink="">
      <xdr:nvSpPr>
        <xdr:cNvPr id="4239" name="Line 26">
          <a:extLst>
            <a:ext uri="{FF2B5EF4-FFF2-40B4-BE49-F238E27FC236}">
              <a16:creationId xmlns:a16="http://schemas.microsoft.com/office/drawing/2014/main" id="{00000000-0008-0000-0B00-00008F100000}"/>
            </a:ext>
          </a:extLst>
        </xdr:cNvPr>
        <xdr:cNvSpPr>
          <a:spLocks noChangeShapeType="1"/>
        </xdr:cNvSpPr>
      </xdr:nvSpPr>
      <xdr:spPr bwMode="auto">
        <a:xfrm>
          <a:off x="10584180" y="803910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36</xdr:row>
      <xdr:rowOff>0</xdr:rowOff>
    </xdr:from>
    <xdr:to>
      <xdr:col>6</xdr:col>
      <xdr:colOff>0</xdr:colOff>
      <xdr:row>36</xdr:row>
      <xdr:rowOff>0</xdr:rowOff>
    </xdr:to>
    <xdr:sp macro="" textlink="">
      <xdr:nvSpPr>
        <xdr:cNvPr id="4240" name="Line 27">
          <a:extLst>
            <a:ext uri="{FF2B5EF4-FFF2-40B4-BE49-F238E27FC236}">
              <a16:creationId xmlns:a16="http://schemas.microsoft.com/office/drawing/2014/main" id="{00000000-0008-0000-0B00-000090100000}"/>
            </a:ext>
          </a:extLst>
        </xdr:cNvPr>
        <xdr:cNvSpPr>
          <a:spLocks noChangeShapeType="1"/>
        </xdr:cNvSpPr>
      </xdr:nvSpPr>
      <xdr:spPr bwMode="auto">
        <a:xfrm>
          <a:off x="4389120" y="66979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45</xdr:row>
      <xdr:rowOff>0</xdr:rowOff>
    </xdr:from>
    <xdr:to>
      <xdr:col>6</xdr:col>
      <xdr:colOff>0</xdr:colOff>
      <xdr:row>45</xdr:row>
      <xdr:rowOff>0</xdr:rowOff>
    </xdr:to>
    <xdr:sp macro="" textlink="">
      <xdr:nvSpPr>
        <xdr:cNvPr id="4241" name="Line 28">
          <a:extLst>
            <a:ext uri="{FF2B5EF4-FFF2-40B4-BE49-F238E27FC236}">
              <a16:creationId xmlns:a16="http://schemas.microsoft.com/office/drawing/2014/main" id="{00000000-0008-0000-0B00-000091100000}"/>
            </a:ext>
          </a:extLst>
        </xdr:cNvPr>
        <xdr:cNvSpPr>
          <a:spLocks noChangeShapeType="1"/>
        </xdr:cNvSpPr>
      </xdr:nvSpPr>
      <xdr:spPr bwMode="auto">
        <a:xfrm>
          <a:off x="4389120" y="82067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45</xdr:row>
      <xdr:rowOff>0</xdr:rowOff>
    </xdr:from>
    <xdr:to>
      <xdr:col>10</xdr:col>
      <xdr:colOff>0</xdr:colOff>
      <xdr:row>45</xdr:row>
      <xdr:rowOff>0</xdr:rowOff>
    </xdr:to>
    <xdr:sp macro="" textlink="">
      <xdr:nvSpPr>
        <xdr:cNvPr id="4242" name="Line 29">
          <a:extLst>
            <a:ext uri="{FF2B5EF4-FFF2-40B4-BE49-F238E27FC236}">
              <a16:creationId xmlns:a16="http://schemas.microsoft.com/office/drawing/2014/main" id="{00000000-0008-0000-0B00-000092100000}"/>
            </a:ext>
          </a:extLst>
        </xdr:cNvPr>
        <xdr:cNvSpPr>
          <a:spLocks noChangeShapeType="1"/>
        </xdr:cNvSpPr>
      </xdr:nvSpPr>
      <xdr:spPr bwMode="auto">
        <a:xfrm>
          <a:off x="6926580" y="82067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46</xdr:row>
      <xdr:rowOff>0</xdr:rowOff>
    </xdr:from>
    <xdr:to>
      <xdr:col>10</xdr:col>
      <xdr:colOff>0</xdr:colOff>
      <xdr:row>46</xdr:row>
      <xdr:rowOff>0</xdr:rowOff>
    </xdr:to>
    <xdr:sp macro="" textlink="">
      <xdr:nvSpPr>
        <xdr:cNvPr id="4243" name="Line 30">
          <a:extLst>
            <a:ext uri="{FF2B5EF4-FFF2-40B4-BE49-F238E27FC236}">
              <a16:creationId xmlns:a16="http://schemas.microsoft.com/office/drawing/2014/main" id="{00000000-0008-0000-0B00-000093100000}"/>
            </a:ext>
          </a:extLst>
        </xdr:cNvPr>
        <xdr:cNvSpPr>
          <a:spLocks noChangeShapeType="1"/>
        </xdr:cNvSpPr>
      </xdr:nvSpPr>
      <xdr:spPr bwMode="auto">
        <a:xfrm>
          <a:off x="6926580" y="83743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45</xdr:row>
      <xdr:rowOff>0</xdr:rowOff>
    </xdr:from>
    <xdr:to>
      <xdr:col>15</xdr:col>
      <xdr:colOff>0</xdr:colOff>
      <xdr:row>45</xdr:row>
      <xdr:rowOff>0</xdr:rowOff>
    </xdr:to>
    <xdr:sp macro="" textlink="">
      <xdr:nvSpPr>
        <xdr:cNvPr id="4244" name="Line 31">
          <a:extLst>
            <a:ext uri="{FF2B5EF4-FFF2-40B4-BE49-F238E27FC236}">
              <a16:creationId xmlns:a16="http://schemas.microsoft.com/office/drawing/2014/main" id="{00000000-0008-0000-0B00-000094100000}"/>
            </a:ext>
          </a:extLst>
        </xdr:cNvPr>
        <xdr:cNvSpPr>
          <a:spLocks noChangeShapeType="1"/>
        </xdr:cNvSpPr>
      </xdr:nvSpPr>
      <xdr:spPr bwMode="auto">
        <a:xfrm>
          <a:off x="10584180" y="82067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46</xdr:row>
      <xdr:rowOff>0</xdr:rowOff>
    </xdr:from>
    <xdr:to>
      <xdr:col>15</xdr:col>
      <xdr:colOff>0</xdr:colOff>
      <xdr:row>46</xdr:row>
      <xdr:rowOff>0</xdr:rowOff>
    </xdr:to>
    <xdr:sp macro="" textlink="">
      <xdr:nvSpPr>
        <xdr:cNvPr id="4245" name="Line 32">
          <a:extLst>
            <a:ext uri="{FF2B5EF4-FFF2-40B4-BE49-F238E27FC236}">
              <a16:creationId xmlns:a16="http://schemas.microsoft.com/office/drawing/2014/main" id="{00000000-0008-0000-0B00-000095100000}"/>
            </a:ext>
          </a:extLst>
        </xdr:cNvPr>
        <xdr:cNvSpPr>
          <a:spLocks noChangeShapeType="1"/>
        </xdr:cNvSpPr>
      </xdr:nvSpPr>
      <xdr:spPr bwMode="auto">
        <a:xfrm>
          <a:off x="10584180" y="83743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36</xdr:row>
      <xdr:rowOff>0</xdr:rowOff>
    </xdr:from>
    <xdr:to>
      <xdr:col>4</xdr:col>
      <xdr:colOff>7620</xdr:colOff>
      <xdr:row>36</xdr:row>
      <xdr:rowOff>0</xdr:rowOff>
    </xdr:to>
    <xdr:sp macro="" textlink="">
      <xdr:nvSpPr>
        <xdr:cNvPr id="4246" name="Line 33">
          <a:extLst>
            <a:ext uri="{FF2B5EF4-FFF2-40B4-BE49-F238E27FC236}">
              <a16:creationId xmlns:a16="http://schemas.microsoft.com/office/drawing/2014/main" id="{00000000-0008-0000-0B00-000096100000}"/>
            </a:ext>
          </a:extLst>
        </xdr:cNvPr>
        <xdr:cNvSpPr>
          <a:spLocks noChangeShapeType="1"/>
        </xdr:cNvSpPr>
      </xdr:nvSpPr>
      <xdr:spPr bwMode="auto">
        <a:xfrm>
          <a:off x="2194560" y="669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4247" name="Line 34">
          <a:extLst>
            <a:ext uri="{FF2B5EF4-FFF2-40B4-BE49-F238E27FC236}">
              <a16:creationId xmlns:a16="http://schemas.microsoft.com/office/drawing/2014/main" id="{00000000-0008-0000-0B00-000097100000}"/>
            </a:ext>
          </a:extLst>
        </xdr:cNvPr>
        <xdr:cNvSpPr>
          <a:spLocks noChangeShapeType="1"/>
        </xdr:cNvSpPr>
      </xdr:nvSpPr>
      <xdr:spPr bwMode="auto">
        <a:xfrm>
          <a:off x="21945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4248" name="Line 35">
          <a:extLst>
            <a:ext uri="{FF2B5EF4-FFF2-40B4-BE49-F238E27FC236}">
              <a16:creationId xmlns:a16="http://schemas.microsoft.com/office/drawing/2014/main" id="{00000000-0008-0000-0B00-000098100000}"/>
            </a:ext>
          </a:extLst>
        </xdr:cNvPr>
        <xdr:cNvSpPr>
          <a:spLocks noChangeShapeType="1"/>
        </xdr:cNvSpPr>
      </xdr:nvSpPr>
      <xdr:spPr bwMode="auto">
        <a:xfrm>
          <a:off x="21945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44</xdr:row>
      <xdr:rowOff>0</xdr:rowOff>
    </xdr:from>
    <xdr:to>
      <xdr:col>4</xdr:col>
      <xdr:colOff>7620</xdr:colOff>
      <xdr:row>44</xdr:row>
      <xdr:rowOff>0</xdr:rowOff>
    </xdr:to>
    <xdr:sp macro="" textlink="">
      <xdr:nvSpPr>
        <xdr:cNvPr id="4249" name="Line 36">
          <a:extLst>
            <a:ext uri="{FF2B5EF4-FFF2-40B4-BE49-F238E27FC236}">
              <a16:creationId xmlns:a16="http://schemas.microsoft.com/office/drawing/2014/main" id="{00000000-0008-0000-0B00-000099100000}"/>
            </a:ext>
          </a:extLst>
        </xdr:cNvPr>
        <xdr:cNvSpPr>
          <a:spLocks noChangeShapeType="1"/>
        </xdr:cNvSpPr>
      </xdr:nvSpPr>
      <xdr:spPr bwMode="auto">
        <a:xfrm>
          <a:off x="2194560" y="80391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45</xdr:row>
      <xdr:rowOff>0</xdr:rowOff>
    </xdr:from>
    <xdr:to>
      <xdr:col>4</xdr:col>
      <xdr:colOff>7620</xdr:colOff>
      <xdr:row>45</xdr:row>
      <xdr:rowOff>0</xdr:rowOff>
    </xdr:to>
    <xdr:sp macro="" textlink="">
      <xdr:nvSpPr>
        <xdr:cNvPr id="4250" name="Line 37">
          <a:extLst>
            <a:ext uri="{FF2B5EF4-FFF2-40B4-BE49-F238E27FC236}">
              <a16:creationId xmlns:a16="http://schemas.microsoft.com/office/drawing/2014/main" id="{00000000-0008-0000-0B00-00009A100000}"/>
            </a:ext>
          </a:extLst>
        </xdr:cNvPr>
        <xdr:cNvSpPr>
          <a:spLocks noChangeShapeType="1"/>
        </xdr:cNvSpPr>
      </xdr:nvSpPr>
      <xdr:spPr bwMode="auto">
        <a:xfrm>
          <a:off x="2194560" y="82067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46</xdr:row>
      <xdr:rowOff>0</xdr:rowOff>
    </xdr:from>
    <xdr:to>
      <xdr:col>4</xdr:col>
      <xdr:colOff>7620</xdr:colOff>
      <xdr:row>46</xdr:row>
      <xdr:rowOff>0</xdr:rowOff>
    </xdr:to>
    <xdr:sp macro="" textlink="">
      <xdr:nvSpPr>
        <xdr:cNvPr id="4251" name="Line 38">
          <a:extLst>
            <a:ext uri="{FF2B5EF4-FFF2-40B4-BE49-F238E27FC236}">
              <a16:creationId xmlns:a16="http://schemas.microsoft.com/office/drawing/2014/main" id="{00000000-0008-0000-0B00-00009B100000}"/>
            </a:ext>
          </a:extLst>
        </xdr:cNvPr>
        <xdr:cNvSpPr>
          <a:spLocks noChangeShapeType="1"/>
        </xdr:cNvSpPr>
      </xdr:nvSpPr>
      <xdr:spPr bwMode="auto">
        <a:xfrm>
          <a:off x="2194560" y="83743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46</xdr:row>
      <xdr:rowOff>0</xdr:rowOff>
    </xdr:from>
    <xdr:to>
      <xdr:col>6</xdr:col>
      <xdr:colOff>0</xdr:colOff>
      <xdr:row>46</xdr:row>
      <xdr:rowOff>0</xdr:rowOff>
    </xdr:to>
    <xdr:sp macro="" textlink="">
      <xdr:nvSpPr>
        <xdr:cNvPr id="4252" name="Line 39">
          <a:extLst>
            <a:ext uri="{FF2B5EF4-FFF2-40B4-BE49-F238E27FC236}">
              <a16:creationId xmlns:a16="http://schemas.microsoft.com/office/drawing/2014/main" id="{00000000-0008-0000-0B00-00009C100000}"/>
            </a:ext>
          </a:extLst>
        </xdr:cNvPr>
        <xdr:cNvSpPr>
          <a:spLocks noChangeShapeType="1"/>
        </xdr:cNvSpPr>
      </xdr:nvSpPr>
      <xdr:spPr bwMode="auto">
        <a:xfrm>
          <a:off x="4389120" y="83743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58</xdr:row>
      <xdr:rowOff>0</xdr:rowOff>
    </xdr:from>
    <xdr:to>
      <xdr:col>14</xdr:col>
      <xdr:colOff>640080</xdr:colOff>
      <xdr:row>58</xdr:row>
      <xdr:rowOff>0</xdr:rowOff>
    </xdr:to>
    <xdr:sp macro="" textlink="">
      <xdr:nvSpPr>
        <xdr:cNvPr id="4253" name="Line 40">
          <a:extLst>
            <a:ext uri="{FF2B5EF4-FFF2-40B4-BE49-F238E27FC236}">
              <a16:creationId xmlns:a16="http://schemas.microsoft.com/office/drawing/2014/main" id="{00000000-0008-0000-0B00-00009D100000}"/>
            </a:ext>
          </a:extLst>
        </xdr:cNvPr>
        <xdr:cNvSpPr>
          <a:spLocks noChangeShapeType="1"/>
        </xdr:cNvSpPr>
      </xdr:nvSpPr>
      <xdr:spPr bwMode="auto">
        <a:xfrm>
          <a:off x="10584180" y="1050798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4254" name="Line 41">
          <a:extLst>
            <a:ext uri="{FF2B5EF4-FFF2-40B4-BE49-F238E27FC236}">
              <a16:creationId xmlns:a16="http://schemas.microsoft.com/office/drawing/2014/main" id="{00000000-0008-0000-0B00-00009E10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4255" name="Line 42">
          <a:extLst>
            <a:ext uri="{FF2B5EF4-FFF2-40B4-BE49-F238E27FC236}">
              <a16:creationId xmlns:a16="http://schemas.microsoft.com/office/drawing/2014/main" id="{00000000-0008-0000-0B00-00009F10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51</xdr:row>
      <xdr:rowOff>0</xdr:rowOff>
    </xdr:from>
    <xdr:to>
      <xdr:col>10</xdr:col>
      <xdr:colOff>0</xdr:colOff>
      <xdr:row>51</xdr:row>
      <xdr:rowOff>0</xdr:rowOff>
    </xdr:to>
    <xdr:sp macro="" textlink="">
      <xdr:nvSpPr>
        <xdr:cNvPr id="4256" name="Line 43">
          <a:extLst>
            <a:ext uri="{FF2B5EF4-FFF2-40B4-BE49-F238E27FC236}">
              <a16:creationId xmlns:a16="http://schemas.microsoft.com/office/drawing/2014/main" id="{00000000-0008-0000-0B00-0000A0100000}"/>
            </a:ext>
          </a:extLst>
        </xdr:cNvPr>
        <xdr:cNvSpPr>
          <a:spLocks noChangeShapeType="1"/>
        </xdr:cNvSpPr>
      </xdr:nvSpPr>
      <xdr:spPr bwMode="auto">
        <a:xfrm>
          <a:off x="6926580" y="93345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59</xdr:row>
      <xdr:rowOff>0</xdr:rowOff>
    </xdr:from>
    <xdr:to>
      <xdr:col>14</xdr:col>
      <xdr:colOff>640080</xdr:colOff>
      <xdr:row>59</xdr:row>
      <xdr:rowOff>0</xdr:rowOff>
    </xdr:to>
    <xdr:sp macro="" textlink="">
      <xdr:nvSpPr>
        <xdr:cNvPr id="4257" name="Line 44">
          <a:extLst>
            <a:ext uri="{FF2B5EF4-FFF2-40B4-BE49-F238E27FC236}">
              <a16:creationId xmlns:a16="http://schemas.microsoft.com/office/drawing/2014/main" id="{00000000-0008-0000-0B00-0000A1100000}"/>
            </a:ext>
          </a:extLst>
        </xdr:cNvPr>
        <xdr:cNvSpPr>
          <a:spLocks noChangeShapeType="1"/>
        </xdr:cNvSpPr>
      </xdr:nvSpPr>
      <xdr:spPr bwMode="auto">
        <a:xfrm>
          <a:off x="10584180" y="106756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51</xdr:row>
      <xdr:rowOff>0</xdr:rowOff>
    </xdr:from>
    <xdr:to>
      <xdr:col>6</xdr:col>
      <xdr:colOff>0</xdr:colOff>
      <xdr:row>51</xdr:row>
      <xdr:rowOff>0</xdr:rowOff>
    </xdr:to>
    <xdr:sp macro="" textlink="">
      <xdr:nvSpPr>
        <xdr:cNvPr id="4258" name="Line 45">
          <a:extLst>
            <a:ext uri="{FF2B5EF4-FFF2-40B4-BE49-F238E27FC236}">
              <a16:creationId xmlns:a16="http://schemas.microsoft.com/office/drawing/2014/main" id="{00000000-0008-0000-0B00-0000A2100000}"/>
            </a:ext>
          </a:extLst>
        </xdr:cNvPr>
        <xdr:cNvSpPr>
          <a:spLocks noChangeShapeType="1"/>
        </xdr:cNvSpPr>
      </xdr:nvSpPr>
      <xdr:spPr bwMode="auto">
        <a:xfrm>
          <a:off x="4389120" y="9334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60</xdr:row>
      <xdr:rowOff>0</xdr:rowOff>
    </xdr:from>
    <xdr:to>
      <xdr:col>10</xdr:col>
      <xdr:colOff>0</xdr:colOff>
      <xdr:row>60</xdr:row>
      <xdr:rowOff>0</xdr:rowOff>
    </xdr:to>
    <xdr:sp macro="" textlink="">
      <xdr:nvSpPr>
        <xdr:cNvPr id="4259" name="Line 46">
          <a:extLst>
            <a:ext uri="{FF2B5EF4-FFF2-40B4-BE49-F238E27FC236}">
              <a16:creationId xmlns:a16="http://schemas.microsoft.com/office/drawing/2014/main" id="{00000000-0008-0000-0B00-0000A3100000}"/>
            </a:ext>
          </a:extLst>
        </xdr:cNvPr>
        <xdr:cNvSpPr>
          <a:spLocks noChangeShapeType="1"/>
        </xdr:cNvSpPr>
      </xdr:nvSpPr>
      <xdr:spPr bwMode="auto">
        <a:xfrm>
          <a:off x="6926580" y="108432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60</xdr:row>
      <xdr:rowOff>0</xdr:rowOff>
    </xdr:from>
    <xdr:to>
      <xdr:col>15</xdr:col>
      <xdr:colOff>0</xdr:colOff>
      <xdr:row>60</xdr:row>
      <xdr:rowOff>0</xdr:rowOff>
    </xdr:to>
    <xdr:sp macro="" textlink="">
      <xdr:nvSpPr>
        <xdr:cNvPr id="4260" name="Line 47">
          <a:extLst>
            <a:ext uri="{FF2B5EF4-FFF2-40B4-BE49-F238E27FC236}">
              <a16:creationId xmlns:a16="http://schemas.microsoft.com/office/drawing/2014/main" id="{00000000-0008-0000-0B00-0000A4100000}"/>
            </a:ext>
          </a:extLst>
        </xdr:cNvPr>
        <xdr:cNvSpPr>
          <a:spLocks noChangeShapeType="1"/>
        </xdr:cNvSpPr>
      </xdr:nvSpPr>
      <xdr:spPr bwMode="auto">
        <a:xfrm>
          <a:off x="10584180" y="108432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51</xdr:row>
      <xdr:rowOff>0</xdr:rowOff>
    </xdr:from>
    <xdr:to>
      <xdr:col>4</xdr:col>
      <xdr:colOff>7620</xdr:colOff>
      <xdr:row>51</xdr:row>
      <xdr:rowOff>0</xdr:rowOff>
    </xdr:to>
    <xdr:sp macro="" textlink="">
      <xdr:nvSpPr>
        <xdr:cNvPr id="4261" name="Line 48">
          <a:extLst>
            <a:ext uri="{FF2B5EF4-FFF2-40B4-BE49-F238E27FC236}">
              <a16:creationId xmlns:a16="http://schemas.microsoft.com/office/drawing/2014/main" id="{00000000-0008-0000-0B00-0000A5100000}"/>
            </a:ext>
          </a:extLst>
        </xdr:cNvPr>
        <xdr:cNvSpPr>
          <a:spLocks noChangeShapeType="1"/>
        </xdr:cNvSpPr>
      </xdr:nvSpPr>
      <xdr:spPr bwMode="auto">
        <a:xfrm>
          <a:off x="2194560" y="93345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4262" name="Line 49">
          <a:extLst>
            <a:ext uri="{FF2B5EF4-FFF2-40B4-BE49-F238E27FC236}">
              <a16:creationId xmlns:a16="http://schemas.microsoft.com/office/drawing/2014/main" id="{00000000-0008-0000-0B00-0000A610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4263" name="Line 50">
          <a:extLst>
            <a:ext uri="{FF2B5EF4-FFF2-40B4-BE49-F238E27FC236}">
              <a16:creationId xmlns:a16="http://schemas.microsoft.com/office/drawing/2014/main" id="{00000000-0008-0000-0B00-0000A710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4264" name="Line 51">
          <a:extLst>
            <a:ext uri="{FF2B5EF4-FFF2-40B4-BE49-F238E27FC236}">
              <a16:creationId xmlns:a16="http://schemas.microsoft.com/office/drawing/2014/main" id="{00000000-0008-0000-0B00-0000A810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59</xdr:row>
      <xdr:rowOff>0</xdr:rowOff>
    </xdr:from>
    <xdr:to>
      <xdr:col>4</xdr:col>
      <xdr:colOff>7620</xdr:colOff>
      <xdr:row>59</xdr:row>
      <xdr:rowOff>0</xdr:rowOff>
    </xdr:to>
    <xdr:sp macro="" textlink="">
      <xdr:nvSpPr>
        <xdr:cNvPr id="4265" name="Line 52">
          <a:extLst>
            <a:ext uri="{FF2B5EF4-FFF2-40B4-BE49-F238E27FC236}">
              <a16:creationId xmlns:a16="http://schemas.microsoft.com/office/drawing/2014/main" id="{00000000-0008-0000-0B00-0000A9100000}"/>
            </a:ext>
          </a:extLst>
        </xdr:cNvPr>
        <xdr:cNvSpPr>
          <a:spLocks noChangeShapeType="1"/>
        </xdr:cNvSpPr>
      </xdr:nvSpPr>
      <xdr:spPr bwMode="auto">
        <a:xfrm>
          <a:off x="2194560" y="106756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60</xdr:row>
      <xdr:rowOff>0</xdr:rowOff>
    </xdr:from>
    <xdr:to>
      <xdr:col>4</xdr:col>
      <xdr:colOff>7620</xdr:colOff>
      <xdr:row>60</xdr:row>
      <xdr:rowOff>0</xdr:rowOff>
    </xdr:to>
    <xdr:sp macro="" textlink="">
      <xdr:nvSpPr>
        <xdr:cNvPr id="4266" name="Line 53">
          <a:extLst>
            <a:ext uri="{FF2B5EF4-FFF2-40B4-BE49-F238E27FC236}">
              <a16:creationId xmlns:a16="http://schemas.microsoft.com/office/drawing/2014/main" id="{00000000-0008-0000-0B00-0000AA100000}"/>
            </a:ext>
          </a:extLst>
        </xdr:cNvPr>
        <xdr:cNvSpPr>
          <a:spLocks noChangeShapeType="1"/>
        </xdr:cNvSpPr>
      </xdr:nvSpPr>
      <xdr:spPr bwMode="auto">
        <a:xfrm>
          <a:off x="2194560" y="108432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60</xdr:row>
      <xdr:rowOff>0</xdr:rowOff>
    </xdr:from>
    <xdr:to>
      <xdr:col>6</xdr:col>
      <xdr:colOff>0</xdr:colOff>
      <xdr:row>60</xdr:row>
      <xdr:rowOff>0</xdr:rowOff>
    </xdr:to>
    <xdr:sp macro="" textlink="">
      <xdr:nvSpPr>
        <xdr:cNvPr id="4267" name="Line 54">
          <a:extLst>
            <a:ext uri="{FF2B5EF4-FFF2-40B4-BE49-F238E27FC236}">
              <a16:creationId xmlns:a16="http://schemas.microsoft.com/office/drawing/2014/main" id="{00000000-0008-0000-0B00-0000AB100000}"/>
            </a:ext>
          </a:extLst>
        </xdr:cNvPr>
        <xdr:cNvSpPr>
          <a:spLocks noChangeShapeType="1"/>
        </xdr:cNvSpPr>
      </xdr:nvSpPr>
      <xdr:spPr bwMode="auto">
        <a:xfrm>
          <a:off x="4389120" y="108432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29</xdr:row>
      <xdr:rowOff>0</xdr:rowOff>
    </xdr:from>
    <xdr:to>
      <xdr:col>7</xdr:col>
      <xdr:colOff>45720</xdr:colOff>
      <xdr:row>29</xdr:row>
      <xdr:rowOff>0</xdr:rowOff>
    </xdr:to>
    <xdr:sp macro="" textlink="">
      <xdr:nvSpPr>
        <xdr:cNvPr id="4268" name="Line 55">
          <a:extLst>
            <a:ext uri="{FF2B5EF4-FFF2-40B4-BE49-F238E27FC236}">
              <a16:creationId xmlns:a16="http://schemas.microsoft.com/office/drawing/2014/main" id="{00000000-0008-0000-0B00-0000AC100000}"/>
            </a:ext>
          </a:extLst>
        </xdr:cNvPr>
        <xdr:cNvSpPr>
          <a:spLocks noChangeShapeType="1"/>
        </xdr:cNvSpPr>
      </xdr:nvSpPr>
      <xdr:spPr bwMode="auto">
        <a:xfrm>
          <a:off x="4389120" y="552450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42</xdr:row>
      <xdr:rowOff>0</xdr:rowOff>
    </xdr:from>
    <xdr:to>
      <xdr:col>7</xdr:col>
      <xdr:colOff>45720</xdr:colOff>
      <xdr:row>42</xdr:row>
      <xdr:rowOff>0</xdr:rowOff>
    </xdr:to>
    <xdr:sp macro="" textlink="">
      <xdr:nvSpPr>
        <xdr:cNvPr id="4269" name="Line 56">
          <a:extLst>
            <a:ext uri="{FF2B5EF4-FFF2-40B4-BE49-F238E27FC236}">
              <a16:creationId xmlns:a16="http://schemas.microsoft.com/office/drawing/2014/main" id="{00000000-0008-0000-0B00-0000AD100000}"/>
            </a:ext>
          </a:extLst>
        </xdr:cNvPr>
        <xdr:cNvSpPr>
          <a:spLocks noChangeShapeType="1"/>
        </xdr:cNvSpPr>
      </xdr:nvSpPr>
      <xdr:spPr bwMode="auto">
        <a:xfrm>
          <a:off x="4389120" y="770382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57</xdr:row>
      <xdr:rowOff>0</xdr:rowOff>
    </xdr:from>
    <xdr:to>
      <xdr:col>7</xdr:col>
      <xdr:colOff>45720</xdr:colOff>
      <xdr:row>57</xdr:row>
      <xdr:rowOff>0</xdr:rowOff>
    </xdr:to>
    <xdr:sp macro="" textlink="">
      <xdr:nvSpPr>
        <xdr:cNvPr id="4270" name="Line 57">
          <a:extLst>
            <a:ext uri="{FF2B5EF4-FFF2-40B4-BE49-F238E27FC236}">
              <a16:creationId xmlns:a16="http://schemas.microsoft.com/office/drawing/2014/main" id="{00000000-0008-0000-0B00-0000AE100000}"/>
            </a:ext>
          </a:extLst>
        </xdr:cNvPr>
        <xdr:cNvSpPr>
          <a:spLocks noChangeShapeType="1"/>
        </xdr:cNvSpPr>
      </xdr:nvSpPr>
      <xdr:spPr bwMode="auto">
        <a:xfrm>
          <a:off x="4389120" y="1034034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69</xdr:row>
      <xdr:rowOff>0</xdr:rowOff>
    </xdr:from>
    <xdr:to>
      <xdr:col>6</xdr:col>
      <xdr:colOff>0</xdr:colOff>
      <xdr:row>69</xdr:row>
      <xdr:rowOff>0</xdr:rowOff>
    </xdr:to>
    <xdr:sp macro="" textlink="">
      <xdr:nvSpPr>
        <xdr:cNvPr id="4271" name="Line 58">
          <a:extLst>
            <a:ext uri="{FF2B5EF4-FFF2-40B4-BE49-F238E27FC236}">
              <a16:creationId xmlns:a16="http://schemas.microsoft.com/office/drawing/2014/main" id="{00000000-0008-0000-0B00-0000AF100000}"/>
            </a:ext>
          </a:extLst>
        </xdr:cNvPr>
        <xdr:cNvSpPr>
          <a:spLocks noChangeShapeType="1"/>
        </xdr:cNvSpPr>
      </xdr:nvSpPr>
      <xdr:spPr bwMode="auto">
        <a:xfrm>
          <a:off x="4389120" y="123520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69</xdr:row>
      <xdr:rowOff>0</xdr:rowOff>
    </xdr:from>
    <xdr:to>
      <xdr:col>14</xdr:col>
      <xdr:colOff>640080</xdr:colOff>
      <xdr:row>69</xdr:row>
      <xdr:rowOff>0</xdr:rowOff>
    </xdr:to>
    <xdr:sp macro="" textlink="">
      <xdr:nvSpPr>
        <xdr:cNvPr id="4272" name="Line 59">
          <a:extLst>
            <a:ext uri="{FF2B5EF4-FFF2-40B4-BE49-F238E27FC236}">
              <a16:creationId xmlns:a16="http://schemas.microsoft.com/office/drawing/2014/main" id="{00000000-0008-0000-0B00-0000B0100000}"/>
            </a:ext>
          </a:extLst>
        </xdr:cNvPr>
        <xdr:cNvSpPr>
          <a:spLocks noChangeShapeType="1"/>
        </xdr:cNvSpPr>
      </xdr:nvSpPr>
      <xdr:spPr bwMode="auto">
        <a:xfrm>
          <a:off x="10584180" y="123520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70</xdr:row>
      <xdr:rowOff>0</xdr:rowOff>
    </xdr:from>
    <xdr:to>
      <xdr:col>6</xdr:col>
      <xdr:colOff>0</xdr:colOff>
      <xdr:row>70</xdr:row>
      <xdr:rowOff>0</xdr:rowOff>
    </xdr:to>
    <xdr:sp macro="" textlink="">
      <xdr:nvSpPr>
        <xdr:cNvPr id="4273" name="Line 60">
          <a:extLst>
            <a:ext uri="{FF2B5EF4-FFF2-40B4-BE49-F238E27FC236}">
              <a16:creationId xmlns:a16="http://schemas.microsoft.com/office/drawing/2014/main" id="{00000000-0008-0000-0B00-0000B1100000}"/>
            </a:ext>
          </a:extLst>
        </xdr:cNvPr>
        <xdr:cNvSpPr>
          <a:spLocks noChangeShapeType="1"/>
        </xdr:cNvSpPr>
      </xdr:nvSpPr>
      <xdr:spPr bwMode="auto">
        <a:xfrm>
          <a:off x="4389120" y="125196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4274" name="Line 61">
          <a:extLst>
            <a:ext uri="{FF2B5EF4-FFF2-40B4-BE49-F238E27FC236}">
              <a16:creationId xmlns:a16="http://schemas.microsoft.com/office/drawing/2014/main" id="{00000000-0008-0000-0B00-0000B210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4275" name="Line 62">
          <a:extLst>
            <a:ext uri="{FF2B5EF4-FFF2-40B4-BE49-F238E27FC236}">
              <a16:creationId xmlns:a16="http://schemas.microsoft.com/office/drawing/2014/main" id="{00000000-0008-0000-0B00-0000B310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62</xdr:row>
      <xdr:rowOff>0</xdr:rowOff>
    </xdr:from>
    <xdr:to>
      <xdr:col>10</xdr:col>
      <xdr:colOff>0</xdr:colOff>
      <xdr:row>62</xdr:row>
      <xdr:rowOff>0</xdr:rowOff>
    </xdr:to>
    <xdr:sp macro="" textlink="">
      <xdr:nvSpPr>
        <xdr:cNvPr id="4276" name="Line 63">
          <a:extLst>
            <a:ext uri="{FF2B5EF4-FFF2-40B4-BE49-F238E27FC236}">
              <a16:creationId xmlns:a16="http://schemas.microsoft.com/office/drawing/2014/main" id="{00000000-0008-0000-0B00-0000B4100000}"/>
            </a:ext>
          </a:extLst>
        </xdr:cNvPr>
        <xdr:cNvSpPr>
          <a:spLocks noChangeShapeType="1"/>
        </xdr:cNvSpPr>
      </xdr:nvSpPr>
      <xdr:spPr bwMode="auto">
        <a:xfrm>
          <a:off x="6926580" y="111785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70</xdr:row>
      <xdr:rowOff>0</xdr:rowOff>
    </xdr:from>
    <xdr:to>
      <xdr:col>14</xdr:col>
      <xdr:colOff>640080</xdr:colOff>
      <xdr:row>70</xdr:row>
      <xdr:rowOff>0</xdr:rowOff>
    </xdr:to>
    <xdr:sp macro="" textlink="">
      <xdr:nvSpPr>
        <xdr:cNvPr id="4277" name="Line 64">
          <a:extLst>
            <a:ext uri="{FF2B5EF4-FFF2-40B4-BE49-F238E27FC236}">
              <a16:creationId xmlns:a16="http://schemas.microsoft.com/office/drawing/2014/main" id="{00000000-0008-0000-0B00-0000B5100000}"/>
            </a:ext>
          </a:extLst>
        </xdr:cNvPr>
        <xdr:cNvSpPr>
          <a:spLocks noChangeShapeType="1"/>
        </xdr:cNvSpPr>
      </xdr:nvSpPr>
      <xdr:spPr bwMode="auto">
        <a:xfrm>
          <a:off x="10584180" y="1251966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62</xdr:row>
      <xdr:rowOff>0</xdr:rowOff>
    </xdr:from>
    <xdr:to>
      <xdr:col>6</xdr:col>
      <xdr:colOff>0</xdr:colOff>
      <xdr:row>62</xdr:row>
      <xdr:rowOff>0</xdr:rowOff>
    </xdr:to>
    <xdr:sp macro="" textlink="">
      <xdr:nvSpPr>
        <xdr:cNvPr id="4278" name="Line 65">
          <a:extLst>
            <a:ext uri="{FF2B5EF4-FFF2-40B4-BE49-F238E27FC236}">
              <a16:creationId xmlns:a16="http://schemas.microsoft.com/office/drawing/2014/main" id="{00000000-0008-0000-0B00-0000B6100000}"/>
            </a:ext>
          </a:extLst>
        </xdr:cNvPr>
        <xdr:cNvSpPr>
          <a:spLocks noChangeShapeType="1"/>
        </xdr:cNvSpPr>
      </xdr:nvSpPr>
      <xdr:spPr bwMode="auto">
        <a:xfrm>
          <a:off x="4389120" y="111785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62</xdr:row>
      <xdr:rowOff>0</xdr:rowOff>
    </xdr:from>
    <xdr:to>
      <xdr:col>4</xdr:col>
      <xdr:colOff>7620</xdr:colOff>
      <xdr:row>62</xdr:row>
      <xdr:rowOff>0</xdr:rowOff>
    </xdr:to>
    <xdr:sp macro="" textlink="">
      <xdr:nvSpPr>
        <xdr:cNvPr id="4279" name="Line 66">
          <a:extLst>
            <a:ext uri="{FF2B5EF4-FFF2-40B4-BE49-F238E27FC236}">
              <a16:creationId xmlns:a16="http://schemas.microsoft.com/office/drawing/2014/main" id="{00000000-0008-0000-0B00-0000B7100000}"/>
            </a:ext>
          </a:extLst>
        </xdr:cNvPr>
        <xdr:cNvSpPr>
          <a:spLocks noChangeShapeType="1"/>
        </xdr:cNvSpPr>
      </xdr:nvSpPr>
      <xdr:spPr bwMode="auto">
        <a:xfrm>
          <a:off x="2194560" y="11178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4280" name="Line 67">
          <a:extLst>
            <a:ext uri="{FF2B5EF4-FFF2-40B4-BE49-F238E27FC236}">
              <a16:creationId xmlns:a16="http://schemas.microsoft.com/office/drawing/2014/main" id="{00000000-0008-0000-0B00-0000B810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4281" name="Line 68">
          <a:extLst>
            <a:ext uri="{FF2B5EF4-FFF2-40B4-BE49-F238E27FC236}">
              <a16:creationId xmlns:a16="http://schemas.microsoft.com/office/drawing/2014/main" id="{00000000-0008-0000-0B00-0000B910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4282" name="Line 69">
          <a:extLst>
            <a:ext uri="{FF2B5EF4-FFF2-40B4-BE49-F238E27FC236}">
              <a16:creationId xmlns:a16="http://schemas.microsoft.com/office/drawing/2014/main" id="{00000000-0008-0000-0B00-0000BA10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4283" name="Line 70">
          <a:extLst>
            <a:ext uri="{FF2B5EF4-FFF2-40B4-BE49-F238E27FC236}">
              <a16:creationId xmlns:a16="http://schemas.microsoft.com/office/drawing/2014/main" id="{00000000-0008-0000-0B00-0000BB10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68</xdr:row>
      <xdr:rowOff>0</xdr:rowOff>
    </xdr:from>
    <xdr:to>
      <xdr:col>7</xdr:col>
      <xdr:colOff>45720</xdr:colOff>
      <xdr:row>68</xdr:row>
      <xdr:rowOff>0</xdr:rowOff>
    </xdr:to>
    <xdr:sp macro="" textlink="">
      <xdr:nvSpPr>
        <xdr:cNvPr id="4284" name="Line 71">
          <a:extLst>
            <a:ext uri="{FF2B5EF4-FFF2-40B4-BE49-F238E27FC236}">
              <a16:creationId xmlns:a16="http://schemas.microsoft.com/office/drawing/2014/main" id="{00000000-0008-0000-0B00-0000BC100000}"/>
            </a:ext>
          </a:extLst>
        </xdr:cNvPr>
        <xdr:cNvSpPr>
          <a:spLocks noChangeShapeType="1"/>
        </xdr:cNvSpPr>
      </xdr:nvSpPr>
      <xdr:spPr bwMode="auto">
        <a:xfrm>
          <a:off x="4389120" y="1218438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70</xdr:row>
      <xdr:rowOff>0</xdr:rowOff>
    </xdr:from>
    <xdr:to>
      <xdr:col>4</xdr:col>
      <xdr:colOff>7620</xdr:colOff>
      <xdr:row>70</xdr:row>
      <xdr:rowOff>0</xdr:rowOff>
    </xdr:to>
    <xdr:sp macro="" textlink="">
      <xdr:nvSpPr>
        <xdr:cNvPr id="4285" name="Line 72">
          <a:extLst>
            <a:ext uri="{FF2B5EF4-FFF2-40B4-BE49-F238E27FC236}">
              <a16:creationId xmlns:a16="http://schemas.microsoft.com/office/drawing/2014/main" id="{00000000-0008-0000-0B00-0000BD100000}"/>
            </a:ext>
          </a:extLst>
        </xdr:cNvPr>
        <xdr:cNvSpPr>
          <a:spLocks noChangeShapeType="1"/>
        </xdr:cNvSpPr>
      </xdr:nvSpPr>
      <xdr:spPr bwMode="auto">
        <a:xfrm>
          <a:off x="2194560" y="12519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79</xdr:row>
      <xdr:rowOff>0</xdr:rowOff>
    </xdr:from>
    <xdr:to>
      <xdr:col>6</xdr:col>
      <xdr:colOff>0</xdr:colOff>
      <xdr:row>79</xdr:row>
      <xdr:rowOff>0</xdr:rowOff>
    </xdr:to>
    <xdr:sp macro="" textlink="">
      <xdr:nvSpPr>
        <xdr:cNvPr id="4286" name="Line 73">
          <a:extLst>
            <a:ext uri="{FF2B5EF4-FFF2-40B4-BE49-F238E27FC236}">
              <a16:creationId xmlns:a16="http://schemas.microsoft.com/office/drawing/2014/main" id="{00000000-0008-0000-0B00-0000BE100000}"/>
            </a:ext>
          </a:extLst>
        </xdr:cNvPr>
        <xdr:cNvSpPr>
          <a:spLocks noChangeShapeType="1"/>
        </xdr:cNvSpPr>
      </xdr:nvSpPr>
      <xdr:spPr bwMode="auto">
        <a:xfrm>
          <a:off x="4389120" y="140284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79</xdr:row>
      <xdr:rowOff>0</xdr:rowOff>
    </xdr:from>
    <xdr:to>
      <xdr:col>14</xdr:col>
      <xdr:colOff>640080</xdr:colOff>
      <xdr:row>79</xdr:row>
      <xdr:rowOff>0</xdr:rowOff>
    </xdr:to>
    <xdr:sp macro="" textlink="">
      <xdr:nvSpPr>
        <xdr:cNvPr id="4287" name="Line 74">
          <a:extLst>
            <a:ext uri="{FF2B5EF4-FFF2-40B4-BE49-F238E27FC236}">
              <a16:creationId xmlns:a16="http://schemas.microsoft.com/office/drawing/2014/main" id="{00000000-0008-0000-0B00-0000BF100000}"/>
            </a:ext>
          </a:extLst>
        </xdr:cNvPr>
        <xdr:cNvSpPr>
          <a:spLocks noChangeShapeType="1"/>
        </xdr:cNvSpPr>
      </xdr:nvSpPr>
      <xdr:spPr bwMode="auto">
        <a:xfrm>
          <a:off x="10584180" y="140284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4288" name="Line 75">
          <a:extLst>
            <a:ext uri="{FF2B5EF4-FFF2-40B4-BE49-F238E27FC236}">
              <a16:creationId xmlns:a16="http://schemas.microsoft.com/office/drawing/2014/main" id="{00000000-0008-0000-0B00-0000C010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4289" name="Line 76">
          <a:extLst>
            <a:ext uri="{FF2B5EF4-FFF2-40B4-BE49-F238E27FC236}">
              <a16:creationId xmlns:a16="http://schemas.microsoft.com/office/drawing/2014/main" id="{00000000-0008-0000-0B00-0000C110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72</xdr:row>
      <xdr:rowOff>0</xdr:rowOff>
    </xdr:from>
    <xdr:to>
      <xdr:col>10</xdr:col>
      <xdr:colOff>0</xdr:colOff>
      <xdr:row>72</xdr:row>
      <xdr:rowOff>0</xdr:rowOff>
    </xdr:to>
    <xdr:sp macro="" textlink="">
      <xdr:nvSpPr>
        <xdr:cNvPr id="4290" name="Line 77">
          <a:extLst>
            <a:ext uri="{FF2B5EF4-FFF2-40B4-BE49-F238E27FC236}">
              <a16:creationId xmlns:a16="http://schemas.microsoft.com/office/drawing/2014/main" id="{00000000-0008-0000-0B00-0000C2100000}"/>
            </a:ext>
          </a:extLst>
        </xdr:cNvPr>
        <xdr:cNvSpPr>
          <a:spLocks noChangeShapeType="1"/>
        </xdr:cNvSpPr>
      </xdr:nvSpPr>
      <xdr:spPr bwMode="auto">
        <a:xfrm>
          <a:off x="6926580" y="128549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72</xdr:row>
      <xdr:rowOff>0</xdr:rowOff>
    </xdr:from>
    <xdr:to>
      <xdr:col>6</xdr:col>
      <xdr:colOff>0</xdr:colOff>
      <xdr:row>72</xdr:row>
      <xdr:rowOff>0</xdr:rowOff>
    </xdr:to>
    <xdr:sp macro="" textlink="">
      <xdr:nvSpPr>
        <xdr:cNvPr id="4291" name="Line 78">
          <a:extLst>
            <a:ext uri="{FF2B5EF4-FFF2-40B4-BE49-F238E27FC236}">
              <a16:creationId xmlns:a16="http://schemas.microsoft.com/office/drawing/2014/main" id="{00000000-0008-0000-0B00-0000C3100000}"/>
            </a:ext>
          </a:extLst>
        </xdr:cNvPr>
        <xdr:cNvSpPr>
          <a:spLocks noChangeShapeType="1"/>
        </xdr:cNvSpPr>
      </xdr:nvSpPr>
      <xdr:spPr bwMode="auto">
        <a:xfrm>
          <a:off x="4389120" y="128549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72</xdr:row>
      <xdr:rowOff>0</xdr:rowOff>
    </xdr:from>
    <xdr:to>
      <xdr:col>4</xdr:col>
      <xdr:colOff>7620</xdr:colOff>
      <xdr:row>72</xdr:row>
      <xdr:rowOff>0</xdr:rowOff>
    </xdr:to>
    <xdr:sp macro="" textlink="">
      <xdr:nvSpPr>
        <xdr:cNvPr id="4292" name="Line 79">
          <a:extLst>
            <a:ext uri="{FF2B5EF4-FFF2-40B4-BE49-F238E27FC236}">
              <a16:creationId xmlns:a16="http://schemas.microsoft.com/office/drawing/2014/main" id="{00000000-0008-0000-0B00-0000C4100000}"/>
            </a:ext>
          </a:extLst>
        </xdr:cNvPr>
        <xdr:cNvSpPr>
          <a:spLocks noChangeShapeType="1"/>
        </xdr:cNvSpPr>
      </xdr:nvSpPr>
      <xdr:spPr bwMode="auto">
        <a:xfrm>
          <a:off x="2194560" y="128549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4293" name="Line 80">
          <a:extLst>
            <a:ext uri="{FF2B5EF4-FFF2-40B4-BE49-F238E27FC236}">
              <a16:creationId xmlns:a16="http://schemas.microsoft.com/office/drawing/2014/main" id="{00000000-0008-0000-0B00-0000C510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4294" name="Line 81">
          <a:extLst>
            <a:ext uri="{FF2B5EF4-FFF2-40B4-BE49-F238E27FC236}">
              <a16:creationId xmlns:a16="http://schemas.microsoft.com/office/drawing/2014/main" id="{00000000-0008-0000-0B00-0000C610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4295" name="Line 82">
          <a:extLst>
            <a:ext uri="{FF2B5EF4-FFF2-40B4-BE49-F238E27FC236}">
              <a16:creationId xmlns:a16="http://schemas.microsoft.com/office/drawing/2014/main" id="{00000000-0008-0000-0B00-0000C710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4296" name="Line 83">
          <a:extLst>
            <a:ext uri="{FF2B5EF4-FFF2-40B4-BE49-F238E27FC236}">
              <a16:creationId xmlns:a16="http://schemas.microsoft.com/office/drawing/2014/main" id="{00000000-0008-0000-0B00-0000C810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78</xdr:row>
      <xdr:rowOff>0</xdr:rowOff>
    </xdr:from>
    <xdr:to>
      <xdr:col>7</xdr:col>
      <xdr:colOff>45720</xdr:colOff>
      <xdr:row>78</xdr:row>
      <xdr:rowOff>0</xdr:rowOff>
    </xdr:to>
    <xdr:sp macro="" textlink="">
      <xdr:nvSpPr>
        <xdr:cNvPr id="4297" name="Line 84">
          <a:extLst>
            <a:ext uri="{FF2B5EF4-FFF2-40B4-BE49-F238E27FC236}">
              <a16:creationId xmlns:a16="http://schemas.microsoft.com/office/drawing/2014/main" id="{00000000-0008-0000-0B00-0000C9100000}"/>
            </a:ext>
          </a:extLst>
        </xdr:cNvPr>
        <xdr:cNvSpPr>
          <a:spLocks noChangeShapeType="1"/>
        </xdr:cNvSpPr>
      </xdr:nvSpPr>
      <xdr:spPr bwMode="auto">
        <a:xfrm>
          <a:off x="4389120" y="1386078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4298" name="Line 85">
          <a:extLst>
            <a:ext uri="{FF2B5EF4-FFF2-40B4-BE49-F238E27FC236}">
              <a16:creationId xmlns:a16="http://schemas.microsoft.com/office/drawing/2014/main" id="{00000000-0008-0000-0B00-0000CA100000}"/>
            </a:ext>
          </a:extLst>
        </xdr:cNvPr>
        <xdr:cNvSpPr>
          <a:spLocks noChangeShapeType="1"/>
        </xdr:cNvSpPr>
      </xdr:nvSpPr>
      <xdr:spPr bwMode="auto">
        <a:xfrm>
          <a:off x="69265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4299" name="Line 86">
          <a:extLst>
            <a:ext uri="{FF2B5EF4-FFF2-40B4-BE49-F238E27FC236}">
              <a16:creationId xmlns:a16="http://schemas.microsoft.com/office/drawing/2014/main" id="{00000000-0008-0000-0B00-0000CB100000}"/>
            </a:ext>
          </a:extLst>
        </xdr:cNvPr>
        <xdr:cNvSpPr>
          <a:spLocks noChangeShapeType="1"/>
        </xdr:cNvSpPr>
      </xdr:nvSpPr>
      <xdr:spPr bwMode="auto">
        <a:xfrm>
          <a:off x="43891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4300" name="Line 87">
          <a:extLst>
            <a:ext uri="{FF2B5EF4-FFF2-40B4-BE49-F238E27FC236}">
              <a16:creationId xmlns:a16="http://schemas.microsoft.com/office/drawing/2014/main" id="{00000000-0008-0000-0B00-0000CC100000}"/>
            </a:ext>
          </a:extLst>
        </xdr:cNvPr>
        <xdr:cNvSpPr>
          <a:spLocks noChangeShapeType="1"/>
        </xdr:cNvSpPr>
      </xdr:nvSpPr>
      <xdr:spPr bwMode="auto">
        <a:xfrm>
          <a:off x="21945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4301" name="Line 88">
          <a:extLst>
            <a:ext uri="{FF2B5EF4-FFF2-40B4-BE49-F238E27FC236}">
              <a16:creationId xmlns:a16="http://schemas.microsoft.com/office/drawing/2014/main" id="{00000000-0008-0000-0B00-0000CD100000}"/>
            </a:ext>
          </a:extLst>
        </xdr:cNvPr>
        <xdr:cNvSpPr>
          <a:spLocks noChangeShapeType="1"/>
        </xdr:cNvSpPr>
      </xdr:nvSpPr>
      <xdr:spPr bwMode="auto">
        <a:xfrm>
          <a:off x="4389120" y="1536954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44</xdr:row>
      <xdr:rowOff>0</xdr:rowOff>
    </xdr:from>
    <xdr:to>
      <xdr:col>6</xdr:col>
      <xdr:colOff>0</xdr:colOff>
      <xdr:row>44</xdr:row>
      <xdr:rowOff>0</xdr:rowOff>
    </xdr:to>
    <xdr:sp macro="" textlink="">
      <xdr:nvSpPr>
        <xdr:cNvPr id="4302" name="Line 89">
          <a:extLst>
            <a:ext uri="{FF2B5EF4-FFF2-40B4-BE49-F238E27FC236}">
              <a16:creationId xmlns:a16="http://schemas.microsoft.com/office/drawing/2014/main" id="{00000000-0008-0000-0B00-0000CE100000}"/>
            </a:ext>
          </a:extLst>
        </xdr:cNvPr>
        <xdr:cNvSpPr>
          <a:spLocks noChangeShapeType="1"/>
        </xdr:cNvSpPr>
      </xdr:nvSpPr>
      <xdr:spPr bwMode="auto">
        <a:xfrm>
          <a:off x="4389120" y="80391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43</xdr:row>
      <xdr:rowOff>0</xdr:rowOff>
    </xdr:from>
    <xdr:to>
      <xdr:col>6</xdr:col>
      <xdr:colOff>0</xdr:colOff>
      <xdr:row>43</xdr:row>
      <xdr:rowOff>0</xdr:rowOff>
    </xdr:to>
    <xdr:sp macro="" textlink="">
      <xdr:nvSpPr>
        <xdr:cNvPr id="4303" name="Line 90">
          <a:extLst>
            <a:ext uri="{FF2B5EF4-FFF2-40B4-BE49-F238E27FC236}">
              <a16:creationId xmlns:a16="http://schemas.microsoft.com/office/drawing/2014/main" id="{00000000-0008-0000-0B00-0000CF100000}"/>
            </a:ext>
          </a:extLst>
        </xdr:cNvPr>
        <xdr:cNvSpPr>
          <a:spLocks noChangeShapeType="1"/>
        </xdr:cNvSpPr>
      </xdr:nvSpPr>
      <xdr:spPr bwMode="auto">
        <a:xfrm>
          <a:off x="4389120" y="78714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59</xdr:row>
      <xdr:rowOff>0</xdr:rowOff>
    </xdr:from>
    <xdr:to>
      <xdr:col>6</xdr:col>
      <xdr:colOff>0</xdr:colOff>
      <xdr:row>59</xdr:row>
      <xdr:rowOff>0</xdr:rowOff>
    </xdr:to>
    <xdr:sp macro="" textlink="">
      <xdr:nvSpPr>
        <xdr:cNvPr id="4304" name="Line 91">
          <a:extLst>
            <a:ext uri="{FF2B5EF4-FFF2-40B4-BE49-F238E27FC236}">
              <a16:creationId xmlns:a16="http://schemas.microsoft.com/office/drawing/2014/main" id="{00000000-0008-0000-0B00-0000D0100000}"/>
            </a:ext>
          </a:extLst>
        </xdr:cNvPr>
        <xdr:cNvSpPr>
          <a:spLocks noChangeShapeType="1"/>
        </xdr:cNvSpPr>
      </xdr:nvSpPr>
      <xdr:spPr bwMode="auto">
        <a:xfrm>
          <a:off x="4389120" y="106756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58</xdr:row>
      <xdr:rowOff>0</xdr:rowOff>
    </xdr:from>
    <xdr:to>
      <xdr:col>6</xdr:col>
      <xdr:colOff>0</xdr:colOff>
      <xdr:row>58</xdr:row>
      <xdr:rowOff>0</xdr:rowOff>
    </xdr:to>
    <xdr:sp macro="" textlink="">
      <xdr:nvSpPr>
        <xdr:cNvPr id="4305" name="Line 92">
          <a:extLst>
            <a:ext uri="{FF2B5EF4-FFF2-40B4-BE49-F238E27FC236}">
              <a16:creationId xmlns:a16="http://schemas.microsoft.com/office/drawing/2014/main" id="{00000000-0008-0000-0B00-0000D1100000}"/>
            </a:ext>
          </a:extLst>
        </xdr:cNvPr>
        <xdr:cNvSpPr>
          <a:spLocks noChangeShapeType="1"/>
        </xdr:cNvSpPr>
      </xdr:nvSpPr>
      <xdr:spPr bwMode="auto">
        <a:xfrm>
          <a:off x="4389120" y="105079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31</xdr:row>
      <xdr:rowOff>0</xdr:rowOff>
    </xdr:from>
    <xdr:to>
      <xdr:col>10</xdr:col>
      <xdr:colOff>0</xdr:colOff>
      <xdr:row>31</xdr:row>
      <xdr:rowOff>0</xdr:rowOff>
    </xdr:to>
    <xdr:sp macro="" textlink="">
      <xdr:nvSpPr>
        <xdr:cNvPr id="4306" name="Line 93">
          <a:extLst>
            <a:ext uri="{FF2B5EF4-FFF2-40B4-BE49-F238E27FC236}">
              <a16:creationId xmlns:a16="http://schemas.microsoft.com/office/drawing/2014/main" id="{00000000-0008-0000-0B00-0000D2100000}"/>
            </a:ext>
          </a:extLst>
        </xdr:cNvPr>
        <xdr:cNvSpPr>
          <a:spLocks noChangeShapeType="1"/>
        </xdr:cNvSpPr>
      </xdr:nvSpPr>
      <xdr:spPr bwMode="auto">
        <a:xfrm>
          <a:off x="6926580" y="58597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30</xdr:row>
      <xdr:rowOff>0</xdr:rowOff>
    </xdr:from>
    <xdr:to>
      <xdr:col>10</xdr:col>
      <xdr:colOff>0</xdr:colOff>
      <xdr:row>30</xdr:row>
      <xdr:rowOff>0</xdr:rowOff>
    </xdr:to>
    <xdr:sp macro="" textlink="">
      <xdr:nvSpPr>
        <xdr:cNvPr id="4307" name="Line 94">
          <a:extLst>
            <a:ext uri="{FF2B5EF4-FFF2-40B4-BE49-F238E27FC236}">
              <a16:creationId xmlns:a16="http://schemas.microsoft.com/office/drawing/2014/main" id="{00000000-0008-0000-0B00-0000D3100000}"/>
            </a:ext>
          </a:extLst>
        </xdr:cNvPr>
        <xdr:cNvSpPr>
          <a:spLocks noChangeShapeType="1"/>
        </xdr:cNvSpPr>
      </xdr:nvSpPr>
      <xdr:spPr bwMode="auto">
        <a:xfrm>
          <a:off x="6926580" y="56921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44</xdr:row>
      <xdr:rowOff>0</xdr:rowOff>
    </xdr:from>
    <xdr:to>
      <xdr:col>10</xdr:col>
      <xdr:colOff>0</xdr:colOff>
      <xdr:row>44</xdr:row>
      <xdr:rowOff>0</xdr:rowOff>
    </xdr:to>
    <xdr:sp macro="" textlink="">
      <xdr:nvSpPr>
        <xdr:cNvPr id="4308" name="Line 95">
          <a:extLst>
            <a:ext uri="{FF2B5EF4-FFF2-40B4-BE49-F238E27FC236}">
              <a16:creationId xmlns:a16="http://schemas.microsoft.com/office/drawing/2014/main" id="{00000000-0008-0000-0B00-0000D4100000}"/>
            </a:ext>
          </a:extLst>
        </xdr:cNvPr>
        <xdr:cNvSpPr>
          <a:spLocks noChangeShapeType="1"/>
        </xdr:cNvSpPr>
      </xdr:nvSpPr>
      <xdr:spPr bwMode="auto">
        <a:xfrm>
          <a:off x="6926580" y="80391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43</xdr:row>
      <xdr:rowOff>0</xdr:rowOff>
    </xdr:from>
    <xdr:to>
      <xdr:col>10</xdr:col>
      <xdr:colOff>0</xdr:colOff>
      <xdr:row>43</xdr:row>
      <xdr:rowOff>0</xdr:rowOff>
    </xdr:to>
    <xdr:sp macro="" textlink="">
      <xdr:nvSpPr>
        <xdr:cNvPr id="4309" name="Line 96">
          <a:extLst>
            <a:ext uri="{FF2B5EF4-FFF2-40B4-BE49-F238E27FC236}">
              <a16:creationId xmlns:a16="http://schemas.microsoft.com/office/drawing/2014/main" id="{00000000-0008-0000-0B00-0000D5100000}"/>
            </a:ext>
          </a:extLst>
        </xdr:cNvPr>
        <xdr:cNvSpPr>
          <a:spLocks noChangeShapeType="1"/>
        </xdr:cNvSpPr>
      </xdr:nvSpPr>
      <xdr:spPr bwMode="auto">
        <a:xfrm>
          <a:off x="6926580" y="78714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59</xdr:row>
      <xdr:rowOff>0</xdr:rowOff>
    </xdr:from>
    <xdr:to>
      <xdr:col>10</xdr:col>
      <xdr:colOff>0</xdr:colOff>
      <xdr:row>59</xdr:row>
      <xdr:rowOff>0</xdr:rowOff>
    </xdr:to>
    <xdr:sp macro="" textlink="">
      <xdr:nvSpPr>
        <xdr:cNvPr id="4310" name="Line 97">
          <a:extLst>
            <a:ext uri="{FF2B5EF4-FFF2-40B4-BE49-F238E27FC236}">
              <a16:creationId xmlns:a16="http://schemas.microsoft.com/office/drawing/2014/main" id="{00000000-0008-0000-0B00-0000D6100000}"/>
            </a:ext>
          </a:extLst>
        </xdr:cNvPr>
        <xdr:cNvSpPr>
          <a:spLocks noChangeShapeType="1"/>
        </xdr:cNvSpPr>
      </xdr:nvSpPr>
      <xdr:spPr bwMode="auto">
        <a:xfrm>
          <a:off x="6926580" y="106756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58</xdr:row>
      <xdr:rowOff>0</xdr:rowOff>
    </xdr:from>
    <xdr:to>
      <xdr:col>10</xdr:col>
      <xdr:colOff>0</xdr:colOff>
      <xdr:row>58</xdr:row>
      <xdr:rowOff>0</xdr:rowOff>
    </xdr:to>
    <xdr:sp macro="" textlink="">
      <xdr:nvSpPr>
        <xdr:cNvPr id="4311" name="Line 98">
          <a:extLst>
            <a:ext uri="{FF2B5EF4-FFF2-40B4-BE49-F238E27FC236}">
              <a16:creationId xmlns:a16="http://schemas.microsoft.com/office/drawing/2014/main" id="{00000000-0008-0000-0B00-0000D7100000}"/>
            </a:ext>
          </a:extLst>
        </xdr:cNvPr>
        <xdr:cNvSpPr>
          <a:spLocks noChangeShapeType="1"/>
        </xdr:cNvSpPr>
      </xdr:nvSpPr>
      <xdr:spPr bwMode="auto">
        <a:xfrm>
          <a:off x="6926580" y="105079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70</xdr:row>
      <xdr:rowOff>0</xdr:rowOff>
    </xdr:from>
    <xdr:to>
      <xdr:col>10</xdr:col>
      <xdr:colOff>0</xdr:colOff>
      <xdr:row>70</xdr:row>
      <xdr:rowOff>0</xdr:rowOff>
    </xdr:to>
    <xdr:sp macro="" textlink="">
      <xdr:nvSpPr>
        <xdr:cNvPr id="4312" name="Line 99">
          <a:extLst>
            <a:ext uri="{FF2B5EF4-FFF2-40B4-BE49-F238E27FC236}">
              <a16:creationId xmlns:a16="http://schemas.microsoft.com/office/drawing/2014/main" id="{00000000-0008-0000-0B00-0000D8100000}"/>
            </a:ext>
          </a:extLst>
        </xdr:cNvPr>
        <xdr:cNvSpPr>
          <a:spLocks noChangeShapeType="1"/>
        </xdr:cNvSpPr>
      </xdr:nvSpPr>
      <xdr:spPr bwMode="auto">
        <a:xfrm>
          <a:off x="6926580" y="125196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69</xdr:row>
      <xdr:rowOff>0</xdr:rowOff>
    </xdr:from>
    <xdr:to>
      <xdr:col>10</xdr:col>
      <xdr:colOff>0</xdr:colOff>
      <xdr:row>69</xdr:row>
      <xdr:rowOff>0</xdr:rowOff>
    </xdr:to>
    <xdr:sp macro="" textlink="">
      <xdr:nvSpPr>
        <xdr:cNvPr id="4313" name="Line 100">
          <a:extLst>
            <a:ext uri="{FF2B5EF4-FFF2-40B4-BE49-F238E27FC236}">
              <a16:creationId xmlns:a16="http://schemas.microsoft.com/office/drawing/2014/main" id="{00000000-0008-0000-0B00-0000D9100000}"/>
            </a:ext>
          </a:extLst>
        </xdr:cNvPr>
        <xdr:cNvSpPr>
          <a:spLocks noChangeShapeType="1"/>
        </xdr:cNvSpPr>
      </xdr:nvSpPr>
      <xdr:spPr bwMode="auto">
        <a:xfrm>
          <a:off x="6926580" y="123520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79</xdr:row>
      <xdr:rowOff>0</xdr:rowOff>
    </xdr:from>
    <xdr:to>
      <xdr:col>10</xdr:col>
      <xdr:colOff>0</xdr:colOff>
      <xdr:row>79</xdr:row>
      <xdr:rowOff>0</xdr:rowOff>
    </xdr:to>
    <xdr:sp macro="" textlink="">
      <xdr:nvSpPr>
        <xdr:cNvPr id="4314" name="Line 101">
          <a:extLst>
            <a:ext uri="{FF2B5EF4-FFF2-40B4-BE49-F238E27FC236}">
              <a16:creationId xmlns:a16="http://schemas.microsoft.com/office/drawing/2014/main" id="{00000000-0008-0000-0B00-0000DA100000}"/>
            </a:ext>
          </a:extLst>
        </xdr:cNvPr>
        <xdr:cNvSpPr>
          <a:spLocks noChangeShapeType="1"/>
        </xdr:cNvSpPr>
      </xdr:nvSpPr>
      <xdr:spPr bwMode="auto">
        <a:xfrm>
          <a:off x="6926580" y="14028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4315" name="Line 102">
          <a:extLst>
            <a:ext uri="{FF2B5EF4-FFF2-40B4-BE49-F238E27FC236}">
              <a16:creationId xmlns:a16="http://schemas.microsoft.com/office/drawing/2014/main" id="{00000000-0008-0000-0B00-0000DB100000}"/>
            </a:ext>
          </a:extLst>
        </xdr:cNvPr>
        <xdr:cNvSpPr>
          <a:spLocks noChangeShapeType="1"/>
        </xdr:cNvSpPr>
      </xdr:nvSpPr>
      <xdr:spPr bwMode="auto">
        <a:xfrm>
          <a:off x="21945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4316" name="Line 108">
          <a:extLst>
            <a:ext uri="{FF2B5EF4-FFF2-40B4-BE49-F238E27FC236}">
              <a16:creationId xmlns:a16="http://schemas.microsoft.com/office/drawing/2014/main" id="{00000000-0008-0000-0B00-0000DC100000}"/>
            </a:ext>
          </a:extLst>
        </xdr:cNvPr>
        <xdr:cNvSpPr>
          <a:spLocks noChangeShapeType="1"/>
        </xdr:cNvSpPr>
      </xdr:nvSpPr>
      <xdr:spPr bwMode="auto">
        <a:xfrm>
          <a:off x="69265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4317" name="Line 109">
          <a:extLst>
            <a:ext uri="{FF2B5EF4-FFF2-40B4-BE49-F238E27FC236}">
              <a16:creationId xmlns:a16="http://schemas.microsoft.com/office/drawing/2014/main" id="{00000000-0008-0000-0B00-0000DD100000}"/>
            </a:ext>
          </a:extLst>
        </xdr:cNvPr>
        <xdr:cNvSpPr>
          <a:spLocks noChangeShapeType="1"/>
        </xdr:cNvSpPr>
      </xdr:nvSpPr>
      <xdr:spPr bwMode="auto">
        <a:xfrm>
          <a:off x="43891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4318" name="Line 110">
          <a:extLst>
            <a:ext uri="{FF2B5EF4-FFF2-40B4-BE49-F238E27FC236}">
              <a16:creationId xmlns:a16="http://schemas.microsoft.com/office/drawing/2014/main" id="{00000000-0008-0000-0B00-0000DE100000}"/>
            </a:ext>
          </a:extLst>
        </xdr:cNvPr>
        <xdr:cNvSpPr>
          <a:spLocks noChangeShapeType="1"/>
        </xdr:cNvSpPr>
      </xdr:nvSpPr>
      <xdr:spPr bwMode="auto">
        <a:xfrm>
          <a:off x="21945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4319" name="Line 111">
          <a:extLst>
            <a:ext uri="{FF2B5EF4-FFF2-40B4-BE49-F238E27FC236}">
              <a16:creationId xmlns:a16="http://schemas.microsoft.com/office/drawing/2014/main" id="{00000000-0008-0000-0B00-0000DF100000}"/>
            </a:ext>
          </a:extLst>
        </xdr:cNvPr>
        <xdr:cNvSpPr>
          <a:spLocks noChangeShapeType="1"/>
        </xdr:cNvSpPr>
      </xdr:nvSpPr>
      <xdr:spPr bwMode="auto">
        <a:xfrm>
          <a:off x="4389120" y="1536954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4320" name="Line 112">
          <a:extLst>
            <a:ext uri="{FF2B5EF4-FFF2-40B4-BE49-F238E27FC236}">
              <a16:creationId xmlns:a16="http://schemas.microsoft.com/office/drawing/2014/main" id="{00000000-0008-0000-0B00-0000E0100000}"/>
            </a:ext>
          </a:extLst>
        </xdr:cNvPr>
        <xdr:cNvSpPr>
          <a:spLocks noChangeShapeType="1"/>
        </xdr:cNvSpPr>
      </xdr:nvSpPr>
      <xdr:spPr bwMode="auto">
        <a:xfrm>
          <a:off x="21945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4321" name="Line 75">
          <a:extLst>
            <a:ext uri="{FF2B5EF4-FFF2-40B4-BE49-F238E27FC236}">
              <a16:creationId xmlns:a16="http://schemas.microsoft.com/office/drawing/2014/main" id="{00000000-0008-0000-0B00-0000E1100000}"/>
            </a:ext>
          </a:extLst>
        </xdr:cNvPr>
        <xdr:cNvSpPr>
          <a:spLocks noChangeShapeType="1"/>
        </xdr:cNvSpPr>
      </xdr:nvSpPr>
      <xdr:spPr bwMode="auto">
        <a:xfrm>
          <a:off x="2194560" y="19560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4322" name="Line 87">
          <a:extLst>
            <a:ext uri="{FF2B5EF4-FFF2-40B4-BE49-F238E27FC236}">
              <a16:creationId xmlns:a16="http://schemas.microsoft.com/office/drawing/2014/main" id="{00000000-0008-0000-0B00-0000E2100000}"/>
            </a:ext>
          </a:extLst>
        </xdr:cNvPr>
        <xdr:cNvSpPr>
          <a:spLocks noChangeShapeType="1"/>
        </xdr:cNvSpPr>
      </xdr:nvSpPr>
      <xdr:spPr bwMode="auto">
        <a:xfrm>
          <a:off x="2194560" y="20734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4323" name="Line 75">
          <a:extLst>
            <a:ext uri="{FF2B5EF4-FFF2-40B4-BE49-F238E27FC236}">
              <a16:creationId xmlns:a16="http://schemas.microsoft.com/office/drawing/2014/main" id="{00000000-0008-0000-0B00-0000E3100000}"/>
            </a:ext>
          </a:extLst>
        </xdr:cNvPr>
        <xdr:cNvSpPr>
          <a:spLocks noChangeShapeType="1"/>
        </xdr:cNvSpPr>
      </xdr:nvSpPr>
      <xdr:spPr bwMode="auto">
        <a:xfrm>
          <a:off x="2194560" y="197281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4324" name="Line 79">
          <a:extLst>
            <a:ext uri="{FF2B5EF4-FFF2-40B4-BE49-F238E27FC236}">
              <a16:creationId xmlns:a16="http://schemas.microsoft.com/office/drawing/2014/main" id="{00000000-0008-0000-0B00-0000E4100000}"/>
            </a:ext>
          </a:extLst>
        </xdr:cNvPr>
        <xdr:cNvSpPr>
          <a:spLocks noChangeShapeType="1"/>
        </xdr:cNvSpPr>
      </xdr:nvSpPr>
      <xdr:spPr bwMode="auto">
        <a:xfrm>
          <a:off x="2194560" y="18554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4325" name="Line 87">
          <a:extLst>
            <a:ext uri="{FF2B5EF4-FFF2-40B4-BE49-F238E27FC236}">
              <a16:creationId xmlns:a16="http://schemas.microsoft.com/office/drawing/2014/main" id="{00000000-0008-0000-0B00-0000E5100000}"/>
            </a:ext>
          </a:extLst>
        </xdr:cNvPr>
        <xdr:cNvSpPr>
          <a:spLocks noChangeShapeType="1"/>
        </xdr:cNvSpPr>
      </xdr:nvSpPr>
      <xdr:spPr bwMode="auto">
        <a:xfrm>
          <a:off x="2194560" y="20901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4326" name="Line 75">
          <a:extLst>
            <a:ext uri="{FF2B5EF4-FFF2-40B4-BE49-F238E27FC236}">
              <a16:creationId xmlns:a16="http://schemas.microsoft.com/office/drawing/2014/main" id="{00000000-0008-0000-0B00-0000E6100000}"/>
            </a:ext>
          </a:extLst>
        </xdr:cNvPr>
        <xdr:cNvSpPr>
          <a:spLocks noChangeShapeType="1"/>
        </xdr:cNvSpPr>
      </xdr:nvSpPr>
      <xdr:spPr bwMode="auto">
        <a:xfrm>
          <a:off x="2194560" y="19560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4327" name="Line 87">
          <a:extLst>
            <a:ext uri="{FF2B5EF4-FFF2-40B4-BE49-F238E27FC236}">
              <a16:creationId xmlns:a16="http://schemas.microsoft.com/office/drawing/2014/main" id="{00000000-0008-0000-0B00-0000E7100000}"/>
            </a:ext>
          </a:extLst>
        </xdr:cNvPr>
        <xdr:cNvSpPr>
          <a:spLocks noChangeShapeType="1"/>
        </xdr:cNvSpPr>
      </xdr:nvSpPr>
      <xdr:spPr bwMode="auto">
        <a:xfrm>
          <a:off x="2194560" y="20734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4328" name="Line 75">
          <a:extLst>
            <a:ext uri="{FF2B5EF4-FFF2-40B4-BE49-F238E27FC236}">
              <a16:creationId xmlns:a16="http://schemas.microsoft.com/office/drawing/2014/main" id="{00000000-0008-0000-0B00-0000E8100000}"/>
            </a:ext>
          </a:extLst>
        </xdr:cNvPr>
        <xdr:cNvSpPr>
          <a:spLocks noChangeShapeType="1"/>
        </xdr:cNvSpPr>
      </xdr:nvSpPr>
      <xdr:spPr bwMode="auto">
        <a:xfrm>
          <a:off x="2194560" y="197281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4329" name="Line 79">
          <a:extLst>
            <a:ext uri="{FF2B5EF4-FFF2-40B4-BE49-F238E27FC236}">
              <a16:creationId xmlns:a16="http://schemas.microsoft.com/office/drawing/2014/main" id="{00000000-0008-0000-0B00-0000E9100000}"/>
            </a:ext>
          </a:extLst>
        </xdr:cNvPr>
        <xdr:cNvSpPr>
          <a:spLocks noChangeShapeType="1"/>
        </xdr:cNvSpPr>
      </xdr:nvSpPr>
      <xdr:spPr bwMode="auto">
        <a:xfrm>
          <a:off x="2194560" y="18554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4330" name="Line 87">
          <a:extLst>
            <a:ext uri="{FF2B5EF4-FFF2-40B4-BE49-F238E27FC236}">
              <a16:creationId xmlns:a16="http://schemas.microsoft.com/office/drawing/2014/main" id="{00000000-0008-0000-0B00-0000EA100000}"/>
            </a:ext>
          </a:extLst>
        </xdr:cNvPr>
        <xdr:cNvSpPr>
          <a:spLocks noChangeShapeType="1"/>
        </xdr:cNvSpPr>
      </xdr:nvSpPr>
      <xdr:spPr bwMode="auto">
        <a:xfrm>
          <a:off x="2194560" y="20901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purl.oclc.org/ooxml/drawingml/spreadsheetDrawing" xmlns:a="http://purl.oclc.org/ooxml/drawingml/main">
  <xdr:twoCellAnchor>
    <xdr:from>
      <xdr:col>6</xdr:col>
      <xdr:colOff>0</xdr:colOff>
      <xdr:row>30</xdr:row>
      <xdr:rowOff>0</xdr:rowOff>
    </xdr:from>
    <xdr:to>
      <xdr:col>6</xdr:col>
      <xdr:colOff>0</xdr:colOff>
      <xdr:row>30</xdr:row>
      <xdr:rowOff>0</xdr:rowOff>
    </xdr:to>
    <xdr:sp macro="" textlink="">
      <xdr:nvSpPr>
        <xdr:cNvPr id="6262" name="Line 1">
          <a:extLst>
            <a:ext uri="{FF2B5EF4-FFF2-40B4-BE49-F238E27FC236}">
              <a16:creationId xmlns:a16="http://schemas.microsoft.com/office/drawing/2014/main" id="{00000000-0008-0000-0D00-000076180000}"/>
            </a:ext>
          </a:extLst>
        </xdr:cNvPr>
        <xdr:cNvSpPr>
          <a:spLocks noChangeShapeType="1"/>
        </xdr:cNvSpPr>
      </xdr:nvSpPr>
      <xdr:spPr bwMode="auto">
        <a:xfrm>
          <a:off x="4389120" y="56921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31</xdr:row>
      <xdr:rowOff>0</xdr:rowOff>
    </xdr:from>
    <xdr:to>
      <xdr:col>6</xdr:col>
      <xdr:colOff>0</xdr:colOff>
      <xdr:row>31</xdr:row>
      <xdr:rowOff>0</xdr:rowOff>
    </xdr:to>
    <xdr:sp macro="" textlink="">
      <xdr:nvSpPr>
        <xdr:cNvPr id="6263" name="Line 2">
          <a:extLst>
            <a:ext uri="{FF2B5EF4-FFF2-40B4-BE49-F238E27FC236}">
              <a16:creationId xmlns:a16="http://schemas.microsoft.com/office/drawing/2014/main" id="{00000000-0008-0000-0D00-000077180000}"/>
            </a:ext>
          </a:extLst>
        </xdr:cNvPr>
        <xdr:cNvSpPr>
          <a:spLocks noChangeShapeType="1"/>
        </xdr:cNvSpPr>
      </xdr:nvSpPr>
      <xdr:spPr bwMode="auto">
        <a:xfrm>
          <a:off x="4389120" y="58597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23</xdr:row>
      <xdr:rowOff>0</xdr:rowOff>
    </xdr:from>
    <xdr:to>
      <xdr:col>6</xdr:col>
      <xdr:colOff>0</xdr:colOff>
      <xdr:row>23</xdr:row>
      <xdr:rowOff>0</xdr:rowOff>
    </xdr:to>
    <xdr:sp macro="" textlink="">
      <xdr:nvSpPr>
        <xdr:cNvPr id="6264" name="Line 3">
          <a:extLst>
            <a:ext uri="{FF2B5EF4-FFF2-40B4-BE49-F238E27FC236}">
              <a16:creationId xmlns:a16="http://schemas.microsoft.com/office/drawing/2014/main" id="{00000000-0008-0000-0D00-000078180000}"/>
            </a:ext>
          </a:extLst>
        </xdr:cNvPr>
        <xdr:cNvSpPr>
          <a:spLocks noChangeShapeType="1"/>
        </xdr:cNvSpPr>
      </xdr:nvSpPr>
      <xdr:spPr bwMode="auto">
        <a:xfrm>
          <a:off x="4389120" y="45186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23</xdr:row>
      <xdr:rowOff>0</xdr:rowOff>
    </xdr:from>
    <xdr:to>
      <xdr:col>9</xdr:col>
      <xdr:colOff>662940</xdr:colOff>
      <xdr:row>23</xdr:row>
      <xdr:rowOff>0</xdr:rowOff>
    </xdr:to>
    <xdr:sp macro="" textlink="">
      <xdr:nvSpPr>
        <xdr:cNvPr id="6265" name="Line 4">
          <a:extLst>
            <a:ext uri="{FF2B5EF4-FFF2-40B4-BE49-F238E27FC236}">
              <a16:creationId xmlns:a16="http://schemas.microsoft.com/office/drawing/2014/main" id="{00000000-0008-0000-0D00-000079180000}"/>
            </a:ext>
          </a:extLst>
        </xdr:cNvPr>
        <xdr:cNvSpPr>
          <a:spLocks noChangeShapeType="1"/>
        </xdr:cNvSpPr>
      </xdr:nvSpPr>
      <xdr:spPr bwMode="auto">
        <a:xfrm>
          <a:off x="6926580" y="451866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30</xdr:row>
      <xdr:rowOff>0</xdr:rowOff>
    </xdr:from>
    <xdr:to>
      <xdr:col>14</xdr:col>
      <xdr:colOff>662940</xdr:colOff>
      <xdr:row>30</xdr:row>
      <xdr:rowOff>0</xdr:rowOff>
    </xdr:to>
    <xdr:sp macro="" textlink="">
      <xdr:nvSpPr>
        <xdr:cNvPr id="6266" name="Line 5">
          <a:extLst>
            <a:ext uri="{FF2B5EF4-FFF2-40B4-BE49-F238E27FC236}">
              <a16:creationId xmlns:a16="http://schemas.microsoft.com/office/drawing/2014/main" id="{00000000-0008-0000-0D00-00007A180000}"/>
            </a:ext>
          </a:extLst>
        </xdr:cNvPr>
        <xdr:cNvSpPr>
          <a:spLocks noChangeShapeType="1"/>
        </xdr:cNvSpPr>
      </xdr:nvSpPr>
      <xdr:spPr bwMode="auto">
        <a:xfrm>
          <a:off x="10584180" y="569214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31</xdr:row>
      <xdr:rowOff>0</xdr:rowOff>
    </xdr:from>
    <xdr:to>
      <xdr:col>14</xdr:col>
      <xdr:colOff>662940</xdr:colOff>
      <xdr:row>31</xdr:row>
      <xdr:rowOff>0</xdr:rowOff>
    </xdr:to>
    <xdr:sp macro="" textlink="">
      <xdr:nvSpPr>
        <xdr:cNvPr id="6267" name="Line 6">
          <a:extLst>
            <a:ext uri="{FF2B5EF4-FFF2-40B4-BE49-F238E27FC236}">
              <a16:creationId xmlns:a16="http://schemas.microsoft.com/office/drawing/2014/main" id="{00000000-0008-0000-0D00-00007B180000}"/>
            </a:ext>
          </a:extLst>
        </xdr:cNvPr>
        <xdr:cNvSpPr>
          <a:spLocks noChangeShapeType="1"/>
        </xdr:cNvSpPr>
      </xdr:nvSpPr>
      <xdr:spPr bwMode="auto">
        <a:xfrm>
          <a:off x="10584180" y="585978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32</xdr:row>
      <xdr:rowOff>0</xdr:rowOff>
    </xdr:from>
    <xdr:to>
      <xdr:col>6</xdr:col>
      <xdr:colOff>0</xdr:colOff>
      <xdr:row>32</xdr:row>
      <xdr:rowOff>0</xdr:rowOff>
    </xdr:to>
    <xdr:sp macro="" textlink="">
      <xdr:nvSpPr>
        <xdr:cNvPr id="6268" name="Line 7">
          <a:extLst>
            <a:ext uri="{FF2B5EF4-FFF2-40B4-BE49-F238E27FC236}">
              <a16:creationId xmlns:a16="http://schemas.microsoft.com/office/drawing/2014/main" id="{00000000-0008-0000-0D00-00007C180000}"/>
            </a:ext>
          </a:extLst>
        </xdr:cNvPr>
        <xdr:cNvSpPr>
          <a:spLocks noChangeShapeType="1"/>
        </xdr:cNvSpPr>
      </xdr:nvSpPr>
      <xdr:spPr bwMode="auto">
        <a:xfrm>
          <a:off x="4389120" y="60274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33</xdr:row>
      <xdr:rowOff>0</xdr:rowOff>
    </xdr:from>
    <xdr:to>
      <xdr:col>6</xdr:col>
      <xdr:colOff>0</xdr:colOff>
      <xdr:row>33</xdr:row>
      <xdr:rowOff>0</xdr:rowOff>
    </xdr:to>
    <xdr:sp macro="" textlink="">
      <xdr:nvSpPr>
        <xdr:cNvPr id="6269" name="Line 8">
          <a:extLst>
            <a:ext uri="{FF2B5EF4-FFF2-40B4-BE49-F238E27FC236}">
              <a16:creationId xmlns:a16="http://schemas.microsoft.com/office/drawing/2014/main" id="{00000000-0008-0000-0D00-00007D180000}"/>
            </a:ext>
          </a:extLst>
        </xdr:cNvPr>
        <xdr:cNvSpPr>
          <a:spLocks noChangeShapeType="1"/>
        </xdr:cNvSpPr>
      </xdr:nvSpPr>
      <xdr:spPr bwMode="auto">
        <a:xfrm>
          <a:off x="4389120" y="61950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34</xdr:row>
      <xdr:rowOff>0</xdr:rowOff>
    </xdr:from>
    <xdr:to>
      <xdr:col>6</xdr:col>
      <xdr:colOff>0</xdr:colOff>
      <xdr:row>34</xdr:row>
      <xdr:rowOff>0</xdr:rowOff>
    </xdr:to>
    <xdr:sp macro="" textlink="">
      <xdr:nvSpPr>
        <xdr:cNvPr id="6270" name="Line 9">
          <a:extLst>
            <a:ext uri="{FF2B5EF4-FFF2-40B4-BE49-F238E27FC236}">
              <a16:creationId xmlns:a16="http://schemas.microsoft.com/office/drawing/2014/main" id="{00000000-0008-0000-0D00-00007E180000}"/>
            </a:ext>
          </a:extLst>
        </xdr:cNvPr>
        <xdr:cNvSpPr>
          <a:spLocks noChangeShapeType="1"/>
        </xdr:cNvSpPr>
      </xdr:nvSpPr>
      <xdr:spPr bwMode="auto">
        <a:xfrm>
          <a:off x="4389120" y="6362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32</xdr:row>
      <xdr:rowOff>0</xdr:rowOff>
    </xdr:from>
    <xdr:to>
      <xdr:col>10</xdr:col>
      <xdr:colOff>0</xdr:colOff>
      <xdr:row>32</xdr:row>
      <xdr:rowOff>0</xdr:rowOff>
    </xdr:to>
    <xdr:sp macro="" textlink="">
      <xdr:nvSpPr>
        <xdr:cNvPr id="6271" name="Line 10">
          <a:extLst>
            <a:ext uri="{FF2B5EF4-FFF2-40B4-BE49-F238E27FC236}">
              <a16:creationId xmlns:a16="http://schemas.microsoft.com/office/drawing/2014/main" id="{00000000-0008-0000-0D00-00007F180000}"/>
            </a:ext>
          </a:extLst>
        </xdr:cNvPr>
        <xdr:cNvSpPr>
          <a:spLocks noChangeShapeType="1"/>
        </xdr:cNvSpPr>
      </xdr:nvSpPr>
      <xdr:spPr bwMode="auto">
        <a:xfrm>
          <a:off x="6926580" y="6027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33</xdr:row>
      <xdr:rowOff>0</xdr:rowOff>
    </xdr:from>
    <xdr:to>
      <xdr:col>10</xdr:col>
      <xdr:colOff>0</xdr:colOff>
      <xdr:row>33</xdr:row>
      <xdr:rowOff>0</xdr:rowOff>
    </xdr:to>
    <xdr:sp macro="" textlink="">
      <xdr:nvSpPr>
        <xdr:cNvPr id="6272" name="Line 11">
          <a:extLst>
            <a:ext uri="{FF2B5EF4-FFF2-40B4-BE49-F238E27FC236}">
              <a16:creationId xmlns:a16="http://schemas.microsoft.com/office/drawing/2014/main" id="{00000000-0008-0000-0D00-000080180000}"/>
            </a:ext>
          </a:extLst>
        </xdr:cNvPr>
        <xdr:cNvSpPr>
          <a:spLocks noChangeShapeType="1"/>
        </xdr:cNvSpPr>
      </xdr:nvSpPr>
      <xdr:spPr bwMode="auto">
        <a:xfrm>
          <a:off x="6926580" y="61950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34</xdr:row>
      <xdr:rowOff>0</xdr:rowOff>
    </xdr:from>
    <xdr:to>
      <xdr:col>10</xdr:col>
      <xdr:colOff>0</xdr:colOff>
      <xdr:row>34</xdr:row>
      <xdr:rowOff>0</xdr:rowOff>
    </xdr:to>
    <xdr:sp macro="" textlink="">
      <xdr:nvSpPr>
        <xdr:cNvPr id="6273" name="Line 12">
          <a:extLst>
            <a:ext uri="{FF2B5EF4-FFF2-40B4-BE49-F238E27FC236}">
              <a16:creationId xmlns:a16="http://schemas.microsoft.com/office/drawing/2014/main" id="{00000000-0008-0000-0D00-000081180000}"/>
            </a:ext>
          </a:extLst>
        </xdr:cNvPr>
        <xdr:cNvSpPr>
          <a:spLocks noChangeShapeType="1"/>
        </xdr:cNvSpPr>
      </xdr:nvSpPr>
      <xdr:spPr bwMode="auto">
        <a:xfrm>
          <a:off x="6926580" y="6362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32</xdr:row>
      <xdr:rowOff>0</xdr:rowOff>
    </xdr:from>
    <xdr:to>
      <xdr:col>15</xdr:col>
      <xdr:colOff>0</xdr:colOff>
      <xdr:row>32</xdr:row>
      <xdr:rowOff>0</xdr:rowOff>
    </xdr:to>
    <xdr:sp macro="" textlink="">
      <xdr:nvSpPr>
        <xdr:cNvPr id="6274" name="Line 13">
          <a:extLst>
            <a:ext uri="{FF2B5EF4-FFF2-40B4-BE49-F238E27FC236}">
              <a16:creationId xmlns:a16="http://schemas.microsoft.com/office/drawing/2014/main" id="{00000000-0008-0000-0D00-000082180000}"/>
            </a:ext>
          </a:extLst>
        </xdr:cNvPr>
        <xdr:cNvSpPr>
          <a:spLocks noChangeShapeType="1"/>
        </xdr:cNvSpPr>
      </xdr:nvSpPr>
      <xdr:spPr bwMode="auto">
        <a:xfrm>
          <a:off x="10584180" y="6027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33</xdr:row>
      <xdr:rowOff>0</xdr:rowOff>
    </xdr:from>
    <xdr:to>
      <xdr:col>15</xdr:col>
      <xdr:colOff>0</xdr:colOff>
      <xdr:row>33</xdr:row>
      <xdr:rowOff>0</xdr:rowOff>
    </xdr:to>
    <xdr:sp macro="" textlink="">
      <xdr:nvSpPr>
        <xdr:cNvPr id="6275" name="Line 14">
          <a:extLst>
            <a:ext uri="{FF2B5EF4-FFF2-40B4-BE49-F238E27FC236}">
              <a16:creationId xmlns:a16="http://schemas.microsoft.com/office/drawing/2014/main" id="{00000000-0008-0000-0D00-000083180000}"/>
            </a:ext>
          </a:extLst>
        </xdr:cNvPr>
        <xdr:cNvSpPr>
          <a:spLocks noChangeShapeType="1"/>
        </xdr:cNvSpPr>
      </xdr:nvSpPr>
      <xdr:spPr bwMode="auto">
        <a:xfrm>
          <a:off x="10584180" y="61950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34</xdr:row>
      <xdr:rowOff>0</xdr:rowOff>
    </xdr:from>
    <xdr:to>
      <xdr:col>15</xdr:col>
      <xdr:colOff>0</xdr:colOff>
      <xdr:row>34</xdr:row>
      <xdr:rowOff>0</xdr:rowOff>
    </xdr:to>
    <xdr:sp macro="" textlink="">
      <xdr:nvSpPr>
        <xdr:cNvPr id="6276" name="Line 15">
          <a:extLst>
            <a:ext uri="{FF2B5EF4-FFF2-40B4-BE49-F238E27FC236}">
              <a16:creationId xmlns:a16="http://schemas.microsoft.com/office/drawing/2014/main" id="{00000000-0008-0000-0D00-000084180000}"/>
            </a:ext>
          </a:extLst>
        </xdr:cNvPr>
        <xdr:cNvSpPr>
          <a:spLocks noChangeShapeType="1"/>
        </xdr:cNvSpPr>
      </xdr:nvSpPr>
      <xdr:spPr bwMode="auto">
        <a:xfrm>
          <a:off x="10584180" y="6362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43</xdr:row>
      <xdr:rowOff>0</xdr:rowOff>
    </xdr:from>
    <xdr:to>
      <xdr:col>14</xdr:col>
      <xdr:colOff>640080</xdr:colOff>
      <xdr:row>43</xdr:row>
      <xdr:rowOff>0</xdr:rowOff>
    </xdr:to>
    <xdr:sp macro="" textlink="">
      <xdr:nvSpPr>
        <xdr:cNvPr id="6277" name="Line 16">
          <a:extLst>
            <a:ext uri="{FF2B5EF4-FFF2-40B4-BE49-F238E27FC236}">
              <a16:creationId xmlns:a16="http://schemas.microsoft.com/office/drawing/2014/main" id="{00000000-0008-0000-0D00-000085180000}"/>
            </a:ext>
          </a:extLst>
        </xdr:cNvPr>
        <xdr:cNvSpPr>
          <a:spLocks noChangeShapeType="1"/>
        </xdr:cNvSpPr>
      </xdr:nvSpPr>
      <xdr:spPr bwMode="auto">
        <a:xfrm>
          <a:off x="10584180" y="787146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23</xdr:row>
      <xdr:rowOff>0</xdr:rowOff>
    </xdr:from>
    <xdr:to>
      <xdr:col>4</xdr:col>
      <xdr:colOff>7620</xdr:colOff>
      <xdr:row>23</xdr:row>
      <xdr:rowOff>0</xdr:rowOff>
    </xdr:to>
    <xdr:sp macro="" textlink="">
      <xdr:nvSpPr>
        <xdr:cNvPr id="6278" name="Line 17">
          <a:extLst>
            <a:ext uri="{FF2B5EF4-FFF2-40B4-BE49-F238E27FC236}">
              <a16:creationId xmlns:a16="http://schemas.microsoft.com/office/drawing/2014/main" id="{00000000-0008-0000-0D00-000086180000}"/>
            </a:ext>
          </a:extLst>
        </xdr:cNvPr>
        <xdr:cNvSpPr>
          <a:spLocks noChangeShapeType="1"/>
        </xdr:cNvSpPr>
      </xdr:nvSpPr>
      <xdr:spPr bwMode="auto">
        <a:xfrm>
          <a:off x="2194560" y="4518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30</xdr:row>
      <xdr:rowOff>0</xdr:rowOff>
    </xdr:from>
    <xdr:to>
      <xdr:col>4</xdr:col>
      <xdr:colOff>7620</xdr:colOff>
      <xdr:row>30</xdr:row>
      <xdr:rowOff>0</xdr:rowOff>
    </xdr:to>
    <xdr:sp macro="" textlink="">
      <xdr:nvSpPr>
        <xdr:cNvPr id="6279" name="Line 18">
          <a:extLst>
            <a:ext uri="{FF2B5EF4-FFF2-40B4-BE49-F238E27FC236}">
              <a16:creationId xmlns:a16="http://schemas.microsoft.com/office/drawing/2014/main" id="{00000000-0008-0000-0D00-000087180000}"/>
            </a:ext>
          </a:extLst>
        </xdr:cNvPr>
        <xdr:cNvSpPr>
          <a:spLocks noChangeShapeType="1"/>
        </xdr:cNvSpPr>
      </xdr:nvSpPr>
      <xdr:spPr bwMode="auto">
        <a:xfrm>
          <a:off x="2194560" y="56921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31</xdr:row>
      <xdr:rowOff>0</xdr:rowOff>
    </xdr:from>
    <xdr:to>
      <xdr:col>4</xdr:col>
      <xdr:colOff>7620</xdr:colOff>
      <xdr:row>31</xdr:row>
      <xdr:rowOff>0</xdr:rowOff>
    </xdr:to>
    <xdr:sp macro="" textlink="">
      <xdr:nvSpPr>
        <xdr:cNvPr id="6280" name="Line 19">
          <a:extLst>
            <a:ext uri="{FF2B5EF4-FFF2-40B4-BE49-F238E27FC236}">
              <a16:creationId xmlns:a16="http://schemas.microsoft.com/office/drawing/2014/main" id="{00000000-0008-0000-0D00-000088180000}"/>
            </a:ext>
          </a:extLst>
        </xdr:cNvPr>
        <xdr:cNvSpPr>
          <a:spLocks noChangeShapeType="1"/>
        </xdr:cNvSpPr>
      </xdr:nvSpPr>
      <xdr:spPr bwMode="auto">
        <a:xfrm>
          <a:off x="2194560" y="58597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32</xdr:row>
      <xdr:rowOff>0</xdr:rowOff>
    </xdr:from>
    <xdr:to>
      <xdr:col>4</xdr:col>
      <xdr:colOff>7620</xdr:colOff>
      <xdr:row>32</xdr:row>
      <xdr:rowOff>0</xdr:rowOff>
    </xdr:to>
    <xdr:sp macro="" textlink="">
      <xdr:nvSpPr>
        <xdr:cNvPr id="6281" name="Line 20">
          <a:extLst>
            <a:ext uri="{FF2B5EF4-FFF2-40B4-BE49-F238E27FC236}">
              <a16:creationId xmlns:a16="http://schemas.microsoft.com/office/drawing/2014/main" id="{00000000-0008-0000-0D00-000089180000}"/>
            </a:ext>
          </a:extLst>
        </xdr:cNvPr>
        <xdr:cNvSpPr>
          <a:spLocks noChangeShapeType="1"/>
        </xdr:cNvSpPr>
      </xdr:nvSpPr>
      <xdr:spPr bwMode="auto">
        <a:xfrm>
          <a:off x="2194560" y="6027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33</xdr:row>
      <xdr:rowOff>0</xdr:rowOff>
    </xdr:from>
    <xdr:to>
      <xdr:col>4</xdr:col>
      <xdr:colOff>7620</xdr:colOff>
      <xdr:row>33</xdr:row>
      <xdr:rowOff>0</xdr:rowOff>
    </xdr:to>
    <xdr:sp macro="" textlink="">
      <xdr:nvSpPr>
        <xdr:cNvPr id="6282" name="Line 21">
          <a:extLst>
            <a:ext uri="{FF2B5EF4-FFF2-40B4-BE49-F238E27FC236}">
              <a16:creationId xmlns:a16="http://schemas.microsoft.com/office/drawing/2014/main" id="{00000000-0008-0000-0D00-00008A180000}"/>
            </a:ext>
          </a:extLst>
        </xdr:cNvPr>
        <xdr:cNvSpPr>
          <a:spLocks noChangeShapeType="1"/>
        </xdr:cNvSpPr>
      </xdr:nvSpPr>
      <xdr:spPr bwMode="auto">
        <a:xfrm>
          <a:off x="2194560" y="61950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34</xdr:row>
      <xdr:rowOff>0</xdr:rowOff>
    </xdr:from>
    <xdr:to>
      <xdr:col>4</xdr:col>
      <xdr:colOff>7620</xdr:colOff>
      <xdr:row>34</xdr:row>
      <xdr:rowOff>0</xdr:rowOff>
    </xdr:to>
    <xdr:sp macro="" textlink="">
      <xdr:nvSpPr>
        <xdr:cNvPr id="6283" name="Line 22">
          <a:extLst>
            <a:ext uri="{FF2B5EF4-FFF2-40B4-BE49-F238E27FC236}">
              <a16:creationId xmlns:a16="http://schemas.microsoft.com/office/drawing/2014/main" id="{00000000-0008-0000-0D00-00008B180000}"/>
            </a:ext>
          </a:extLst>
        </xdr:cNvPr>
        <xdr:cNvSpPr>
          <a:spLocks noChangeShapeType="1"/>
        </xdr:cNvSpPr>
      </xdr:nvSpPr>
      <xdr:spPr bwMode="auto">
        <a:xfrm>
          <a:off x="2194560" y="6362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6284" name="Line 23">
          <a:extLst>
            <a:ext uri="{FF2B5EF4-FFF2-40B4-BE49-F238E27FC236}">
              <a16:creationId xmlns:a16="http://schemas.microsoft.com/office/drawing/2014/main" id="{00000000-0008-0000-0D00-00008C180000}"/>
            </a:ext>
          </a:extLst>
        </xdr:cNvPr>
        <xdr:cNvSpPr>
          <a:spLocks noChangeShapeType="1"/>
        </xdr:cNvSpPr>
      </xdr:nvSpPr>
      <xdr:spPr bwMode="auto">
        <a:xfrm>
          <a:off x="21945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6285" name="Line 24">
          <a:extLst>
            <a:ext uri="{FF2B5EF4-FFF2-40B4-BE49-F238E27FC236}">
              <a16:creationId xmlns:a16="http://schemas.microsoft.com/office/drawing/2014/main" id="{00000000-0008-0000-0D00-00008D180000}"/>
            </a:ext>
          </a:extLst>
        </xdr:cNvPr>
        <xdr:cNvSpPr>
          <a:spLocks noChangeShapeType="1"/>
        </xdr:cNvSpPr>
      </xdr:nvSpPr>
      <xdr:spPr bwMode="auto">
        <a:xfrm>
          <a:off x="21945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36</xdr:row>
      <xdr:rowOff>0</xdr:rowOff>
    </xdr:from>
    <xdr:to>
      <xdr:col>10</xdr:col>
      <xdr:colOff>0</xdr:colOff>
      <xdr:row>36</xdr:row>
      <xdr:rowOff>0</xdr:rowOff>
    </xdr:to>
    <xdr:sp macro="" textlink="">
      <xdr:nvSpPr>
        <xdr:cNvPr id="6286" name="Line 25">
          <a:extLst>
            <a:ext uri="{FF2B5EF4-FFF2-40B4-BE49-F238E27FC236}">
              <a16:creationId xmlns:a16="http://schemas.microsoft.com/office/drawing/2014/main" id="{00000000-0008-0000-0D00-00008E180000}"/>
            </a:ext>
          </a:extLst>
        </xdr:cNvPr>
        <xdr:cNvSpPr>
          <a:spLocks noChangeShapeType="1"/>
        </xdr:cNvSpPr>
      </xdr:nvSpPr>
      <xdr:spPr bwMode="auto">
        <a:xfrm>
          <a:off x="6926580" y="66979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44</xdr:row>
      <xdr:rowOff>0</xdr:rowOff>
    </xdr:from>
    <xdr:to>
      <xdr:col>14</xdr:col>
      <xdr:colOff>640080</xdr:colOff>
      <xdr:row>44</xdr:row>
      <xdr:rowOff>0</xdr:rowOff>
    </xdr:to>
    <xdr:sp macro="" textlink="">
      <xdr:nvSpPr>
        <xdr:cNvPr id="6287" name="Line 26">
          <a:extLst>
            <a:ext uri="{FF2B5EF4-FFF2-40B4-BE49-F238E27FC236}">
              <a16:creationId xmlns:a16="http://schemas.microsoft.com/office/drawing/2014/main" id="{00000000-0008-0000-0D00-00008F180000}"/>
            </a:ext>
          </a:extLst>
        </xdr:cNvPr>
        <xdr:cNvSpPr>
          <a:spLocks noChangeShapeType="1"/>
        </xdr:cNvSpPr>
      </xdr:nvSpPr>
      <xdr:spPr bwMode="auto">
        <a:xfrm>
          <a:off x="10584180" y="803910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36</xdr:row>
      <xdr:rowOff>0</xdr:rowOff>
    </xdr:from>
    <xdr:to>
      <xdr:col>6</xdr:col>
      <xdr:colOff>0</xdr:colOff>
      <xdr:row>36</xdr:row>
      <xdr:rowOff>0</xdr:rowOff>
    </xdr:to>
    <xdr:sp macro="" textlink="">
      <xdr:nvSpPr>
        <xdr:cNvPr id="6288" name="Line 27">
          <a:extLst>
            <a:ext uri="{FF2B5EF4-FFF2-40B4-BE49-F238E27FC236}">
              <a16:creationId xmlns:a16="http://schemas.microsoft.com/office/drawing/2014/main" id="{00000000-0008-0000-0D00-000090180000}"/>
            </a:ext>
          </a:extLst>
        </xdr:cNvPr>
        <xdr:cNvSpPr>
          <a:spLocks noChangeShapeType="1"/>
        </xdr:cNvSpPr>
      </xdr:nvSpPr>
      <xdr:spPr bwMode="auto">
        <a:xfrm>
          <a:off x="4389120" y="66979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45</xdr:row>
      <xdr:rowOff>0</xdr:rowOff>
    </xdr:from>
    <xdr:to>
      <xdr:col>6</xdr:col>
      <xdr:colOff>0</xdr:colOff>
      <xdr:row>45</xdr:row>
      <xdr:rowOff>0</xdr:rowOff>
    </xdr:to>
    <xdr:sp macro="" textlink="">
      <xdr:nvSpPr>
        <xdr:cNvPr id="6289" name="Line 28">
          <a:extLst>
            <a:ext uri="{FF2B5EF4-FFF2-40B4-BE49-F238E27FC236}">
              <a16:creationId xmlns:a16="http://schemas.microsoft.com/office/drawing/2014/main" id="{00000000-0008-0000-0D00-000091180000}"/>
            </a:ext>
          </a:extLst>
        </xdr:cNvPr>
        <xdr:cNvSpPr>
          <a:spLocks noChangeShapeType="1"/>
        </xdr:cNvSpPr>
      </xdr:nvSpPr>
      <xdr:spPr bwMode="auto">
        <a:xfrm>
          <a:off x="4389120" y="82067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45</xdr:row>
      <xdr:rowOff>0</xdr:rowOff>
    </xdr:from>
    <xdr:to>
      <xdr:col>10</xdr:col>
      <xdr:colOff>0</xdr:colOff>
      <xdr:row>45</xdr:row>
      <xdr:rowOff>0</xdr:rowOff>
    </xdr:to>
    <xdr:sp macro="" textlink="">
      <xdr:nvSpPr>
        <xdr:cNvPr id="6290" name="Line 29">
          <a:extLst>
            <a:ext uri="{FF2B5EF4-FFF2-40B4-BE49-F238E27FC236}">
              <a16:creationId xmlns:a16="http://schemas.microsoft.com/office/drawing/2014/main" id="{00000000-0008-0000-0D00-000092180000}"/>
            </a:ext>
          </a:extLst>
        </xdr:cNvPr>
        <xdr:cNvSpPr>
          <a:spLocks noChangeShapeType="1"/>
        </xdr:cNvSpPr>
      </xdr:nvSpPr>
      <xdr:spPr bwMode="auto">
        <a:xfrm>
          <a:off x="6926580" y="82067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46</xdr:row>
      <xdr:rowOff>0</xdr:rowOff>
    </xdr:from>
    <xdr:to>
      <xdr:col>10</xdr:col>
      <xdr:colOff>0</xdr:colOff>
      <xdr:row>46</xdr:row>
      <xdr:rowOff>0</xdr:rowOff>
    </xdr:to>
    <xdr:sp macro="" textlink="">
      <xdr:nvSpPr>
        <xdr:cNvPr id="6291" name="Line 30">
          <a:extLst>
            <a:ext uri="{FF2B5EF4-FFF2-40B4-BE49-F238E27FC236}">
              <a16:creationId xmlns:a16="http://schemas.microsoft.com/office/drawing/2014/main" id="{00000000-0008-0000-0D00-000093180000}"/>
            </a:ext>
          </a:extLst>
        </xdr:cNvPr>
        <xdr:cNvSpPr>
          <a:spLocks noChangeShapeType="1"/>
        </xdr:cNvSpPr>
      </xdr:nvSpPr>
      <xdr:spPr bwMode="auto">
        <a:xfrm>
          <a:off x="6926580" y="83743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45</xdr:row>
      <xdr:rowOff>0</xdr:rowOff>
    </xdr:from>
    <xdr:to>
      <xdr:col>15</xdr:col>
      <xdr:colOff>0</xdr:colOff>
      <xdr:row>45</xdr:row>
      <xdr:rowOff>0</xdr:rowOff>
    </xdr:to>
    <xdr:sp macro="" textlink="">
      <xdr:nvSpPr>
        <xdr:cNvPr id="6292" name="Line 31">
          <a:extLst>
            <a:ext uri="{FF2B5EF4-FFF2-40B4-BE49-F238E27FC236}">
              <a16:creationId xmlns:a16="http://schemas.microsoft.com/office/drawing/2014/main" id="{00000000-0008-0000-0D00-000094180000}"/>
            </a:ext>
          </a:extLst>
        </xdr:cNvPr>
        <xdr:cNvSpPr>
          <a:spLocks noChangeShapeType="1"/>
        </xdr:cNvSpPr>
      </xdr:nvSpPr>
      <xdr:spPr bwMode="auto">
        <a:xfrm>
          <a:off x="10584180" y="82067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46</xdr:row>
      <xdr:rowOff>0</xdr:rowOff>
    </xdr:from>
    <xdr:to>
      <xdr:col>15</xdr:col>
      <xdr:colOff>0</xdr:colOff>
      <xdr:row>46</xdr:row>
      <xdr:rowOff>0</xdr:rowOff>
    </xdr:to>
    <xdr:sp macro="" textlink="">
      <xdr:nvSpPr>
        <xdr:cNvPr id="6293" name="Line 32">
          <a:extLst>
            <a:ext uri="{FF2B5EF4-FFF2-40B4-BE49-F238E27FC236}">
              <a16:creationId xmlns:a16="http://schemas.microsoft.com/office/drawing/2014/main" id="{00000000-0008-0000-0D00-000095180000}"/>
            </a:ext>
          </a:extLst>
        </xdr:cNvPr>
        <xdr:cNvSpPr>
          <a:spLocks noChangeShapeType="1"/>
        </xdr:cNvSpPr>
      </xdr:nvSpPr>
      <xdr:spPr bwMode="auto">
        <a:xfrm>
          <a:off x="10584180" y="83743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36</xdr:row>
      <xdr:rowOff>0</xdr:rowOff>
    </xdr:from>
    <xdr:to>
      <xdr:col>4</xdr:col>
      <xdr:colOff>7620</xdr:colOff>
      <xdr:row>36</xdr:row>
      <xdr:rowOff>0</xdr:rowOff>
    </xdr:to>
    <xdr:sp macro="" textlink="">
      <xdr:nvSpPr>
        <xdr:cNvPr id="6294" name="Line 33">
          <a:extLst>
            <a:ext uri="{FF2B5EF4-FFF2-40B4-BE49-F238E27FC236}">
              <a16:creationId xmlns:a16="http://schemas.microsoft.com/office/drawing/2014/main" id="{00000000-0008-0000-0D00-000096180000}"/>
            </a:ext>
          </a:extLst>
        </xdr:cNvPr>
        <xdr:cNvSpPr>
          <a:spLocks noChangeShapeType="1"/>
        </xdr:cNvSpPr>
      </xdr:nvSpPr>
      <xdr:spPr bwMode="auto">
        <a:xfrm>
          <a:off x="2194560" y="669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6295" name="Line 34">
          <a:extLst>
            <a:ext uri="{FF2B5EF4-FFF2-40B4-BE49-F238E27FC236}">
              <a16:creationId xmlns:a16="http://schemas.microsoft.com/office/drawing/2014/main" id="{00000000-0008-0000-0D00-000097180000}"/>
            </a:ext>
          </a:extLst>
        </xdr:cNvPr>
        <xdr:cNvSpPr>
          <a:spLocks noChangeShapeType="1"/>
        </xdr:cNvSpPr>
      </xdr:nvSpPr>
      <xdr:spPr bwMode="auto">
        <a:xfrm>
          <a:off x="21945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6296" name="Line 35">
          <a:extLst>
            <a:ext uri="{FF2B5EF4-FFF2-40B4-BE49-F238E27FC236}">
              <a16:creationId xmlns:a16="http://schemas.microsoft.com/office/drawing/2014/main" id="{00000000-0008-0000-0D00-000098180000}"/>
            </a:ext>
          </a:extLst>
        </xdr:cNvPr>
        <xdr:cNvSpPr>
          <a:spLocks noChangeShapeType="1"/>
        </xdr:cNvSpPr>
      </xdr:nvSpPr>
      <xdr:spPr bwMode="auto">
        <a:xfrm>
          <a:off x="21945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44</xdr:row>
      <xdr:rowOff>0</xdr:rowOff>
    </xdr:from>
    <xdr:to>
      <xdr:col>4</xdr:col>
      <xdr:colOff>7620</xdr:colOff>
      <xdr:row>44</xdr:row>
      <xdr:rowOff>0</xdr:rowOff>
    </xdr:to>
    <xdr:sp macro="" textlink="">
      <xdr:nvSpPr>
        <xdr:cNvPr id="6297" name="Line 36">
          <a:extLst>
            <a:ext uri="{FF2B5EF4-FFF2-40B4-BE49-F238E27FC236}">
              <a16:creationId xmlns:a16="http://schemas.microsoft.com/office/drawing/2014/main" id="{00000000-0008-0000-0D00-000099180000}"/>
            </a:ext>
          </a:extLst>
        </xdr:cNvPr>
        <xdr:cNvSpPr>
          <a:spLocks noChangeShapeType="1"/>
        </xdr:cNvSpPr>
      </xdr:nvSpPr>
      <xdr:spPr bwMode="auto">
        <a:xfrm>
          <a:off x="2194560" y="80391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45</xdr:row>
      <xdr:rowOff>0</xdr:rowOff>
    </xdr:from>
    <xdr:to>
      <xdr:col>4</xdr:col>
      <xdr:colOff>7620</xdr:colOff>
      <xdr:row>45</xdr:row>
      <xdr:rowOff>0</xdr:rowOff>
    </xdr:to>
    <xdr:sp macro="" textlink="">
      <xdr:nvSpPr>
        <xdr:cNvPr id="6298" name="Line 37">
          <a:extLst>
            <a:ext uri="{FF2B5EF4-FFF2-40B4-BE49-F238E27FC236}">
              <a16:creationId xmlns:a16="http://schemas.microsoft.com/office/drawing/2014/main" id="{00000000-0008-0000-0D00-00009A180000}"/>
            </a:ext>
          </a:extLst>
        </xdr:cNvPr>
        <xdr:cNvSpPr>
          <a:spLocks noChangeShapeType="1"/>
        </xdr:cNvSpPr>
      </xdr:nvSpPr>
      <xdr:spPr bwMode="auto">
        <a:xfrm>
          <a:off x="2194560" y="82067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46</xdr:row>
      <xdr:rowOff>0</xdr:rowOff>
    </xdr:from>
    <xdr:to>
      <xdr:col>4</xdr:col>
      <xdr:colOff>7620</xdr:colOff>
      <xdr:row>46</xdr:row>
      <xdr:rowOff>0</xdr:rowOff>
    </xdr:to>
    <xdr:sp macro="" textlink="">
      <xdr:nvSpPr>
        <xdr:cNvPr id="6299" name="Line 38">
          <a:extLst>
            <a:ext uri="{FF2B5EF4-FFF2-40B4-BE49-F238E27FC236}">
              <a16:creationId xmlns:a16="http://schemas.microsoft.com/office/drawing/2014/main" id="{00000000-0008-0000-0D00-00009B180000}"/>
            </a:ext>
          </a:extLst>
        </xdr:cNvPr>
        <xdr:cNvSpPr>
          <a:spLocks noChangeShapeType="1"/>
        </xdr:cNvSpPr>
      </xdr:nvSpPr>
      <xdr:spPr bwMode="auto">
        <a:xfrm>
          <a:off x="2194560" y="83743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46</xdr:row>
      <xdr:rowOff>0</xdr:rowOff>
    </xdr:from>
    <xdr:to>
      <xdr:col>6</xdr:col>
      <xdr:colOff>0</xdr:colOff>
      <xdr:row>46</xdr:row>
      <xdr:rowOff>0</xdr:rowOff>
    </xdr:to>
    <xdr:sp macro="" textlink="">
      <xdr:nvSpPr>
        <xdr:cNvPr id="6300" name="Line 39">
          <a:extLst>
            <a:ext uri="{FF2B5EF4-FFF2-40B4-BE49-F238E27FC236}">
              <a16:creationId xmlns:a16="http://schemas.microsoft.com/office/drawing/2014/main" id="{00000000-0008-0000-0D00-00009C180000}"/>
            </a:ext>
          </a:extLst>
        </xdr:cNvPr>
        <xdr:cNvSpPr>
          <a:spLocks noChangeShapeType="1"/>
        </xdr:cNvSpPr>
      </xdr:nvSpPr>
      <xdr:spPr bwMode="auto">
        <a:xfrm>
          <a:off x="4389120" y="83743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58</xdr:row>
      <xdr:rowOff>0</xdr:rowOff>
    </xdr:from>
    <xdr:to>
      <xdr:col>14</xdr:col>
      <xdr:colOff>640080</xdr:colOff>
      <xdr:row>58</xdr:row>
      <xdr:rowOff>0</xdr:rowOff>
    </xdr:to>
    <xdr:sp macro="" textlink="">
      <xdr:nvSpPr>
        <xdr:cNvPr id="6301" name="Line 40">
          <a:extLst>
            <a:ext uri="{FF2B5EF4-FFF2-40B4-BE49-F238E27FC236}">
              <a16:creationId xmlns:a16="http://schemas.microsoft.com/office/drawing/2014/main" id="{00000000-0008-0000-0D00-00009D180000}"/>
            </a:ext>
          </a:extLst>
        </xdr:cNvPr>
        <xdr:cNvSpPr>
          <a:spLocks noChangeShapeType="1"/>
        </xdr:cNvSpPr>
      </xdr:nvSpPr>
      <xdr:spPr bwMode="auto">
        <a:xfrm>
          <a:off x="10584180" y="1050798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6302" name="Line 41">
          <a:extLst>
            <a:ext uri="{FF2B5EF4-FFF2-40B4-BE49-F238E27FC236}">
              <a16:creationId xmlns:a16="http://schemas.microsoft.com/office/drawing/2014/main" id="{00000000-0008-0000-0D00-00009E18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6303" name="Line 42">
          <a:extLst>
            <a:ext uri="{FF2B5EF4-FFF2-40B4-BE49-F238E27FC236}">
              <a16:creationId xmlns:a16="http://schemas.microsoft.com/office/drawing/2014/main" id="{00000000-0008-0000-0D00-00009F18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51</xdr:row>
      <xdr:rowOff>0</xdr:rowOff>
    </xdr:from>
    <xdr:to>
      <xdr:col>10</xdr:col>
      <xdr:colOff>0</xdr:colOff>
      <xdr:row>51</xdr:row>
      <xdr:rowOff>0</xdr:rowOff>
    </xdr:to>
    <xdr:sp macro="" textlink="">
      <xdr:nvSpPr>
        <xdr:cNvPr id="6304" name="Line 43">
          <a:extLst>
            <a:ext uri="{FF2B5EF4-FFF2-40B4-BE49-F238E27FC236}">
              <a16:creationId xmlns:a16="http://schemas.microsoft.com/office/drawing/2014/main" id="{00000000-0008-0000-0D00-0000A0180000}"/>
            </a:ext>
          </a:extLst>
        </xdr:cNvPr>
        <xdr:cNvSpPr>
          <a:spLocks noChangeShapeType="1"/>
        </xdr:cNvSpPr>
      </xdr:nvSpPr>
      <xdr:spPr bwMode="auto">
        <a:xfrm>
          <a:off x="6926580" y="93345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59</xdr:row>
      <xdr:rowOff>0</xdr:rowOff>
    </xdr:from>
    <xdr:to>
      <xdr:col>14</xdr:col>
      <xdr:colOff>640080</xdr:colOff>
      <xdr:row>59</xdr:row>
      <xdr:rowOff>0</xdr:rowOff>
    </xdr:to>
    <xdr:sp macro="" textlink="">
      <xdr:nvSpPr>
        <xdr:cNvPr id="6305" name="Line 44">
          <a:extLst>
            <a:ext uri="{FF2B5EF4-FFF2-40B4-BE49-F238E27FC236}">
              <a16:creationId xmlns:a16="http://schemas.microsoft.com/office/drawing/2014/main" id="{00000000-0008-0000-0D00-0000A1180000}"/>
            </a:ext>
          </a:extLst>
        </xdr:cNvPr>
        <xdr:cNvSpPr>
          <a:spLocks noChangeShapeType="1"/>
        </xdr:cNvSpPr>
      </xdr:nvSpPr>
      <xdr:spPr bwMode="auto">
        <a:xfrm>
          <a:off x="10584180" y="106756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51</xdr:row>
      <xdr:rowOff>0</xdr:rowOff>
    </xdr:from>
    <xdr:to>
      <xdr:col>6</xdr:col>
      <xdr:colOff>0</xdr:colOff>
      <xdr:row>51</xdr:row>
      <xdr:rowOff>0</xdr:rowOff>
    </xdr:to>
    <xdr:sp macro="" textlink="">
      <xdr:nvSpPr>
        <xdr:cNvPr id="6306" name="Line 45">
          <a:extLst>
            <a:ext uri="{FF2B5EF4-FFF2-40B4-BE49-F238E27FC236}">
              <a16:creationId xmlns:a16="http://schemas.microsoft.com/office/drawing/2014/main" id="{00000000-0008-0000-0D00-0000A2180000}"/>
            </a:ext>
          </a:extLst>
        </xdr:cNvPr>
        <xdr:cNvSpPr>
          <a:spLocks noChangeShapeType="1"/>
        </xdr:cNvSpPr>
      </xdr:nvSpPr>
      <xdr:spPr bwMode="auto">
        <a:xfrm>
          <a:off x="4389120" y="9334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60</xdr:row>
      <xdr:rowOff>0</xdr:rowOff>
    </xdr:from>
    <xdr:to>
      <xdr:col>10</xdr:col>
      <xdr:colOff>0</xdr:colOff>
      <xdr:row>60</xdr:row>
      <xdr:rowOff>0</xdr:rowOff>
    </xdr:to>
    <xdr:sp macro="" textlink="">
      <xdr:nvSpPr>
        <xdr:cNvPr id="6307" name="Line 46">
          <a:extLst>
            <a:ext uri="{FF2B5EF4-FFF2-40B4-BE49-F238E27FC236}">
              <a16:creationId xmlns:a16="http://schemas.microsoft.com/office/drawing/2014/main" id="{00000000-0008-0000-0D00-0000A3180000}"/>
            </a:ext>
          </a:extLst>
        </xdr:cNvPr>
        <xdr:cNvSpPr>
          <a:spLocks noChangeShapeType="1"/>
        </xdr:cNvSpPr>
      </xdr:nvSpPr>
      <xdr:spPr bwMode="auto">
        <a:xfrm>
          <a:off x="6926580" y="108432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60</xdr:row>
      <xdr:rowOff>0</xdr:rowOff>
    </xdr:from>
    <xdr:to>
      <xdr:col>15</xdr:col>
      <xdr:colOff>0</xdr:colOff>
      <xdr:row>60</xdr:row>
      <xdr:rowOff>0</xdr:rowOff>
    </xdr:to>
    <xdr:sp macro="" textlink="">
      <xdr:nvSpPr>
        <xdr:cNvPr id="6308" name="Line 47">
          <a:extLst>
            <a:ext uri="{FF2B5EF4-FFF2-40B4-BE49-F238E27FC236}">
              <a16:creationId xmlns:a16="http://schemas.microsoft.com/office/drawing/2014/main" id="{00000000-0008-0000-0D00-0000A4180000}"/>
            </a:ext>
          </a:extLst>
        </xdr:cNvPr>
        <xdr:cNvSpPr>
          <a:spLocks noChangeShapeType="1"/>
        </xdr:cNvSpPr>
      </xdr:nvSpPr>
      <xdr:spPr bwMode="auto">
        <a:xfrm>
          <a:off x="10584180" y="108432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51</xdr:row>
      <xdr:rowOff>0</xdr:rowOff>
    </xdr:from>
    <xdr:to>
      <xdr:col>4</xdr:col>
      <xdr:colOff>7620</xdr:colOff>
      <xdr:row>51</xdr:row>
      <xdr:rowOff>0</xdr:rowOff>
    </xdr:to>
    <xdr:sp macro="" textlink="">
      <xdr:nvSpPr>
        <xdr:cNvPr id="6309" name="Line 48">
          <a:extLst>
            <a:ext uri="{FF2B5EF4-FFF2-40B4-BE49-F238E27FC236}">
              <a16:creationId xmlns:a16="http://schemas.microsoft.com/office/drawing/2014/main" id="{00000000-0008-0000-0D00-0000A5180000}"/>
            </a:ext>
          </a:extLst>
        </xdr:cNvPr>
        <xdr:cNvSpPr>
          <a:spLocks noChangeShapeType="1"/>
        </xdr:cNvSpPr>
      </xdr:nvSpPr>
      <xdr:spPr bwMode="auto">
        <a:xfrm>
          <a:off x="2194560" y="93345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6310" name="Line 49">
          <a:extLst>
            <a:ext uri="{FF2B5EF4-FFF2-40B4-BE49-F238E27FC236}">
              <a16:creationId xmlns:a16="http://schemas.microsoft.com/office/drawing/2014/main" id="{00000000-0008-0000-0D00-0000A618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6311" name="Line 50">
          <a:extLst>
            <a:ext uri="{FF2B5EF4-FFF2-40B4-BE49-F238E27FC236}">
              <a16:creationId xmlns:a16="http://schemas.microsoft.com/office/drawing/2014/main" id="{00000000-0008-0000-0D00-0000A718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6312" name="Line 51">
          <a:extLst>
            <a:ext uri="{FF2B5EF4-FFF2-40B4-BE49-F238E27FC236}">
              <a16:creationId xmlns:a16="http://schemas.microsoft.com/office/drawing/2014/main" id="{00000000-0008-0000-0D00-0000A818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59</xdr:row>
      <xdr:rowOff>0</xdr:rowOff>
    </xdr:from>
    <xdr:to>
      <xdr:col>4</xdr:col>
      <xdr:colOff>7620</xdr:colOff>
      <xdr:row>59</xdr:row>
      <xdr:rowOff>0</xdr:rowOff>
    </xdr:to>
    <xdr:sp macro="" textlink="">
      <xdr:nvSpPr>
        <xdr:cNvPr id="6313" name="Line 52">
          <a:extLst>
            <a:ext uri="{FF2B5EF4-FFF2-40B4-BE49-F238E27FC236}">
              <a16:creationId xmlns:a16="http://schemas.microsoft.com/office/drawing/2014/main" id="{00000000-0008-0000-0D00-0000A9180000}"/>
            </a:ext>
          </a:extLst>
        </xdr:cNvPr>
        <xdr:cNvSpPr>
          <a:spLocks noChangeShapeType="1"/>
        </xdr:cNvSpPr>
      </xdr:nvSpPr>
      <xdr:spPr bwMode="auto">
        <a:xfrm>
          <a:off x="2194560" y="106756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60</xdr:row>
      <xdr:rowOff>0</xdr:rowOff>
    </xdr:from>
    <xdr:to>
      <xdr:col>4</xdr:col>
      <xdr:colOff>7620</xdr:colOff>
      <xdr:row>60</xdr:row>
      <xdr:rowOff>0</xdr:rowOff>
    </xdr:to>
    <xdr:sp macro="" textlink="">
      <xdr:nvSpPr>
        <xdr:cNvPr id="6314" name="Line 53">
          <a:extLst>
            <a:ext uri="{FF2B5EF4-FFF2-40B4-BE49-F238E27FC236}">
              <a16:creationId xmlns:a16="http://schemas.microsoft.com/office/drawing/2014/main" id="{00000000-0008-0000-0D00-0000AA180000}"/>
            </a:ext>
          </a:extLst>
        </xdr:cNvPr>
        <xdr:cNvSpPr>
          <a:spLocks noChangeShapeType="1"/>
        </xdr:cNvSpPr>
      </xdr:nvSpPr>
      <xdr:spPr bwMode="auto">
        <a:xfrm>
          <a:off x="2194560" y="108432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60</xdr:row>
      <xdr:rowOff>0</xdr:rowOff>
    </xdr:from>
    <xdr:to>
      <xdr:col>6</xdr:col>
      <xdr:colOff>0</xdr:colOff>
      <xdr:row>60</xdr:row>
      <xdr:rowOff>0</xdr:rowOff>
    </xdr:to>
    <xdr:sp macro="" textlink="">
      <xdr:nvSpPr>
        <xdr:cNvPr id="6315" name="Line 54">
          <a:extLst>
            <a:ext uri="{FF2B5EF4-FFF2-40B4-BE49-F238E27FC236}">
              <a16:creationId xmlns:a16="http://schemas.microsoft.com/office/drawing/2014/main" id="{00000000-0008-0000-0D00-0000AB180000}"/>
            </a:ext>
          </a:extLst>
        </xdr:cNvPr>
        <xdr:cNvSpPr>
          <a:spLocks noChangeShapeType="1"/>
        </xdr:cNvSpPr>
      </xdr:nvSpPr>
      <xdr:spPr bwMode="auto">
        <a:xfrm>
          <a:off x="4389120" y="108432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29</xdr:row>
      <xdr:rowOff>0</xdr:rowOff>
    </xdr:from>
    <xdr:to>
      <xdr:col>7</xdr:col>
      <xdr:colOff>45720</xdr:colOff>
      <xdr:row>29</xdr:row>
      <xdr:rowOff>0</xdr:rowOff>
    </xdr:to>
    <xdr:sp macro="" textlink="">
      <xdr:nvSpPr>
        <xdr:cNvPr id="6316" name="Line 55">
          <a:extLst>
            <a:ext uri="{FF2B5EF4-FFF2-40B4-BE49-F238E27FC236}">
              <a16:creationId xmlns:a16="http://schemas.microsoft.com/office/drawing/2014/main" id="{00000000-0008-0000-0D00-0000AC180000}"/>
            </a:ext>
          </a:extLst>
        </xdr:cNvPr>
        <xdr:cNvSpPr>
          <a:spLocks noChangeShapeType="1"/>
        </xdr:cNvSpPr>
      </xdr:nvSpPr>
      <xdr:spPr bwMode="auto">
        <a:xfrm>
          <a:off x="4389120" y="552450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42</xdr:row>
      <xdr:rowOff>0</xdr:rowOff>
    </xdr:from>
    <xdr:to>
      <xdr:col>7</xdr:col>
      <xdr:colOff>45720</xdr:colOff>
      <xdr:row>42</xdr:row>
      <xdr:rowOff>0</xdr:rowOff>
    </xdr:to>
    <xdr:sp macro="" textlink="">
      <xdr:nvSpPr>
        <xdr:cNvPr id="6317" name="Line 56">
          <a:extLst>
            <a:ext uri="{FF2B5EF4-FFF2-40B4-BE49-F238E27FC236}">
              <a16:creationId xmlns:a16="http://schemas.microsoft.com/office/drawing/2014/main" id="{00000000-0008-0000-0D00-0000AD180000}"/>
            </a:ext>
          </a:extLst>
        </xdr:cNvPr>
        <xdr:cNvSpPr>
          <a:spLocks noChangeShapeType="1"/>
        </xdr:cNvSpPr>
      </xdr:nvSpPr>
      <xdr:spPr bwMode="auto">
        <a:xfrm>
          <a:off x="4389120" y="770382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57</xdr:row>
      <xdr:rowOff>0</xdr:rowOff>
    </xdr:from>
    <xdr:to>
      <xdr:col>7</xdr:col>
      <xdr:colOff>45720</xdr:colOff>
      <xdr:row>57</xdr:row>
      <xdr:rowOff>0</xdr:rowOff>
    </xdr:to>
    <xdr:sp macro="" textlink="">
      <xdr:nvSpPr>
        <xdr:cNvPr id="6318" name="Line 57">
          <a:extLst>
            <a:ext uri="{FF2B5EF4-FFF2-40B4-BE49-F238E27FC236}">
              <a16:creationId xmlns:a16="http://schemas.microsoft.com/office/drawing/2014/main" id="{00000000-0008-0000-0D00-0000AE180000}"/>
            </a:ext>
          </a:extLst>
        </xdr:cNvPr>
        <xdr:cNvSpPr>
          <a:spLocks noChangeShapeType="1"/>
        </xdr:cNvSpPr>
      </xdr:nvSpPr>
      <xdr:spPr bwMode="auto">
        <a:xfrm>
          <a:off x="4389120" y="1034034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69</xdr:row>
      <xdr:rowOff>0</xdr:rowOff>
    </xdr:from>
    <xdr:to>
      <xdr:col>6</xdr:col>
      <xdr:colOff>0</xdr:colOff>
      <xdr:row>69</xdr:row>
      <xdr:rowOff>0</xdr:rowOff>
    </xdr:to>
    <xdr:sp macro="" textlink="">
      <xdr:nvSpPr>
        <xdr:cNvPr id="6319" name="Line 58">
          <a:extLst>
            <a:ext uri="{FF2B5EF4-FFF2-40B4-BE49-F238E27FC236}">
              <a16:creationId xmlns:a16="http://schemas.microsoft.com/office/drawing/2014/main" id="{00000000-0008-0000-0D00-0000AF180000}"/>
            </a:ext>
          </a:extLst>
        </xdr:cNvPr>
        <xdr:cNvSpPr>
          <a:spLocks noChangeShapeType="1"/>
        </xdr:cNvSpPr>
      </xdr:nvSpPr>
      <xdr:spPr bwMode="auto">
        <a:xfrm>
          <a:off x="4389120" y="123520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69</xdr:row>
      <xdr:rowOff>0</xdr:rowOff>
    </xdr:from>
    <xdr:to>
      <xdr:col>14</xdr:col>
      <xdr:colOff>640080</xdr:colOff>
      <xdr:row>69</xdr:row>
      <xdr:rowOff>0</xdr:rowOff>
    </xdr:to>
    <xdr:sp macro="" textlink="">
      <xdr:nvSpPr>
        <xdr:cNvPr id="6320" name="Line 59">
          <a:extLst>
            <a:ext uri="{FF2B5EF4-FFF2-40B4-BE49-F238E27FC236}">
              <a16:creationId xmlns:a16="http://schemas.microsoft.com/office/drawing/2014/main" id="{00000000-0008-0000-0D00-0000B0180000}"/>
            </a:ext>
          </a:extLst>
        </xdr:cNvPr>
        <xdr:cNvSpPr>
          <a:spLocks noChangeShapeType="1"/>
        </xdr:cNvSpPr>
      </xdr:nvSpPr>
      <xdr:spPr bwMode="auto">
        <a:xfrm>
          <a:off x="10584180" y="123520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70</xdr:row>
      <xdr:rowOff>0</xdr:rowOff>
    </xdr:from>
    <xdr:to>
      <xdr:col>6</xdr:col>
      <xdr:colOff>0</xdr:colOff>
      <xdr:row>70</xdr:row>
      <xdr:rowOff>0</xdr:rowOff>
    </xdr:to>
    <xdr:sp macro="" textlink="">
      <xdr:nvSpPr>
        <xdr:cNvPr id="6321" name="Line 60">
          <a:extLst>
            <a:ext uri="{FF2B5EF4-FFF2-40B4-BE49-F238E27FC236}">
              <a16:creationId xmlns:a16="http://schemas.microsoft.com/office/drawing/2014/main" id="{00000000-0008-0000-0D00-0000B1180000}"/>
            </a:ext>
          </a:extLst>
        </xdr:cNvPr>
        <xdr:cNvSpPr>
          <a:spLocks noChangeShapeType="1"/>
        </xdr:cNvSpPr>
      </xdr:nvSpPr>
      <xdr:spPr bwMode="auto">
        <a:xfrm>
          <a:off x="4389120" y="125196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322" name="Line 61">
          <a:extLst>
            <a:ext uri="{FF2B5EF4-FFF2-40B4-BE49-F238E27FC236}">
              <a16:creationId xmlns:a16="http://schemas.microsoft.com/office/drawing/2014/main" id="{00000000-0008-0000-0D00-0000B218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323" name="Line 62">
          <a:extLst>
            <a:ext uri="{FF2B5EF4-FFF2-40B4-BE49-F238E27FC236}">
              <a16:creationId xmlns:a16="http://schemas.microsoft.com/office/drawing/2014/main" id="{00000000-0008-0000-0D00-0000B318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62</xdr:row>
      <xdr:rowOff>0</xdr:rowOff>
    </xdr:from>
    <xdr:to>
      <xdr:col>10</xdr:col>
      <xdr:colOff>0</xdr:colOff>
      <xdr:row>62</xdr:row>
      <xdr:rowOff>0</xdr:rowOff>
    </xdr:to>
    <xdr:sp macro="" textlink="">
      <xdr:nvSpPr>
        <xdr:cNvPr id="6324" name="Line 63">
          <a:extLst>
            <a:ext uri="{FF2B5EF4-FFF2-40B4-BE49-F238E27FC236}">
              <a16:creationId xmlns:a16="http://schemas.microsoft.com/office/drawing/2014/main" id="{00000000-0008-0000-0D00-0000B4180000}"/>
            </a:ext>
          </a:extLst>
        </xdr:cNvPr>
        <xdr:cNvSpPr>
          <a:spLocks noChangeShapeType="1"/>
        </xdr:cNvSpPr>
      </xdr:nvSpPr>
      <xdr:spPr bwMode="auto">
        <a:xfrm>
          <a:off x="6926580" y="111785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70</xdr:row>
      <xdr:rowOff>0</xdr:rowOff>
    </xdr:from>
    <xdr:to>
      <xdr:col>14</xdr:col>
      <xdr:colOff>640080</xdr:colOff>
      <xdr:row>70</xdr:row>
      <xdr:rowOff>0</xdr:rowOff>
    </xdr:to>
    <xdr:sp macro="" textlink="">
      <xdr:nvSpPr>
        <xdr:cNvPr id="6325" name="Line 64">
          <a:extLst>
            <a:ext uri="{FF2B5EF4-FFF2-40B4-BE49-F238E27FC236}">
              <a16:creationId xmlns:a16="http://schemas.microsoft.com/office/drawing/2014/main" id="{00000000-0008-0000-0D00-0000B5180000}"/>
            </a:ext>
          </a:extLst>
        </xdr:cNvPr>
        <xdr:cNvSpPr>
          <a:spLocks noChangeShapeType="1"/>
        </xdr:cNvSpPr>
      </xdr:nvSpPr>
      <xdr:spPr bwMode="auto">
        <a:xfrm>
          <a:off x="10584180" y="1251966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62</xdr:row>
      <xdr:rowOff>0</xdr:rowOff>
    </xdr:from>
    <xdr:to>
      <xdr:col>6</xdr:col>
      <xdr:colOff>0</xdr:colOff>
      <xdr:row>62</xdr:row>
      <xdr:rowOff>0</xdr:rowOff>
    </xdr:to>
    <xdr:sp macro="" textlink="">
      <xdr:nvSpPr>
        <xdr:cNvPr id="6326" name="Line 65">
          <a:extLst>
            <a:ext uri="{FF2B5EF4-FFF2-40B4-BE49-F238E27FC236}">
              <a16:creationId xmlns:a16="http://schemas.microsoft.com/office/drawing/2014/main" id="{00000000-0008-0000-0D00-0000B6180000}"/>
            </a:ext>
          </a:extLst>
        </xdr:cNvPr>
        <xdr:cNvSpPr>
          <a:spLocks noChangeShapeType="1"/>
        </xdr:cNvSpPr>
      </xdr:nvSpPr>
      <xdr:spPr bwMode="auto">
        <a:xfrm>
          <a:off x="4389120" y="111785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62</xdr:row>
      <xdr:rowOff>0</xdr:rowOff>
    </xdr:from>
    <xdr:to>
      <xdr:col>4</xdr:col>
      <xdr:colOff>7620</xdr:colOff>
      <xdr:row>62</xdr:row>
      <xdr:rowOff>0</xdr:rowOff>
    </xdr:to>
    <xdr:sp macro="" textlink="">
      <xdr:nvSpPr>
        <xdr:cNvPr id="6327" name="Line 66">
          <a:extLst>
            <a:ext uri="{FF2B5EF4-FFF2-40B4-BE49-F238E27FC236}">
              <a16:creationId xmlns:a16="http://schemas.microsoft.com/office/drawing/2014/main" id="{00000000-0008-0000-0D00-0000B7180000}"/>
            </a:ext>
          </a:extLst>
        </xdr:cNvPr>
        <xdr:cNvSpPr>
          <a:spLocks noChangeShapeType="1"/>
        </xdr:cNvSpPr>
      </xdr:nvSpPr>
      <xdr:spPr bwMode="auto">
        <a:xfrm>
          <a:off x="2194560" y="11178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328" name="Line 67">
          <a:extLst>
            <a:ext uri="{FF2B5EF4-FFF2-40B4-BE49-F238E27FC236}">
              <a16:creationId xmlns:a16="http://schemas.microsoft.com/office/drawing/2014/main" id="{00000000-0008-0000-0D00-0000B818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329" name="Line 68">
          <a:extLst>
            <a:ext uri="{FF2B5EF4-FFF2-40B4-BE49-F238E27FC236}">
              <a16:creationId xmlns:a16="http://schemas.microsoft.com/office/drawing/2014/main" id="{00000000-0008-0000-0D00-0000B918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330" name="Line 69">
          <a:extLst>
            <a:ext uri="{FF2B5EF4-FFF2-40B4-BE49-F238E27FC236}">
              <a16:creationId xmlns:a16="http://schemas.microsoft.com/office/drawing/2014/main" id="{00000000-0008-0000-0D00-0000BA18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331" name="Line 70">
          <a:extLst>
            <a:ext uri="{FF2B5EF4-FFF2-40B4-BE49-F238E27FC236}">
              <a16:creationId xmlns:a16="http://schemas.microsoft.com/office/drawing/2014/main" id="{00000000-0008-0000-0D00-0000BB18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68</xdr:row>
      <xdr:rowOff>0</xdr:rowOff>
    </xdr:from>
    <xdr:to>
      <xdr:col>7</xdr:col>
      <xdr:colOff>45720</xdr:colOff>
      <xdr:row>68</xdr:row>
      <xdr:rowOff>0</xdr:rowOff>
    </xdr:to>
    <xdr:sp macro="" textlink="">
      <xdr:nvSpPr>
        <xdr:cNvPr id="6332" name="Line 71">
          <a:extLst>
            <a:ext uri="{FF2B5EF4-FFF2-40B4-BE49-F238E27FC236}">
              <a16:creationId xmlns:a16="http://schemas.microsoft.com/office/drawing/2014/main" id="{00000000-0008-0000-0D00-0000BC180000}"/>
            </a:ext>
          </a:extLst>
        </xdr:cNvPr>
        <xdr:cNvSpPr>
          <a:spLocks noChangeShapeType="1"/>
        </xdr:cNvSpPr>
      </xdr:nvSpPr>
      <xdr:spPr bwMode="auto">
        <a:xfrm>
          <a:off x="4389120" y="1218438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70</xdr:row>
      <xdr:rowOff>0</xdr:rowOff>
    </xdr:from>
    <xdr:to>
      <xdr:col>4</xdr:col>
      <xdr:colOff>7620</xdr:colOff>
      <xdr:row>70</xdr:row>
      <xdr:rowOff>0</xdr:rowOff>
    </xdr:to>
    <xdr:sp macro="" textlink="">
      <xdr:nvSpPr>
        <xdr:cNvPr id="6333" name="Line 72">
          <a:extLst>
            <a:ext uri="{FF2B5EF4-FFF2-40B4-BE49-F238E27FC236}">
              <a16:creationId xmlns:a16="http://schemas.microsoft.com/office/drawing/2014/main" id="{00000000-0008-0000-0D00-0000BD180000}"/>
            </a:ext>
          </a:extLst>
        </xdr:cNvPr>
        <xdr:cNvSpPr>
          <a:spLocks noChangeShapeType="1"/>
        </xdr:cNvSpPr>
      </xdr:nvSpPr>
      <xdr:spPr bwMode="auto">
        <a:xfrm>
          <a:off x="2194560" y="12519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79</xdr:row>
      <xdr:rowOff>0</xdr:rowOff>
    </xdr:from>
    <xdr:to>
      <xdr:col>6</xdr:col>
      <xdr:colOff>0</xdr:colOff>
      <xdr:row>79</xdr:row>
      <xdr:rowOff>0</xdr:rowOff>
    </xdr:to>
    <xdr:sp macro="" textlink="">
      <xdr:nvSpPr>
        <xdr:cNvPr id="6334" name="Line 73">
          <a:extLst>
            <a:ext uri="{FF2B5EF4-FFF2-40B4-BE49-F238E27FC236}">
              <a16:creationId xmlns:a16="http://schemas.microsoft.com/office/drawing/2014/main" id="{00000000-0008-0000-0D00-0000BE180000}"/>
            </a:ext>
          </a:extLst>
        </xdr:cNvPr>
        <xdr:cNvSpPr>
          <a:spLocks noChangeShapeType="1"/>
        </xdr:cNvSpPr>
      </xdr:nvSpPr>
      <xdr:spPr bwMode="auto">
        <a:xfrm>
          <a:off x="4389120" y="140284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79</xdr:row>
      <xdr:rowOff>0</xdr:rowOff>
    </xdr:from>
    <xdr:to>
      <xdr:col>14</xdr:col>
      <xdr:colOff>640080</xdr:colOff>
      <xdr:row>79</xdr:row>
      <xdr:rowOff>0</xdr:rowOff>
    </xdr:to>
    <xdr:sp macro="" textlink="">
      <xdr:nvSpPr>
        <xdr:cNvPr id="6335" name="Line 74">
          <a:extLst>
            <a:ext uri="{FF2B5EF4-FFF2-40B4-BE49-F238E27FC236}">
              <a16:creationId xmlns:a16="http://schemas.microsoft.com/office/drawing/2014/main" id="{00000000-0008-0000-0D00-0000BF180000}"/>
            </a:ext>
          </a:extLst>
        </xdr:cNvPr>
        <xdr:cNvSpPr>
          <a:spLocks noChangeShapeType="1"/>
        </xdr:cNvSpPr>
      </xdr:nvSpPr>
      <xdr:spPr bwMode="auto">
        <a:xfrm>
          <a:off x="10584180" y="140284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6336" name="Line 75">
          <a:extLst>
            <a:ext uri="{FF2B5EF4-FFF2-40B4-BE49-F238E27FC236}">
              <a16:creationId xmlns:a16="http://schemas.microsoft.com/office/drawing/2014/main" id="{00000000-0008-0000-0D00-0000C018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6337" name="Line 76">
          <a:extLst>
            <a:ext uri="{FF2B5EF4-FFF2-40B4-BE49-F238E27FC236}">
              <a16:creationId xmlns:a16="http://schemas.microsoft.com/office/drawing/2014/main" id="{00000000-0008-0000-0D00-0000C118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72</xdr:row>
      <xdr:rowOff>0</xdr:rowOff>
    </xdr:from>
    <xdr:to>
      <xdr:col>10</xdr:col>
      <xdr:colOff>0</xdr:colOff>
      <xdr:row>72</xdr:row>
      <xdr:rowOff>0</xdr:rowOff>
    </xdr:to>
    <xdr:sp macro="" textlink="">
      <xdr:nvSpPr>
        <xdr:cNvPr id="6338" name="Line 77">
          <a:extLst>
            <a:ext uri="{FF2B5EF4-FFF2-40B4-BE49-F238E27FC236}">
              <a16:creationId xmlns:a16="http://schemas.microsoft.com/office/drawing/2014/main" id="{00000000-0008-0000-0D00-0000C2180000}"/>
            </a:ext>
          </a:extLst>
        </xdr:cNvPr>
        <xdr:cNvSpPr>
          <a:spLocks noChangeShapeType="1"/>
        </xdr:cNvSpPr>
      </xdr:nvSpPr>
      <xdr:spPr bwMode="auto">
        <a:xfrm>
          <a:off x="6926580" y="128549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72</xdr:row>
      <xdr:rowOff>0</xdr:rowOff>
    </xdr:from>
    <xdr:to>
      <xdr:col>6</xdr:col>
      <xdr:colOff>0</xdr:colOff>
      <xdr:row>72</xdr:row>
      <xdr:rowOff>0</xdr:rowOff>
    </xdr:to>
    <xdr:sp macro="" textlink="">
      <xdr:nvSpPr>
        <xdr:cNvPr id="6339" name="Line 78">
          <a:extLst>
            <a:ext uri="{FF2B5EF4-FFF2-40B4-BE49-F238E27FC236}">
              <a16:creationId xmlns:a16="http://schemas.microsoft.com/office/drawing/2014/main" id="{00000000-0008-0000-0D00-0000C3180000}"/>
            </a:ext>
          </a:extLst>
        </xdr:cNvPr>
        <xdr:cNvSpPr>
          <a:spLocks noChangeShapeType="1"/>
        </xdr:cNvSpPr>
      </xdr:nvSpPr>
      <xdr:spPr bwMode="auto">
        <a:xfrm>
          <a:off x="4389120" y="128549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72</xdr:row>
      <xdr:rowOff>0</xdr:rowOff>
    </xdr:from>
    <xdr:to>
      <xdr:col>4</xdr:col>
      <xdr:colOff>7620</xdr:colOff>
      <xdr:row>72</xdr:row>
      <xdr:rowOff>0</xdr:rowOff>
    </xdr:to>
    <xdr:sp macro="" textlink="">
      <xdr:nvSpPr>
        <xdr:cNvPr id="6340" name="Line 79">
          <a:extLst>
            <a:ext uri="{FF2B5EF4-FFF2-40B4-BE49-F238E27FC236}">
              <a16:creationId xmlns:a16="http://schemas.microsoft.com/office/drawing/2014/main" id="{00000000-0008-0000-0D00-0000C4180000}"/>
            </a:ext>
          </a:extLst>
        </xdr:cNvPr>
        <xdr:cNvSpPr>
          <a:spLocks noChangeShapeType="1"/>
        </xdr:cNvSpPr>
      </xdr:nvSpPr>
      <xdr:spPr bwMode="auto">
        <a:xfrm>
          <a:off x="2194560" y="128549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6341" name="Line 80">
          <a:extLst>
            <a:ext uri="{FF2B5EF4-FFF2-40B4-BE49-F238E27FC236}">
              <a16:creationId xmlns:a16="http://schemas.microsoft.com/office/drawing/2014/main" id="{00000000-0008-0000-0D00-0000C518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6342" name="Line 81">
          <a:extLst>
            <a:ext uri="{FF2B5EF4-FFF2-40B4-BE49-F238E27FC236}">
              <a16:creationId xmlns:a16="http://schemas.microsoft.com/office/drawing/2014/main" id="{00000000-0008-0000-0D00-0000C618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6343" name="Line 82">
          <a:extLst>
            <a:ext uri="{FF2B5EF4-FFF2-40B4-BE49-F238E27FC236}">
              <a16:creationId xmlns:a16="http://schemas.microsoft.com/office/drawing/2014/main" id="{00000000-0008-0000-0D00-0000C718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6344" name="Line 83">
          <a:extLst>
            <a:ext uri="{FF2B5EF4-FFF2-40B4-BE49-F238E27FC236}">
              <a16:creationId xmlns:a16="http://schemas.microsoft.com/office/drawing/2014/main" id="{00000000-0008-0000-0D00-0000C818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78</xdr:row>
      <xdr:rowOff>0</xdr:rowOff>
    </xdr:from>
    <xdr:to>
      <xdr:col>7</xdr:col>
      <xdr:colOff>45720</xdr:colOff>
      <xdr:row>78</xdr:row>
      <xdr:rowOff>0</xdr:rowOff>
    </xdr:to>
    <xdr:sp macro="" textlink="">
      <xdr:nvSpPr>
        <xdr:cNvPr id="6345" name="Line 84">
          <a:extLst>
            <a:ext uri="{FF2B5EF4-FFF2-40B4-BE49-F238E27FC236}">
              <a16:creationId xmlns:a16="http://schemas.microsoft.com/office/drawing/2014/main" id="{00000000-0008-0000-0D00-0000C9180000}"/>
            </a:ext>
          </a:extLst>
        </xdr:cNvPr>
        <xdr:cNvSpPr>
          <a:spLocks noChangeShapeType="1"/>
        </xdr:cNvSpPr>
      </xdr:nvSpPr>
      <xdr:spPr bwMode="auto">
        <a:xfrm>
          <a:off x="4389120" y="1386078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6346" name="Line 85">
          <a:extLst>
            <a:ext uri="{FF2B5EF4-FFF2-40B4-BE49-F238E27FC236}">
              <a16:creationId xmlns:a16="http://schemas.microsoft.com/office/drawing/2014/main" id="{00000000-0008-0000-0D00-0000CA180000}"/>
            </a:ext>
          </a:extLst>
        </xdr:cNvPr>
        <xdr:cNvSpPr>
          <a:spLocks noChangeShapeType="1"/>
        </xdr:cNvSpPr>
      </xdr:nvSpPr>
      <xdr:spPr bwMode="auto">
        <a:xfrm>
          <a:off x="69265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6347" name="Line 86">
          <a:extLst>
            <a:ext uri="{FF2B5EF4-FFF2-40B4-BE49-F238E27FC236}">
              <a16:creationId xmlns:a16="http://schemas.microsoft.com/office/drawing/2014/main" id="{00000000-0008-0000-0D00-0000CB180000}"/>
            </a:ext>
          </a:extLst>
        </xdr:cNvPr>
        <xdr:cNvSpPr>
          <a:spLocks noChangeShapeType="1"/>
        </xdr:cNvSpPr>
      </xdr:nvSpPr>
      <xdr:spPr bwMode="auto">
        <a:xfrm>
          <a:off x="43891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6348" name="Line 87">
          <a:extLst>
            <a:ext uri="{FF2B5EF4-FFF2-40B4-BE49-F238E27FC236}">
              <a16:creationId xmlns:a16="http://schemas.microsoft.com/office/drawing/2014/main" id="{00000000-0008-0000-0D00-0000CC180000}"/>
            </a:ext>
          </a:extLst>
        </xdr:cNvPr>
        <xdr:cNvSpPr>
          <a:spLocks noChangeShapeType="1"/>
        </xdr:cNvSpPr>
      </xdr:nvSpPr>
      <xdr:spPr bwMode="auto">
        <a:xfrm>
          <a:off x="21945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6349" name="Line 88">
          <a:extLst>
            <a:ext uri="{FF2B5EF4-FFF2-40B4-BE49-F238E27FC236}">
              <a16:creationId xmlns:a16="http://schemas.microsoft.com/office/drawing/2014/main" id="{00000000-0008-0000-0D00-0000CD180000}"/>
            </a:ext>
          </a:extLst>
        </xdr:cNvPr>
        <xdr:cNvSpPr>
          <a:spLocks noChangeShapeType="1"/>
        </xdr:cNvSpPr>
      </xdr:nvSpPr>
      <xdr:spPr bwMode="auto">
        <a:xfrm>
          <a:off x="4389120" y="1536954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44</xdr:row>
      <xdr:rowOff>0</xdr:rowOff>
    </xdr:from>
    <xdr:to>
      <xdr:col>6</xdr:col>
      <xdr:colOff>0</xdr:colOff>
      <xdr:row>44</xdr:row>
      <xdr:rowOff>0</xdr:rowOff>
    </xdr:to>
    <xdr:sp macro="" textlink="">
      <xdr:nvSpPr>
        <xdr:cNvPr id="6350" name="Line 89">
          <a:extLst>
            <a:ext uri="{FF2B5EF4-FFF2-40B4-BE49-F238E27FC236}">
              <a16:creationId xmlns:a16="http://schemas.microsoft.com/office/drawing/2014/main" id="{00000000-0008-0000-0D00-0000CE180000}"/>
            </a:ext>
          </a:extLst>
        </xdr:cNvPr>
        <xdr:cNvSpPr>
          <a:spLocks noChangeShapeType="1"/>
        </xdr:cNvSpPr>
      </xdr:nvSpPr>
      <xdr:spPr bwMode="auto">
        <a:xfrm>
          <a:off x="4389120" y="80391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43</xdr:row>
      <xdr:rowOff>0</xdr:rowOff>
    </xdr:from>
    <xdr:to>
      <xdr:col>6</xdr:col>
      <xdr:colOff>0</xdr:colOff>
      <xdr:row>43</xdr:row>
      <xdr:rowOff>0</xdr:rowOff>
    </xdr:to>
    <xdr:sp macro="" textlink="">
      <xdr:nvSpPr>
        <xdr:cNvPr id="6351" name="Line 90">
          <a:extLst>
            <a:ext uri="{FF2B5EF4-FFF2-40B4-BE49-F238E27FC236}">
              <a16:creationId xmlns:a16="http://schemas.microsoft.com/office/drawing/2014/main" id="{00000000-0008-0000-0D00-0000CF180000}"/>
            </a:ext>
          </a:extLst>
        </xdr:cNvPr>
        <xdr:cNvSpPr>
          <a:spLocks noChangeShapeType="1"/>
        </xdr:cNvSpPr>
      </xdr:nvSpPr>
      <xdr:spPr bwMode="auto">
        <a:xfrm>
          <a:off x="4389120" y="78714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59</xdr:row>
      <xdr:rowOff>0</xdr:rowOff>
    </xdr:from>
    <xdr:to>
      <xdr:col>6</xdr:col>
      <xdr:colOff>0</xdr:colOff>
      <xdr:row>59</xdr:row>
      <xdr:rowOff>0</xdr:rowOff>
    </xdr:to>
    <xdr:sp macro="" textlink="">
      <xdr:nvSpPr>
        <xdr:cNvPr id="6352" name="Line 91">
          <a:extLst>
            <a:ext uri="{FF2B5EF4-FFF2-40B4-BE49-F238E27FC236}">
              <a16:creationId xmlns:a16="http://schemas.microsoft.com/office/drawing/2014/main" id="{00000000-0008-0000-0D00-0000D0180000}"/>
            </a:ext>
          </a:extLst>
        </xdr:cNvPr>
        <xdr:cNvSpPr>
          <a:spLocks noChangeShapeType="1"/>
        </xdr:cNvSpPr>
      </xdr:nvSpPr>
      <xdr:spPr bwMode="auto">
        <a:xfrm>
          <a:off x="4389120" y="106756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58</xdr:row>
      <xdr:rowOff>0</xdr:rowOff>
    </xdr:from>
    <xdr:to>
      <xdr:col>6</xdr:col>
      <xdr:colOff>0</xdr:colOff>
      <xdr:row>58</xdr:row>
      <xdr:rowOff>0</xdr:rowOff>
    </xdr:to>
    <xdr:sp macro="" textlink="">
      <xdr:nvSpPr>
        <xdr:cNvPr id="6353" name="Line 92">
          <a:extLst>
            <a:ext uri="{FF2B5EF4-FFF2-40B4-BE49-F238E27FC236}">
              <a16:creationId xmlns:a16="http://schemas.microsoft.com/office/drawing/2014/main" id="{00000000-0008-0000-0D00-0000D1180000}"/>
            </a:ext>
          </a:extLst>
        </xdr:cNvPr>
        <xdr:cNvSpPr>
          <a:spLocks noChangeShapeType="1"/>
        </xdr:cNvSpPr>
      </xdr:nvSpPr>
      <xdr:spPr bwMode="auto">
        <a:xfrm>
          <a:off x="4389120" y="105079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31</xdr:row>
      <xdr:rowOff>0</xdr:rowOff>
    </xdr:from>
    <xdr:to>
      <xdr:col>10</xdr:col>
      <xdr:colOff>0</xdr:colOff>
      <xdr:row>31</xdr:row>
      <xdr:rowOff>0</xdr:rowOff>
    </xdr:to>
    <xdr:sp macro="" textlink="">
      <xdr:nvSpPr>
        <xdr:cNvPr id="6354" name="Line 93">
          <a:extLst>
            <a:ext uri="{FF2B5EF4-FFF2-40B4-BE49-F238E27FC236}">
              <a16:creationId xmlns:a16="http://schemas.microsoft.com/office/drawing/2014/main" id="{00000000-0008-0000-0D00-0000D2180000}"/>
            </a:ext>
          </a:extLst>
        </xdr:cNvPr>
        <xdr:cNvSpPr>
          <a:spLocks noChangeShapeType="1"/>
        </xdr:cNvSpPr>
      </xdr:nvSpPr>
      <xdr:spPr bwMode="auto">
        <a:xfrm>
          <a:off x="6926580" y="58597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30</xdr:row>
      <xdr:rowOff>0</xdr:rowOff>
    </xdr:from>
    <xdr:to>
      <xdr:col>10</xdr:col>
      <xdr:colOff>0</xdr:colOff>
      <xdr:row>30</xdr:row>
      <xdr:rowOff>0</xdr:rowOff>
    </xdr:to>
    <xdr:sp macro="" textlink="">
      <xdr:nvSpPr>
        <xdr:cNvPr id="6355" name="Line 94">
          <a:extLst>
            <a:ext uri="{FF2B5EF4-FFF2-40B4-BE49-F238E27FC236}">
              <a16:creationId xmlns:a16="http://schemas.microsoft.com/office/drawing/2014/main" id="{00000000-0008-0000-0D00-0000D3180000}"/>
            </a:ext>
          </a:extLst>
        </xdr:cNvPr>
        <xdr:cNvSpPr>
          <a:spLocks noChangeShapeType="1"/>
        </xdr:cNvSpPr>
      </xdr:nvSpPr>
      <xdr:spPr bwMode="auto">
        <a:xfrm>
          <a:off x="6926580" y="56921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44</xdr:row>
      <xdr:rowOff>0</xdr:rowOff>
    </xdr:from>
    <xdr:to>
      <xdr:col>10</xdr:col>
      <xdr:colOff>0</xdr:colOff>
      <xdr:row>44</xdr:row>
      <xdr:rowOff>0</xdr:rowOff>
    </xdr:to>
    <xdr:sp macro="" textlink="">
      <xdr:nvSpPr>
        <xdr:cNvPr id="6356" name="Line 95">
          <a:extLst>
            <a:ext uri="{FF2B5EF4-FFF2-40B4-BE49-F238E27FC236}">
              <a16:creationId xmlns:a16="http://schemas.microsoft.com/office/drawing/2014/main" id="{00000000-0008-0000-0D00-0000D4180000}"/>
            </a:ext>
          </a:extLst>
        </xdr:cNvPr>
        <xdr:cNvSpPr>
          <a:spLocks noChangeShapeType="1"/>
        </xdr:cNvSpPr>
      </xdr:nvSpPr>
      <xdr:spPr bwMode="auto">
        <a:xfrm>
          <a:off x="6926580" y="80391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43</xdr:row>
      <xdr:rowOff>0</xdr:rowOff>
    </xdr:from>
    <xdr:to>
      <xdr:col>10</xdr:col>
      <xdr:colOff>0</xdr:colOff>
      <xdr:row>43</xdr:row>
      <xdr:rowOff>0</xdr:rowOff>
    </xdr:to>
    <xdr:sp macro="" textlink="">
      <xdr:nvSpPr>
        <xdr:cNvPr id="6357" name="Line 96">
          <a:extLst>
            <a:ext uri="{FF2B5EF4-FFF2-40B4-BE49-F238E27FC236}">
              <a16:creationId xmlns:a16="http://schemas.microsoft.com/office/drawing/2014/main" id="{00000000-0008-0000-0D00-0000D5180000}"/>
            </a:ext>
          </a:extLst>
        </xdr:cNvPr>
        <xdr:cNvSpPr>
          <a:spLocks noChangeShapeType="1"/>
        </xdr:cNvSpPr>
      </xdr:nvSpPr>
      <xdr:spPr bwMode="auto">
        <a:xfrm>
          <a:off x="6926580" y="78714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59</xdr:row>
      <xdr:rowOff>0</xdr:rowOff>
    </xdr:from>
    <xdr:to>
      <xdr:col>10</xdr:col>
      <xdr:colOff>0</xdr:colOff>
      <xdr:row>59</xdr:row>
      <xdr:rowOff>0</xdr:rowOff>
    </xdr:to>
    <xdr:sp macro="" textlink="">
      <xdr:nvSpPr>
        <xdr:cNvPr id="6358" name="Line 97">
          <a:extLst>
            <a:ext uri="{FF2B5EF4-FFF2-40B4-BE49-F238E27FC236}">
              <a16:creationId xmlns:a16="http://schemas.microsoft.com/office/drawing/2014/main" id="{00000000-0008-0000-0D00-0000D6180000}"/>
            </a:ext>
          </a:extLst>
        </xdr:cNvPr>
        <xdr:cNvSpPr>
          <a:spLocks noChangeShapeType="1"/>
        </xdr:cNvSpPr>
      </xdr:nvSpPr>
      <xdr:spPr bwMode="auto">
        <a:xfrm>
          <a:off x="6926580" y="106756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58</xdr:row>
      <xdr:rowOff>0</xdr:rowOff>
    </xdr:from>
    <xdr:to>
      <xdr:col>10</xdr:col>
      <xdr:colOff>0</xdr:colOff>
      <xdr:row>58</xdr:row>
      <xdr:rowOff>0</xdr:rowOff>
    </xdr:to>
    <xdr:sp macro="" textlink="">
      <xdr:nvSpPr>
        <xdr:cNvPr id="6359" name="Line 98">
          <a:extLst>
            <a:ext uri="{FF2B5EF4-FFF2-40B4-BE49-F238E27FC236}">
              <a16:creationId xmlns:a16="http://schemas.microsoft.com/office/drawing/2014/main" id="{00000000-0008-0000-0D00-0000D7180000}"/>
            </a:ext>
          </a:extLst>
        </xdr:cNvPr>
        <xdr:cNvSpPr>
          <a:spLocks noChangeShapeType="1"/>
        </xdr:cNvSpPr>
      </xdr:nvSpPr>
      <xdr:spPr bwMode="auto">
        <a:xfrm>
          <a:off x="6926580" y="105079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70</xdr:row>
      <xdr:rowOff>0</xdr:rowOff>
    </xdr:from>
    <xdr:to>
      <xdr:col>10</xdr:col>
      <xdr:colOff>0</xdr:colOff>
      <xdr:row>70</xdr:row>
      <xdr:rowOff>0</xdr:rowOff>
    </xdr:to>
    <xdr:sp macro="" textlink="">
      <xdr:nvSpPr>
        <xdr:cNvPr id="6360" name="Line 99">
          <a:extLst>
            <a:ext uri="{FF2B5EF4-FFF2-40B4-BE49-F238E27FC236}">
              <a16:creationId xmlns:a16="http://schemas.microsoft.com/office/drawing/2014/main" id="{00000000-0008-0000-0D00-0000D8180000}"/>
            </a:ext>
          </a:extLst>
        </xdr:cNvPr>
        <xdr:cNvSpPr>
          <a:spLocks noChangeShapeType="1"/>
        </xdr:cNvSpPr>
      </xdr:nvSpPr>
      <xdr:spPr bwMode="auto">
        <a:xfrm>
          <a:off x="6926580" y="125196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69</xdr:row>
      <xdr:rowOff>0</xdr:rowOff>
    </xdr:from>
    <xdr:to>
      <xdr:col>10</xdr:col>
      <xdr:colOff>0</xdr:colOff>
      <xdr:row>69</xdr:row>
      <xdr:rowOff>0</xdr:rowOff>
    </xdr:to>
    <xdr:sp macro="" textlink="">
      <xdr:nvSpPr>
        <xdr:cNvPr id="6361" name="Line 100">
          <a:extLst>
            <a:ext uri="{FF2B5EF4-FFF2-40B4-BE49-F238E27FC236}">
              <a16:creationId xmlns:a16="http://schemas.microsoft.com/office/drawing/2014/main" id="{00000000-0008-0000-0D00-0000D9180000}"/>
            </a:ext>
          </a:extLst>
        </xdr:cNvPr>
        <xdr:cNvSpPr>
          <a:spLocks noChangeShapeType="1"/>
        </xdr:cNvSpPr>
      </xdr:nvSpPr>
      <xdr:spPr bwMode="auto">
        <a:xfrm>
          <a:off x="6926580" y="123520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79</xdr:row>
      <xdr:rowOff>0</xdr:rowOff>
    </xdr:from>
    <xdr:to>
      <xdr:col>10</xdr:col>
      <xdr:colOff>0</xdr:colOff>
      <xdr:row>79</xdr:row>
      <xdr:rowOff>0</xdr:rowOff>
    </xdr:to>
    <xdr:sp macro="" textlink="">
      <xdr:nvSpPr>
        <xdr:cNvPr id="6362" name="Line 101">
          <a:extLst>
            <a:ext uri="{FF2B5EF4-FFF2-40B4-BE49-F238E27FC236}">
              <a16:creationId xmlns:a16="http://schemas.microsoft.com/office/drawing/2014/main" id="{00000000-0008-0000-0D00-0000DA180000}"/>
            </a:ext>
          </a:extLst>
        </xdr:cNvPr>
        <xdr:cNvSpPr>
          <a:spLocks noChangeShapeType="1"/>
        </xdr:cNvSpPr>
      </xdr:nvSpPr>
      <xdr:spPr bwMode="auto">
        <a:xfrm>
          <a:off x="6926580" y="14028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6363" name="Line 102">
          <a:extLst>
            <a:ext uri="{FF2B5EF4-FFF2-40B4-BE49-F238E27FC236}">
              <a16:creationId xmlns:a16="http://schemas.microsoft.com/office/drawing/2014/main" id="{00000000-0008-0000-0D00-0000DB180000}"/>
            </a:ext>
          </a:extLst>
        </xdr:cNvPr>
        <xdr:cNvSpPr>
          <a:spLocks noChangeShapeType="1"/>
        </xdr:cNvSpPr>
      </xdr:nvSpPr>
      <xdr:spPr bwMode="auto">
        <a:xfrm>
          <a:off x="21945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6364" name="Line 108">
          <a:extLst>
            <a:ext uri="{FF2B5EF4-FFF2-40B4-BE49-F238E27FC236}">
              <a16:creationId xmlns:a16="http://schemas.microsoft.com/office/drawing/2014/main" id="{00000000-0008-0000-0D00-0000DC180000}"/>
            </a:ext>
          </a:extLst>
        </xdr:cNvPr>
        <xdr:cNvSpPr>
          <a:spLocks noChangeShapeType="1"/>
        </xdr:cNvSpPr>
      </xdr:nvSpPr>
      <xdr:spPr bwMode="auto">
        <a:xfrm>
          <a:off x="69265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6365" name="Line 109">
          <a:extLst>
            <a:ext uri="{FF2B5EF4-FFF2-40B4-BE49-F238E27FC236}">
              <a16:creationId xmlns:a16="http://schemas.microsoft.com/office/drawing/2014/main" id="{00000000-0008-0000-0D00-0000DD180000}"/>
            </a:ext>
          </a:extLst>
        </xdr:cNvPr>
        <xdr:cNvSpPr>
          <a:spLocks noChangeShapeType="1"/>
        </xdr:cNvSpPr>
      </xdr:nvSpPr>
      <xdr:spPr bwMode="auto">
        <a:xfrm>
          <a:off x="43891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6366" name="Line 110">
          <a:extLst>
            <a:ext uri="{FF2B5EF4-FFF2-40B4-BE49-F238E27FC236}">
              <a16:creationId xmlns:a16="http://schemas.microsoft.com/office/drawing/2014/main" id="{00000000-0008-0000-0D00-0000DE180000}"/>
            </a:ext>
          </a:extLst>
        </xdr:cNvPr>
        <xdr:cNvSpPr>
          <a:spLocks noChangeShapeType="1"/>
        </xdr:cNvSpPr>
      </xdr:nvSpPr>
      <xdr:spPr bwMode="auto">
        <a:xfrm>
          <a:off x="21945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6367" name="Line 111">
          <a:extLst>
            <a:ext uri="{FF2B5EF4-FFF2-40B4-BE49-F238E27FC236}">
              <a16:creationId xmlns:a16="http://schemas.microsoft.com/office/drawing/2014/main" id="{00000000-0008-0000-0D00-0000DF180000}"/>
            </a:ext>
          </a:extLst>
        </xdr:cNvPr>
        <xdr:cNvSpPr>
          <a:spLocks noChangeShapeType="1"/>
        </xdr:cNvSpPr>
      </xdr:nvSpPr>
      <xdr:spPr bwMode="auto">
        <a:xfrm>
          <a:off x="4389120" y="1536954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6368" name="Line 112">
          <a:extLst>
            <a:ext uri="{FF2B5EF4-FFF2-40B4-BE49-F238E27FC236}">
              <a16:creationId xmlns:a16="http://schemas.microsoft.com/office/drawing/2014/main" id="{00000000-0008-0000-0D00-0000E0180000}"/>
            </a:ext>
          </a:extLst>
        </xdr:cNvPr>
        <xdr:cNvSpPr>
          <a:spLocks noChangeShapeType="1"/>
        </xdr:cNvSpPr>
      </xdr:nvSpPr>
      <xdr:spPr bwMode="auto">
        <a:xfrm>
          <a:off x="21945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6369" name="Line 75">
          <a:extLst>
            <a:ext uri="{FF2B5EF4-FFF2-40B4-BE49-F238E27FC236}">
              <a16:creationId xmlns:a16="http://schemas.microsoft.com/office/drawing/2014/main" id="{00000000-0008-0000-0D00-0000E1180000}"/>
            </a:ext>
          </a:extLst>
        </xdr:cNvPr>
        <xdr:cNvSpPr>
          <a:spLocks noChangeShapeType="1"/>
        </xdr:cNvSpPr>
      </xdr:nvSpPr>
      <xdr:spPr bwMode="auto">
        <a:xfrm>
          <a:off x="2194560" y="19560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6370" name="Line 87">
          <a:extLst>
            <a:ext uri="{FF2B5EF4-FFF2-40B4-BE49-F238E27FC236}">
              <a16:creationId xmlns:a16="http://schemas.microsoft.com/office/drawing/2014/main" id="{00000000-0008-0000-0D00-0000E2180000}"/>
            </a:ext>
          </a:extLst>
        </xdr:cNvPr>
        <xdr:cNvSpPr>
          <a:spLocks noChangeShapeType="1"/>
        </xdr:cNvSpPr>
      </xdr:nvSpPr>
      <xdr:spPr bwMode="auto">
        <a:xfrm>
          <a:off x="2194560" y="20734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6371" name="Line 75">
          <a:extLst>
            <a:ext uri="{FF2B5EF4-FFF2-40B4-BE49-F238E27FC236}">
              <a16:creationId xmlns:a16="http://schemas.microsoft.com/office/drawing/2014/main" id="{00000000-0008-0000-0D00-0000E3180000}"/>
            </a:ext>
          </a:extLst>
        </xdr:cNvPr>
        <xdr:cNvSpPr>
          <a:spLocks noChangeShapeType="1"/>
        </xdr:cNvSpPr>
      </xdr:nvSpPr>
      <xdr:spPr bwMode="auto">
        <a:xfrm>
          <a:off x="2194560" y="197281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6372" name="Line 79">
          <a:extLst>
            <a:ext uri="{FF2B5EF4-FFF2-40B4-BE49-F238E27FC236}">
              <a16:creationId xmlns:a16="http://schemas.microsoft.com/office/drawing/2014/main" id="{00000000-0008-0000-0D00-0000E4180000}"/>
            </a:ext>
          </a:extLst>
        </xdr:cNvPr>
        <xdr:cNvSpPr>
          <a:spLocks noChangeShapeType="1"/>
        </xdr:cNvSpPr>
      </xdr:nvSpPr>
      <xdr:spPr bwMode="auto">
        <a:xfrm>
          <a:off x="2194560" y="18554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6373" name="Line 87">
          <a:extLst>
            <a:ext uri="{FF2B5EF4-FFF2-40B4-BE49-F238E27FC236}">
              <a16:creationId xmlns:a16="http://schemas.microsoft.com/office/drawing/2014/main" id="{00000000-0008-0000-0D00-0000E5180000}"/>
            </a:ext>
          </a:extLst>
        </xdr:cNvPr>
        <xdr:cNvSpPr>
          <a:spLocks noChangeShapeType="1"/>
        </xdr:cNvSpPr>
      </xdr:nvSpPr>
      <xdr:spPr bwMode="auto">
        <a:xfrm>
          <a:off x="2194560" y="20901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6374" name="Line 75">
          <a:extLst>
            <a:ext uri="{FF2B5EF4-FFF2-40B4-BE49-F238E27FC236}">
              <a16:creationId xmlns:a16="http://schemas.microsoft.com/office/drawing/2014/main" id="{00000000-0008-0000-0D00-0000E6180000}"/>
            </a:ext>
          </a:extLst>
        </xdr:cNvPr>
        <xdr:cNvSpPr>
          <a:spLocks noChangeShapeType="1"/>
        </xdr:cNvSpPr>
      </xdr:nvSpPr>
      <xdr:spPr bwMode="auto">
        <a:xfrm>
          <a:off x="2194560" y="19560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6375" name="Line 87">
          <a:extLst>
            <a:ext uri="{FF2B5EF4-FFF2-40B4-BE49-F238E27FC236}">
              <a16:creationId xmlns:a16="http://schemas.microsoft.com/office/drawing/2014/main" id="{00000000-0008-0000-0D00-0000E7180000}"/>
            </a:ext>
          </a:extLst>
        </xdr:cNvPr>
        <xdr:cNvSpPr>
          <a:spLocks noChangeShapeType="1"/>
        </xdr:cNvSpPr>
      </xdr:nvSpPr>
      <xdr:spPr bwMode="auto">
        <a:xfrm>
          <a:off x="2194560" y="20734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6376" name="Line 75">
          <a:extLst>
            <a:ext uri="{FF2B5EF4-FFF2-40B4-BE49-F238E27FC236}">
              <a16:creationId xmlns:a16="http://schemas.microsoft.com/office/drawing/2014/main" id="{00000000-0008-0000-0D00-0000E8180000}"/>
            </a:ext>
          </a:extLst>
        </xdr:cNvPr>
        <xdr:cNvSpPr>
          <a:spLocks noChangeShapeType="1"/>
        </xdr:cNvSpPr>
      </xdr:nvSpPr>
      <xdr:spPr bwMode="auto">
        <a:xfrm>
          <a:off x="2194560" y="197281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6377" name="Line 79">
          <a:extLst>
            <a:ext uri="{FF2B5EF4-FFF2-40B4-BE49-F238E27FC236}">
              <a16:creationId xmlns:a16="http://schemas.microsoft.com/office/drawing/2014/main" id="{00000000-0008-0000-0D00-0000E9180000}"/>
            </a:ext>
          </a:extLst>
        </xdr:cNvPr>
        <xdr:cNvSpPr>
          <a:spLocks noChangeShapeType="1"/>
        </xdr:cNvSpPr>
      </xdr:nvSpPr>
      <xdr:spPr bwMode="auto">
        <a:xfrm>
          <a:off x="2194560" y="18554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6378" name="Line 87">
          <a:extLst>
            <a:ext uri="{FF2B5EF4-FFF2-40B4-BE49-F238E27FC236}">
              <a16:creationId xmlns:a16="http://schemas.microsoft.com/office/drawing/2014/main" id="{00000000-0008-0000-0D00-0000EA180000}"/>
            </a:ext>
          </a:extLst>
        </xdr:cNvPr>
        <xdr:cNvSpPr>
          <a:spLocks noChangeShapeType="1"/>
        </xdr:cNvSpPr>
      </xdr:nvSpPr>
      <xdr:spPr bwMode="auto">
        <a:xfrm>
          <a:off x="2194560" y="20901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4.xml><?xml version="1.0" encoding="utf-8"?>
<xdr:wsDr xmlns:xdr="http://purl.oclc.org/ooxml/drawingml/spreadsheetDrawing" xmlns:a="http://purl.oclc.org/ooxml/drawingml/main">
  <xdr:twoCellAnchor>
    <xdr:from>
      <xdr:col>6</xdr:col>
      <xdr:colOff>0</xdr:colOff>
      <xdr:row>30</xdr:row>
      <xdr:rowOff>0</xdr:rowOff>
    </xdr:from>
    <xdr:to>
      <xdr:col>6</xdr:col>
      <xdr:colOff>0</xdr:colOff>
      <xdr:row>30</xdr:row>
      <xdr:rowOff>0</xdr:rowOff>
    </xdr:to>
    <xdr:sp macro="" textlink="">
      <xdr:nvSpPr>
        <xdr:cNvPr id="8310" name="Line 1">
          <a:extLst>
            <a:ext uri="{FF2B5EF4-FFF2-40B4-BE49-F238E27FC236}">
              <a16:creationId xmlns:a16="http://schemas.microsoft.com/office/drawing/2014/main" id="{00000000-0008-0000-0F00-000076200000}"/>
            </a:ext>
          </a:extLst>
        </xdr:cNvPr>
        <xdr:cNvSpPr>
          <a:spLocks noChangeShapeType="1"/>
        </xdr:cNvSpPr>
      </xdr:nvSpPr>
      <xdr:spPr bwMode="auto">
        <a:xfrm>
          <a:off x="4389120" y="56921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31</xdr:row>
      <xdr:rowOff>0</xdr:rowOff>
    </xdr:from>
    <xdr:to>
      <xdr:col>6</xdr:col>
      <xdr:colOff>0</xdr:colOff>
      <xdr:row>31</xdr:row>
      <xdr:rowOff>0</xdr:rowOff>
    </xdr:to>
    <xdr:sp macro="" textlink="">
      <xdr:nvSpPr>
        <xdr:cNvPr id="8311" name="Line 2">
          <a:extLst>
            <a:ext uri="{FF2B5EF4-FFF2-40B4-BE49-F238E27FC236}">
              <a16:creationId xmlns:a16="http://schemas.microsoft.com/office/drawing/2014/main" id="{00000000-0008-0000-0F00-000077200000}"/>
            </a:ext>
          </a:extLst>
        </xdr:cNvPr>
        <xdr:cNvSpPr>
          <a:spLocks noChangeShapeType="1"/>
        </xdr:cNvSpPr>
      </xdr:nvSpPr>
      <xdr:spPr bwMode="auto">
        <a:xfrm>
          <a:off x="4389120" y="58597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23</xdr:row>
      <xdr:rowOff>0</xdr:rowOff>
    </xdr:from>
    <xdr:to>
      <xdr:col>6</xdr:col>
      <xdr:colOff>0</xdr:colOff>
      <xdr:row>23</xdr:row>
      <xdr:rowOff>0</xdr:rowOff>
    </xdr:to>
    <xdr:sp macro="" textlink="">
      <xdr:nvSpPr>
        <xdr:cNvPr id="8312" name="Line 3">
          <a:extLst>
            <a:ext uri="{FF2B5EF4-FFF2-40B4-BE49-F238E27FC236}">
              <a16:creationId xmlns:a16="http://schemas.microsoft.com/office/drawing/2014/main" id="{00000000-0008-0000-0F00-000078200000}"/>
            </a:ext>
          </a:extLst>
        </xdr:cNvPr>
        <xdr:cNvSpPr>
          <a:spLocks noChangeShapeType="1"/>
        </xdr:cNvSpPr>
      </xdr:nvSpPr>
      <xdr:spPr bwMode="auto">
        <a:xfrm>
          <a:off x="4389120" y="45186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23</xdr:row>
      <xdr:rowOff>0</xdr:rowOff>
    </xdr:from>
    <xdr:to>
      <xdr:col>9</xdr:col>
      <xdr:colOff>662940</xdr:colOff>
      <xdr:row>23</xdr:row>
      <xdr:rowOff>0</xdr:rowOff>
    </xdr:to>
    <xdr:sp macro="" textlink="">
      <xdr:nvSpPr>
        <xdr:cNvPr id="8313" name="Line 4">
          <a:extLst>
            <a:ext uri="{FF2B5EF4-FFF2-40B4-BE49-F238E27FC236}">
              <a16:creationId xmlns:a16="http://schemas.microsoft.com/office/drawing/2014/main" id="{00000000-0008-0000-0F00-000079200000}"/>
            </a:ext>
          </a:extLst>
        </xdr:cNvPr>
        <xdr:cNvSpPr>
          <a:spLocks noChangeShapeType="1"/>
        </xdr:cNvSpPr>
      </xdr:nvSpPr>
      <xdr:spPr bwMode="auto">
        <a:xfrm>
          <a:off x="6926580" y="451866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30</xdr:row>
      <xdr:rowOff>0</xdr:rowOff>
    </xdr:from>
    <xdr:to>
      <xdr:col>14</xdr:col>
      <xdr:colOff>662940</xdr:colOff>
      <xdr:row>30</xdr:row>
      <xdr:rowOff>0</xdr:rowOff>
    </xdr:to>
    <xdr:sp macro="" textlink="">
      <xdr:nvSpPr>
        <xdr:cNvPr id="8314" name="Line 5">
          <a:extLst>
            <a:ext uri="{FF2B5EF4-FFF2-40B4-BE49-F238E27FC236}">
              <a16:creationId xmlns:a16="http://schemas.microsoft.com/office/drawing/2014/main" id="{00000000-0008-0000-0F00-00007A200000}"/>
            </a:ext>
          </a:extLst>
        </xdr:cNvPr>
        <xdr:cNvSpPr>
          <a:spLocks noChangeShapeType="1"/>
        </xdr:cNvSpPr>
      </xdr:nvSpPr>
      <xdr:spPr bwMode="auto">
        <a:xfrm>
          <a:off x="10584180" y="569214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31</xdr:row>
      <xdr:rowOff>0</xdr:rowOff>
    </xdr:from>
    <xdr:to>
      <xdr:col>14</xdr:col>
      <xdr:colOff>662940</xdr:colOff>
      <xdr:row>31</xdr:row>
      <xdr:rowOff>0</xdr:rowOff>
    </xdr:to>
    <xdr:sp macro="" textlink="">
      <xdr:nvSpPr>
        <xdr:cNvPr id="8315" name="Line 6">
          <a:extLst>
            <a:ext uri="{FF2B5EF4-FFF2-40B4-BE49-F238E27FC236}">
              <a16:creationId xmlns:a16="http://schemas.microsoft.com/office/drawing/2014/main" id="{00000000-0008-0000-0F00-00007B200000}"/>
            </a:ext>
          </a:extLst>
        </xdr:cNvPr>
        <xdr:cNvSpPr>
          <a:spLocks noChangeShapeType="1"/>
        </xdr:cNvSpPr>
      </xdr:nvSpPr>
      <xdr:spPr bwMode="auto">
        <a:xfrm>
          <a:off x="10584180" y="585978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32</xdr:row>
      <xdr:rowOff>0</xdr:rowOff>
    </xdr:from>
    <xdr:to>
      <xdr:col>6</xdr:col>
      <xdr:colOff>0</xdr:colOff>
      <xdr:row>32</xdr:row>
      <xdr:rowOff>0</xdr:rowOff>
    </xdr:to>
    <xdr:sp macro="" textlink="">
      <xdr:nvSpPr>
        <xdr:cNvPr id="8316" name="Line 7">
          <a:extLst>
            <a:ext uri="{FF2B5EF4-FFF2-40B4-BE49-F238E27FC236}">
              <a16:creationId xmlns:a16="http://schemas.microsoft.com/office/drawing/2014/main" id="{00000000-0008-0000-0F00-00007C200000}"/>
            </a:ext>
          </a:extLst>
        </xdr:cNvPr>
        <xdr:cNvSpPr>
          <a:spLocks noChangeShapeType="1"/>
        </xdr:cNvSpPr>
      </xdr:nvSpPr>
      <xdr:spPr bwMode="auto">
        <a:xfrm>
          <a:off x="4389120" y="60274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33</xdr:row>
      <xdr:rowOff>0</xdr:rowOff>
    </xdr:from>
    <xdr:to>
      <xdr:col>6</xdr:col>
      <xdr:colOff>0</xdr:colOff>
      <xdr:row>33</xdr:row>
      <xdr:rowOff>0</xdr:rowOff>
    </xdr:to>
    <xdr:sp macro="" textlink="">
      <xdr:nvSpPr>
        <xdr:cNvPr id="8317" name="Line 8">
          <a:extLst>
            <a:ext uri="{FF2B5EF4-FFF2-40B4-BE49-F238E27FC236}">
              <a16:creationId xmlns:a16="http://schemas.microsoft.com/office/drawing/2014/main" id="{00000000-0008-0000-0F00-00007D200000}"/>
            </a:ext>
          </a:extLst>
        </xdr:cNvPr>
        <xdr:cNvSpPr>
          <a:spLocks noChangeShapeType="1"/>
        </xdr:cNvSpPr>
      </xdr:nvSpPr>
      <xdr:spPr bwMode="auto">
        <a:xfrm>
          <a:off x="4389120" y="61950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34</xdr:row>
      <xdr:rowOff>0</xdr:rowOff>
    </xdr:from>
    <xdr:to>
      <xdr:col>6</xdr:col>
      <xdr:colOff>0</xdr:colOff>
      <xdr:row>34</xdr:row>
      <xdr:rowOff>0</xdr:rowOff>
    </xdr:to>
    <xdr:sp macro="" textlink="">
      <xdr:nvSpPr>
        <xdr:cNvPr id="8318" name="Line 9">
          <a:extLst>
            <a:ext uri="{FF2B5EF4-FFF2-40B4-BE49-F238E27FC236}">
              <a16:creationId xmlns:a16="http://schemas.microsoft.com/office/drawing/2014/main" id="{00000000-0008-0000-0F00-00007E200000}"/>
            </a:ext>
          </a:extLst>
        </xdr:cNvPr>
        <xdr:cNvSpPr>
          <a:spLocks noChangeShapeType="1"/>
        </xdr:cNvSpPr>
      </xdr:nvSpPr>
      <xdr:spPr bwMode="auto">
        <a:xfrm>
          <a:off x="4389120" y="6362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32</xdr:row>
      <xdr:rowOff>0</xdr:rowOff>
    </xdr:from>
    <xdr:to>
      <xdr:col>10</xdr:col>
      <xdr:colOff>0</xdr:colOff>
      <xdr:row>32</xdr:row>
      <xdr:rowOff>0</xdr:rowOff>
    </xdr:to>
    <xdr:sp macro="" textlink="">
      <xdr:nvSpPr>
        <xdr:cNvPr id="8319" name="Line 10">
          <a:extLst>
            <a:ext uri="{FF2B5EF4-FFF2-40B4-BE49-F238E27FC236}">
              <a16:creationId xmlns:a16="http://schemas.microsoft.com/office/drawing/2014/main" id="{00000000-0008-0000-0F00-00007F200000}"/>
            </a:ext>
          </a:extLst>
        </xdr:cNvPr>
        <xdr:cNvSpPr>
          <a:spLocks noChangeShapeType="1"/>
        </xdr:cNvSpPr>
      </xdr:nvSpPr>
      <xdr:spPr bwMode="auto">
        <a:xfrm>
          <a:off x="6926580" y="6027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33</xdr:row>
      <xdr:rowOff>0</xdr:rowOff>
    </xdr:from>
    <xdr:to>
      <xdr:col>10</xdr:col>
      <xdr:colOff>0</xdr:colOff>
      <xdr:row>33</xdr:row>
      <xdr:rowOff>0</xdr:rowOff>
    </xdr:to>
    <xdr:sp macro="" textlink="">
      <xdr:nvSpPr>
        <xdr:cNvPr id="8320" name="Line 11">
          <a:extLst>
            <a:ext uri="{FF2B5EF4-FFF2-40B4-BE49-F238E27FC236}">
              <a16:creationId xmlns:a16="http://schemas.microsoft.com/office/drawing/2014/main" id="{00000000-0008-0000-0F00-000080200000}"/>
            </a:ext>
          </a:extLst>
        </xdr:cNvPr>
        <xdr:cNvSpPr>
          <a:spLocks noChangeShapeType="1"/>
        </xdr:cNvSpPr>
      </xdr:nvSpPr>
      <xdr:spPr bwMode="auto">
        <a:xfrm>
          <a:off x="6926580" y="61950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34</xdr:row>
      <xdr:rowOff>0</xdr:rowOff>
    </xdr:from>
    <xdr:to>
      <xdr:col>10</xdr:col>
      <xdr:colOff>0</xdr:colOff>
      <xdr:row>34</xdr:row>
      <xdr:rowOff>0</xdr:rowOff>
    </xdr:to>
    <xdr:sp macro="" textlink="">
      <xdr:nvSpPr>
        <xdr:cNvPr id="8321" name="Line 12">
          <a:extLst>
            <a:ext uri="{FF2B5EF4-FFF2-40B4-BE49-F238E27FC236}">
              <a16:creationId xmlns:a16="http://schemas.microsoft.com/office/drawing/2014/main" id="{00000000-0008-0000-0F00-000081200000}"/>
            </a:ext>
          </a:extLst>
        </xdr:cNvPr>
        <xdr:cNvSpPr>
          <a:spLocks noChangeShapeType="1"/>
        </xdr:cNvSpPr>
      </xdr:nvSpPr>
      <xdr:spPr bwMode="auto">
        <a:xfrm>
          <a:off x="6926580" y="6362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32</xdr:row>
      <xdr:rowOff>0</xdr:rowOff>
    </xdr:from>
    <xdr:to>
      <xdr:col>15</xdr:col>
      <xdr:colOff>0</xdr:colOff>
      <xdr:row>32</xdr:row>
      <xdr:rowOff>0</xdr:rowOff>
    </xdr:to>
    <xdr:sp macro="" textlink="">
      <xdr:nvSpPr>
        <xdr:cNvPr id="8322" name="Line 13">
          <a:extLst>
            <a:ext uri="{FF2B5EF4-FFF2-40B4-BE49-F238E27FC236}">
              <a16:creationId xmlns:a16="http://schemas.microsoft.com/office/drawing/2014/main" id="{00000000-0008-0000-0F00-000082200000}"/>
            </a:ext>
          </a:extLst>
        </xdr:cNvPr>
        <xdr:cNvSpPr>
          <a:spLocks noChangeShapeType="1"/>
        </xdr:cNvSpPr>
      </xdr:nvSpPr>
      <xdr:spPr bwMode="auto">
        <a:xfrm>
          <a:off x="10584180" y="6027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33</xdr:row>
      <xdr:rowOff>0</xdr:rowOff>
    </xdr:from>
    <xdr:to>
      <xdr:col>15</xdr:col>
      <xdr:colOff>0</xdr:colOff>
      <xdr:row>33</xdr:row>
      <xdr:rowOff>0</xdr:rowOff>
    </xdr:to>
    <xdr:sp macro="" textlink="">
      <xdr:nvSpPr>
        <xdr:cNvPr id="8323" name="Line 14">
          <a:extLst>
            <a:ext uri="{FF2B5EF4-FFF2-40B4-BE49-F238E27FC236}">
              <a16:creationId xmlns:a16="http://schemas.microsoft.com/office/drawing/2014/main" id="{00000000-0008-0000-0F00-000083200000}"/>
            </a:ext>
          </a:extLst>
        </xdr:cNvPr>
        <xdr:cNvSpPr>
          <a:spLocks noChangeShapeType="1"/>
        </xdr:cNvSpPr>
      </xdr:nvSpPr>
      <xdr:spPr bwMode="auto">
        <a:xfrm>
          <a:off x="10584180" y="61950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34</xdr:row>
      <xdr:rowOff>0</xdr:rowOff>
    </xdr:from>
    <xdr:to>
      <xdr:col>15</xdr:col>
      <xdr:colOff>0</xdr:colOff>
      <xdr:row>34</xdr:row>
      <xdr:rowOff>0</xdr:rowOff>
    </xdr:to>
    <xdr:sp macro="" textlink="">
      <xdr:nvSpPr>
        <xdr:cNvPr id="8324" name="Line 15">
          <a:extLst>
            <a:ext uri="{FF2B5EF4-FFF2-40B4-BE49-F238E27FC236}">
              <a16:creationId xmlns:a16="http://schemas.microsoft.com/office/drawing/2014/main" id="{00000000-0008-0000-0F00-000084200000}"/>
            </a:ext>
          </a:extLst>
        </xdr:cNvPr>
        <xdr:cNvSpPr>
          <a:spLocks noChangeShapeType="1"/>
        </xdr:cNvSpPr>
      </xdr:nvSpPr>
      <xdr:spPr bwMode="auto">
        <a:xfrm>
          <a:off x="10584180" y="6362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43</xdr:row>
      <xdr:rowOff>0</xdr:rowOff>
    </xdr:from>
    <xdr:to>
      <xdr:col>14</xdr:col>
      <xdr:colOff>640080</xdr:colOff>
      <xdr:row>43</xdr:row>
      <xdr:rowOff>0</xdr:rowOff>
    </xdr:to>
    <xdr:sp macro="" textlink="">
      <xdr:nvSpPr>
        <xdr:cNvPr id="8325" name="Line 16">
          <a:extLst>
            <a:ext uri="{FF2B5EF4-FFF2-40B4-BE49-F238E27FC236}">
              <a16:creationId xmlns:a16="http://schemas.microsoft.com/office/drawing/2014/main" id="{00000000-0008-0000-0F00-000085200000}"/>
            </a:ext>
          </a:extLst>
        </xdr:cNvPr>
        <xdr:cNvSpPr>
          <a:spLocks noChangeShapeType="1"/>
        </xdr:cNvSpPr>
      </xdr:nvSpPr>
      <xdr:spPr bwMode="auto">
        <a:xfrm>
          <a:off x="10584180" y="787146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23</xdr:row>
      <xdr:rowOff>0</xdr:rowOff>
    </xdr:from>
    <xdr:to>
      <xdr:col>4</xdr:col>
      <xdr:colOff>7620</xdr:colOff>
      <xdr:row>23</xdr:row>
      <xdr:rowOff>0</xdr:rowOff>
    </xdr:to>
    <xdr:sp macro="" textlink="">
      <xdr:nvSpPr>
        <xdr:cNvPr id="8326" name="Line 17">
          <a:extLst>
            <a:ext uri="{FF2B5EF4-FFF2-40B4-BE49-F238E27FC236}">
              <a16:creationId xmlns:a16="http://schemas.microsoft.com/office/drawing/2014/main" id="{00000000-0008-0000-0F00-000086200000}"/>
            </a:ext>
          </a:extLst>
        </xdr:cNvPr>
        <xdr:cNvSpPr>
          <a:spLocks noChangeShapeType="1"/>
        </xdr:cNvSpPr>
      </xdr:nvSpPr>
      <xdr:spPr bwMode="auto">
        <a:xfrm>
          <a:off x="2194560" y="4518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30</xdr:row>
      <xdr:rowOff>0</xdr:rowOff>
    </xdr:from>
    <xdr:to>
      <xdr:col>4</xdr:col>
      <xdr:colOff>7620</xdr:colOff>
      <xdr:row>30</xdr:row>
      <xdr:rowOff>0</xdr:rowOff>
    </xdr:to>
    <xdr:sp macro="" textlink="">
      <xdr:nvSpPr>
        <xdr:cNvPr id="8327" name="Line 18">
          <a:extLst>
            <a:ext uri="{FF2B5EF4-FFF2-40B4-BE49-F238E27FC236}">
              <a16:creationId xmlns:a16="http://schemas.microsoft.com/office/drawing/2014/main" id="{00000000-0008-0000-0F00-000087200000}"/>
            </a:ext>
          </a:extLst>
        </xdr:cNvPr>
        <xdr:cNvSpPr>
          <a:spLocks noChangeShapeType="1"/>
        </xdr:cNvSpPr>
      </xdr:nvSpPr>
      <xdr:spPr bwMode="auto">
        <a:xfrm>
          <a:off x="2194560" y="56921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31</xdr:row>
      <xdr:rowOff>0</xdr:rowOff>
    </xdr:from>
    <xdr:to>
      <xdr:col>4</xdr:col>
      <xdr:colOff>7620</xdr:colOff>
      <xdr:row>31</xdr:row>
      <xdr:rowOff>0</xdr:rowOff>
    </xdr:to>
    <xdr:sp macro="" textlink="">
      <xdr:nvSpPr>
        <xdr:cNvPr id="8328" name="Line 19">
          <a:extLst>
            <a:ext uri="{FF2B5EF4-FFF2-40B4-BE49-F238E27FC236}">
              <a16:creationId xmlns:a16="http://schemas.microsoft.com/office/drawing/2014/main" id="{00000000-0008-0000-0F00-000088200000}"/>
            </a:ext>
          </a:extLst>
        </xdr:cNvPr>
        <xdr:cNvSpPr>
          <a:spLocks noChangeShapeType="1"/>
        </xdr:cNvSpPr>
      </xdr:nvSpPr>
      <xdr:spPr bwMode="auto">
        <a:xfrm>
          <a:off x="2194560" y="58597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32</xdr:row>
      <xdr:rowOff>0</xdr:rowOff>
    </xdr:from>
    <xdr:to>
      <xdr:col>4</xdr:col>
      <xdr:colOff>7620</xdr:colOff>
      <xdr:row>32</xdr:row>
      <xdr:rowOff>0</xdr:rowOff>
    </xdr:to>
    <xdr:sp macro="" textlink="">
      <xdr:nvSpPr>
        <xdr:cNvPr id="8329" name="Line 20">
          <a:extLst>
            <a:ext uri="{FF2B5EF4-FFF2-40B4-BE49-F238E27FC236}">
              <a16:creationId xmlns:a16="http://schemas.microsoft.com/office/drawing/2014/main" id="{00000000-0008-0000-0F00-000089200000}"/>
            </a:ext>
          </a:extLst>
        </xdr:cNvPr>
        <xdr:cNvSpPr>
          <a:spLocks noChangeShapeType="1"/>
        </xdr:cNvSpPr>
      </xdr:nvSpPr>
      <xdr:spPr bwMode="auto">
        <a:xfrm>
          <a:off x="2194560" y="6027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33</xdr:row>
      <xdr:rowOff>0</xdr:rowOff>
    </xdr:from>
    <xdr:to>
      <xdr:col>4</xdr:col>
      <xdr:colOff>7620</xdr:colOff>
      <xdr:row>33</xdr:row>
      <xdr:rowOff>0</xdr:rowOff>
    </xdr:to>
    <xdr:sp macro="" textlink="">
      <xdr:nvSpPr>
        <xdr:cNvPr id="8330" name="Line 21">
          <a:extLst>
            <a:ext uri="{FF2B5EF4-FFF2-40B4-BE49-F238E27FC236}">
              <a16:creationId xmlns:a16="http://schemas.microsoft.com/office/drawing/2014/main" id="{00000000-0008-0000-0F00-00008A200000}"/>
            </a:ext>
          </a:extLst>
        </xdr:cNvPr>
        <xdr:cNvSpPr>
          <a:spLocks noChangeShapeType="1"/>
        </xdr:cNvSpPr>
      </xdr:nvSpPr>
      <xdr:spPr bwMode="auto">
        <a:xfrm>
          <a:off x="2194560" y="61950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34</xdr:row>
      <xdr:rowOff>0</xdr:rowOff>
    </xdr:from>
    <xdr:to>
      <xdr:col>4</xdr:col>
      <xdr:colOff>7620</xdr:colOff>
      <xdr:row>34</xdr:row>
      <xdr:rowOff>0</xdr:rowOff>
    </xdr:to>
    <xdr:sp macro="" textlink="">
      <xdr:nvSpPr>
        <xdr:cNvPr id="8331" name="Line 22">
          <a:extLst>
            <a:ext uri="{FF2B5EF4-FFF2-40B4-BE49-F238E27FC236}">
              <a16:creationId xmlns:a16="http://schemas.microsoft.com/office/drawing/2014/main" id="{00000000-0008-0000-0F00-00008B200000}"/>
            </a:ext>
          </a:extLst>
        </xdr:cNvPr>
        <xdr:cNvSpPr>
          <a:spLocks noChangeShapeType="1"/>
        </xdr:cNvSpPr>
      </xdr:nvSpPr>
      <xdr:spPr bwMode="auto">
        <a:xfrm>
          <a:off x="2194560" y="6362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8332" name="Line 23">
          <a:extLst>
            <a:ext uri="{FF2B5EF4-FFF2-40B4-BE49-F238E27FC236}">
              <a16:creationId xmlns:a16="http://schemas.microsoft.com/office/drawing/2014/main" id="{00000000-0008-0000-0F00-00008C200000}"/>
            </a:ext>
          </a:extLst>
        </xdr:cNvPr>
        <xdr:cNvSpPr>
          <a:spLocks noChangeShapeType="1"/>
        </xdr:cNvSpPr>
      </xdr:nvSpPr>
      <xdr:spPr bwMode="auto">
        <a:xfrm>
          <a:off x="21945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8333" name="Line 24">
          <a:extLst>
            <a:ext uri="{FF2B5EF4-FFF2-40B4-BE49-F238E27FC236}">
              <a16:creationId xmlns:a16="http://schemas.microsoft.com/office/drawing/2014/main" id="{00000000-0008-0000-0F00-00008D200000}"/>
            </a:ext>
          </a:extLst>
        </xdr:cNvPr>
        <xdr:cNvSpPr>
          <a:spLocks noChangeShapeType="1"/>
        </xdr:cNvSpPr>
      </xdr:nvSpPr>
      <xdr:spPr bwMode="auto">
        <a:xfrm>
          <a:off x="21945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36</xdr:row>
      <xdr:rowOff>0</xdr:rowOff>
    </xdr:from>
    <xdr:to>
      <xdr:col>10</xdr:col>
      <xdr:colOff>0</xdr:colOff>
      <xdr:row>36</xdr:row>
      <xdr:rowOff>0</xdr:rowOff>
    </xdr:to>
    <xdr:sp macro="" textlink="">
      <xdr:nvSpPr>
        <xdr:cNvPr id="8334" name="Line 25">
          <a:extLst>
            <a:ext uri="{FF2B5EF4-FFF2-40B4-BE49-F238E27FC236}">
              <a16:creationId xmlns:a16="http://schemas.microsoft.com/office/drawing/2014/main" id="{00000000-0008-0000-0F00-00008E200000}"/>
            </a:ext>
          </a:extLst>
        </xdr:cNvPr>
        <xdr:cNvSpPr>
          <a:spLocks noChangeShapeType="1"/>
        </xdr:cNvSpPr>
      </xdr:nvSpPr>
      <xdr:spPr bwMode="auto">
        <a:xfrm>
          <a:off x="6926580" y="66979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44</xdr:row>
      <xdr:rowOff>0</xdr:rowOff>
    </xdr:from>
    <xdr:to>
      <xdr:col>14</xdr:col>
      <xdr:colOff>640080</xdr:colOff>
      <xdr:row>44</xdr:row>
      <xdr:rowOff>0</xdr:rowOff>
    </xdr:to>
    <xdr:sp macro="" textlink="">
      <xdr:nvSpPr>
        <xdr:cNvPr id="8335" name="Line 26">
          <a:extLst>
            <a:ext uri="{FF2B5EF4-FFF2-40B4-BE49-F238E27FC236}">
              <a16:creationId xmlns:a16="http://schemas.microsoft.com/office/drawing/2014/main" id="{00000000-0008-0000-0F00-00008F200000}"/>
            </a:ext>
          </a:extLst>
        </xdr:cNvPr>
        <xdr:cNvSpPr>
          <a:spLocks noChangeShapeType="1"/>
        </xdr:cNvSpPr>
      </xdr:nvSpPr>
      <xdr:spPr bwMode="auto">
        <a:xfrm>
          <a:off x="10584180" y="803910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36</xdr:row>
      <xdr:rowOff>0</xdr:rowOff>
    </xdr:from>
    <xdr:to>
      <xdr:col>6</xdr:col>
      <xdr:colOff>0</xdr:colOff>
      <xdr:row>36</xdr:row>
      <xdr:rowOff>0</xdr:rowOff>
    </xdr:to>
    <xdr:sp macro="" textlink="">
      <xdr:nvSpPr>
        <xdr:cNvPr id="8336" name="Line 27">
          <a:extLst>
            <a:ext uri="{FF2B5EF4-FFF2-40B4-BE49-F238E27FC236}">
              <a16:creationId xmlns:a16="http://schemas.microsoft.com/office/drawing/2014/main" id="{00000000-0008-0000-0F00-000090200000}"/>
            </a:ext>
          </a:extLst>
        </xdr:cNvPr>
        <xdr:cNvSpPr>
          <a:spLocks noChangeShapeType="1"/>
        </xdr:cNvSpPr>
      </xdr:nvSpPr>
      <xdr:spPr bwMode="auto">
        <a:xfrm>
          <a:off x="4389120" y="66979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45</xdr:row>
      <xdr:rowOff>0</xdr:rowOff>
    </xdr:from>
    <xdr:to>
      <xdr:col>6</xdr:col>
      <xdr:colOff>0</xdr:colOff>
      <xdr:row>45</xdr:row>
      <xdr:rowOff>0</xdr:rowOff>
    </xdr:to>
    <xdr:sp macro="" textlink="">
      <xdr:nvSpPr>
        <xdr:cNvPr id="8337" name="Line 28">
          <a:extLst>
            <a:ext uri="{FF2B5EF4-FFF2-40B4-BE49-F238E27FC236}">
              <a16:creationId xmlns:a16="http://schemas.microsoft.com/office/drawing/2014/main" id="{00000000-0008-0000-0F00-000091200000}"/>
            </a:ext>
          </a:extLst>
        </xdr:cNvPr>
        <xdr:cNvSpPr>
          <a:spLocks noChangeShapeType="1"/>
        </xdr:cNvSpPr>
      </xdr:nvSpPr>
      <xdr:spPr bwMode="auto">
        <a:xfrm>
          <a:off x="4389120" y="82067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45</xdr:row>
      <xdr:rowOff>0</xdr:rowOff>
    </xdr:from>
    <xdr:to>
      <xdr:col>10</xdr:col>
      <xdr:colOff>0</xdr:colOff>
      <xdr:row>45</xdr:row>
      <xdr:rowOff>0</xdr:rowOff>
    </xdr:to>
    <xdr:sp macro="" textlink="">
      <xdr:nvSpPr>
        <xdr:cNvPr id="8338" name="Line 29">
          <a:extLst>
            <a:ext uri="{FF2B5EF4-FFF2-40B4-BE49-F238E27FC236}">
              <a16:creationId xmlns:a16="http://schemas.microsoft.com/office/drawing/2014/main" id="{00000000-0008-0000-0F00-000092200000}"/>
            </a:ext>
          </a:extLst>
        </xdr:cNvPr>
        <xdr:cNvSpPr>
          <a:spLocks noChangeShapeType="1"/>
        </xdr:cNvSpPr>
      </xdr:nvSpPr>
      <xdr:spPr bwMode="auto">
        <a:xfrm>
          <a:off x="6926580" y="82067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46</xdr:row>
      <xdr:rowOff>0</xdr:rowOff>
    </xdr:from>
    <xdr:to>
      <xdr:col>10</xdr:col>
      <xdr:colOff>0</xdr:colOff>
      <xdr:row>46</xdr:row>
      <xdr:rowOff>0</xdr:rowOff>
    </xdr:to>
    <xdr:sp macro="" textlink="">
      <xdr:nvSpPr>
        <xdr:cNvPr id="8339" name="Line 30">
          <a:extLst>
            <a:ext uri="{FF2B5EF4-FFF2-40B4-BE49-F238E27FC236}">
              <a16:creationId xmlns:a16="http://schemas.microsoft.com/office/drawing/2014/main" id="{00000000-0008-0000-0F00-000093200000}"/>
            </a:ext>
          </a:extLst>
        </xdr:cNvPr>
        <xdr:cNvSpPr>
          <a:spLocks noChangeShapeType="1"/>
        </xdr:cNvSpPr>
      </xdr:nvSpPr>
      <xdr:spPr bwMode="auto">
        <a:xfrm>
          <a:off x="6926580" y="83743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45</xdr:row>
      <xdr:rowOff>0</xdr:rowOff>
    </xdr:from>
    <xdr:to>
      <xdr:col>15</xdr:col>
      <xdr:colOff>0</xdr:colOff>
      <xdr:row>45</xdr:row>
      <xdr:rowOff>0</xdr:rowOff>
    </xdr:to>
    <xdr:sp macro="" textlink="">
      <xdr:nvSpPr>
        <xdr:cNvPr id="8340" name="Line 31">
          <a:extLst>
            <a:ext uri="{FF2B5EF4-FFF2-40B4-BE49-F238E27FC236}">
              <a16:creationId xmlns:a16="http://schemas.microsoft.com/office/drawing/2014/main" id="{00000000-0008-0000-0F00-000094200000}"/>
            </a:ext>
          </a:extLst>
        </xdr:cNvPr>
        <xdr:cNvSpPr>
          <a:spLocks noChangeShapeType="1"/>
        </xdr:cNvSpPr>
      </xdr:nvSpPr>
      <xdr:spPr bwMode="auto">
        <a:xfrm>
          <a:off x="10584180" y="82067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46</xdr:row>
      <xdr:rowOff>0</xdr:rowOff>
    </xdr:from>
    <xdr:to>
      <xdr:col>15</xdr:col>
      <xdr:colOff>0</xdr:colOff>
      <xdr:row>46</xdr:row>
      <xdr:rowOff>0</xdr:rowOff>
    </xdr:to>
    <xdr:sp macro="" textlink="">
      <xdr:nvSpPr>
        <xdr:cNvPr id="8341" name="Line 32">
          <a:extLst>
            <a:ext uri="{FF2B5EF4-FFF2-40B4-BE49-F238E27FC236}">
              <a16:creationId xmlns:a16="http://schemas.microsoft.com/office/drawing/2014/main" id="{00000000-0008-0000-0F00-000095200000}"/>
            </a:ext>
          </a:extLst>
        </xdr:cNvPr>
        <xdr:cNvSpPr>
          <a:spLocks noChangeShapeType="1"/>
        </xdr:cNvSpPr>
      </xdr:nvSpPr>
      <xdr:spPr bwMode="auto">
        <a:xfrm>
          <a:off x="10584180" y="83743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36</xdr:row>
      <xdr:rowOff>0</xdr:rowOff>
    </xdr:from>
    <xdr:to>
      <xdr:col>4</xdr:col>
      <xdr:colOff>7620</xdr:colOff>
      <xdr:row>36</xdr:row>
      <xdr:rowOff>0</xdr:rowOff>
    </xdr:to>
    <xdr:sp macro="" textlink="">
      <xdr:nvSpPr>
        <xdr:cNvPr id="8342" name="Line 33">
          <a:extLst>
            <a:ext uri="{FF2B5EF4-FFF2-40B4-BE49-F238E27FC236}">
              <a16:creationId xmlns:a16="http://schemas.microsoft.com/office/drawing/2014/main" id="{00000000-0008-0000-0F00-000096200000}"/>
            </a:ext>
          </a:extLst>
        </xdr:cNvPr>
        <xdr:cNvSpPr>
          <a:spLocks noChangeShapeType="1"/>
        </xdr:cNvSpPr>
      </xdr:nvSpPr>
      <xdr:spPr bwMode="auto">
        <a:xfrm>
          <a:off x="2194560" y="669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8343" name="Line 34">
          <a:extLst>
            <a:ext uri="{FF2B5EF4-FFF2-40B4-BE49-F238E27FC236}">
              <a16:creationId xmlns:a16="http://schemas.microsoft.com/office/drawing/2014/main" id="{00000000-0008-0000-0F00-000097200000}"/>
            </a:ext>
          </a:extLst>
        </xdr:cNvPr>
        <xdr:cNvSpPr>
          <a:spLocks noChangeShapeType="1"/>
        </xdr:cNvSpPr>
      </xdr:nvSpPr>
      <xdr:spPr bwMode="auto">
        <a:xfrm>
          <a:off x="21945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8344" name="Line 35">
          <a:extLst>
            <a:ext uri="{FF2B5EF4-FFF2-40B4-BE49-F238E27FC236}">
              <a16:creationId xmlns:a16="http://schemas.microsoft.com/office/drawing/2014/main" id="{00000000-0008-0000-0F00-000098200000}"/>
            </a:ext>
          </a:extLst>
        </xdr:cNvPr>
        <xdr:cNvSpPr>
          <a:spLocks noChangeShapeType="1"/>
        </xdr:cNvSpPr>
      </xdr:nvSpPr>
      <xdr:spPr bwMode="auto">
        <a:xfrm>
          <a:off x="21945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44</xdr:row>
      <xdr:rowOff>0</xdr:rowOff>
    </xdr:from>
    <xdr:to>
      <xdr:col>4</xdr:col>
      <xdr:colOff>7620</xdr:colOff>
      <xdr:row>44</xdr:row>
      <xdr:rowOff>0</xdr:rowOff>
    </xdr:to>
    <xdr:sp macro="" textlink="">
      <xdr:nvSpPr>
        <xdr:cNvPr id="8345" name="Line 36">
          <a:extLst>
            <a:ext uri="{FF2B5EF4-FFF2-40B4-BE49-F238E27FC236}">
              <a16:creationId xmlns:a16="http://schemas.microsoft.com/office/drawing/2014/main" id="{00000000-0008-0000-0F00-000099200000}"/>
            </a:ext>
          </a:extLst>
        </xdr:cNvPr>
        <xdr:cNvSpPr>
          <a:spLocks noChangeShapeType="1"/>
        </xdr:cNvSpPr>
      </xdr:nvSpPr>
      <xdr:spPr bwMode="auto">
        <a:xfrm>
          <a:off x="2194560" y="80391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45</xdr:row>
      <xdr:rowOff>0</xdr:rowOff>
    </xdr:from>
    <xdr:to>
      <xdr:col>4</xdr:col>
      <xdr:colOff>7620</xdr:colOff>
      <xdr:row>45</xdr:row>
      <xdr:rowOff>0</xdr:rowOff>
    </xdr:to>
    <xdr:sp macro="" textlink="">
      <xdr:nvSpPr>
        <xdr:cNvPr id="8346" name="Line 37">
          <a:extLst>
            <a:ext uri="{FF2B5EF4-FFF2-40B4-BE49-F238E27FC236}">
              <a16:creationId xmlns:a16="http://schemas.microsoft.com/office/drawing/2014/main" id="{00000000-0008-0000-0F00-00009A200000}"/>
            </a:ext>
          </a:extLst>
        </xdr:cNvPr>
        <xdr:cNvSpPr>
          <a:spLocks noChangeShapeType="1"/>
        </xdr:cNvSpPr>
      </xdr:nvSpPr>
      <xdr:spPr bwMode="auto">
        <a:xfrm>
          <a:off x="2194560" y="82067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46</xdr:row>
      <xdr:rowOff>0</xdr:rowOff>
    </xdr:from>
    <xdr:to>
      <xdr:col>4</xdr:col>
      <xdr:colOff>7620</xdr:colOff>
      <xdr:row>46</xdr:row>
      <xdr:rowOff>0</xdr:rowOff>
    </xdr:to>
    <xdr:sp macro="" textlink="">
      <xdr:nvSpPr>
        <xdr:cNvPr id="8347" name="Line 38">
          <a:extLst>
            <a:ext uri="{FF2B5EF4-FFF2-40B4-BE49-F238E27FC236}">
              <a16:creationId xmlns:a16="http://schemas.microsoft.com/office/drawing/2014/main" id="{00000000-0008-0000-0F00-00009B200000}"/>
            </a:ext>
          </a:extLst>
        </xdr:cNvPr>
        <xdr:cNvSpPr>
          <a:spLocks noChangeShapeType="1"/>
        </xdr:cNvSpPr>
      </xdr:nvSpPr>
      <xdr:spPr bwMode="auto">
        <a:xfrm>
          <a:off x="2194560" y="83743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46</xdr:row>
      <xdr:rowOff>0</xdr:rowOff>
    </xdr:from>
    <xdr:to>
      <xdr:col>6</xdr:col>
      <xdr:colOff>0</xdr:colOff>
      <xdr:row>46</xdr:row>
      <xdr:rowOff>0</xdr:rowOff>
    </xdr:to>
    <xdr:sp macro="" textlink="">
      <xdr:nvSpPr>
        <xdr:cNvPr id="8348" name="Line 39">
          <a:extLst>
            <a:ext uri="{FF2B5EF4-FFF2-40B4-BE49-F238E27FC236}">
              <a16:creationId xmlns:a16="http://schemas.microsoft.com/office/drawing/2014/main" id="{00000000-0008-0000-0F00-00009C200000}"/>
            </a:ext>
          </a:extLst>
        </xdr:cNvPr>
        <xdr:cNvSpPr>
          <a:spLocks noChangeShapeType="1"/>
        </xdr:cNvSpPr>
      </xdr:nvSpPr>
      <xdr:spPr bwMode="auto">
        <a:xfrm>
          <a:off x="4389120" y="83743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58</xdr:row>
      <xdr:rowOff>0</xdr:rowOff>
    </xdr:from>
    <xdr:to>
      <xdr:col>14</xdr:col>
      <xdr:colOff>640080</xdr:colOff>
      <xdr:row>58</xdr:row>
      <xdr:rowOff>0</xdr:rowOff>
    </xdr:to>
    <xdr:sp macro="" textlink="">
      <xdr:nvSpPr>
        <xdr:cNvPr id="8349" name="Line 40">
          <a:extLst>
            <a:ext uri="{FF2B5EF4-FFF2-40B4-BE49-F238E27FC236}">
              <a16:creationId xmlns:a16="http://schemas.microsoft.com/office/drawing/2014/main" id="{00000000-0008-0000-0F00-00009D200000}"/>
            </a:ext>
          </a:extLst>
        </xdr:cNvPr>
        <xdr:cNvSpPr>
          <a:spLocks noChangeShapeType="1"/>
        </xdr:cNvSpPr>
      </xdr:nvSpPr>
      <xdr:spPr bwMode="auto">
        <a:xfrm>
          <a:off x="10584180" y="1050798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8350" name="Line 41">
          <a:extLst>
            <a:ext uri="{FF2B5EF4-FFF2-40B4-BE49-F238E27FC236}">
              <a16:creationId xmlns:a16="http://schemas.microsoft.com/office/drawing/2014/main" id="{00000000-0008-0000-0F00-00009E20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8351" name="Line 42">
          <a:extLst>
            <a:ext uri="{FF2B5EF4-FFF2-40B4-BE49-F238E27FC236}">
              <a16:creationId xmlns:a16="http://schemas.microsoft.com/office/drawing/2014/main" id="{00000000-0008-0000-0F00-00009F20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51</xdr:row>
      <xdr:rowOff>0</xdr:rowOff>
    </xdr:from>
    <xdr:to>
      <xdr:col>10</xdr:col>
      <xdr:colOff>0</xdr:colOff>
      <xdr:row>51</xdr:row>
      <xdr:rowOff>0</xdr:rowOff>
    </xdr:to>
    <xdr:sp macro="" textlink="">
      <xdr:nvSpPr>
        <xdr:cNvPr id="8352" name="Line 43">
          <a:extLst>
            <a:ext uri="{FF2B5EF4-FFF2-40B4-BE49-F238E27FC236}">
              <a16:creationId xmlns:a16="http://schemas.microsoft.com/office/drawing/2014/main" id="{00000000-0008-0000-0F00-0000A0200000}"/>
            </a:ext>
          </a:extLst>
        </xdr:cNvPr>
        <xdr:cNvSpPr>
          <a:spLocks noChangeShapeType="1"/>
        </xdr:cNvSpPr>
      </xdr:nvSpPr>
      <xdr:spPr bwMode="auto">
        <a:xfrm>
          <a:off x="6926580" y="93345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59</xdr:row>
      <xdr:rowOff>0</xdr:rowOff>
    </xdr:from>
    <xdr:to>
      <xdr:col>14</xdr:col>
      <xdr:colOff>640080</xdr:colOff>
      <xdr:row>59</xdr:row>
      <xdr:rowOff>0</xdr:rowOff>
    </xdr:to>
    <xdr:sp macro="" textlink="">
      <xdr:nvSpPr>
        <xdr:cNvPr id="8353" name="Line 44">
          <a:extLst>
            <a:ext uri="{FF2B5EF4-FFF2-40B4-BE49-F238E27FC236}">
              <a16:creationId xmlns:a16="http://schemas.microsoft.com/office/drawing/2014/main" id="{00000000-0008-0000-0F00-0000A1200000}"/>
            </a:ext>
          </a:extLst>
        </xdr:cNvPr>
        <xdr:cNvSpPr>
          <a:spLocks noChangeShapeType="1"/>
        </xdr:cNvSpPr>
      </xdr:nvSpPr>
      <xdr:spPr bwMode="auto">
        <a:xfrm>
          <a:off x="10584180" y="106756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51</xdr:row>
      <xdr:rowOff>0</xdr:rowOff>
    </xdr:from>
    <xdr:to>
      <xdr:col>6</xdr:col>
      <xdr:colOff>0</xdr:colOff>
      <xdr:row>51</xdr:row>
      <xdr:rowOff>0</xdr:rowOff>
    </xdr:to>
    <xdr:sp macro="" textlink="">
      <xdr:nvSpPr>
        <xdr:cNvPr id="8354" name="Line 45">
          <a:extLst>
            <a:ext uri="{FF2B5EF4-FFF2-40B4-BE49-F238E27FC236}">
              <a16:creationId xmlns:a16="http://schemas.microsoft.com/office/drawing/2014/main" id="{00000000-0008-0000-0F00-0000A2200000}"/>
            </a:ext>
          </a:extLst>
        </xdr:cNvPr>
        <xdr:cNvSpPr>
          <a:spLocks noChangeShapeType="1"/>
        </xdr:cNvSpPr>
      </xdr:nvSpPr>
      <xdr:spPr bwMode="auto">
        <a:xfrm>
          <a:off x="4389120" y="9334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60</xdr:row>
      <xdr:rowOff>0</xdr:rowOff>
    </xdr:from>
    <xdr:to>
      <xdr:col>10</xdr:col>
      <xdr:colOff>0</xdr:colOff>
      <xdr:row>60</xdr:row>
      <xdr:rowOff>0</xdr:rowOff>
    </xdr:to>
    <xdr:sp macro="" textlink="">
      <xdr:nvSpPr>
        <xdr:cNvPr id="8355" name="Line 46">
          <a:extLst>
            <a:ext uri="{FF2B5EF4-FFF2-40B4-BE49-F238E27FC236}">
              <a16:creationId xmlns:a16="http://schemas.microsoft.com/office/drawing/2014/main" id="{00000000-0008-0000-0F00-0000A3200000}"/>
            </a:ext>
          </a:extLst>
        </xdr:cNvPr>
        <xdr:cNvSpPr>
          <a:spLocks noChangeShapeType="1"/>
        </xdr:cNvSpPr>
      </xdr:nvSpPr>
      <xdr:spPr bwMode="auto">
        <a:xfrm>
          <a:off x="6926580" y="108432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60</xdr:row>
      <xdr:rowOff>0</xdr:rowOff>
    </xdr:from>
    <xdr:to>
      <xdr:col>15</xdr:col>
      <xdr:colOff>0</xdr:colOff>
      <xdr:row>60</xdr:row>
      <xdr:rowOff>0</xdr:rowOff>
    </xdr:to>
    <xdr:sp macro="" textlink="">
      <xdr:nvSpPr>
        <xdr:cNvPr id="8356" name="Line 47">
          <a:extLst>
            <a:ext uri="{FF2B5EF4-FFF2-40B4-BE49-F238E27FC236}">
              <a16:creationId xmlns:a16="http://schemas.microsoft.com/office/drawing/2014/main" id="{00000000-0008-0000-0F00-0000A4200000}"/>
            </a:ext>
          </a:extLst>
        </xdr:cNvPr>
        <xdr:cNvSpPr>
          <a:spLocks noChangeShapeType="1"/>
        </xdr:cNvSpPr>
      </xdr:nvSpPr>
      <xdr:spPr bwMode="auto">
        <a:xfrm>
          <a:off x="10584180" y="108432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51</xdr:row>
      <xdr:rowOff>0</xdr:rowOff>
    </xdr:from>
    <xdr:to>
      <xdr:col>4</xdr:col>
      <xdr:colOff>7620</xdr:colOff>
      <xdr:row>51</xdr:row>
      <xdr:rowOff>0</xdr:rowOff>
    </xdr:to>
    <xdr:sp macro="" textlink="">
      <xdr:nvSpPr>
        <xdr:cNvPr id="8357" name="Line 48">
          <a:extLst>
            <a:ext uri="{FF2B5EF4-FFF2-40B4-BE49-F238E27FC236}">
              <a16:creationId xmlns:a16="http://schemas.microsoft.com/office/drawing/2014/main" id="{00000000-0008-0000-0F00-0000A5200000}"/>
            </a:ext>
          </a:extLst>
        </xdr:cNvPr>
        <xdr:cNvSpPr>
          <a:spLocks noChangeShapeType="1"/>
        </xdr:cNvSpPr>
      </xdr:nvSpPr>
      <xdr:spPr bwMode="auto">
        <a:xfrm>
          <a:off x="2194560" y="93345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8358" name="Line 49">
          <a:extLst>
            <a:ext uri="{FF2B5EF4-FFF2-40B4-BE49-F238E27FC236}">
              <a16:creationId xmlns:a16="http://schemas.microsoft.com/office/drawing/2014/main" id="{00000000-0008-0000-0F00-0000A620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8359" name="Line 50">
          <a:extLst>
            <a:ext uri="{FF2B5EF4-FFF2-40B4-BE49-F238E27FC236}">
              <a16:creationId xmlns:a16="http://schemas.microsoft.com/office/drawing/2014/main" id="{00000000-0008-0000-0F00-0000A720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8360" name="Line 51">
          <a:extLst>
            <a:ext uri="{FF2B5EF4-FFF2-40B4-BE49-F238E27FC236}">
              <a16:creationId xmlns:a16="http://schemas.microsoft.com/office/drawing/2014/main" id="{00000000-0008-0000-0F00-0000A820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59</xdr:row>
      <xdr:rowOff>0</xdr:rowOff>
    </xdr:from>
    <xdr:to>
      <xdr:col>4</xdr:col>
      <xdr:colOff>7620</xdr:colOff>
      <xdr:row>59</xdr:row>
      <xdr:rowOff>0</xdr:rowOff>
    </xdr:to>
    <xdr:sp macro="" textlink="">
      <xdr:nvSpPr>
        <xdr:cNvPr id="8361" name="Line 52">
          <a:extLst>
            <a:ext uri="{FF2B5EF4-FFF2-40B4-BE49-F238E27FC236}">
              <a16:creationId xmlns:a16="http://schemas.microsoft.com/office/drawing/2014/main" id="{00000000-0008-0000-0F00-0000A9200000}"/>
            </a:ext>
          </a:extLst>
        </xdr:cNvPr>
        <xdr:cNvSpPr>
          <a:spLocks noChangeShapeType="1"/>
        </xdr:cNvSpPr>
      </xdr:nvSpPr>
      <xdr:spPr bwMode="auto">
        <a:xfrm>
          <a:off x="2194560" y="106756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60</xdr:row>
      <xdr:rowOff>0</xdr:rowOff>
    </xdr:from>
    <xdr:to>
      <xdr:col>4</xdr:col>
      <xdr:colOff>7620</xdr:colOff>
      <xdr:row>60</xdr:row>
      <xdr:rowOff>0</xdr:rowOff>
    </xdr:to>
    <xdr:sp macro="" textlink="">
      <xdr:nvSpPr>
        <xdr:cNvPr id="8362" name="Line 53">
          <a:extLst>
            <a:ext uri="{FF2B5EF4-FFF2-40B4-BE49-F238E27FC236}">
              <a16:creationId xmlns:a16="http://schemas.microsoft.com/office/drawing/2014/main" id="{00000000-0008-0000-0F00-0000AA200000}"/>
            </a:ext>
          </a:extLst>
        </xdr:cNvPr>
        <xdr:cNvSpPr>
          <a:spLocks noChangeShapeType="1"/>
        </xdr:cNvSpPr>
      </xdr:nvSpPr>
      <xdr:spPr bwMode="auto">
        <a:xfrm>
          <a:off x="2194560" y="108432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60</xdr:row>
      <xdr:rowOff>0</xdr:rowOff>
    </xdr:from>
    <xdr:to>
      <xdr:col>6</xdr:col>
      <xdr:colOff>0</xdr:colOff>
      <xdr:row>60</xdr:row>
      <xdr:rowOff>0</xdr:rowOff>
    </xdr:to>
    <xdr:sp macro="" textlink="">
      <xdr:nvSpPr>
        <xdr:cNvPr id="8363" name="Line 54">
          <a:extLst>
            <a:ext uri="{FF2B5EF4-FFF2-40B4-BE49-F238E27FC236}">
              <a16:creationId xmlns:a16="http://schemas.microsoft.com/office/drawing/2014/main" id="{00000000-0008-0000-0F00-0000AB200000}"/>
            </a:ext>
          </a:extLst>
        </xdr:cNvPr>
        <xdr:cNvSpPr>
          <a:spLocks noChangeShapeType="1"/>
        </xdr:cNvSpPr>
      </xdr:nvSpPr>
      <xdr:spPr bwMode="auto">
        <a:xfrm>
          <a:off x="4389120" y="108432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29</xdr:row>
      <xdr:rowOff>0</xdr:rowOff>
    </xdr:from>
    <xdr:to>
      <xdr:col>7</xdr:col>
      <xdr:colOff>45720</xdr:colOff>
      <xdr:row>29</xdr:row>
      <xdr:rowOff>0</xdr:rowOff>
    </xdr:to>
    <xdr:sp macro="" textlink="">
      <xdr:nvSpPr>
        <xdr:cNvPr id="8364" name="Line 55">
          <a:extLst>
            <a:ext uri="{FF2B5EF4-FFF2-40B4-BE49-F238E27FC236}">
              <a16:creationId xmlns:a16="http://schemas.microsoft.com/office/drawing/2014/main" id="{00000000-0008-0000-0F00-0000AC200000}"/>
            </a:ext>
          </a:extLst>
        </xdr:cNvPr>
        <xdr:cNvSpPr>
          <a:spLocks noChangeShapeType="1"/>
        </xdr:cNvSpPr>
      </xdr:nvSpPr>
      <xdr:spPr bwMode="auto">
        <a:xfrm>
          <a:off x="4389120" y="552450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42</xdr:row>
      <xdr:rowOff>0</xdr:rowOff>
    </xdr:from>
    <xdr:to>
      <xdr:col>7</xdr:col>
      <xdr:colOff>45720</xdr:colOff>
      <xdr:row>42</xdr:row>
      <xdr:rowOff>0</xdr:rowOff>
    </xdr:to>
    <xdr:sp macro="" textlink="">
      <xdr:nvSpPr>
        <xdr:cNvPr id="8365" name="Line 56">
          <a:extLst>
            <a:ext uri="{FF2B5EF4-FFF2-40B4-BE49-F238E27FC236}">
              <a16:creationId xmlns:a16="http://schemas.microsoft.com/office/drawing/2014/main" id="{00000000-0008-0000-0F00-0000AD200000}"/>
            </a:ext>
          </a:extLst>
        </xdr:cNvPr>
        <xdr:cNvSpPr>
          <a:spLocks noChangeShapeType="1"/>
        </xdr:cNvSpPr>
      </xdr:nvSpPr>
      <xdr:spPr bwMode="auto">
        <a:xfrm>
          <a:off x="4389120" y="770382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57</xdr:row>
      <xdr:rowOff>0</xdr:rowOff>
    </xdr:from>
    <xdr:to>
      <xdr:col>7</xdr:col>
      <xdr:colOff>45720</xdr:colOff>
      <xdr:row>57</xdr:row>
      <xdr:rowOff>0</xdr:rowOff>
    </xdr:to>
    <xdr:sp macro="" textlink="">
      <xdr:nvSpPr>
        <xdr:cNvPr id="8366" name="Line 57">
          <a:extLst>
            <a:ext uri="{FF2B5EF4-FFF2-40B4-BE49-F238E27FC236}">
              <a16:creationId xmlns:a16="http://schemas.microsoft.com/office/drawing/2014/main" id="{00000000-0008-0000-0F00-0000AE200000}"/>
            </a:ext>
          </a:extLst>
        </xdr:cNvPr>
        <xdr:cNvSpPr>
          <a:spLocks noChangeShapeType="1"/>
        </xdr:cNvSpPr>
      </xdr:nvSpPr>
      <xdr:spPr bwMode="auto">
        <a:xfrm>
          <a:off x="4389120" y="1034034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69</xdr:row>
      <xdr:rowOff>0</xdr:rowOff>
    </xdr:from>
    <xdr:to>
      <xdr:col>6</xdr:col>
      <xdr:colOff>0</xdr:colOff>
      <xdr:row>69</xdr:row>
      <xdr:rowOff>0</xdr:rowOff>
    </xdr:to>
    <xdr:sp macro="" textlink="">
      <xdr:nvSpPr>
        <xdr:cNvPr id="8367" name="Line 58">
          <a:extLst>
            <a:ext uri="{FF2B5EF4-FFF2-40B4-BE49-F238E27FC236}">
              <a16:creationId xmlns:a16="http://schemas.microsoft.com/office/drawing/2014/main" id="{00000000-0008-0000-0F00-0000AF200000}"/>
            </a:ext>
          </a:extLst>
        </xdr:cNvPr>
        <xdr:cNvSpPr>
          <a:spLocks noChangeShapeType="1"/>
        </xdr:cNvSpPr>
      </xdr:nvSpPr>
      <xdr:spPr bwMode="auto">
        <a:xfrm>
          <a:off x="4389120" y="123520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69</xdr:row>
      <xdr:rowOff>0</xdr:rowOff>
    </xdr:from>
    <xdr:to>
      <xdr:col>14</xdr:col>
      <xdr:colOff>640080</xdr:colOff>
      <xdr:row>69</xdr:row>
      <xdr:rowOff>0</xdr:rowOff>
    </xdr:to>
    <xdr:sp macro="" textlink="">
      <xdr:nvSpPr>
        <xdr:cNvPr id="8368" name="Line 59">
          <a:extLst>
            <a:ext uri="{FF2B5EF4-FFF2-40B4-BE49-F238E27FC236}">
              <a16:creationId xmlns:a16="http://schemas.microsoft.com/office/drawing/2014/main" id="{00000000-0008-0000-0F00-0000B0200000}"/>
            </a:ext>
          </a:extLst>
        </xdr:cNvPr>
        <xdr:cNvSpPr>
          <a:spLocks noChangeShapeType="1"/>
        </xdr:cNvSpPr>
      </xdr:nvSpPr>
      <xdr:spPr bwMode="auto">
        <a:xfrm>
          <a:off x="10584180" y="123520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70</xdr:row>
      <xdr:rowOff>0</xdr:rowOff>
    </xdr:from>
    <xdr:to>
      <xdr:col>6</xdr:col>
      <xdr:colOff>0</xdr:colOff>
      <xdr:row>70</xdr:row>
      <xdr:rowOff>0</xdr:rowOff>
    </xdr:to>
    <xdr:sp macro="" textlink="">
      <xdr:nvSpPr>
        <xdr:cNvPr id="8369" name="Line 60">
          <a:extLst>
            <a:ext uri="{FF2B5EF4-FFF2-40B4-BE49-F238E27FC236}">
              <a16:creationId xmlns:a16="http://schemas.microsoft.com/office/drawing/2014/main" id="{00000000-0008-0000-0F00-0000B1200000}"/>
            </a:ext>
          </a:extLst>
        </xdr:cNvPr>
        <xdr:cNvSpPr>
          <a:spLocks noChangeShapeType="1"/>
        </xdr:cNvSpPr>
      </xdr:nvSpPr>
      <xdr:spPr bwMode="auto">
        <a:xfrm>
          <a:off x="4389120" y="125196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8370" name="Line 61">
          <a:extLst>
            <a:ext uri="{FF2B5EF4-FFF2-40B4-BE49-F238E27FC236}">
              <a16:creationId xmlns:a16="http://schemas.microsoft.com/office/drawing/2014/main" id="{00000000-0008-0000-0F00-0000B220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8371" name="Line 62">
          <a:extLst>
            <a:ext uri="{FF2B5EF4-FFF2-40B4-BE49-F238E27FC236}">
              <a16:creationId xmlns:a16="http://schemas.microsoft.com/office/drawing/2014/main" id="{00000000-0008-0000-0F00-0000B320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62</xdr:row>
      <xdr:rowOff>0</xdr:rowOff>
    </xdr:from>
    <xdr:to>
      <xdr:col>10</xdr:col>
      <xdr:colOff>0</xdr:colOff>
      <xdr:row>62</xdr:row>
      <xdr:rowOff>0</xdr:rowOff>
    </xdr:to>
    <xdr:sp macro="" textlink="">
      <xdr:nvSpPr>
        <xdr:cNvPr id="8372" name="Line 63">
          <a:extLst>
            <a:ext uri="{FF2B5EF4-FFF2-40B4-BE49-F238E27FC236}">
              <a16:creationId xmlns:a16="http://schemas.microsoft.com/office/drawing/2014/main" id="{00000000-0008-0000-0F00-0000B4200000}"/>
            </a:ext>
          </a:extLst>
        </xdr:cNvPr>
        <xdr:cNvSpPr>
          <a:spLocks noChangeShapeType="1"/>
        </xdr:cNvSpPr>
      </xdr:nvSpPr>
      <xdr:spPr bwMode="auto">
        <a:xfrm>
          <a:off x="6926580" y="111785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70</xdr:row>
      <xdr:rowOff>0</xdr:rowOff>
    </xdr:from>
    <xdr:to>
      <xdr:col>14</xdr:col>
      <xdr:colOff>640080</xdr:colOff>
      <xdr:row>70</xdr:row>
      <xdr:rowOff>0</xdr:rowOff>
    </xdr:to>
    <xdr:sp macro="" textlink="">
      <xdr:nvSpPr>
        <xdr:cNvPr id="8373" name="Line 64">
          <a:extLst>
            <a:ext uri="{FF2B5EF4-FFF2-40B4-BE49-F238E27FC236}">
              <a16:creationId xmlns:a16="http://schemas.microsoft.com/office/drawing/2014/main" id="{00000000-0008-0000-0F00-0000B5200000}"/>
            </a:ext>
          </a:extLst>
        </xdr:cNvPr>
        <xdr:cNvSpPr>
          <a:spLocks noChangeShapeType="1"/>
        </xdr:cNvSpPr>
      </xdr:nvSpPr>
      <xdr:spPr bwMode="auto">
        <a:xfrm>
          <a:off x="10584180" y="1251966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62</xdr:row>
      <xdr:rowOff>0</xdr:rowOff>
    </xdr:from>
    <xdr:to>
      <xdr:col>6</xdr:col>
      <xdr:colOff>0</xdr:colOff>
      <xdr:row>62</xdr:row>
      <xdr:rowOff>0</xdr:rowOff>
    </xdr:to>
    <xdr:sp macro="" textlink="">
      <xdr:nvSpPr>
        <xdr:cNvPr id="8374" name="Line 65">
          <a:extLst>
            <a:ext uri="{FF2B5EF4-FFF2-40B4-BE49-F238E27FC236}">
              <a16:creationId xmlns:a16="http://schemas.microsoft.com/office/drawing/2014/main" id="{00000000-0008-0000-0F00-0000B6200000}"/>
            </a:ext>
          </a:extLst>
        </xdr:cNvPr>
        <xdr:cNvSpPr>
          <a:spLocks noChangeShapeType="1"/>
        </xdr:cNvSpPr>
      </xdr:nvSpPr>
      <xdr:spPr bwMode="auto">
        <a:xfrm>
          <a:off x="4389120" y="111785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62</xdr:row>
      <xdr:rowOff>0</xdr:rowOff>
    </xdr:from>
    <xdr:to>
      <xdr:col>4</xdr:col>
      <xdr:colOff>7620</xdr:colOff>
      <xdr:row>62</xdr:row>
      <xdr:rowOff>0</xdr:rowOff>
    </xdr:to>
    <xdr:sp macro="" textlink="">
      <xdr:nvSpPr>
        <xdr:cNvPr id="8375" name="Line 66">
          <a:extLst>
            <a:ext uri="{FF2B5EF4-FFF2-40B4-BE49-F238E27FC236}">
              <a16:creationId xmlns:a16="http://schemas.microsoft.com/office/drawing/2014/main" id="{00000000-0008-0000-0F00-0000B7200000}"/>
            </a:ext>
          </a:extLst>
        </xdr:cNvPr>
        <xdr:cNvSpPr>
          <a:spLocks noChangeShapeType="1"/>
        </xdr:cNvSpPr>
      </xdr:nvSpPr>
      <xdr:spPr bwMode="auto">
        <a:xfrm>
          <a:off x="2194560" y="11178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8376" name="Line 67">
          <a:extLst>
            <a:ext uri="{FF2B5EF4-FFF2-40B4-BE49-F238E27FC236}">
              <a16:creationId xmlns:a16="http://schemas.microsoft.com/office/drawing/2014/main" id="{00000000-0008-0000-0F00-0000B820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8377" name="Line 68">
          <a:extLst>
            <a:ext uri="{FF2B5EF4-FFF2-40B4-BE49-F238E27FC236}">
              <a16:creationId xmlns:a16="http://schemas.microsoft.com/office/drawing/2014/main" id="{00000000-0008-0000-0F00-0000B920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8378" name="Line 69">
          <a:extLst>
            <a:ext uri="{FF2B5EF4-FFF2-40B4-BE49-F238E27FC236}">
              <a16:creationId xmlns:a16="http://schemas.microsoft.com/office/drawing/2014/main" id="{00000000-0008-0000-0F00-0000BA20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8379" name="Line 70">
          <a:extLst>
            <a:ext uri="{FF2B5EF4-FFF2-40B4-BE49-F238E27FC236}">
              <a16:creationId xmlns:a16="http://schemas.microsoft.com/office/drawing/2014/main" id="{00000000-0008-0000-0F00-0000BB20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68</xdr:row>
      <xdr:rowOff>0</xdr:rowOff>
    </xdr:from>
    <xdr:to>
      <xdr:col>7</xdr:col>
      <xdr:colOff>45720</xdr:colOff>
      <xdr:row>68</xdr:row>
      <xdr:rowOff>0</xdr:rowOff>
    </xdr:to>
    <xdr:sp macro="" textlink="">
      <xdr:nvSpPr>
        <xdr:cNvPr id="8380" name="Line 71">
          <a:extLst>
            <a:ext uri="{FF2B5EF4-FFF2-40B4-BE49-F238E27FC236}">
              <a16:creationId xmlns:a16="http://schemas.microsoft.com/office/drawing/2014/main" id="{00000000-0008-0000-0F00-0000BC200000}"/>
            </a:ext>
          </a:extLst>
        </xdr:cNvPr>
        <xdr:cNvSpPr>
          <a:spLocks noChangeShapeType="1"/>
        </xdr:cNvSpPr>
      </xdr:nvSpPr>
      <xdr:spPr bwMode="auto">
        <a:xfrm>
          <a:off x="4389120" y="1218438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70</xdr:row>
      <xdr:rowOff>0</xdr:rowOff>
    </xdr:from>
    <xdr:to>
      <xdr:col>4</xdr:col>
      <xdr:colOff>7620</xdr:colOff>
      <xdr:row>70</xdr:row>
      <xdr:rowOff>0</xdr:rowOff>
    </xdr:to>
    <xdr:sp macro="" textlink="">
      <xdr:nvSpPr>
        <xdr:cNvPr id="8381" name="Line 72">
          <a:extLst>
            <a:ext uri="{FF2B5EF4-FFF2-40B4-BE49-F238E27FC236}">
              <a16:creationId xmlns:a16="http://schemas.microsoft.com/office/drawing/2014/main" id="{00000000-0008-0000-0F00-0000BD200000}"/>
            </a:ext>
          </a:extLst>
        </xdr:cNvPr>
        <xdr:cNvSpPr>
          <a:spLocks noChangeShapeType="1"/>
        </xdr:cNvSpPr>
      </xdr:nvSpPr>
      <xdr:spPr bwMode="auto">
        <a:xfrm>
          <a:off x="2194560" y="12519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79</xdr:row>
      <xdr:rowOff>0</xdr:rowOff>
    </xdr:from>
    <xdr:to>
      <xdr:col>6</xdr:col>
      <xdr:colOff>0</xdr:colOff>
      <xdr:row>79</xdr:row>
      <xdr:rowOff>0</xdr:rowOff>
    </xdr:to>
    <xdr:sp macro="" textlink="">
      <xdr:nvSpPr>
        <xdr:cNvPr id="8382" name="Line 73">
          <a:extLst>
            <a:ext uri="{FF2B5EF4-FFF2-40B4-BE49-F238E27FC236}">
              <a16:creationId xmlns:a16="http://schemas.microsoft.com/office/drawing/2014/main" id="{00000000-0008-0000-0F00-0000BE200000}"/>
            </a:ext>
          </a:extLst>
        </xdr:cNvPr>
        <xdr:cNvSpPr>
          <a:spLocks noChangeShapeType="1"/>
        </xdr:cNvSpPr>
      </xdr:nvSpPr>
      <xdr:spPr bwMode="auto">
        <a:xfrm>
          <a:off x="4389120" y="140284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79</xdr:row>
      <xdr:rowOff>0</xdr:rowOff>
    </xdr:from>
    <xdr:to>
      <xdr:col>14</xdr:col>
      <xdr:colOff>640080</xdr:colOff>
      <xdr:row>79</xdr:row>
      <xdr:rowOff>0</xdr:rowOff>
    </xdr:to>
    <xdr:sp macro="" textlink="">
      <xdr:nvSpPr>
        <xdr:cNvPr id="8383" name="Line 74">
          <a:extLst>
            <a:ext uri="{FF2B5EF4-FFF2-40B4-BE49-F238E27FC236}">
              <a16:creationId xmlns:a16="http://schemas.microsoft.com/office/drawing/2014/main" id="{00000000-0008-0000-0F00-0000BF200000}"/>
            </a:ext>
          </a:extLst>
        </xdr:cNvPr>
        <xdr:cNvSpPr>
          <a:spLocks noChangeShapeType="1"/>
        </xdr:cNvSpPr>
      </xdr:nvSpPr>
      <xdr:spPr bwMode="auto">
        <a:xfrm>
          <a:off x="10584180" y="140284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384" name="Line 75">
          <a:extLst>
            <a:ext uri="{FF2B5EF4-FFF2-40B4-BE49-F238E27FC236}">
              <a16:creationId xmlns:a16="http://schemas.microsoft.com/office/drawing/2014/main" id="{00000000-0008-0000-0F00-0000C020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385" name="Line 76">
          <a:extLst>
            <a:ext uri="{FF2B5EF4-FFF2-40B4-BE49-F238E27FC236}">
              <a16:creationId xmlns:a16="http://schemas.microsoft.com/office/drawing/2014/main" id="{00000000-0008-0000-0F00-0000C120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72</xdr:row>
      <xdr:rowOff>0</xdr:rowOff>
    </xdr:from>
    <xdr:to>
      <xdr:col>10</xdr:col>
      <xdr:colOff>0</xdr:colOff>
      <xdr:row>72</xdr:row>
      <xdr:rowOff>0</xdr:rowOff>
    </xdr:to>
    <xdr:sp macro="" textlink="">
      <xdr:nvSpPr>
        <xdr:cNvPr id="8386" name="Line 77">
          <a:extLst>
            <a:ext uri="{FF2B5EF4-FFF2-40B4-BE49-F238E27FC236}">
              <a16:creationId xmlns:a16="http://schemas.microsoft.com/office/drawing/2014/main" id="{00000000-0008-0000-0F00-0000C2200000}"/>
            </a:ext>
          </a:extLst>
        </xdr:cNvPr>
        <xdr:cNvSpPr>
          <a:spLocks noChangeShapeType="1"/>
        </xdr:cNvSpPr>
      </xdr:nvSpPr>
      <xdr:spPr bwMode="auto">
        <a:xfrm>
          <a:off x="6926580" y="128549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72</xdr:row>
      <xdr:rowOff>0</xdr:rowOff>
    </xdr:from>
    <xdr:to>
      <xdr:col>6</xdr:col>
      <xdr:colOff>0</xdr:colOff>
      <xdr:row>72</xdr:row>
      <xdr:rowOff>0</xdr:rowOff>
    </xdr:to>
    <xdr:sp macro="" textlink="">
      <xdr:nvSpPr>
        <xdr:cNvPr id="8387" name="Line 78">
          <a:extLst>
            <a:ext uri="{FF2B5EF4-FFF2-40B4-BE49-F238E27FC236}">
              <a16:creationId xmlns:a16="http://schemas.microsoft.com/office/drawing/2014/main" id="{00000000-0008-0000-0F00-0000C3200000}"/>
            </a:ext>
          </a:extLst>
        </xdr:cNvPr>
        <xdr:cNvSpPr>
          <a:spLocks noChangeShapeType="1"/>
        </xdr:cNvSpPr>
      </xdr:nvSpPr>
      <xdr:spPr bwMode="auto">
        <a:xfrm>
          <a:off x="4389120" y="128549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72</xdr:row>
      <xdr:rowOff>0</xdr:rowOff>
    </xdr:from>
    <xdr:to>
      <xdr:col>4</xdr:col>
      <xdr:colOff>7620</xdr:colOff>
      <xdr:row>72</xdr:row>
      <xdr:rowOff>0</xdr:rowOff>
    </xdr:to>
    <xdr:sp macro="" textlink="">
      <xdr:nvSpPr>
        <xdr:cNvPr id="8388" name="Line 79">
          <a:extLst>
            <a:ext uri="{FF2B5EF4-FFF2-40B4-BE49-F238E27FC236}">
              <a16:creationId xmlns:a16="http://schemas.microsoft.com/office/drawing/2014/main" id="{00000000-0008-0000-0F00-0000C4200000}"/>
            </a:ext>
          </a:extLst>
        </xdr:cNvPr>
        <xdr:cNvSpPr>
          <a:spLocks noChangeShapeType="1"/>
        </xdr:cNvSpPr>
      </xdr:nvSpPr>
      <xdr:spPr bwMode="auto">
        <a:xfrm>
          <a:off x="2194560" y="128549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389" name="Line 80">
          <a:extLst>
            <a:ext uri="{FF2B5EF4-FFF2-40B4-BE49-F238E27FC236}">
              <a16:creationId xmlns:a16="http://schemas.microsoft.com/office/drawing/2014/main" id="{00000000-0008-0000-0F00-0000C520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390" name="Line 81">
          <a:extLst>
            <a:ext uri="{FF2B5EF4-FFF2-40B4-BE49-F238E27FC236}">
              <a16:creationId xmlns:a16="http://schemas.microsoft.com/office/drawing/2014/main" id="{00000000-0008-0000-0F00-0000C620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391" name="Line 82">
          <a:extLst>
            <a:ext uri="{FF2B5EF4-FFF2-40B4-BE49-F238E27FC236}">
              <a16:creationId xmlns:a16="http://schemas.microsoft.com/office/drawing/2014/main" id="{00000000-0008-0000-0F00-0000C720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392" name="Line 83">
          <a:extLst>
            <a:ext uri="{FF2B5EF4-FFF2-40B4-BE49-F238E27FC236}">
              <a16:creationId xmlns:a16="http://schemas.microsoft.com/office/drawing/2014/main" id="{00000000-0008-0000-0F00-0000C820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78</xdr:row>
      <xdr:rowOff>0</xdr:rowOff>
    </xdr:from>
    <xdr:to>
      <xdr:col>7</xdr:col>
      <xdr:colOff>45720</xdr:colOff>
      <xdr:row>78</xdr:row>
      <xdr:rowOff>0</xdr:rowOff>
    </xdr:to>
    <xdr:sp macro="" textlink="">
      <xdr:nvSpPr>
        <xdr:cNvPr id="8393" name="Line 84">
          <a:extLst>
            <a:ext uri="{FF2B5EF4-FFF2-40B4-BE49-F238E27FC236}">
              <a16:creationId xmlns:a16="http://schemas.microsoft.com/office/drawing/2014/main" id="{00000000-0008-0000-0F00-0000C9200000}"/>
            </a:ext>
          </a:extLst>
        </xdr:cNvPr>
        <xdr:cNvSpPr>
          <a:spLocks noChangeShapeType="1"/>
        </xdr:cNvSpPr>
      </xdr:nvSpPr>
      <xdr:spPr bwMode="auto">
        <a:xfrm>
          <a:off x="4389120" y="1386078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8394" name="Line 85">
          <a:extLst>
            <a:ext uri="{FF2B5EF4-FFF2-40B4-BE49-F238E27FC236}">
              <a16:creationId xmlns:a16="http://schemas.microsoft.com/office/drawing/2014/main" id="{00000000-0008-0000-0F00-0000CA200000}"/>
            </a:ext>
          </a:extLst>
        </xdr:cNvPr>
        <xdr:cNvSpPr>
          <a:spLocks noChangeShapeType="1"/>
        </xdr:cNvSpPr>
      </xdr:nvSpPr>
      <xdr:spPr bwMode="auto">
        <a:xfrm>
          <a:off x="69265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8395" name="Line 86">
          <a:extLst>
            <a:ext uri="{FF2B5EF4-FFF2-40B4-BE49-F238E27FC236}">
              <a16:creationId xmlns:a16="http://schemas.microsoft.com/office/drawing/2014/main" id="{00000000-0008-0000-0F00-0000CB200000}"/>
            </a:ext>
          </a:extLst>
        </xdr:cNvPr>
        <xdr:cNvSpPr>
          <a:spLocks noChangeShapeType="1"/>
        </xdr:cNvSpPr>
      </xdr:nvSpPr>
      <xdr:spPr bwMode="auto">
        <a:xfrm>
          <a:off x="43891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8396" name="Line 87">
          <a:extLst>
            <a:ext uri="{FF2B5EF4-FFF2-40B4-BE49-F238E27FC236}">
              <a16:creationId xmlns:a16="http://schemas.microsoft.com/office/drawing/2014/main" id="{00000000-0008-0000-0F00-0000CC200000}"/>
            </a:ext>
          </a:extLst>
        </xdr:cNvPr>
        <xdr:cNvSpPr>
          <a:spLocks noChangeShapeType="1"/>
        </xdr:cNvSpPr>
      </xdr:nvSpPr>
      <xdr:spPr bwMode="auto">
        <a:xfrm>
          <a:off x="21945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8397" name="Line 88">
          <a:extLst>
            <a:ext uri="{FF2B5EF4-FFF2-40B4-BE49-F238E27FC236}">
              <a16:creationId xmlns:a16="http://schemas.microsoft.com/office/drawing/2014/main" id="{00000000-0008-0000-0F00-0000CD200000}"/>
            </a:ext>
          </a:extLst>
        </xdr:cNvPr>
        <xdr:cNvSpPr>
          <a:spLocks noChangeShapeType="1"/>
        </xdr:cNvSpPr>
      </xdr:nvSpPr>
      <xdr:spPr bwMode="auto">
        <a:xfrm>
          <a:off x="4389120" y="1536954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44</xdr:row>
      <xdr:rowOff>0</xdr:rowOff>
    </xdr:from>
    <xdr:to>
      <xdr:col>6</xdr:col>
      <xdr:colOff>0</xdr:colOff>
      <xdr:row>44</xdr:row>
      <xdr:rowOff>0</xdr:rowOff>
    </xdr:to>
    <xdr:sp macro="" textlink="">
      <xdr:nvSpPr>
        <xdr:cNvPr id="8398" name="Line 89">
          <a:extLst>
            <a:ext uri="{FF2B5EF4-FFF2-40B4-BE49-F238E27FC236}">
              <a16:creationId xmlns:a16="http://schemas.microsoft.com/office/drawing/2014/main" id="{00000000-0008-0000-0F00-0000CE200000}"/>
            </a:ext>
          </a:extLst>
        </xdr:cNvPr>
        <xdr:cNvSpPr>
          <a:spLocks noChangeShapeType="1"/>
        </xdr:cNvSpPr>
      </xdr:nvSpPr>
      <xdr:spPr bwMode="auto">
        <a:xfrm>
          <a:off x="4389120" y="80391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43</xdr:row>
      <xdr:rowOff>0</xdr:rowOff>
    </xdr:from>
    <xdr:to>
      <xdr:col>6</xdr:col>
      <xdr:colOff>0</xdr:colOff>
      <xdr:row>43</xdr:row>
      <xdr:rowOff>0</xdr:rowOff>
    </xdr:to>
    <xdr:sp macro="" textlink="">
      <xdr:nvSpPr>
        <xdr:cNvPr id="8399" name="Line 90">
          <a:extLst>
            <a:ext uri="{FF2B5EF4-FFF2-40B4-BE49-F238E27FC236}">
              <a16:creationId xmlns:a16="http://schemas.microsoft.com/office/drawing/2014/main" id="{00000000-0008-0000-0F00-0000CF200000}"/>
            </a:ext>
          </a:extLst>
        </xdr:cNvPr>
        <xdr:cNvSpPr>
          <a:spLocks noChangeShapeType="1"/>
        </xdr:cNvSpPr>
      </xdr:nvSpPr>
      <xdr:spPr bwMode="auto">
        <a:xfrm>
          <a:off x="4389120" y="78714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59</xdr:row>
      <xdr:rowOff>0</xdr:rowOff>
    </xdr:from>
    <xdr:to>
      <xdr:col>6</xdr:col>
      <xdr:colOff>0</xdr:colOff>
      <xdr:row>59</xdr:row>
      <xdr:rowOff>0</xdr:rowOff>
    </xdr:to>
    <xdr:sp macro="" textlink="">
      <xdr:nvSpPr>
        <xdr:cNvPr id="8400" name="Line 91">
          <a:extLst>
            <a:ext uri="{FF2B5EF4-FFF2-40B4-BE49-F238E27FC236}">
              <a16:creationId xmlns:a16="http://schemas.microsoft.com/office/drawing/2014/main" id="{00000000-0008-0000-0F00-0000D0200000}"/>
            </a:ext>
          </a:extLst>
        </xdr:cNvPr>
        <xdr:cNvSpPr>
          <a:spLocks noChangeShapeType="1"/>
        </xdr:cNvSpPr>
      </xdr:nvSpPr>
      <xdr:spPr bwMode="auto">
        <a:xfrm>
          <a:off x="4389120" y="106756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58</xdr:row>
      <xdr:rowOff>0</xdr:rowOff>
    </xdr:from>
    <xdr:to>
      <xdr:col>6</xdr:col>
      <xdr:colOff>0</xdr:colOff>
      <xdr:row>58</xdr:row>
      <xdr:rowOff>0</xdr:rowOff>
    </xdr:to>
    <xdr:sp macro="" textlink="">
      <xdr:nvSpPr>
        <xdr:cNvPr id="8401" name="Line 92">
          <a:extLst>
            <a:ext uri="{FF2B5EF4-FFF2-40B4-BE49-F238E27FC236}">
              <a16:creationId xmlns:a16="http://schemas.microsoft.com/office/drawing/2014/main" id="{00000000-0008-0000-0F00-0000D1200000}"/>
            </a:ext>
          </a:extLst>
        </xdr:cNvPr>
        <xdr:cNvSpPr>
          <a:spLocks noChangeShapeType="1"/>
        </xdr:cNvSpPr>
      </xdr:nvSpPr>
      <xdr:spPr bwMode="auto">
        <a:xfrm>
          <a:off x="4389120" y="105079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31</xdr:row>
      <xdr:rowOff>0</xdr:rowOff>
    </xdr:from>
    <xdr:to>
      <xdr:col>10</xdr:col>
      <xdr:colOff>0</xdr:colOff>
      <xdr:row>31</xdr:row>
      <xdr:rowOff>0</xdr:rowOff>
    </xdr:to>
    <xdr:sp macro="" textlink="">
      <xdr:nvSpPr>
        <xdr:cNvPr id="8402" name="Line 93">
          <a:extLst>
            <a:ext uri="{FF2B5EF4-FFF2-40B4-BE49-F238E27FC236}">
              <a16:creationId xmlns:a16="http://schemas.microsoft.com/office/drawing/2014/main" id="{00000000-0008-0000-0F00-0000D2200000}"/>
            </a:ext>
          </a:extLst>
        </xdr:cNvPr>
        <xdr:cNvSpPr>
          <a:spLocks noChangeShapeType="1"/>
        </xdr:cNvSpPr>
      </xdr:nvSpPr>
      <xdr:spPr bwMode="auto">
        <a:xfrm>
          <a:off x="6926580" y="58597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30</xdr:row>
      <xdr:rowOff>0</xdr:rowOff>
    </xdr:from>
    <xdr:to>
      <xdr:col>10</xdr:col>
      <xdr:colOff>0</xdr:colOff>
      <xdr:row>30</xdr:row>
      <xdr:rowOff>0</xdr:rowOff>
    </xdr:to>
    <xdr:sp macro="" textlink="">
      <xdr:nvSpPr>
        <xdr:cNvPr id="8403" name="Line 94">
          <a:extLst>
            <a:ext uri="{FF2B5EF4-FFF2-40B4-BE49-F238E27FC236}">
              <a16:creationId xmlns:a16="http://schemas.microsoft.com/office/drawing/2014/main" id="{00000000-0008-0000-0F00-0000D3200000}"/>
            </a:ext>
          </a:extLst>
        </xdr:cNvPr>
        <xdr:cNvSpPr>
          <a:spLocks noChangeShapeType="1"/>
        </xdr:cNvSpPr>
      </xdr:nvSpPr>
      <xdr:spPr bwMode="auto">
        <a:xfrm>
          <a:off x="6926580" y="56921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44</xdr:row>
      <xdr:rowOff>0</xdr:rowOff>
    </xdr:from>
    <xdr:to>
      <xdr:col>10</xdr:col>
      <xdr:colOff>0</xdr:colOff>
      <xdr:row>44</xdr:row>
      <xdr:rowOff>0</xdr:rowOff>
    </xdr:to>
    <xdr:sp macro="" textlink="">
      <xdr:nvSpPr>
        <xdr:cNvPr id="8404" name="Line 95">
          <a:extLst>
            <a:ext uri="{FF2B5EF4-FFF2-40B4-BE49-F238E27FC236}">
              <a16:creationId xmlns:a16="http://schemas.microsoft.com/office/drawing/2014/main" id="{00000000-0008-0000-0F00-0000D4200000}"/>
            </a:ext>
          </a:extLst>
        </xdr:cNvPr>
        <xdr:cNvSpPr>
          <a:spLocks noChangeShapeType="1"/>
        </xdr:cNvSpPr>
      </xdr:nvSpPr>
      <xdr:spPr bwMode="auto">
        <a:xfrm>
          <a:off x="6926580" y="80391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43</xdr:row>
      <xdr:rowOff>0</xdr:rowOff>
    </xdr:from>
    <xdr:to>
      <xdr:col>10</xdr:col>
      <xdr:colOff>0</xdr:colOff>
      <xdr:row>43</xdr:row>
      <xdr:rowOff>0</xdr:rowOff>
    </xdr:to>
    <xdr:sp macro="" textlink="">
      <xdr:nvSpPr>
        <xdr:cNvPr id="8405" name="Line 96">
          <a:extLst>
            <a:ext uri="{FF2B5EF4-FFF2-40B4-BE49-F238E27FC236}">
              <a16:creationId xmlns:a16="http://schemas.microsoft.com/office/drawing/2014/main" id="{00000000-0008-0000-0F00-0000D5200000}"/>
            </a:ext>
          </a:extLst>
        </xdr:cNvPr>
        <xdr:cNvSpPr>
          <a:spLocks noChangeShapeType="1"/>
        </xdr:cNvSpPr>
      </xdr:nvSpPr>
      <xdr:spPr bwMode="auto">
        <a:xfrm>
          <a:off x="6926580" y="78714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59</xdr:row>
      <xdr:rowOff>0</xdr:rowOff>
    </xdr:from>
    <xdr:to>
      <xdr:col>10</xdr:col>
      <xdr:colOff>0</xdr:colOff>
      <xdr:row>59</xdr:row>
      <xdr:rowOff>0</xdr:rowOff>
    </xdr:to>
    <xdr:sp macro="" textlink="">
      <xdr:nvSpPr>
        <xdr:cNvPr id="8406" name="Line 97">
          <a:extLst>
            <a:ext uri="{FF2B5EF4-FFF2-40B4-BE49-F238E27FC236}">
              <a16:creationId xmlns:a16="http://schemas.microsoft.com/office/drawing/2014/main" id="{00000000-0008-0000-0F00-0000D6200000}"/>
            </a:ext>
          </a:extLst>
        </xdr:cNvPr>
        <xdr:cNvSpPr>
          <a:spLocks noChangeShapeType="1"/>
        </xdr:cNvSpPr>
      </xdr:nvSpPr>
      <xdr:spPr bwMode="auto">
        <a:xfrm>
          <a:off x="6926580" y="106756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58</xdr:row>
      <xdr:rowOff>0</xdr:rowOff>
    </xdr:from>
    <xdr:to>
      <xdr:col>10</xdr:col>
      <xdr:colOff>0</xdr:colOff>
      <xdr:row>58</xdr:row>
      <xdr:rowOff>0</xdr:rowOff>
    </xdr:to>
    <xdr:sp macro="" textlink="">
      <xdr:nvSpPr>
        <xdr:cNvPr id="8407" name="Line 98">
          <a:extLst>
            <a:ext uri="{FF2B5EF4-FFF2-40B4-BE49-F238E27FC236}">
              <a16:creationId xmlns:a16="http://schemas.microsoft.com/office/drawing/2014/main" id="{00000000-0008-0000-0F00-0000D7200000}"/>
            </a:ext>
          </a:extLst>
        </xdr:cNvPr>
        <xdr:cNvSpPr>
          <a:spLocks noChangeShapeType="1"/>
        </xdr:cNvSpPr>
      </xdr:nvSpPr>
      <xdr:spPr bwMode="auto">
        <a:xfrm>
          <a:off x="6926580" y="105079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70</xdr:row>
      <xdr:rowOff>0</xdr:rowOff>
    </xdr:from>
    <xdr:to>
      <xdr:col>10</xdr:col>
      <xdr:colOff>0</xdr:colOff>
      <xdr:row>70</xdr:row>
      <xdr:rowOff>0</xdr:rowOff>
    </xdr:to>
    <xdr:sp macro="" textlink="">
      <xdr:nvSpPr>
        <xdr:cNvPr id="8408" name="Line 99">
          <a:extLst>
            <a:ext uri="{FF2B5EF4-FFF2-40B4-BE49-F238E27FC236}">
              <a16:creationId xmlns:a16="http://schemas.microsoft.com/office/drawing/2014/main" id="{00000000-0008-0000-0F00-0000D8200000}"/>
            </a:ext>
          </a:extLst>
        </xdr:cNvPr>
        <xdr:cNvSpPr>
          <a:spLocks noChangeShapeType="1"/>
        </xdr:cNvSpPr>
      </xdr:nvSpPr>
      <xdr:spPr bwMode="auto">
        <a:xfrm>
          <a:off x="6926580" y="125196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69</xdr:row>
      <xdr:rowOff>0</xdr:rowOff>
    </xdr:from>
    <xdr:to>
      <xdr:col>10</xdr:col>
      <xdr:colOff>0</xdr:colOff>
      <xdr:row>69</xdr:row>
      <xdr:rowOff>0</xdr:rowOff>
    </xdr:to>
    <xdr:sp macro="" textlink="">
      <xdr:nvSpPr>
        <xdr:cNvPr id="8409" name="Line 100">
          <a:extLst>
            <a:ext uri="{FF2B5EF4-FFF2-40B4-BE49-F238E27FC236}">
              <a16:creationId xmlns:a16="http://schemas.microsoft.com/office/drawing/2014/main" id="{00000000-0008-0000-0F00-0000D9200000}"/>
            </a:ext>
          </a:extLst>
        </xdr:cNvPr>
        <xdr:cNvSpPr>
          <a:spLocks noChangeShapeType="1"/>
        </xdr:cNvSpPr>
      </xdr:nvSpPr>
      <xdr:spPr bwMode="auto">
        <a:xfrm>
          <a:off x="6926580" y="123520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79</xdr:row>
      <xdr:rowOff>0</xdr:rowOff>
    </xdr:from>
    <xdr:to>
      <xdr:col>10</xdr:col>
      <xdr:colOff>0</xdr:colOff>
      <xdr:row>79</xdr:row>
      <xdr:rowOff>0</xdr:rowOff>
    </xdr:to>
    <xdr:sp macro="" textlink="">
      <xdr:nvSpPr>
        <xdr:cNvPr id="8410" name="Line 101">
          <a:extLst>
            <a:ext uri="{FF2B5EF4-FFF2-40B4-BE49-F238E27FC236}">
              <a16:creationId xmlns:a16="http://schemas.microsoft.com/office/drawing/2014/main" id="{00000000-0008-0000-0F00-0000DA200000}"/>
            </a:ext>
          </a:extLst>
        </xdr:cNvPr>
        <xdr:cNvSpPr>
          <a:spLocks noChangeShapeType="1"/>
        </xdr:cNvSpPr>
      </xdr:nvSpPr>
      <xdr:spPr bwMode="auto">
        <a:xfrm>
          <a:off x="6926580" y="14028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8411" name="Line 102">
          <a:extLst>
            <a:ext uri="{FF2B5EF4-FFF2-40B4-BE49-F238E27FC236}">
              <a16:creationId xmlns:a16="http://schemas.microsoft.com/office/drawing/2014/main" id="{00000000-0008-0000-0F00-0000DB200000}"/>
            </a:ext>
          </a:extLst>
        </xdr:cNvPr>
        <xdr:cNvSpPr>
          <a:spLocks noChangeShapeType="1"/>
        </xdr:cNvSpPr>
      </xdr:nvSpPr>
      <xdr:spPr bwMode="auto">
        <a:xfrm>
          <a:off x="21945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8412" name="Line 108">
          <a:extLst>
            <a:ext uri="{FF2B5EF4-FFF2-40B4-BE49-F238E27FC236}">
              <a16:creationId xmlns:a16="http://schemas.microsoft.com/office/drawing/2014/main" id="{00000000-0008-0000-0F00-0000DC200000}"/>
            </a:ext>
          </a:extLst>
        </xdr:cNvPr>
        <xdr:cNvSpPr>
          <a:spLocks noChangeShapeType="1"/>
        </xdr:cNvSpPr>
      </xdr:nvSpPr>
      <xdr:spPr bwMode="auto">
        <a:xfrm>
          <a:off x="69265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8413" name="Line 109">
          <a:extLst>
            <a:ext uri="{FF2B5EF4-FFF2-40B4-BE49-F238E27FC236}">
              <a16:creationId xmlns:a16="http://schemas.microsoft.com/office/drawing/2014/main" id="{00000000-0008-0000-0F00-0000DD200000}"/>
            </a:ext>
          </a:extLst>
        </xdr:cNvPr>
        <xdr:cNvSpPr>
          <a:spLocks noChangeShapeType="1"/>
        </xdr:cNvSpPr>
      </xdr:nvSpPr>
      <xdr:spPr bwMode="auto">
        <a:xfrm>
          <a:off x="43891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8414" name="Line 110">
          <a:extLst>
            <a:ext uri="{FF2B5EF4-FFF2-40B4-BE49-F238E27FC236}">
              <a16:creationId xmlns:a16="http://schemas.microsoft.com/office/drawing/2014/main" id="{00000000-0008-0000-0F00-0000DE200000}"/>
            </a:ext>
          </a:extLst>
        </xdr:cNvPr>
        <xdr:cNvSpPr>
          <a:spLocks noChangeShapeType="1"/>
        </xdr:cNvSpPr>
      </xdr:nvSpPr>
      <xdr:spPr bwMode="auto">
        <a:xfrm>
          <a:off x="21945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8415" name="Line 111">
          <a:extLst>
            <a:ext uri="{FF2B5EF4-FFF2-40B4-BE49-F238E27FC236}">
              <a16:creationId xmlns:a16="http://schemas.microsoft.com/office/drawing/2014/main" id="{00000000-0008-0000-0F00-0000DF200000}"/>
            </a:ext>
          </a:extLst>
        </xdr:cNvPr>
        <xdr:cNvSpPr>
          <a:spLocks noChangeShapeType="1"/>
        </xdr:cNvSpPr>
      </xdr:nvSpPr>
      <xdr:spPr bwMode="auto">
        <a:xfrm>
          <a:off x="4389120" y="1536954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8416" name="Line 112">
          <a:extLst>
            <a:ext uri="{FF2B5EF4-FFF2-40B4-BE49-F238E27FC236}">
              <a16:creationId xmlns:a16="http://schemas.microsoft.com/office/drawing/2014/main" id="{00000000-0008-0000-0F00-0000E0200000}"/>
            </a:ext>
          </a:extLst>
        </xdr:cNvPr>
        <xdr:cNvSpPr>
          <a:spLocks noChangeShapeType="1"/>
        </xdr:cNvSpPr>
      </xdr:nvSpPr>
      <xdr:spPr bwMode="auto">
        <a:xfrm>
          <a:off x="21945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8417" name="Line 75">
          <a:extLst>
            <a:ext uri="{FF2B5EF4-FFF2-40B4-BE49-F238E27FC236}">
              <a16:creationId xmlns:a16="http://schemas.microsoft.com/office/drawing/2014/main" id="{00000000-0008-0000-0F00-0000E1200000}"/>
            </a:ext>
          </a:extLst>
        </xdr:cNvPr>
        <xdr:cNvSpPr>
          <a:spLocks noChangeShapeType="1"/>
        </xdr:cNvSpPr>
      </xdr:nvSpPr>
      <xdr:spPr bwMode="auto">
        <a:xfrm>
          <a:off x="2194560" y="19560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8418" name="Line 87">
          <a:extLst>
            <a:ext uri="{FF2B5EF4-FFF2-40B4-BE49-F238E27FC236}">
              <a16:creationId xmlns:a16="http://schemas.microsoft.com/office/drawing/2014/main" id="{00000000-0008-0000-0F00-0000E2200000}"/>
            </a:ext>
          </a:extLst>
        </xdr:cNvPr>
        <xdr:cNvSpPr>
          <a:spLocks noChangeShapeType="1"/>
        </xdr:cNvSpPr>
      </xdr:nvSpPr>
      <xdr:spPr bwMode="auto">
        <a:xfrm>
          <a:off x="2194560" y="20734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8419" name="Line 75">
          <a:extLst>
            <a:ext uri="{FF2B5EF4-FFF2-40B4-BE49-F238E27FC236}">
              <a16:creationId xmlns:a16="http://schemas.microsoft.com/office/drawing/2014/main" id="{00000000-0008-0000-0F00-0000E3200000}"/>
            </a:ext>
          </a:extLst>
        </xdr:cNvPr>
        <xdr:cNvSpPr>
          <a:spLocks noChangeShapeType="1"/>
        </xdr:cNvSpPr>
      </xdr:nvSpPr>
      <xdr:spPr bwMode="auto">
        <a:xfrm>
          <a:off x="2194560" y="197281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8420" name="Line 79">
          <a:extLst>
            <a:ext uri="{FF2B5EF4-FFF2-40B4-BE49-F238E27FC236}">
              <a16:creationId xmlns:a16="http://schemas.microsoft.com/office/drawing/2014/main" id="{00000000-0008-0000-0F00-0000E4200000}"/>
            </a:ext>
          </a:extLst>
        </xdr:cNvPr>
        <xdr:cNvSpPr>
          <a:spLocks noChangeShapeType="1"/>
        </xdr:cNvSpPr>
      </xdr:nvSpPr>
      <xdr:spPr bwMode="auto">
        <a:xfrm>
          <a:off x="2194560" y="18554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8421" name="Line 87">
          <a:extLst>
            <a:ext uri="{FF2B5EF4-FFF2-40B4-BE49-F238E27FC236}">
              <a16:creationId xmlns:a16="http://schemas.microsoft.com/office/drawing/2014/main" id="{00000000-0008-0000-0F00-0000E5200000}"/>
            </a:ext>
          </a:extLst>
        </xdr:cNvPr>
        <xdr:cNvSpPr>
          <a:spLocks noChangeShapeType="1"/>
        </xdr:cNvSpPr>
      </xdr:nvSpPr>
      <xdr:spPr bwMode="auto">
        <a:xfrm>
          <a:off x="2194560" y="20901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8422" name="Line 75">
          <a:extLst>
            <a:ext uri="{FF2B5EF4-FFF2-40B4-BE49-F238E27FC236}">
              <a16:creationId xmlns:a16="http://schemas.microsoft.com/office/drawing/2014/main" id="{00000000-0008-0000-0F00-0000E6200000}"/>
            </a:ext>
          </a:extLst>
        </xdr:cNvPr>
        <xdr:cNvSpPr>
          <a:spLocks noChangeShapeType="1"/>
        </xdr:cNvSpPr>
      </xdr:nvSpPr>
      <xdr:spPr bwMode="auto">
        <a:xfrm>
          <a:off x="2194560" y="19560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8423" name="Line 87">
          <a:extLst>
            <a:ext uri="{FF2B5EF4-FFF2-40B4-BE49-F238E27FC236}">
              <a16:creationId xmlns:a16="http://schemas.microsoft.com/office/drawing/2014/main" id="{00000000-0008-0000-0F00-0000E7200000}"/>
            </a:ext>
          </a:extLst>
        </xdr:cNvPr>
        <xdr:cNvSpPr>
          <a:spLocks noChangeShapeType="1"/>
        </xdr:cNvSpPr>
      </xdr:nvSpPr>
      <xdr:spPr bwMode="auto">
        <a:xfrm>
          <a:off x="2194560" y="20734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8424" name="Line 75">
          <a:extLst>
            <a:ext uri="{FF2B5EF4-FFF2-40B4-BE49-F238E27FC236}">
              <a16:creationId xmlns:a16="http://schemas.microsoft.com/office/drawing/2014/main" id="{00000000-0008-0000-0F00-0000E8200000}"/>
            </a:ext>
          </a:extLst>
        </xdr:cNvPr>
        <xdr:cNvSpPr>
          <a:spLocks noChangeShapeType="1"/>
        </xdr:cNvSpPr>
      </xdr:nvSpPr>
      <xdr:spPr bwMode="auto">
        <a:xfrm>
          <a:off x="2194560" y="197281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8425" name="Line 79">
          <a:extLst>
            <a:ext uri="{FF2B5EF4-FFF2-40B4-BE49-F238E27FC236}">
              <a16:creationId xmlns:a16="http://schemas.microsoft.com/office/drawing/2014/main" id="{00000000-0008-0000-0F00-0000E9200000}"/>
            </a:ext>
          </a:extLst>
        </xdr:cNvPr>
        <xdr:cNvSpPr>
          <a:spLocks noChangeShapeType="1"/>
        </xdr:cNvSpPr>
      </xdr:nvSpPr>
      <xdr:spPr bwMode="auto">
        <a:xfrm>
          <a:off x="2194560" y="18554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8426" name="Line 87">
          <a:extLst>
            <a:ext uri="{FF2B5EF4-FFF2-40B4-BE49-F238E27FC236}">
              <a16:creationId xmlns:a16="http://schemas.microsoft.com/office/drawing/2014/main" id="{00000000-0008-0000-0F00-0000EA200000}"/>
            </a:ext>
          </a:extLst>
        </xdr:cNvPr>
        <xdr:cNvSpPr>
          <a:spLocks noChangeShapeType="1"/>
        </xdr:cNvSpPr>
      </xdr:nvSpPr>
      <xdr:spPr bwMode="auto">
        <a:xfrm>
          <a:off x="2194560" y="20901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5.xml><?xml version="1.0" encoding="utf-8"?>
<xdr:wsDr xmlns:xdr="http://purl.oclc.org/ooxml/drawingml/spreadsheetDrawing" xmlns:a="http://purl.oclc.org/ooxml/drawingml/main">
  <xdr:twoCellAnchor>
    <xdr:from>
      <xdr:col>6</xdr:col>
      <xdr:colOff>0</xdr:colOff>
      <xdr:row>30</xdr:row>
      <xdr:rowOff>0</xdr:rowOff>
    </xdr:from>
    <xdr:to>
      <xdr:col>6</xdr:col>
      <xdr:colOff>0</xdr:colOff>
      <xdr:row>30</xdr:row>
      <xdr:rowOff>0</xdr:rowOff>
    </xdr:to>
    <xdr:sp macro="" textlink="">
      <xdr:nvSpPr>
        <xdr:cNvPr id="10358" name="Line 1">
          <a:extLst>
            <a:ext uri="{FF2B5EF4-FFF2-40B4-BE49-F238E27FC236}">
              <a16:creationId xmlns:a16="http://schemas.microsoft.com/office/drawing/2014/main" id="{00000000-0008-0000-1100-000076280000}"/>
            </a:ext>
          </a:extLst>
        </xdr:cNvPr>
        <xdr:cNvSpPr>
          <a:spLocks noChangeShapeType="1"/>
        </xdr:cNvSpPr>
      </xdr:nvSpPr>
      <xdr:spPr bwMode="auto">
        <a:xfrm>
          <a:off x="4389120" y="56921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31</xdr:row>
      <xdr:rowOff>0</xdr:rowOff>
    </xdr:from>
    <xdr:to>
      <xdr:col>6</xdr:col>
      <xdr:colOff>0</xdr:colOff>
      <xdr:row>31</xdr:row>
      <xdr:rowOff>0</xdr:rowOff>
    </xdr:to>
    <xdr:sp macro="" textlink="">
      <xdr:nvSpPr>
        <xdr:cNvPr id="10359" name="Line 2">
          <a:extLst>
            <a:ext uri="{FF2B5EF4-FFF2-40B4-BE49-F238E27FC236}">
              <a16:creationId xmlns:a16="http://schemas.microsoft.com/office/drawing/2014/main" id="{00000000-0008-0000-1100-000077280000}"/>
            </a:ext>
          </a:extLst>
        </xdr:cNvPr>
        <xdr:cNvSpPr>
          <a:spLocks noChangeShapeType="1"/>
        </xdr:cNvSpPr>
      </xdr:nvSpPr>
      <xdr:spPr bwMode="auto">
        <a:xfrm>
          <a:off x="4389120" y="58597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23</xdr:row>
      <xdr:rowOff>0</xdr:rowOff>
    </xdr:from>
    <xdr:to>
      <xdr:col>6</xdr:col>
      <xdr:colOff>0</xdr:colOff>
      <xdr:row>23</xdr:row>
      <xdr:rowOff>0</xdr:rowOff>
    </xdr:to>
    <xdr:sp macro="" textlink="">
      <xdr:nvSpPr>
        <xdr:cNvPr id="10360" name="Line 3">
          <a:extLst>
            <a:ext uri="{FF2B5EF4-FFF2-40B4-BE49-F238E27FC236}">
              <a16:creationId xmlns:a16="http://schemas.microsoft.com/office/drawing/2014/main" id="{00000000-0008-0000-1100-000078280000}"/>
            </a:ext>
          </a:extLst>
        </xdr:cNvPr>
        <xdr:cNvSpPr>
          <a:spLocks noChangeShapeType="1"/>
        </xdr:cNvSpPr>
      </xdr:nvSpPr>
      <xdr:spPr bwMode="auto">
        <a:xfrm>
          <a:off x="4389120" y="45186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23</xdr:row>
      <xdr:rowOff>0</xdr:rowOff>
    </xdr:from>
    <xdr:to>
      <xdr:col>9</xdr:col>
      <xdr:colOff>662940</xdr:colOff>
      <xdr:row>23</xdr:row>
      <xdr:rowOff>0</xdr:rowOff>
    </xdr:to>
    <xdr:sp macro="" textlink="">
      <xdr:nvSpPr>
        <xdr:cNvPr id="10361" name="Line 4">
          <a:extLst>
            <a:ext uri="{FF2B5EF4-FFF2-40B4-BE49-F238E27FC236}">
              <a16:creationId xmlns:a16="http://schemas.microsoft.com/office/drawing/2014/main" id="{00000000-0008-0000-1100-000079280000}"/>
            </a:ext>
          </a:extLst>
        </xdr:cNvPr>
        <xdr:cNvSpPr>
          <a:spLocks noChangeShapeType="1"/>
        </xdr:cNvSpPr>
      </xdr:nvSpPr>
      <xdr:spPr bwMode="auto">
        <a:xfrm>
          <a:off x="6926580" y="451866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30</xdr:row>
      <xdr:rowOff>0</xdr:rowOff>
    </xdr:from>
    <xdr:to>
      <xdr:col>14</xdr:col>
      <xdr:colOff>662940</xdr:colOff>
      <xdr:row>30</xdr:row>
      <xdr:rowOff>0</xdr:rowOff>
    </xdr:to>
    <xdr:sp macro="" textlink="">
      <xdr:nvSpPr>
        <xdr:cNvPr id="10362" name="Line 5">
          <a:extLst>
            <a:ext uri="{FF2B5EF4-FFF2-40B4-BE49-F238E27FC236}">
              <a16:creationId xmlns:a16="http://schemas.microsoft.com/office/drawing/2014/main" id="{00000000-0008-0000-1100-00007A280000}"/>
            </a:ext>
          </a:extLst>
        </xdr:cNvPr>
        <xdr:cNvSpPr>
          <a:spLocks noChangeShapeType="1"/>
        </xdr:cNvSpPr>
      </xdr:nvSpPr>
      <xdr:spPr bwMode="auto">
        <a:xfrm>
          <a:off x="10584180" y="569214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31</xdr:row>
      <xdr:rowOff>0</xdr:rowOff>
    </xdr:from>
    <xdr:to>
      <xdr:col>14</xdr:col>
      <xdr:colOff>662940</xdr:colOff>
      <xdr:row>31</xdr:row>
      <xdr:rowOff>0</xdr:rowOff>
    </xdr:to>
    <xdr:sp macro="" textlink="">
      <xdr:nvSpPr>
        <xdr:cNvPr id="10363" name="Line 6">
          <a:extLst>
            <a:ext uri="{FF2B5EF4-FFF2-40B4-BE49-F238E27FC236}">
              <a16:creationId xmlns:a16="http://schemas.microsoft.com/office/drawing/2014/main" id="{00000000-0008-0000-1100-00007B280000}"/>
            </a:ext>
          </a:extLst>
        </xdr:cNvPr>
        <xdr:cNvSpPr>
          <a:spLocks noChangeShapeType="1"/>
        </xdr:cNvSpPr>
      </xdr:nvSpPr>
      <xdr:spPr bwMode="auto">
        <a:xfrm>
          <a:off x="10584180" y="585978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32</xdr:row>
      <xdr:rowOff>0</xdr:rowOff>
    </xdr:from>
    <xdr:to>
      <xdr:col>6</xdr:col>
      <xdr:colOff>0</xdr:colOff>
      <xdr:row>32</xdr:row>
      <xdr:rowOff>0</xdr:rowOff>
    </xdr:to>
    <xdr:sp macro="" textlink="">
      <xdr:nvSpPr>
        <xdr:cNvPr id="10364" name="Line 7">
          <a:extLst>
            <a:ext uri="{FF2B5EF4-FFF2-40B4-BE49-F238E27FC236}">
              <a16:creationId xmlns:a16="http://schemas.microsoft.com/office/drawing/2014/main" id="{00000000-0008-0000-1100-00007C280000}"/>
            </a:ext>
          </a:extLst>
        </xdr:cNvPr>
        <xdr:cNvSpPr>
          <a:spLocks noChangeShapeType="1"/>
        </xdr:cNvSpPr>
      </xdr:nvSpPr>
      <xdr:spPr bwMode="auto">
        <a:xfrm>
          <a:off x="4389120" y="60274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33</xdr:row>
      <xdr:rowOff>0</xdr:rowOff>
    </xdr:from>
    <xdr:to>
      <xdr:col>6</xdr:col>
      <xdr:colOff>0</xdr:colOff>
      <xdr:row>33</xdr:row>
      <xdr:rowOff>0</xdr:rowOff>
    </xdr:to>
    <xdr:sp macro="" textlink="">
      <xdr:nvSpPr>
        <xdr:cNvPr id="10365" name="Line 8">
          <a:extLst>
            <a:ext uri="{FF2B5EF4-FFF2-40B4-BE49-F238E27FC236}">
              <a16:creationId xmlns:a16="http://schemas.microsoft.com/office/drawing/2014/main" id="{00000000-0008-0000-1100-00007D280000}"/>
            </a:ext>
          </a:extLst>
        </xdr:cNvPr>
        <xdr:cNvSpPr>
          <a:spLocks noChangeShapeType="1"/>
        </xdr:cNvSpPr>
      </xdr:nvSpPr>
      <xdr:spPr bwMode="auto">
        <a:xfrm>
          <a:off x="4389120" y="61950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34</xdr:row>
      <xdr:rowOff>0</xdr:rowOff>
    </xdr:from>
    <xdr:to>
      <xdr:col>6</xdr:col>
      <xdr:colOff>0</xdr:colOff>
      <xdr:row>34</xdr:row>
      <xdr:rowOff>0</xdr:rowOff>
    </xdr:to>
    <xdr:sp macro="" textlink="">
      <xdr:nvSpPr>
        <xdr:cNvPr id="10366" name="Line 9">
          <a:extLst>
            <a:ext uri="{FF2B5EF4-FFF2-40B4-BE49-F238E27FC236}">
              <a16:creationId xmlns:a16="http://schemas.microsoft.com/office/drawing/2014/main" id="{00000000-0008-0000-1100-00007E280000}"/>
            </a:ext>
          </a:extLst>
        </xdr:cNvPr>
        <xdr:cNvSpPr>
          <a:spLocks noChangeShapeType="1"/>
        </xdr:cNvSpPr>
      </xdr:nvSpPr>
      <xdr:spPr bwMode="auto">
        <a:xfrm>
          <a:off x="4389120" y="6362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32</xdr:row>
      <xdr:rowOff>0</xdr:rowOff>
    </xdr:from>
    <xdr:to>
      <xdr:col>10</xdr:col>
      <xdr:colOff>0</xdr:colOff>
      <xdr:row>32</xdr:row>
      <xdr:rowOff>0</xdr:rowOff>
    </xdr:to>
    <xdr:sp macro="" textlink="">
      <xdr:nvSpPr>
        <xdr:cNvPr id="10367" name="Line 10">
          <a:extLst>
            <a:ext uri="{FF2B5EF4-FFF2-40B4-BE49-F238E27FC236}">
              <a16:creationId xmlns:a16="http://schemas.microsoft.com/office/drawing/2014/main" id="{00000000-0008-0000-1100-00007F280000}"/>
            </a:ext>
          </a:extLst>
        </xdr:cNvPr>
        <xdr:cNvSpPr>
          <a:spLocks noChangeShapeType="1"/>
        </xdr:cNvSpPr>
      </xdr:nvSpPr>
      <xdr:spPr bwMode="auto">
        <a:xfrm>
          <a:off x="6926580" y="6027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33</xdr:row>
      <xdr:rowOff>0</xdr:rowOff>
    </xdr:from>
    <xdr:to>
      <xdr:col>10</xdr:col>
      <xdr:colOff>0</xdr:colOff>
      <xdr:row>33</xdr:row>
      <xdr:rowOff>0</xdr:rowOff>
    </xdr:to>
    <xdr:sp macro="" textlink="">
      <xdr:nvSpPr>
        <xdr:cNvPr id="10368" name="Line 11">
          <a:extLst>
            <a:ext uri="{FF2B5EF4-FFF2-40B4-BE49-F238E27FC236}">
              <a16:creationId xmlns:a16="http://schemas.microsoft.com/office/drawing/2014/main" id="{00000000-0008-0000-1100-000080280000}"/>
            </a:ext>
          </a:extLst>
        </xdr:cNvPr>
        <xdr:cNvSpPr>
          <a:spLocks noChangeShapeType="1"/>
        </xdr:cNvSpPr>
      </xdr:nvSpPr>
      <xdr:spPr bwMode="auto">
        <a:xfrm>
          <a:off x="6926580" y="61950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34</xdr:row>
      <xdr:rowOff>0</xdr:rowOff>
    </xdr:from>
    <xdr:to>
      <xdr:col>10</xdr:col>
      <xdr:colOff>0</xdr:colOff>
      <xdr:row>34</xdr:row>
      <xdr:rowOff>0</xdr:rowOff>
    </xdr:to>
    <xdr:sp macro="" textlink="">
      <xdr:nvSpPr>
        <xdr:cNvPr id="10369" name="Line 12">
          <a:extLst>
            <a:ext uri="{FF2B5EF4-FFF2-40B4-BE49-F238E27FC236}">
              <a16:creationId xmlns:a16="http://schemas.microsoft.com/office/drawing/2014/main" id="{00000000-0008-0000-1100-000081280000}"/>
            </a:ext>
          </a:extLst>
        </xdr:cNvPr>
        <xdr:cNvSpPr>
          <a:spLocks noChangeShapeType="1"/>
        </xdr:cNvSpPr>
      </xdr:nvSpPr>
      <xdr:spPr bwMode="auto">
        <a:xfrm>
          <a:off x="6926580" y="6362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32</xdr:row>
      <xdr:rowOff>0</xdr:rowOff>
    </xdr:from>
    <xdr:to>
      <xdr:col>15</xdr:col>
      <xdr:colOff>0</xdr:colOff>
      <xdr:row>32</xdr:row>
      <xdr:rowOff>0</xdr:rowOff>
    </xdr:to>
    <xdr:sp macro="" textlink="">
      <xdr:nvSpPr>
        <xdr:cNvPr id="10370" name="Line 13">
          <a:extLst>
            <a:ext uri="{FF2B5EF4-FFF2-40B4-BE49-F238E27FC236}">
              <a16:creationId xmlns:a16="http://schemas.microsoft.com/office/drawing/2014/main" id="{00000000-0008-0000-1100-000082280000}"/>
            </a:ext>
          </a:extLst>
        </xdr:cNvPr>
        <xdr:cNvSpPr>
          <a:spLocks noChangeShapeType="1"/>
        </xdr:cNvSpPr>
      </xdr:nvSpPr>
      <xdr:spPr bwMode="auto">
        <a:xfrm>
          <a:off x="10584180" y="6027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33</xdr:row>
      <xdr:rowOff>0</xdr:rowOff>
    </xdr:from>
    <xdr:to>
      <xdr:col>15</xdr:col>
      <xdr:colOff>0</xdr:colOff>
      <xdr:row>33</xdr:row>
      <xdr:rowOff>0</xdr:rowOff>
    </xdr:to>
    <xdr:sp macro="" textlink="">
      <xdr:nvSpPr>
        <xdr:cNvPr id="10371" name="Line 14">
          <a:extLst>
            <a:ext uri="{FF2B5EF4-FFF2-40B4-BE49-F238E27FC236}">
              <a16:creationId xmlns:a16="http://schemas.microsoft.com/office/drawing/2014/main" id="{00000000-0008-0000-1100-000083280000}"/>
            </a:ext>
          </a:extLst>
        </xdr:cNvPr>
        <xdr:cNvSpPr>
          <a:spLocks noChangeShapeType="1"/>
        </xdr:cNvSpPr>
      </xdr:nvSpPr>
      <xdr:spPr bwMode="auto">
        <a:xfrm>
          <a:off x="10584180" y="61950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34</xdr:row>
      <xdr:rowOff>0</xdr:rowOff>
    </xdr:from>
    <xdr:to>
      <xdr:col>15</xdr:col>
      <xdr:colOff>0</xdr:colOff>
      <xdr:row>34</xdr:row>
      <xdr:rowOff>0</xdr:rowOff>
    </xdr:to>
    <xdr:sp macro="" textlink="">
      <xdr:nvSpPr>
        <xdr:cNvPr id="10372" name="Line 15">
          <a:extLst>
            <a:ext uri="{FF2B5EF4-FFF2-40B4-BE49-F238E27FC236}">
              <a16:creationId xmlns:a16="http://schemas.microsoft.com/office/drawing/2014/main" id="{00000000-0008-0000-1100-000084280000}"/>
            </a:ext>
          </a:extLst>
        </xdr:cNvPr>
        <xdr:cNvSpPr>
          <a:spLocks noChangeShapeType="1"/>
        </xdr:cNvSpPr>
      </xdr:nvSpPr>
      <xdr:spPr bwMode="auto">
        <a:xfrm>
          <a:off x="10584180" y="6362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43</xdr:row>
      <xdr:rowOff>0</xdr:rowOff>
    </xdr:from>
    <xdr:to>
      <xdr:col>14</xdr:col>
      <xdr:colOff>640080</xdr:colOff>
      <xdr:row>43</xdr:row>
      <xdr:rowOff>0</xdr:rowOff>
    </xdr:to>
    <xdr:sp macro="" textlink="">
      <xdr:nvSpPr>
        <xdr:cNvPr id="10373" name="Line 16">
          <a:extLst>
            <a:ext uri="{FF2B5EF4-FFF2-40B4-BE49-F238E27FC236}">
              <a16:creationId xmlns:a16="http://schemas.microsoft.com/office/drawing/2014/main" id="{00000000-0008-0000-1100-000085280000}"/>
            </a:ext>
          </a:extLst>
        </xdr:cNvPr>
        <xdr:cNvSpPr>
          <a:spLocks noChangeShapeType="1"/>
        </xdr:cNvSpPr>
      </xdr:nvSpPr>
      <xdr:spPr bwMode="auto">
        <a:xfrm>
          <a:off x="10584180" y="787146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23</xdr:row>
      <xdr:rowOff>0</xdr:rowOff>
    </xdr:from>
    <xdr:to>
      <xdr:col>4</xdr:col>
      <xdr:colOff>7620</xdr:colOff>
      <xdr:row>23</xdr:row>
      <xdr:rowOff>0</xdr:rowOff>
    </xdr:to>
    <xdr:sp macro="" textlink="">
      <xdr:nvSpPr>
        <xdr:cNvPr id="10374" name="Line 17">
          <a:extLst>
            <a:ext uri="{FF2B5EF4-FFF2-40B4-BE49-F238E27FC236}">
              <a16:creationId xmlns:a16="http://schemas.microsoft.com/office/drawing/2014/main" id="{00000000-0008-0000-1100-000086280000}"/>
            </a:ext>
          </a:extLst>
        </xdr:cNvPr>
        <xdr:cNvSpPr>
          <a:spLocks noChangeShapeType="1"/>
        </xdr:cNvSpPr>
      </xdr:nvSpPr>
      <xdr:spPr bwMode="auto">
        <a:xfrm>
          <a:off x="2194560" y="4518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30</xdr:row>
      <xdr:rowOff>0</xdr:rowOff>
    </xdr:from>
    <xdr:to>
      <xdr:col>4</xdr:col>
      <xdr:colOff>7620</xdr:colOff>
      <xdr:row>30</xdr:row>
      <xdr:rowOff>0</xdr:rowOff>
    </xdr:to>
    <xdr:sp macro="" textlink="">
      <xdr:nvSpPr>
        <xdr:cNvPr id="10375" name="Line 18">
          <a:extLst>
            <a:ext uri="{FF2B5EF4-FFF2-40B4-BE49-F238E27FC236}">
              <a16:creationId xmlns:a16="http://schemas.microsoft.com/office/drawing/2014/main" id="{00000000-0008-0000-1100-000087280000}"/>
            </a:ext>
          </a:extLst>
        </xdr:cNvPr>
        <xdr:cNvSpPr>
          <a:spLocks noChangeShapeType="1"/>
        </xdr:cNvSpPr>
      </xdr:nvSpPr>
      <xdr:spPr bwMode="auto">
        <a:xfrm>
          <a:off x="2194560" y="56921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31</xdr:row>
      <xdr:rowOff>0</xdr:rowOff>
    </xdr:from>
    <xdr:to>
      <xdr:col>4</xdr:col>
      <xdr:colOff>7620</xdr:colOff>
      <xdr:row>31</xdr:row>
      <xdr:rowOff>0</xdr:rowOff>
    </xdr:to>
    <xdr:sp macro="" textlink="">
      <xdr:nvSpPr>
        <xdr:cNvPr id="10376" name="Line 19">
          <a:extLst>
            <a:ext uri="{FF2B5EF4-FFF2-40B4-BE49-F238E27FC236}">
              <a16:creationId xmlns:a16="http://schemas.microsoft.com/office/drawing/2014/main" id="{00000000-0008-0000-1100-000088280000}"/>
            </a:ext>
          </a:extLst>
        </xdr:cNvPr>
        <xdr:cNvSpPr>
          <a:spLocks noChangeShapeType="1"/>
        </xdr:cNvSpPr>
      </xdr:nvSpPr>
      <xdr:spPr bwMode="auto">
        <a:xfrm>
          <a:off x="2194560" y="58597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32</xdr:row>
      <xdr:rowOff>0</xdr:rowOff>
    </xdr:from>
    <xdr:to>
      <xdr:col>4</xdr:col>
      <xdr:colOff>7620</xdr:colOff>
      <xdr:row>32</xdr:row>
      <xdr:rowOff>0</xdr:rowOff>
    </xdr:to>
    <xdr:sp macro="" textlink="">
      <xdr:nvSpPr>
        <xdr:cNvPr id="10377" name="Line 20">
          <a:extLst>
            <a:ext uri="{FF2B5EF4-FFF2-40B4-BE49-F238E27FC236}">
              <a16:creationId xmlns:a16="http://schemas.microsoft.com/office/drawing/2014/main" id="{00000000-0008-0000-1100-000089280000}"/>
            </a:ext>
          </a:extLst>
        </xdr:cNvPr>
        <xdr:cNvSpPr>
          <a:spLocks noChangeShapeType="1"/>
        </xdr:cNvSpPr>
      </xdr:nvSpPr>
      <xdr:spPr bwMode="auto">
        <a:xfrm>
          <a:off x="2194560" y="6027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33</xdr:row>
      <xdr:rowOff>0</xdr:rowOff>
    </xdr:from>
    <xdr:to>
      <xdr:col>4</xdr:col>
      <xdr:colOff>7620</xdr:colOff>
      <xdr:row>33</xdr:row>
      <xdr:rowOff>0</xdr:rowOff>
    </xdr:to>
    <xdr:sp macro="" textlink="">
      <xdr:nvSpPr>
        <xdr:cNvPr id="10378" name="Line 21">
          <a:extLst>
            <a:ext uri="{FF2B5EF4-FFF2-40B4-BE49-F238E27FC236}">
              <a16:creationId xmlns:a16="http://schemas.microsoft.com/office/drawing/2014/main" id="{00000000-0008-0000-1100-00008A280000}"/>
            </a:ext>
          </a:extLst>
        </xdr:cNvPr>
        <xdr:cNvSpPr>
          <a:spLocks noChangeShapeType="1"/>
        </xdr:cNvSpPr>
      </xdr:nvSpPr>
      <xdr:spPr bwMode="auto">
        <a:xfrm>
          <a:off x="2194560" y="61950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34</xdr:row>
      <xdr:rowOff>0</xdr:rowOff>
    </xdr:from>
    <xdr:to>
      <xdr:col>4</xdr:col>
      <xdr:colOff>7620</xdr:colOff>
      <xdr:row>34</xdr:row>
      <xdr:rowOff>0</xdr:rowOff>
    </xdr:to>
    <xdr:sp macro="" textlink="">
      <xdr:nvSpPr>
        <xdr:cNvPr id="10379" name="Line 22">
          <a:extLst>
            <a:ext uri="{FF2B5EF4-FFF2-40B4-BE49-F238E27FC236}">
              <a16:creationId xmlns:a16="http://schemas.microsoft.com/office/drawing/2014/main" id="{00000000-0008-0000-1100-00008B280000}"/>
            </a:ext>
          </a:extLst>
        </xdr:cNvPr>
        <xdr:cNvSpPr>
          <a:spLocks noChangeShapeType="1"/>
        </xdr:cNvSpPr>
      </xdr:nvSpPr>
      <xdr:spPr bwMode="auto">
        <a:xfrm>
          <a:off x="2194560" y="6362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10380" name="Line 23">
          <a:extLst>
            <a:ext uri="{FF2B5EF4-FFF2-40B4-BE49-F238E27FC236}">
              <a16:creationId xmlns:a16="http://schemas.microsoft.com/office/drawing/2014/main" id="{00000000-0008-0000-1100-00008C280000}"/>
            </a:ext>
          </a:extLst>
        </xdr:cNvPr>
        <xdr:cNvSpPr>
          <a:spLocks noChangeShapeType="1"/>
        </xdr:cNvSpPr>
      </xdr:nvSpPr>
      <xdr:spPr bwMode="auto">
        <a:xfrm>
          <a:off x="21945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10381" name="Line 24">
          <a:extLst>
            <a:ext uri="{FF2B5EF4-FFF2-40B4-BE49-F238E27FC236}">
              <a16:creationId xmlns:a16="http://schemas.microsoft.com/office/drawing/2014/main" id="{00000000-0008-0000-1100-00008D280000}"/>
            </a:ext>
          </a:extLst>
        </xdr:cNvPr>
        <xdr:cNvSpPr>
          <a:spLocks noChangeShapeType="1"/>
        </xdr:cNvSpPr>
      </xdr:nvSpPr>
      <xdr:spPr bwMode="auto">
        <a:xfrm>
          <a:off x="21945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36</xdr:row>
      <xdr:rowOff>0</xdr:rowOff>
    </xdr:from>
    <xdr:to>
      <xdr:col>10</xdr:col>
      <xdr:colOff>0</xdr:colOff>
      <xdr:row>36</xdr:row>
      <xdr:rowOff>0</xdr:rowOff>
    </xdr:to>
    <xdr:sp macro="" textlink="">
      <xdr:nvSpPr>
        <xdr:cNvPr id="10382" name="Line 25">
          <a:extLst>
            <a:ext uri="{FF2B5EF4-FFF2-40B4-BE49-F238E27FC236}">
              <a16:creationId xmlns:a16="http://schemas.microsoft.com/office/drawing/2014/main" id="{00000000-0008-0000-1100-00008E280000}"/>
            </a:ext>
          </a:extLst>
        </xdr:cNvPr>
        <xdr:cNvSpPr>
          <a:spLocks noChangeShapeType="1"/>
        </xdr:cNvSpPr>
      </xdr:nvSpPr>
      <xdr:spPr bwMode="auto">
        <a:xfrm>
          <a:off x="6926580" y="66979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44</xdr:row>
      <xdr:rowOff>0</xdr:rowOff>
    </xdr:from>
    <xdr:to>
      <xdr:col>14</xdr:col>
      <xdr:colOff>640080</xdr:colOff>
      <xdr:row>44</xdr:row>
      <xdr:rowOff>0</xdr:rowOff>
    </xdr:to>
    <xdr:sp macro="" textlink="">
      <xdr:nvSpPr>
        <xdr:cNvPr id="10383" name="Line 26">
          <a:extLst>
            <a:ext uri="{FF2B5EF4-FFF2-40B4-BE49-F238E27FC236}">
              <a16:creationId xmlns:a16="http://schemas.microsoft.com/office/drawing/2014/main" id="{00000000-0008-0000-1100-00008F280000}"/>
            </a:ext>
          </a:extLst>
        </xdr:cNvPr>
        <xdr:cNvSpPr>
          <a:spLocks noChangeShapeType="1"/>
        </xdr:cNvSpPr>
      </xdr:nvSpPr>
      <xdr:spPr bwMode="auto">
        <a:xfrm>
          <a:off x="10584180" y="803910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36</xdr:row>
      <xdr:rowOff>0</xdr:rowOff>
    </xdr:from>
    <xdr:to>
      <xdr:col>6</xdr:col>
      <xdr:colOff>0</xdr:colOff>
      <xdr:row>36</xdr:row>
      <xdr:rowOff>0</xdr:rowOff>
    </xdr:to>
    <xdr:sp macro="" textlink="">
      <xdr:nvSpPr>
        <xdr:cNvPr id="10384" name="Line 27">
          <a:extLst>
            <a:ext uri="{FF2B5EF4-FFF2-40B4-BE49-F238E27FC236}">
              <a16:creationId xmlns:a16="http://schemas.microsoft.com/office/drawing/2014/main" id="{00000000-0008-0000-1100-000090280000}"/>
            </a:ext>
          </a:extLst>
        </xdr:cNvPr>
        <xdr:cNvSpPr>
          <a:spLocks noChangeShapeType="1"/>
        </xdr:cNvSpPr>
      </xdr:nvSpPr>
      <xdr:spPr bwMode="auto">
        <a:xfrm>
          <a:off x="4389120" y="66979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45</xdr:row>
      <xdr:rowOff>0</xdr:rowOff>
    </xdr:from>
    <xdr:to>
      <xdr:col>6</xdr:col>
      <xdr:colOff>0</xdr:colOff>
      <xdr:row>45</xdr:row>
      <xdr:rowOff>0</xdr:rowOff>
    </xdr:to>
    <xdr:sp macro="" textlink="">
      <xdr:nvSpPr>
        <xdr:cNvPr id="10385" name="Line 28">
          <a:extLst>
            <a:ext uri="{FF2B5EF4-FFF2-40B4-BE49-F238E27FC236}">
              <a16:creationId xmlns:a16="http://schemas.microsoft.com/office/drawing/2014/main" id="{00000000-0008-0000-1100-000091280000}"/>
            </a:ext>
          </a:extLst>
        </xdr:cNvPr>
        <xdr:cNvSpPr>
          <a:spLocks noChangeShapeType="1"/>
        </xdr:cNvSpPr>
      </xdr:nvSpPr>
      <xdr:spPr bwMode="auto">
        <a:xfrm>
          <a:off x="4389120" y="82067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45</xdr:row>
      <xdr:rowOff>0</xdr:rowOff>
    </xdr:from>
    <xdr:to>
      <xdr:col>10</xdr:col>
      <xdr:colOff>0</xdr:colOff>
      <xdr:row>45</xdr:row>
      <xdr:rowOff>0</xdr:rowOff>
    </xdr:to>
    <xdr:sp macro="" textlink="">
      <xdr:nvSpPr>
        <xdr:cNvPr id="10386" name="Line 29">
          <a:extLst>
            <a:ext uri="{FF2B5EF4-FFF2-40B4-BE49-F238E27FC236}">
              <a16:creationId xmlns:a16="http://schemas.microsoft.com/office/drawing/2014/main" id="{00000000-0008-0000-1100-000092280000}"/>
            </a:ext>
          </a:extLst>
        </xdr:cNvPr>
        <xdr:cNvSpPr>
          <a:spLocks noChangeShapeType="1"/>
        </xdr:cNvSpPr>
      </xdr:nvSpPr>
      <xdr:spPr bwMode="auto">
        <a:xfrm>
          <a:off x="6926580" y="82067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46</xdr:row>
      <xdr:rowOff>0</xdr:rowOff>
    </xdr:from>
    <xdr:to>
      <xdr:col>10</xdr:col>
      <xdr:colOff>0</xdr:colOff>
      <xdr:row>46</xdr:row>
      <xdr:rowOff>0</xdr:rowOff>
    </xdr:to>
    <xdr:sp macro="" textlink="">
      <xdr:nvSpPr>
        <xdr:cNvPr id="10387" name="Line 30">
          <a:extLst>
            <a:ext uri="{FF2B5EF4-FFF2-40B4-BE49-F238E27FC236}">
              <a16:creationId xmlns:a16="http://schemas.microsoft.com/office/drawing/2014/main" id="{00000000-0008-0000-1100-000093280000}"/>
            </a:ext>
          </a:extLst>
        </xdr:cNvPr>
        <xdr:cNvSpPr>
          <a:spLocks noChangeShapeType="1"/>
        </xdr:cNvSpPr>
      </xdr:nvSpPr>
      <xdr:spPr bwMode="auto">
        <a:xfrm>
          <a:off x="6926580" y="83743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45</xdr:row>
      <xdr:rowOff>0</xdr:rowOff>
    </xdr:from>
    <xdr:to>
      <xdr:col>15</xdr:col>
      <xdr:colOff>0</xdr:colOff>
      <xdr:row>45</xdr:row>
      <xdr:rowOff>0</xdr:rowOff>
    </xdr:to>
    <xdr:sp macro="" textlink="">
      <xdr:nvSpPr>
        <xdr:cNvPr id="10388" name="Line 31">
          <a:extLst>
            <a:ext uri="{FF2B5EF4-FFF2-40B4-BE49-F238E27FC236}">
              <a16:creationId xmlns:a16="http://schemas.microsoft.com/office/drawing/2014/main" id="{00000000-0008-0000-1100-000094280000}"/>
            </a:ext>
          </a:extLst>
        </xdr:cNvPr>
        <xdr:cNvSpPr>
          <a:spLocks noChangeShapeType="1"/>
        </xdr:cNvSpPr>
      </xdr:nvSpPr>
      <xdr:spPr bwMode="auto">
        <a:xfrm>
          <a:off x="10584180" y="82067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46</xdr:row>
      <xdr:rowOff>0</xdr:rowOff>
    </xdr:from>
    <xdr:to>
      <xdr:col>15</xdr:col>
      <xdr:colOff>0</xdr:colOff>
      <xdr:row>46</xdr:row>
      <xdr:rowOff>0</xdr:rowOff>
    </xdr:to>
    <xdr:sp macro="" textlink="">
      <xdr:nvSpPr>
        <xdr:cNvPr id="10389" name="Line 32">
          <a:extLst>
            <a:ext uri="{FF2B5EF4-FFF2-40B4-BE49-F238E27FC236}">
              <a16:creationId xmlns:a16="http://schemas.microsoft.com/office/drawing/2014/main" id="{00000000-0008-0000-1100-000095280000}"/>
            </a:ext>
          </a:extLst>
        </xdr:cNvPr>
        <xdr:cNvSpPr>
          <a:spLocks noChangeShapeType="1"/>
        </xdr:cNvSpPr>
      </xdr:nvSpPr>
      <xdr:spPr bwMode="auto">
        <a:xfrm>
          <a:off x="10584180" y="83743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36</xdr:row>
      <xdr:rowOff>0</xdr:rowOff>
    </xdr:from>
    <xdr:to>
      <xdr:col>4</xdr:col>
      <xdr:colOff>7620</xdr:colOff>
      <xdr:row>36</xdr:row>
      <xdr:rowOff>0</xdr:rowOff>
    </xdr:to>
    <xdr:sp macro="" textlink="">
      <xdr:nvSpPr>
        <xdr:cNvPr id="10390" name="Line 33">
          <a:extLst>
            <a:ext uri="{FF2B5EF4-FFF2-40B4-BE49-F238E27FC236}">
              <a16:creationId xmlns:a16="http://schemas.microsoft.com/office/drawing/2014/main" id="{00000000-0008-0000-1100-000096280000}"/>
            </a:ext>
          </a:extLst>
        </xdr:cNvPr>
        <xdr:cNvSpPr>
          <a:spLocks noChangeShapeType="1"/>
        </xdr:cNvSpPr>
      </xdr:nvSpPr>
      <xdr:spPr bwMode="auto">
        <a:xfrm>
          <a:off x="2194560" y="669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10391" name="Line 34">
          <a:extLst>
            <a:ext uri="{FF2B5EF4-FFF2-40B4-BE49-F238E27FC236}">
              <a16:creationId xmlns:a16="http://schemas.microsoft.com/office/drawing/2014/main" id="{00000000-0008-0000-1100-000097280000}"/>
            </a:ext>
          </a:extLst>
        </xdr:cNvPr>
        <xdr:cNvSpPr>
          <a:spLocks noChangeShapeType="1"/>
        </xdr:cNvSpPr>
      </xdr:nvSpPr>
      <xdr:spPr bwMode="auto">
        <a:xfrm>
          <a:off x="21945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10392" name="Line 35">
          <a:extLst>
            <a:ext uri="{FF2B5EF4-FFF2-40B4-BE49-F238E27FC236}">
              <a16:creationId xmlns:a16="http://schemas.microsoft.com/office/drawing/2014/main" id="{00000000-0008-0000-1100-000098280000}"/>
            </a:ext>
          </a:extLst>
        </xdr:cNvPr>
        <xdr:cNvSpPr>
          <a:spLocks noChangeShapeType="1"/>
        </xdr:cNvSpPr>
      </xdr:nvSpPr>
      <xdr:spPr bwMode="auto">
        <a:xfrm>
          <a:off x="21945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44</xdr:row>
      <xdr:rowOff>0</xdr:rowOff>
    </xdr:from>
    <xdr:to>
      <xdr:col>4</xdr:col>
      <xdr:colOff>7620</xdr:colOff>
      <xdr:row>44</xdr:row>
      <xdr:rowOff>0</xdr:rowOff>
    </xdr:to>
    <xdr:sp macro="" textlink="">
      <xdr:nvSpPr>
        <xdr:cNvPr id="10393" name="Line 36">
          <a:extLst>
            <a:ext uri="{FF2B5EF4-FFF2-40B4-BE49-F238E27FC236}">
              <a16:creationId xmlns:a16="http://schemas.microsoft.com/office/drawing/2014/main" id="{00000000-0008-0000-1100-000099280000}"/>
            </a:ext>
          </a:extLst>
        </xdr:cNvPr>
        <xdr:cNvSpPr>
          <a:spLocks noChangeShapeType="1"/>
        </xdr:cNvSpPr>
      </xdr:nvSpPr>
      <xdr:spPr bwMode="auto">
        <a:xfrm>
          <a:off x="2194560" y="80391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45</xdr:row>
      <xdr:rowOff>0</xdr:rowOff>
    </xdr:from>
    <xdr:to>
      <xdr:col>4</xdr:col>
      <xdr:colOff>7620</xdr:colOff>
      <xdr:row>45</xdr:row>
      <xdr:rowOff>0</xdr:rowOff>
    </xdr:to>
    <xdr:sp macro="" textlink="">
      <xdr:nvSpPr>
        <xdr:cNvPr id="10394" name="Line 37">
          <a:extLst>
            <a:ext uri="{FF2B5EF4-FFF2-40B4-BE49-F238E27FC236}">
              <a16:creationId xmlns:a16="http://schemas.microsoft.com/office/drawing/2014/main" id="{00000000-0008-0000-1100-00009A280000}"/>
            </a:ext>
          </a:extLst>
        </xdr:cNvPr>
        <xdr:cNvSpPr>
          <a:spLocks noChangeShapeType="1"/>
        </xdr:cNvSpPr>
      </xdr:nvSpPr>
      <xdr:spPr bwMode="auto">
        <a:xfrm>
          <a:off x="2194560" y="82067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46</xdr:row>
      <xdr:rowOff>0</xdr:rowOff>
    </xdr:from>
    <xdr:to>
      <xdr:col>4</xdr:col>
      <xdr:colOff>7620</xdr:colOff>
      <xdr:row>46</xdr:row>
      <xdr:rowOff>0</xdr:rowOff>
    </xdr:to>
    <xdr:sp macro="" textlink="">
      <xdr:nvSpPr>
        <xdr:cNvPr id="10395" name="Line 38">
          <a:extLst>
            <a:ext uri="{FF2B5EF4-FFF2-40B4-BE49-F238E27FC236}">
              <a16:creationId xmlns:a16="http://schemas.microsoft.com/office/drawing/2014/main" id="{00000000-0008-0000-1100-00009B280000}"/>
            </a:ext>
          </a:extLst>
        </xdr:cNvPr>
        <xdr:cNvSpPr>
          <a:spLocks noChangeShapeType="1"/>
        </xdr:cNvSpPr>
      </xdr:nvSpPr>
      <xdr:spPr bwMode="auto">
        <a:xfrm>
          <a:off x="2194560" y="83743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46</xdr:row>
      <xdr:rowOff>0</xdr:rowOff>
    </xdr:from>
    <xdr:to>
      <xdr:col>6</xdr:col>
      <xdr:colOff>0</xdr:colOff>
      <xdr:row>46</xdr:row>
      <xdr:rowOff>0</xdr:rowOff>
    </xdr:to>
    <xdr:sp macro="" textlink="">
      <xdr:nvSpPr>
        <xdr:cNvPr id="10396" name="Line 39">
          <a:extLst>
            <a:ext uri="{FF2B5EF4-FFF2-40B4-BE49-F238E27FC236}">
              <a16:creationId xmlns:a16="http://schemas.microsoft.com/office/drawing/2014/main" id="{00000000-0008-0000-1100-00009C280000}"/>
            </a:ext>
          </a:extLst>
        </xdr:cNvPr>
        <xdr:cNvSpPr>
          <a:spLocks noChangeShapeType="1"/>
        </xdr:cNvSpPr>
      </xdr:nvSpPr>
      <xdr:spPr bwMode="auto">
        <a:xfrm>
          <a:off x="4389120" y="83743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58</xdr:row>
      <xdr:rowOff>0</xdr:rowOff>
    </xdr:from>
    <xdr:to>
      <xdr:col>14</xdr:col>
      <xdr:colOff>640080</xdr:colOff>
      <xdr:row>58</xdr:row>
      <xdr:rowOff>0</xdr:rowOff>
    </xdr:to>
    <xdr:sp macro="" textlink="">
      <xdr:nvSpPr>
        <xdr:cNvPr id="10397" name="Line 40">
          <a:extLst>
            <a:ext uri="{FF2B5EF4-FFF2-40B4-BE49-F238E27FC236}">
              <a16:creationId xmlns:a16="http://schemas.microsoft.com/office/drawing/2014/main" id="{00000000-0008-0000-1100-00009D280000}"/>
            </a:ext>
          </a:extLst>
        </xdr:cNvPr>
        <xdr:cNvSpPr>
          <a:spLocks noChangeShapeType="1"/>
        </xdr:cNvSpPr>
      </xdr:nvSpPr>
      <xdr:spPr bwMode="auto">
        <a:xfrm>
          <a:off x="10584180" y="1050798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10398" name="Line 41">
          <a:extLst>
            <a:ext uri="{FF2B5EF4-FFF2-40B4-BE49-F238E27FC236}">
              <a16:creationId xmlns:a16="http://schemas.microsoft.com/office/drawing/2014/main" id="{00000000-0008-0000-1100-00009E28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10399" name="Line 42">
          <a:extLst>
            <a:ext uri="{FF2B5EF4-FFF2-40B4-BE49-F238E27FC236}">
              <a16:creationId xmlns:a16="http://schemas.microsoft.com/office/drawing/2014/main" id="{00000000-0008-0000-1100-00009F28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51</xdr:row>
      <xdr:rowOff>0</xdr:rowOff>
    </xdr:from>
    <xdr:to>
      <xdr:col>10</xdr:col>
      <xdr:colOff>0</xdr:colOff>
      <xdr:row>51</xdr:row>
      <xdr:rowOff>0</xdr:rowOff>
    </xdr:to>
    <xdr:sp macro="" textlink="">
      <xdr:nvSpPr>
        <xdr:cNvPr id="10400" name="Line 43">
          <a:extLst>
            <a:ext uri="{FF2B5EF4-FFF2-40B4-BE49-F238E27FC236}">
              <a16:creationId xmlns:a16="http://schemas.microsoft.com/office/drawing/2014/main" id="{00000000-0008-0000-1100-0000A0280000}"/>
            </a:ext>
          </a:extLst>
        </xdr:cNvPr>
        <xdr:cNvSpPr>
          <a:spLocks noChangeShapeType="1"/>
        </xdr:cNvSpPr>
      </xdr:nvSpPr>
      <xdr:spPr bwMode="auto">
        <a:xfrm>
          <a:off x="6926580" y="93345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59</xdr:row>
      <xdr:rowOff>0</xdr:rowOff>
    </xdr:from>
    <xdr:to>
      <xdr:col>14</xdr:col>
      <xdr:colOff>640080</xdr:colOff>
      <xdr:row>59</xdr:row>
      <xdr:rowOff>0</xdr:rowOff>
    </xdr:to>
    <xdr:sp macro="" textlink="">
      <xdr:nvSpPr>
        <xdr:cNvPr id="10401" name="Line 44">
          <a:extLst>
            <a:ext uri="{FF2B5EF4-FFF2-40B4-BE49-F238E27FC236}">
              <a16:creationId xmlns:a16="http://schemas.microsoft.com/office/drawing/2014/main" id="{00000000-0008-0000-1100-0000A1280000}"/>
            </a:ext>
          </a:extLst>
        </xdr:cNvPr>
        <xdr:cNvSpPr>
          <a:spLocks noChangeShapeType="1"/>
        </xdr:cNvSpPr>
      </xdr:nvSpPr>
      <xdr:spPr bwMode="auto">
        <a:xfrm>
          <a:off x="10584180" y="106756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51</xdr:row>
      <xdr:rowOff>0</xdr:rowOff>
    </xdr:from>
    <xdr:to>
      <xdr:col>6</xdr:col>
      <xdr:colOff>0</xdr:colOff>
      <xdr:row>51</xdr:row>
      <xdr:rowOff>0</xdr:rowOff>
    </xdr:to>
    <xdr:sp macro="" textlink="">
      <xdr:nvSpPr>
        <xdr:cNvPr id="10402" name="Line 45">
          <a:extLst>
            <a:ext uri="{FF2B5EF4-FFF2-40B4-BE49-F238E27FC236}">
              <a16:creationId xmlns:a16="http://schemas.microsoft.com/office/drawing/2014/main" id="{00000000-0008-0000-1100-0000A2280000}"/>
            </a:ext>
          </a:extLst>
        </xdr:cNvPr>
        <xdr:cNvSpPr>
          <a:spLocks noChangeShapeType="1"/>
        </xdr:cNvSpPr>
      </xdr:nvSpPr>
      <xdr:spPr bwMode="auto">
        <a:xfrm>
          <a:off x="4389120" y="9334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60</xdr:row>
      <xdr:rowOff>0</xdr:rowOff>
    </xdr:from>
    <xdr:to>
      <xdr:col>10</xdr:col>
      <xdr:colOff>0</xdr:colOff>
      <xdr:row>60</xdr:row>
      <xdr:rowOff>0</xdr:rowOff>
    </xdr:to>
    <xdr:sp macro="" textlink="">
      <xdr:nvSpPr>
        <xdr:cNvPr id="10403" name="Line 46">
          <a:extLst>
            <a:ext uri="{FF2B5EF4-FFF2-40B4-BE49-F238E27FC236}">
              <a16:creationId xmlns:a16="http://schemas.microsoft.com/office/drawing/2014/main" id="{00000000-0008-0000-1100-0000A3280000}"/>
            </a:ext>
          </a:extLst>
        </xdr:cNvPr>
        <xdr:cNvSpPr>
          <a:spLocks noChangeShapeType="1"/>
        </xdr:cNvSpPr>
      </xdr:nvSpPr>
      <xdr:spPr bwMode="auto">
        <a:xfrm>
          <a:off x="6926580" y="108432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60</xdr:row>
      <xdr:rowOff>0</xdr:rowOff>
    </xdr:from>
    <xdr:to>
      <xdr:col>15</xdr:col>
      <xdr:colOff>0</xdr:colOff>
      <xdr:row>60</xdr:row>
      <xdr:rowOff>0</xdr:rowOff>
    </xdr:to>
    <xdr:sp macro="" textlink="">
      <xdr:nvSpPr>
        <xdr:cNvPr id="10404" name="Line 47">
          <a:extLst>
            <a:ext uri="{FF2B5EF4-FFF2-40B4-BE49-F238E27FC236}">
              <a16:creationId xmlns:a16="http://schemas.microsoft.com/office/drawing/2014/main" id="{00000000-0008-0000-1100-0000A4280000}"/>
            </a:ext>
          </a:extLst>
        </xdr:cNvPr>
        <xdr:cNvSpPr>
          <a:spLocks noChangeShapeType="1"/>
        </xdr:cNvSpPr>
      </xdr:nvSpPr>
      <xdr:spPr bwMode="auto">
        <a:xfrm>
          <a:off x="10584180" y="108432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51</xdr:row>
      <xdr:rowOff>0</xdr:rowOff>
    </xdr:from>
    <xdr:to>
      <xdr:col>4</xdr:col>
      <xdr:colOff>7620</xdr:colOff>
      <xdr:row>51</xdr:row>
      <xdr:rowOff>0</xdr:rowOff>
    </xdr:to>
    <xdr:sp macro="" textlink="">
      <xdr:nvSpPr>
        <xdr:cNvPr id="10405" name="Line 48">
          <a:extLst>
            <a:ext uri="{FF2B5EF4-FFF2-40B4-BE49-F238E27FC236}">
              <a16:creationId xmlns:a16="http://schemas.microsoft.com/office/drawing/2014/main" id="{00000000-0008-0000-1100-0000A5280000}"/>
            </a:ext>
          </a:extLst>
        </xdr:cNvPr>
        <xdr:cNvSpPr>
          <a:spLocks noChangeShapeType="1"/>
        </xdr:cNvSpPr>
      </xdr:nvSpPr>
      <xdr:spPr bwMode="auto">
        <a:xfrm>
          <a:off x="2194560" y="93345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10406" name="Line 49">
          <a:extLst>
            <a:ext uri="{FF2B5EF4-FFF2-40B4-BE49-F238E27FC236}">
              <a16:creationId xmlns:a16="http://schemas.microsoft.com/office/drawing/2014/main" id="{00000000-0008-0000-1100-0000A628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10407" name="Line 50">
          <a:extLst>
            <a:ext uri="{FF2B5EF4-FFF2-40B4-BE49-F238E27FC236}">
              <a16:creationId xmlns:a16="http://schemas.microsoft.com/office/drawing/2014/main" id="{00000000-0008-0000-1100-0000A728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10408" name="Line 51">
          <a:extLst>
            <a:ext uri="{FF2B5EF4-FFF2-40B4-BE49-F238E27FC236}">
              <a16:creationId xmlns:a16="http://schemas.microsoft.com/office/drawing/2014/main" id="{00000000-0008-0000-1100-0000A828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59</xdr:row>
      <xdr:rowOff>0</xdr:rowOff>
    </xdr:from>
    <xdr:to>
      <xdr:col>4</xdr:col>
      <xdr:colOff>7620</xdr:colOff>
      <xdr:row>59</xdr:row>
      <xdr:rowOff>0</xdr:rowOff>
    </xdr:to>
    <xdr:sp macro="" textlink="">
      <xdr:nvSpPr>
        <xdr:cNvPr id="10409" name="Line 52">
          <a:extLst>
            <a:ext uri="{FF2B5EF4-FFF2-40B4-BE49-F238E27FC236}">
              <a16:creationId xmlns:a16="http://schemas.microsoft.com/office/drawing/2014/main" id="{00000000-0008-0000-1100-0000A9280000}"/>
            </a:ext>
          </a:extLst>
        </xdr:cNvPr>
        <xdr:cNvSpPr>
          <a:spLocks noChangeShapeType="1"/>
        </xdr:cNvSpPr>
      </xdr:nvSpPr>
      <xdr:spPr bwMode="auto">
        <a:xfrm>
          <a:off x="2194560" y="106756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60</xdr:row>
      <xdr:rowOff>0</xdr:rowOff>
    </xdr:from>
    <xdr:to>
      <xdr:col>4</xdr:col>
      <xdr:colOff>7620</xdr:colOff>
      <xdr:row>60</xdr:row>
      <xdr:rowOff>0</xdr:rowOff>
    </xdr:to>
    <xdr:sp macro="" textlink="">
      <xdr:nvSpPr>
        <xdr:cNvPr id="10410" name="Line 53">
          <a:extLst>
            <a:ext uri="{FF2B5EF4-FFF2-40B4-BE49-F238E27FC236}">
              <a16:creationId xmlns:a16="http://schemas.microsoft.com/office/drawing/2014/main" id="{00000000-0008-0000-1100-0000AA280000}"/>
            </a:ext>
          </a:extLst>
        </xdr:cNvPr>
        <xdr:cNvSpPr>
          <a:spLocks noChangeShapeType="1"/>
        </xdr:cNvSpPr>
      </xdr:nvSpPr>
      <xdr:spPr bwMode="auto">
        <a:xfrm>
          <a:off x="2194560" y="108432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60</xdr:row>
      <xdr:rowOff>0</xdr:rowOff>
    </xdr:from>
    <xdr:to>
      <xdr:col>6</xdr:col>
      <xdr:colOff>0</xdr:colOff>
      <xdr:row>60</xdr:row>
      <xdr:rowOff>0</xdr:rowOff>
    </xdr:to>
    <xdr:sp macro="" textlink="">
      <xdr:nvSpPr>
        <xdr:cNvPr id="10411" name="Line 54">
          <a:extLst>
            <a:ext uri="{FF2B5EF4-FFF2-40B4-BE49-F238E27FC236}">
              <a16:creationId xmlns:a16="http://schemas.microsoft.com/office/drawing/2014/main" id="{00000000-0008-0000-1100-0000AB280000}"/>
            </a:ext>
          </a:extLst>
        </xdr:cNvPr>
        <xdr:cNvSpPr>
          <a:spLocks noChangeShapeType="1"/>
        </xdr:cNvSpPr>
      </xdr:nvSpPr>
      <xdr:spPr bwMode="auto">
        <a:xfrm>
          <a:off x="4389120" y="108432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29</xdr:row>
      <xdr:rowOff>0</xdr:rowOff>
    </xdr:from>
    <xdr:to>
      <xdr:col>7</xdr:col>
      <xdr:colOff>45720</xdr:colOff>
      <xdr:row>29</xdr:row>
      <xdr:rowOff>0</xdr:rowOff>
    </xdr:to>
    <xdr:sp macro="" textlink="">
      <xdr:nvSpPr>
        <xdr:cNvPr id="10412" name="Line 55">
          <a:extLst>
            <a:ext uri="{FF2B5EF4-FFF2-40B4-BE49-F238E27FC236}">
              <a16:creationId xmlns:a16="http://schemas.microsoft.com/office/drawing/2014/main" id="{00000000-0008-0000-1100-0000AC280000}"/>
            </a:ext>
          </a:extLst>
        </xdr:cNvPr>
        <xdr:cNvSpPr>
          <a:spLocks noChangeShapeType="1"/>
        </xdr:cNvSpPr>
      </xdr:nvSpPr>
      <xdr:spPr bwMode="auto">
        <a:xfrm>
          <a:off x="4389120" y="552450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42</xdr:row>
      <xdr:rowOff>0</xdr:rowOff>
    </xdr:from>
    <xdr:to>
      <xdr:col>7</xdr:col>
      <xdr:colOff>45720</xdr:colOff>
      <xdr:row>42</xdr:row>
      <xdr:rowOff>0</xdr:rowOff>
    </xdr:to>
    <xdr:sp macro="" textlink="">
      <xdr:nvSpPr>
        <xdr:cNvPr id="10413" name="Line 56">
          <a:extLst>
            <a:ext uri="{FF2B5EF4-FFF2-40B4-BE49-F238E27FC236}">
              <a16:creationId xmlns:a16="http://schemas.microsoft.com/office/drawing/2014/main" id="{00000000-0008-0000-1100-0000AD280000}"/>
            </a:ext>
          </a:extLst>
        </xdr:cNvPr>
        <xdr:cNvSpPr>
          <a:spLocks noChangeShapeType="1"/>
        </xdr:cNvSpPr>
      </xdr:nvSpPr>
      <xdr:spPr bwMode="auto">
        <a:xfrm>
          <a:off x="4389120" y="770382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57</xdr:row>
      <xdr:rowOff>0</xdr:rowOff>
    </xdr:from>
    <xdr:to>
      <xdr:col>7</xdr:col>
      <xdr:colOff>45720</xdr:colOff>
      <xdr:row>57</xdr:row>
      <xdr:rowOff>0</xdr:rowOff>
    </xdr:to>
    <xdr:sp macro="" textlink="">
      <xdr:nvSpPr>
        <xdr:cNvPr id="10414" name="Line 57">
          <a:extLst>
            <a:ext uri="{FF2B5EF4-FFF2-40B4-BE49-F238E27FC236}">
              <a16:creationId xmlns:a16="http://schemas.microsoft.com/office/drawing/2014/main" id="{00000000-0008-0000-1100-0000AE280000}"/>
            </a:ext>
          </a:extLst>
        </xdr:cNvPr>
        <xdr:cNvSpPr>
          <a:spLocks noChangeShapeType="1"/>
        </xdr:cNvSpPr>
      </xdr:nvSpPr>
      <xdr:spPr bwMode="auto">
        <a:xfrm>
          <a:off x="4389120" y="1034034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69</xdr:row>
      <xdr:rowOff>0</xdr:rowOff>
    </xdr:from>
    <xdr:to>
      <xdr:col>6</xdr:col>
      <xdr:colOff>0</xdr:colOff>
      <xdr:row>69</xdr:row>
      <xdr:rowOff>0</xdr:rowOff>
    </xdr:to>
    <xdr:sp macro="" textlink="">
      <xdr:nvSpPr>
        <xdr:cNvPr id="10415" name="Line 58">
          <a:extLst>
            <a:ext uri="{FF2B5EF4-FFF2-40B4-BE49-F238E27FC236}">
              <a16:creationId xmlns:a16="http://schemas.microsoft.com/office/drawing/2014/main" id="{00000000-0008-0000-1100-0000AF280000}"/>
            </a:ext>
          </a:extLst>
        </xdr:cNvPr>
        <xdr:cNvSpPr>
          <a:spLocks noChangeShapeType="1"/>
        </xdr:cNvSpPr>
      </xdr:nvSpPr>
      <xdr:spPr bwMode="auto">
        <a:xfrm>
          <a:off x="4389120" y="123520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69</xdr:row>
      <xdr:rowOff>0</xdr:rowOff>
    </xdr:from>
    <xdr:to>
      <xdr:col>14</xdr:col>
      <xdr:colOff>640080</xdr:colOff>
      <xdr:row>69</xdr:row>
      <xdr:rowOff>0</xdr:rowOff>
    </xdr:to>
    <xdr:sp macro="" textlink="">
      <xdr:nvSpPr>
        <xdr:cNvPr id="10416" name="Line 59">
          <a:extLst>
            <a:ext uri="{FF2B5EF4-FFF2-40B4-BE49-F238E27FC236}">
              <a16:creationId xmlns:a16="http://schemas.microsoft.com/office/drawing/2014/main" id="{00000000-0008-0000-1100-0000B0280000}"/>
            </a:ext>
          </a:extLst>
        </xdr:cNvPr>
        <xdr:cNvSpPr>
          <a:spLocks noChangeShapeType="1"/>
        </xdr:cNvSpPr>
      </xdr:nvSpPr>
      <xdr:spPr bwMode="auto">
        <a:xfrm>
          <a:off x="10584180" y="123520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70</xdr:row>
      <xdr:rowOff>0</xdr:rowOff>
    </xdr:from>
    <xdr:to>
      <xdr:col>6</xdr:col>
      <xdr:colOff>0</xdr:colOff>
      <xdr:row>70</xdr:row>
      <xdr:rowOff>0</xdr:rowOff>
    </xdr:to>
    <xdr:sp macro="" textlink="">
      <xdr:nvSpPr>
        <xdr:cNvPr id="10417" name="Line 60">
          <a:extLst>
            <a:ext uri="{FF2B5EF4-FFF2-40B4-BE49-F238E27FC236}">
              <a16:creationId xmlns:a16="http://schemas.microsoft.com/office/drawing/2014/main" id="{00000000-0008-0000-1100-0000B1280000}"/>
            </a:ext>
          </a:extLst>
        </xdr:cNvPr>
        <xdr:cNvSpPr>
          <a:spLocks noChangeShapeType="1"/>
        </xdr:cNvSpPr>
      </xdr:nvSpPr>
      <xdr:spPr bwMode="auto">
        <a:xfrm>
          <a:off x="4389120" y="125196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0418" name="Line 61">
          <a:extLst>
            <a:ext uri="{FF2B5EF4-FFF2-40B4-BE49-F238E27FC236}">
              <a16:creationId xmlns:a16="http://schemas.microsoft.com/office/drawing/2014/main" id="{00000000-0008-0000-1100-0000B228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0419" name="Line 62">
          <a:extLst>
            <a:ext uri="{FF2B5EF4-FFF2-40B4-BE49-F238E27FC236}">
              <a16:creationId xmlns:a16="http://schemas.microsoft.com/office/drawing/2014/main" id="{00000000-0008-0000-1100-0000B328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62</xdr:row>
      <xdr:rowOff>0</xdr:rowOff>
    </xdr:from>
    <xdr:to>
      <xdr:col>10</xdr:col>
      <xdr:colOff>0</xdr:colOff>
      <xdr:row>62</xdr:row>
      <xdr:rowOff>0</xdr:rowOff>
    </xdr:to>
    <xdr:sp macro="" textlink="">
      <xdr:nvSpPr>
        <xdr:cNvPr id="10420" name="Line 63">
          <a:extLst>
            <a:ext uri="{FF2B5EF4-FFF2-40B4-BE49-F238E27FC236}">
              <a16:creationId xmlns:a16="http://schemas.microsoft.com/office/drawing/2014/main" id="{00000000-0008-0000-1100-0000B4280000}"/>
            </a:ext>
          </a:extLst>
        </xdr:cNvPr>
        <xdr:cNvSpPr>
          <a:spLocks noChangeShapeType="1"/>
        </xdr:cNvSpPr>
      </xdr:nvSpPr>
      <xdr:spPr bwMode="auto">
        <a:xfrm>
          <a:off x="6926580" y="111785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70</xdr:row>
      <xdr:rowOff>0</xdr:rowOff>
    </xdr:from>
    <xdr:to>
      <xdr:col>14</xdr:col>
      <xdr:colOff>640080</xdr:colOff>
      <xdr:row>70</xdr:row>
      <xdr:rowOff>0</xdr:rowOff>
    </xdr:to>
    <xdr:sp macro="" textlink="">
      <xdr:nvSpPr>
        <xdr:cNvPr id="10421" name="Line 64">
          <a:extLst>
            <a:ext uri="{FF2B5EF4-FFF2-40B4-BE49-F238E27FC236}">
              <a16:creationId xmlns:a16="http://schemas.microsoft.com/office/drawing/2014/main" id="{00000000-0008-0000-1100-0000B5280000}"/>
            </a:ext>
          </a:extLst>
        </xdr:cNvPr>
        <xdr:cNvSpPr>
          <a:spLocks noChangeShapeType="1"/>
        </xdr:cNvSpPr>
      </xdr:nvSpPr>
      <xdr:spPr bwMode="auto">
        <a:xfrm>
          <a:off x="10584180" y="1251966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62</xdr:row>
      <xdr:rowOff>0</xdr:rowOff>
    </xdr:from>
    <xdr:to>
      <xdr:col>6</xdr:col>
      <xdr:colOff>0</xdr:colOff>
      <xdr:row>62</xdr:row>
      <xdr:rowOff>0</xdr:rowOff>
    </xdr:to>
    <xdr:sp macro="" textlink="">
      <xdr:nvSpPr>
        <xdr:cNvPr id="10422" name="Line 65">
          <a:extLst>
            <a:ext uri="{FF2B5EF4-FFF2-40B4-BE49-F238E27FC236}">
              <a16:creationId xmlns:a16="http://schemas.microsoft.com/office/drawing/2014/main" id="{00000000-0008-0000-1100-0000B6280000}"/>
            </a:ext>
          </a:extLst>
        </xdr:cNvPr>
        <xdr:cNvSpPr>
          <a:spLocks noChangeShapeType="1"/>
        </xdr:cNvSpPr>
      </xdr:nvSpPr>
      <xdr:spPr bwMode="auto">
        <a:xfrm>
          <a:off x="4389120" y="111785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62</xdr:row>
      <xdr:rowOff>0</xdr:rowOff>
    </xdr:from>
    <xdr:to>
      <xdr:col>4</xdr:col>
      <xdr:colOff>7620</xdr:colOff>
      <xdr:row>62</xdr:row>
      <xdr:rowOff>0</xdr:rowOff>
    </xdr:to>
    <xdr:sp macro="" textlink="">
      <xdr:nvSpPr>
        <xdr:cNvPr id="10423" name="Line 66">
          <a:extLst>
            <a:ext uri="{FF2B5EF4-FFF2-40B4-BE49-F238E27FC236}">
              <a16:creationId xmlns:a16="http://schemas.microsoft.com/office/drawing/2014/main" id="{00000000-0008-0000-1100-0000B7280000}"/>
            </a:ext>
          </a:extLst>
        </xdr:cNvPr>
        <xdr:cNvSpPr>
          <a:spLocks noChangeShapeType="1"/>
        </xdr:cNvSpPr>
      </xdr:nvSpPr>
      <xdr:spPr bwMode="auto">
        <a:xfrm>
          <a:off x="2194560" y="11178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0424" name="Line 67">
          <a:extLst>
            <a:ext uri="{FF2B5EF4-FFF2-40B4-BE49-F238E27FC236}">
              <a16:creationId xmlns:a16="http://schemas.microsoft.com/office/drawing/2014/main" id="{00000000-0008-0000-1100-0000B828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0425" name="Line 68">
          <a:extLst>
            <a:ext uri="{FF2B5EF4-FFF2-40B4-BE49-F238E27FC236}">
              <a16:creationId xmlns:a16="http://schemas.microsoft.com/office/drawing/2014/main" id="{00000000-0008-0000-1100-0000B928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0426" name="Line 69">
          <a:extLst>
            <a:ext uri="{FF2B5EF4-FFF2-40B4-BE49-F238E27FC236}">
              <a16:creationId xmlns:a16="http://schemas.microsoft.com/office/drawing/2014/main" id="{00000000-0008-0000-1100-0000BA28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0427" name="Line 70">
          <a:extLst>
            <a:ext uri="{FF2B5EF4-FFF2-40B4-BE49-F238E27FC236}">
              <a16:creationId xmlns:a16="http://schemas.microsoft.com/office/drawing/2014/main" id="{00000000-0008-0000-1100-0000BB28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68</xdr:row>
      <xdr:rowOff>0</xdr:rowOff>
    </xdr:from>
    <xdr:to>
      <xdr:col>7</xdr:col>
      <xdr:colOff>45720</xdr:colOff>
      <xdr:row>68</xdr:row>
      <xdr:rowOff>0</xdr:rowOff>
    </xdr:to>
    <xdr:sp macro="" textlink="">
      <xdr:nvSpPr>
        <xdr:cNvPr id="10428" name="Line 71">
          <a:extLst>
            <a:ext uri="{FF2B5EF4-FFF2-40B4-BE49-F238E27FC236}">
              <a16:creationId xmlns:a16="http://schemas.microsoft.com/office/drawing/2014/main" id="{00000000-0008-0000-1100-0000BC280000}"/>
            </a:ext>
          </a:extLst>
        </xdr:cNvPr>
        <xdr:cNvSpPr>
          <a:spLocks noChangeShapeType="1"/>
        </xdr:cNvSpPr>
      </xdr:nvSpPr>
      <xdr:spPr bwMode="auto">
        <a:xfrm>
          <a:off x="4389120" y="1218438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70</xdr:row>
      <xdr:rowOff>0</xdr:rowOff>
    </xdr:from>
    <xdr:to>
      <xdr:col>4</xdr:col>
      <xdr:colOff>7620</xdr:colOff>
      <xdr:row>70</xdr:row>
      <xdr:rowOff>0</xdr:rowOff>
    </xdr:to>
    <xdr:sp macro="" textlink="">
      <xdr:nvSpPr>
        <xdr:cNvPr id="10429" name="Line 72">
          <a:extLst>
            <a:ext uri="{FF2B5EF4-FFF2-40B4-BE49-F238E27FC236}">
              <a16:creationId xmlns:a16="http://schemas.microsoft.com/office/drawing/2014/main" id="{00000000-0008-0000-1100-0000BD280000}"/>
            </a:ext>
          </a:extLst>
        </xdr:cNvPr>
        <xdr:cNvSpPr>
          <a:spLocks noChangeShapeType="1"/>
        </xdr:cNvSpPr>
      </xdr:nvSpPr>
      <xdr:spPr bwMode="auto">
        <a:xfrm>
          <a:off x="2194560" y="12519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79</xdr:row>
      <xdr:rowOff>0</xdr:rowOff>
    </xdr:from>
    <xdr:to>
      <xdr:col>6</xdr:col>
      <xdr:colOff>0</xdr:colOff>
      <xdr:row>79</xdr:row>
      <xdr:rowOff>0</xdr:rowOff>
    </xdr:to>
    <xdr:sp macro="" textlink="">
      <xdr:nvSpPr>
        <xdr:cNvPr id="10430" name="Line 73">
          <a:extLst>
            <a:ext uri="{FF2B5EF4-FFF2-40B4-BE49-F238E27FC236}">
              <a16:creationId xmlns:a16="http://schemas.microsoft.com/office/drawing/2014/main" id="{00000000-0008-0000-1100-0000BE280000}"/>
            </a:ext>
          </a:extLst>
        </xdr:cNvPr>
        <xdr:cNvSpPr>
          <a:spLocks noChangeShapeType="1"/>
        </xdr:cNvSpPr>
      </xdr:nvSpPr>
      <xdr:spPr bwMode="auto">
        <a:xfrm>
          <a:off x="4389120" y="140284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79</xdr:row>
      <xdr:rowOff>0</xdr:rowOff>
    </xdr:from>
    <xdr:to>
      <xdr:col>14</xdr:col>
      <xdr:colOff>640080</xdr:colOff>
      <xdr:row>79</xdr:row>
      <xdr:rowOff>0</xdr:rowOff>
    </xdr:to>
    <xdr:sp macro="" textlink="">
      <xdr:nvSpPr>
        <xdr:cNvPr id="10431" name="Line 74">
          <a:extLst>
            <a:ext uri="{FF2B5EF4-FFF2-40B4-BE49-F238E27FC236}">
              <a16:creationId xmlns:a16="http://schemas.microsoft.com/office/drawing/2014/main" id="{00000000-0008-0000-1100-0000BF280000}"/>
            </a:ext>
          </a:extLst>
        </xdr:cNvPr>
        <xdr:cNvSpPr>
          <a:spLocks noChangeShapeType="1"/>
        </xdr:cNvSpPr>
      </xdr:nvSpPr>
      <xdr:spPr bwMode="auto">
        <a:xfrm>
          <a:off x="10584180" y="140284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0432" name="Line 75">
          <a:extLst>
            <a:ext uri="{FF2B5EF4-FFF2-40B4-BE49-F238E27FC236}">
              <a16:creationId xmlns:a16="http://schemas.microsoft.com/office/drawing/2014/main" id="{00000000-0008-0000-1100-0000C028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0433" name="Line 76">
          <a:extLst>
            <a:ext uri="{FF2B5EF4-FFF2-40B4-BE49-F238E27FC236}">
              <a16:creationId xmlns:a16="http://schemas.microsoft.com/office/drawing/2014/main" id="{00000000-0008-0000-1100-0000C128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72</xdr:row>
      <xdr:rowOff>0</xdr:rowOff>
    </xdr:from>
    <xdr:to>
      <xdr:col>10</xdr:col>
      <xdr:colOff>0</xdr:colOff>
      <xdr:row>72</xdr:row>
      <xdr:rowOff>0</xdr:rowOff>
    </xdr:to>
    <xdr:sp macro="" textlink="">
      <xdr:nvSpPr>
        <xdr:cNvPr id="10434" name="Line 77">
          <a:extLst>
            <a:ext uri="{FF2B5EF4-FFF2-40B4-BE49-F238E27FC236}">
              <a16:creationId xmlns:a16="http://schemas.microsoft.com/office/drawing/2014/main" id="{00000000-0008-0000-1100-0000C2280000}"/>
            </a:ext>
          </a:extLst>
        </xdr:cNvPr>
        <xdr:cNvSpPr>
          <a:spLocks noChangeShapeType="1"/>
        </xdr:cNvSpPr>
      </xdr:nvSpPr>
      <xdr:spPr bwMode="auto">
        <a:xfrm>
          <a:off x="6926580" y="128549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72</xdr:row>
      <xdr:rowOff>0</xdr:rowOff>
    </xdr:from>
    <xdr:to>
      <xdr:col>6</xdr:col>
      <xdr:colOff>0</xdr:colOff>
      <xdr:row>72</xdr:row>
      <xdr:rowOff>0</xdr:rowOff>
    </xdr:to>
    <xdr:sp macro="" textlink="">
      <xdr:nvSpPr>
        <xdr:cNvPr id="10435" name="Line 78">
          <a:extLst>
            <a:ext uri="{FF2B5EF4-FFF2-40B4-BE49-F238E27FC236}">
              <a16:creationId xmlns:a16="http://schemas.microsoft.com/office/drawing/2014/main" id="{00000000-0008-0000-1100-0000C3280000}"/>
            </a:ext>
          </a:extLst>
        </xdr:cNvPr>
        <xdr:cNvSpPr>
          <a:spLocks noChangeShapeType="1"/>
        </xdr:cNvSpPr>
      </xdr:nvSpPr>
      <xdr:spPr bwMode="auto">
        <a:xfrm>
          <a:off x="4389120" y="128549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72</xdr:row>
      <xdr:rowOff>0</xdr:rowOff>
    </xdr:from>
    <xdr:to>
      <xdr:col>4</xdr:col>
      <xdr:colOff>7620</xdr:colOff>
      <xdr:row>72</xdr:row>
      <xdr:rowOff>0</xdr:rowOff>
    </xdr:to>
    <xdr:sp macro="" textlink="">
      <xdr:nvSpPr>
        <xdr:cNvPr id="10436" name="Line 79">
          <a:extLst>
            <a:ext uri="{FF2B5EF4-FFF2-40B4-BE49-F238E27FC236}">
              <a16:creationId xmlns:a16="http://schemas.microsoft.com/office/drawing/2014/main" id="{00000000-0008-0000-1100-0000C4280000}"/>
            </a:ext>
          </a:extLst>
        </xdr:cNvPr>
        <xdr:cNvSpPr>
          <a:spLocks noChangeShapeType="1"/>
        </xdr:cNvSpPr>
      </xdr:nvSpPr>
      <xdr:spPr bwMode="auto">
        <a:xfrm>
          <a:off x="2194560" y="128549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0437" name="Line 80">
          <a:extLst>
            <a:ext uri="{FF2B5EF4-FFF2-40B4-BE49-F238E27FC236}">
              <a16:creationId xmlns:a16="http://schemas.microsoft.com/office/drawing/2014/main" id="{00000000-0008-0000-1100-0000C528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0438" name="Line 81">
          <a:extLst>
            <a:ext uri="{FF2B5EF4-FFF2-40B4-BE49-F238E27FC236}">
              <a16:creationId xmlns:a16="http://schemas.microsoft.com/office/drawing/2014/main" id="{00000000-0008-0000-1100-0000C628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0439" name="Line 82">
          <a:extLst>
            <a:ext uri="{FF2B5EF4-FFF2-40B4-BE49-F238E27FC236}">
              <a16:creationId xmlns:a16="http://schemas.microsoft.com/office/drawing/2014/main" id="{00000000-0008-0000-1100-0000C728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0440" name="Line 83">
          <a:extLst>
            <a:ext uri="{FF2B5EF4-FFF2-40B4-BE49-F238E27FC236}">
              <a16:creationId xmlns:a16="http://schemas.microsoft.com/office/drawing/2014/main" id="{00000000-0008-0000-1100-0000C828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78</xdr:row>
      <xdr:rowOff>0</xdr:rowOff>
    </xdr:from>
    <xdr:to>
      <xdr:col>7</xdr:col>
      <xdr:colOff>45720</xdr:colOff>
      <xdr:row>78</xdr:row>
      <xdr:rowOff>0</xdr:rowOff>
    </xdr:to>
    <xdr:sp macro="" textlink="">
      <xdr:nvSpPr>
        <xdr:cNvPr id="10441" name="Line 84">
          <a:extLst>
            <a:ext uri="{FF2B5EF4-FFF2-40B4-BE49-F238E27FC236}">
              <a16:creationId xmlns:a16="http://schemas.microsoft.com/office/drawing/2014/main" id="{00000000-0008-0000-1100-0000C9280000}"/>
            </a:ext>
          </a:extLst>
        </xdr:cNvPr>
        <xdr:cNvSpPr>
          <a:spLocks noChangeShapeType="1"/>
        </xdr:cNvSpPr>
      </xdr:nvSpPr>
      <xdr:spPr bwMode="auto">
        <a:xfrm>
          <a:off x="4389120" y="1386078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10442" name="Line 85">
          <a:extLst>
            <a:ext uri="{FF2B5EF4-FFF2-40B4-BE49-F238E27FC236}">
              <a16:creationId xmlns:a16="http://schemas.microsoft.com/office/drawing/2014/main" id="{00000000-0008-0000-1100-0000CA280000}"/>
            </a:ext>
          </a:extLst>
        </xdr:cNvPr>
        <xdr:cNvSpPr>
          <a:spLocks noChangeShapeType="1"/>
        </xdr:cNvSpPr>
      </xdr:nvSpPr>
      <xdr:spPr bwMode="auto">
        <a:xfrm>
          <a:off x="69265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10443" name="Line 86">
          <a:extLst>
            <a:ext uri="{FF2B5EF4-FFF2-40B4-BE49-F238E27FC236}">
              <a16:creationId xmlns:a16="http://schemas.microsoft.com/office/drawing/2014/main" id="{00000000-0008-0000-1100-0000CB280000}"/>
            </a:ext>
          </a:extLst>
        </xdr:cNvPr>
        <xdr:cNvSpPr>
          <a:spLocks noChangeShapeType="1"/>
        </xdr:cNvSpPr>
      </xdr:nvSpPr>
      <xdr:spPr bwMode="auto">
        <a:xfrm>
          <a:off x="43891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10444" name="Line 87">
          <a:extLst>
            <a:ext uri="{FF2B5EF4-FFF2-40B4-BE49-F238E27FC236}">
              <a16:creationId xmlns:a16="http://schemas.microsoft.com/office/drawing/2014/main" id="{00000000-0008-0000-1100-0000CC280000}"/>
            </a:ext>
          </a:extLst>
        </xdr:cNvPr>
        <xdr:cNvSpPr>
          <a:spLocks noChangeShapeType="1"/>
        </xdr:cNvSpPr>
      </xdr:nvSpPr>
      <xdr:spPr bwMode="auto">
        <a:xfrm>
          <a:off x="21945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10445" name="Line 88">
          <a:extLst>
            <a:ext uri="{FF2B5EF4-FFF2-40B4-BE49-F238E27FC236}">
              <a16:creationId xmlns:a16="http://schemas.microsoft.com/office/drawing/2014/main" id="{00000000-0008-0000-1100-0000CD280000}"/>
            </a:ext>
          </a:extLst>
        </xdr:cNvPr>
        <xdr:cNvSpPr>
          <a:spLocks noChangeShapeType="1"/>
        </xdr:cNvSpPr>
      </xdr:nvSpPr>
      <xdr:spPr bwMode="auto">
        <a:xfrm>
          <a:off x="4389120" y="1536954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44</xdr:row>
      <xdr:rowOff>0</xdr:rowOff>
    </xdr:from>
    <xdr:to>
      <xdr:col>6</xdr:col>
      <xdr:colOff>0</xdr:colOff>
      <xdr:row>44</xdr:row>
      <xdr:rowOff>0</xdr:rowOff>
    </xdr:to>
    <xdr:sp macro="" textlink="">
      <xdr:nvSpPr>
        <xdr:cNvPr id="10446" name="Line 89">
          <a:extLst>
            <a:ext uri="{FF2B5EF4-FFF2-40B4-BE49-F238E27FC236}">
              <a16:creationId xmlns:a16="http://schemas.microsoft.com/office/drawing/2014/main" id="{00000000-0008-0000-1100-0000CE280000}"/>
            </a:ext>
          </a:extLst>
        </xdr:cNvPr>
        <xdr:cNvSpPr>
          <a:spLocks noChangeShapeType="1"/>
        </xdr:cNvSpPr>
      </xdr:nvSpPr>
      <xdr:spPr bwMode="auto">
        <a:xfrm>
          <a:off x="4389120" y="80391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43</xdr:row>
      <xdr:rowOff>0</xdr:rowOff>
    </xdr:from>
    <xdr:to>
      <xdr:col>6</xdr:col>
      <xdr:colOff>0</xdr:colOff>
      <xdr:row>43</xdr:row>
      <xdr:rowOff>0</xdr:rowOff>
    </xdr:to>
    <xdr:sp macro="" textlink="">
      <xdr:nvSpPr>
        <xdr:cNvPr id="10447" name="Line 90">
          <a:extLst>
            <a:ext uri="{FF2B5EF4-FFF2-40B4-BE49-F238E27FC236}">
              <a16:creationId xmlns:a16="http://schemas.microsoft.com/office/drawing/2014/main" id="{00000000-0008-0000-1100-0000CF280000}"/>
            </a:ext>
          </a:extLst>
        </xdr:cNvPr>
        <xdr:cNvSpPr>
          <a:spLocks noChangeShapeType="1"/>
        </xdr:cNvSpPr>
      </xdr:nvSpPr>
      <xdr:spPr bwMode="auto">
        <a:xfrm>
          <a:off x="4389120" y="78714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59</xdr:row>
      <xdr:rowOff>0</xdr:rowOff>
    </xdr:from>
    <xdr:to>
      <xdr:col>6</xdr:col>
      <xdr:colOff>0</xdr:colOff>
      <xdr:row>59</xdr:row>
      <xdr:rowOff>0</xdr:rowOff>
    </xdr:to>
    <xdr:sp macro="" textlink="">
      <xdr:nvSpPr>
        <xdr:cNvPr id="10448" name="Line 91">
          <a:extLst>
            <a:ext uri="{FF2B5EF4-FFF2-40B4-BE49-F238E27FC236}">
              <a16:creationId xmlns:a16="http://schemas.microsoft.com/office/drawing/2014/main" id="{00000000-0008-0000-1100-0000D0280000}"/>
            </a:ext>
          </a:extLst>
        </xdr:cNvPr>
        <xdr:cNvSpPr>
          <a:spLocks noChangeShapeType="1"/>
        </xdr:cNvSpPr>
      </xdr:nvSpPr>
      <xdr:spPr bwMode="auto">
        <a:xfrm>
          <a:off x="4389120" y="106756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58</xdr:row>
      <xdr:rowOff>0</xdr:rowOff>
    </xdr:from>
    <xdr:to>
      <xdr:col>6</xdr:col>
      <xdr:colOff>0</xdr:colOff>
      <xdr:row>58</xdr:row>
      <xdr:rowOff>0</xdr:rowOff>
    </xdr:to>
    <xdr:sp macro="" textlink="">
      <xdr:nvSpPr>
        <xdr:cNvPr id="10449" name="Line 92">
          <a:extLst>
            <a:ext uri="{FF2B5EF4-FFF2-40B4-BE49-F238E27FC236}">
              <a16:creationId xmlns:a16="http://schemas.microsoft.com/office/drawing/2014/main" id="{00000000-0008-0000-1100-0000D1280000}"/>
            </a:ext>
          </a:extLst>
        </xdr:cNvPr>
        <xdr:cNvSpPr>
          <a:spLocks noChangeShapeType="1"/>
        </xdr:cNvSpPr>
      </xdr:nvSpPr>
      <xdr:spPr bwMode="auto">
        <a:xfrm>
          <a:off x="4389120" y="105079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31</xdr:row>
      <xdr:rowOff>0</xdr:rowOff>
    </xdr:from>
    <xdr:to>
      <xdr:col>10</xdr:col>
      <xdr:colOff>0</xdr:colOff>
      <xdr:row>31</xdr:row>
      <xdr:rowOff>0</xdr:rowOff>
    </xdr:to>
    <xdr:sp macro="" textlink="">
      <xdr:nvSpPr>
        <xdr:cNvPr id="10450" name="Line 93">
          <a:extLst>
            <a:ext uri="{FF2B5EF4-FFF2-40B4-BE49-F238E27FC236}">
              <a16:creationId xmlns:a16="http://schemas.microsoft.com/office/drawing/2014/main" id="{00000000-0008-0000-1100-0000D2280000}"/>
            </a:ext>
          </a:extLst>
        </xdr:cNvPr>
        <xdr:cNvSpPr>
          <a:spLocks noChangeShapeType="1"/>
        </xdr:cNvSpPr>
      </xdr:nvSpPr>
      <xdr:spPr bwMode="auto">
        <a:xfrm>
          <a:off x="6926580" y="58597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30</xdr:row>
      <xdr:rowOff>0</xdr:rowOff>
    </xdr:from>
    <xdr:to>
      <xdr:col>10</xdr:col>
      <xdr:colOff>0</xdr:colOff>
      <xdr:row>30</xdr:row>
      <xdr:rowOff>0</xdr:rowOff>
    </xdr:to>
    <xdr:sp macro="" textlink="">
      <xdr:nvSpPr>
        <xdr:cNvPr id="10451" name="Line 94">
          <a:extLst>
            <a:ext uri="{FF2B5EF4-FFF2-40B4-BE49-F238E27FC236}">
              <a16:creationId xmlns:a16="http://schemas.microsoft.com/office/drawing/2014/main" id="{00000000-0008-0000-1100-0000D3280000}"/>
            </a:ext>
          </a:extLst>
        </xdr:cNvPr>
        <xdr:cNvSpPr>
          <a:spLocks noChangeShapeType="1"/>
        </xdr:cNvSpPr>
      </xdr:nvSpPr>
      <xdr:spPr bwMode="auto">
        <a:xfrm>
          <a:off x="6926580" y="56921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44</xdr:row>
      <xdr:rowOff>0</xdr:rowOff>
    </xdr:from>
    <xdr:to>
      <xdr:col>10</xdr:col>
      <xdr:colOff>0</xdr:colOff>
      <xdr:row>44</xdr:row>
      <xdr:rowOff>0</xdr:rowOff>
    </xdr:to>
    <xdr:sp macro="" textlink="">
      <xdr:nvSpPr>
        <xdr:cNvPr id="10452" name="Line 95">
          <a:extLst>
            <a:ext uri="{FF2B5EF4-FFF2-40B4-BE49-F238E27FC236}">
              <a16:creationId xmlns:a16="http://schemas.microsoft.com/office/drawing/2014/main" id="{00000000-0008-0000-1100-0000D4280000}"/>
            </a:ext>
          </a:extLst>
        </xdr:cNvPr>
        <xdr:cNvSpPr>
          <a:spLocks noChangeShapeType="1"/>
        </xdr:cNvSpPr>
      </xdr:nvSpPr>
      <xdr:spPr bwMode="auto">
        <a:xfrm>
          <a:off x="6926580" y="80391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43</xdr:row>
      <xdr:rowOff>0</xdr:rowOff>
    </xdr:from>
    <xdr:to>
      <xdr:col>10</xdr:col>
      <xdr:colOff>0</xdr:colOff>
      <xdr:row>43</xdr:row>
      <xdr:rowOff>0</xdr:rowOff>
    </xdr:to>
    <xdr:sp macro="" textlink="">
      <xdr:nvSpPr>
        <xdr:cNvPr id="10453" name="Line 96">
          <a:extLst>
            <a:ext uri="{FF2B5EF4-FFF2-40B4-BE49-F238E27FC236}">
              <a16:creationId xmlns:a16="http://schemas.microsoft.com/office/drawing/2014/main" id="{00000000-0008-0000-1100-0000D5280000}"/>
            </a:ext>
          </a:extLst>
        </xdr:cNvPr>
        <xdr:cNvSpPr>
          <a:spLocks noChangeShapeType="1"/>
        </xdr:cNvSpPr>
      </xdr:nvSpPr>
      <xdr:spPr bwMode="auto">
        <a:xfrm>
          <a:off x="6926580" y="78714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59</xdr:row>
      <xdr:rowOff>0</xdr:rowOff>
    </xdr:from>
    <xdr:to>
      <xdr:col>10</xdr:col>
      <xdr:colOff>0</xdr:colOff>
      <xdr:row>59</xdr:row>
      <xdr:rowOff>0</xdr:rowOff>
    </xdr:to>
    <xdr:sp macro="" textlink="">
      <xdr:nvSpPr>
        <xdr:cNvPr id="10454" name="Line 97">
          <a:extLst>
            <a:ext uri="{FF2B5EF4-FFF2-40B4-BE49-F238E27FC236}">
              <a16:creationId xmlns:a16="http://schemas.microsoft.com/office/drawing/2014/main" id="{00000000-0008-0000-1100-0000D6280000}"/>
            </a:ext>
          </a:extLst>
        </xdr:cNvPr>
        <xdr:cNvSpPr>
          <a:spLocks noChangeShapeType="1"/>
        </xdr:cNvSpPr>
      </xdr:nvSpPr>
      <xdr:spPr bwMode="auto">
        <a:xfrm>
          <a:off x="6926580" y="106756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58</xdr:row>
      <xdr:rowOff>0</xdr:rowOff>
    </xdr:from>
    <xdr:to>
      <xdr:col>10</xdr:col>
      <xdr:colOff>0</xdr:colOff>
      <xdr:row>58</xdr:row>
      <xdr:rowOff>0</xdr:rowOff>
    </xdr:to>
    <xdr:sp macro="" textlink="">
      <xdr:nvSpPr>
        <xdr:cNvPr id="10455" name="Line 98">
          <a:extLst>
            <a:ext uri="{FF2B5EF4-FFF2-40B4-BE49-F238E27FC236}">
              <a16:creationId xmlns:a16="http://schemas.microsoft.com/office/drawing/2014/main" id="{00000000-0008-0000-1100-0000D7280000}"/>
            </a:ext>
          </a:extLst>
        </xdr:cNvPr>
        <xdr:cNvSpPr>
          <a:spLocks noChangeShapeType="1"/>
        </xdr:cNvSpPr>
      </xdr:nvSpPr>
      <xdr:spPr bwMode="auto">
        <a:xfrm>
          <a:off x="6926580" y="105079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70</xdr:row>
      <xdr:rowOff>0</xdr:rowOff>
    </xdr:from>
    <xdr:to>
      <xdr:col>10</xdr:col>
      <xdr:colOff>0</xdr:colOff>
      <xdr:row>70</xdr:row>
      <xdr:rowOff>0</xdr:rowOff>
    </xdr:to>
    <xdr:sp macro="" textlink="">
      <xdr:nvSpPr>
        <xdr:cNvPr id="10456" name="Line 99">
          <a:extLst>
            <a:ext uri="{FF2B5EF4-FFF2-40B4-BE49-F238E27FC236}">
              <a16:creationId xmlns:a16="http://schemas.microsoft.com/office/drawing/2014/main" id="{00000000-0008-0000-1100-0000D8280000}"/>
            </a:ext>
          </a:extLst>
        </xdr:cNvPr>
        <xdr:cNvSpPr>
          <a:spLocks noChangeShapeType="1"/>
        </xdr:cNvSpPr>
      </xdr:nvSpPr>
      <xdr:spPr bwMode="auto">
        <a:xfrm>
          <a:off x="6926580" y="125196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69</xdr:row>
      <xdr:rowOff>0</xdr:rowOff>
    </xdr:from>
    <xdr:to>
      <xdr:col>10</xdr:col>
      <xdr:colOff>0</xdr:colOff>
      <xdr:row>69</xdr:row>
      <xdr:rowOff>0</xdr:rowOff>
    </xdr:to>
    <xdr:sp macro="" textlink="">
      <xdr:nvSpPr>
        <xdr:cNvPr id="10457" name="Line 100">
          <a:extLst>
            <a:ext uri="{FF2B5EF4-FFF2-40B4-BE49-F238E27FC236}">
              <a16:creationId xmlns:a16="http://schemas.microsoft.com/office/drawing/2014/main" id="{00000000-0008-0000-1100-0000D9280000}"/>
            </a:ext>
          </a:extLst>
        </xdr:cNvPr>
        <xdr:cNvSpPr>
          <a:spLocks noChangeShapeType="1"/>
        </xdr:cNvSpPr>
      </xdr:nvSpPr>
      <xdr:spPr bwMode="auto">
        <a:xfrm>
          <a:off x="6926580" y="123520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79</xdr:row>
      <xdr:rowOff>0</xdr:rowOff>
    </xdr:from>
    <xdr:to>
      <xdr:col>10</xdr:col>
      <xdr:colOff>0</xdr:colOff>
      <xdr:row>79</xdr:row>
      <xdr:rowOff>0</xdr:rowOff>
    </xdr:to>
    <xdr:sp macro="" textlink="">
      <xdr:nvSpPr>
        <xdr:cNvPr id="10458" name="Line 101">
          <a:extLst>
            <a:ext uri="{FF2B5EF4-FFF2-40B4-BE49-F238E27FC236}">
              <a16:creationId xmlns:a16="http://schemas.microsoft.com/office/drawing/2014/main" id="{00000000-0008-0000-1100-0000DA280000}"/>
            </a:ext>
          </a:extLst>
        </xdr:cNvPr>
        <xdr:cNvSpPr>
          <a:spLocks noChangeShapeType="1"/>
        </xdr:cNvSpPr>
      </xdr:nvSpPr>
      <xdr:spPr bwMode="auto">
        <a:xfrm>
          <a:off x="6926580" y="14028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0459" name="Line 102">
          <a:extLst>
            <a:ext uri="{FF2B5EF4-FFF2-40B4-BE49-F238E27FC236}">
              <a16:creationId xmlns:a16="http://schemas.microsoft.com/office/drawing/2014/main" id="{00000000-0008-0000-1100-0000DB280000}"/>
            </a:ext>
          </a:extLst>
        </xdr:cNvPr>
        <xdr:cNvSpPr>
          <a:spLocks noChangeShapeType="1"/>
        </xdr:cNvSpPr>
      </xdr:nvSpPr>
      <xdr:spPr bwMode="auto">
        <a:xfrm>
          <a:off x="21945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10460" name="Line 108">
          <a:extLst>
            <a:ext uri="{FF2B5EF4-FFF2-40B4-BE49-F238E27FC236}">
              <a16:creationId xmlns:a16="http://schemas.microsoft.com/office/drawing/2014/main" id="{00000000-0008-0000-1100-0000DC280000}"/>
            </a:ext>
          </a:extLst>
        </xdr:cNvPr>
        <xdr:cNvSpPr>
          <a:spLocks noChangeShapeType="1"/>
        </xdr:cNvSpPr>
      </xdr:nvSpPr>
      <xdr:spPr bwMode="auto">
        <a:xfrm>
          <a:off x="69265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10461" name="Line 109">
          <a:extLst>
            <a:ext uri="{FF2B5EF4-FFF2-40B4-BE49-F238E27FC236}">
              <a16:creationId xmlns:a16="http://schemas.microsoft.com/office/drawing/2014/main" id="{00000000-0008-0000-1100-0000DD280000}"/>
            </a:ext>
          </a:extLst>
        </xdr:cNvPr>
        <xdr:cNvSpPr>
          <a:spLocks noChangeShapeType="1"/>
        </xdr:cNvSpPr>
      </xdr:nvSpPr>
      <xdr:spPr bwMode="auto">
        <a:xfrm>
          <a:off x="43891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10462" name="Line 110">
          <a:extLst>
            <a:ext uri="{FF2B5EF4-FFF2-40B4-BE49-F238E27FC236}">
              <a16:creationId xmlns:a16="http://schemas.microsoft.com/office/drawing/2014/main" id="{00000000-0008-0000-1100-0000DE280000}"/>
            </a:ext>
          </a:extLst>
        </xdr:cNvPr>
        <xdr:cNvSpPr>
          <a:spLocks noChangeShapeType="1"/>
        </xdr:cNvSpPr>
      </xdr:nvSpPr>
      <xdr:spPr bwMode="auto">
        <a:xfrm>
          <a:off x="21945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10463" name="Line 111">
          <a:extLst>
            <a:ext uri="{FF2B5EF4-FFF2-40B4-BE49-F238E27FC236}">
              <a16:creationId xmlns:a16="http://schemas.microsoft.com/office/drawing/2014/main" id="{00000000-0008-0000-1100-0000DF280000}"/>
            </a:ext>
          </a:extLst>
        </xdr:cNvPr>
        <xdr:cNvSpPr>
          <a:spLocks noChangeShapeType="1"/>
        </xdr:cNvSpPr>
      </xdr:nvSpPr>
      <xdr:spPr bwMode="auto">
        <a:xfrm>
          <a:off x="4389120" y="1536954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0464" name="Line 112">
          <a:extLst>
            <a:ext uri="{FF2B5EF4-FFF2-40B4-BE49-F238E27FC236}">
              <a16:creationId xmlns:a16="http://schemas.microsoft.com/office/drawing/2014/main" id="{00000000-0008-0000-1100-0000E0280000}"/>
            </a:ext>
          </a:extLst>
        </xdr:cNvPr>
        <xdr:cNvSpPr>
          <a:spLocks noChangeShapeType="1"/>
        </xdr:cNvSpPr>
      </xdr:nvSpPr>
      <xdr:spPr bwMode="auto">
        <a:xfrm>
          <a:off x="21945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10465" name="Line 75">
          <a:extLst>
            <a:ext uri="{FF2B5EF4-FFF2-40B4-BE49-F238E27FC236}">
              <a16:creationId xmlns:a16="http://schemas.microsoft.com/office/drawing/2014/main" id="{00000000-0008-0000-1100-0000E1280000}"/>
            </a:ext>
          </a:extLst>
        </xdr:cNvPr>
        <xdr:cNvSpPr>
          <a:spLocks noChangeShapeType="1"/>
        </xdr:cNvSpPr>
      </xdr:nvSpPr>
      <xdr:spPr bwMode="auto">
        <a:xfrm>
          <a:off x="2194560" y="195529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10466" name="Line 87">
          <a:extLst>
            <a:ext uri="{FF2B5EF4-FFF2-40B4-BE49-F238E27FC236}">
              <a16:creationId xmlns:a16="http://schemas.microsoft.com/office/drawing/2014/main" id="{00000000-0008-0000-1100-0000E2280000}"/>
            </a:ext>
          </a:extLst>
        </xdr:cNvPr>
        <xdr:cNvSpPr>
          <a:spLocks noChangeShapeType="1"/>
        </xdr:cNvSpPr>
      </xdr:nvSpPr>
      <xdr:spPr bwMode="auto">
        <a:xfrm>
          <a:off x="2194560" y="207264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10467" name="Line 75">
          <a:extLst>
            <a:ext uri="{FF2B5EF4-FFF2-40B4-BE49-F238E27FC236}">
              <a16:creationId xmlns:a16="http://schemas.microsoft.com/office/drawing/2014/main" id="{00000000-0008-0000-1100-0000E3280000}"/>
            </a:ext>
          </a:extLst>
        </xdr:cNvPr>
        <xdr:cNvSpPr>
          <a:spLocks noChangeShapeType="1"/>
        </xdr:cNvSpPr>
      </xdr:nvSpPr>
      <xdr:spPr bwMode="auto">
        <a:xfrm>
          <a:off x="2194560" y="197205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10468" name="Line 79">
          <a:extLst>
            <a:ext uri="{FF2B5EF4-FFF2-40B4-BE49-F238E27FC236}">
              <a16:creationId xmlns:a16="http://schemas.microsoft.com/office/drawing/2014/main" id="{00000000-0008-0000-1100-0000E4280000}"/>
            </a:ext>
          </a:extLst>
        </xdr:cNvPr>
        <xdr:cNvSpPr>
          <a:spLocks noChangeShapeType="1"/>
        </xdr:cNvSpPr>
      </xdr:nvSpPr>
      <xdr:spPr bwMode="auto">
        <a:xfrm>
          <a:off x="2194560" y="185470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10469" name="Line 87">
          <a:extLst>
            <a:ext uri="{FF2B5EF4-FFF2-40B4-BE49-F238E27FC236}">
              <a16:creationId xmlns:a16="http://schemas.microsoft.com/office/drawing/2014/main" id="{00000000-0008-0000-1100-0000E5280000}"/>
            </a:ext>
          </a:extLst>
        </xdr:cNvPr>
        <xdr:cNvSpPr>
          <a:spLocks noChangeShapeType="1"/>
        </xdr:cNvSpPr>
      </xdr:nvSpPr>
      <xdr:spPr bwMode="auto">
        <a:xfrm>
          <a:off x="2194560" y="208940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10470" name="Line 75">
          <a:extLst>
            <a:ext uri="{FF2B5EF4-FFF2-40B4-BE49-F238E27FC236}">
              <a16:creationId xmlns:a16="http://schemas.microsoft.com/office/drawing/2014/main" id="{00000000-0008-0000-1100-0000E6280000}"/>
            </a:ext>
          </a:extLst>
        </xdr:cNvPr>
        <xdr:cNvSpPr>
          <a:spLocks noChangeShapeType="1"/>
        </xdr:cNvSpPr>
      </xdr:nvSpPr>
      <xdr:spPr bwMode="auto">
        <a:xfrm>
          <a:off x="2194560" y="195529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10471" name="Line 87">
          <a:extLst>
            <a:ext uri="{FF2B5EF4-FFF2-40B4-BE49-F238E27FC236}">
              <a16:creationId xmlns:a16="http://schemas.microsoft.com/office/drawing/2014/main" id="{00000000-0008-0000-1100-0000E7280000}"/>
            </a:ext>
          </a:extLst>
        </xdr:cNvPr>
        <xdr:cNvSpPr>
          <a:spLocks noChangeShapeType="1"/>
        </xdr:cNvSpPr>
      </xdr:nvSpPr>
      <xdr:spPr bwMode="auto">
        <a:xfrm>
          <a:off x="2194560" y="207264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10472" name="Line 75">
          <a:extLst>
            <a:ext uri="{FF2B5EF4-FFF2-40B4-BE49-F238E27FC236}">
              <a16:creationId xmlns:a16="http://schemas.microsoft.com/office/drawing/2014/main" id="{00000000-0008-0000-1100-0000E8280000}"/>
            </a:ext>
          </a:extLst>
        </xdr:cNvPr>
        <xdr:cNvSpPr>
          <a:spLocks noChangeShapeType="1"/>
        </xdr:cNvSpPr>
      </xdr:nvSpPr>
      <xdr:spPr bwMode="auto">
        <a:xfrm>
          <a:off x="2194560" y="197205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10473" name="Line 79">
          <a:extLst>
            <a:ext uri="{FF2B5EF4-FFF2-40B4-BE49-F238E27FC236}">
              <a16:creationId xmlns:a16="http://schemas.microsoft.com/office/drawing/2014/main" id="{00000000-0008-0000-1100-0000E9280000}"/>
            </a:ext>
          </a:extLst>
        </xdr:cNvPr>
        <xdr:cNvSpPr>
          <a:spLocks noChangeShapeType="1"/>
        </xdr:cNvSpPr>
      </xdr:nvSpPr>
      <xdr:spPr bwMode="auto">
        <a:xfrm>
          <a:off x="2194560" y="185470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10474" name="Line 87">
          <a:extLst>
            <a:ext uri="{FF2B5EF4-FFF2-40B4-BE49-F238E27FC236}">
              <a16:creationId xmlns:a16="http://schemas.microsoft.com/office/drawing/2014/main" id="{00000000-0008-0000-1100-0000EA280000}"/>
            </a:ext>
          </a:extLst>
        </xdr:cNvPr>
        <xdr:cNvSpPr>
          <a:spLocks noChangeShapeType="1"/>
        </xdr:cNvSpPr>
      </xdr:nvSpPr>
      <xdr:spPr bwMode="auto">
        <a:xfrm>
          <a:off x="2194560" y="208940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6.xml><?xml version="1.0" encoding="utf-8"?>
<xdr:wsDr xmlns:xdr="http://purl.oclc.org/ooxml/drawingml/spreadsheetDrawing" xmlns:a="http://purl.oclc.org/ooxml/drawingml/main">
  <xdr:twoCellAnchor>
    <xdr:from>
      <xdr:col>6</xdr:col>
      <xdr:colOff>0</xdr:colOff>
      <xdr:row>30</xdr:row>
      <xdr:rowOff>0</xdr:rowOff>
    </xdr:from>
    <xdr:to>
      <xdr:col>6</xdr:col>
      <xdr:colOff>0</xdr:colOff>
      <xdr:row>30</xdr:row>
      <xdr:rowOff>0</xdr:rowOff>
    </xdr:to>
    <xdr:sp macro="" textlink="">
      <xdr:nvSpPr>
        <xdr:cNvPr id="12406" name="Line 1">
          <a:extLst>
            <a:ext uri="{FF2B5EF4-FFF2-40B4-BE49-F238E27FC236}">
              <a16:creationId xmlns:a16="http://schemas.microsoft.com/office/drawing/2014/main" id="{00000000-0008-0000-1300-000076300000}"/>
            </a:ext>
          </a:extLst>
        </xdr:cNvPr>
        <xdr:cNvSpPr>
          <a:spLocks noChangeShapeType="1"/>
        </xdr:cNvSpPr>
      </xdr:nvSpPr>
      <xdr:spPr bwMode="auto">
        <a:xfrm>
          <a:off x="4389120" y="56921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31</xdr:row>
      <xdr:rowOff>0</xdr:rowOff>
    </xdr:from>
    <xdr:to>
      <xdr:col>6</xdr:col>
      <xdr:colOff>0</xdr:colOff>
      <xdr:row>31</xdr:row>
      <xdr:rowOff>0</xdr:rowOff>
    </xdr:to>
    <xdr:sp macro="" textlink="">
      <xdr:nvSpPr>
        <xdr:cNvPr id="12407" name="Line 2">
          <a:extLst>
            <a:ext uri="{FF2B5EF4-FFF2-40B4-BE49-F238E27FC236}">
              <a16:creationId xmlns:a16="http://schemas.microsoft.com/office/drawing/2014/main" id="{00000000-0008-0000-1300-000077300000}"/>
            </a:ext>
          </a:extLst>
        </xdr:cNvPr>
        <xdr:cNvSpPr>
          <a:spLocks noChangeShapeType="1"/>
        </xdr:cNvSpPr>
      </xdr:nvSpPr>
      <xdr:spPr bwMode="auto">
        <a:xfrm>
          <a:off x="4389120" y="58597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23</xdr:row>
      <xdr:rowOff>0</xdr:rowOff>
    </xdr:from>
    <xdr:to>
      <xdr:col>6</xdr:col>
      <xdr:colOff>0</xdr:colOff>
      <xdr:row>23</xdr:row>
      <xdr:rowOff>0</xdr:rowOff>
    </xdr:to>
    <xdr:sp macro="" textlink="">
      <xdr:nvSpPr>
        <xdr:cNvPr id="12408" name="Line 3">
          <a:extLst>
            <a:ext uri="{FF2B5EF4-FFF2-40B4-BE49-F238E27FC236}">
              <a16:creationId xmlns:a16="http://schemas.microsoft.com/office/drawing/2014/main" id="{00000000-0008-0000-1300-000078300000}"/>
            </a:ext>
          </a:extLst>
        </xdr:cNvPr>
        <xdr:cNvSpPr>
          <a:spLocks noChangeShapeType="1"/>
        </xdr:cNvSpPr>
      </xdr:nvSpPr>
      <xdr:spPr bwMode="auto">
        <a:xfrm>
          <a:off x="4389120" y="45186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23</xdr:row>
      <xdr:rowOff>0</xdr:rowOff>
    </xdr:from>
    <xdr:to>
      <xdr:col>9</xdr:col>
      <xdr:colOff>662940</xdr:colOff>
      <xdr:row>23</xdr:row>
      <xdr:rowOff>0</xdr:rowOff>
    </xdr:to>
    <xdr:sp macro="" textlink="">
      <xdr:nvSpPr>
        <xdr:cNvPr id="12409" name="Line 4">
          <a:extLst>
            <a:ext uri="{FF2B5EF4-FFF2-40B4-BE49-F238E27FC236}">
              <a16:creationId xmlns:a16="http://schemas.microsoft.com/office/drawing/2014/main" id="{00000000-0008-0000-1300-000079300000}"/>
            </a:ext>
          </a:extLst>
        </xdr:cNvPr>
        <xdr:cNvSpPr>
          <a:spLocks noChangeShapeType="1"/>
        </xdr:cNvSpPr>
      </xdr:nvSpPr>
      <xdr:spPr bwMode="auto">
        <a:xfrm>
          <a:off x="6926580" y="451866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30</xdr:row>
      <xdr:rowOff>0</xdr:rowOff>
    </xdr:from>
    <xdr:to>
      <xdr:col>14</xdr:col>
      <xdr:colOff>662940</xdr:colOff>
      <xdr:row>30</xdr:row>
      <xdr:rowOff>0</xdr:rowOff>
    </xdr:to>
    <xdr:sp macro="" textlink="">
      <xdr:nvSpPr>
        <xdr:cNvPr id="12410" name="Line 5">
          <a:extLst>
            <a:ext uri="{FF2B5EF4-FFF2-40B4-BE49-F238E27FC236}">
              <a16:creationId xmlns:a16="http://schemas.microsoft.com/office/drawing/2014/main" id="{00000000-0008-0000-1300-00007A300000}"/>
            </a:ext>
          </a:extLst>
        </xdr:cNvPr>
        <xdr:cNvSpPr>
          <a:spLocks noChangeShapeType="1"/>
        </xdr:cNvSpPr>
      </xdr:nvSpPr>
      <xdr:spPr bwMode="auto">
        <a:xfrm>
          <a:off x="10584180" y="569214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31</xdr:row>
      <xdr:rowOff>0</xdr:rowOff>
    </xdr:from>
    <xdr:to>
      <xdr:col>14</xdr:col>
      <xdr:colOff>662940</xdr:colOff>
      <xdr:row>31</xdr:row>
      <xdr:rowOff>0</xdr:rowOff>
    </xdr:to>
    <xdr:sp macro="" textlink="">
      <xdr:nvSpPr>
        <xdr:cNvPr id="12411" name="Line 6">
          <a:extLst>
            <a:ext uri="{FF2B5EF4-FFF2-40B4-BE49-F238E27FC236}">
              <a16:creationId xmlns:a16="http://schemas.microsoft.com/office/drawing/2014/main" id="{00000000-0008-0000-1300-00007B300000}"/>
            </a:ext>
          </a:extLst>
        </xdr:cNvPr>
        <xdr:cNvSpPr>
          <a:spLocks noChangeShapeType="1"/>
        </xdr:cNvSpPr>
      </xdr:nvSpPr>
      <xdr:spPr bwMode="auto">
        <a:xfrm>
          <a:off x="10584180" y="585978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32</xdr:row>
      <xdr:rowOff>0</xdr:rowOff>
    </xdr:from>
    <xdr:to>
      <xdr:col>6</xdr:col>
      <xdr:colOff>0</xdr:colOff>
      <xdr:row>32</xdr:row>
      <xdr:rowOff>0</xdr:rowOff>
    </xdr:to>
    <xdr:sp macro="" textlink="">
      <xdr:nvSpPr>
        <xdr:cNvPr id="12412" name="Line 7">
          <a:extLst>
            <a:ext uri="{FF2B5EF4-FFF2-40B4-BE49-F238E27FC236}">
              <a16:creationId xmlns:a16="http://schemas.microsoft.com/office/drawing/2014/main" id="{00000000-0008-0000-1300-00007C300000}"/>
            </a:ext>
          </a:extLst>
        </xdr:cNvPr>
        <xdr:cNvSpPr>
          <a:spLocks noChangeShapeType="1"/>
        </xdr:cNvSpPr>
      </xdr:nvSpPr>
      <xdr:spPr bwMode="auto">
        <a:xfrm>
          <a:off x="4389120" y="60274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33</xdr:row>
      <xdr:rowOff>0</xdr:rowOff>
    </xdr:from>
    <xdr:to>
      <xdr:col>6</xdr:col>
      <xdr:colOff>0</xdr:colOff>
      <xdr:row>33</xdr:row>
      <xdr:rowOff>0</xdr:rowOff>
    </xdr:to>
    <xdr:sp macro="" textlink="">
      <xdr:nvSpPr>
        <xdr:cNvPr id="12413" name="Line 8">
          <a:extLst>
            <a:ext uri="{FF2B5EF4-FFF2-40B4-BE49-F238E27FC236}">
              <a16:creationId xmlns:a16="http://schemas.microsoft.com/office/drawing/2014/main" id="{00000000-0008-0000-1300-00007D300000}"/>
            </a:ext>
          </a:extLst>
        </xdr:cNvPr>
        <xdr:cNvSpPr>
          <a:spLocks noChangeShapeType="1"/>
        </xdr:cNvSpPr>
      </xdr:nvSpPr>
      <xdr:spPr bwMode="auto">
        <a:xfrm>
          <a:off x="4389120" y="61950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34</xdr:row>
      <xdr:rowOff>0</xdr:rowOff>
    </xdr:from>
    <xdr:to>
      <xdr:col>6</xdr:col>
      <xdr:colOff>0</xdr:colOff>
      <xdr:row>34</xdr:row>
      <xdr:rowOff>0</xdr:rowOff>
    </xdr:to>
    <xdr:sp macro="" textlink="">
      <xdr:nvSpPr>
        <xdr:cNvPr id="12414" name="Line 9">
          <a:extLst>
            <a:ext uri="{FF2B5EF4-FFF2-40B4-BE49-F238E27FC236}">
              <a16:creationId xmlns:a16="http://schemas.microsoft.com/office/drawing/2014/main" id="{00000000-0008-0000-1300-00007E300000}"/>
            </a:ext>
          </a:extLst>
        </xdr:cNvPr>
        <xdr:cNvSpPr>
          <a:spLocks noChangeShapeType="1"/>
        </xdr:cNvSpPr>
      </xdr:nvSpPr>
      <xdr:spPr bwMode="auto">
        <a:xfrm>
          <a:off x="4389120" y="6362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32</xdr:row>
      <xdr:rowOff>0</xdr:rowOff>
    </xdr:from>
    <xdr:to>
      <xdr:col>10</xdr:col>
      <xdr:colOff>0</xdr:colOff>
      <xdr:row>32</xdr:row>
      <xdr:rowOff>0</xdr:rowOff>
    </xdr:to>
    <xdr:sp macro="" textlink="">
      <xdr:nvSpPr>
        <xdr:cNvPr id="12415" name="Line 10">
          <a:extLst>
            <a:ext uri="{FF2B5EF4-FFF2-40B4-BE49-F238E27FC236}">
              <a16:creationId xmlns:a16="http://schemas.microsoft.com/office/drawing/2014/main" id="{00000000-0008-0000-1300-00007F300000}"/>
            </a:ext>
          </a:extLst>
        </xdr:cNvPr>
        <xdr:cNvSpPr>
          <a:spLocks noChangeShapeType="1"/>
        </xdr:cNvSpPr>
      </xdr:nvSpPr>
      <xdr:spPr bwMode="auto">
        <a:xfrm>
          <a:off x="6926580" y="6027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33</xdr:row>
      <xdr:rowOff>0</xdr:rowOff>
    </xdr:from>
    <xdr:to>
      <xdr:col>10</xdr:col>
      <xdr:colOff>0</xdr:colOff>
      <xdr:row>33</xdr:row>
      <xdr:rowOff>0</xdr:rowOff>
    </xdr:to>
    <xdr:sp macro="" textlink="">
      <xdr:nvSpPr>
        <xdr:cNvPr id="12416" name="Line 11">
          <a:extLst>
            <a:ext uri="{FF2B5EF4-FFF2-40B4-BE49-F238E27FC236}">
              <a16:creationId xmlns:a16="http://schemas.microsoft.com/office/drawing/2014/main" id="{00000000-0008-0000-1300-000080300000}"/>
            </a:ext>
          </a:extLst>
        </xdr:cNvPr>
        <xdr:cNvSpPr>
          <a:spLocks noChangeShapeType="1"/>
        </xdr:cNvSpPr>
      </xdr:nvSpPr>
      <xdr:spPr bwMode="auto">
        <a:xfrm>
          <a:off x="6926580" y="61950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34</xdr:row>
      <xdr:rowOff>0</xdr:rowOff>
    </xdr:from>
    <xdr:to>
      <xdr:col>10</xdr:col>
      <xdr:colOff>0</xdr:colOff>
      <xdr:row>34</xdr:row>
      <xdr:rowOff>0</xdr:rowOff>
    </xdr:to>
    <xdr:sp macro="" textlink="">
      <xdr:nvSpPr>
        <xdr:cNvPr id="12417" name="Line 12">
          <a:extLst>
            <a:ext uri="{FF2B5EF4-FFF2-40B4-BE49-F238E27FC236}">
              <a16:creationId xmlns:a16="http://schemas.microsoft.com/office/drawing/2014/main" id="{00000000-0008-0000-1300-000081300000}"/>
            </a:ext>
          </a:extLst>
        </xdr:cNvPr>
        <xdr:cNvSpPr>
          <a:spLocks noChangeShapeType="1"/>
        </xdr:cNvSpPr>
      </xdr:nvSpPr>
      <xdr:spPr bwMode="auto">
        <a:xfrm>
          <a:off x="6926580" y="6362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32</xdr:row>
      <xdr:rowOff>0</xdr:rowOff>
    </xdr:from>
    <xdr:to>
      <xdr:col>15</xdr:col>
      <xdr:colOff>0</xdr:colOff>
      <xdr:row>32</xdr:row>
      <xdr:rowOff>0</xdr:rowOff>
    </xdr:to>
    <xdr:sp macro="" textlink="">
      <xdr:nvSpPr>
        <xdr:cNvPr id="12418" name="Line 13">
          <a:extLst>
            <a:ext uri="{FF2B5EF4-FFF2-40B4-BE49-F238E27FC236}">
              <a16:creationId xmlns:a16="http://schemas.microsoft.com/office/drawing/2014/main" id="{00000000-0008-0000-1300-000082300000}"/>
            </a:ext>
          </a:extLst>
        </xdr:cNvPr>
        <xdr:cNvSpPr>
          <a:spLocks noChangeShapeType="1"/>
        </xdr:cNvSpPr>
      </xdr:nvSpPr>
      <xdr:spPr bwMode="auto">
        <a:xfrm>
          <a:off x="10584180" y="6027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33</xdr:row>
      <xdr:rowOff>0</xdr:rowOff>
    </xdr:from>
    <xdr:to>
      <xdr:col>15</xdr:col>
      <xdr:colOff>0</xdr:colOff>
      <xdr:row>33</xdr:row>
      <xdr:rowOff>0</xdr:rowOff>
    </xdr:to>
    <xdr:sp macro="" textlink="">
      <xdr:nvSpPr>
        <xdr:cNvPr id="12419" name="Line 14">
          <a:extLst>
            <a:ext uri="{FF2B5EF4-FFF2-40B4-BE49-F238E27FC236}">
              <a16:creationId xmlns:a16="http://schemas.microsoft.com/office/drawing/2014/main" id="{00000000-0008-0000-1300-000083300000}"/>
            </a:ext>
          </a:extLst>
        </xdr:cNvPr>
        <xdr:cNvSpPr>
          <a:spLocks noChangeShapeType="1"/>
        </xdr:cNvSpPr>
      </xdr:nvSpPr>
      <xdr:spPr bwMode="auto">
        <a:xfrm>
          <a:off x="10584180" y="61950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34</xdr:row>
      <xdr:rowOff>0</xdr:rowOff>
    </xdr:from>
    <xdr:to>
      <xdr:col>15</xdr:col>
      <xdr:colOff>0</xdr:colOff>
      <xdr:row>34</xdr:row>
      <xdr:rowOff>0</xdr:rowOff>
    </xdr:to>
    <xdr:sp macro="" textlink="">
      <xdr:nvSpPr>
        <xdr:cNvPr id="12420" name="Line 15">
          <a:extLst>
            <a:ext uri="{FF2B5EF4-FFF2-40B4-BE49-F238E27FC236}">
              <a16:creationId xmlns:a16="http://schemas.microsoft.com/office/drawing/2014/main" id="{00000000-0008-0000-1300-000084300000}"/>
            </a:ext>
          </a:extLst>
        </xdr:cNvPr>
        <xdr:cNvSpPr>
          <a:spLocks noChangeShapeType="1"/>
        </xdr:cNvSpPr>
      </xdr:nvSpPr>
      <xdr:spPr bwMode="auto">
        <a:xfrm>
          <a:off x="10584180" y="6362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43</xdr:row>
      <xdr:rowOff>0</xdr:rowOff>
    </xdr:from>
    <xdr:to>
      <xdr:col>14</xdr:col>
      <xdr:colOff>640080</xdr:colOff>
      <xdr:row>43</xdr:row>
      <xdr:rowOff>0</xdr:rowOff>
    </xdr:to>
    <xdr:sp macro="" textlink="">
      <xdr:nvSpPr>
        <xdr:cNvPr id="12421" name="Line 16">
          <a:extLst>
            <a:ext uri="{FF2B5EF4-FFF2-40B4-BE49-F238E27FC236}">
              <a16:creationId xmlns:a16="http://schemas.microsoft.com/office/drawing/2014/main" id="{00000000-0008-0000-1300-000085300000}"/>
            </a:ext>
          </a:extLst>
        </xdr:cNvPr>
        <xdr:cNvSpPr>
          <a:spLocks noChangeShapeType="1"/>
        </xdr:cNvSpPr>
      </xdr:nvSpPr>
      <xdr:spPr bwMode="auto">
        <a:xfrm>
          <a:off x="10584180" y="787146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23</xdr:row>
      <xdr:rowOff>0</xdr:rowOff>
    </xdr:from>
    <xdr:to>
      <xdr:col>4</xdr:col>
      <xdr:colOff>7620</xdr:colOff>
      <xdr:row>23</xdr:row>
      <xdr:rowOff>0</xdr:rowOff>
    </xdr:to>
    <xdr:sp macro="" textlink="">
      <xdr:nvSpPr>
        <xdr:cNvPr id="12422" name="Line 17">
          <a:extLst>
            <a:ext uri="{FF2B5EF4-FFF2-40B4-BE49-F238E27FC236}">
              <a16:creationId xmlns:a16="http://schemas.microsoft.com/office/drawing/2014/main" id="{00000000-0008-0000-1300-000086300000}"/>
            </a:ext>
          </a:extLst>
        </xdr:cNvPr>
        <xdr:cNvSpPr>
          <a:spLocks noChangeShapeType="1"/>
        </xdr:cNvSpPr>
      </xdr:nvSpPr>
      <xdr:spPr bwMode="auto">
        <a:xfrm>
          <a:off x="2194560" y="4518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30</xdr:row>
      <xdr:rowOff>0</xdr:rowOff>
    </xdr:from>
    <xdr:to>
      <xdr:col>4</xdr:col>
      <xdr:colOff>7620</xdr:colOff>
      <xdr:row>30</xdr:row>
      <xdr:rowOff>0</xdr:rowOff>
    </xdr:to>
    <xdr:sp macro="" textlink="">
      <xdr:nvSpPr>
        <xdr:cNvPr id="12423" name="Line 18">
          <a:extLst>
            <a:ext uri="{FF2B5EF4-FFF2-40B4-BE49-F238E27FC236}">
              <a16:creationId xmlns:a16="http://schemas.microsoft.com/office/drawing/2014/main" id="{00000000-0008-0000-1300-000087300000}"/>
            </a:ext>
          </a:extLst>
        </xdr:cNvPr>
        <xdr:cNvSpPr>
          <a:spLocks noChangeShapeType="1"/>
        </xdr:cNvSpPr>
      </xdr:nvSpPr>
      <xdr:spPr bwMode="auto">
        <a:xfrm>
          <a:off x="2194560" y="56921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31</xdr:row>
      <xdr:rowOff>0</xdr:rowOff>
    </xdr:from>
    <xdr:to>
      <xdr:col>4</xdr:col>
      <xdr:colOff>7620</xdr:colOff>
      <xdr:row>31</xdr:row>
      <xdr:rowOff>0</xdr:rowOff>
    </xdr:to>
    <xdr:sp macro="" textlink="">
      <xdr:nvSpPr>
        <xdr:cNvPr id="12424" name="Line 19">
          <a:extLst>
            <a:ext uri="{FF2B5EF4-FFF2-40B4-BE49-F238E27FC236}">
              <a16:creationId xmlns:a16="http://schemas.microsoft.com/office/drawing/2014/main" id="{00000000-0008-0000-1300-000088300000}"/>
            </a:ext>
          </a:extLst>
        </xdr:cNvPr>
        <xdr:cNvSpPr>
          <a:spLocks noChangeShapeType="1"/>
        </xdr:cNvSpPr>
      </xdr:nvSpPr>
      <xdr:spPr bwMode="auto">
        <a:xfrm>
          <a:off x="2194560" y="58597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32</xdr:row>
      <xdr:rowOff>0</xdr:rowOff>
    </xdr:from>
    <xdr:to>
      <xdr:col>4</xdr:col>
      <xdr:colOff>7620</xdr:colOff>
      <xdr:row>32</xdr:row>
      <xdr:rowOff>0</xdr:rowOff>
    </xdr:to>
    <xdr:sp macro="" textlink="">
      <xdr:nvSpPr>
        <xdr:cNvPr id="12425" name="Line 20">
          <a:extLst>
            <a:ext uri="{FF2B5EF4-FFF2-40B4-BE49-F238E27FC236}">
              <a16:creationId xmlns:a16="http://schemas.microsoft.com/office/drawing/2014/main" id="{00000000-0008-0000-1300-000089300000}"/>
            </a:ext>
          </a:extLst>
        </xdr:cNvPr>
        <xdr:cNvSpPr>
          <a:spLocks noChangeShapeType="1"/>
        </xdr:cNvSpPr>
      </xdr:nvSpPr>
      <xdr:spPr bwMode="auto">
        <a:xfrm>
          <a:off x="2194560" y="6027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33</xdr:row>
      <xdr:rowOff>0</xdr:rowOff>
    </xdr:from>
    <xdr:to>
      <xdr:col>4</xdr:col>
      <xdr:colOff>7620</xdr:colOff>
      <xdr:row>33</xdr:row>
      <xdr:rowOff>0</xdr:rowOff>
    </xdr:to>
    <xdr:sp macro="" textlink="">
      <xdr:nvSpPr>
        <xdr:cNvPr id="12426" name="Line 21">
          <a:extLst>
            <a:ext uri="{FF2B5EF4-FFF2-40B4-BE49-F238E27FC236}">
              <a16:creationId xmlns:a16="http://schemas.microsoft.com/office/drawing/2014/main" id="{00000000-0008-0000-1300-00008A300000}"/>
            </a:ext>
          </a:extLst>
        </xdr:cNvPr>
        <xdr:cNvSpPr>
          <a:spLocks noChangeShapeType="1"/>
        </xdr:cNvSpPr>
      </xdr:nvSpPr>
      <xdr:spPr bwMode="auto">
        <a:xfrm>
          <a:off x="2194560" y="61950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34</xdr:row>
      <xdr:rowOff>0</xdr:rowOff>
    </xdr:from>
    <xdr:to>
      <xdr:col>4</xdr:col>
      <xdr:colOff>7620</xdr:colOff>
      <xdr:row>34</xdr:row>
      <xdr:rowOff>0</xdr:rowOff>
    </xdr:to>
    <xdr:sp macro="" textlink="">
      <xdr:nvSpPr>
        <xdr:cNvPr id="12427" name="Line 22">
          <a:extLst>
            <a:ext uri="{FF2B5EF4-FFF2-40B4-BE49-F238E27FC236}">
              <a16:creationId xmlns:a16="http://schemas.microsoft.com/office/drawing/2014/main" id="{00000000-0008-0000-1300-00008B300000}"/>
            </a:ext>
          </a:extLst>
        </xdr:cNvPr>
        <xdr:cNvSpPr>
          <a:spLocks noChangeShapeType="1"/>
        </xdr:cNvSpPr>
      </xdr:nvSpPr>
      <xdr:spPr bwMode="auto">
        <a:xfrm>
          <a:off x="2194560" y="6362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12428" name="Line 23">
          <a:extLst>
            <a:ext uri="{FF2B5EF4-FFF2-40B4-BE49-F238E27FC236}">
              <a16:creationId xmlns:a16="http://schemas.microsoft.com/office/drawing/2014/main" id="{00000000-0008-0000-1300-00008C300000}"/>
            </a:ext>
          </a:extLst>
        </xdr:cNvPr>
        <xdr:cNvSpPr>
          <a:spLocks noChangeShapeType="1"/>
        </xdr:cNvSpPr>
      </xdr:nvSpPr>
      <xdr:spPr bwMode="auto">
        <a:xfrm>
          <a:off x="21945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12429" name="Line 24">
          <a:extLst>
            <a:ext uri="{FF2B5EF4-FFF2-40B4-BE49-F238E27FC236}">
              <a16:creationId xmlns:a16="http://schemas.microsoft.com/office/drawing/2014/main" id="{00000000-0008-0000-1300-00008D300000}"/>
            </a:ext>
          </a:extLst>
        </xdr:cNvPr>
        <xdr:cNvSpPr>
          <a:spLocks noChangeShapeType="1"/>
        </xdr:cNvSpPr>
      </xdr:nvSpPr>
      <xdr:spPr bwMode="auto">
        <a:xfrm>
          <a:off x="21945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36</xdr:row>
      <xdr:rowOff>0</xdr:rowOff>
    </xdr:from>
    <xdr:to>
      <xdr:col>10</xdr:col>
      <xdr:colOff>0</xdr:colOff>
      <xdr:row>36</xdr:row>
      <xdr:rowOff>0</xdr:rowOff>
    </xdr:to>
    <xdr:sp macro="" textlink="">
      <xdr:nvSpPr>
        <xdr:cNvPr id="12430" name="Line 25">
          <a:extLst>
            <a:ext uri="{FF2B5EF4-FFF2-40B4-BE49-F238E27FC236}">
              <a16:creationId xmlns:a16="http://schemas.microsoft.com/office/drawing/2014/main" id="{00000000-0008-0000-1300-00008E300000}"/>
            </a:ext>
          </a:extLst>
        </xdr:cNvPr>
        <xdr:cNvSpPr>
          <a:spLocks noChangeShapeType="1"/>
        </xdr:cNvSpPr>
      </xdr:nvSpPr>
      <xdr:spPr bwMode="auto">
        <a:xfrm>
          <a:off x="6926580" y="66979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44</xdr:row>
      <xdr:rowOff>0</xdr:rowOff>
    </xdr:from>
    <xdr:to>
      <xdr:col>14</xdr:col>
      <xdr:colOff>640080</xdr:colOff>
      <xdr:row>44</xdr:row>
      <xdr:rowOff>0</xdr:rowOff>
    </xdr:to>
    <xdr:sp macro="" textlink="">
      <xdr:nvSpPr>
        <xdr:cNvPr id="12431" name="Line 26">
          <a:extLst>
            <a:ext uri="{FF2B5EF4-FFF2-40B4-BE49-F238E27FC236}">
              <a16:creationId xmlns:a16="http://schemas.microsoft.com/office/drawing/2014/main" id="{00000000-0008-0000-1300-00008F300000}"/>
            </a:ext>
          </a:extLst>
        </xdr:cNvPr>
        <xdr:cNvSpPr>
          <a:spLocks noChangeShapeType="1"/>
        </xdr:cNvSpPr>
      </xdr:nvSpPr>
      <xdr:spPr bwMode="auto">
        <a:xfrm>
          <a:off x="10584180" y="803910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36</xdr:row>
      <xdr:rowOff>0</xdr:rowOff>
    </xdr:from>
    <xdr:to>
      <xdr:col>6</xdr:col>
      <xdr:colOff>0</xdr:colOff>
      <xdr:row>36</xdr:row>
      <xdr:rowOff>0</xdr:rowOff>
    </xdr:to>
    <xdr:sp macro="" textlink="">
      <xdr:nvSpPr>
        <xdr:cNvPr id="12432" name="Line 27">
          <a:extLst>
            <a:ext uri="{FF2B5EF4-FFF2-40B4-BE49-F238E27FC236}">
              <a16:creationId xmlns:a16="http://schemas.microsoft.com/office/drawing/2014/main" id="{00000000-0008-0000-1300-000090300000}"/>
            </a:ext>
          </a:extLst>
        </xdr:cNvPr>
        <xdr:cNvSpPr>
          <a:spLocks noChangeShapeType="1"/>
        </xdr:cNvSpPr>
      </xdr:nvSpPr>
      <xdr:spPr bwMode="auto">
        <a:xfrm>
          <a:off x="4389120" y="66979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45</xdr:row>
      <xdr:rowOff>0</xdr:rowOff>
    </xdr:from>
    <xdr:to>
      <xdr:col>6</xdr:col>
      <xdr:colOff>0</xdr:colOff>
      <xdr:row>45</xdr:row>
      <xdr:rowOff>0</xdr:rowOff>
    </xdr:to>
    <xdr:sp macro="" textlink="">
      <xdr:nvSpPr>
        <xdr:cNvPr id="12433" name="Line 28">
          <a:extLst>
            <a:ext uri="{FF2B5EF4-FFF2-40B4-BE49-F238E27FC236}">
              <a16:creationId xmlns:a16="http://schemas.microsoft.com/office/drawing/2014/main" id="{00000000-0008-0000-1300-000091300000}"/>
            </a:ext>
          </a:extLst>
        </xdr:cNvPr>
        <xdr:cNvSpPr>
          <a:spLocks noChangeShapeType="1"/>
        </xdr:cNvSpPr>
      </xdr:nvSpPr>
      <xdr:spPr bwMode="auto">
        <a:xfrm>
          <a:off x="4389120" y="82067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45</xdr:row>
      <xdr:rowOff>0</xdr:rowOff>
    </xdr:from>
    <xdr:to>
      <xdr:col>10</xdr:col>
      <xdr:colOff>0</xdr:colOff>
      <xdr:row>45</xdr:row>
      <xdr:rowOff>0</xdr:rowOff>
    </xdr:to>
    <xdr:sp macro="" textlink="">
      <xdr:nvSpPr>
        <xdr:cNvPr id="12434" name="Line 29">
          <a:extLst>
            <a:ext uri="{FF2B5EF4-FFF2-40B4-BE49-F238E27FC236}">
              <a16:creationId xmlns:a16="http://schemas.microsoft.com/office/drawing/2014/main" id="{00000000-0008-0000-1300-000092300000}"/>
            </a:ext>
          </a:extLst>
        </xdr:cNvPr>
        <xdr:cNvSpPr>
          <a:spLocks noChangeShapeType="1"/>
        </xdr:cNvSpPr>
      </xdr:nvSpPr>
      <xdr:spPr bwMode="auto">
        <a:xfrm>
          <a:off x="6926580" y="82067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46</xdr:row>
      <xdr:rowOff>0</xdr:rowOff>
    </xdr:from>
    <xdr:to>
      <xdr:col>10</xdr:col>
      <xdr:colOff>0</xdr:colOff>
      <xdr:row>46</xdr:row>
      <xdr:rowOff>0</xdr:rowOff>
    </xdr:to>
    <xdr:sp macro="" textlink="">
      <xdr:nvSpPr>
        <xdr:cNvPr id="12435" name="Line 30">
          <a:extLst>
            <a:ext uri="{FF2B5EF4-FFF2-40B4-BE49-F238E27FC236}">
              <a16:creationId xmlns:a16="http://schemas.microsoft.com/office/drawing/2014/main" id="{00000000-0008-0000-1300-000093300000}"/>
            </a:ext>
          </a:extLst>
        </xdr:cNvPr>
        <xdr:cNvSpPr>
          <a:spLocks noChangeShapeType="1"/>
        </xdr:cNvSpPr>
      </xdr:nvSpPr>
      <xdr:spPr bwMode="auto">
        <a:xfrm>
          <a:off x="6926580" y="83743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45</xdr:row>
      <xdr:rowOff>0</xdr:rowOff>
    </xdr:from>
    <xdr:to>
      <xdr:col>15</xdr:col>
      <xdr:colOff>0</xdr:colOff>
      <xdr:row>45</xdr:row>
      <xdr:rowOff>0</xdr:rowOff>
    </xdr:to>
    <xdr:sp macro="" textlink="">
      <xdr:nvSpPr>
        <xdr:cNvPr id="12436" name="Line 31">
          <a:extLst>
            <a:ext uri="{FF2B5EF4-FFF2-40B4-BE49-F238E27FC236}">
              <a16:creationId xmlns:a16="http://schemas.microsoft.com/office/drawing/2014/main" id="{00000000-0008-0000-1300-000094300000}"/>
            </a:ext>
          </a:extLst>
        </xdr:cNvPr>
        <xdr:cNvSpPr>
          <a:spLocks noChangeShapeType="1"/>
        </xdr:cNvSpPr>
      </xdr:nvSpPr>
      <xdr:spPr bwMode="auto">
        <a:xfrm>
          <a:off x="10584180" y="82067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46</xdr:row>
      <xdr:rowOff>0</xdr:rowOff>
    </xdr:from>
    <xdr:to>
      <xdr:col>15</xdr:col>
      <xdr:colOff>0</xdr:colOff>
      <xdr:row>46</xdr:row>
      <xdr:rowOff>0</xdr:rowOff>
    </xdr:to>
    <xdr:sp macro="" textlink="">
      <xdr:nvSpPr>
        <xdr:cNvPr id="12437" name="Line 32">
          <a:extLst>
            <a:ext uri="{FF2B5EF4-FFF2-40B4-BE49-F238E27FC236}">
              <a16:creationId xmlns:a16="http://schemas.microsoft.com/office/drawing/2014/main" id="{00000000-0008-0000-1300-000095300000}"/>
            </a:ext>
          </a:extLst>
        </xdr:cNvPr>
        <xdr:cNvSpPr>
          <a:spLocks noChangeShapeType="1"/>
        </xdr:cNvSpPr>
      </xdr:nvSpPr>
      <xdr:spPr bwMode="auto">
        <a:xfrm>
          <a:off x="10584180" y="83743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36</xdr:row>
      <xdr:rowOff>0</xdr:rowOff>
    </xdr:from>
    <xdr:to>
      <xdr:col>4</xdr:col>
      <xdr:colOff>7620</xdr:colOff>
      <xdr:row>36</xdr:row>
      <xdr:rowOff>0</xdr:rowOff>
    </xdr:to>
    <xdr:sp macro="" textlink="">
      <xdr:nvSpPr>
        <xdr:cNvPr id="12438" name="Line 33">
          <a:extLst>
            <a:ext uri="{FF2B5EF4-FFF2-40B4-BE49-F238E27FC236}">
              <a16:creationId xmlns:a16="http://schemas.microsoft.com/office/drawing/2014/main" id="{00000000-0008-0000-1300-000096300000}"/>
            </a:ext>
          </a:extLst>
        </xdr:cNvPr>
        <xdr:cNvSpPr>
          <a:spLocks noChangeShapeType="1"/>
        </xdr:cNvSpPr>
      </xdr:nvSpPr>
      <xdr:spPr bwMode="auto">
        <a:xfrm>
          <a:off x="2194560" y="669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12439" name="Line 34">
          <a:extLst>
            <a:ext uri="{FF2B5EF4-FFF2-40B4-BE49-F238E27FC236}">
              <a16:creationId xmlns:a16="http://schemas.microsoft.com/office/drawing/2014/main" id="{00000000-0008-0000-1300-000097300000}"/>
            </a:ext>
          </a:extLst>
        </xdr:cNvPr>
        <xdr:cNvSpPr>
          <a:spLocks noChangeShapeType="1"/>
        </xdr:cNvSpPr>
      </xdr:nvSpPr>
      <xdr:spPr bwMode="auto">
        <a:xfrm>
          <a:off x="21945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12440" name="Line 35">
          <a:extLst>
            <a:ext uri="{FF2B5EF4-FFF2-40B4-BE49-F238E27FC236}">
              <a16:creationId xmlns:a16="http://schemas.microsoft.com/office/drawing/2014/main" id="{00000000-0008-0000-1300-000098300000}"/>
            </a:ext>
          </a:extLst>
        </xdr:cNvPr>
        <xdr:cNvSpPr>
          <a:spLocks noChangeShapeType="1"/>
        </xdr:cNvSpPr>
      </xdr:nvSpPr>
      <xdr:spPr bwMode="auto">
        <a:xfrm>
          <a:off x="21945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44</xdr:row>
      <xdr:rowOff>0</xdr:rowOff>
    </xdr:from>
    <xdr:to>
      <xdr:col>4</xdr:col>
      <xdr:colOff>7620</xdr:colOff>
      <xdr:row>44</xdr:row>
      <xdr:rowOff>0</xdr:rowOff>
    </xdr:to>
    <xdr:sp macro="" textlink="">
      <xdr:nvSpPr>
        <xdr:cNvPr id="12441" name="Line 36">
          <a:extLst>
            <a:ext uri="{FF2B5EF4-FFF2-40B4-BE49-F238E27FC236}">
              <a16:creationId xmlns:a16="http://schemas.microsoft.com/office/drawing/2014/main" id="{00000000-0008-0000-1300-000099300000}"/>
            </a:ext>
          </a:extLst>
        </xdr:cNvPr>
        <xdr:cNvSpPr>
          <a:spLocks noChangeShapeType="1"/>
        </xdr:cNvSpPr>
      </xdr:nvSpPr>
      <xdr:spPr bwMode="auto">
        <a:xfrm>
          <a:off x="2194560" y="80391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45</xdr:row>
      <xdr:rowOff>0</xdr:rowOff>
    </xdr:from>
    <xdr:to>
      <xdr:col>4</xdr:col>
      <xdr:colOff>7620</xdr:colOff>
      <xdr:row>45</xdr:row>
      <xdr:rowOff>0</xdr:rowOff>
    </xdr:to>
    <xdr:sp macro="" textlink="">
      <xdr:nvSpPr>
        <xdr:cNvPr id="12442" name="Line 37">
          <a:extLst>
            <a:ext uri="{FF2B5EF4-FFF2-40B4-BE49-F238E27FC236}">
              <a16:creationId xmlns:a16="http://schemas.microsoft.com/office/drawing/2014/main" id="{00000000-0008-0000-1300-00009A300000}"/>
            </a:ext>
          </a:extLst>
        </xdr:cNvPr>
        <xdr:cNvSpPr>
          <a:spLocks noChangeShapeType="1"/>
        </xdr:cNvSpPr>
      </xdr:nvSpPr>
      <xdr:spPr bwMode="auto">
        <a:xfrm>
          <a:off x="2194560" y="82067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46</xdr:row>
      <xdr:rowOff>0</xdr:rowOff>
    </xdr:from>
    <xdr:to>
      <xdr:col>4</xdr:col>
      <xdr:colOff>7620</xdr:colOff>
      <xdr:row>46</xdr:row>
      <xdr:rowOff>0</xdr:rowOff>
    </xdr:to>
    <xdr:sp macro="" textlink="">
      <xdr:nvSpPr>
        <xdr:cNvPr id="12443" name="Line 38">
          <a:extLst>
            <a:ext uri="{FF2B5EF4-FFF2-40B4-BE49-F238E27FC236}">
              <a16:creationId xmlns:a16="http://schemas.microsoft.com/office/drawing/2014/main" id="{00000000-0008-0000-1300-00009B300000}"/>
            </a:ext>
          </a:extLst>
        </xdr:cNvPr>
        <xdr:cNvSpPr>
          <a:spLocks noChangeShapeType="1"/>
        </xdr:cNvSpPr>
      </xdr:nvSpPr>
      <xdr:spPr bwMode="auto">
        <a:xfrm>
          <a:off x="2194560" y="83743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46</xdr:row>
      <xdr:rowOff>0</xdr:rowOff>
    </xdr:from>
    <xdr:to>
      <xdr:col>6</xdr:col>
      <xdr:colOff>0</xdr:colOff>
      <xdr:row>46</xdr:row>
      <xdr:rowOff>0</xdr:rowOff>
    </xdr:to>
    <xdr:sp macro="" textlink="">
      <xdr:nvSpPr>
        <xdr:cNvPr id="12444" name="Line 39">
          <a:extLst>
            <a:ext uri="{FF2B5EF4-FFF2-40B4-BE49-F238E27FC236}">
              <a16:creationId xmlns:a16="http://schemas.microsoft.com/office/drawing/2014/main" id="{00000000-0008-0000-1300-00009C300000}"/>
            </a:ext>
          </a:extLst>
        </xdr:cNvPr>
        <xdr:cNvSpPr>
          <a:spLocks noChangeShapeType="1"/>
        </xdr:cNvSpPr>
      </xdr:nvSpPr>
      <xdr:spPr bwMode="auto">
        <a:xfrm>
          <a:off x="4389120" y="83743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58</xdr:row>
      <xdr:rowOff>0</xdr:rowOff>
    </xdr:from>
    <xdr:to>
      <xdr:col>14</xdr:col>
      <xdr:colOff>640080</xdr:colOff>
      <xdr:row>58</xdr:row>
      <xdr:rowOff>0</xdr:rowOff>
    </xdr:to>
    <xdr:sp macro="" textlink="">
      <xdr:nvSpPr>
        <xdr:cNvPr id="12445" name="Line 40">
          <a:extLst>
            <a:ext uri="{FF2B5EF4-FFF2-40B4-BE49-F238E27FC236}">
              <a16:creationId xmlns:a16="http://schemas.microsoft.com/office/drawing/2014/main" id="{00000000-0008-0000-1300-00009D300000}"/>
            </a:ext>
          </a:extLst>
        </xdr:cNvPr>
        <xdr:cNvSpPr>
          <a:spLocks noChangeShapeType="1"/>
        </xdr:cNvSpPr>
      </xdr:nvSpPr>
      <xdr:spPr bwMode="auto">
        <a:xfrm>
          <a:off x="10584180" y="1050798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12446" name="Line 41">
          <a:extLst>
            <a:ext uri="{FF2B5EF4-FFF2-40B4-BE49-F238E27FC236}">
              <a16:creationId xmlns:a16="http://schemas.microsoft.com/office/drawing/2014/main" id="{00000000-0008-0000-1300-00009E30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12447" name="Line 42">
          <a:extLst>
            <a:ext uri="{FF2B5EF4-FFF2-40B4-BE49-F238E27FC236}">
              <a16:creationId xmlns:a16="http://schemas.microsoft.com/office/drawing/2014/main" id="{00000000-0008-0000-1300-00009F30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51</xdr:row>
      <xdr:rowOff>0</xdr:rowOff>
    </xdr:from>
    <xdr:to>
      <xdr:col>10</xdr:col>
      <xdr:colOff>0</xdr:colOff>
      <xdr:row>51</xdr:row>
      <xdr:rowOff>0</xdr:rowOff>
    </xdr:to>
    <xdr:sp macro="" textlink="">
      <xdr:nvSpPr>
        <xdr:cNvPr id="12448" name="Line 43">
          <a:extLst>
            <a:ext uri="{FF2B5EF4-FFF2-40B4-BE49-F238E27FC236}">
              <a16:creationId xmlns:a16="http://schemas.microsoft.com/office/drawing/2014/main" id="{00000000-0008-0000-1300-0000A0300000}"/>
            </a:ext>
          </a:extLst>
        </xdr:cNvPr>
        <xdr:cNvSpPr>
          <a:spLocks noChangeShapeType="1"/>
        </xdr:cNvSpPr>
      </xdr:nvSpPr>
      <xdr:spPr bwMode="auto">
        <a:xfrm>
          <a:off x="6926580" y="93345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59</xdr:row>
      <xdr:rowOff>0</xdr:rowOff>
    </xdr:from>
    <xdr:to>
      <xdr:col>14</xdr:col>
      <xdr:colOff>640080</xdr:colOff>
      <xdr:row>59</xdr:row>
      <xdr:rowOff>0</xdr:rowOff>
    </xdr:to>
    <xdr:sp macro="" textlink="">
      <xdr:nvSpPr>
        <xdr:cNvPr id="12449" name="Line 44">
          <a:extLst>
            <a:ext uri="{FF2B5EF4-FFF2-40B4-BE49-F238E27FC236}">
              <a16:creationId xmlns:a16="http://schemas.microsoft.com/office/drawing/2014/main" id="{00000000-0008-0000-1300-0000A1300000}"/>
            </a:ext>
          </a:extLst>
        </xdr:cNvPr>
        <xdr:cNvSpPr>
          <a:spLocks noChangeShapeType="1"/>
        </xdr:cNvSpPr>
      </xdr:nvSpPr>
      <xdr:spPr bwMode="auto">
        <a:xfrm>
          <a:off x="10584180" y="106756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51</xdr:row>
      <xdr:rowOff>0</xdr:rowOff>
    </xdr:from>
    <xdr:to>
      <xdr:col>6</xdr:col>
      <xdr:colOff>0</xdr:colOff>
      <xdr:row>51</xdr:row>
      <xdr:rowOff>0</xdr:rowOff>
    </xdr:to>
    <xdr:sp macro="" textlink="">
      <xdr:nvSpPr>
        <xdr:cNvPr id="12450" name="Line 45">
          <a:extLst>
            <a:ext uri="{FF2B5EF4-FFF2-40B4-BE49-F238E27FC236}">
              <a16:creationId xmlns:a16="http://schemas.microsoft.com/office/drawing/2014/main" id="{00000000-0008-0000-1300-0000A2300000}"/>
            </a:ext>
          </a:extLst>
        </xdr:cNvPr>
        <xdr:cNvSpPr>
          <a:spLocks noChangeShapeType="1"/>
        </xdr:cNvSpPr>
      </xdr:nvSpPr>
      <xdr:spPr bwMode="auto">
        <a:xfrm>
          <a:off x="4389120" y="9334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60</xdr:row>
      <xdr:rowOff>0</xdr:rowOff>
    </xdr:from>
    <xdr:to>
      <xdr:col>10</xdr:col>
      <xdr:colOff>0</xdr:colOff>
      <xdr:row>60</xdr:row>
      <xdr:rowOff>0</xdr:rowOff>
    </xdr:to>
    <xdr:sp macro="" textlink="">
      <xdr:nvSpPr>
        <xdr:cNvPr id="12451" name="Line 46">
          <a:extLst>
            <a:ext uri="{FF2B5EF4-FFF2-40B4-BE49-F238E27FC236}">
              <a16:creationId xmlns:a16="http://schemas.microsoft.com/office/drawing/2014/main" id="{00000000-0008-0000-1300-0000A3300000}"/>
            </a:ext>
          </a:extLst>
        </xdr:cNvPr>
        <xdr:cNvSpPr>
          <a:spLocks noChangeShapeType="1"/>
        </xdr:cNvSpPr>
      </xdr:nvSpPr>
      <xdr:spPr bwMode="auto">
        <a:xfrm>
          <a:off x="6926580" y="108432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60</xdr:row>
      <xdr:rowOff>0</xdr:rowOff>
    </xdr:from>
    <xdr:to>
      <xdr:col>15</xdr:col>
      <xdr:colOff>0</xdr:colOff>
      <xdr:row>60</xdr:row>
      <xdr:rowOff>0</xdr:rowOff>
    </xdr:to>
    <xdr:sp macro="" textlink="">
      <xdr:nvSpPr>
        <xdr:cNvPr id="12452" name="Line 47">
          <a:extLst>
            <a:ext uri="{FF2B5EF4-FFF2-40B4-BE49-F238E27FC236}">
              <a16:creationId xmlns:a16="http://schemas.microsoft.com/office/drawing/2014/main" id="{00000000-0008-0000-1300-0000A4300000}"/>
            </a:ext>
          </a:extLst>
        </xdr:cNvPr>
        <xdr:cNvSpPr>
          <a:spLocks noChangeShapeType="1"/>
        </xdr:cNvSpPr>
      </xdr:nvSpPr>
      <xdr:spPr bwMode="auto">
        <a:xfrm>
          <a:off x="10584180" y="108432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51</xdr:row>
      <xdr:rowOff>0</xdr:rowOff>
    </xdr:from>
    <xdr:to>
      <xdr:col>4</xdr:col>
      <xdr:colOff>7620</xdr:colOff>
      <xdr:row>51</xdr:row>
      <xdr:rowOff>0</xdr:rowOff>
    </xdr:to>
    <xdr:sp macro="" textlink="">
      <xdr:nvSpPr>
        <xdr:cNvPr id="12453" name="Line 48">
          <a:extLst>
            <a:ext uri="{FF2B5EF4-FFF2-40B4-BE49-F238E27FC236}">
              <a16:creationId xmlns:a16="http://schemas.microsoft.com/office/drawing/2014/main" id="{00000000-0008-0000-1300-0000A5300000}"/>
            </a:ext>
          </a:extLst>
        </xdr:cNvPr>
        <xdr:cNvSpPr>
          <a:spLocks noChangeShapeType="1"/>
        </xdr:cNvSpPr>
      </xdr:nvSpPr>
      <xdr:spPr bwMode="auto">
        <a:xfrm>
          <a:off x="2194560" y="93345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12454" name="Line 49">
          <a:extLst>
            <a:ext uri="{FF2B5EF4-FFF2-40B4-BE49-F238E27FC236}">
              <a16:creationId xmlns:a16="http://schemas.microsoft.com/office/drawing/2014/main" id="{00000000-0008-0000-1300-0000A630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12455" name="Line 50">
          <a:extLst>
            <a:ext uri="{FF2B5EF4-FFF2-40B4-BE49-F238E27FC236}">
              <a16:creationId xmlns:a16="http://schemas.microsoft.com/office/drawing/2014/main" id="{00000000-0008-0000-1300-0000A730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12456" name="Line 51">
          <a:extLst>
            <a:ext uri="{FF2B5EF4-FFF2-40B4-BE49-F238E27FC236}">
              <a16:creationId xmlns:a16="http://schemas.microsoft.com/office/drawing/2014/main" id="{00000000-0008-0000-1300-0000A830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59</xdr:row>
      <xdr:rowOff>0</xdr:rowOff>
    </xdr:from>
    <xdr:to>
      <xdr:col>4</xdr:col>
      <xdr:colOff>7620</xdr:colOff>
      <xdr:row>59</xdr:row>
      <xdr:rowOff>0</xdr:rowOff>
    </xdr:to>
    <xdr:sp macro="" textlink="">
      <xdr:nvSpPr>
        <xdr:cNvPr id="12457" name="Line 52">
          <a:extLst>
            <a:ext uri="{FF2B5EF4-FFF2-40B4-BE49-F238E27FC236}">
              <a16:creationId xmlns:a16="http://schemas.microsoft.com/office/drawing/2014/main" id="{00000000-0008-0000-1300-0000A9300000}"/>
            </a:ext>
          </a:extLst>
        </xdr:cNvPr>
        <xdr:cNvSpPr>
          <a:spLocks noChangeShapeType="1"/>
        </xdr:cNvSpPr>
      </xdr:nvSpPr>
      <xdr:spPr bwMode="auto">
        <a:xfrm>
          <a:off x="2194560" y="106756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60</xdr:row>
      <xdr:rowOff>0</xdr:rowOff>
    </xdr:from>
    <xdr:to>
      <xdr:col>4</xdr:col>
      <xdr:colOff>7620</xdr:colOff>
      <xdr:row>60</xdr:row>
      <xdr:rowOff>0</xdr:rowOff>
    </xdr:to>
    <xdr:sp macro="" textlink="">
      <xdr:nvSpPr>
        <xdr:cNvPr id="12458" name="Line 53">
          <a:extLst>
            <a:ext uri="{FF2B5EF4-FFF2-40B4-BE49-F238E27FC236}">
              <a16:creationId xmlns:a16="http://schemas.microsoft.com/office/drawing/2014/main" id="{00000000-0008-0000-1300-0000AA300000}"/>
            </a:ext>
          </a:extLst>
        </xdr:cNvPr>
        <xdr:cNvSpPr>
          <a:spLocks noChangeShapeType="1"/>
        </xdr:cNvSpPr>
      </xdr:nvSpPr>
      <xdr:spPr bwMode="auto">
        <a:xfrm>
          <a:off x="2194560" y="108432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60</xdr:row>
      <xdr:rowOff>0</xdr:rowOff>
    </xdr:from>
    <xdr:to>
      <xdr:col>6</xdr:col>
      <xdr:colOff>0</xdr:colOff>
      <xdr:row>60</xdr:row>
      <xdr:rowOff>0</xdr:rowOff>
    </xdr:to>
    <xdr:sp macro="" textlink="">
      <xdr:nvSpPr>
        <xdr:cNvPr id="12459" name="Line 54">
          <a:extLst>
            <a:ext uri="{FF2B5EF4-FFF2-40B4-BE49-F238E27FC236}">
              <a16:creationId xmlns:a16="http://schemas.microsoft.com/office/drawing/2014/main" id="{00000000-0008-0000-1300-0000AB300000}"/>
            </a:ext>
          </a:extLst>
        </xdr:cNvPr>
        <xdr:cNvSpPr>
          <a:spLocks noChangeShapeType="1"/>
        </xdr:cNvSpPr>
      </xdr:nvSpPr>
      <xdr:spPr bwMode="auto">
        <a:xfrm>
          <a:off x="4389120" y="108432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29</xdr:row>
      <xdr:rowOff>0</xdr:rowOff>
    </xdr:from>
    <xdr:to>
      <xdr:col>7</xdr:col>
      <xdr:colOff>45720</xdr:colOff>
      <xdr:row>29</xdr:row>
      <xdr:rowOff>0</xdr:rowOff>
    </xdr:to>
    <xdr:sp macro="" textlink="">
      <xdr:nvSpPr>
        <xdr:cNvPr id="12460" name="Line 55">
          <a:extLst>
            <a:ext uri="{FF2B5EF4-FFF2-40B4-BE49-F238E27FC236}">
              <a16:creationId xmlns:a16="http://schemas.microsoft.com/office/drawing/2014/main" id="{00000000-0008-0000-1300-0000AC300000}"/>
            </a:ext>
          </a:extLst>
        </xdr:cNvPr>
        <xdr:cNvSpPr>
          <a:spLocks noChangeShapeType="1"/>
        </xdr:cNvSpPr>
      </xdr:nvSpPr>
      <xdr:spPr bwMode="auto">
        <a:xfrm>
          <a:off x="4389120" y="552450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42</xdr:row>
      <xdr:rowOff>0</xdr:rowOff>
    </xdr:from>
    <xdr:to>
      <xdr:col>7</xdr:col>
      <xdr:colOff>45720</xdr:colOff>
      <xdr:row>42</xdr:row>
      <xdr:rowOff>0</xdr:rowOff>
    </xdr:to>
    <xdr:sp macro="" textlink="">
      <xdr:nvSpPr>
        <xdr:cNvPr id="12461" name="Line 56">
          <a:extLst>
            <a:ext uri="{FF2B5EF4-FFF2-40B4-BE49-F238E27FC236}">
              <a16:creationId xmlns:a16="http://schemas.microsoft.com/office/drawing/2014/main" id="{00000000-0008-0000-1300-0000AD300000}"/>
            </a:ext>
          </a:extLst>
        </xdr:cNvPr>
        <xdr:cNvSpPr>
          <a:spLocks noChangeShapeType="1"/>
        </xdr:cNvSpPr>
      </xdr:nvSpPr>
      <xdr:spPr bwMode="auto">
        <a:xfrm>
          <a:off x="4389120" y="770382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57</xdr:row>
      <xdr:rowOff>0</xdr:rowOff>
    </xdr:from>
    <xdr:to>
      <xdr:col>7</xdr:col>
      <xdr:colOff>45720</xdr:colOff>
      <xdr:row>57</xdr:row>
      <xdr:rowOff>0</xdr:rowOff>
    </xdr:to>
    <xdr:sp macro="" textlink="">
      <xdr:nvSpPr>
        <xdr:cNvPr id="12462" name="Line 57">
          <a:extLst>
            <a:ext uri="{FF2B5EF4-FFF2-40B4-BE49-F238E27FC236}">
              <a16:creationId xmlns:a16="http://schemas.microsoft.com/office/drawing/2014/main" id="{00000000-0008-0000-1300-0000AE300000}"/>
            </a:ext>
          </a:extLst>
        </xdr:cNvPr>
        <xdr:cNvSpPr>
          <a:spLocks noChangeShapeType="1"/>
        </xdr:cNvSpPr>
      </xdr:nvSpPr>
      <xdr:spPr bwMode="auto">
        <a:xfrm>
          <a:off x="4389120" y="1034034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69</xdr:row>
      <xdr:rowOff>0</xdr:rowOff>
    </xdr:from>
    <xdr:to>
      <xdr:col>6</xdr:col>
      <xdr:colOff>0</xdr:colOff>
      <xdr:row>69</xdr:row>
      <xdr:rowOff>0</xdr:rowOff>
    </xdr:to>
    <xdr:sp macro="" textlink="">
      <xdr:nvSpPr>
        <xdr:cNvPr id="12463" name="Line 58">
          <a:extLst>
            <a:ext uri="{FF2B5EF4-FFF2-40B4-BE49-F238E27FC236}">
              <a16:creationId xmlns:a16="http://schemas.microsoft.com/office/drawing/2014/main" id="{00000000-0008-0000-1300-0000AF300000}"/>
            </a:ext>
          </a:extLst>
        </xdr:cNvPr>
        <xdr:cNvSpPr>
          <a:spLocks noChangeShapeType="1"/>
        </xdr:cNvSpPr>
      </xdr:nvSpPr>
      <xdr:spPr bwMode="auto">
        <a:xfrm>
          <a:off x="4389120" y="123520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69</xdr:row>
      <xdr:rowOff>0</xdr:rowOff>
    </xdr:from>
    <xdr:to>
      <xdr:col>14</xdr:col>
      <xdr:colOff>640080</xdr:colOff>
      <xdr:row>69</xdr:row>
      <xdr:rowOff>0</xdr:rowOff>
    </xdr:to>
    <xdr:sp macro="" textlink="">
      <xdr:nvSpPr>
        <xdr:cNvPr id="12464" name="Line 59">
          <a:extLst>
            <a:ext uri="{FF2B5EF4-FFF2-40B4-BE49-F238E27FC236}">
              <a16:creationId xmlns:a16="http://schemas.microsoft.com/office/drawing/2014/main" id="{00000000-0008-0000-1300-0000B0300000}"/>
            </a:ext>
          </a:extLst>
        </xdr:cNvPr>
        <xdr:cNvSpPr>
          <a:spLocks noChangeShapeType="1"/>
        </xdr:cNvSpPr>
      </xdr:nvSpPr>
      <xdr:spPr bwMode="auto">
        <a:xfrm>
          <a:off x="10584180" y="123520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70</xdr:row>
      <xdr:rowOff>0</xdr:rowOff>
    </xdr:from>
    <xdr:to>
      <xdr:col>6</xdr:col>
      <xdr:colOff>0</xdr:colOff>
      <xdr:row>70</xdr:row>
      <xdr:rowOff>0</xdr:rowOff>
    </xdr:to>
    <xdr:sp macro="" textlink="">
      <xdr:nvSpPr>
        <xdr:cNvPr id="12465" name="Line 60">
          <a:extLst>
            <a:ext uri="{FF2B5EF4-FFF2-40B4-BE49-F238E27FC236}">
              <a16:creationId xmlns:a16="http://schemas.microsoft.com/office/drawing/2014/main" id="{00000000-0008-0000-1300-0000B1300000}"/>
            </a:ext>
          </a:extLst>
        </xdr:cNvPr>
        <xdr:cNvSpPr>
          <a:spLocks noChangeShapeType="1"/>
        </xdr:cNvSpPr>
      </xdr:nvSpPr>
      <xdr:spPr bwMode="auto">
        <a:xfrm>
          <a:off x="4389120" y="125196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2466" name="Line 61">
          <a:extLst>
            <a:ext uri="{FF2B5EF4-FFF2-40B4-BE49-F238E27FC236}">
              <a16:creationId xmlns:a16="http://schemas.microsoft.com/office/drawing/2014/main" id="{00000000-0008-0000-1300-0000B230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2467" name="Line 62">
          <a:extLst>
            <a:ext uri="{FF2B5EF4-FFF2-40B4-BE49-F238E27FC236}">
              <a16:creationId xmlns:a16="http://schemas.microsoft.com/office/drawing/2014/main" id="{00000000-0008-0000-1300-0000B330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62</xdr:row>
      <xdr:rowOff>0</xdr:rowOff>
    </xdr:from>
    <xdr:to>
      <xdr:col>10</xdr:col>
      <xdr:colOff>0</xdr:colOff>
      <xdr:row>62</xdr:row>
      <xdr:rowOff>0</xdr:rowOff>
    </xdr:to>
    <xdr:sp macro="" textlink="">
      <xdr:nvSpPr>
        <xdr:cNvPr id="12468" name="Line 63">
          <a:extLst>
            <a:ext uri="{FF2B5EF4-FFF2-40B4-BE49-F238E27FC236}">
              <a16:creationId xmlns:a16="http://schemas.microsoft.com/office/drawing/2014/main" id="{00000000-0008-0000-1300-0000B4300000}"/>
            </a:ext>
          </a:extLst>
        </xdr:cNvPr>
        <xdr:cNvSpPr>
          <a:spLocks noChangeShapeType="1"/>
        </xdr:cNvSpPr>
      </xdr:nvSpPr>
      <xdr:spPr bwMode="auto">
        <a:xfrm>
          <a:off x="6926580" y="111785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70</xdr:row>
      <xdr:rowOff>0</xdr:rowOff>
    </xdr:from>
    <xdr:to>
      <xdr:col>14</xdr:col>
      <xdr:colOff>640080</xdr:colOff>
      <xdr:row>70</xdr:row>
      <xdr:rowOff>0</xdr:rowOff>
    </xdr:to>
    <xdr:sp macro="" textlink="">
      <xdr:nvSpPr>
        <xdr:cNvPr id="12469" name="Line 64">
          <a:extLst>
            <a:ext uri="{FF2B5EF4-FFF2-40B4-BE49-F238E27FC236}">
              <a16:creationId xmlns:a16="http://schemas.microsoft.com/office/drawing/2014/main" id="{00000000-0008-0000-1300-0000B5300000}"/>
            </a:ext>
          </a:extLst>
        </xdr:cNvPr>
        <xdr:cNvSpPr>
          <a:spLocks noChangeShapeType="1"/>
        </xdr:cNvSpPr>
      </xdr:nvSpPr>
      <xdr:spPr bwMode="auto">
        <a:xfrm>
          <a:off x="10584180" y="1251966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62</xdr:row>
      <xdr:rowOff>0</xdr:rowOff>
    </xdr:from>
    <xdr:to>
      <xdr:col>6</xdr:col>
      <xdr:colOff>0</xdr:colOff>
      <xdr:row>62</xdr:row>
      <xdr:rowOff>0</xdr:rowOff>
    </xdr:to>
    <xdr:sp macro="" textlink="">
      <xdr:nvSpPr>
        <xdr:cNvPr id="12470" name="Line 65">
          <a:extLst>
            <a:ext uri="{FF2B5EF4-FFF2-40B4-BE49-F238E27FC236}">
              <a16:creationId xmlns:a16="http://schemas.microsoft.com/office/drawing/2014/main" id="{00000000-0008-0000-1300-0000B6300000}"/>
            </a:ext>
          </a:extLst>
        </xdr:cNvPr>
        <xdr:cNvSpPr>
          <a:spLocks noChangeShapeType="1"/>
        </xdr:cNvSpPr>
      </xdr:nvSpPr>
      <xdr:spPr bwMode="auto">
        <a:xfrm>
          <a:off x="4389120" y="111785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62</xdr:row>
      <xdr:rowOff>0</xdr:rowOff>
    </xdr:from>
    <xdr:to>
      <xdr:col>4</xdr:col>
      <xdr:colOff>7620</xdr:colOff>
      <xdr:row>62</xdr:row>
      <xdr:rowOff>0</xdr:rowOff>
    </xdr:to>
    <xdr:sp macro="" textlink="">
      <xdr:nvSpPr>
        <xdr:cNvPr id="12471" name="Line 66">
          <a:extLst>
            <a:ext uri="{FF2B5EF4-FFF2-40B4-BE49-F238E27FC236}">
              <a16:creationId xmlns:a16="http://schemas.microsoft.com/office/drawing/2014/main" id="{00000000-0008-0000-1300-0000B7300000}"/>
            </a:ext>
          </a:extLst>
        </xdr:cNvPr>
        <xdr:cNvSpPr>
          <a:spLocks noChangeShapeType="1"/>
        </xdr:cNvSpPr>
      </xdr:nvSpPr>
      <xdr:spPr bwMode="auto">
        <a:xfrm>
          <a:off x="2194560" y="11178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2472" name="Line 67">
          <a:extLst>
            <a:ext uri="{FF2B5EF4-FFF2-40B4-BE49-F238E27FC236}">
              <a16:creationId xmlns:a16="http://schemas.microsoft.com/office/drawing/2014/main" id="{00000000-0008-0000-1300-0000B830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2473" name="Line 68">
          <a:extLst>
            <a:ext uri="{FF2B5EF4-FFF2-40B4-BE49-F238E27FC236}">
              <a16:creationId xmlns:a16="http://schemas.microsoft.com/office/drawing/2014/main" id="{00000000-0008-0000-1300-0000B930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2474" name="Line 69">
          <a:extLst>
            <a:ext uri="{FF2B5EF4-FFF2-40B4-BE49-F238E27FC236}">
              <a16:creationId xmlns:a16="http://schemas.microsoft.com/office/drawing/2014/main" id="{00000000-0008-0000-1300-0000BA30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2475" name="Line 70">
          <a:extLst>
            <a:ext uri="{FF2B5EF4-FFF2-40B4-BE49-F238E27FC236}">
              <a16:creationId xmlns:a16="http://schemas.microsoft.com/office/drawing/2014/main" id="{00000000-0008-0000-1300-0000BB30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68</xdr:row>
      <xdr:rowOff>0</xdr:rowOff>
    </xdr:from>
    <xdr:to>
      <xdr:col>7</xdr:col>
      <xdr:colOff>45720</xdr:colOff>
      <xdr:row>68</xdr:row>
      <xdr:rowOff>0</xdr:rowOff>
    </xdr:to>
    <xdr:sp macro="" textlink="">
      <xdr:nvSpPr>
        <xdr:cNvPr id="12476" name="Line 71">
          <a:extLst>
            <a:ext uri="{FF2B5EF4-FFF2-40B4-BE49-F238E27FC236}">
              <a16:creationId xmlns:a16="http://schemas.microsoft.com/office/drawing/2014/main" id="{00000000-0008-0000-1300-0000BC300000}"/>
            </a:ext>
          </a:extLst>
        </xdr:cNvPr>
        <xdr:cNvSpPr>
          <a:spLocks noChangeShapeType="1"/>
        </xdr:cNvSpPr>
      </xdr:nvSpPr>
      <xdr:spPr bwMode="auto">
        <a:xfrm>
          <a:off x="4389120" y="1218438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70</xdr:row>
      <xdr:rowOff>0</xdr:rowOff>
    </xdr:from>
    <xdr:to>
      <xdr:col>4</xdr:col>
      <xdr:colOff>7620</xdr:colOff>
      <xdr:row>70</xdr:row>
      <xdr:rowOff>0</xdr:rowOff>
    </xdr:to>
    <xdr:sp macro="" textlink="">
      <xdr:nvSpPr>
        <xdr:cNvPr id="12477" name="Line 72">
          <a:extLst>
            <a:ext uri="{FF2B5EF4-FFF2-40B4-BE49-F238E27FC236}">
              <a16:creationId xmlns:a16="http://schemas.microsoft.com/office/drawing/2014/main" id="{00000000-0008-0000-1300-0000BD300000}"/>
            </a:ext>
          </a:extLst>
        </xdr:cNvPr>
        <xdr:cNvSpPr>
          <a:spLocks noChangeShapeType="1"/>
        </xdr:cNvSpPr>
      </xdr:nvSpPr>
      <xdr:spPr bwMode="auto">
        <a:xfrm>
          <a:off x="2194560" y="12519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79</xdr:row>
      <xdr:rowOff>0</xdr:rowOff>
    </xdr:from>
    <xdr:to>
      <xdr:col>6</xdr:col>
      <xdr:colOff>0</xdr:colOff>
      <xdr:row>79</xdr:row>
      <xdr:rowOff>0</xdr:rowOff>
    </xdr:to>
    <xdr:sp macro="" textlink="">
      <xdr:nvSpPr>
        <xdr:cNvPr id="12478" name="Line 73">
          <a:extLst>
            <a:ext uri="{FF2B5EF4-FFF2-40B4-BE49-F238E27FC236}">
              <a16:creationId xmlns:a16="http://schemas.microsoft.com/office/drawing/2014/main" id="{00000000-0008-0000-1300-0000BE300000}"/>
            </a:ext>
          </a:extLst>
        </xdr:cNvPr>
        <xdr:cNvSpPr>
          <a:spLocks noChangeShapeType="1"/>
        </xdr:cNvSpPr>
      </xdr:nvSpPr>
      <xdr:spPr bwMode="auto">
        <a:xfrm>
          <a:off x="4389120" y="140284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79</xdr:row>
      <xdr:rowOff>0</xdr:rowOff>
    </xdr:from>
    <xdr:to>
      <xdr:col>14</xdr:col>
      <xdr:colOff>640080</xdr:colOff>
      <xdr:row>79</xdr:row>
      <xdr:rowOff>0</xdr:rowOff>
    </xdr:to>
    <xdr:sp macro="" textlink="">
      <xdr:nvSpPr>
        <xdr:cNvPr id="12479" name="Line 74">
          <a:extLst>
            <a:ext uri="{FF2B5EF4-FFF2-40B4-BE49-F238E27FC236}">
              <a16:creationId xmlns:a16="http://schemas.microsoft.com/office/drawing/2014/main" id="{00000000-0008-0000-1300-0000BF300000}"/>
            </a:ext>
          </a:extLst>
        </xdr:cNvPr>
        <xdr:cNvSpPr>
          <a:spLocks noChangeShapeType="1"/>
        </xdr:cNvSpPr>
      </xdr:nvSpPr>
      <xdr:spPr bwMode="auto">
        <a:xfrm>
          <a:off x="10584180" y="140284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2480" name="Line 75">
          <a:extLst>
            <a:ext uri="{FF2B5EF4-FFF2-40B4-BE49-F238E27FC236}">
              <a16:creationId xmlns:a16="http://schemas.microsoft.com/office/drawing/2014/main" id="{00000000-0008-0000-1300-0000C030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2481" name="Line 76">
          <a:extLst>
            <a:ext uri="{FF2B5EF4-FFF2-40B4-BE49-F238E27FC236}">
              <a16:creationId xmlns:a16="http://schemas.microsoft.com/office/drawing/2014/main" id="{00000000-0008-0000-1300-0000C130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72</xdr:row>
      <xdr:rowOff>0</xdr:rowOff>
    </xdr:from>
    <xdr:to>
      <xdr:col>10</xdr:col>
      <xdr:colOff>0</xdr:colOff>
      <xdr:row>72</xdr:row>
      <xdr:rowOff>0</xdr:rowOff>
    </xdr:to>
    <xdr:sp macro="" textlink="">
      <xdr:nvSpPr>
        <xdr:cNvPr id="12482" name="Line 77">
          <a:extLst>
            <a:ext uri="{FF2B5EF4-FFF2-40B4-BE49-F238E27FC236}">
              <a16:creationId xmlns:a16="http://schemas.microsoft.com/office/drawing/2014/main" id="{00000000-0008-0000-1300-0000C2300000}"/>
            </a:ext>
          </a:extLst>
        </xdr:cNvPr>
        <xdr:cNvSpPr>
          <a:spLocks noChangeShapeType="1"/>
        </xdr:cNvSpPr>
      </xdr:nvSpPr>
      <xdr:spPr bwMode="auto">
        <a:xfrm>
          <a:off x="6926580" y="128549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72</xdr:row>
      <xdr:rowOff>0</xdr:rowOff>
    </xdr:from>
    <xdr:to>
      <xdr:col>6</xdr:col>
      <xdr:colOff>0</xdr:colOff>
      <xdr:row>72</xdr:row>
      <xdr:rowOff>0</xdr:rowOff>
    </xdr:to>
    <xdr:sp macro="" textlink="">
      <xdr:nvSpPr>
        <xdr:cNvPr id="12483" name="Line 78">
          <a:extLst>
            <a:ext uri="{FF2B5EF4-FFF2-40B4-BE49-F238E27FC236}">
              <a16:creationId xmlns:a16="http://schemas.microsoft.com/office/drawing/2014/main" id="{00000000-0008-0000-1300-0000C3300000}"/>
            </a:ext>
          </a:extLst>
        </xdr:cNvPr>
        <xdr:cNvSpPr>
          <a:spLocks noChangeShapeType="1"/>
        </xdr:cNvSpPr>
      </xdr:nvSpPr>
      <xdr:spPr bwMode="auto">
        <a:xfrm>
          <a:off x="4389120" y="128549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72</xdr:row>
      <xdr:rowOff>0</xdr:rowOff>
    </xdr:from>
    <xdr:to>
      <xdr:col>4</xdr:col>
      <xdr:colOff>7620</xdr:colOff>
      <xdr:row>72</xdr:row>
      <xdr:rowOff>0</xdr:rowOff>
    </xdr:to>
    <xdr:sp macro="" textlink="">
      <xdr:nvSpPr>
        <xdr:cNvPr id="12484" name="Line 79">
          <a:extLst>
            <a:ext uri="{FF2B5EF4-FFF2-40B4-BE49-F238E27FC236}">
              <a16:creationId xmlns:a16="http://schemas.microsoft.com/office/drawing/2014/main" id="{00000000-0008-0000-1300-0000C4300000}"/>
            </a:ext>
          </a:extLst>
        </xdr:cNvPr>
        <xdr:cNvSpPr>
          <a:spLocks noChangeShapeType="1"/>
        </xdr:cNvSpPr>
      </xdr:nvSpPr>
      <xdr:spPr bwMode="auto">
        <a:xfrm>
          <a:off x="2194560" y="128549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2485" name="Line 80">
          <a:extLst>
            <a:ext uri="{FF2B5EF4-FFF2-40B4-BE49-F238E27FC236}">
              <a16:creationId xmlns:a16="http://schemas.microsoft.com/office/drawing/2014/main" id="{00000000-0008-0000-1300-0000C530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2486" name="Line 81">
          <a:extLst>
            <a:ext uri="{FF2B5EF4-FFF2-40B4-BE49-F238E27FC236}">
              <a16:creationId xmlns:a16="http://schemas.microsoft.com/office/drawing/2014/main" id="{00000000-0008-0000-1300-0000C630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2487" name="Line 82">
          <a:extLst>
            <a:ext uri="{FF2B5EF4-FFF2-40B4-BE49-F238E27FC236}">
              <a16:creationId xmlns:a16="http://schemas.microsoft.com/office/drawing/2014/main" id="{00000000-0008-0000-1300-0000C730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2488" name="Line 83">
          <a:extLst>
            <a:ext uri="{FF2B5EF4-FFF2-40B4-BE49-F238E27FC236}">
              <a16:creationId xmlns:a16="http://schemas.microsoft.com/office/drawing/2014/main" id="{00000000-0008-0000-1300-0000C830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78</xdr:row>
      <xdr:rowOff>0</xdr:rowOff>
    </xdr:from>
    <xdr:to>
      <xdr:col>7</xdr:col>
      <xdr:colOff>45720</xdr:colOff>
      <xdr:row>78</xdr:row>
      <xdr:rowOff>0</xdr:rowOff>
    </xdr:to>
    <xdr:sp macro="" textlink="">
      <xdr:nvSpPr>
        <xdr:cNvPr id="12489" name="Line 84">
          <a:extLst>
            <a:ext uri="{FF2B5EF4-FFF2-40B4-BE49-F238E27FC236}">
              <a16:creationId xmlns:a16="http://schemas.microsoft.com/office/drawing/2014/main" id="{00000000-0008-0000-1300-0000C9300000}"/>
            </a:ext>
          </a:extLst>
        </xdr:cNvPr>
        <xdr:cNvSpPr>
          <a:spLocks noChangeShapeType="1"/>
        </xdr:cNvSpPr>
      </xdr:nvSpPr>
      <xdr:spPr bwMode="auto">
        <a:xfrm>
          <a:off x="4389120" y="1386078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12490" name="Line 85">
          <a:extLst>
            <a:ext uri="{FF2B5EF4-FFF2-40B4-BE49-F238E27FC236}">
              <a16:creationId xmlns:a16="http://schemas.microsoft.com/office/drawing/2014/main" id="{00000000-0008-0000-1300-0000CA300000}"/>
            </a:ext>
          </a:extLst>
        </xdr:cNvPr>
        <xdr:cNvSpPr>
          <a:spLocks noChangeShapeType="1"/>
        </xdr:cNvSpPr>
      </xdr:nvSpPr>
      <xdr:spPr bwMode="auto">
        <a:xfrm>
          <a:off x="69265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12491" name="Line 86">
          <a:extLst>
            <a:ext uri="{FF2B5EF4-FFF2-40B4-BE49-F238E27FC236}">
              <a16:creationId xmlns:a16="http://schemas.microsoft.com/office/drawing/2014/main" id="{00000000-0008-0000-1300-0000CB300000}"/>
            </a:ext>
          </a:extLst>
        </xdr:cNvPr>
        <xdr:cNvSpPr>
          <a:spLocks noChangeShapeType="1"/>
        </xdr:cNvSpPr>
      </xdr:nvSpPr>
      <xdr:spPr bwMode="auto">
        <a:xfrm>
          <a:off x="43891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12492" name="Line 87">
          <a:extLst>
            <a:ext uri="{FF2B5EF4-FFF2-40B4-BE49-F238E27FC236}">
              <a16:creationId xmlns:a16="http://schemas.microsoft.com/office/drawing/2014/main" id="{00000000-0008-0000-1300-0000CC300000}"/>
            </a:ext>
          </a:extLst>
        </xdr:cNvPr>
        <xdr:cNvSpPr>
          <a:spLocks noChangeShapeType="1"/>
        </xdr:cNvSpPr>
      </xdr:nvSpPr>
      <xdr:spPr bwMode="auto">
        <a:xfrm>
          <a:off x="21945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12493" name="Line 88">
          <a:extLst>
            <a:ext uri="{FF2B5EF4-FFF2-40B4-BE49-F238E27FC236}">
              <a16:creationId xmlns:a16="http://schemas.microsoft.com/office/drawing/2014/main" id="{00000000-0008-0000-1300-0000CD300000}"/>
            </a:ext>
          </a:extLst>
        </xdr:cNvPr>
        <xdr:cNvSpPr>
          <a:spLocks noChangeShapeType="1"/>
        </xdr:cNvSpPr>
      </xdr:nvSpPr>
      <xdr:spPr bwMode="auto">
        <a:xfrm>
          <a:off x="4389120" y="1536954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44</xdr:row>
      <xdr:rowOff>0</xdr:rowOff>
    </xdr:from>
    <xdr:to>
      <xdr:col>6</xdr:col>
      <xdr:colOff>0</xdr:colOff>
      <xdr:row>44</xdr:row>
      <xdr:rowOff>0</xdr:rowOff>
    </xdr:to>
    <xdr:sp macro="" textlink="">
      <xdr:nvSpPr>
        <xdr:cNvPr id="12494" name="Line 89">
          <a:extLst>
            <a:ext uri="{FF2B5EF4-FFF2-40B4-BE49-F238E27FC236}">
              <a16:creationId xmlns:a16="http://schemas.microsoft.com/office/drawing/2014/main" id="{00000000-0008-0000-1300-0000CE300000}"/>
            </a:ext>
          </a:extLst>
        </xdr:cNvPr>
        <xdr:cNvSpPr>
          <a:spLocks noChangeShapeType="1"/>
        </xdr:cNvSpPr>
      </xdr:nvSpPr>
      <xdr:spPr bwMode="auto">
        <a:xfrm>
          <a:off x="4389120" y="80391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43</xdr:row>
      <xdr:rowOff>0</xdr:rowOff>
    </xdr:from>
    <xdr:to>
      <xdr:col>6</xdr:col>
      <xdr:colOff>0</xdr:colOff>
      <xdr:row>43</xdr:row>
      <xdr:rowOff>0</xdr:rowOff>
    </xdr:to>
    <xdr:sp macro="" textlink="">
      <xdr:nvSpPr>
        <xdr:cNvPr id="12495" name="Line 90">
          <a:extLst>
            <a:ext uri="{FF2B5EF4-FFF2-40B4-BE49-F238E27FC236}">
              <a16:creationId xmlns:a16="http://schemas.microsoft.com/office/drawing/2014/main" id="{00000000-0008-0000-1300-0000CF300000}"/>
            </a:ext>
          </a:extLst>
        </xdr:cNvPr>
        <xdr:cNvSpPr>
          <a:spLocks noChangeShapeType="1"/>
        </xdr:cNvSpPr>
      </xdr:nvSpPr>
      <xdr:spPr bwMode="auto">
        <a:xfrm>
          <a:off x="4389120" y="78714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59</xdr:row>
      <xdr:rowOff>0</xdr:rowOff>
    </xdr:from>
    <xdr:to>
      <xdr:col>6</xdr:col>
      <xdr:colOff>0</xdr:colOff>
      <xdr:row>59</xdr:row>
      <xdr:rowOff>0</xdr:rowOff>
    </xdr:to>
    <xdr:sp macro="" textlink="">
      <xdr:nvSpPr>
        <xdr:cNvPr id="12496" name="Line 91">
          <a:extLst>
            <a:ext uri="{FF2B5EF4-FFF2-40B4-BE49-F238E27FC236}">
              <a16:creationId xmlns:a16="http://schemas.microsoft.com/office/drawing/2014/main" id="{00000000-0008-0000-1300-0000D0300000}"/>
            </a:ext>
          </a:extLst>
        </xdr:cNvPr>
        <xdr:cNvSpPr>
          <a:spLocks noChangeShapeType="1"/>
        </xdr:cNvSpPr>
      </xdr:nvSpPr>
      <xdr:spPr bwMode="auto">
        <a:xfrm>
          <a:off x="4389120" y="106756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58</xdr:row>
      <xdr:rowOff>0</xdr:rowOff>
    </xdr:from>
    <xdr:to>
      <xdr:col>6</xdr:col>
      <xdr:colOff>0</xdr:colOff>
      <xdr:row>58</xdr:row>
      <xdr:rowOff>0</xdr:rowOff>
    </xdr:to>
    <xdr:sp macro="" textlink="">
      <xdr:nvSpPr>
        <xdr:cNvPr id="12497" name="Line 92">
          <a:extLst>
            <a:ext uri="{FF2B5EF4-FFF2-40B4-BE49-F238E27FC236}">
              <a16:creationId xmlns:a16="http://schemas.microsoft.com/office/drawing/2014/main" id="{00000000-0008-0000-1300-0000D1300000}"/>
            </a:ext>
          </a:extLst>
        </xdr:cNvPr>
        <xdr:cNvSpPr>
          <a:spLocks noChangeShapeType="1"/>
        </xdr:cNvSpPr>
      </xdr:nvSpPr>
      <xdr:spPr bwMode="auto">
        <a:xfrm>
          <a:off x="4389120" y="105079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31</xdr:row>
      <xdr:rowOff>0</xdr:rowOff>
    </xdr:from>
    <xdr:to>
      <xdr:col>10</xdr:col>
      <xdr:colOff>0</xdr:colOff>
      <xdr:row>31</xdr:row>
      <xdr:rowOff>0</xdr:rowOff>
    </xdr:to>
    <xdr:sp macro="" textlink="">
      <xdr:nvSpPr>
        <xdr:cNvPr id="12498" name="Line 93">
          <a:extLst>
            <a:ext uri="{FF2B5EF4-FFF2-40B4-BE49-F238E27FC236}">
              <a16:creationId xmlns:a16="http://schemas.microsoft.com/office/drawing/2014/main" id="{00000000-0008-0000-1300-0000D2300000}"/>
            </a:ext>
          </a:extLst>
        </xdr:cNvPr>
        <xdr:cNvSpPr>
          <a:spLocks noChangeShapeType="1"/>
        </xdr:cNvSpPr>
      </xdr:nvSpPr>
      <xdr:spPr bwMode="auto">
        <a:xfrm>
          <a:off x="6926580" y="58597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30</xdr:row>
      <xdr:rowOff>0</xdr:rowOff>
    </xdr:from>
    <xdr:to>
      <xdr:col>10</xdr:col>
      <xdr:colOff>0</xdr:colOff>
      <xdr:row>30</xdr:row>
      <xdr:rowOff>0</xdr:rowOff>
    </xdr:to>
    <xdr:sp macro="" textlink="">
      <xdr:nvSpPr>
        <xdr:cNvPr id="12499" name="Line 94">
          <a:extLst>
            <a:ext uri="{FF2B5EF4-FFF2-40B4-BE49-F238E27FC236}">
              <a16:creationId xmlns:a16="http://schemas.microsoft.com/office/drawing/2014/main" id="{00000000-0008-0000-1300-0000D3300000}"/>
            </a:ext>
          </a:extLst>
        </xdr:cNvPr>
        <xdr:cNvSpPr>
          <a:spLocks noChangeShapeType="1"/>
        </xdr:cNvSpPr>
      </xdr:nvSpPr>
      <xdr:spPr bwMode="auto">
        <a:xfrm>
          <a:off x="6926580" y="56921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44</xdr:row>
      <xdr:rowOff>0</xdr:rowOff>
    </xdr:from>
    <xdr:to>
      <xdr:col>10</xdr:col>
      <xdr:colOff>0</xdr:colOff>
      <xdr:row>44</xdr:row>
      <xdr:rowOff>0</xdr:rowOff>
    </xdr:to>
    <xdr:sp macro="" textlink="">
      <xdr:nvSpPr>
        <xdr:cNvPr id="12500" name="Line 95">
          <a:extLst>
            <a:ext uri="{FF2B5EF4-FFF2-40B4-BE49-F238E27FC236}">
              <a16:creationId xmlns:a16="http://schemas.microsoft.com/office/drawing/2014/main" id="{00000000-0008-0000-1300-0000D4300000}"/>
            </a:ext>
          </a:extLst>
        </xdr:cNvPr>
        <xdr:cNvSpPr>
          <a:spLocks noChangeShapeType="1"/>
        </xdr:cNvSpPr>
      </xdr:nvSpPr>
      <xdr:spPr bwMode="auto">
        <a:xfrm>
          <a:off x="6926580" y="80391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43</xdr:row>
      <xdr:rowOff>0</xdr:rowOff>
    </xdr:from>
    <xdr:to>
      <xdr:col>10</xdr:col>
      <xdr:colOff>0</xdr:colOff>
      <xdr:row>43</xdr:row>
      <xdr:rowOff>0</xdr:rowOff>
    </xdr:to>
    <xdr:sp macro="" textlink="">
      <xdr:nvSpPr>
        <xdr:cNvPr id="12501" name="Line 96">
          <a:extLst>
            <a:ext uri="{FF2B5EF4-FFF2-40B4-BE49-F238E27FC236}">
              <a16:creationId xmlns:a16="http://schemas.microsoft.com/office/drawing/2014/main" id="{00000000-0008-0000-1300-0000D5300000}"/>
            </a:ext>
          </a:extLst>
        </xdr:cNvPr>
        <xdr:cNvSpPr>
          <a:spLocks noChangeShapeType="1"/>
        </xdr:cNvSpPr>
      </xdr:nvSpPr>
      <xdr:spPr bwMode="auto">
        <a:xfrm>
          <a:off x="6926580" y="78714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59</xdr:row>
      <xdr:rowOff>0</xdr:rowOff>
    </xdr:from>
    <xdr:to>
      <xdr:col>10</xdr:col>
      <xdr:colOff>0</xdr:colOff>
      <xdr:row>59</xdr:row>
      <xdr:rowOff>0</xdr:rowOff>
    </xdr:to>
    <xdr:sp macro="" textlink="">
      <xdr:nvSpPr>
        <xdr:cNvPr id="12502" name="Line 97">
          <a:extLst>
            <a:ext uri="{FF2B5EF4-FFF2-40B4-BE49-F238E27FC236}">
              <a16:creationId xmlns:a16="http://schemas.microsoft.com/office/drawing/2014/main" id="{00000000-0008-0000-1300-0000D6300000}"/>
            </a:ext>
          </a:extLst>
        </xdr:cNvPr>
        <xdr:cNvSpPr>
          <a:spLocks noChangeShapeType="1"/>
        </xdr:cNvSpPr>
      </xdr:nvSpPr>
      <xdr:spPr bwMode="auto">
        <a:xfrm>
          <a:off x="6926580" y="106756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58</xdr:row>
      <xdr:rowOff>0</xdr:rowOff>
    </xdr:from>
    <xdr:to>
      <xdr:col>10</xdr:col>
      <xdr:colOff>0</xdr:colOff>
      <xdr:row>58</xdr:row>
      <xdr:rowOff>0</xdr:rowOff>
    </xdr:to>
    <xdr:sp macro="" textlink="">
      <xdr:nvSpPr>
        <xdr:cNvPr id="12503" name="Line 98">
          <a:extLst>
            <a:ext uri="{FF2B5EF4-FFF2-40B4-BE49-F238E27FC236}">
              <a16:creationId xmlns:a16="http://schemas.microsoft.com/office/drawing/2014/main" id="{00000000-0008-0000-1300-0000D7300000}"/>
            </a:ext>
          </a:extLst>
        </xdr:cNvPr>
        <xdr:cNvSpPr>
          <a:spLocks noChangeShapeType="1"/>
        </xdr:cNvSpPr>
      </xdr:nvSpPr>
      <xdr:spPr bwMode="auto">
        <a:xfrm>
          <a:off x="6926580" y="105079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70</xdr:row>
      <xdr:rowOff>0</xdr:rowOff>
    </xdr:from>
    <xdr:to>
      <xdr:col>10</xdr:col>
      <xdr:colOff>0</xdr:colOff>
      <xdr:row>70</xdr:row>
      <xdr:rowOff>0</xdr:rowOff>
    </xdr:to>
    <xdr:sp macro="" textlink="">
      <xdr:nvSpPr>
        <xdr:cNvPr id="12504" name="Line 99">
          <a:extLst>
            <a:ext uri="{FF2B5EF4-FFF2-40B4-BE49-F238E27FC236}">
              <a16:creationId xmlns:a16="http://schemas.microsoft.com/office/drawing/2014/main" id="{00000000-0008-0000-1300-0000D8300000}"/>
            </a:ext>
          </a:extLst>
        </xdr:cNvPr>
        <xdr:cNvSpPr>
          <a:spLocks noChangeShapeType="1"/>
        </xdr:cNvSpPr>
      </xdr:nvSpPr>
      <xdr:spPr bwMode="auto">
        <a:xfrm>
          <a:off x="6926580" y="125196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69</xdr:row>
      <xdr:rowOff>0</xdr:rowOff>
    </xdr:from>
    <xdr:to>
      <xdr:col>10</xdr:col>
      <xdr:colOff>0</xdr:colOff>
      <xdr:row>69</xdr:row>
      <xdr:rowOff>0</xdr:rowOff>
    </xdr:to>
    <xdr:sp macro="" textlink="">
      <xdr:nvSpPr>
        <xdr:cNvPr id="12505" name="Line 100">
          <a:extLst>
            <a:ext uri="{FF2B5EF4-FFF2-40B4-BE49-F238E27FC236}">
              <a16:creationId xmlns:a16="http://schemas.microsoft.com/office/drawing/2014/main" id="{00000000-0008-0000-1300-0000D9300000}"/>
            </a:ext>
          </a:extLst>
        </xdr:cNvPr>
        <xdr:cNvSpPr>
          <a:spLocks noChangeShapeType="1"/>
        </xdr:cNvSpPr>
      </xdr:nvSpPr>
      <xdr:spPr bwMode="auto">
        <a:xfrm>
          <a:off x="6926580" y="123520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79</xdr:row>
      <xdr:rowOff>0</xdr:rowOff>
    </xdr:from>
    <xdr:to>
      <xdr:col>10</xdr:col>
      <xdr:colOff>0</xdr:colOff>
      <xdr:row>79</xdr:row>
      <xdr:rowOff>0</xdr:rowOff>
    </xdr:to>
    <xdr:sp macro="" textlink="">
      <xdr:nvSpPr>
        <xdr:cNvPr id="12506" name="Line 101">
          <a:extLst>
            <a:ext uri="{FF2B5EF4-FFF2-40B4-BE49-F238E27FC236}">
              <a16:creationId xmlns:a16="http://schemas.microsoft.com/office/drawing/2014/main" id="{00000000-0008-0000-1300-0000DA300000}"/>
            </a:ext>
          </a:extLst>
        </xdr:cNvPr>
        <xdr:cNvSpPr>
          <a:spLocks noChangeShapeType="1"/>
        </xdr:cNvSpPr>
      </xdr:nvSpPr>
      <xdr:spPr bwMode="auto">
        <a:xfrm>
          <a:off x="6926580" y="14028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2507" name="Line 102">
          <a:extLst>
            <a:ext uri="{FF2B5EF4-FFF2-40B4-BE49-F238E27FC236}">
              <a16:creationId xmlns:a16="http://schemas.microsoft.com/office/drawing/2014/main" id="{00000000-0008-0000-1300-0000DB300000}"/>
            </a:ext>
          </a:extLst>
        </xdr:cNvPr>
        <xdr:cNvSpPr>
          <a:spLocks noChangeShapeType="1"/>
        </xdr:cNvSpPr>
      </xdr:nvSpPr>
      <xdr:spPr bwMode="auto">
        <a:xfrm>
          <a:off x="21945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12508" name="Line 108">
          <a:extLst>
            <a:ext uri="{FF2B5EF4-FFF2-40B4-BE49-F238E27FC236}">
              <a16:creationId xmlns:a16="http://schemas.microsoft.com/office/drawing/2014/main" id="{00000000-0008-0000-1300-0000DC300000}"/>
            </a:ext>
          </a:extLst>
        </xdr:cNvPr>
        <xdr:cNvSpPr>
          <a:spLocks noChangeShapeType="1"/>
        </xdr:cNvSpPr>
      </xdr:nvSpPr>
      <xdr:spPr bwMode="auto">
        <a:xfrm>
          <a:off x="69265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12509" name="Line 109">
          <a:extLst>
            <a:ext uri="{FF2B5EF4-FFF2-40B4-BE49-F238E27FC236}">
              <a16:creationId xmlns:a16="http://schemas.microsoft.com/office/drawing/2014/main" id="{00000000-0008-0000-1300-0000DD300000}"/>
            </a:ext>
          </a:extLst>
        </xdr:cNvPr>
        <xdr:cNvSpPr>
          <a:spLocks noChangeShapeType="1"/>
        </xdr:cNvSpPr>
      </xdr:nvSpPr>
      <xdr:spPr bwMode="auto">
        <a:xfrm>
          <a:off x="43891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12510" name="Line 110">
          <a:extLst>
            <a:ext uri="{FF2B5EF4-FFF2-40B4-BE49-F238E27FC236}">
              <a16:creationId xmlns:a16="http://schemas.microsoft.com/office/drawing/2014/main" id="{00000000-0008-0000-1300-0000DE300000}"/>
            </a:ext>
          </a:extLst>
        </xdr:cNvPr>
        <xdr:cNvSpPr>
          <a:spLocks noChangeShapeType="1"/>
        </xdr:cNvSpPr>
      </xdr:nvSpPr>
      <xdr:spPr bwMode="auto">
        <a:xfrm>
          <a:off x="21945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12511" name="Line 111">
          <a:extLst>
            <a:ext uri="{FF2B5EF4-FFF2-40B4-BE49-F238E27FC236}">
              <a16:creationId xmlns:a16="http://schemas.microsoft.com/office/drawing/2014/main" id="{00000000-0008-0000-1300-0000DF300000}"/>
            </a:ext>
          </a:extLst>
        </xdr:cNvPr>
        <xdr:cNvSpPr>
          <a:spLocks noChangeShapeType="1"/>
        </xdr:cNvSpPr>
      </xdr:nvSpPr>
      <xdr:spPr bwMode="auto">
        <a:xfrm>
          <a:off x="4389120" y="1536954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2512" name="Line 112">
          <a:extLst>
            <a:ext uri="{FF2B5EF4-FFF2-40B4-BE49-F238E27FC236}">
              <a16:creationId xmlns:a16="http://schemas.microsoft.com/office/drawing/2014/main" id="{00000000-0008-0000-1300-0000E0300000}"/>
            </a:ext>
          </a:extLst>
        </xdr:cNvPr>
        <xdr:cNvSpPr>
          <a:spLocks noChangeShapeType="1"/>
        </xdr:cNvSpPr>
      </xdr:nvSpPr>
      <xdr:spPr bwMode="auto">
        <a:xfrm>
          <a:off x="21945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12513" name="Line 75">
          <a:extLst>
            <a:ext uri="{FF2B5EF4-FFF2-40B4-BE49-F238E27FC236}">
              <a16:creationId xmlns:a16="http://schemas.microsoft.com/office/drawing/2014/main" id="{00000000-0008-0000-1300-0000E1300000}"/>
            </a:ext>
          </a:extLst>
        </xdr:cNvPr>
        <xdr:cNvSpPr>
          <a:spLocks noChangeShapeType="1"/>
        </xdr:cNvSpPr>
      </xdr:nvSpPr>
      <xdr:spPr bwMode="auto">
        <a:xfrm>
          <a:off x="2194560" y="19560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12514" name="Line 87">
          <a:extLst>
            <a:ext uri="{FF2B5EF4-FFF2-40B4-BE49-F238E27FC236}">
              <a16:creationId xmlns:a16="http://schemas.microsoft.com/office/drawing/2014/main" id="{00000000-0008-0000-1300-0000E2300000}"/>
            </a:ext>
          </a:extLst>
        </xdr:cNvPr>
        <xdr:cNvSpPr>
          <a:spLocks noChangeShapeType="1"/>
        </xdr:cNvSpPr>
      </xdr:nvSpPr>
      <xdr:spPr bwMode="auto">
        <a:xfrm>
          <a:off x="2194560" y="20734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12515" name="Line 75">
          <a:extLst>
            <a:ext uri="{FF2B5EF4-FFF2-40B4-BE49-F238E27FC236}">
              <a16:creationId xmlns:a16="http://schemas.microsoft.com/office/drawing/2014/main" id="{00000000-0008-0000-1300-0000E3300000}"/>
            </a:ext>
          </a:extLst>
        </xdr:cNvPr>
        <xdr:cNvSpPr>
          <a:spLocks noChangeShapeType="1"/>
        </xdr:cNvSpPr>
      </xdr:nvSpPr>
      <xdr:spPr bwMode="auto">
        <a:xfrm>
          <a:off x="2194560" y="197281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12516" name="Line 79">
          <a:extLst>
            <a:ext uri="{FF2B5EF4-FFF2-40B4-BE49-F238E27FC236}">
              <a16:creationId xmlns:a16="http://schemas.microsoft.com/office/drawing/2014/main" id="{00000000-0008-0000-1300-0000E4300000}"/>
            </a:ext>
          </a:extLst>
        </xdr:cNvPr>
        <xdr:cNvSpPr>
          <a:spLocks noChangeShapeType="1"/>
        </xdr:cNvSpPr>
      </xdr:nvSpPr>
      <xdr:spPr bwMode="auto">
        <a:xfrm>
          <a:off x="2194560" y="18554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12517" name="Line 87">
          <a:extLst>
            <a:ext uri="{FF2B5EF4-FFF2-40B4-BE49-F238E27FC236}">
              <a16:creationId xmlns:a16="http://schemas.microsoft.com/office/drawing/2014/main" id="{00000000-0008-0000-1300-0000E5300000}"/>
            </a:ext>
          </a:extLst>
        </xdr:cNvPr>
        <xdr:cNvSpPr>
          <a:spLocks noChangeShapeType="1"/>
        </xdr:cNvSpPr>
      </xdr:nvSpPr>
      <xdr:spPr bwMode="auto">
        <a:xfrm>
          <a:off x="2194560" y="20901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12518" name="Line 75">
          <a:extLst>
            <a:ext uri="{FF2B5EF4-FFF2-40B4-BE49-F238E27FC236}">
              <a16:creationId xmlns:a16="http://schemas.microsoft.com/office/drawing/2014/main" id="{00000000-0008-0000-1300-0000E6300000}"/>
            </a:ext>
          </a:extLst>
        </xdr:cNvPr>
        <xdr:cNvSpPr>
          <a:spLocks noChangeShapeType="1"/>
        </xdr:cNvSpPr>
      </xdr:nvSpPr>
      <xdr:spPr bwMode="auto">
        <a:xfrm>
          <a:off x="2194560" y="19560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12519" name="Line 87">
          <a:extLst>
            <a:ext uri="{FF2B5EF4-FFF2-40B4-BE49-F238E27FC236}">
              <a16:creationId xmlns:a16="http://schemas.microsoft.com/office/drawing/2014/main" id="{00000000-0008-0000-1300-0000E7300000}"/>
            </a:ext>
          </a:extLst>
        </xdr:cNvPr>
        <xdr:cNvSpPr>
          <a:spLocks noChangeShapeType="1"/>
        </xdr:cNvSpPr>
      </xdr:nvSpPr>
      <xdr:spPr bwMode="auto">
        <a:xfrm>
          <a:off x="2194560" y="20734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12520" name="Line 75">
          <a:extLst>
            <a:ext uri="{FF2B5EF4-FFF2-40B4-BE49-F238E27FC236}">
              <a16:creationId xmlns:a16="http://schemas.microsoft.com/office/drawing/2014/main" id="{00000000-0008-0000-1300-0000E8300000}"/>
            </a:ext>
          </a:extLst>
        </xdr:cNvPr>
        <xdr:cNvSpPr>
          <a:spLocks noChangeShapeType="1"/>
        </xdr:cNvSpPr>
      </xdr:nvSpPr>
      <xdr:spPr bwMode="auto">
        <a:xfrm>
          <a:off x="2194560" y="197281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12521" name="Line 79">
          <a:extLst>
            <a:ext uri="{FF2B5EF4-FFF2-40B4-BE49-F238E27FC236}">
              <a16:creationId xmlns:a16="http://schemas.microsoft.com/office/drawing/2014/main" id="{00000000-0008-0000-1300-0000E9300000}"/>
            </a:ext>
          </a:extLst>
        </xdr:cNvPr>
        <xdr:cNvSpPr>
          <a:spLocks noChangeShapeType="1"/>
        </xdr:cNvSpPr>
      </xdr:nvSpPr>
      <xdr:spPr bwMode="auto">
        <a:xfrm>
          <a:off x="2194560" y="18554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12522" name="Line 87">
          <a:extLst>
            <a:ext uri="{FF2B5EF4-FFF2-40B4-BE49-F238E27FC236}">
              <a16:creationId xmlns:a16="http://schemas.microsoft.com/office/drawing/2014/main" id="{00000000-0008-0000-1300-0000EA300000}"/>
            </a:ext>
          </a:extLst>
        </xdr:cNvPr>
        <xdr:cNvSpPr>
          <a:spLocks noChangeShapeType="1"/>
        </xdr:cNvSpPr>
      </xdr:nvSpPr>
      <xdr:spPr bwMode="auto">
        <a:xfrm>
          <a:off x="2194560" y="20901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7.xml><?xml version="1.0" encoding="utf-8"?>
<xdr:wsDr xmlns:xdr="http://purl.oclc.org/ooxml/drawingml/spreadsheetDrawing" xmlns:a="http://purl.oclc.org/ooxml/drawingml/main">
  <xdr:twoCellAnchor>
    <xdr:from>
      <xdr:col>6</xdr:col>
      <xdr:colOff>0</xdr:colOff>
      <xdr:row>30</xdr:row>
      <xdr:rowOff>0</xdr:rowOff>
    </xdr:from>
    <xdr:to>
      <xdr:col>6</xdr:col>
      <xdr:colOff>0</xdr:colOff>
      <xdr:row>30</xdr:row>
      <xdr:rowOff>0</xdr:rowOff>
    </xdr:to>
    <xdr:sp macro="" textlink="">
      <xdr:nvSpPr>
        <xdr:cNvPr id="14454" name="Line 1">
          <a:extLst>
            <a:ext uri="{FF2B5EF4-FFF2-40B4-BE49-F238E27FC236}">
              <a16:creationId xmlns:a16="http://schemas.microsoft.com/office/drawing/2014/main" id="{00000000-0008-0000-1500-000076380000}"/>
            </a:ext>
          </a:extLst>
        </xdr:cNvPr>
        <xdr:cNvSpPr>
          <a:spLocks noChangeShapeType="1"/>
        </xdr:cNvSpPr>
      </xdr:nvSpPr>
      <xdr:spPr bwMode="auto">
        <a:xfrm>
          <a:off x="4389120" y="56921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31</xdr:row>
      <xdr:rowOff>0</xdr:rowOff>
    </xdr:from>
    <xdr:to>
      <xdr:col>6</xdr:col>
      <xdr:colOff>0</xdr:colOff>
      <xdr:row>31</xdr:row>
      <xdr:rowOff>0</xdr:rowOff>
    </xdr:to>
    <xdr:sp macro="" textlink="">
      <xdr:nvSpPr>
        <xdr:cNvPr id="14455" name="Line 2">
          <a:extLst>
            <a:ext uri="{FF2B5EF4-FFF2-40B4-BE49-F238E27FC236}">
              <a16:creationId xmlns:a16="http://schemas.microsoft.com/office/drawing/2014/main" id="{00000000-0008-0000-1500-000077380000}"/>
            </a:ext>
          </a:extLst>
        </xdr:cNvPr>
        <xdr:cNvSpPr>
          <a:spLocks noChangeShapeType="1"/>
        </xdr:cNvSpPr>
      </xdr:nvSpPr>
      <xdr:spPr bwMode="auto">
        <a:xfrm>
          <a:off x="4389120" y="58597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23</xdr:row>
      <xdr:rowOff>0</xdr:rowOff>
    </xdr:from>
    <xdr:to>
      <xdr:col>6</xdr:col>
      <xdr:colOff>0</xdr:colOff>
      <xdr:row>23</xdr:row>
      <xdr:rowOff>0</xdr:rowOff>
    </xdr:to>
    <xdr:sp macro="" textlink="">
      <xdr:nvSpPr>
        <xdr:cNvPr id="14456" name="Line 3">
          <a:extLst>
            <a:ext uri="{FF2B5EF4-FFF2-40B4-BE49-F238E27FC236}">
              <a16:creationId xmlns:a16="http://schemas.microsoft.com/office/drawing/2014/main" id="{00000000-0008-0000-1500-000078380000}"/>
            </a:ext>
          </a:extLst>
        </xdr:cNvPr>
        <xdr:cNvSpPr>
          <a:spLocks noChangeShapeType="1"/>
        </xdr:cNvSpPr>
      </xdr:nvSpPr>
      <xdr:spPr bwMode="auto">
        <a:xfrm>
          <a:off x="4389120" y="45186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23</xdr:row>
      <xdr:rowOff>0</xdr:rowOff>
    </xdr:from>
    <xdr:to>
      <xdr:col>9</xdr:col>
      <xdr:colOff>662940</xdr:colOff>
      <xdr:row>23</xdr:row>
      <xdr:rowOff>0</xdr:rowOff>
    </xdr:to>
    <xdr:sp macro="" textlink="">
      <xdr:nvSpPr>
        <xdr:cNvPr id="14457" name="Line 4">
          <a:extLst>
            <a:ext uri="{FF2B5EF4-FFF2-40B4-BE49-F238E27FC236}">
              <a16:creationId xmlns:a16="http://schemas.microsoft.com/office/drawing/2014/main" id="{00000000-0008-0000-1500-000079380000}"/>
            </a:ext>
          </a:extLst>
        </xdr:cNvPr>
        <xdr:cNvSpPr>
          <a:spLocks noChangeShapeType="1"/>
        </xdr:cNvSpPr>
      </xdr:nvSpPr>
      <xdr:spPr bwMode="auto">
        <a:xfrm>
          <a:off x="6926580" y="451866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30</xdr:row>
      <xdr:rowOff>0</xdr:rowOff>
    </xdr:from>
    <xdr:to>
      <xdr:col>14</xdr:col>
      <xdr:colOff>662940</xdr:colOff>
      <xdr:row>30</xdr:row>
      <xdr:rowOff>0</xdr:rowOff>
    </xdr:to>
    <xdr:sp macro="" textlink="">
      <xdr:nvSpPr>
        <xdr:cNvPr id="14458" name="Line 5">
          <a:extLst>
            <a:ext uri="{FF2B5EF4-FFF2-40B4-BE49-F238E27FC236}">
              <a16:creationId xmlns:a16="http://schemas.microsoft.com/office/drawing/2014/main" id="{00000000-0008-0000-1500-00007A380000}"/>
            </a:ext>
          </a:extLst>
        </xdr:cNvPr>
        <xdr:cNvSpPr>
          <a:spLocks noChangeShapeType="1"/>
        </xdr:cNvSpPr>
      </xdr:nvSpPr>
      <xdr:spPr bwMode="auto">
        <a:xfrm>
          <a:off x="10584180" y="569214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31</xdr:row>
      <xdr:rowOff>0</xdr:rowOff>
    </xdr:from>
    <xdr:to>
      <xdr:col>14</xdr:col>
      <xdr:colOff>662940</xdr:colOff>
      <xdr:row>31</xdr:row>
      <xdr:rowOff>0</xdr:rowOff>
    </xdr:to>
    <xdr:sp macro="" textlink="">
      <xdr:nvSpPr>
        <xdr:cNvPr id="14459" name="Line 6">
          <a:extLst>
            <a:ext uri="{FF2B5EF4-FFF2-40B4-BE49-F238E27FC236}">
              <a16:creationId xmlns:a16="http://schemas.microsoft.com/office/drawing/2014/main" id="{00000000-0008-0000-1500-00007B380000}"/>
            </a:ext>
          </a:extLst>
        </xdr:cNvPr>
        <xdr:cNvSpPr>
          <a:spLocks noChangeShapeType="1"/>
        </xdr:cNvSpPr>
      </xdr:nvSpPr>
      <xdr:spPr bwMode="auto">
        <a:xfrm>
          <a:off x="10584180" y="585978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32</xdr:row>
      <xdr:rowOff>0</xdr:rowOff>
    </xdr:from>
    <xdr:to>
      <xdr:col>6</xdr:col>
      <xdr:colOff>0</xdr:colOff>
      <xdr:row>32</xdr:row>
      <xdr:rowOff>0</xdr:rowOff>
    </xdr:to>
    <xdr:sp macro="" textlink="">
      <xdr:nvSpPr>
        <xdr:cNvPr id="14460" name="Line 7">
          <a:extLst>
            <a:ext uri="{FF2B5EF4-FFF2-40B4-BE49-F238E27FC236}">
              <a16:creationId xmlns:a16="http://schemas.microsoft.com/office/drawing/2014/main" id="{00000000-0008-0000-1500-00007C380000}"/>
            </a:ext>
          </a:extLst>
        </xdr:cNvPr>
        <xdr:cNvSpPr>
          <a:spLocks noChangeShapeType="1"/>
        </xdr:cNvSpPr>
      </xdr:nvSpPr>
      <xdr:spPr bwMode="auto">
        <a:xfrm>
          <a:off x="4389120" y="60274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33</xdr:row>
      <xdr:rowOff>0</xdr:rowOff>
    </xdr:from>
    <xdr:to>
      <xdr:col>6</xdr:col>
      <xdr:colOff>0</xdr:colOff>
      <xdr:row>33</xdr:row>
      <xdr:rowOff>0</xdr:rowOff>
    </xdr:to>
    <xdr:sp macro="" textlink="">
      <xdr:nvSpPr>
        <xdr:cNvPr id="14461" name="Line 8">
          <a:extLst>
            <a:ext uri="{FF2B5EF4-FFF2-40B4-BE49-F238E27FC236}">
              <a16:creationId xmlns:a16="http://schemas.microsoft.com/office/drawing/2014/main" id="{00000000-0008-0000-1500-00007D380000}"/>
            </a:ext>
          </a:extLst>
        </xdr:cNvPr>
        <xdr:cNvSpPr>
          <a:spLocks noChangeShapeType="1"/>
        </xdr:cNvSpPr>
      </xdr:nvSpPr>
      <xdr:spPr bwMode="auto">
        <a:xfrm>
          <a:off x="4389120" y="61950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34</xdr:row>
      <xdr:rowOff>0</xdr:rowOff>
    </xdr:from>
    <xdr:to>
      <xdr:col>6</xdr:col>
      <xdr:colOff>0</xdr:colOff>
      <xdr:row>34</xdr:row>
      <xdr:rowOff>0</xdr:rowOff>
    </xdr:to>
    <xdr:sp macro="" textlink="">
      <xdr:nvSpPr>
        <xdr:cNvPr id="14462" name="Line 9">
          <a:extLst>
            <a:ext uri="{FF2B5EF4-FFF2-40B4-BE49-F238E27FC236}">
              <a16:creationId xmlns:a16="http://schemas.microsoft.com/office/drawing/2014/main" id="{00000000-0008-0000-1500-00007E380000}"/>
            </a:ext>
          </a:extLst>
        </xdr:cNvPr>
        <xdr:cNvSpPr>
          <a:spLocks noChangeShapeType="1"/>
        </xdr:cNvSpPr>
      </xdr:nvSpPr>
      <xdr:spPr bwMode="auto">
        <a:xfrm>
          <a:off x="4389120" y="6362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32</xdr:row>
      <xdr:rowOff>0</xdr:rowOff>
    </xdr:from>
    <xdr:to>
      <xdr:col>10</xdr:col>
      <xdr:colOff>0</xdr:colOff>
      <xdr:row>32</xdr:row>
      <xdr:rowOff>0</xdr:rowOff>
    </xdr:to>
    <xdr:sp macro="" textlink="">
      <xdr:nvSpPr>
        <xdr:cNvPr id="14463" name="Line 10">
          <a:extLst>
            <a:ext uri="{FF2B5EF4-FFF2-40B4-BE49-F238E27FC236}">
              <a16:creationId xmlns:a16="http://schemas.microsoft.com/office/drawing/2014/main" id="{00000000-0008-0000-1500-00007F380000}"/>
            </a:ext>
          </a:extLst>
        </xdr:cNvPr>
        <xdr:cNvSpPr>
          <a:spLocks noChangeShapeType="1"/>
        </xdr:cNvSpPr>
      </xdr:nvSpPr>
      <xdr:spPr bwMode="auto">
        <a:xfrm>
          <a:off x="6926580" y="6027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33</xdr:row>
      <xdr:rowOff>0</xdr:rowOff>
    </xdr:from>
    <xdr:to>
      <xdr:col>10</xdr:col>
      <xdr:colOff>0</xdr:colOff>
      <xdr:row>33</xdr:row>
      <xdr:rowOff>0</xdr:rowOff>
    </xdr:to>
    <xdr:sp macro="" textlink="">
      <xdr:nvSpPr>
        <xdr:cNvPr id="14464" name="Line 11">
          <a:extLst>
            <a:ext uri="{FF2B5EF4-FFF2-40B4-BE49-F238E27FC236}">
              <a16:creationId xmlns:a16="http://schemas.microsoft.com/office/drawing/2014/main" id="{00000000-0008-0000-1500-000080380000}"/>
            </a:ext>
          </a:extLst>
        </xdr:cNvPr>
        <xdr:cNvSpPr>
          <a:spLocks noChangeShapeType="1"/>
        </xdr:cNvSpPr>
      </xdr:nvSpPr>
      <xdr:spPr bwMode="auto">
        <a:xfrm>
          <a:off x="6926580" y="61950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34</xdr:row>
      <xdr:rowOff>0</xdr:rowOff>
    </xdr:from>
    <xdr:to>
      <xdr:col>10</xdr:col>
      <xdr:colOff>0</xdr:colOff>
      <xdr:row>34</xdr:row>
      <xdr:rowOff>0</xdr:rowOff>
    </xdr:to>
    <xdr:sp macro="" textlink="">
      <xdr:nvSpPr>
        <xdr:cNvPr id="14465" name="Line 12">
          <a:extLst>
            <a:ext uri="{FF2B5EF4-FFF2-40B4-BE49-F238E27FC236}">
              <a16:creationId xmlns:a16="http://schemas.microsoft.com/office/drawing/2014/main" id="{00000000-0008-0000-1500-000081380000}"/>
            </a:ext>
          </a:extLst>
        </xdr:cNvPr>
        <xdr:cNvSpPr>
          <a:spLocks noChangeShapeType="1"/>
        </xdr:cNvSpPr>
      </xdr:nvSpPr>
      <xdr:spPr bwMode="auto">
        <a:xfrm>
          <a:off x="6926580" y="6362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32</xdr:row>
      <xdr:rowOff>0</xdr:rowOff>
    </xdr:from>
    <xdr:to>
      <xdr:col>15</xdr:col>
      <xdr:colOff>0</xdr:colOff>
      <xdr:row>32</xdr:row>
      <xdr:rowOff>0</xdr:rowOff>
    </xdr:to>
    <xdr:sp macro="" textlink="">
      <xdr:nvSpPr>
        <xdr:cNvPr id="14466" name="Line 13">
          <a:extLst>
            <a:ext uri="{FF2B5EF4-FFF2-40B4-BE49-F238E27FC236}">
              <a16:creationId xmlns:a16="http://schemas.microsoft.com/office/drawing/2014/main" id="{00000000-0008-0000-1500-000082380000}"/>
            </a:ext>
          </a:extLst>
        </xdr:cNvPr>
        <xdr:cNvSpPr>
          <a:spLocks noChangeShapeType="1"/>
        </xdr:cNvSpPr>
      </xdr:nvSpPr>
      <xdr:spPr bwMode="auto">
        <a:xfrm>
          <a:off x="10584180" y="6027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33</xdr:row>
      <xdr:rowOff>0</xdr:rowOff>
    </xdr:from>
    <xdr:to>
      <xdr:col>15</xdr:col>
      <xdr:colOff>0</xdr:colOff>
      <xdr:row>33</xdr:row>
      <xdr:rowOff>0</xdr:rowOff>
    </xdr:to>
    <xdr:sp macro="" textlink="">
      <xdr:nvSpPr>
        <xdr:cNvPr id="14467" name="Line 14">
          <a:extLst>
            <a:ext uri="{FF2B5EF4-FFF2-40B4-BE49-F238E27FC236}">
              <a16:creationId xmlns:a16="http://schemas.microsoft.com/office/drawing/2014/main" id="{00000000-0008-0000-1500-000083380000}"/>
            </a:ext>
          </a:extLst>
        </xdr:cNvPr>
        <xdr:cNvSpPr>
          <a:spLocks noChangeShapeType="1"/>
        </xdr:cNvSpPr>
      </xdr:nvSpPr>
      <xdr:spPr bwMode="auto">
        <a:xfrm>
          <a:off x="10584180" y="61950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34</xdr:row>
      <xdr:rowOff>0</xdr:rowOff>
    </xdr:from>
    <xdr:to>
      <xdr:col>15</xdr:col>
      <xdr:colOff>0</xdr:colOff>
      <xdr:row>34</xdr:row>
      <xdr:rowOff>0</xdr:rowOff>
    </xdr:to>
    <xdr:sp macro="" textlink="">
      <xdr:nvSpPr>
        <xdr:cNvPr id="14468" name="Line 15">
          <a:extLst>
            <a:ext uri="{FF2B5EF4-FFF2-40B4-BE49-F238E27FC236}">
              <a16:creationId xmlns:a16="http://schemas.microsoft.com/office/drawing/2014/main" id="{00000000-0008-0000-1500-000084380000}"/>
            </a:ext>
          </a:extLst>
        </xdr:cNvPr>
        <xdr:cNvSpPr>
          <a:spLocks noChangeShapeType="1"/>
        </xdr:cNvSpPr>
      </xdr:nvSpPr>
      <xdr:spPr bwMode="auto">
        <a:xfrm>
          <a:off x="10584180" y="6362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43</xdr:row>
      <xdr:rowOff>0</xdr:rowOff>
    </xdr:from>
    <xdr:to>
      <xdr:col>14</xdr:col>
      <xdr:colOff>640080</xdr:colOff>
      <xdr:row>43</xdr:row>
      <xdr:rowOff>0</xdr:rowOff>
    </xdr:to>
    <xdr:sp macro="" textlink="">
      <xdr:nvSpPr>
        <xdr:cNvPr id="14469" name="Line 16">
          <a:extLst>
            <a:ext uri="{FF2B5EF4-FFF2-40B4-BE49-F238E27FC236}">
              <a16:creationId xmlns:a16="http://schemas.microsoft.com/office/drawing/2014/main" id="{00000000-0008-0000-1500-000085380000}"/>
            </a:ext>
          </a:extLst>
        </xdr:cNvPr>
        <xdr:cNvSpPr>
          <a:spLocks noChangeShapeType="1"/>
        </xdr:cNvSpPr>
      </xdr:nvSpPr>
      <xdr:spPr bwMode="auto">
        <a:xfrm>
          <a:off x="10584180" y="787146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23</xdr:row>
      <xdr:rowOff>0</xdr:rowOff>
    </xdr:from>
    <xdr:to>
      <xdr:col>4</xdr:col>
      <xdr:colOff>7620</xdr:colOff>
      <xdr:row>23</xdr:row>
      <xdr:rowOff>0</xdr:rowOff>
    </xdr:to>
    <xdr:sp macro="" textlink="">
      <xdr:nvSpPr>
        <xdr:cNvPr id="14470" name="Line 17">
          <a:extLst>
            <a:ext uri="{FF2B5EF4-FFF2-40B4-BE49-F238E27FC236}">
              <a16:creationId xmlns:a16="http://schemas.microsoft.com/office/drawing/2014/main" id="{00000000-0008-0000-1500-000086380000}"/>
            </a:ext>
          </a:extLst>
        </xdr:cNvPr>
        <xdr:cNvSpPr>
          <a:spLocks noChangeShapeType="1"/>
        </xdr:cNvSpPr>
      </xdr:nvSpPr>
      <xdr:spPr bwMode="auto">
        <a:xfrm>
          <a:off x="2194560" y="4518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30</xdr:row>
      <xdr:rowOff>0</xdr:rowOff>
    </xdr:from>
    <xdr:to>
      <xdr:col>4</xdr:col>
      <xdr:colOff>7620</xdr:colOff>
      <xdr:row>30</xdr:row>
      <xdr:rowOff>0</xdr:rowOff>
    </xdr:to>
    <xdr:sp macro="" textlink="">
      <xdr:nvSpPr>
        <xdr:cNvPr id="14471" name="Line 18">
          <a:extLst>
            <a:ext uri="{FF2B5EF4-FFF2-40B4-BE49-F238E27FC236}">
              <a16:creationId xmlns:a16="http://schemas.microsoft.com/office/drawing/2014/main" id="{00000000-0008-0000-1500-000087380000}"/>
            </a:ext>
          </a:extLst>
        </xdr:cNvPr>
        <xdr:cNvSpPr>
          <a:spLocks noChangeShapeType="1"/>
        </xdr:cNvSpPr>
      </xdr:nvSpPr>
      <xdr:spPr bwMode="auto">
        <a:xfrm>
          <a:off x="2194560" y="56921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31</xdr:row>
      <xdr:rowOff>0</xdr:rowOff>
    </xdr:from>
    <xdr:to>
      <xdr:col>4</xdr:col>
      <xdr:colOff>7620</xdr:colOff>
      <xdr:row>31</xdr:row>
      <xdr:rowOff>0</xdr:rowOff>
    </xdr:to>
    <xdr:sp macro="" textlink="">
      <xdr:nvSpPr>
        <xdr:cNvPr id="14472" name="Line 19">
          <a:extLst>
            <a:ext uri="{FF2B5EF4-FFF2-40B4-BE49-F238E27FC236}">
              <a16:creationId xmlns:a16="http://schemas.microsoft.com/office/drawing/2014/main" id="{00000000-0008-0000-1500-000088380000}"/>
            </a:ext>
          </a:extLst>
        </xdr:cNvPr>
        <xdr:cNvSpPr>
          <a:spLocks noChangeShapeType="1"/>
        </xdr:cNvSpPr>
      </xdr:nvSpPr>
      <xdr:spPr bwMode="auto">
        <a:xfrm>
          <a:off x="2194560" y="58597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32</xdr:row>
      <xdr:rowOff>0</xdr:rowOff>
    </xdr:from>
    <xdr:to>
      <xdr:col>4</xdr:col>
      <xdr:colOff>7620</xdr:colOff>
      <xdr:row>32</xdr:row>
      <xdr:rowOff>0</xdr:rowOff>
    </xdr:to>
    <xdr:sp macro="" textlink="">
      <xdr:nvSpPr>
        <xdr:cNvPr id="14473" name="Line 20">
          <a:extLst>
            <a:ext uri="{FF2B5EF4-FFF2-40B4-BE49-F238E27FC236}">
              <a16:creationId xmlns:a16="http://schemas.microsoft.com/office/drawing/2014/main" id="{00000000-0008-0000-1500-000089380000}"/>
            </a:ext>
          </a:extLst>
        </xdr:cNvPr>
        <xdr:cNvSpPr>
          <a:spLocks noChangeShapeType="1"/>
        </xdr:cNvSpPr>
      </xdr:nvSpPr>
      <xdr:spPr bwMode="auto">
        <a:xfrm>
          <a:off x="2194560" y="6027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33</xdr:row>
      <xdr:rowOff>0</xdr:rowOff>
    </xdr:from>
    <xdr:to>
      <xdr:col>4</xdr:col>
      <xdr:colOff>7620</xdr:colOff>
      <xdr:row>33</xdr:row>
      <xdr:rowOff>0</xdr:rowOff>
    </xdr:to>
    <xdr:sp macro="" textlink="">
      <xdr:nvSpPr>
        <xdr:cNvPr id="14474" name="Line 21">
          <a:extLst>
            <a:ext uri="{FF2B5EF4-FFF2-40B4-BE49-F238E27FC236}">
              <a16:creationId xmlns:a16="http://schemas.microsoft.com/office/drawing/2014/main" id="{00000000-0008-0000-1500-00008A380000}"/>
            </a:ext>
          </a:extLst>
        </xdr:cNvPr>
        <xdr:cNvSpPr>
          <a:spLocks noChangeShapeType="1"/>
        </xdr:cNvSpPr>
      </xdr:nvSpPr>
      <xdr:spPr bwMode="auto">
        <a:xfrm>
          <a:off x="2194560" y="61950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34</xdr:row>
      <xdr:rowOff>0</xdr:rowOff>
    </xdr:from>
    <xdr:to>
      <xdr:col>4</xdr:col>
      <xdr:colOff>7620</xdr:colOff>
      <xdr:row>34</xdr:row>
      <xdr:rowOff>0</xdr:rowOff>
    </xdr:to>
    <xdr:sp macro="" textlink="">
      <xdr:nvSpPr>
        <xdr:cNvPr id="14475" name="Line 22">
          <a:extLst>
            <a:ext uri="{FF2B5EF4-FFF2-40B4-BE49-F238E27FC236}">
              <a16:creationId xmlns:a16="http://schemas.microsoft.com/office/drawing/2014/main" id="{00000000-0008-0000-1500-00008B380000}"/>
            </a:ext>
          </a:extLst>
        </xdr:cNvPr>
        <xdr:cNvSpPr>
          <a:spLocks noChangeShapeType="1"/>
        </xdr:cNvSpPr>
      </xdr:nvSpPr>
      <xdr:spPr bwMode="auto">
        <a:xfrm>
          <a:off x="2194560" y="6362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14476" name="Line 23">
          <a:extLst>
            <a:ext uri="{FF2B5EF4-FFF2-40B4-BE49-F238E27FC236}">
              <a16:creationId xmlns:a16="http://schemas.microsoft.com/office/drawing/2014/main" id="{00000000-0008-0000-1500-00008C380000}"/>
            </a:ext>
          </a:extLst>
        </xdr:cNvPr>
        <xdr:cNvSpPr>
          <a:spLocks noChangeShapeType="1"/>
        </xdr:cNvSpPr>
      </xdr:nvSpPr>
      <xdr:spPr bwMode="auto">
        <a:xfrm>
          <a:off x="21945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14477" name="Line 24">
          <a:extLst>
            <a:ext uri="{FF2B5EF4-FFF2-40B4-BE49-F238E27FC236}">
              <a16:creationId xmlns:a16="http://schemas.microsoft.com/office/drawing/2014/main" id="{00000000-0008-0000-1500-00008D380000}"/>
            </a:ext>
          </a:extLst>
        </xdr:cNvPr>
        <xdr:cNvSpPr>
          <a:spLocks noChangeShapeType="1"/>
        </xdr:cNvSpPr>
      </xdr:nvSpPr>
      <xdr:spPr bwMode="auto">
        <a:xfrm>
          <a:off x="21945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36</xdr:row>
      <xdr:rowOff>0</xdr:rowOff>
    </xdr:from>
    <xdr:to>
      <xdr:col>10</xdr:col>
      <xdr:colOff>0</xdr:colOff>
      <xdr:row>36</xdr:row>
      <xdr:rowOff>0</xdr:rowOff>
    </xdr:to>
    <xdr:sp macro="" textlink="">
      <xdr:nvSpPr>
        <xdr:cNvPr id="14478" name="Line 25">
          <a:extLst>
            <a:ext uri="{FF2B5EF4-FFF2-40B4-BE49-F238E27FC236}">
              <a16:creationId xmlns:a16="http://schemas.microsoft.com/office/drawing/2014/main" id="{00000000-0008-0000-1500-00008E380000}"/>
            </a:ext>
          </a:extLst>
        </xdr:cNvPr>
        <xdr:cNvSpPr>
          <a:spLocks noChangeShapeType="1"/>
        </xdr:cNvSpPr>
      </xdr:nvSpPr>
      <xdr:spPr bwMode="auto">
        <a:xfrm>
          <a:off x="6926580" y="66979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44</xdr:row>
      <xdr:rowOff>0</xdr:rowOff>
    </xdr:from>
    <xdr:to>
      <xdr:col>14</xdr:col>
      <xdr:colOff>640080</xdr:colOff>
      <xdr:row>44</xdr:row>
      <xdr:rowOff>0</xdr:rowOff>
    </xdr:to>
    <xdr:sp macro="" textlink="">
      <xdr:nvSpPr>
        <xdr:cNvPr id="14479" name="Line 26">
          <a:extLst>
            <a:ext uri="{FF2B5EF4-FFF2-40B4-BE49-F238E27FC236}">
              <a16:creationId xmlns:a16="http://schemas.microsoft.com/office/drawing/2014/main" id="{00000000-0008-0000-1500-00008F380000}"/>
            </a:ext>
          </a:extLst>
        </xdr:cNvPr>
        <xdr:cNvSpPr>
          <a:spLocks noChangeShapeType="1"/>
        </xdr:cNvSpPr>
      </xdr:nvSpPr>
      <xdr:spPr bwMode="auto">
        <a:xfrm>
          <a:off x="10584180" y="803910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36</xdr:row>
      <xdr:rowOff>0</xdr:rowOff>
    </xdr:from>
    <xdr:to>
      <xdr:col>6</xdr:col>
      <xdr:colOff>0</xdr:colOff>
      <xdr:row>36</xdr:row>
      <xdr:rowOff>0</xdr:rowOff>
    </xdr:to>
    <xdr:sp macro="" textlink="">
      <xdr:nvSpPr>
        <xdr:cNvPr id="14480" name="Line 27">
          <a:extLst>
            <a:ext uri="{FF2B5EF4-FFF2-40B4-BE49-F238E27FC236}">
              <a16:creationId xmlns:a16="http://schemas.microsoft.com/office/drawing/2014/main" id="{00000000-0008-0000-1500-000090380000}"/>
            </a:ext>
          </a:extLst>
        </xdr:cNvPr>
        <xdr:cNvSpPr>
          <a:spLocks noChangeShapeType="1"/>
        </xdr:cNvSpPr>
      </xdr:nvSpPr>
      <xdr:spPr bwMode="auto">
        <a:xfrm>
          <a:off x="4389120" y="66979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45</xdr:row>
      <xdr:rowOff>0</xdr:rowOff>
    </xdr:from>
    <xdr:to>
      <xdr:col>6</xdr:col>
      <xdr:colOff>0</xdr:colOff>
      <xdr:row>45</xdr:row>
      <xdr:rowOff>0</xdr:rowOff>
    </xdr:to>
    <xdr:sp macro="" textlink="">
      <xdr:nvSpPr>
        <xdr:cNvPr id="14481" name="Line 28">
          <a:extLst>
            <a:ext uri="{FF2B5EF4-FFF2-40B4-BE49-F238E27FC236}">
              <a16:creationId xmlns:a16="http://schemas.microsoft.com/office/drawing/2014/main" id="{00000000-0008-0000-1500-000091380000}"/>
            </a:ext>
          </a:extLst>
        </xdr:cNvPr>
        <xdr:cNvSpPr>
          <a:spLocks noChangeShapeType="1"/>
        </xdr:cNvSpPr>
      </xdr:nvSpPr>
      <xdr:spPr bwMode="auto">
        <a:xfrm>
          <a:off x="4389120" y="82067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45</xdr:row>
      <xdr:rowOff>0</xdr:rowOff>
    </xdr:from>
    <xdr:to>
      <xdr:col>10</xdr:col>
      <xdr:colOff>0</xdr:colOff>
      <xdr:row>45</xdr:row>
      <xdr:rowOff>0</xdr:rowOff>
    </xdr:to>
    <xdr:sp macro="" textlink="">
      <xdr:nvSpPr>
        <xdr:cNvPr id="14482" name="Line 29">
          <a:extLst>
            <a:ext uri="{FF2B5EF4-FFF2-40B4-BE49-F238E27FC236}">
              <a16:creationId xmlns:a16="http://schemas.microsoft.com/office/drawing/2014/main" id="{00000000-0008-0000-1500-000092380000}"/>
            </a:ext>
          </a:extLst>
        </xdr:cNvPr>
        <xdr:cNvSpPr>
          <a:spLocks noChangeShapeType="1"/>
        </xdr:cNvSpPr>
      </xdr:nvSpPr>
      <xdr:spPr bwMode="auto">
        <a:xfrm>
          <a:off x="6926580" y="82067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46</xdr:row>
      <xdr:rowOff>0</xdr:rowOff>
    </xdr:from>
    <xdr:to>
      <xdr:col>10</xdr:col>
      <xdr:colOff>0</xdr:colOff>
      <xdr:row>46</xdr:row>
      <xdr:rowOff>0</xdr:rowOff>
    </xdr:to>
    <xdr:sp macro="" textlink="">
      <xdr:nvSpPr>
        <xdr:cNvPr id="14483" name="Line 30">
          <a:extLst>
            <a:ext uri="{FF2B5EF4-FFF2-40B4-BE49-F238E27FC236}">
              <a16:creationId xmlns:a16="http://schemas.microsoft.com/office/drawing/2014/main" id="{00000000-0008-0000-1500-000093380000}"/>
            </a:ext>
          </a:extLst>
        </xdr:cNvPr>
        <xdr:cNvSpPr>
          <a:spLocks noChangeShapeType="1"/>
        </xdr:cNvSpPr>
      </xdr:nvSpPr>
      <xdr:spPr bwMode="auto">
        <a:xfrm>
          <a:off x="6926580" y="83743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45</xdr:row>
      <xdr:rowOff>0</xdr:rowOff>
    </xdr:from>
    <xdr:to>
      <xdr:col>15</xdr:col>
      <xdr:colOff>0</xdr:colOff>
      <xdr:row>45</xdr:row>
      <xdr:rowOff>0</xdr:rowOff>
    </xdr:to>
    <xdr:sp macro="" textlink="">
      <xdr:nvSpPr>
        <xdr:cNvPr id="14484" name="Line 31">
          <a:extLst>
            <a:ext uri="{FF2B5EF4-FFF2-40B4-BE49-F238E27FC236}">
              <a16:creationId xmlns:a16="http://schemas.microsoft.com/office/drawing/2014/main" id="{00000000-0008-0000-1500-000094380000}"/>
            </a:ext>
          </a:extLst>
        </xdr:cNvPr>
        <xdr:cNvSpPr>
          <a:spLocks noChangeShapeType="1"/>
        </xdr:cNvSpPr>
      </xdr:nvSpPr>
      <xdr:spPr bwMode="auto">
        <a:xfrm>
          <a:off x="10584180" y="82067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46</xdr:row>
      <xdr:rowOff>0</xdr:rowOff>
    </xdr:from>
    <xdr:to>
      <xdr:col>15</xdr:col>
      <xdr:colOff>0</xdr:colOff>
      <xdr:row>46</xdr:row>
      <xdr:rowOff>0</xdr:rowOff>
    </xdr:to>
    <xdr:sp macro="" textlink="">
      <xdr:nvSpPr>
        <xdr:cNvPr id="14485" name="Line 32">
          <a:extLst>
            <a:ext uri="{FF2B5EF4-FFF2-40B4-BE49-F238E27FC236}">
              <a16:creationId xmlns:a16="http://schemas.microsoft.com/office/drawing/2014/main" id="{00000000-0008-0000-1500-000095380000}"/>
            </a:ext>
          </a:extLst>
        </xdr:cNvPr>
        <xdr:cNvSpPr>
          <a:spLocks noChangeShapeType="1"/>
        </xdr:cNvSpPr>
      </xdr:nvSpPr>
      <xdr:spPr bwMode="auto">
        <a:xfrm>
          <a:off x="10584180" y="83743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36</xdr:row>
      <xdr:rowOff>0</xdr:rowOff>
    </xdr:from>
    <xdr:to>
      <xdr:col>4</xdr:col>
      <xdr:colOff>7620</xdr:colOff>
      <xdr:row>36</xdr:row>
      <xdr:rowOff>0</xdr:rowOff>
    </xdr:to>
    <xdr:sp macro="" textlink="">
      <xdr:nvSpPr>
        <xdr:cNvPr id="14486" name="Line 33">
          <a:extLst>
            <a:ext uri="{FF2B5EF4-FFF2-40B4-BE49-F238E27FC236}">
              <a16:creationId xmlns:a16="http://schemas.microsoft.com/office/drawing/2014/main" id="{00000000-0008-0000-1500-000096380000}"/>
            </a:ext>
          </a:extLst>
        </xdr:cNvPr>
        <xdr:cNvSpPr>
          <a:spLocks noChangeShapeType="1"/>
        </xdr:cNvSpPr>
      </xdr:nvSpPr>
      <xdr:spPr bwMode="auto">
        <a:xfrm>
          <a:off x="2194560" y="669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14487" name="Line 34">
          <a:extLst>
            <a:ext uri="{FF2B5EF4-FFF2-40B4-BE49-F238E27FC236}">
              <a16:creationId xmlns:a16="http://schemas.microsoft.com/office/drawing/2014/main" id="{00000000-0008-0000-1500-000097380000}"/>
            </a:ext>
          </a:extLst>
        </xdr:cNvPr>
        <xdr:cNvSpPr>
          <a:spLocks noChangeShapeType="1"/>
        </xdr:cNvSpPr>
      </xdr:nvSpPr>
      <xdr:spPr bwMode="auto">
        <a:xfrm>
          <a:off x="21945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14488" name="Line 35">
          <a:extLst>
            <a:ext uri="{FF2B5EF4-FFF2-40B4-BE49-F238E27FC236}">
              <a16:creationId xmlns:a16="http://schemas.microsoft.com/office/drawing/2014/main" id="{00000000-0008-0000-1500-000098380000}"/>
            </a:ext>
          </a:extLst>
        </xdr:cNvPr>
        <xdr:cNvSpPr>
          <a:spLocks noChangeShapeType="1"/>
        </xdr:cNvSpPr>
      </xdr:nvSpPr>
      <xdr:spPr bwMode="auto">
        <a:xfrm>
          <a:off x="21945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44</xdr:row>
      <xdr:rowOff>0</xdr:rowOff>
    </xdr:from>
    <xdr:to>
      <xdr:col>4</xdr:col>
      <xdr:colOff>7620</xdr:colOff>
      <xdr:row>44</xdr:row>
      <xdr:rowOff>0</xdr:rowOff>
    </xdr:to>
    <xdr:sp macro="" textlink="">
      <xdr:nvSpPr>
        <xdr:cNvPr id="14489" name="Line 36">
          <a:extLst>
            <a:ext uri="{FF2B5EF4-FFF2-40B4-BE49-F238E27FC236}">
              <a16:creationId xmlns:a16="http://schemas.microsoft.com/office/drawing/2014/main" id="{00000000-0008-0000-1500-000099380000}"/>
            </a:ext>
          </a:extLst>
        </xdr:cNvPr>
        <xdr:cNvSpPr>
          <a:spLocks noChangeShapeType="1"/>
        </xdr:cNvSpPr>
      </xdr:nvSpPr>
      <xdr:spPr bwMode="auto">
        <a:xfrm>
          <a:off x="2194560" y="80391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45</xdr:row>
      <xdr:rowOff>0</xdr:rowOff>
    </xdr:from>
    <xdr:to>
      <xdr:col>4</xdr:col>
      <xdr:colOff>7620</xdr:colOff>
      <xdr:row>45</xdr:row>
      <xdr:rowOff>0</xdr:rowOff>
    </xdr:to>
    <xdr:sp macro="" textlink="">
      <xdr:nvSpPr>
        <xdr:cNvPr id="14490" name="Line 37">
          <a:extLst>
            <a:ext uri="{FF2B5EF4-FFF2-40B4-BE49-F238E27FC236}">
              <a16:creationId xmlns:a16="http://schemas.microsoft.com/office/drawing/2014/main" id="{00000000-0008-0000-1500-00009A380000}"/>
            </a:ext>
          </a:extLst>
        </xdr:cNvPr>
        <xdr:cNvSpPr>
          <a:spLocks noChangeShapeType="1"/>
        </xdr:cNvSpPr>
      </xdr:nvSpPr>
      <xdr:spPr bwMode="auto">
        <a:xfrm>
          <a:off x="2194560" y="82067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46</xdr:row>
      <xdr:rowOff>0</xdr:rowOff>
    </xdr:from>
    <xdr:to>
      <xdr:col>4</xdr:col>
      <xdr:colOff>7620</xdr:colOff>
      <xdr:row>46</xdr:row>
      <xdr:rowOff>0</xdr:rowOff>
    </xdr:to>
    <xdr:sp macro="" textlink="">
      <xdr:nvSpPr>
        <xdr:cNvPr id="14491" name="Line 38">
          <a:extLst>
            <a:ext uri="{FF2B5EF4-FFF2-40B4-BE49-F238E27FC236}">
              <a16:creationId xmlns:a16="http://schemas.microsoft.com/office/drawing/2014/main" id="{00000000-0008-0000-1500-00009B380000}"/>
            </a:ext>
          </a:extLst>
        </xdr:cNvPr>
        <xdr:cNvSpPr>
          <a:spLocks noChangeShapeType="1"/>
        </xdr:cNvSpPr>
      </xdr:nvSpPr>
      <xdr:spPr bwMode="auto">
        <a:xfrm>
          <a:off x="2194560" y="83743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46</xdr:row>
      <xdr:rowOff>0</xdr:rowOff>
    </xdr:from>
    <xdr:to>
      <xdr:col>6</xdr:col>
      <xdr:colOff>0</xdr:colOff>
      <xdr:row>46</xdr:row>
      <xdr:rowOff>0</xdr:rowOff>
    </xdr:to>
    <xdr:sp macro="" textlink="">
      <xdr:nvSpPr>
        <xdr:cNvPr id="14492" name="Line 39">
          <a:extLst>
            <a:ext uri="{FF2B5EF4-FFF2-40B4-BE49-F238E27FC236}">
              <a16:creationId xmlns:a16="http://schemas.microsoft.com/office/drawing/2014/main" id="{00000000-0008-0000-1500-00009C380000}"/>
            </a:ext>
          </a:extLst>
        </xdr:cNvPr>
        <xdr:cNvSpPr>
          <a:spLocks noChangeShapeType="1"/>
        </xdr:cNvSpPr>
      </xdr:nvSpPr>
      <xdr:spPr bwMode="auto">
        <a:xfrm>
          <a:off x="4389120" y="83743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58</xdr:row>
      <xdr:rowOff>0</xdr:rowOff>
    </xdr:from>
    <xdr:to>
      <xdr:col>14</xdr:col>
      <xdr:colOff>640080</xdr:colOff>
      <xdr:row>58</xdr:row>
      <xdr:rowOff>0</xdr:rowOff>
    </xdr:to>
    <xdr:sp macro="" textlink="">
      <xdr:nvSpPr>
        <xdr:cNvPr id="14493" name="Line 40">
          <a:extLst>
            <a:ext uri="{FF2B5EF4-FFF2-40B4-BE49-F238E27FC236}">
              <a16:creationId xmlns:a16="http://schemas.microsoft.com/office/drawing/2014/main" id="{00000000-0008-0000-1500-00009D380000}"/>
            </a:ext>
          </a:extLst>
        </xdr:cNvPr>
        <xdr:cNvSpPr>
          <a:spLocks noChangeShapeType="1"/>
        </xdr:cNvSpPr>
      </xdr:nvSpPr>
      <xdr:spPr bwMode="auto">
        <a:xfrm>
          <a:off x="10584180" y="1050798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14494" name="Line 41">
          <a:extLst>
            <a:ext uri="{FF2B5EF4-FFF2-40B4-BE49-F238E27FC236}">
              <a16:creationId xmlns:a16="http://schemas.microsoft.com/office/drawing/2014/main" id="{00000000-0008-0000-1500-00009E38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14495" name="Line 42">
          <a:extLst>
            <a:ext uri="{FF2B5EF4-FFF2-40B4-BE49-F238E27FC236}">
              <a16:creationId xmlns:a16="http://schemas.microsoft.com/office/drawing/2014/main" id="{00000000-0008-0000-1500-00009F38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51</xdr:row>
      <xdr:rowOff>0</xdr:rowOff>
    </xdr:from>
    <xdr:to>
      <xdr:col>10</xdr:col>
      <xdr:colOff>0</xdr:colOff>
      <xdr:row>51</xdr:row>
      <xdr:rowOff>0</xdr:rowOff>
    </xdr:to>
    <xdr:sp macro="" textlink="">
      <xdr:nvSpPr>
        <xdr:cNvPr id="14496" name="Line 43">
          <a:extLst>
            <a:ext uri="{FF2B5EF4-FFF2-40B4-BE49-F238E27FC236}">
              <a16:creationId xmlns:a16="http://schemas.microsoft.com/office/drawing/2014/main" id="{00000000-0008-0000-1500-0000A0380000}"/>
            </a:ext>
          </a:extLst>
        </xdr:cNvPr>
        <xdr:cNvSpPr>
          <a:spLocks noChangeShapeType="1"/>
        </xdr:cNvSpPr>
      </xdr:nvSpPr>
      <xdr:spPr bwMode="auto">
        <a:xfrm>
          <a:off x="6926580" y="93345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59</xdr:row>
      <xdr:rowOff>0</xdr:rowOff>
    </xdr:from>
    <xdr:to>
      <xdr:col>14</xdr:col>
      <xdr:colOff>640080</xdr:colOff>
      <xdr:row>59</xdr:row>
      <xdr:rowOff>0</xdr:rowOff>
    </xdr:to>
    <xdr:sp macro="" textlink="">
      <xdr:nvSpPr>
        <xdr:cNvPr id="14497" name="Line 44">
          <a:extLst>
            <a:ext uri="{FF2B5EF4-FFF2-40B4-BE49-F238E27FC236}">
              <a16:creationId xmlns:a16="http://schemas.microsoft.com/office/drawing/2014/main" id="{00000000-0008-0000-1500-0000A1380000}"/>
            </a:ext>
          </a:extLst>
        </xdr:cNvPr>
        <xdr:cNvSpPr>
          <a:spLocks noChangeShapeType="1"/>
        </xdr:cNvSpPr>
      </xdr:nvSpPr>
      <xdr:spPr bwMode="auto">
        <a:xfrm>
          <a:off x="10584180" y="106756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51</xdr:row>
      <xdr:rowOff>0</xdr:rowOff>
    </xdr:from>
    <xdr:to>
      <xdr:col>6</xdr:col>
      <xdr:colOff>0</xdr:colOff>
      <xdr:row>51</xdr:row>
      <xdr:rowOff>0</xdr:rowOff>
    </xdr:to>
    <xdr:sp macro="" textlink="">
      <xdr:nvSpPr>
        <xdr:cNvPr id="14498" name="Line 45">
          <a:extLst>
            <a:ext uri="{FF2B5EF4-FFF2-40B4-BE49-F238E27FC236}">
              <a16:creationId xmlns:a16="http://schemas.microsoft.com/office/drawing/2014/main" id="{00000000-0008-0000-1500-0000A2380000}"/>
            </a:ext>
          </a:extLst>
        </xdr:cNvPr>
        <xdr:cNvSpPr>
          <a:spLocks noChangeShapeType="1"/>
        </xdr:cNvSpPr>
      </xdr:nvSpPr>
      <xdr:spPr bwMode="auto">
        <a:xfrm>
          <a:off x="4389120" y="9334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60</xdr:row>
      <xdr:rowOff>0</xdr:rowOff>
    </xdr:from>
    <xdr:to>
      <xdr:col>10</xdr:col>
      <xdr:colOff>0</xdr:colOff>
      <xdr:row>60</xdr:row>
      <xdr:rowOff>0</xdr:rowOff>
    </xdr:to>
    <xdr:sp macro="" textlink="">
      <xdr:nvSpPr>
        <xdr:cNvPr id="14499" name="Line 46">
          <a:extLst>
            <a:ext uri="{FF2B5EF4-FFF2-40B4-BE49-F238E27FC236}">
              <a16:creationId xmlns:a16="http://schemas.microsoft.com/office/drawing/2014/main" id="{00000000-0008-0000-1500-0000A3380000}"/>
            </a:ext>
          </a:extLst>
        </xdr:cNvPr>
        <xdr:cNvSpPr>
          <a:spLocks noChangeShapeType="1"/>
        </xdr:cNvSpPr>
      </xdr:nvSpPr>
      <xdr:spPr bwMode="auto">
        <a:xfrm>
          <a:off x="6926580" y="108432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60</xdr:row>
      <xdr:rowOff>0</xdr:rowOff>
    </xdr:from>
    <xdr:to>
      <xdr:col>15</xdr:col>
      <xdr:colOff>0</xdr:colOff>
      <xdr:row>60</xdr:row>
      <xdr:rowOff>0</xdr:rowOff>
    </xdr:to>
    <xdr:sp macro="" textlink="">
      <xdr:nvSpPr>
        <xdr:cNvPr id="14500" name="Line 47">
          <a:extLst>
            <a:ext uri="{FF2B5EF4-FFF2-40B4-BE49-F238E27FC236}">
              <a16:creationId xmlns:a16="http://schemas.microsoft.com/office/drawing/2014/main" id="{00000000-0008-0000-1500-0000A4380000}"/>
            </a:ext>
          </a:extLst>
        </xdr:cNvPr>
        <xdr:cNvSpPr>
          <a:spLocks noChangeShapeType="1"/>
        </xdr:cNvSpPr>
      </xdr:nvSpPr>
      <xdr:spPr bwMode="auto">
        <a:xfrm>
          <a:off x="10584180" y="108432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51</xdr:row>
      <xdr:rowOff>0</xdr:rowOff>
    </xdr:from>
    <xdr:to>
      <xdr:col>4</xdr:col>
      <xdr:colOff>7620</xdr:colOff>
      <xdr:row>51</xdr:row>
      <xdr:rowOff>0</xdr:rowOff>
    </xdr:to>
    <xdr:sp macro="" textlink="">
      <xdr:nvSpPr>
        <xdr:cNvPr id="14501" name="Line 48">
          <a:extLst>
            <a:ext uri="{FF2B5EF4-FFF2-40B4-BE49-F238E27FC236}">
              <a16:creationId xmlns:a16="http://schemas.microsoft.com/office/drawing/2014/main" id="{00000000-0008-0000-1500-0000A5380000}"/>
            </a:ext>
          </a:extLst>
        </xdr:cNvPr>
        <xdr:cNvSpPr>
          <a:spLocks noChangeShapeType="1"/>
        </xdr:cNvSpPr>
      </xdr:nvSpPr>
      <xdr:spPr bwMode="auto">
        <a:xfrm>
          <a:off x="2194560" y="93345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14502" name="Line 49">
          <a:extLst>
            <a:ext uri="{FF2B5EF4-FFF2-40B4-BE49-F238E27FC236}">
              <a16:creationId xmlns:a16="http://schemas.microsoft.com/office/drawing/2014/main" id="{00000000-0008-0000-1500-0000A638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14503" name="Line 50">
          <a:extLst>
            <a:ext uri="{FF2B5EF4-FFF2-40B4-BE49-F238E27FC236}">
              <a16:creationId xmlns:a16="http://schemas.microsoft.com/office/drawing/2014/main" id="{00000000-0008-0000-1500-0000A738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14504" name="Line 51">
          <a:extLst>
            <a:ext uri="{FF2B5EF4-FFF2-40B4-BE49-F238E27FC236}">
              <a16:creationId xmlns:a16="http://schemas.microsoft.com/office/drawing/2014/main" id="{00000000-0008-0000-1500-0000A838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59</xdr:row>
      <xdr:rowOff>0</xdr:rowOff>
    </xdr:from>
    <xdr:to>
      <xdr:col>4</xdr:col>
      <xdr:colOff>7620</xdr:colOff>
      <xdr:row>59</xdr:row>
      <xdr:rowOff>0</xdr:rowOff>
    </xdr:to>
    <xdr:sp macro="" textlink="">
      <xdr:nvSpPr>
        <xdr:cNvPr id="14505" name="Line 52">
          <a:extLst>
            <a:ext uri="{FF2B5EF4-FFF2-40B4-BE49-F238E27FC236}">
              <a16:creationId xmlns:a16="http://schemas.microsoft.com/office/drawing/2014/main" id="{00000000-0008-0000-1500-0000A9380000}"/>
            </a:ext>
          </a:extLst>
        </xdr:cNvPr>
        <xdr:cNvSpPr>
          <a:spLocks noChangeShapeType="1"/>
        </xdr:cNvSpPr>
      </xdr:nvSpPr>
      <xdr:spPr bwMode="auto">
        <a:xfrm>
          <a:off x="2194560" y="106756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60</xdr:row>
      <xdr:rowOff>0</xdr:rowOff>
    </xdr:from>
    <xdr:to>
      <xdr:col>4</xdr:col>
      <xdr:colOff>7620</xdr:colOff>
      <xdr:row>60</xdr:row>
      <xdr:rowOff>0</xdr:rowOff>
    </xdr:to>
    <xdr:sp macro="" textlink="">
      <xdr:nvSpPr>
        <xdr:cNvPr id="14506" name="Line 53">
          <a:extLst>
            <a:ext uri="{FF2B5EF4-FFF2-40B4-BE49-F238E27FC236}">
              <a16:creationId xmlns:a16="http://schemas.microsoft.com/office/drawing/2014/main" id="{00000000-0008-0000-1500-0000AA380000}"/>
            </a:ext>
          </a:extLst>
        </xdr:cNvPr>
        <xdr:cNvSpPr>
          <a:spLocks noChangeShapeType="1"/>
        </xdr:cNvSpPr>
      </xdr:nvSpPr>
      <xdr:spPr bwMode="auto">
        <a:xfrm>
          <a:off x="2194560" y="108432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60</xdr:row>
      <xdr:rowOff>0</xdr:rowOff>
    </xdr:from>
    <xdr:to>
      <xdr:col>6</xdr:col>
      <xdr:colOff>0</xdr:colOff>
      <xdr:row>60</xdr:row>
      <xdr:rowOff>0</xdr:rowOff>
    </xdr:to>
    <xdr:sp macro="" textlink="">
      <xdr:nvSpPr>
        <xdr:cNvPr id="14507" name="Line 54">
          <a:extLst>
            <a:ext uri="{FF2B5EF4-FFF2-40B4-BE49-F238E27FC236}">
              <a16:creationId xmlns:a16="http://schemas.microsoft.com/office/drawing/2014/main" id="{00000000-0008-0000-1500-0000AB380000}"/>
            </a:ext>
          </a:extLst>
        </xdr:cNvPr>
        <xdr:cNvSpPr>
          <a:spLocks noChangeShapeType="1"/>
        </xdr:cNvSpPr>
      </xdr:nvSpPr>
      <xdr:spPr bwMode="auto">
        <a:xfrm>
          <a:off x="4389120" y="108432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29</xdr:row>
      <xdr:rowOff>0</xdr:rowOff>
    </xdr:from>
    <xdr:to>
      <xdr:col>7</xdr:col>
      <xdr:colOff>45720</xdr:colOff>
      <xdr:row>29</xdr:row>
      <xdr:rowOff>0</xdr:rowOff>
    </xdr:to>
    <xdr:sp macro="" textlink="">
      <xdr:nvSpPr>
        <xdr:cNvPr id="14508" name="Line 55">
          <a:extLst>
            <a:ext uri="{FF2B5EF4-FFF2-40B4-BE49-F238E27FC236}">
              <a16:creationId xmlns:a16="http://schemas.microsoft.com/office/drawing/2014/main" id="{00000000-0008-0000-1500-0000AC380000}"/>
            </a:ext>
          </a:extLst>
        </xdr:cNvPr>
        <xdr:cNvSpPr>
          <a:spLocks noChangeShapeType="1"/>
        </xdr:cNvSpPr>
      </xdr:nvSpPr>
      <xdr:spPr bwMode="auto">
        <a:xfrm>
          <a:off x="4389120" y="552450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42</xdr:row>
      <xdr:rowOff>0</xdr:rowOff>
    </xdr:from>
    <xdr:to>
      <xdr:col>7</xdr:col>
      <xdr:colOff>45720</xdr:colOff>
      <xdr:row>42</xdr:row>
      <xdr:rowOff>0</xdr:rowOff>
    </xdr:to>
    <xdr:sp macro="" textlink="">
      <xdr:nvSpPr>
        <xdr:cNvPr id="14509" name="Line 56">
          <a:extLst>
            <a:ext uri="{FF2B5EF4-FFF2-40B4-BE49-F238E27FC236}">
              <a16:creationId xmlns:a16="http://schemas.microsoft.com/office/drawing/2014/main" id="{00000000-0008-0000-1500-0000AD380000}"/>
            </a:ext>
          </a:extLst>
        </xdr:cNvPr>
        <xdr:cNvSpPr>
          <a:spLocks noChangeShapeType="1"/>
        </xdr:cNvSpPr>
      </xdr:nvSpPr>
      <xdr:spPr bwMode="auto">
        <a:xfrm>
          <a:off x="4389120" y="770382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57</xdr:row>
      <xdr:rowOff>0</xdr:rowOff>
    </xdr:from>
    <xdr:to>
      <xdr:col>7</xdr:col>
      <xdr:colOff>45720</xdr:colOff>
      <xdr:row>57</xdr:row>
      <xdr:rowOff>0</xdr:rowOff>
    </xdr:to>
    <xdr:sp macro="" textlink="">
      <xdr:nvSpPr>
        <xdr:cNvPr id="14510" name="Line 57">
          <a:extLst>
            <a:ext uri="{FF2B5EF4-FFF2-40B4-BE49-F238E27FC236}">
              <a16:creationId xmlns:a16="http://schemas.microsoft.com/office/drawing/2014/main" id="{00000000-0008-0000-1500-0000AE380000}"/>
            </a:ext>
          </a:extLst>
        </xdr:cNvPr>
        <xdr:cNvSpPr>
          <a:spLocks noChangeShapeType="1"/>
        </xdr:cNvSpPr>
      </xdr:nvSpPr>
      <xdr:spPr bwMode="auto">
        <a:xfrm>
          <a:off x="4389120" y="1034034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69</xdr:row>
      <xdr:rowOff>0</xdr:rowOff>
    </xdr:from>
    <xdr:to>
      <xdr:col>6</xdr:col>
      <xdr:colOff>0</xdr:colOff>
      <xdr:row>69</xdr:row>
      <xdr:rowOff>0</xdr:rowOff>
    </xdr:to>
    <xdr:sp macro="" textlink="">
      <xdr:nvSpPr>
        <xdr:cNvPr id="14511" name="Line 58">
          <a:extLst>
            <a:ext uri="{FF2B5EF4-FFF2-40B4-BE49-F238E27FC236}">
              <a16:creationId xmlns:a16="http://schemas.microsoft.com/office/drawing/2014/main" id="{00000000-0008-0000-1500-0000AF380000}"/>
            </a:ext>
          </a:extLst>
        </xdr:cNvPr>
        <xdr:cNvSpPr>
          <a:spLocks noChangeShapeType="1"/>
        </xdr:cNvSpPr>
      </xdr:nvSpPr>
      <xdr:spPr bwMode="auto">
        <a:xfrm>
          <a:off x="4389120" y="123520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69</xdr:row>
      <xdr:rowOff>0</xdr:rowOff>
    </xdr:from>
    <xdr:to>
      <xdr:col>14</xdr:col>
      <xdr:colOff>640080</xdr:colOff>
      <xdr:row>69</xdr:row>
      <xdr:rowOff>0</xdr:rowOff>
    </xdr:to>
    <xdr:sp macro="" textlink="">
      <xdr:nvSpPr>
        <xdr:cNvPr id="14512" name="Line 59">
          <a:extLst>
            <a:ext uri="{FF2B5EF4-FFF2-40B4-BE49-F238E27FC236}">
              <a16:creationId xmlns:a16="http://schemas.microsoft.com/office/drawing/2014/main" id="{00000000-0008-0000-1500-0000B0380000}"/>
            </a:ext>
          </a:extLst>
        </xdr:cNvPr>
        <xdr:cNvSpPr>
          <a:spLocks noChangeShapeType="1"/>
        </xdr:cNvSpPr>
      </xdr:nvSpPr>
      <xdr:spPr bwMode="auto">
        <a:xfrm>
          <a:off x="10584180" y="123520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70</xdr:row>
      <xdr:rowOff>0</xdr:rowOff>
    </xdr:from>
    <xdr:to>
      <xdr:col>6</xdr:col>
      <xdr:colOff>0</xdr:colOff>
      <xdr:row>70</xdr:row>
      <xdr:rowOff>0</xdr:rowOff>
    </xdr:to>
    <xdr:sp macro="" textlink="">
      <xdr:nvSpPr>
        <xdr:cNvPr id="14513" name="Line 60">
          <a:extLst>
            <a:ext uri="{FF2B5EF4-FFF2-40B4-BE49-F238E27FC236}">
              <a16:creationId xmlns:a16="http://schemas.microsoft.com/office/drawing/2014/main" id="{00000000-0008-0000-1500-0000B1380000}"/>
            </a:ext>
          </a:extLst>
        </xdr:cNvPr>
        <xdr:cNvSpPr>
          <a:spLocks noChangeShapeType="1"/>
        </xdr:cNvSpPr>
      </xdr:nvSpPr>
      <xdr:spPr bwMode="auto">
        <a:xfrm>
          <a:off x="4389120" y="125196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4514" name="Line 61">
          <a:extLst>
            <a:ext uri="{FF2B5EF4-FFF2-40B4-BE49-F238E27FC236}">
              <a16:creationId xmlns:a16="http://schemas.microsoft.com/office/drawing/2014/main" id="{00000000-0008-0000-1500-0000B238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4515" name="Line 62">
          <a:extLst>
            <a:ext uri="{FF2B5EF4-FFF2-40B4-BE49-F238E27FC236}">
              <a16:creationId xmlns:a16="http://schemas.microsoft.com/office/drawing/2014/main" id="{00000000-0008-0000-1500-0000B338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62</xdr:row>
      <xdr:rowOff>0</xdr:rowOff>
    </xdr:from>
    <xdr:to>
      <xdr:col>10</xdr:col>
      <xdr:colOff>0</xdr:colOff>
      <xdr:row>62</xdr:row>
      <xdr:rowOff>0</xdr:rowOff>
    </xdr:to>
    <xdr:sp macro="" textlink="">
      <xdr:nvSpPr>
        <xdr:cNvPr id="14516" name="Line 63">
          <a:extLst>
            <a:ext uri="{FF2B5EF4-FFF2-40B4-BE49-F238E27FC236}">
              <a16:creationId xmlns:a16="http://schemas.microsoft.com/office/drawing/2014/main" id="{00000000-0008-0000-1500-0000B4380000}"/>
            </a:ext>
          </a:extLst>
        </xdr:cNvPr>
        <xdr:cNvSpPr>
          <a:spLocks noChangeShapeType="1"/>
        </xdr:cNvSpPr>
      </xdr:nvSpPr>
      <xdr:spPr bwMode="auto">
        <a:xfrm>
          <a:off x="6926580" y="111785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70</xdr:row>
      <xdr:rowOff>0</xdr:rowOff>
    </xdr:from>
    <xdr:to>
      <xdr:col>14</xdr:col>
      <xdr:colOff>640080</xdr:colOff>
      <xdr:row>70</xdr:row>
      <xdr:rowOff>0</xdr:rowOff>
    </xdr:to>
    <xdr:sp macro="" textlink="">
      <xdr:nvSpPr>
        <xdr:cNvPr id="14517" name="Line 64">
          <a:extLst>
            <a:ext uri="{FF2B5EF4-FFF2-40B4-BE49-F238E27FC236}">
              <a16:creationId xmlns:a16="http://schemas.microsoft.com/office/drawing/2014/main" id="{00000000-0008-0000-1500-0000B5380000}"/>
            </a:ext>
          </a:extLst>
        </xdr:cNvPr>
        <xdr:cNvSpPr>
          <a:spLocks noChangeShapeType="1"/>
        </xdr:cNvSpPr>
      </xdr:nvSpPr>
      <xdr:spPr bwMode="auto">
        <a:xfrm>
          <a:off x="10584180" y="1251966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62</xdr:row>
      <xdr:rowOff>0</xdr:rowOff>
    </xdr:from>
    <xdr:to>
      <xdr:col>6</xdr:col>
      <xdr:colOff>0</xdr:colOff>
      <xdr:row>62</xdr:row>
      <xdr:rowOff>0</xdr:rowOff>
    </xdr:to>
    <xdr:sp macro="" textlink="">
      <xdr:nvSpPr>
        <xdr:cNvPr id="14518" name="Line 65">
          <a:extLst>
            <a:ext uri="{FF2B5EF4-FFF2-40B4-BE49-F238E27FC236}">
              <a16:creationId xmlns:a16="http://schemas.microsoft.com/office/drawing/2014/main" id="{00000000-0008-0000-1500-0000B6380000}"/>
            </a:ext>
          </a:extLst>
        </xdr:cNvPr>
        <xdr:cNvSpPr>
          <a:spLocks noChangeShapeType="1"/>
        </xdr:cNvSpPr>
      </xdr:nvSpPr>
      <xdr:spPr bwMode="auto">
        <a:xfrm>
          <a:off x="4389120" y="111785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62</xdr:row>
      <xdr:rowOff>0</xdr:rowOff>
    </xdr:from>
    <xdr:to>
      <xdr:col>4</xdr:col>
      <xdr:colOff>7620</xdr:colOff>
      <xdr:row>62</xdr:row>
      <xdr:rowOff>0</xdr:rowOff>
    </xdr:to>
    <xdr:sp macro="" textlink="">
      <xdr:nvSpPr>
        <xdr:cNvPr id="14519" name="Line 66">
          <a:extLst>
            <a:ext uri="{FF2B5EF4-FFF2-40B4-BE49-F238E27FC236}">
              <a16:creationId xmlns:a16="http://schemas.microsoft.com/office/drawing/2014/main" id="{00000000-0008-0000-1500-0000B7380000}"/>
            </a:ext>
          </a:extLst>
        </xdr:cNvPr>
        <xdr:cNvSpPr>
          <a:spLocks noChangeShapeType="1"/>
        </xdr:cNvSpPr>
      </xdr:nvSpPr>
      <xdr:spPr bwMode="auto">
        <a:xfrm>
          <a:off x="2194560" y="11178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4520" name="Line 67">
          <a:extLst>
            <a:ext uri="{FF2B5EF4-FFF2-40B4-BE49-F238E27FC236}">
              <a16:creationId xmlns:a16="http://schemas.microsoft.com/office/drawing/2014/main" id="{00000000-0008-0000-1500-0000B838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4521" name="Line 68">
          <a:extLst>
            <a:ext uri="{FF2B5EF4-FFF2-40B4-BE49-F238E27FC236}">
              <a16:creationId xmlns:a16="http://schemas.microsoft.com/office/drawing/2014/main" id="{00000000-0008-0000-1500-0000B938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4522" name="Line 69">
          <a:extLst>
            <a:ext uri="{FF2B5EF4-FFF2-40B4-BE49-F238E27FC236}">
              <a16:creationId xmlns:a16="http://schemas.microsoft.com/office/drawing/2014/main" id="{00000000-0008-0000-1500-0000BA38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4523" name="Line 70">
          <a:extLst>
            <a:ext uri="{FF2B5EF4-FFF2-40B4-BE49-F238E27FC236}">
              <a16:creationId xmlns:a16="http://schemas.microsoft.com/office/drawing/2014/main" id="{00000000-0008-0000-1500-0000BB38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68</xdr:row>
      <xdr:rowOff>0</xdr:rowOff>
    </xdr:from>
    <xdr:to>
      <xdr:col>7</xdr:col>
      <xdr:colOff>45720</xdr:colOff>
      <xdr:row>68</xdr:row>
      <xdr:rowOff>0</xdr:rowOff>
    </xdr:to>
    <xdr:sp macro="" textlink="">
      <xdr:nvSpPr>
        <xdr:cNvPr id="14524" name="Line 71">
          <a:extLst>
            <a:ext uri="{FF2B5EF4-FFF2-40B4-BE49-F238E27FC236}">
              <a16:creationId xmlns:a16="http://schemas.microsoft.com/office/drawing/2014/main" id="{00000000-0008-0000-1500-0000BC380000}"/>
            </a:ext>
          </a:extLst>
        </xdr:cNvPr>
        <xdr:cNvSpPr>
          <a:spLocks noChangeShapeType="1"/>
        </xdr:cNvSpPr>
      </xdr:nvSpPr>
      <xdr:spPr bwMode="auto">
        <a:xfrm>
          <a:off x="4389120" y="1218438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70</xdr:row>
      <xdr:rowOff>0</xdr:rowOff>
    </xdr:from>
    <xdr:to>
      <xdr:col>4</xdr:col>
      <xdr:colOff>7620</xdr:colOff>
      <xdr:row>70</xdr:row>
      <xdr:rowOff>0</xdr:rowOff>
    </xdr:to>
    <xdr:sp macro="" textlink="">
      <xdr:nvSpPr>
        <xdr:cNvPr id="14525" name="Line 72">
          <a:extLst>
            <a:ext uri="{FF2B5EF4-FFF2-40B4-BE49-F238E27FC236}">
              <a16:creationId xmlns:a16="http://schemas.microsoft.com/office/drawing/2014/main" id="{00000000-0008-0000-1500-0000BD380000}"/>
            </a:ext>
          </a:extLst>
        </xdr:cNvPr>
        <xdr:cNvSpPr>
          <a:spLocks noChangeShapeType="1"/>
        </xdr:cNvSpPr>
      </xdr:nvSpPr>
      <xdr:spPr bwMode="auto">
        <a:xfrm>
          <a:off x="2194560" y="12519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79</xdr:row>
      <xdr:rowOff>0</xdr:rowOff>
    </xdr:from>
    <xdr:to>
      <xdr:col>6</xdr:col>
      <xdr:colOff>0</xdr:colOff>
      <xdr:row>79</xdr:row>
      <xdr:rowOff>0</xdr:rowOff>
    </xdr:to>
    <xdr:sp macro="" textlink="">
      <xdr:nvSpPr>
        <xdr:cNvPr id="14526" name="Line 73">
          <a:extLst>
            <a:ext uri="{FF2B5EF4-FFF2-40B4-BE49-F238E27FC236}">
              <a16:creationId xmlns:a16="http://schemas.microsoft.com/office/drawing/2014/main" id="{00000000-0008-0000-1500-0000BE380000}"/>
            </a:ext>
          </a:extLst>
        </xdr:cNvPr>
        <xdr:cNvSpPr>
          <a:spLocks noChangeShapeType="1"/>
        </xdr:cNvSpPr>
      </xdr:nvSpPr>
      <xdr:spPr bwMode="auto">
        <a:xfrm>
          <a:off x="4389120" y="140284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79</xdr:row>
      <xdr:rowOff>0</xdr:rowOff>
    </xdr:from>
    <xdr:to>
      <xdr:col>14</xdr:col>
      <xdr:colOff>640080</xdr:colOff>
      <xdr:row>79</xdr:row>
      <xdr:rowOff>0</xdr:rowOff>
    </xdr:to>
    <xdr:sp macro="" textlink="">
      <xdr:nvSpPr>
        <xdr:cNvPr id="14527" name="Line 74">
          <a:extLst>
            <a:ext uri="{FF2B5EF4-FFF2-40B4-BE49-F238E27FC236}">
              <a16:creationId xmlns:a16="http://schemas.microsoft.com/office/drawing/2014/main" id="{00000000-0008-0000-1500-0000BF380000}"/>
            </a:ext>
          </a:extLst>
        </xdr:cNvPr>
        <xdr:cNvSpPr>
          <a:spLocks noChangeShapeType="1"/>
        </xdr:cNvSpPr>
      </xdr:nvSpPr>
      <xdr:spPr bwMode="auto">
        <a:xfrm>
          <a:off x="10584180" y="140284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4528" name="Line 75">
          <a:extLst>
            <a:ext uri="{FF2B5EF4-FFF2-40B4-BE49-F238E27FC236}">
              <a16:creationId xmlns:a16="http://schemas.microsoft.com/office/drawing/2014/main" id="{00000000-0008-0000-1500-0000C038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4529" name="Line 76">
          <a:extLst>
            <a:ext uri="{FF2B5EF4-FFF2-40B4-BE49-F238E27FC236}">
              <a16:creationId xmlns:a16="http://schemas.microsoft.com/office/drawing/2014/main" id="{00000000-0008-0000-1500-0000C138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72</xdr:row>
      <xdr:rowOff>0</xdr:rowOff>
    </xdr:from>
    <xdr:to>
      <xdr:col>10</xdr:col>
      <xdr:colOff>0</xdr:colOff>
      <xdr:row>72</xdr:row>
      <xdr:rowOff>0</xdr:rowOff>
    </xdr:to>
    <xdr:sp macro="" textlink="">
      <xdr:nvSpPr>
        <xdr:cNvPr id="14530" name="Line 77">
          <a:extLst>
            <a:ext uri="{FF2B5EF4-FFF2-40B4-BE49-F238E27FC236}">
              <a16:creationId xmlns:a16="http://schemas.microsoft.com/office/drawing/2014/main" id="{00000000-0008-0000-1500-0000C2380000}"/>
            </a:ext>
          </a:extLst>
        </xdr:cNvPr>
        <xdr:cNvSpPr>
          <a:spLocks noChangeShapeType="1"/>
        </xdr:cNvSpPr>
      </xdr:nvSpPr>
      <xdr:spPr bwMode="auto">
        <a:xfrm>
          <a:off x="6926580" y="128549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72</xdr:row>
      <xdr:rowOff>0</xdr:rowOff>
    </xdr:from>
    <xdr:to>
      <xdr:col>6</xdr:col>
      <xdr:colOff>0</xdr:colOff>
      <xdr:row>72</xdr:row>
      <xdr:rowOff>0</xdr:rowOff>
    </xdr:to>
    <xdr:sp macro="" textlink="">
      <xdr:nvSpPr>
        <xdr:cNvPr id="14531" name="Line 78">
          <a:extLst>
            <a:ext uri="{FF2B5EF4-FFF2-40B4-BE49-F238E27FC236}">
              <a16:creationId xmlns:a16="http://schemas.microsoft.com/office/drawing/2014/main" id="{00000000-0008-0000-1500-0000C3380000}"/>
            </a:ext>
          </a:extLst>
        </xdr:cNvPr>
        <xdr:cNvSpPr>
          <a:spLocks noChangeShapeType="1"/>
        </xdr:cNvSpPr>
      </xdr:nvSpPr>
      <xdr:spPr bwMode="auto">
        <a:xfrm>
          <a:off x="4389120" y="128549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72</xdr:row>
      <xdr:rowOff>0</xdr:rowOff>
    </xdr:from>
    <xdr:to>
      <xdr:col>4</xdr:col>
      <xdr:colOff>7620</xdr:colOff>
      <xdr:row>72</xdr:row>
      <xdr:rowOff>0</xdr:rowOff>
    </xdr:to>
    <xdr:sp macro="" textlink="">
      <xdr:nvSpPr>
        <xdr:cNvPr id="14532" name="Line 79">
          <a:extLst>
            <a:ext uri="{FF2B5EF4-FFF2-40B4-BE49-F238E27FC236}">
              <a16:creationId xmlns:a16="http://schemas.microsoft.com/office/drawing/2014/main" id="{00000000-0008-0000-1500-0000C4380000}"/>
            </a:ext>
          </a:extLst>
        </xdr:cNvPr>
        <xdr:cNvSpPr>
          <a:spLocks noChangeShapeType="1"/>
        </xdr:cNvSpPr>
      </xdr:nvSpPr>
      <xdr:spPr bwMode="auto">
        <a:xfrm>
          <a:off x="2194560" y="128549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4533" name="Line 80">
          <a:extLst>
            <a:ext uri="{FF2B5EF4-FFF2-40B4-BE49-F238E27FC236}">
              <a16:creationId xmlns:a16="http://schemas.microsoft.com/office/drawing/2014/main" id="{00000000-0008-0000-1500-0000C538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4534" name="Line 81">
          <a:extLst>
            <a:ext uri="{FF2B5EF4-FFF2-40B4-BE49-F238E27FC236}">
              <a16:creationId xmlns:a16="http://schemas.microsoft.com/office/drawing/2014/main" id="{00000000-0008-0000-1500-0000C638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4535" name="Line 82">
          <a:extLst>
            <a:ext uri="{FF2B5EF4-FFF2-40B4-BE49-F238E27FC236}">
              <a16:creationId xmlns:a16="http://schemas.microsoft.com/office/drawing/2014/main" id="{00000000-0008-0000-1500-0000C738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4536" name="Line 83">
          <a:extLst>
            <a:ext uri="{FF2B5EF4-FFF2-40B4-BE49-F238E27FC236}">
              <a16:creationId xmlns:a16="http://schemas.microsoft.com/office/drawing/2014/main" id="{00000000-0008-0000-1500-0000C838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78</xdr:row>
      <xdr:rowOff>0</xdr:rowOff>
    </xdr:from>
    <xdr:to>
      <xdr:col>7</xdr:col>
      <xdr:colOff>45720</xdr:colOff>
      <xdr:row>78</xdr:row>
      <xdr:rowOff>0</xdr:rowOff>
    </xdr:to>
    <xdr:sp macro="" textlink="">
      <xdr:nvSpPr>
        <xdr:cNvPr id="14537" name="Line 84">
          <a:extLst>
            <a:ext uri="{FF2B5EF4-FFF2-40B4-BE49-F238E27FC236}">
              <a16:creationId xmlns:a16="http://schemas.microsoft.com/office/drawing/2014/main" id="{00000000-0008-0000-1500-0000C9380000}"/>
            </a:ext>
          </a:extLst>
        </xdr:cNvPr>
        <xdr:cNvSpPr>
          <a:spLocks noChangeShapeType="1"/>
        </xdr:cNvSpPr>
      </xdr:nvSpPr>
      <xdr:spPr bwMode="auto">
        <a:xfrm>
          <a:off x="4389120" y="1386078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14538" name="Line 85">
          <a:extLst>
            <a:ext uri="{FF2B5EF4-FFF2-40B4-BE49-F238E27FC236}">
              <a16:creationId xmlns:a16="http://schemas.microsoft.com/office/drawing/2014/main" id="{00000000-0008-0000-1500-0000CA380000}"/>
            </a:ext>
          </a:extLst>
        </xdr:cNvPr>
        <xdr:cNvSpPr>
          <a:spLocks noChangeShapeType="1"/>
        </xdr:cNvSpPr>
      </xdr:nvSpPr>
      <xdr:spPr bwMode="auto">
        <a:xfrm>
          <a:off x="69265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14539" name="Line 86">
          <a:extLst>
            <a:ext uri="{FF2B5EF4-FFF2-40B4-BE49-F238E27FC236}">
              <a16:creationId xmlns:a16="http://schemas.microsoft.com/office/drawing/2014/main" id="{00000000-0008-0000-1500-0000CB380000}"/>
            </a:ext>
          </a:extLst>
        </xdr:cNvPr>
        <xdr:cNvSpPr>
          <a:spLocks noChangeShapeType="1"/>
        </xdr:cNvSpPr>
      </xdr:nvSpPr>
      <xdr:spPr bwMode="auto">
        <a:xfrm>
          <a:off x="43891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14540" name="Line 87">
          <a:extLst>
            <a:ext uri="{FF2B5EF4-FFF2-40B4-BE49-F238E27FC236}">
              <a16:creationId xmlns:a16="http://schemas.microsoft.com/office/drawing/2014/main" id="{00000000-0008-0000-1500-0000CC380000}"/>
            </a:ext>
          </a:extLst>
        </xdr:cNvPr>
        <xdr:cNvSpPr>
          <a:spLocks noChangeShapeType="1"/>
        </xdr:cNvSpPr>
      </xdr:nvSpPr>
      <xdr:spPr bwMode="auto">
        <a:xfrm>
          <a:off x="21945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14541" name="Line 88">
          <a:extLst>
            <a:ext uri="{FF2B5EF4-FFF2-40B4-BE49-F238E27FC236}">
              <a16:creationId xmlns:a16="http://schemas.microsoft.com/office/drawing/2014/main" id="{00000000-0008-0000-1500-0000CD380000}"/>
            </a:ext>
          </a:extLst>
        </xdr:cNvPr>
        <xdr:cNvSpPr>
          <a:spLocks noChangeShapeType="1"/>
        </xdr:cNvSpPr>
      </xdr:nvSpPr>
      <xdr:spPr bwMode="auto">
        <a:xfrm>
          <a:off x="4389120" y="1536954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44</xdr:row>
      <xdr:rowOff>0</xdr:rowOff>
    </xdr:from>
    <xdr:to>
      <xdr:col>6</xdr:col>
      <xdr:colOff>0</xdr:colOff>
      <xdr:row>44</xdr:row>
      <xdr:rowOff>0</xdr:rowOff>
    </xdr:to>
    <xdr:sp macro="" textlink="">
      <xdr:nvSpPr>
        <xdr:cNvPr id="14542" name="Line 89">
          <a:extLst>
            <a:ext uri="{FF2B5EF4-FFF2-40B4-BE49-F238E27FC236}">
              <a16:creationId xmlns:a16="http://schemas.microsoft.com/office/drawing/2014/main" id="{00000000-0008-0000-1500-0000CE380000}"/>
            </a:ext>
          </a:extLst>
        </xdr:cNvPr>
        <xdr:cNvSpPr>
          <a:spLocks noChangeShapeType="1"/>
        </xdr:cNvSpPr>
      </xdr:nvSpPr>
      <xdr:spPr bwMode="auto">
        <a:xfrm>
          <a:off x="4389120" y="80391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43</xdr:row>
      <xdr:rowOff>0</xdr:rowOff>
    </xdr:from>
    <xdr:to>
      <xdr:col>6</xdr:col>
      <xdr:colOff>0</xdr:colOff>
      <xdr:row>43</xdr:row>
      <xdr:rowOff>0</xdr:rowOff>
    </xdr:to>
    <xdr:sp macro="" textlink="">
      <xdr:nvSpPr>
        <xdr:cNvPr id="14543" name="Line 90">
          <a:extLst>
            <a:ext uri="{FF2B5EF4-FFF2-40B4-BE49-F238E27FC236}">
              <a16:creationId xmlns:a16="http://schemas.microsoft.com/office/drawing/2014/main" id="{00000000-0008-0000-1500-0000CF380000}"/>
            </a:ext>
          </a:extLst>
        </xdr:cNvPr>
        <xdr:cNvSpPr>
          <a:spLocks noChangeShapeType="1"/>
        </xdr:cNvSpPr>
      </xdr:nvSpPr>
      <xdr:spPr bwMode="auto">
        <a:xfrm>
          <a:off x="4389120" y="78714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59</xdr:row>
      <xdr:rowOff>0</xdr:rowOff>
    </xdr:from>
    <xdr:to>
      <xdr:col>6</xdr:col>
      <xdr:colOff>0</xdr:colOff>
      <xdr:row>59</xdr:row>
      <xdr:rowOff>0</xdr:rowOff>
    </xdr:to>
    <xdr:sp macro="" textlink="">
      <xdr:nvSpPr>
        <xdr:cNvPr id="14544" name="Line 91">
          <a:extLst>
            <a:ext uri="{FF2B5EF4-FFF2-40B4-BE49-F238E27FC236}">
              <a16:creationId xmlns:a16="http://schemas.microsoft.com/office/drawing/2014/main" id="{00000000-0008-0000-1500-0000D0380000}"/>
            </a:ext>
          </a:extLst>
        </xdr:cNvPr>
        <xdr:cNvSpPr>
          <a:spLocks noChangeShapeType="1"/>
        </xdr:cNvSpPr>
      </xdr:nvSpPr>
      <xdr:spPr bwMode="auto">
        <a:xfrm>
          <a:off x="4389120" y="106756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58</xdr:row>
      <xdr:rowOff>0</xdr:rowOff>
    </xdr:from>
    <xdr:to>
      <xdr:col>6</xdr:col>
      <xdr:colOff>0</xdr:colOff>
      <xdr:row>58</xdr:row>
      <xdr:rowOff>0</xdr:rowOff>
    </xdr:to>
    <xdr:sp macro="" textlink="">
      <xdr:nvSpPr>
        <xdr:cNvPr id="14545" name="Line 92">
          <a:extLst>
            <a:ext uri="{FF2B5EF4-FFF2-40B4-BE49-F238E27FC236}">
              <a16:creationId xmlns:a16="http://schemas.microsoft.com/office/drawing/2014/main" id="{00000000-0008-0000-1500-0000D1380000}"/>
            </a:ext>
          </a:extLst>
        </xdr:cNvPr>
        <xdr:cNvSpPr>
          <a:spLocks noChangeShapeType="1"/>
        </xdr:cNvSpPr>
      </xdr:nvSpPr>
      <xdr:spPr bwMode="auto">
        <a:xfrm>
          <a:off x="4389120" y="105079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31</xdr:row>
      <xdr:rowOff>0</xdr:rowOff>
    </xdr:from>
    <xdr:to>
      <xdr:col>10</xdr:col>
      <xdr:colOff>0</xdr:colOff>
      <xdr:row>31</xdr:row>
      <xdr:rowOff>0</xdr:rowOff>
    </xdr:to>
    <xdr:sp macro="" textlink="">
      <xdr:nvSpPr>
        <xdr:cNvPr id="14546" name="Line 93">
          <a:extLst>
            <a:ext uri="{FF2B5EF4-FFF2-40B4-BE49-F238E27FC236}">
              <a16:creationId xmlns:a16="http://schemas.microsoft.com/office/drawing/2014/main" id="{00000000-0008-0000-1500-0000D2380000}"/>
            </a:ext>
          </a:extLst>
        </xdr:cNvPr>
        <xdr:cNvSpPr>
          <a:spLocks noChangeShapeType="1"/>
        </xdr:cNvSpPr>
      </xdr:nvSpPr>
      <xdr:spPr bwMode="auto">
        <a:xfrm>
          <a:off x="6926580" y="58597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30</xdr:row>
      <xdr:rowOff>0</xdr:rowOff>
    </xdr:from>
    <xdr:to>
      <xdr:col>10</xdr:col>
      <xdr:colOff>0</xdr:colOff>
      <xdr:row>30</xdr:row>
      <xdr:rowOff>0</xdr:rowOff>
    </xdr:to>
    <xdr:sp macro="" textlink="">
      <xdr:nvSpPr>
        <xdr:cNvPr id="14547" name="Line 94">
          <a:extLst>
            <a:ext uri="{FF2B5EF4-FFF2-40B4-BE49-F238E27FC236}">
              <a16:creationId xmlns:a16="http://schemas.microsoft.com/office/drawing/2014/main" id="{00000000-0008-0000-1500-0000D3380000}"/>
            </a:ext>
          </a:extLst>
        </xdr:cNvPr>
        <xdr:cNvSpPr>
          <a:spLocks noChangeShapeType="1"/>
        </xdr:cNvSpPr>
      </xdr:nvSpPr>
      <xdr:spPr bwMode="auto">
        <a:xfrm>
          <a:off x="6926580" y="56921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44</xdr:row>
      <xdr:rowOff>0</xdr:rowOff>
    </xdr:from>
    <xdr:to>
      <xdr:col>10</xdr:col>
      <xdr:colOff>0</xdr:colOff>
      <xdr:row>44</xdr:row>
      <xdr:rowOff>0</xdr:rowOff>
    </xdr:to>
    <xdr:sp macro="" textlink="">
      <xdr:nvSpPr>
        <xdr:cNvPr id="14548" name="Line 95">
          <a:extLst>
            <a:ext uri="{FF2B5EF4-FFF2-40B4-BE49-F238E27FC236}">
              <a16:creationId xmlns:a16="http://schemas.microsoft.com/office/drawing/2014/main" id="{00000000-0008-0000-1500-0000D4380000}"/>
            </a:ext>
          </a:extLst>
        </xdr:cNvPr>
        <xdr:cNvSpPr>
          <a:spLocks noChangeShapeType="1"/>
        </xdr:cNvSpPr>
      </xdr:nvSpPr>
      <xdr:spPr bwMode="auto">
        <a:xfrm>
          <a:off x="6926580" y="80391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43</xdr:row>
      <xdr:rowOff>0</xdr:rowOff>
    </xdr:from>
    <xdr:to>
      <xdr:col>10</xdr:col>
      <xdr:colOff>0</xdr:colOff>
      <xdr:row>43</xdr:row>
      <xdr:rowOff>0</xdr:rowOff>
    </xdr:to>
    <xdr:sp macro="" textlink="">
      <xdr:nvSpPr>
        <xdr:cNvPr id="14549" name="Line 96">
          <a:extLst>
            <a:ext uri="{FF2B5EF4-FFF2-40B4-BE49-F238E27FC236}">
              <a16:creationId xmlns:a16="http://schemas.microsoft.com/office/drawing/2014/main" id="{00000000-0008-0000-1500-0000D5380000}"/>
            </a:ext>
          </a:extLst>
        </xdr:cNvPr>
        <xdr:cNvSpPr>
          <a:spLocks noChangeShapeType="1"/>
        </xdr:cNvSpPr>
      </xdr:nvSpPr>
      <xdr:spPr bwMode="auto">
        <a:xfrm>
          <a:off x="6926580" y="78714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59</xdr:row>
      <xdr:rowOff>0</xdr:rowOff>
    </xdr:from>
    <xdr:to>
      <xdr:col>10</xdr:col>
      <xdr:colOff>0</xdr:colOff>
      <xdr:row>59</xdr:row>
      <xdr:rowOff>0</xdr:rowOff>
    </xdr:to>
    <xdr:sp macro="" textlink="">
      <xdr:nvSpPr>
        <xdr:cNvPr id="14550" name="Line 97">
          <a:extLst>
            <a:ext uri="{FF2B5EF4-FFF2-40B4-BE49-F238E27FC236}">
              <a16:creationId xmlns:a16="http://schemas.microsoft.com/office/drawing/2014/main" id="{00000000-0008-0000-1500-0000D6380000}"/>
            </a:ext>
          </a:extLst>
        </xdr:cNvPr>
        <xdr:cNvSpPr>
          <a:spLocks noChangeShapeType="1"/>
        </xdr:cNvSpPr>
      </xdr:nvSpPr>
      <xdr:spPr bwMode="auto">
        <a:xfrm>
          <a:off x="6926580" y="106756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58</xdr:row>
      <xdr:rowOff>0</xdr:rowOff>
    </xdr:from>
    <xdr:to>
      <xdr:col>10</xdr:col>
      <xdr:colOff>0</xdr:colOff>
      <xdr:row>58</xdr:row>
      <xdr:rowOff>0</xdr:rowOff>
    </xdr:to>
    <xdr:sp macro="" textlink="">
      <xdr:nvSpPr>
        <xdr:cNvPr id="14551" name="Line 98">
          <a:extLst>
            <a:ext uri="{FF2B5EF4-FFF2-40B4-BE49-F238E27FC236}">
              <a16:creationId xmlns:a16="http://schemas.microsoft.com/office/drawing/2014/main" id="{00000000-0008-0000-1500-0000D7380000}"/>
            </a:ext>
          </a:extLst>
        </xdr:cNvPr>
        <xdr:cNvSpPr>
          <a:spLocks noChangeShapeType="1"/>
        </xdr:cNvSpPr>
      </xdr:nvSpPr>
      <xdr:spPr bwMode="auto">
        <a:xfrm>
          <a:off x="6926580" y="105079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70</xdr:row>
      <xdr:rowOff>0</xdr:rowOff>
    </xdr:from>
    <xdr:to>
      <xdr:col>10</xdr:col>
      <xdr:colOff>0</xdr:colOff>
      <xdr:row>70</xdr:row>
      <xdr:rowOff>0</xdr:rowOff>
    </xdr:to>
    <xdr:sp macro="" textlink="">
      <xdr:nvSpPr>
        <xdr:cNvPr id="14552" name="Line 99">
          <a:extLst>
            <a:ext uri="{FF2B5EF4-FFF2-40B4-BE49-F238E27FC236}">
              <a16:creationId xmlns:a16="http://schemas.microsoft.com/office/drawing/2014/main" id="{00000000-0008-0000-1500-0000D8380000}"/>
            </a:ext>
          </a:extLst>
        </xdr:cNvPr>
        <xdr:cNvSpPr>
          <a:spLocks noChangeShapeType="1"/>
        </xdr:cNvSpPr>
      </xdr:nvSpPr>
      <xdr:spPr bwMode="auto">
        <a:xfrm>
          <a:off x="6926580" y="125196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69</xdr:row>
      <xdr:rowOff>0</xdr:rowOff>
    </xdr:from>
    <xdr:to>
      <xdr:col>10</xdr:col>
      <xdr:colOff>0</xdr:colOff>
      <xdr:row>69</xdr:row>
      <xdr:rowOff>0</xdr:rowOff>
    </xdr:to>
    <xdr:sp macro="" textlink="">
      <xdr:nvSpPr>
        <xdr:cNvPr id="14553" name="Line 100">
          <a:extLst>
            <a:ext uri="{FF2B5EF4-FFF2-40B4-BE49-F238E27FC236}">
              <a16:creationId xmlns:a16="http://schemas.microsoft.com/office/drawing/2014/main" id="{00000000-0008-0000-1500-0000D9380000}"/>
            </a:ext>
          </a:extLst>
        </xdr:cNvPr>
        <xdr:cNvSpPr>
          <a:spLocks noChangeShapeType="1"/>
        </xdr:cNvSpPr>
      </xdr:nvSpPr>
      <xdr:spPr bwMode="auto">
        <a:xfrm>
          <a:off x="6926580" y="123520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79</xdr:row>
      <xdr:rowOff>0</xdr:rowOff>
    </xdr:from>
    <xdr:to>
      <xdr:col>10</xdr:col>
      <xdr:colOff>0</xdr:colOff>
      <xdr:row>79</xdr:row>
      <xdr:rowOff>0</xdr:rowOff>
    </xdr:to>
    <xdr:sp macro="" textlink="">
      <xdr:nvSpPr>
        <xdr:cNvPr id="14554" name="Line 101">
          <a:extLst>
            <a:ext uri="{FF2B5EF4-FFF2-40B4-BE49-F238E27FC236}">
              <a16:creationId xmlns:a16="http://schemas.microsoft.com/office/drawing/2014/main" id="{00000000-0008-0000-1500-0000DA380000}"/>
            </a:ext>
          </a:extLst>
        </xdr:cNvPr>
        <xdr:cNvSpPr>
          <a:spLocks noChangeShapeType="1"/>
        </xdr:cNvSpPr>
      </xdr:nvSpPr>
      <xdr:spPr bwMode="auto">
        <a:xfrm>
          <a:off x="6926580" y="14028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4555" name="Line 102">
          <a:extLst>
            <a:ext uri="{FF2B5EF4-FFF2-40B4-BE49-F238E27FC236}">
              <a16:creationId xmlns:a16="http://schemas.microsoft.com/office/drawing/2014/main" id="{00000000-0008-0000-1500-0000DB380000}"/>
            </a:ext>
          </a:extLst>
        </xdr:cNvPr>
        <xdr:cNvSpPr>
          <a:spLocks noChangeShapeType="1"/>
        </xdr:cNvSpPr>
      </xdr:nvSpPr>
      <xdr:spPr bwMode="auto">
        <a:xfrm>
          <a:off x="21945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14556" name="Line 108">
          <a:extLst>
            <a:ext uri="{FF2B5EF4-FFF2-40B4-BE49-F238E27FC236}">
              <a16:creationId xmlns:a16="http://schemas.microsoft.com/office/drawing/2014/main" id="{00000000-0008-0000-1500-0000DC380000}"/>
            </a:ext>
          </a:extLst>
        </xdr:cNvPr>
        <xdr:cNvSpPr>
          <a:spLocks noChangeShapeType="1"/>
        </xdr:cNvSpPr>
      </xdr:nvSpPr>
      <xdr:spPr bwMode="auto">
        <a:xfrm>
          <a:off x="69265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14557" name="Line 109">
          <a:extLst>
            <a:ext uri="{FF2B5EF4-FFF2-40B4-BE49-F238E27FC236}">
              <a16:creationId xmlns:a16="http://schemas.microsoft.com/office/drawing/2014/main" id="{00000000-0008-0000-1500-0000DD380000}"/>
            </a:ext>
          </a:extLst>
        </xdr:cNvPr>
        <xdr:cNvSpPr>
          <a:spLocks noChangeShapeType="1"/>
        </xdr:cNvSpPr>
      </xdr:nvSpPr>
      <xdr:spPr bwMode="auto">
        <a:xfrm>
          <a:off x="43891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14558" name="Line 110">
          <a:extLst>
            <a:ext uri="{FF2B5EF4-FFF2-40B4-BE49-F238E27FC236}">
              <a16:creationId xmlns:a16="http://schemas.microsoft.com/office/drawing/2014/main" id="{00000000-0008-0000-1500-0000DE380000}"/>
            </a:ext>
          </a:extLst>
        </xdr:cNvPr>
        <xdr:cNvSpPr>
          <a:spLocks noChangeShapeType="1"/>
        </xdr:cNvSpPr>
      </xdr:nvSpPr>
      <xdr:spPr bwMode="auto">
        <a:xfrm>
          <a:off x="21945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14559" name="Line 111">
          <a:extLst>
            <a:ext uri="{FF2B5EF4-FFF2-40B4-BE49-F238E27FC236}">
              <a16:creationId xmlns:a16="http://schemas.microsoft.com/office/drawing/2014/main" id="{00000000-0008-0000-1500-0000DF380000}"/>
            </a:ext>
          </a:extLst>
        </xdr:cNvPr>
        <xdr:cNvSpPr>
          <a:spLocks noChangeShapeType="1"/>
        </xdr:cNvSpPr>
      </xdr:nvSpPr>
      <xdr:spPr bwMode="auto">
        <a:xfrm>
          <a:off x="4389120" y="1536954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4560" name="Line 112">
          <a:extLst>
            <a:ext uri="{FF2B5EF4-FFF2-40B4-BE49-F238E27FC236}">
              <a16:creationId xmlns:a16="http://schemas.microsoft.com/office/drawing/2014/main" id="{00000000-0008-0000-1500-0000E0380000}"/>
            </a:ext>
          </a:extLst>
        </xdr:cNvPr>
        <xdr:cNvSpPr>
          <a:spLocks noChangeShapeType="1"/>
        </xdr:cNvSpPr>
      </xdr:nvSpPr>
      <xdr:spPr bwMode="auto">
        <a:xfrm>
          <a:off x="21945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14561" name="Line 75">
          <a:extLst>
            <a:ext uri="{FF2B5EF4-FFF2-40B4-BE49-F238E27FC236}">
              <a16:creationId xmlns:a16="http://schemas.microsoft.com/office/drawing/2014/main" id="{00000000-0008-0000-1500-0000E1380000}"/>
            </a:ext>
          </a:extLst>
        </xdr:cNvPr>
        <xdr:cNvSpPr>
          <a:spLocks noChangeShapeType="1"/>
        </xdr:cNvSpPr>
      </xdr:nvSpPr>
      <xdr:spPr bwMode="auto">
        <a:xfrm>
          <a:off x="2194560" y="19560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14562" name="Line 87">
          <a:extLst>
            <a:ext uri="{FF2B5EF4-FFF2-40B4-BE49-F238E27FC236}">
              <a16:creationId xmlns:a16="http://schemas.microsoft.com/office/drawing/2014/main" id="{00000000-0008-0000-1500-0000E2380000}"/>
            </a:ext>
          </a:extLst>
        </xdr:cNvPr>
        <xdr:cNvSpPr>
          <a:spLocks noChangeShapeType="1"/>
        </xdr:cNvSpPr>
      </xdr:nvSpPr>
      <xdr:spPr bwMode="auto">
        <a:xfrm>
          <a:off x="2194560" y="20734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14563" name="Line 75">
          <a:extLst>
            <a:ext uri="{FF2B5EF4-FFF2-40B4-BE49-F238E27FC236}">
              <a16:creationId xmlns:a16="http://schemas.microsoft.com/office/drawing/2014/main" id="{00000000-0008-0000-1500-0000E3380000}"/>
            </a:ext>
          </a:extLst>
        </xdr:cNvPr>
        <xdr:cNvSpPr>
          <a:spLocks noChangeShapeType="1"/>
        </xdr:cNvSpPr>
      </xdr:nvSpPr>
      <xdr:spPr bwMode="auto">
        <a:xfrm>
          <a:off x="2194560" y="197281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14564" name="Line 79">
          <a:extLst>
            <a:ext uri="{FF2B5EF4-FFF2-40B4-BE49-F238E27FC236}">
              <a16:creationId xmlns:a16="http://schemas.microsoft.com/office/drawing/2014/main" id="{00000000-0008-0000-1500-0000E4380000}"/>
            </a:ext>
          </a:extLst>
        </xdr:cNvPr>
        <xdr:cNvSpPr>
          <a:spLocks noChangeShapeType="1"/>
        </xdr:cNvSpPr>
      </xdr:nvSpPr>
      <xdr:spPr bwMode="auto">
        <a:xfrm>
          <a:off x="2194560" y="18554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14565" name="Line 87">
          <a:extLst>
            <a:ext uri="{FF2B5EF4-FFF2-40B4-BE49-F238E27FC236}">
              <a16:creationId xmlns:a16="http://schemas.microsoft.com/office/drawing/2014/main" id="{00000000-0008-0000-1500-0000E5380000}"/>
            </a:ext>
          </a:extLst>
        </xdr:cNvPr>
        <xdr:cNvSpPr>
          <a:spLocks noChangeShapeType="1"/>
        </xdr:cNvSpPr>
      </xdr:nvSpPr>
      <xdr:spPr bwMode="auto">
        <a:xfrm>
          <a:off x="2194560" y="20901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14566" name="Line 75">
          <a:extLst>
            <a:ext uri="{FF2B5EF4-FFF2-40B4-BE49-F238E27FC236}">
              <a16:creationId xmlns:a16="http://schemas.microsoft.com/office/drawing/2014/main" id="{00000000-0008-0000-1500-0000E6380000}"/>
            </a:ext>
          </a:extLst>
        </xdr:cNvPr>
        <xdr:cNvSpPr>
          <a:spLocks noChangeShapeType="1"/>
        </xdr:cNvSpPr>
      </xdr:nvSpPr>
      <xdr:spPr bwMode="auto">
        <a:xfrm>
          <a:off x="2194560" y="19560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14567" name="Line 87">
          <a:extLst>
            <a:ext uri="{FF2B5EF4-FFF2-40B4-BE49-F238E27FC236}">
              <a16:creationId xmlns:a16="http://schemas.microsoft.com/office/drawing/2014/main" id="{00000000-0008-0000-1500-0000E7380000}"/>
            </a:ext>
          </a:extLst>
        </xdr:cNvPr>
        <xdr:cNvSpPr>
          <a:spLocks noChangeShapeType="1"/>
        </xdr:cNvSpPr>
      </xdr:nvSpPr>
      <xdr:spPr bwMode="auto">
        <a:xfrm>
          <a:off x="2194560" y="20734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14568" name="Line 75">
          <a:extLst>
            <a:ext uri="{FF2B5EF4-FFF2-40B4-BE49-F238E27FC236}">
              <a16:creationId xmlns:a16="http://schemas.microsoft.com/office/drawing/2014/main" id="{00000000-0008-0000-1500-0000E8380000}"/>
            </a:ext>
          </a:extLst>
        </xdr:cNvPr>
        <xdr:cNvSpPr>
          <a:spLocks noChangeShapeType="1"/>
        </xdr:cNvSpPr>
      </xdr:nvSpPr>
      <xdr:spPr bwMode="auto">
        <a:xfrm>
          <a:off x="2194560" y="197281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14569" name="Line 79">
          <a:extLst>
            <a:ext uri="{FF2B5EF4-FFF2-40B4-BE49-F238E27FC236}">
              <a16:creationId xmlns:a16="http://schemas.microsoft.com/office/drawing/2014/main" id="{00000000-0008-0000-1500-0000E9380000}"/>
            </a:ext>
          </a:extLst>
        </xdr:cNvPr>
        <xdr:cNvSpPr>
          <a:spLocks noChangeShapeType="1"/>
        </xdr:cNvSpPr>
      </xdr:nvSpPr>
      <xdr:spPr bwMode="auto">
        <a:xfrm>
          <a:off x="2194560" y="18554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14570" name="Line 87">
          <a:extLst>
            <a:ext uri="{FF2B5EF4-FFF2-40B4-BE49-F238E27FC236}">
              <a16:creationId xmlns:a16="http://schemas.microsoft.com/office/drawing/2014/main" id="{00000000-0008-0000-1500-0000EA380000}"/>
            </a:ext>
          </a:extLst>
        </xdr:cNvPr>
        <xdr:cNvSpPr>
          <a:spLocks noChangeShapeType="1"/>
        </xdr:cNvSpPr>
      </xdr:nvSpPr>
      <xdr:spPr bwMode="auto">
        <a:xfrm>
          <a:off x="2194560" y="20901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8.xml><?xml version="1.0" encoding="utf-8"?>
<xdr:wsDr xmlns:xdr="http://purl.oclc.org/ooxml/drawingml/spreadsheetDrawing" xmlns:a="http://purl.oclc.org/ooxml/drawingml/main">
  <xdr:twoCellAnchor>
    <xdr:from>
      <xdr:col>6</xdr:col>
      <xdr:colOff>0</xdr:colOff>
      <xdr:row>30</xdr:row>
      <xdr:rowOff>0</xdr:rowOff>
    </xdr:from>
    <xdr:to>
      <xdr:col>6</xdr:col>
      <xdr:colOff>0</xdr:colOff>
      <xdr:row>30</xdr:row>
      <xdr:rowOff>0</xdr:rowOff>
    </xdr:to>
    <xdr:sp macro="" textlink="">
      <xdr:nvSpPr>
        <xdr:cNvPr id="16502" name="Line 1">
          <a:extLst>
            <a:ext uri="{FF2B5EF4-FFF2-40B4-BE49-F238E27FC236}">
              <a16:creationId xmlns:a16="http://schemas.microsoft.com/office/drawing/2014/main" id="{00000000-0008-0000-1700-000076400000}"/>
            </a:ext>
          </a:extLst>
        </xdr:cNvPr>
        <xdr:cNvSpPr>
          <a:spLocks noChangeShapeType="1"/>
        </xdr:cNvSpPr>
      </xdr:nvSpPr>
      <xdr:spPr bwMode="auto">
        <a:xfrm>
          <a:off x="4389120" y="56921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31</xdr:row>
      <xdr:rowOff>0</xdr:rowOff>
    </xdr:from>
    <xdr:to>
      <xdr:col>6</xdr:col>
      <xdr:colOff>0</xdr:colOff>
      <xdr:row>31</xdr:row>
      <xdr:rowOff>0</xdr:rowOff>
    </xdr:to>
    <xdr:sp macro="" textlink="">
      <xdr:nvSpPr>
        <xdr:cNvPr id="16503" name="Line 2">
          <a:extLst>
            <a:ext uri="{FF2B5EF4-FFF2-40B4-BE49-F238E27FC236}">
              <a16:creationId xmlns:a16="http://schemas.microsoft.com/office/drawing/2014/main" id="{00000000-0008-0000-1700-000077400000}"/>
            </a:ext>
          </a:extLst>
        </xdr:cNvPr>
        <xdr:cNvSpPr>
          <a:spLocks noChangeShapeType="1"/>
        </xdr:cNvSpPr>
      </xdr:nvSpPr>
      <xdr:spPr bwMode="auto">
        <a:xfrm>
          <a:off x="4389120" y="58597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23</xdr:row>
      <xdr:rowOff>0</xdr:rowOff>
    </xdr:from>
    <xdr:to>
      <xdr:col>6</xdr:col>
      <xdr:colOff>0</xdr:colOff>
      <xdr:row>23</xdr:row>
      <xdr:rowOff>0</xdr:rowOff>
    </xdr:to>
    <xdr:sp macro="" textlink="">
      <xdr:nvSpPr>
        <xdr:cNvPr id="16504" name="Line 3">
          <a:extLst>
            <a:ext uri="{FF2B5EF4-FFF2-40B4-BE49-F238E27FC236}">
              <a16:creationId xmlns:a16="http://schemas.microsoft.com/office/drawing/2014/main" id="{00000000-0008-0000-1700-000078400000}"/>
            </a:ext>
          </a:extLst>
        </xdr:cNvPr>
        <xdr:cNvSpPr>
          <a:spLocks noChangeShapeType="1"/>
        </xdr:cNvSpPr>
      </xdr:nvSpPr>
      <xdr:spPr bwMode="auto">
        <a:xfrm>
          <a:off x="4389120" y="45186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23</xdr:row>
      <xdr:rowOff>0</xdr:rowOff>
    </xdr:from>
    <xdr:to>
      <xdr:col>9</xdr:col>
      <xdr:colOff>662940</xdr:colOff>
      <xdr:row>23</xdr:row>
      <xdr:rowOff>0</xdr:rowOff>
    </xdr:to>
    <xdr:sp macro="" textlink="">
      <xdr:nvSpPr>
        <xdr:cNvPr id="16505" name="Line 4">
          <a:extLst>
            <a:ext uri="{FF2B5EF4-FFF2-40B4-BE49-F238E27FC236}">
              <a16:creationId xmlns:a16="http://schemas.microsoft.com/office/drawing/2014/main" id="{00000000-0008-0000-1700-000079400000}"/>
            </a:ext>
          </a:extLst>
        </xdr:cNvPr>
        <xdr:cNvSpPr>
          <a:spLocks noChangeShapeType="1"/>
        </xdr:cNvSpPr>
      </xdr:nvSpPr>
      <xdr:spPr bwMode="auto">
        <a:xfrm>
          <a:off x="6926580" y="451866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30</xdr:row>
      <xdr:rowOff>0</xdr:rowOff>
    </xdr:from>
    <xdr:to>
      <xdr:col>14</xdr:col>
      <xdr:colOff>662940</xdr:colOff>
      <xdr:row>30</xdr:row>
      <xdr:rowOff>0</xdr:rowOff>
    </xdr:to>
    <xdr:sp macro="" textlink="">
      <xdr:nvSpPr>
        <xdr:cNvPr id="16506" name="Line 5">
          <a:extLst>
            <a:ext uri="{FF2B5EF4-FFF2-40B4-BE49-F238E27FC236}">
              <a16:creationId xmlns:a16="http://schemas.microsoft.com/office/drawing/2014/main" id="{00000000-0008-0000-1700-00007A400000}"/>
            </a:ext>
          </a:extLst>
        </xdr:cNvPr>
        <xdr:cNvSpPr>
          <a:spLocks noChangeShapeType="1"/>
        </xdr:cNvSpPr>
      </xdr:nvSpPr>
      <xdr:spPr bwMode="auto">
        <a:xfrm>
          <a:off x="10584180" y="569214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31</xdr:row>
      <xdr:rowOff>0</xdr:rowOff>
    </xdr:from>
    <xdr:to>
      <xdr:col>14</xdr:col>
      <xdr:colOff>662940</xdr:colOff>
      <xdr:row>31</xdr:row>
      <xdr:rowOff>0</xdr:rowOff>
    </xdr:to>
    <xdr:sp macro="" textlink="">
      <xdr:nvSpPr>
        <xdr:cNvPr id="16507" name="Line 6">
          <a:extLst>
            <a:ext uri="{FF2B5EF4-FFF2-40B4-BE49-F238E27FC236}">
              <a16:creationId xmlns:a16="http://schemas.microsoft.com/office/drawing/2014/main" id="{00000000-0008-0000-1700-00007B400000}"/>
            </a:ext>
          </a:extLst>
        </xdr:cNvPr>
        <xdr:cNvSpPr>
          <a:spLocks noChangeShapeType="1"/>
        </xdr:cNvSpPr>
      </xdr:nvSpPr>
      <xdr:spPr bwMode="auto">
        <a:xfrm>
          <a:off x="10584180" y="585978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32</xdr:row>
      <xdr:rowOff>0</xdr:rowOff>
    </xdr:from>
    <xdr:to>
      <xdr:col>6</xdr:col>
      <xdr:colOff>0</xdr:colOff>
      <xdr:row>32</xdr:row>
      <xdr:rowOff>0</xdr:rowOff>
    </xdr:to>
    <xdr:sp macro="" textlink="">
      <xdr:nvSpPr>
        <xdr:cNvPr id="16508" name="Line 7">
          <a:extLst>
            <a:ext uri="{FF2B5EF4-FFF2-40B4-BE49-F238E27FC236}">
              <a16:creationId xmlns:a16="http://schemas.microsoft.com/office/drawing/2014/main" id="{00000000-0008-0000-1700-00007C400000}"/>
            </a:ext>
          </a:extLst>
        </xdr:cNvPr>
        <xdr:cNvSpPr>
          <a:spLocks noChangeShapeType="1"/>
        </xdr:cNvSpPr>
      </xdr:nvSpPr>
      <xdr:spPr bwMode="auto">
        <a:xfrm>
          <a:off x="4389120" y="60274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33</xdr:row>
      <xdr:rowOff>0</xdr:rowOff>
    </xdr:from>
    <xdr:to>
      <xdr:col>6</xdr:col>
      <xdr:colOff>0</xdr:colOff>
      <xdr:row>33</xdr:row>
      <xdr:rowOff>0</xdr:rowOff>
    </xdr:to>
    <xdr:sp macro="" textlink="">
      <xdr:nvSpPr>
        <xdr:cNvPr id="16509" name="Line 8">
          <a:extLst>
            <a:ext uri="{FF2B5EF4-FFF2-40B4-BE49-F238E27FC236}">
              <a16:creationId xmlns:a16="http://schemas.microsoft.com/office/drawing/2014/main" id="{00000000-0008-0000-1700-00007D400000}"/>
            </a:ext>
          </a:extLst>
        </xdr:cNvPr>
        <xdr:cNvSpPr>
          <a:spLocks noChangeShapeType="1"/>
        </xdr:cNvSpPr>
      </xdr:nvSpPr>
      <xdr:spPr bwMode="auto">
        <a:xfrm>
          <a:off x="4389120" y="61950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34</xdr:row>
      <xdr:rowOff>0</xdr:rowOff>
    </xdr:from>
    <xdr:to>
      <xdr:col>6</xdr:col>
      <xdr:colOff>0</xdr:colOff>
      <xdr:row>34</xdr:row>
      <xdr:rowOff>0</xdr:rowOff>
    </xdr:to>
    <xdr:sp macro="" textlink="">
      <xdr:nvSpPr>
        <xdr:cNvPr id="16510" name="Line 9">
          <a:extLst>
            <a:ext uri="{FF2B5EF4-FFF2-40B4-BE49-F238E27FC236}">
              <a16:creationId xmlns:a16="http://schemas.microsoft.com/office/drawing/2014/main" id="{00000000-0008-0000-1700-00007E400000}"/>
            </a:ext>
          </a:extLst>
        </xdr:cNvPr>
        <xdr:cNvSpPr>
          <a:spLocks noChangeShapeType="1"/>
        </xdr:cNvSpPr>
      </xdr:nvSpPr>
      <xdr:spPr bwMode="auto">
        <a:xfrm>
          <a:off x="4389120" y="6362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32</xdr:row>
      <xdr:rowOff>0</xdr:rowOff>
    </xdr:from>
    <xdr:to>
      <xdr:col>10</xdr:col>
      <xdr:colOff>0</xdr:colOff>
      <xdr:row>32</xdr:row>
      <xdr:rowOff>0</xdr:rowOff>
    </xdr:to>
    <xdr:sp macro="" textlink="">
      <xdr:nvSpPr>
        <xdr:cNvPr id="16511" name="Line 10">
          <a:extLst>
            <a:ext uri="{FF2B5EF4-FFF2-40B4-BE49-F238E27FC236}">
              <a16:creationId xmlns:a16="http://schemas.microsoft.com/office/drawing/2014/main" id="{00000000-0008-0000-1700-00007F400000}"/>
            </a:ext>
          </a:extLst>
        </xdr:cNvPr>
        <xdr:cNvSpPr>
          <a:spLocks noChangeShapeType="1"/>
        </xdr:cNvSpPr>
      </xdr:nvSpPr>
      <xdr:spPr bwMode="auto">
        <a:xfrm>
          <a:off x="6926580" y="6027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33</xdr:row>
      <xdr:rowOff>0</xdr:rowOff>
    </xdr:from>
    <xdr:to>
      <xdr:col>10</xdr:col>
      <xdr:colOff>0</xdr:colOff>
      <xdr:row>33</xdr:row>
      <xdr:rowOff>0</xdr:rowOff>
    </xdr:to>
    <xdr:sp macro="" textlink="">
      <xdr:nvSpPr>
        <xdr:cNvPr id="16512" name="Line 11">
          <a:extLst>
            <a:ext uri="{FF2B5EF4-FFF2-40B4-BE49-F238E27FC236}">
              <a16:creationId xmlns:a16="http://schemas.microsoft.com/office/drawing/2014/main" id="{00000000-0008-0000-1700-000080400000}"/>
            </a:ext>
          </a:extLst>
        </xdr:cNvPr>
        <xdr:cNvSpPr>
          <a:spLocks noChangeShapeType="1"/>
        </xdr:cNvSpPr>
      </xdr:nvSpPr>
      <xdr:spPr bwMode="auto">
        <a:xfrm>
          <a:off x="6926580" y="61950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34</xdr:row>
      <xdr:rowOff>0</xdr:rowOff>
    </xdr:from>
    <xdr:to>
      <xdr:col>10</xdr:col>
      <xdr:colOff>0</xdr:colOff>
      <xdr:row>34</xdr:row>
      <xdr:rowOff>0</xdr:rowOff>
    </xdr:to>
    <xdr:sp macro="" textlink="">
      <xdr:nvSpPr>
        <xdr:cNvPr id="16513" name="Line 12">
          <a:extLst>
            <a:ext uri="{FF2B5EF4-FFF2-40B4-BE49-F238E27FC236}">
              <a16:creationId xmlns:a16="http://schemas.microsoft.com/office/drawing/2014/main" id="{00000000-0008-0000-1700-000081400000}"/>
            </a:ext>
          </a:extLst>
        </xdr:cNvPr>
        <xdr:cNvSpPr>
          <a:spLocks noChangeShapeType="1"/>
        </xdr:cNvSpPr>
      </xdr:nvSpPr>
      <xdr:spPr bwMode="auto">
        <a:xfrm>
          <a:off x="6926580" y="6362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32</xdr:row>
      <xdr:rowOff>0</xdr:rowOff>
    </xdr:from>
    <xdr:to>
      <xdr:col>15</xdr:col>
      <xdr:colOff>0</xdr:colOff>
      <xdr:row>32</xdr:row>
      <xdr:rowOff>0</xdr:rowOff>
    </xdr:to>
    <xdr:sp macro="" textlink="">
      <xdr:nvSpPr>
        <xdr:cNvPr id="16514" name="Line 13">
          <a:extLst>
            <a:ext uri="{FF2B5EF4-FFF2-40B4-BE49-F238E27FC236}">
              <a16:creationId xmlns:a16="http://schemas.microsoft.com/office/drawing/2014/main" id="{00000000-0008-0000-1700-000082400000}"/>
            </a:ext>
          </a:extLst>
        </xdr:cNvPr>
        <xdr:cNvSpPr>
          <a:spLocks noChangeShapeType="1"/>
        </xdr:cNvSpPr>
      </xdr:nvSpPr>
      <xdr:spPr bwMode="auto">
        <a:xfrm>
          <a:off x="10584180" y="6027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33</xdr:row>
      <xdr:rowOff>0</xdr:rowOff>
    </xdr:from>
    <xdr:to>
      <xdr:col>15</xdr:col>
      <xdr:colOff>0</xdr:colOff>
      <xdr:row>33</xdr:row>
      <xdr:rowOff>0</xdr:rowOff>
    </xdr:to>
    <xdr:sp macro="" textlink="">
      <xdr:nvSpPr>
        <xdr:cNvPr id="16515" name="Line 14">
          <a:extLst>
            <a:ext uri="{FF2B5EF4-FFF2-40B4-BE49-F238E27FC236}">
              <a16:creationId xmlns:a16="http://schemas.microsoft.com/office/drawing/2014/main" id="{00000000-0008-0000-1700-000083400000}"/>
            </a:ext>
          </a:extLst>
        </xdr:cNvPr>
        <xdr:cNvSpPr>
          <a:spLocks noChangeShapeType="1"/>
        </xdr:cNvSpPr>
      </xdr:nvSpPr>
      <xdr:spPr bwMode="auto">
        <a:xfrm>
          <a:off x="10584180" y="61950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34</xdr:row>
      <xdr:rowOff>0</xdr:rowOff>
    </xdr:from>
    <xdr:to>
      <xdr:col>15</xdr:col>
      <xdr:colOff>0</xdr:colOff>
      <xdr:row>34</xdr:row>
      <xdr:rowOff>0</xdr:rowOff>
    </xdr:to>
    <xdr:sp macro="" textlink="">
      <xdr:nvSpPr>
        <xdr:cNvPr id="16516" name="Line 15">
          <a:extLst>
            <a:ext uri="{FF2B5EF4-FFF2-40B4-BE49-F238E27FC236}">
              <a16:creationId xmlns:a16="http://schemas.microsoft.com/office/drawing/2014/main" id="{00000000-0008-0000-1700-000084400000}"/>
            </a:ext>
          </a:extLst>
        </xdr:cNvPr>
        <xdr:cNvSpPr>
          <a:spLocks noChangeShapeType="1"/>
        </xdr:cNvSpPr>
      </xdr:nvSpPr>
      <xdr:spPr bwMode="auto">
        <a:xfrm>
          <a:off x="10584180" y="6362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43</xdr:row>
      <xdr:rowOff>0</xdr:rowOff>
    </xdr:from>
    <xdr:to>
      <xdr:col>14</xdr:col>
      <xdr:colOff>640080</xdr:colOff>
      <xdr:row>43</xdr:row>
      <xdr:rowOff>0</xdr:rowOff>
    </xdr:to>
    <xdr:sp macro="" textlink="">
      <xdr:nvSpPr>
        <xdr:cNvPr id="16517" name="Line 16">
          <a:extLst>
            <a:ext uri="{FF2B5EF4-FFF2-40B4-BE49-F238E27FC236}">
              <a16:creationId xmlns:a16="http://schemas.microsoft.com/office/drawing/2014/main" id="{00000000-0008-0000-1700-000085400000}"/>
            </a:ext>
          </a:extLst>
        </xdr:cNvPr>
        <xdr:cNvSpPr>
          <a:spLocks noChangeShapeType="1"/>
        </xdr:cNvSpPr>
      </xdr:nvSpPr>
      <xdr:spPr bwMode="auto">
        <a:xfrm>
          <a:off x="10584180" y="787146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23</xdr:row>
      <xdr:rowOff>0</xdr:rowOff>
    </xdr:from>
    <xdr:to>
      <xdr:col>4</xdr:col>
      <xdr:colOff>7620</xdr:colOff>
      <xdr:row>23</xdr:row>
      <xdr:rowOff>0</xdr:rowOff>
    </xdr:to>
    <xdr:sp macro="" textlink="">
      <xdr:nvSpPr>
        <xdr:cNvPr id="16518" name="Line 17">
          <a:extLst>
            <a:ext uri="{FF2B5EF4-FFF2-40B4-BE49-F238E27FC236}">
              <a16:creationId xmlns:a16="http://schemas.microsoft.com/office/drawing/2014/main" id="{00000000-0008-0000-1700-000086400000}"/>
            </a:ext>
          </a:extLst>
        </xdr:cNvPr>
        <xdr:cNvSpPr>
          <a:spLocks noChangeShapeType="1"/>
        </xdr:cNvSpPr>
      </xdr:nvSpPr>
      <xdr:spPr bwMode="auto">
        <a:xfrm>
          <a:off x="2194560" y="4518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30</xdr:row>
      <xdr:rowOff>0</xdr:rowOff>
    </xdr:from>
    <xdr:to>
      <xdr:col>4</xdr:col>
      <xdr:colOff>7620</xdr:colOff>
      <xdr:row>30</xdr:row>
      <xdr:rowOff>0</xdr:rowOff>
    </xdr:to>
    <xdr:sp macro="" textlink="">
      <xdr:nvSpPr>
        <xdr:cNvPr id="16519" name="Line 18">
          <a:extLst>
            <a:ext uri="{FF2B5EF4-FFF2-40B4-BE49-F238E27FC236}">
              <a16:creationId xmlns:a16="http://schemas.microsoft.com/office/drawing/2014/main" id="{00000000-0008-0000-1700-000087400000}"/>
            </a:ext>
          </a:extLst>
        </xdr:cNvPr>
        <xdr:cNvSpPr>
          <a:spLocks noChangeShapeType="1"/>
        </xdr:cNvSpPr>
      </xdr:nvSpPr>
      <xdr:spPr bwMode="auto">
        <a:xfrm>
          <a:off x="2194560" y="56921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31</xdr:row>
      <xdr:rowOff>0</xdr:rowOff>
    </xdr:from>
    <xdr:to>
      <xdr:col>4</xdr:col>
      <xdr:colOff>7620</xdr:colOff>
      <xdr:row>31</xdr:row>
      <xdr:rowOff>0</xdr:rowOff>
    </xdr:to>
    <xdr:sp macro="" textlink="">
      <xdr:nvSpPr>
        <xdr:cNvPr id="16520" name="Line 19">
          <a:extLst>
            <a:ext uri="{FF2B5EF4-FFF2-40B4-BE49-F238E27FC236}">
              <a16:creationId xmlns:a16="http://schemas.microsoft.com/office/drawing/2014/main" id="{00000000-0008-0000-1700-000088400000}"/>
            </a:ext>
          </a:extLst>
        </xdr:cNvPr>
        <xdr:cNvSpPr>
          <a:spLocks noChangeShapeType="1"/>
        </xdr:cNvSpPr>
      </xdr:nvSpPr>
      <xdr:spPr bwMode="auto">
        <a:xfrm>
          <a:off x="2194560" y="58597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32</xdr:row>
      <xdr:rowOff>0</xdr:rowOff>
    </xdr:from>
    <xdr:to>
      <xdr:col>4</xdr:col>
      <xdr:colOff>7620</xdr:colOff>
      <xdr:row>32</xdr:row>
      <xdr:rowOff>0</xdr:rowOff>
    </xdr:to>
    <xdr:sp macro="" textlink="">
      <xdr:nvSpPr>
        <xdr:cNvPr id="16521" name="Line 20">
          <a:extLst>
            <a:ext uri="{FF2B5EF4-FFF2-40B4-BE49-F238E27FC236}">
              <a16:creationId xmlns:a16="http://schemas.microsoft.com/office/drawing/2014/main" id="{00000000-0008-0000-1700-000089400000}"/>
            </a:ext>
          </a:extLst>
        </xdr:cNvPr>
        <xdr:cNvSpPr>
          <a:spLocks noChangeShapeType="1"/>
        </xdr:cNvSpPr>
      </xdr:nvSpPr>
      <xdr:spPr bwMode="auto">
        <a:xfrm>
          <a:off x="2194560" y="6027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33</xdr:row>
      <xdr:rowOff>0</xdr:rowOff>
    </xdr:from>
    <xdr:to>
      <xdr:col>4</xdr:col>
      <xdr:colOff>7620</xdr:colOff>
      <xdr:row>33</xdr:row>
      <xdr:rowOff>0</xdr:rowOff>
    </xdr:to>
    <xdr:sp macro="" textlink="">
      <xdr:nvSpPr>
        <xdr:cNvPr id="16522" name="Line 21">
          <a:extLst>
            <a:ext uri="{FF2B5EF4-FFF2-40B4-BE49-F238E27FC236}">
              <a16:creationId xmlns:a16="http://schemas.microsoft.com/office/drawing/2014/main" id="{00000000-0008-0000-1700-00008A400000}"/>
            </a:ext>
          </a:extLst>
        </xdr:cNvPr>
        <xdr:cNvSpPr>
          <a:spLocks noChangeShapeType="1"/>
        </xdr:cNvSpPr>
      </xdr:nvSpPr>
      <xdr:spPr bwMode="auto">
        <a:xfrm>
          <a:off x="2194560" y="61950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34</xdr:row>
      <xdr:rowOff>0</xdr:rowOff>
    </xdr:from>
    <xdr:to>
      <xdr:col>4</xdr:col>
      <xdr:colOff>7620</xdr:colOff>
      <xdr:row>34</xdr:row>
      <xdr:rowOff>0</xdr:rowOff>
    </xdr:to>
    <xdr:sp macro="" textlink="">
      <xdr:nvSpPr>
        <xdr:cNvPr id="16523" name="Line 22">
          <a:extLst>
            <a:ext uri="{FF2B5EF4-FFF2-40B4-BE49-F238E27FC236}">
              <a16:creationId xmlns:a16="http://schemas.microsoft.com/office/drawing/2014/main" id="{00000000-0008-0000-1700-00008B400000}"/>
            </a:ext>
          </a:extLst>
        </xdr:cNvPr>
        <xdr:cNvSpPr>
          <a:spLocks noChangeShapeType="1"/>
        </xdr:cNvSpPr>
      </xdr:nvSpPr>
      <xdr:spPr bwMode="auto">
        <a:xfrm>
          <a:off x="2194560" y="6362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16524" name="Line 23">
          <a:extLst>
            <a:ext uri="{FF2B5EF4-FFF2-40B4-BE49-F238E27FC236}">
              <a16:creationId xmlns:a16="http://schemas.microsoft.com/office/drawing/2014/main" id="{00000000-0008-0000-1700-00008C400000}"/>
            </a:ext>
          </a:extLst>
        </xdr:cNvPr>
        <xdr:cNvSpPr>
          <a:spLocks noChangeShapeType="1"/>
        </xdr:cNvSpPr>
      </xdr:nvSpPr>
      <xdr:spPr bwMode="auto">
        <a:xfrm>
          <a:off x="21945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16525" name="Line 24">
          <a:extLst>
            <a:ext uri="{FF2B5EF4-FFF2-40B4-BE49-F238E27FC236}">
              <a16:creationId xmlns:a16="http://schemas.microsoft.com/office/drawing/2014/main" id="{00000000-0008-0000-1700-00008D400000}"/>
            </a:ext>
          </a:extLst>
        </xdr:cNvPr>
        <xdr:cNvSpPr>
          <a:spLocks noChangeShapeType="1"/>
        </xdr:cNvSpPr>
      </xdr:nvSpPr>
      <xdr:spPr bwMode="auto">
        <a:xfrm>
          <a:off x="21945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36</xdr:row>
      <xdr:rowOff>0</xdr:rowOff>
    </xdr:from>
    <xdr:to>
      <xdr:col>10</xdr:col>
      <xdr:colOff>0</xdr:colOff>
      <xdr:row>36</xdr:row>
      <xdr:rowOff>0</xdr:rowOff>
    </xdr:to>
    <xdr:sp macro="" textlink="">
      <xdr:nvSpPr>
        <xdr:cNvPr id="16526" name="Line 25">
          <a:extLst>
            <a:ext uri="{FF2B5EF4-FFF2-40B4-BE49-F238E27FC236}">
              <a16:creationId xmlns:a16="http://schemas.microsoft.com/office/drawing/2014/main" id="{00000000-0008-0000-1700-00008E400000}"/>
            </a:ext>
          </a:extLst>
        </xdr:cNvPr>
        <xdr:cNvSpPr>
          <a:spLocks noChangeShapeType="1"/>
        </xdr:cNvSpPr>
      </xdr:nvSpPr>
      <xdr:spPr bwMode="auto">
        <a:xfrm>
          <a:off x="6926580" y="66979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44</xdr:row>
      <xdr:rowOff>0</xdr:rowOff>
    </xdr:from>
    <xdr:to>
      <xdr:col>14</xdr:col>
      <xdr:colOff>640080</xdr:colOff>
      <xdr:row>44</xdr:row>
      <xdr:rowOff>0</xdr:rowOff>
    </xdr:to>
    <xdr:sp macro="" textlink="">
      <xdr:nvSpPr>
        <xdr:cNvPr id="16527" name="Line 26">
          <a:extLst>
            <a:ext uri="{FF2B5EF4-FFF2-40B4-BE49-F238E27FC236}">
              <a16:creationId xmlns:a16="http://schemas.microsoft.com/office/drawing/2014/main" id="{00000000-0008-0000-1700-00008F400000}"/>
            </a:ext>
          </a:extLst>
        </xdr:cNvPr>
        <xdr:cNvSpPr>
          <a:spLocks noChangeShapeType="1"/>
        </xdr:cNvSpPr>
      </xdr:nvSpPr>
      <xdr:spPr bwMode="auto">
        <a:xfrm>
          <a:off x="10584180" y="803910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36</xdr:row>
      <xdr:rowOff>0</xdr:rowOff>
    </xdr:from>
    <xdr:to>
      <xdr:col>6</xdr:col>
      <xdr:colOff>0</xdr:colOff>
      <xdr:row>36</xdr:row>
      <xdr:rowOff>0</xdr:rowOff>
    </xdr:to>
    <xdr:sp macro="" textlink="">
      <xdr:nvSpPr>
        <xdr:cNvPr id="16528" name="Line 27">
          <a:extLst>
            <a:ext uri="{FF2B5EF4-FFF2-40B4-BE49-F238E27FC236}">
              <a16:creationId xmlns:a16="http://schemas.microsoft.com/office/drawing/2014/main" id="{00000000-0008-0000-1700-000090400000}"/>
            </a:ext>
          </a:extLst>
        </xdr:cNvPr>
        <xdr:cNvSpPr>
          <a:spLocks noChangeShapeType="1"/>
        </xdr:cNvSpPr>
      </xdr:nvSpPr>
      <xdr:spPr bwMode="auto">
        <a:xfrm>
          <a:off x="4389120" y="66979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45</xdr:row>
      <xdr:rowOff>0</xdr:rowOff>
    </xdr:from>
    <xdr:to>
      <xdr:col>6</xdr:col>
      <xdr:colOff>0</xdr:colOff>
      <xdr:row>45</xdr:row>
      <xdr:rowOff>0</xdr:rowOff>
    </xdr:to>
    <xdr:sp macro="" textlink="">
      <xdr:nvSpPr>
        <xdr:cNvPr id="16529" name="Line 28">
          <a:extLst>
            <a:ext uri="{FF2B5EF4-FFF2-40B4-BE49-F238E27FC236}">
              <a16:creationId xmlns:a16="http://schemas.microsoft.com/office/drawing/2014/main" id="{00000000-0008-0000-1700-000091400000}"/>
            </a:ext>
          </a:extLst>
        </xdr:cNvPr>
        <xdr:cNvSpPr>
          <a:spLocks noChangeShapeType="1"/>
        </xdr:cNvSpPr>
      </xdr:nvSpPr>
      <xdr:spPr bwMode="auto">
        <a:xfrm>
          <a:off x="4389120" y="82067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45</xdr:row>
      <xdr:rowOff>0</xdr:rowOff>
    </xdr:from>
    <xdr:to>
      <xdr:col>10</xdr:col>
      <xdr:colOff>0</xdr:colOff>
      <xdr:row>45</xdr:row>
      <xdr:rowOff>0</xdr:rowOff>
    </xdr:to>
    <xdr:sp macro="" textlink="">
      <xdr:nvSpPr>
        <xdr:cNvPr id="16530" name="Line 29">
          <a:extLst>
            <a:ext uri="{FF2B5EF4-FFF2-40B4-BE49-F238E27FC236}">
              <a16:creationId xmlns:a16="http://schemas.microsoft.com/office/drawing/2014/main" id="{00000000-0008-0000-1700-000092400000}"/>
            </a:ext>
          </a:extLst>
        </xdr:cNvPr>
        <xdr:cNvSpPr>
          <a:spLocks noChangeShapeType="1"/>
        </xdr:cNvSpPr>
      </xdr:nvSpPr>
      <xdr:spPr bwMode="auto">
        <a:xfrm>
          <a:off x="6926580" y="82067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46</xdr:row>
      <xdr:rowOff>0</xdr:rowOff>
    </xdr:from>
    <xdr:to>
      <xdr:col>10</xdr:col>
      <xdr:colOff>0</xdr:colOff>
      <xdr:row>46</xdr:row>
      <xdr:rowOff>0</xdr:rowOff>
    </xdr:to>
    <xdr:sp macro="" textlink="">
      <xdr:nvSpPr>
        <xdr:cNvPr id="16531" name="Line 30">
          <a:extLst>
            <a:ext uri="{FF2B5EF4-FFF2-40B4-BE49-F238E27FC236}">
              <a16:creationId xmlns:a16="http://schemas.microsoft.com/office/drawing/2014/main" id="{00000000-0008-0000-1700-000093400000}"/>
            </a:ext>
          </a:extLst>
        </xdr:cNvPr>
        <xdr:cNvSpPr>
          <a:spLocks noChangeShapeType="1"/>
        </xdr:cNvSpPr>
      </xdr:nvSpPr>
      <xdr:spPr bwMode="auto">
        <a:xfrm>
          <a:off x="6926580" y="83743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45</xdr:row>
      <xdr:rowOff>0</xdr:rowOff>
    </xdr:from>
    <xdr:to>
      <xdr:col>15</xdr:col>
      <xdr:colOff>0</xdr:colOff>
      <xdr:row>45</xdr:row>
      <xdr:rowOff>0</xdr:rowOff>
    </xdr:to>
    <xdr:sp macro="" textlink="">
      <xdr:nvSpPr>
        <xdr:cNvPr id="16532" name="Line 31">
          <a:extLst>
            <a:ext uri="{FF2B5EF4-FFF2-40B4-BE49-F238E27FC236}">
              <a16:creationId xmlns:a16="http://schemas.microsoft.com/office/drawing/2014/main" id="{00000000-0008-0000-1700-000094400000}"/>
            </a:ext>
          </a:extLst>
        </xdr:cNvPr>
        <xdr:cNvSpPr>
          <a:spLocks noChangeShapeType="1"/>
        </xdr:cNvSpPr>
      </xdr:nvSpPr>
      <xdr:spPr bwMode="auto">
        <a:xfrm>
          <a:off x="10584180" y="82067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46</xdr:row>
      <xdr:rowOff>0</xdr:rowOff>
    </xdr:from>
    <xdr:to>
      <xdr:col>15</xdr:col>
      <xdr:colOff>0</xdr:colOff>
      <xdr:row>46</xdr:row>
      <xdr:rowOff>0</xdr:rowOff>
    </xdr:to>
    <xdr:sp macro="" textlink="">
      <xdr:nvSpPr>
        <xdr:cNvPr id="16533" name="Line 32">
          <a:extLst>
            <a:ext uri="{FF2B5EF4-FFF2-40B4-BE49-F238E27FC236}">
              <a16:creationId xmlns:a16="http://schemas.microsoft.com/office/drawing/2014/main" id="{00000000-0008-0000-1700-000095400000}"/>
            </a:ext>
          </a:extLst>
        </xdr:cNvPr>
        <xdr:cNvSpPr>
          <a:spLocks noChangeShapeType="1"/>
        </xdr:cNvSpPr>
      </xdr:nvSpPr>
      <xdr:spPr bwMode="auto">
        <a:xfrm>
          <a:off x="10584180" y="83743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36</xdr:row>
      <xdr:rowOff>0</xdr:rowOff>
    </xdr:from>
    <xdr:to>
      <xdr:col>4</xdr:col>
      <xdr:colOff>7620</xdr:colOff>
      <xdr:row>36</xdr:row>
      <xdr:rowOff>0</xdr:rowOff>
    </xdr:to>
    <xdr:sp macro="" textlink="">
      <xdr:nvSpPr>
        <xdr:cNvPr id="16534" name="Line 33">
          <a:extLst>
            <a:ext uri="{FF2B5EF4-FFF2-40B4-BE49-F238E27FC236}">
              <a16:creationId xmlns:a16="http://schemas.microsoft.com/office/drawing/2014/main" id="{00000000-0008-0000-1700-000096400000}"/>
            </a:ext>
          </a:extLst>
        </xdr:cNvPr>
        <xdr:cNvSpPr>
          <a:spLocks noChangeShapeType="1"/>
        </xdr:cNvSpPr>
      </xdr:nvSpPr>
      <xdr:spPr bwMode="auto">
        <a:xfrm>
          <a:off x="2194560" y="669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16535" name="Line 34">
          <a:extLst>
            <a:ext uri="{FF2B5EF4-FFF2-40B4-BE49-F238E27FC236}">
              <a16:creationId xmlns:a16="http://schemas.microsoft.com/office/drawing/2014/main" id="{00000000-0008-0000-1700-000097400000}"/>
            </a:ext>
          </a:extLst>
        </xdr:cNvPr>
        <xdr:cNvSpPr>
          <a:spLocks noChangeShapeType="1"/>
        </xdr:cNvSpPr>
      </xdr:nvSpPr>
      <xdr:spPr bwMode="auto">
        <a:xfrm>
          <a:off x="21945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16536" name="Line 35">
          <a:extLst>
            <a:ext uri="{FF2B5EF4-FFF2-40B4-BE49-F238E27FC236}">
              <a16:creationId xmlns:a16="http://schemas.microsoft.com/office/drawing/2014/main" id="{00000000-0008-0000-1700-000098400000}"/>
            </a:ext>
          </a:extLst>
        </xdr:cNvPr>
        <xdr:cNvSpPr>
          <a:spLocks noChangeShapeType="1"/>
        </xdr:cNvSpPr>
      </xdr:nvSpPr>
      <xdr:spPr bwMode="auto">
        <a:xfrm>
          <a:off x="21945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44</xdr:row>
      <xdr:rowOff>0</xdr:rowOff>
    </xdr:from>
    <xdr:to>
      <xdr:col>4</xdr:col>
      <xdr:colOff>7620</xdr:colOff>
      <xdr:row>44</xdr:row>
      <xdr:rowOff>0</xdr:rowOff>
    </xdr:to>
    <xdr:sp macro="" textlink="">
      <xdr:nvSpPr>
        <xdr:cNvPr id="16537" name="Line 36">
          <a:extLst>
            <a:ext uri="{FF2B5EF4-FFF2-40B4-BE49-F238E27FC236}">
              <a16:creationId xmlns:a16="http://schemas.microsoft.com/office/drawing/2014/main" id="{00000000-0008-0000-1700-000099400000}"/>
            </a:ext>
          </a:extLst>
        </xdr:cNvPr>
        <xdr:cNvSpPr>
          <a:spLocks noChangeShapeType="1"/>
        </xdr:cNvSpPr>
      </xdr:nvSpPr>
      <xdr:spPr bwMode="auto">
        <a:xfrm>
          <a:off x="2194560" y="80391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45</xdr:row>
      <xdr:rowOff>0</xdr:rowOff>
    </xdr:from>
    <xdr:to>
      <xdr:col>4</xdr:col>
      <xdr:colOff>7620</xdr:colOff>
      <xdr:row>45</xdr:row>
      <xdr:rowOff>0</xdr:rowOff>
    </xdr:to>
    <xdr:sp macro="" textlink="">
      <xdr:nvSpPr>
        <xdr:cNvPr id="16538" name="Line 37">
          <a:extLst>
            <a:ext uri="{FF2B5EF4-FFF2-40B4-BE49-F238E27FC236}">
              <a16:creationId xmlns:a16="http://schemas.microsoft.com/office/drawing/2014/main" id="{00000000-0008-0000-1700-00009A400000}"/>
            </a:ext>
          </a:extLst>
        </xdr:cNvPr>
        <xdr:cNvSpPr>
          <a:spLocks noChangeShapeType="1"/>
        </xdr:cNvSpPr>
      </xdr:nvSpPr>
      <xdr:spPr bwMode="auto">
        <a:xfrm>
          <a:off x="2194560" y="82067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46</xdr:row>
      <xdr:rowOff>0</xdr:rowOff>
    </xdr:from>
    <xdr:to>
      <xdr:col>4</xdr:col>
      <xdr:colOff>7620</xdr:colOff>
      <xdr:row>46</xdr:row>
      <xdr:rowOff>0</xdr:rowOff>
    </xdr:to>
    <xdr:sp macro="" textlink="">
      <xdr:nvSpPr>
        <xdr:cNvPr id="16539" name="Line 38">
          <a:extLst>
            <a:ext uri="{FF2B5EF4-FFF2-40B4-BE49-F238E27FC236}">
              <a16:creationId xmlns:a16="http://schemas.microsoft.com/office/drawing/2014/main" id="{00000000-0008-0000-1700-00009B400000}"/>
            </a:ext>
          </a:extLst>
        </xdr:cNvPr>
        <xdr:cNvSpPr>
          <a:spLocks noChangeShapeType="1"/>
        </xdr:cNvSpPr>
      </xdr:nvSpPr>
      <xdr:spPr bwMode="auto">
        <a:xfrm>
          <a:off x="2194560" y="83743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46</xdr:row>
      <xdr:rowOff>0</xdr:rowOff>
    </xdr:from>
    <xdr:to>
      <xdr:col>6</xdr:col>
      <xdr:colOff>0</xdr:colOff>
      <xdr:row>46</xdr:row>
      <xdr:rowOff>0</xdr:rowOff>
    </xdr:to>
    <xdr:sp macro="" textlink="">
      <xdr:nvSpPr>
        <xdr:cNvPr id="16540" name="Line 39">
          <a:extLst>
            <a:ext uri="{FF2B5EF4-FFF2-40B4-BE49-F238E27FC236}">
              <a16:creationId xmlns:a16="http://schemas.microsoft.com/office/drawing/2014/main" id="{00000000-0008-0000-1700-00009C400000}"/>
            </a:ext>
          </a:extLst>
        </xdr:cNvPr>
        <xdr:cNvSpPr>
          <a:spLocks noChangeShapeType="1"/>
        </xdr:cNvSpPr>
      </xdr:nvSpPr>
      <xdr:spPr bwMode="auto">
        <a:xfrm>
          <a:off x="4389120" y="83743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58</xdr:row>
      <xdr:rowOff>0</xdr:rowOff>
    </xdr:from>
    <xdr:to>
      <xdr:col>14</xdr:col>
      <xdr:colOff>640080</xdr:colOff>
      <xdr:row>58</xdr:row>
      <xdr:rowOff>0</xdr:rowOff>
    </xdr:to>
    <xdr:sp macro="" textlink="">
      <xdr:nvSpPr>
        <xdr:cNvPr id="16541" name="Line 40">
          <a:extLst>
            <a:ext uri="{FF2B5EF4-FFF2-40B4-BE49-F238E27FC236}">
              <a16:creationId xmlns:a16="http://schemas.microsoft.com/office/drawing/2014/main" id="{00000000-0008-0000-1700-00009D400000}"/>
            </a:ext>
          </a:extLst>
        </xdr:cNvPr>
        <xdr:cNvSpPr>
          <a:spLocks noChangeShapeType="1"/>
        </xdr:cNvSpPr>
      </xdr:nvSpPr>
      <xdr:spPr bwMode="auto">
        <a:xfrm>
          <a:off x="10584180" y="1050798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16542" name="Line 41">
          <a:extLst>
            <a:ext uri="{FF2B5EF4-FFF2-40B4-BE49-F238E27FC236}">
              <a16:creationId xmlns:a16="http://schemas.microsoft.com/office/drawing/2014/main" id="{00000000-0008-0000-1700-00009E40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16543" name="Line 42">
          <a:extLst>
            <a:ext uri="{FF2B5EF4-FFF2-40B4-BE49-F238E27FC236}">
              <a16:creationId xmlns:a16="http://schemas.microsoft.com/office/drawing/2014/main" id="{00000000-0008-0000-1700-00009F40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51</xdr:row>
      <xdr:rowOff>0</xdr:rowOff>
    </xdr:from>
    <xdr:to>
      <xdr:col>10</xdr:col>
      <xdr:colOff>0</xdr:colOff>
      <xdr:row>51</xdr:row>
      <xdr:rowOff>0</xdr:rowOff>
    </xdr:to>
    <xdr:sp macro="" textlink="">
      <xdr:nvSpPr>
        <xdr:cNvPr id="16544" name="Line 43">
          <a:extLst>
            <a:ext uri="{FF2B5EF4-FFF2-40B4-BE49-F238E27FC236}">
              <a16:creationId xmlns:a16="http://schemas.microsoft.com/office/drawing/2014/main" id="{00000000-0008-0000-1700-0000A0400000}"/>
            </a:ext>
          </a:extLst>
        </xdr:cNvPr>
        <xdr:cNvSpPr>
          <a:spLocks noChangeShapeType="1"/>
        </xdr:cNvSpPr>
      </xdr:nvSpPr>
      <xdr:spPr bwMode="auto">
        <a:xfrm>
          <a:off x="6926580" y="93345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59</xdr:row>
      <xdr:rowOff>0</xdr:rowOff>
    </xdr:from>
    <xdr:to>
      <xdr:col>14</xdr:col>
      <xdr:colOff>640080</xdr:colOff>
      <xdr:row>59</xdr:row>
      <xdr:rowOff>0</xdr:rowOff>
    </xdr:to>
    <xdr:sp macro="" textlink="">
      <xdr:nvSpPr>
        <xdr:cNvPr id="16545" name="Line 44">
          <a:extLst>
            <a:ext uri="{FF2B5EF4-FFF2-40B4-BE49-F238E27FC236}">
              <a16:creationId xmlns:a16="http://schemas.microsoft.com/office/drawing/2014/main" id="{00000000-0008-0000-1700-0000A1400000}"/>
            </a:ext>
          </a:extLst>
        </xdr:cNvPr>
        <xdr:cNvSpPr>
          <a:spLocks noChangeShapeType="1"/>
        </xdr:cNvSpPr>
      </xdr:nvSpPr>
      <xdr:spPr bwMode="auto">
        <a:xfrm>
          <a:off x="10584180" y="106756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51</xdr:row>
      <xdr:rowOff>0</xdr:rowOff>
    </xdr:from>
    <xdr:to>
      <xdr:col>6</xdr:col>
      <xdr:colOff>0</xdr:colOff>
      <xdr:row>51</xdr:row>
      <xdr:rowOff>0</xdr:rowOff>
    </xdr:to>
    <xdr:sp macro="" textlink="">
      <xdr:nvSpPr>
        <xdr:cNvPr id="16546" name="Line 45">
          <a:extLst>
            <a:ext uri="{FF2B5EF4-FFF2-40B4-BE49-F238E27FC236}">
              <a16:creationId xmlns:a16="http://schemas.microsoft.com/office/drawing/2014/main" id="{00000000-0008-0000-1700-0000A2400000}"/>
            </a:ext>
          </a:extLst>
        </xdr:cNvPr>
        <xdr:cNvSpPr>
          <a:spLocks noChangeShapeType="1"/>
        </xdr:cNvSpPr>
      </xdr:nvSpPr>
      <xdr:spPr bwMode="auto">
        <a:xfrm>
          <a:off x="4389120" y="9334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60</xdr:row>
      <xdr:rowOff>0</xdr:rowOff>
    </xdr:from>
    <xdr:to>
      <xdr:col>10</xdr:col>
      <xdr:colOff>0</xdr:colOff>
      <xdr:row>60</xdr:row>
      <xdr:rowOff>0</xdr:rowOff>
    </xdr:to>
    <xdr:sp macro="" textlink="">
      <xdr:nvSpPr>
        <xdr:cNvPr id="16547" name="Line 46">
          <a:extLst>
            <a:ext uri="{FF2B5EF4-FFF2-40B4-BE49-F238E27FC236}">
              <a16:creationId xmlns:a16="http://schemas.microsoft.com/office/drawing/2014/main" id="{00000000-0008-0000-1700-0000A3400000}"/>
            </a:ext>
          </a:extLst>
        </xdr:cNvPr>
        <xdr:cNvSpPr>
          <a:spLocks noChangeShapeType="1"/>
        </xdr:cNvSpPr>
      </xdr:nvSpPr>
      <xdr:spPr bwMode="auto">
        <a:xfrm>
          <a:off x="6926580" y="108432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60</xdr:row>
      <xdr:rowOff>0</xdr:rowOff>
    </xdr:from>
    <xdr:to>
      <xdr:col>15</xdr:col>
      <xdr:colOff>0</xdr:colOff>
      <xdr:row>60</xdr:row>
      <xdr:rowOff>0</xdr:rowOff>
    </xdr:to>
    <xdr:sp macro="" textlink="">
      <xdr:nvSpPr>
        <xdr:cNvPr id="16548" name="Line 47">
          <a:extLst>
            <a:ext uri="{FF2B5EF4-FFF2-40B4-BE49-F238E27FC236}">
              <a16:creationId xmlns:a16="http://schemas.microsoft.com/office/drawing/2014/main" id="{00000000-0008-0000-1700-0000A4400000}"/>
            </a:ext>
          </a:extLst>
        </xdr:cNvPr>
        <xdr:cNvSpPr>
          <a:spLocks noChangeShapeType="1"/>
        </xdr:cNvSpPr>
      </xdr:nvSpPr>
      <xdr:spPr bwMode="auto">
        <a:xfrm>
          <a:off x="10584180" y="108432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51</xdr:row>
      <xdr:rowOff>0</xdr:rowOff>
    </xdr:from>
    <xdr:to>
      <xdr:col>4</xdr:col>
      <xdr:colOff>7620</xdr:colOff>
      <xdr:row>51</xdr:row>
      <xdr:rowOff>0</xdr:rowOff>
    </xdr:to>
    <xdr:sp macro="" textlink="">
      <xdr:nvSpPr>
        <xdr:cNvPr id="16549" name="Line 48">
          <a:extLst>
            <a:ext uri="{FF2B5EF4-FFF2-40B4-BE49-F238E27FC236}">
              <a16:creationId xmlns:a16="http://schemas.microsoft.com/office/drawing/2014/main" id="{00000000-0008-0000-1700-0000A5400000}"/>
            </a:ext>
          </a:extLst>
        </xdr:cNvPr>
        <xdr:cNvSpPr>
          <a:spLocks noChangeShapeType="1"/>
        </xdr:cNvSpPr>
      </xdr:nvSpPr>
      <xdr:spPr bwMode="auto">
        <a:xfrm>
          <a:off x="2194560" y="93345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16550" name="Line 49">
          <a:extLst>
            <a:ext uri="{FF2B5EF4-FFF2-40B4-BE49-F238E27FC236}">
              <a16:creationId xmlns:a16="http://schemas.microsoft.com/office/drawing/2014/main" id="{00000000-0008-0000-1700-0000A640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16551" name="Line 50">
          <a:extLst>
            <a:ext uri="{FF2B5EF4-FFF2-40B4-BE49-F238E27FC236}">
              <a16:creationId xmlns:a16="http://schemas.microsoft.com/office/drawing/2014/main" id="{00000000-0008-0000-1700-0000A740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16552" name="Line 51">
          <a:extLst>
            <a:ext uri="{FF2B5EF4-FFF2-40B4-BE49-F238E27FC236}">
              <a16:creationId xmlns:a16="http://schemas.microsoft.com/office/drawing/2014/main" id="{00000000-0008-0000-1700-0000A840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59</xdr:row>
      <xdr:rowOff>0</xdr:rowOff>
    </xdr:from>
    <xdr:to>
      <xdr:col>4</xdr:col>
      <xdr:colOff>7620</xdr:colOff>
      <xdr:row>59</xdr:row>
      <xdr:rowOff>0</xdr:rowOff>
    </xdr:to>
    <xdr:sp macro="" textlink="">
      <xdr:nvSpPr>
        <xdr:cNvPr id="16553" name="Line 52">
          <a:extLst>
            <a:ext uri="{FF2B5EF4-FFF2-40B4-BE49-F238E27FC236}">
              <a16:creationId xmlns:a16="http://schemas.microsoft.com/office/drawing/2014/main" id="{00000000-0008-0000-1700-0000A9400000}"/>
            </a:ext>
          </a:extLst>
        </xdr:cNvPr>
        <xdr:cNvSpPr>
          <a:spLocks noChangeShapeType="1"/>
        </xdr:cNvSpPr>
      </xdr:nvSpPr>
      <xdr:spPr bwMode="auto">
        <a:xfrm>
          <a:off x="2194560" y="106756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60</xdr:row>
      <xdr:rowOff>0</xdr:rowOff>
    </xdr:from>
    <xdr:to>
      <xdr:col>4</xdr:col>
      <xdr:colOff>7620</xdr:colOff>
      <xdr:row>60</xdr:row>
      <xdr:rowOff>0</xdr:rowOff>
    </xdr:to>
    <xdr:sp macro="" textlink="">
      <xdr:nvSpPr>
        <xdr:cNvPr id="16554" name="Line 53">
          <a:extLst>
            <a:ext uri="{FF2B5EF4-FFF2-40B4-BE49-F238E27FC236}">
              <a16:creationId xmlns:a16="http://schemas.microsoft.com/office/drawing/2014/main" id="{00000000-0008-0000-1700-0000AA400000}"/>
            </a:ext>
          </a:extLst>
        </xdr:cNvPr>
        <xdr:cNvSpPr>
          <a:spLocks noChangeShapeType="1"/>
        </xdr:cNvSpPr>
      </xdr:nvSpPr>
      <xdr:spPr bwMode="auto">
        <a:xfrm>
          <a:off x="2194560" y="108432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60</xdr:row>
      <xdr:rowOff>0</xdr:rowOff>
    </xdr:from>
    <xdr:to>
      <xdr:col>6</xdr:col>
      <xdr:colOff>0</xdr:colOff>
      <xdr:row>60</xdr:row>
      <xdr:rowOff>0</xdr:rowOff>
    </xdr:to>
    <xdr:sp macro="" textlink="">
      <xdr:nvSpPr>
        <xdr:cNvPr id="16555" name="Line 54">
          <a:extLst>
            <a:ext uri="{FF2B5EF4-FFF2-40B4-BE49-F238E27FC236}">
              <a16:creationId xmlns:a16="http://schemas.microsoft.com/office/drawing/2014/main" id="{00000000-0008-0000-1700-0000AB400000}"/>
            </a:ext>
          </a:extLst>
        </xdr:cNvPr>
        <xdr:cNvSpPr>
          <a:spLocks noChangeShapeType="1"/>
        </xdr:cNvSpPr>
      </xdr:nvSpPr>
      <xdr:spPr bwMode="auto">
        <a:xfrm>
          <a:off x="4389120" y="108432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29</xdr:row>
      <xdr:rowOff>0</xdr:rowOff>
    </xdr:from>
    <xdr:to>
      <xdr:col>7</xdr:col>
      <xdr:colOff>45720</xdr:colOff>
      <xdr:row>29</xdr:row>
      <xdr:rowOff>0</xdr:rowOff>
    </xdr:to>
    <xdr:sp macro="" textlink="">
      <xdr:nvSpPr>
        <xdr:cNvPr id="16556" name="Line 55">
          <a:extLst>
            <a:ext uri="{FF2B5EF4-FFF2-40B4-BE49-F238E27FC236}">
              <a16:creationId xmlns:a16="http://schemas.microsoft.com/office/drawing/2014/main" id="{00000000-0008-0000-1700-0000AC400000}"/>
            </a:ext>
          </a:extLst>
        </xdr:cNvPr>
        <xdr:cNvSpPr>
          <a:spLocks noChangeShapeType="1"/>
        </xdr:cNvSpPr>
      </xdr:nvSpPr>
      <xdr:spPr bwMode="auto">
        <a:xfrm>
          <a:off x="4389120" y="552450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42</xdr:row>
      <xdr:rowOff>0</xdr:rowOff>
    </xdr:from>
    <xdr:to>
      <xdr:col>7</xdr:col>
      <xdr:colOff>45720</xdr:colOff>
      <xdr:row>42</xdr:row>
      <xdr:rowOff>0</xdr:rowOff>
    </xdr:to>
    <xdr:sp macro="" textlink="">
      <xdr:nvSpPr>
        <xdr:cNvPr id="16557" name="Line 56">
          <a:extLst>
            <a:ext uri="{FF2B5EF4-FFF2-40B4-BE49-F238E27FC236}">
              <a16:creationId xmlns:a16="http://schemas.microsoft.com/office/drawing/2014/main" id="{00000000-0008-0000-1700-0000AD400000}"/>
            </a:ext>
          </a:extLst>
        </xdr:cNvPr>
        <xdr:cNvSpPr>
          <a:spLocks noChangeShapeType="1"/>
        </xdr:cNvSpPr>
      </xdr:nvSpPr>
      <xdr:spPr bwMode="auto">
        <a:xfrm>
          <a:off x="4389120" y="770382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57</xdr:row>
      <xdr:rowOff>0</xdr:rowOff>
    </xdr:from>
    <xdr:to>
      <xdr:col>7</xdr:col>
      <xdr:colOff>45720</xdr:colOff>
      <xdr:row>57</xdr:row>
      <xdr:rowOff>0</xdr:rowOff>
    </xdr:to>
    <xdr:sp macro="" textlink="">
      <xdr:nvSpPr>
        <xdr:cNvPr id="16558" name="Line 57">
          <a:extLst>
            <a:ext uri="{FF2B5EF4-FFF2-40B4-BE49-F238E27FC236}">
              <a16:creationId xmlns:a16="http://schemas.microsoft.com/office/drawing/2014/main" id="{00000000-0008-0000-1700-0000AE400000}"/>
            </a:ext>
          </a:extLst>
        </xdr:cNvPr>
        <xdr:cNvSpPr>
          <a:spLocks noChangeShapeType="1"/>
        </xdr:cNvSpPr>
      </xdr:nvSpPr>
      <xdr:spPr bwMode="auto">
        <a:xfrm>
          <a:off x="4389120" y="1034034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69</xdr:row>
      <xdr:rowOff>0</xdr:rowOff>
    </xdr:from>
    <xdr:to>
      <xdr:col>6</xdr:col>
      <xdr:colOff>0</xdr:colOff>
      <xdr:row>69</xdr:row>
      <xdr:rowOff>0</xdr:rowOff>
    </xdr:to>
    <xdr:sp macro="" textlink="">
      <xdr:nvSpPr>
        <xdr:cNvPr id="16559" name="Line 58">
          <a:extLst>
            <a:ext uri="{FF2B5EF4-FFF2-40B4-BE49-F238E27FC236}">
              <a16:creationId xmlns:a16="http://schemas.microsoft.com/office/drawing/2014/main" id="{00000000-0008-0000-1700-0000AF400000}"/>
            </a:ext>
          </a:extLst>
        </xdr:cNvPr>
        <xdr:cNvSpPr>
          <a:spLocks noChangeShapeType="1"/>
        </xdr:cNvSpPr>
      </xdr:nvSpPr>
      <xdr:spPr bwMode="auto">
        <a:xfrm>
          <a:off x="4389120" y="123520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69</xdr:row>
      <xdr:rowOff>0</xdr:rowOff>
    </xdr:from>
    <xdr:to>
      <xdr:col>14</xdr:col>
      <xdr:colOff>640080</xdr:colOff>
      <xdr:row>69</xdr:row>
      <xdr:rowOff>0</xdr:rowOff>
    </xdr:to>
    <xdr:sp macro="" textlink="">
      <xdr:nvSpPr>
        <xdr:cNvPr id="16560" name="Line 59">
          <a:extLst>
            <a:ext uri="{FF2B5EF4-FFF2-40B4-BE49-F238E27FC236}">
              <a16:creationId xmlns:a16="http://schemas.microsoft.com/office/drawing/2014/main" id="{00000000-0008-0000-1700-0000B0400000}"/>
            </a:ext>
          </a:extLst>
        </xdr:cNvPr>
        <xdr:cNvSpPr>
          <a:spLocks noChangeShapeType="1"/>
        </xdr:cNvSpPr>
      </xdr:nvSpPr>
      <xdr:spPr bwMode="auto">
        <a:xfrm>
          <a:off x="10584180" y="123520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70</xdr:row>
      <xdr:rowOff>0</xdr:rowOff>
    </xdr:from>
    <xdr:to>
      <xdr:col>6</xdr:col>
      <xdr:colOff>0</xdr:colOff>
      <xdr:row>70</xdr:row>
      <xdr:rowOff>0</xdr:rowOff>
    </xdr:to>
    <xdr:sp macro="" textlink="">
      <xdr:nvSpPr>
        <xdr:cNvPr id="16561" name="Line 60">
          <a:extLst>
            <a:ext uri="{FF2B5EF4-FFF2-40B4-BE49-F238E27FC236}">
              <a16:creationId xmlns:a16="http://schemas.microsoft.com/office/drawing/2014/main" id="{00000000-0008-0000-1700-0000B1400000}"/>
            </a:ext>
          </a:extLst>
        </xdr:cNvPr>
        <xdr:cNvSpPr>
          <a:spLocks noChangeShapeType="1"/>
        </xdr:cNvSpPr>
      </xdr:nvSpPr>
      <xdr:spPr bwMode="auto">
        <a:xfrm>
          <a:off x="4389120" y="125196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6562" name="Line 61">
          <a:extLst>
            <a:ext uri="{FF2B5EF4-FFF2-40B4-BE49-F238E27FC236}">
              <a16:creationId xmlns:a16="http://schemas.microsoft.com/office/drawing/2014/main" id="{00000000-0008-0000-1700-0000B240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6563" name="Line 62">
          <a:extLst>
            <a:ext uri="{FF2B5EF4-FFF2-40B4-BE49-F238E27FC236}">
              <a16:creationId xmlns:a16="http://schemas.microsoft.com/office/drawing/2014/main" id="{00000000-0008-0000-1700-0000B340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62</xdr:row>
      <xdr:rowOff>0</xdr:rowOff>
    </xdr:from>
    <xdr:to>
      <xdr:col>10</xdr:col>
      <xdr:colOff>0</xdr:colOff>
      <xdr:row>62</xdr:row>
      <xdr:rowOff>0</xdr:rowOff>
    </xdr:to>
    <xdr:sp macro="" textlink="">
      <xdr:nvSpPr>
        <xdr:cNvPr id="16564" name="Line 63">
          <a:extLst>
            <a:ext uri="{FF2B5EF4-FFF2-40B4-BE49-F238E27FC236}">
              <a16:creationId xmlns:a16="http://schemas.microsoft.com/office/drawing/2014/main" id="{00000000-0008-0000-1700-0000B4400000}"/>
            </a:ext>
          </a:extLst>
        </xdr:cNvPr>
        <xdr:cNvSpPr>
          <a:spLocks noChangeShapeType="1"/>
        </xdr:cNvSpPr>
      </xdr:nvSpPr>
      <xdr:spPr bwMode="auto">
        <a:xfrm>
          <a:off x="6926580" y="111785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70</xdr:row>
      <xdr:rowOff>0</xdr:rowOff>
    </xdr:from>
    <xdr:to>
      <xdr:col>14</xdr:col>
      <xdr:colOff>640080</xdr:colOff>
      <xdr:row>70</xdr:row>
      <xdr:rowOff>0</xdr:rowOff>
    </xdr:to>
    <xdr:sp macro="" textlink="">
      <xdr:nvSpPr>
        <xdr:cNvPr id="16565" name="Line 64">
          <a:extLst>
            <a:ext uri="{FF2B5EF4-FFF2-40B4-BE49-F238E27FC236}">
              <a16:creationId xmlns:a16="http://schemas.microsoft.com/office/drawing/2014/main" id="{00000000-0008-0000-1700-0000B5400000}"/>
            </a:ext>
          </a:extLst>
        </xdr:cNvPr>
        <xdr:cNvSpPr>
          <a:spLocks noChangeShapeType="1"/>
        </xdr:cNvSpPr>
      </xdr:nvSpPr>
      <xdr:spPr bwMode="auto">
        <a:xfrm>
          <a:off x="10584180" y="1251966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62</xdr:row>
      <xdr:rowOff>0</xdr:rowOff>
    </xdr:from>
    <xdr:to>
      <xdr:col>6</xdr:col>
      <xdr:colOff>0</xdr:colOff>
      <xdr:row>62</xdr:row>
      <xdr:rowOff>0</xdr:rowOff>
    </xdr:to>
    <xdr:sp macro="" textlink="">
      <xdr:nvSpPr>
        <xdr:cNvPr id="16566" name="Line 65">
          <a:extLst>
            <a:ext uri="{FF2B5EF4-FFF2-40B4-BE49-F238E27FC236}">
              <a16:creationId xmlns:a16="http://schemas.microsoft.com/office/drawing/2014/main" id="{00000000-0008-0000-1700-0000B6400000}"/>
            </a:ext>
          </a:extLst>
        </xdr:cNvPr>
        <xdr:cNvSpPr>
          <a:spLocks noChangeShapeType="1"/>
        </xdr:cNvSpPr>
      </xdr:nvSpPr>
      <xdr:spPr bwMode="auto">
        <a:xfrm>
          <a:off x="4389120" y="111785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62</xdr:row>
      <xdr:rowOff>0</xdr:rowOff>
    </xdr:from>
    <xdr:to>
      <xdr:col>4</xdr:col>
      <xdr:colOff>7620</xdr:colOff>
      <xdr:row>62</xdr:row>
      <xdr:rowOff>0</xdr:rowOff>
    </xdr:to>
    <xdr:sp macro="" textlink="">
      <xdr:nvSpPr>
        <xdr:cNvPr id="16567" name="Line 66">
          <a:extLst>
            <a:ext uri="{FF2B5EF4-FFF2-40B4-BE49-F238E27FC236}">
              <a16:creationId xmlns:a16="http://schemas.microsoft.com/office/drawing/2014/main" id="{00000000-0008-0000-1700-0000B7400000}"/>
            </a:ext>
          </a:extLst>
        </xdr:cNvPr>
        <xdr:cNvSpPr>
          <a:spLocks noChangeShapeType="1"/>
        </xdr:cNvSpPr>
      </xdr:nvSpPr>
      <xdr:spPr bwMode="auto">
        <a:xfrm>
          <a:off x="2194560" y="11178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6568" name="Line 67">
          <a:extLst>
            <a:ext uri="{FF2B5EF4-FFF2-40B4-BE49-F238E27FC236}">
              <a16:creationId xmlns:a16="http://schemas.microsoft.com/office/drawing/2014/main" id="{00000000-0008-0000-1700-0000B840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6569" name="Line 68">
          <a:extLst>
            <a:ext uri="{FF2B5EF4-FFF2-40B4-BE49-F238E27FC236}">
              <a16:creationId xmlns:a16="http://schemas.microsoft.com/office/drawing/2014/main" id="{00000000-0008-0000-1700-0000B940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6570" name="Line 69">
          <a:extLst>
            <a:ext uri="{FF2B5EF4-FFF2-40B4-BE49-F238E27FC236}">
              <a16:creationId xmlns:a16="http://schemas.microsoft.com/office/drawing/2014/main" id="{00000000-0008-0000-1700-0000BA40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6571" name="Line 70">
          <a:extLst>
            <a:ext uri="{FF2B5EF4-FFF2-40B4-BE49-F238E27FC236}">
              <a16:creationId xmlns:a16="http://schemas.microsoft.com/office/drawing/2014/main" id="{00000000-0008-0000-1700-0000BB40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68</xdr:row>
      <xdr:rowOff>0</xdr:rowOff>
    </xdr:from>
    <xdr:to>
      <xdr:col>7</xdr:col>
      <xdr:colOff>45720</xdr:colOff>
      <xdr:row>68</xdr:row>
      <xdr:rowOff>0</xdr:rowOff>
    </xdr:to>
    <xdr:sp macro="" textlink="">
      <xdr:nvSpPr>
        <xdr:cNvPr id="16572" name="Line 71">
          <a:extLst>
            <a:ext uri="{FF2B5EF4-FFF2-40B4-BE49-F238E27FC236}">
              <a16:creationId xmlns:a16="http://schemas.microsoft.com/office/drawing/2014/main" id="{00000000-0008-0000-1700-0000BC400000}"/>
            </a:ext>
          </a:extLst>
        </xdr:cNvPr>
        <xdr:cNvSpPr>
          <a:spLocks noChangeShapeType="1"/>
        </xdr:cNvSpPr>
      </xdr:nvSpPr>
      <xdr:spPr bwMode="auto">
        <a:xfrm>
          <a:off x="4389120" y="1218438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70</xdr:row>
      <xdr:rowOff>0</xdr:rowOff>
    </xdr:from>
    <xdr:to>
      <xdr:col>4</xdr:col>
      <xdr:colOff>7620</xdr:colOff>
      <xdr:row>70</xdr:row>
      <xdr:rowOff>0</xdr:rowOff>
    </xdr:to>
    <xdr:sp macro="" textlink="">
      <xdr:nvSpPr>
        <xdr:cNvPr id="16573" name="Line 72">
          <a:extLst>
            <a:ext uri="{FF2B5EF4-FFF2-40B4-BE49-F238E27FC236}">
              <a16:creationId xmlns:a16="http://schemas.microsoft.com/office/drawing/2014/main" id="{00000000-0008-0000-1700-0000BD400000}"/>
            </a:ext>
          </a:extLst>
        </xdr:cNvPr>
        <xdr:cNvSpPr>
          <a:spLocks noChangeShapeType="1"/>
        </xdr:cNvSpPr>
      </xdr:nvSpPr>
      <xdr:spPr bwMode="auto">
        <a:xfrm>
          <a:off x="2194560" y="12519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79</xdr:row>
      <xdr:rowOff>0</xdr:rowOff>
    </xdr:from>
    <xdr:to>
      <xdr:col>6</xdr:col>
      <xdr:colOff>0</xdr:colOff>
      <xdr:row>79</xdr:row>
      <xdr:rowOff>0</xdr:rowOff>
    </xdr:to>
    <xdr:sp macro="" textlink="">
      <xdr:nvSpPr>
        <xdr:cNvPr id="16574" name="Line 73">
          <a:extLst>
            <a:ext uri="{FF2B5EF4-FFF2-40B4-BE49-F238E27FC236}">
              <a16:creationId xmlns:a16="http://schemas.microsoft.com/office/drawing/2014/main" id="{00000000-0008-0000-1700-0000BE400000}"/>
            </a:ext>
          </a:extLst>
        </xdr:cNvPr>
        <xdr:cNvSpPr>
          <a:spLocks noChangeShapeType="1"/>
        </xdr:cNvSpPr>
      </xdr:nvSpPr>
      <xdr:spPr bwMode="auto">
        <a:xfrm>
          <a:off x="4389120" y="140284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79</xdr:row>
      <xdr:rowOff>0</xdr:rowOff>
    </xdr:from>
    <xdr:to>
      <xdr:col>14</xdr:col>
      <xdr:colOff>640080</xdr:colOff>
      <xdr:row>79</xdr:row>
      <xdr:rowOff>0</xdr:rowOff>
    </xdr:to>
    <xdr:sp macro="" textlink="">
      <xdr:nvSpPr>
        <xdr:cNvPr id="16575" name="Line 74">
          <a:extLst>
            <a:ext uri="{FF2B5EF4-FFF2-40B4-BE49-F238E27FC236}">
              <a16:creationId xmlns:a16="http://schemas.microsoft.com/office/drawing/2014/main" id="{00000000-0008-0000-1700-0000BF400000}"/>
            </a:ext>
          </a:extLst>
        </xdr:cNvPr>
        <xdr:cNvSpPr>
          <a:spLocks noChangeShapeType="1"/>
        </xdr:cNvSpPr>
      </xdr:nvSpPr>
      <xdr:spPr bwMode="auto">
        <a:xfrm>
          <a:off x="10584180" y="140284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6576" name="Line 75">
          <a:extLst>
            <a:ext uri="{FF2B5EF4-FFF2-40B4-BE49-F238E27FC236}">
              <a16:creationId xmlns:a16="http://schemas.microsoft.com/office/drawing/2014/main" id="{00000000-0008-0000-1700-0000C040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6577" name="Line 76">
          <a:extLst>
            <a:ext uri="{FF2B5EF4-FFF2-40B4-BE49-F238E27FC236}">
              <a16:creationId xmlns:a16="http://schemas.microsoft.com/office/drawing/2014/main" id="{00000000-0008-0000-1700-0000C140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72</xdr:row>
      <xdr:rowOff>0</xdr:rowOff>
    </xdr:from>
    <xdr:to>
      <xdr:col>10</xdr:col>
      <xdr:colOff>0</xdr:colOff>
      <xdr:row>72</xdr:row>
      <xdr:rowOff>0</xdr:rowOff>
    </xdr:to>
    <xdr:sp macro="" textlink="">
      <xdr:nvSpPr>
        <xdr:cNvPr id="16578" name="Line 77">
          <a:extLst>
            <a:ext uri="{FF2B5EF4-FFF2-40B4-BE49-F238E27FC236}">
              <a16:creationId xmlns:a16="http://schemas.microsoft.com/office/drawing/2014/main" id="{00000000-0008-0000-1700-0000C2400000}"/>
            </a:ext>
          </a:extLst>
        </xdr:cNvPr>
        <xdr:cNvSpPr>
          <a:spLocks noChangeShapeType="1"/>
        </xdr:cNvSpPr>
      </xdr:nvSpPr>
      <xdr:spPr bwMode="auto">
        <a:xfrm>
          <a:off x="6926580" y="128549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72</xdr:row>
      <xdr:rowOff>0</xdr:rowOff>
    </xdr:from>
    <xdr:to>
      <xdr:col>6</xdr:col>
      <xdr:colOff>0</xdr:colOff>
      <xdr:row>72</xdr:row>
      <xdr:rowOff>0</xdr:rowOff>
    </xdr:to>
    <xdr:sp macro="" textlink="">
      <xdr:nvSpPr>
        <xdr:cNvPr id="16579" name="Line 78">
          <a:extLst>
            <a:ext uri="{FF2B5EF4-FFF2-40B4-BE49-F238E27FC236}">
              <a16:creationId xmlns:a16="http://schemas.microsoft.com/office/drawing/2014/main" id="{00000000-0008-0000-1700-0000C3400000}"/>
            </a:ext>
          </a:extLst>
        </xdr:cNvPr>
        <xdr:cNvSpPr>
          <a:spLocks noChangeShapeType="1"/>
        </xdr:cNvSpPr>
      </xdr:nvSpPr>
      <xdr:spPr bwMode="auto">
        <a:xfrm>
          <a:off x="4389120" y="128549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72</xdr:row>
      <xdr:rowOff>0</xdr:rowOff>
    </xdr:from>
    <xdr:to>
      <xdr:col>4</xdr:col>
      <xdr:colOff>7620</xdr:colOff>
      <xdr:row>72</xdr:row>
      <xdr:rowOff>0</xdr:rowOff>
    </xdr:to>
    <xdr:sp macro="" textlink="">
      <xdr:nvSpPr>
        <xdr:cNvPr id="16580" name="Line 79">
          <a:extLst>
            <a:ext uri="{FF2B5EF4-FFF2-40B4-BE49-F238E27FC236}">
              <a16:creationId xmlns:a16="http://schemas.microsoft.com/office/drawing/2014/main" id="{00000000-0008-0000-1700-0000C4400000}"/>
            </a:ext>
          </a:extLst>
        </xdr:cNvPr>
        <xdr:cNvSpPr>
          <a:spLocks noChangeShapeType="1"/>
        </xdr:cNvSpPr>
      </xdr:nvSpPr>
      <xdr:spPr bwMode="auto">
        <a:xfrm>
          <a:off x="2194560" y="128549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6581" name="Line 80">
          <a:extLst>
            <a:ext uri="{FF2B5EF4-FFF2-40B4-BE49-F238E27FC236}">
              <a16:creationId xmlns:a16="http://schemas.microsoft.com/office/drawing/2014/main" id="{00000000-0008-0000-1700-0000C540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6582" name="Line 81">
          <a:extLst>
            <a:ext uri="{FF2B5EF4-FFF2-40B4-BE49-F238E27FC236}">
              <a16:creationId xmlns:a16="http://schemas.microsoft.com/office/drawing/2014/main" id="{00000000-0008-0000-1700-0000C640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6583" name="Line 82">
          <a:extLst>
            <a:ext uri="{FF2B5EF4-FFF2-40B4-BE49-F238E27FC236}">
              <a16:creationId xmlns:a16="http://schemas.microsoft.com/office/drawing/2014/main" id="{00000000-0008-0000-1700-0000C740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6584" name="Line 83">
          <a:extLst>
            <a:ext uri="{FF2B5EF4-FFF2-40B4-BE49-F238E27FC236}">
              <a16:creationId xmlns:a16="http://schemas.microsoft.com/office/drawing/2014/main" id="{00000000-0008-0000-1700-0000C840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78</xdr:row>
      <xdr:rowOff>0</xdr:rowOff>
    </xdr:from>
    <xdr:to>
      <xdr:col>7</xdr:col>
      <xdr:colOff>45720</xdr:colOff>
      <xdr:row>78</xdr:row>
      <xdr:rowOff>0</xdr:rowOff>
    </xdr:to>
    <xdr:sp macro="" textlink="">
      <xdr:nvSpPr>
        <xdr:cNvPr id="16585" name="Line 84">
          <a:extLst>
            <a:ext uri="{FF2B5EF4-FFF2-40B4-BE49-F238E27FC236}">
              <a16:creationId xmlns:a16="http://schemas.microsoft.com/office/drawing/2014/main" id="{00000000-0008-0000-1700-0000C9400000}"/>
            </a:ext>
          </a:extLst>
        </xdr:cNvPr>
        <xdr:cNvSpPr>
          <a:spLocks noChangeShapeType="1"/>
        </xdr:cNvSpPr>
      </xdr:nvSpPr>
      <xdr:spPr bwMode="auto">
        <a:xfrm>
          <a:off x="4389120" y="1386078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16586" name="Line 85">
          <a:extLst>
            <a:ext uri="{FF2B5EF4-FFF2-40B4-BE49-F238E27FC236}">
              <a16:creationId xmlns:a16="http://schemas.microsoft.com/office/drawing/2014/main" id="{00000000-0008-0000-1700-0000CA400000}"/>
            </a:ext>
          </a:extLst>
        </xdr:cNvPr>
        <xdr:cNvSpPr>
          <a:spLocks noChangeShapeType="1"/>
        </xdr:cNvSpPr>
      </xdr:nvSpPr>
      <xdr:spPr bwMode="auto">
        <a:xfrm>
          <a:off x="69265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16587" name="Line 86">
          <a:extLst>
            <a:ext uri="{FF2B5EF4-FFF2-40B4-BE49-F238E27FC236}">
              <a16:creationId xmlns:a16="http://schemas.microsoft.com/office/drawing/2014/main" id="{00000000-0008-0000-1700-0000CB400000}"/>
            </a:ext>
          </a:extLst>
        </xdr:cNvPr>
        <xdr:cNvSpPr>
          <a:spLocks noChangeShapeType="1"/>
        </xdr:cNvSpPr>
      </xdr:nvSpPr>
      <xdr:spPr bwMode="auto">
        <a:xfrm>
          <a:off x="43891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16588" name="Line 87">
          <a:extLst>
            <a:ext uri="{FF2B5EF4-FFF2-40B4-BE49-F238E27FC236}">
              <a16:creationId xmlns:a16="http://schemas.microsoft.com/office/drawing/2014/main" id="{00000000-0008-0000-1700-0000CC400000}"/>
            </a:ext>
          </a:extLst>
        </xdr:cNvPr>
        <xdr:cNvSpPr>
          <a:spLocks noChangeShapeType="1"/>
        </xdr:cNvSpPr>
      </xdr:nvSpPr>
      <xdr:spPr bwMode="auto">
        <a:xfrm>
          <a:off x="21945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16589" name="Line 88">
          <a:extLst>
            <a:ext uri="{FF2B5EF4-FFF2-40B4-BE49-F238E27FC236}">
              <a16:creationId xmlns:a16="http://schemas.microsoft.com/office/drawing/2014/main" id="{00000000-0008-0000-1700-0000CD400000}"/>
            </a:ext>
          </a:extLst>
        </xdr:cNvPr>
        <xdr:cNvSpPr>
          <a:spLocks noChangeShapeType="1"/>
        </xdr:cNvSpPr>
      </xdr:nvSpPr>
      <xdr:spPr bwMode="auto">
        <a:xfrm>
          <a:off x="4389120" y="1536954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44</xdr:row>
      <xdr:rowOff>0</xdr:rowOff>
    </xdr:from>
    <xdr:to>
      <xdr:col>6</xdr:col>
      <xdr:colOff>0</xdr:colOff>
      <xdr:row>44</xdr:row>
      <xdr:rowOff>0</xdr:rowOff>
    </xdr:to>
    <xdr:sp macro="" textlink="">
      <xdr:nvSpPr>
        <xdr:cNvPr id="16590" name="Line 89">
          <a:extLst>
            <a:ext uri="{FF2B5EF4-FFF2-40B4-BE49-F238E27FC236}">
              <a16:creationId xmlns:a16="http://schemas.microsoft.com/office/drawing/2014/main" id="{00000000-0008-0000-1700-0000CE400000}"/>
            </a:ext>
          </a:extLst>
        </xdr:cNvPr>
        <xdr:cNvSpPr>
          <a:spLocks noChangeShapeType="1"/>
        </xdr:cNvSpPr>
      </xdr:nvSpPr>
      <xdr:spPr bwMode="auto">
        <a:xfrm>
          <a:off x="4389120" y="80391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43</xdr:row>
      <xdr:rowOff>0</xdr:rowOff>
    </xdr:from>
    <xdr:to>
      <xdr:col>6</xdr:col>
      <xdr:colOff>0</xdr:colOff>
      <xdr:row>43</xdr:row>
      <xdr:rowOff>0</xdr:rowOff>
    </xdr:to>
    <xdr:sp macro="" textlink="">
      <xdr:nvSpPr>
        <xdr:cNvPr id="16591" name="Line 90">
          <a:extLst>
            <a:ext uri="{FF2B5EF4-FFF2-40B4-BE49-F238E27FC236}">
              <a16:creationId xmlns:a16="http://schemas.microsoft.com/office/drawing/2014/main" id="{00000000-0008-0000-1700-0000CF400000}"/>
            </a:ext>
          </a:extLst>
        </xdr:cNvPr>
        <xdr:cNvSpPr>
          <a:spLocks noChangeShapeType="1"/>
        </xdr:cNvSpPr>
      </xdr:nvSpPr>
      <xdr:spPr bwMode="auto">
        <a:xfrm>
          <a:off x="4389120" y="78714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59</xdr:row>
      <xdr:rowOff>0</xdr:rowOff>
    </xdr:from>
    <xdr:to>
      <xdr:col>6</xdr:col>
      <xdr:colOff>0</xdr:colOff>
      <xdr:row>59</xdr:row>
      <xdr:rowOff>0</xdr:rowOff>
    </xdr:to>
    <xdr:sp macro="" textlink="">
      <xdr:nvSpPr>
        <xdr:cNvPr id="16592" name="Line 91">
          <a:extLst>
            <a:ext uri="{FF2B5EF4-FFF2-40B4-BE49-F238E27FC236}">
              <a16:creationId xmlns:a16="http://schemas.microsoft.com/office/drawing/2014/main" id="{00000000-0008-0000-1700-0000D0400000}"/>
            </a:ext>
          </a:extLst>
        </xdr:cNvPr>
        <xdr:cNvSpPr>
          <a:spLocks noChangeShapeType="1"/>
        </xdr:cNvSpPr>
      </xdr:nvSpPr>
      <xdr:spPr bwMode="auto">
        <a:xfrm>
          <a:off x="4389120" y="106756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58</xdr:row>
      <xdr:rowOff>0</xdr:rowOff>
    </xdr:from>
    <xdr:to>
      <xdr:col>6</xdr:col>
      <xdr:colOff>0</xdr:colOff>
      <xdr:row>58</xdr:row>
      <xdr:rowOff>0</xdr:rowOff>
    </xdr:to>
    <xdr:sp macro="" textlink="">
      <xdr:nvSpPr>
        <xdr:cNvPr id="16593" name="Line 92">
          <a:extLst>
            <a:ext uri="{FF2B5EF4-FFF2-40B4-BE49-F238E27FC236}">
              <a16:creationId xmlns:a16="http://schemas.microsoft.com/office/drawing/2014/main" id="{00000000-0008-0000-1700-0000D1400000}"/>
            </a:ext>
          </a:extLst>
        </xdr:cNvPr>
        <xdr:cNvSpPr>
          <a:spLocks noChangeShapeType="1"/>
        </xdr:cNvSpPr>
      </xdr:nvSpPr>
      <xdr:spPr bwMode="auto">
        <a:xfrm>
          <a:off x="4389120" y="105079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31</xdr:row>
      <xdr:rowOff>0</xdr:rowOff>
    </xdr:from>
    <xdr:to>
      <xdr:col>10</xdr:col>
      <xdr:colOff>0</xdr:colOff>
      <xdr:row>31</xdr:row>
      <xdr:rowOff>0</xdr:rowOff>
    </xdr:to>
    <xdr:sp macro="" textlink="">
      <xdr:nvSpPr>
        <xdr:cNvPr id="16594" name="Line 93">
          <a:extLst>
            <a:ext uri="{FF2B5EF4-FFF2-40B4-BE49-F238E27FC236}">
              <a16:creationId xmlns:a16="http://schemas.microsoft.com/office/drawing/2014/main" id="{00000000-0008-0000-1700-0000D2400000}"/>
            </a:ext>
          </a:extLst>
        </xdr:cNvPr>
        <xdr:cNvSpPr>
          <a:spLocks noChangeShapeType="1"/>
        </xdr:cNvSpPr>
      </xdr:nvSpPr>
      <xdr:spPr bwMode="auto">
        <a:xfrm>
          <a:off x="6926580" y="58597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30</xdr:row>
      <xdr:rowOff>0</xdr:rowOff>
    </xdr:from>
    <xdr:to>
      <xdr:col>10</xdr:col>
      <xdr:colOff>0</xdr:colOff>
      <xdr:row>30</xdr:row>
      <xdr:rowOff>0</xdr:rowOff>
    </xdr:to>
    <xdr:sp macro="" textlink="">
      <xdr:nvSpPr>
        <xdr:cNvPr id="16595" name="Line 94">
          <a:extLst>
            <a:ext uri="{FF2B5EF4-FFF2-40B4-BE49-F238E27FC236}">
              <a16:creationId xmlns:a16="http://schemas.microsoft.com/office/drawing/2014/main" id="{00000000-0008-0000-1700-0000D3400000}"/>
            </a:ext>
          </a:extLst>
        </xdr:cNvPr>
        <xdr:cNvSpPr>
          <a:spLocks noChangeShapeType="1"/>
        </xdr:cNvSpPr>
      </xdr:nvSpPr>
      <xdr:spPr bwMode="auto">
        <a:xfrm>
          <a:off x="6926580" y="56921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44</xdr:row>
      <xdr:rowOff>0</xdr:rowOff>
    </xdr:from>
    <xdr:to>
      <xdr:col>10</xdr:col>
      <xdr:colOff>0</xdr:colOff>
      <xdr:row>44</xdr:row>
      <xdr:rowOff>0</xdr:rowOff>
    </xdr:to>
    <xdr:sp macro="" textlink="">
      <xdr:nvSpPr>
        <xdr:cNvPr id="16596" name="Line 95">
          <a:extLst>
            <a:ext uri="{FF2B5EF4-FFF2-40B4-BE49-F238E27FC236}">
              <a16:creationId xmlns:a16="http://schemas.microsoft.com/office/drawing/2014/main" id="{00000000-0008-0000-1700-0000D4400000}"/>
            </a:ext>
          </a:extLst>
        </xdr:cNvPr>
        <xdr:cNvSpPr>
          <a:spLocks noChangeShapeType="1"/>
        </xdr:cNvSpPr>
      </xdr:nvSpPr>
      <xdr:spPr bwMode="auto">
        <a:xfrm>
          <a:off x="6926580" y="80391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43</xdr:row>
      <xdr:rowOff>0</xdr:rowOff>
    </xdr:from>
    <xdr:to>
      <xdr:col>10</xdr:col>
      <xdr:colOff>0</xdr:colOff>
      <xdr:row>43</xdr:row>
      <xdr:rowOff>0</xdr:rowOff>
    </xdr:to>
    <xdr:sp macro="" textlink="">
      <xdr:nvSpPr>
        <xdr:cNvPr id="16597" name="Line 96">
          <a:extLst>
            <a:ext uri="{FF2B5EF4-FFF2-40B4-BE49-F238E27FC236}">
              <a16:creationId xmlns:a16="http://schemas.microsoft.com/office/drawing/2014/main" id="{00000000-0008-0000-1700-0000D5400000}"/>
            </a:ext>
          </a:extLst>
        </xdr:cNvPr>
        <xdr:cNvSpPr>
          <a:spLocks noChangeShapeType="1"/>
        </xdr:cNvSpPr>
      </xdr:nvSpPr>
      <xdr:spPr bwMode="auto">
        <a:xfrm>
          <a:off x="6926580" y="78714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59</xdr:row>
      <xdr:rowOff>0</xdr:rowOff>
    </xdr:from>
    <xdr:to>
      <xdr:col>10</xdr:col>
      <xdr:colOff>0</xdr:colOff>
      <xdr:row>59</xdr:row>
      <xdr:rowOff>0</xdr:rowOff>
    </xdr:to>
    <xdr:sp macro="" textlink="">
      <xdr:nvSpPr>
        <xdr:cNvPr id="16598" name="Line 97">
          <a:extLst>
            <a:ext uri="{FF2B5EF4-FFF2-40B4-BE49-F238E27FC236}">
              <a16:creationId xmlns:a16="http://schemas.microsoft.com/office/drawing/2014/main" id="{00000000-0008-0000-1700-0000D6400000}"/>
            </a:ext>
          </a:extLst>
        </xdr:cNvPr>
        <xdr:cNvSpPr>
          <a:spLocks noChangeShapeType="1"/>
        </xdr:cNvSpPr>
      </xdr:nvSpPr>
      <xdr:spPr bwMode="auto">
        <a:xfrm>
          <a:off x="6926580" y="106756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58</xdr:row>
      <xdr:rowOff>0</xdr:rowOff>
    </xdr:from>
    <xdr:to>
      <xdr:col>10</xdr:col>
      <xdr:colOff>0</xdr:colOff>
      <xdr:row>58</xdr:row>
      <xdr:rowOff>0</xdr:rowOff>
    </xdr:to>
    <xdr:sp macro="" textlink="">
      <xdr:nvSpPr>
        <xdr:cNvPr id="16599" name="Line 98">
          <a:extLst>
            <a:ext uri="{FF2B5EF4-FFF2-40B4-BE49-F238E27FC236}">
              <a16:creationId xmlns:a16="http://schemas.microsoft.com/office/drawing/2014/main" id="{00000000-0008-0000-1700-0000D7400000}"/>
            </a:ext>
          </a:extLst>
        </xdr:cNvPr>
        <xdr:cNvSpPr>
          <a:spLocks noChangeShapeType="1"/>
        </xdr:cNvSpPr>
      </xdr:nvSpPr>
      <xdr:spPr bwMode="auto">
        <a:xfrm>
          <a:off x="6926580" y="105079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70</xdr:row>
      <xdr:rowOff>0</xdr:rowOff>
    </xdr:from>
    <xdr:to>
      <xdr:col>10</xdr:col>
      <xdr:colOff>0</xdr:colOff>
      <xdr:row>70</xdr:row>
      <xdr:rowOff>0</xdr:rowOff>
    </xdr:to>
    <xdr:sp macro="" textlink="">
      <xdr:nvSpPr>
        <xdr:cNvPr id="16600" name="Line 99">
          <a:extLst>
            <a:ext uri="{FF2B5EF4-FFF2-40B4-BE49-F238E27FC236}">
              <a16:creationId xmlns:a16="http://schemas.microsoft.com/office/drawing/2014/main" id="{00000000-0008-0000-1700-0000D8400000}"/>
            </a:ext>
          </a:extLst>
        </xdr:cNvPr>
        <xdr:cNvSpPr>
          <a:spLocks noChangeShapeType="1"/>
        </xdr:cNvSpPr>
      </xdr:nvSpPr>
      <xdr:spPr bwMode="auto">
        <a:xfrm>
          <a:off x="6926580" y="125196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69</xdr:row>
      <xdr:rowOff>0</xdr:rowOff>
    </xdr:from>
    <xdr:to>
      <xdr:col>10</xdr:col>
      <xdr:colOff>0</xdr:colOff>
      <xdr:row>69</xdr:row>
      <xdr:rowOff>0</xdr:rowOff>
    </xdr:to>
    <xdr:sp macro="" textlink="">
      <xdr:nvSpPr>
        <xdr:cNvPr id="16601" name="Line 100">
          <a:extLst>
            <a:ext uri="{FF2B5EF4-FFF2-40B4-BE49-F238E27FC236}">
              <a16:creationId xmlns:a16="http://schemas.microsoft.com/office/drawing/2014/main" id="{00000000-0008-0000-1700-0000D9400000}"/>
            </a:ext>
          </a:extLst>
        </xdr:cNvPr>
        <xdr:cNvSpPr>
          <a:spLocks noChangeShapeType="1"/>
        </xdr:cNvSpPr>
      </xdr:nvSpPr>
      <xdr:spPr bwMode="auto">
        <a:xfrm>
          <a:off x="6926580" y="123520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79</xdr:row>
      <xdr:rowOff>0</xdr:rowOff>
    </xdr:from>
    <xdr:to>
      <xdr:col>10</xdr:col>
      <xdr:colOff>0</xdr:colOff>
      <xdr:row>79</xdr:row>
      <xdr:rowOff>0</xdr:rowOff>
    </xdr:to>
    <xdr:sp macro="" textlink="">
      <xdr:nvSpPr>
        <xdr:cNvPr id="16602" name="Line 101">
          <a:extLst>
            <a:ext uri="{FF2B5EF4-FFF2-40B4-BE49-F238E27FC236}">
              <a16:creationId xmlns:a16="http://schemas.microsoft.com/office/drawing/2014/main" id="{00000000-0008-0000-1700-0000DA400000}"/>
            </a:ext>
          </a:extLst>
        </xdr:cNvPr>
        <xdr:cNvSpPr>
          <a:spLocks noChangeShapeType="1"/>
        </xdr:cNvSpPr>
      </xdr:nvSpPr>
      <xdr:spPr bwMode="auto">
        <a:xfrm>
          <a:off x="6926580" y="14028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6603" name="Line 102">
          <a:extLst>
            <a:ext uri="{FF2B5EF4-FFF2-40B4-BE49-F238E27FC236}">
              <a16:creationId xmlns:a16="http://schemas.microsoft.com/office/drawing/2014/main" id="{00000000-0008-0000-1700-0000DB400000}"/>
            </a:ext>
          </a:extLst>
        </xdr:cNvPr>
        <xdr:cNvSpPr>
          <a:spLocks noChangeShapeType="1"/>
        </xdr:cNvSpPr>
      </xdr:nvSpPr>
      <xdr:spPr bwMode="auto">
        <a:xfrm>
          <a:off x="21945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16604" name="Line 108">
          <a:extLst>
            <a:ext uri="{FF2B5EF4-FFF2-40B4-BE49-F238E27FC236}">
              <a16:creationId xmlns:a16="http://schemas.microsoft.com/office/drawing/2014/main" id="{00000000-0008-0000-1700-0000DC400000}"/>
            </a:ext>
          </a:extLst>
        </xdr:cNvPr>
        <xdr:cNvSpPr>
          <a:spLocks noChangeShapeType="1"/>
        </xdr:cNvSpPr>
      </xdr:nvSpPr>
      <xdr:spPr bwMode="auto">
        <a:xfrm>
          <a:off x="69265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16605" name="Line 109">
          <a:extLst>
            <a:ext uri="{FF2B5EF4-FFF2-40B4-BE49-F238E27FC236}">
              <a16:creationId xmlns:a16="http://schemas.microsoft.com/office/drawing/2014/main" id="{00000000-0008-0000-1700-0000DD400000}"/>
            </a:ext>
          </a:extLst>
        </xdr:cNvPr>
        <xdr:cNvSpPr>
          <a:spLocks noChangeShapeType="1"/>
        </xdr:cNvSpPr>
      </xdr:nvSpPr>
      <xdr:spPr bwMode="auto">
        <a:xfrm>
          <a:off x="43891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16606" name="Line 110">
          <a:extLst>
            <a:ext uri="{FF2B5EF4-FFF2-40B4-BE49-F238E27FC236}">
              <a16:creationId xmlns:a16="http://schemas.microsoft.com/office/drawing/2014/main" id="{00000000-0008-0000-1700-0000DE400000}"/>
            </a:ext>
          </a:extLst>
        </xdr:cNvPr>
        <xdr:cNvSpPr>
          <a:spLocks noChangeShapeType="1"/>
        </xdr:cNvSpPr>
      </xdr:nvSpPr>
      <xdr:spPr bwMode="auto">
        <a:xfrm>
          <a:off x="21945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16607" name="Line 111">
          <a:extLst>
            <a:ext uri="{FF2B5EF4-FFF2-40B4-BE49-F238E27FC236}">
              <a16:creationId xmlns:a16="http://schemas.microsoft.com/office/drawing/2014/main" id="{00000000-0008-0000-1700-0000DF400000}"/>
            </a:ext>
          </a:extLst>
        </xdr:cNvPr>
        <xdr:cNvSpPr>
          <a:spLocks noChangeShapeType="1"/>
        </xdr:cNvSpPr>
      </xdr:nvSpPr>
      <xdr:spPr bwMode="auto">
        <a:xfrm>
          <a:off x="4389120" y="1536954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6608" name="Line 112">
          <a:extLst>
            <a:ext uri="{FF2B5EF4-FFF2-40B4-BE49-F238E27FC236}">
              <a16:creationId xmlns:a16="http://schemas.microsoft.com/office/drawing/2014/main" id="{00000000-0008-0000-1700-0000E0400000}"/>
            </a:ext>
          </a:extLst>
        </xdr:cNvPr>
        <xdr:cNvSpPr>
          <a:spLocks noChangeShapeType="1"/>
        </xdr:cNvSpPr>
      </xdr:nvSpPr>
      <xdr:spPr bwMode="auto">
        <a:xfrm>
          <a:off x="21945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16609" name="Line 75">
          <a:extLst>
            <a:ext uri="{FF2B5EF4-FFF2-40B4-BE49-F238E27FC236}">
              <a16:creationId xmlns:a16="http://schemas.microsoft.com/office/drawing/2014/main" id="{00000000-0008-0000-1700-0000E1400000}"/>
            </a:ext>
          </a:extLst>
        </xdr:cNvPr>
        <xdr:cNvSpPr>
          <a:spLocks noChangeShapeType="1"/>
        </xdr:cNvSpPr>
      </xdr:nvSpPr>
      <xdr:spPr bwMode="auto">
        <a:xfrm>
          <a:off x="2194560" y="19560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16610" name="Line 87">
          <a:extLst>
            <a:ext uri="{FF2B5EF4-FFF2-40B4-BE49-F238E27FC236}">
              <a16:creationId xmlns:a16="http://schemas.microsoft.com/office/drawing/2014/main" id="{00000000-0008-0000-1700-0000E2400000}"/>
            </a:ext>
          </a:extLst>
        </xdr:cNvPr>
        <xdr:cNvSpPr>
          <a:spLocks noChangeShapeType="1"/>
        </xdr:cNvSpPr>
      </xdr:nvSpPr>
      <xdr:spPr bwMode="auto">
        <a:xfrm>
          <a:off x="2194560" y="20734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16611" name="Line 75">
          <a:extLst>
            <a:ext uri="{FF2B5EF4-FFF2-40B4-BE49-F238E27FC236}">
              <a16:creationId xmlns:a16="http://schemas.microsoft.com/office/drawing/2014/main" id="{00000000-0008-0000-1700-0000E3400000}"/>
            </a:ext>
          </a:extLst>
        </xdr:cNvPr>
        <xdr:cNvSpPr>
          <a:spLocks noChangeShapeType="1"/>
        </xdr:cNvSpPr>
      </xdr:nvSpPr>
      <xdr:spPr bwMode="auto">
        <a:xfrm>
          <a:off x="2194560" y="197281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16612" name="Line 79">
          <a:extLst>
            <a:ext uri="{FF2B5EF4-FFF2-40B4-BE49-F238E27FC236}">
              <a16:creationId xmlns:a16="http://schemas.microsoft.com/office/drawing/2014/main" id="{00000000-0008-0000-1700-0000E4400000}"/>
            </a:ext>
          </a:extLst>
        </xdr:cNvPr>
        <xdr:cNvSpPr>
          <a:spLocks noChangeShapeType="1"/>
        </xdr:cNvSpPr>
      </xdr:nvSpPr>
      <xdr:spPr bwMode="auto">
        <a:xfrm>
          <a:off x="2194560" y="18554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16613" name="Line 87">
          <a:extLst>
            <a:ext uri="{FF2B5EF4-FFF2-40B4-BE49-F238E27FC236}">
              <a16:creationId xmlns:a16="http://schemas.microsoft.com/office/drawing/2014/main" id="{00000000-0008-0000-1700-0000E5400000}"/>
            </a:ext>
          </a:extLst>
        </xdr:cNvPr>
        <xdr:cNvSpPr>
          <a:spLocks noChangeShapeType="1"/>
        </xdr:cNvSpPr>
      </xdr:nvSpPr>
      <xdr:spPr bwMode="auto">
        <a:xfrm>
          <a:off x="2194560" y="20901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16614" name="Line 75">
          <a:extLst>
            <a:ext uri="{FF2B5EF4-FFF2-40B4-BE49-F238E27FC236}">
              <a16:creationId xmlns:a16="http://schemas.microsoft.com/office/drawing/2014/main" id="{00000000-0008-0000-1700-0000E6400000}"/>
            </a:ext>
          </a:extLst>
        </xdr:cNvPr>
        <xdr:cNvSpPr>
          <a:spLocks noChangeShapeType="1"/>
        </xdr:cNvSpPr>
      </xdr:nvSpPr>
      <xdr:spPr bwMode="auto">
        <a:xfrm>
          <a:off x="2194560" y="19560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16615" name="Line 87">
          <a:extLst>
            <a:ext uri="{FF2B5EF4-FFF2-40B4-BE49-F238E27FC236}">
              <a16:creationId xmlns:a16="http://schemas.microsoft.com/office/drawing/2014/main" id="{00000000-0008-0000-1700-0000E7400000}"/>
            </a:ext>
          </a:extLst>
        </xdr:cNvPr>
        <xdr:cNvSpPr>
          <a:spLocks noChangeShapeType="1"/>
        </xdr:cNvSpPr>
      </xdr:nvSpPr>
      <xdr:spPr bwMode="auto">
        <a:xfrm>
          <a:off x="2194560" y="20734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16616" name="Line 75">
          <a:extLst>
            <a:ext uri="{FF2B5EF4-FFF2-40B4-BE49-F238E27FC236}">
              <a16:creationId xmlns:a16="http://schemas.microsoft.com/office/drawing/2014/main" id="{00000000-0008-0000-1700-0000E8400000}"/>
            </a:ext>
          </a:extLst>
        </xdr:cNvPr>
        <xdr:cNvSpPr>
          <a:spLocks noChangeShapeType="1"/>
        </xdr:cNvSpPr>
      </xdr:nvSpPr>
      <xdr:spPr bwMode="auto">
        <a:xfrm>
          <a:off x="2194560" y="197281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16617" name="Line 79">
          <a:extLst>
            <a:ext uri="{FF2B5EF4-FFF2-40B4-BE49-F238E27FC236}">
              <a16:creationId xmlns:a16="http://schemas.microsoft.com/office/drawing/2014/main" id="{00000000-0008-0000-1700-0000E9400000}"/>
            </a:ext>
          </a:extLst>
        </xdr:cNvPr>
        <xdr:cNvSpPr>
          <a:spLocks noChangeShapeType="1"/>
        </xdr:cNvSpPr>
      </xdr:nvSpPr>
      <xdr:spPr bwMode="auto">
        <a:xfrm>
          <a:off x="2194560" y="18554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16618" name="Line 87">
          <a:extLst>
            <a:ext uri="{FF2B5EF4-FFF2-40B4-BE49-F238E27FC236}">
              <a16:creationId xmlns:a16="http://schemas.microsoft.com/office/drawing/2014/main" id="{00000000-0008-0000-1700-0000EA400000}"/>
            </a:ext>
          </a:extLst>
        </xdr:cNvPr>
        <xdr:cNvSpPr>
          <a:spLocks noChangeShapeType="1"/>
        </xdr:cNvSpPr>
      </xdr:nvSpPr>
      <xdr:spPr bwMode="auto">
        <a:xfrm>
          <a:off x="2194560" y="20901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purl.oclc.org/ooxml/drawingml/spreadsheetDrawing" xmlns:a="http://purl.oclc.org/ooxml/drawingml/main">
  <xdr:twoCellAnchor>
    <xdr:from>
      <xdr:col>6</xdr:col>
      <xdr:colOff>0</xdr:colOff>
      <xdr:row>30</xdr:row>
      <xdr:rowOff>0</xdr:rowOff>
    </xdr:from>
    <xdr:to>
      <xdr:col>6</xdr:col>
      <xdr:colOff>0</xdr:colOff>
      <xdr:row>30</xdr:row>
      <xdr:rowOff>0</xdr:rowOff>
    </xdr:to>
    <xdr:sp macro="" textlink="">
      <xdr:nvSpPr>
        <xdr:cNvPr id="18550" name="Line 1">
          <a:extLst>
            <a:ext uri="{FF2B5EF4-FFF2-40B4-BE49-F238E27FC236}">
              <a16:creationId xmlns:a16="http://schemas.microsoft.com/office/drawing/2014/main" id="{00000000-0008-0000-1900-000076480000}"/>
            </a:ext>
          </a:extLst>
        </xdr:cNvPr>
        <xdr:cNvSpPr>
          <a:spLocks noChangeShapeType="1"/>
        </xdr:cNvSpPr>
      </xdr:nvSpPr>
      <xdr:spPr bwMode="auto">
        <a:xfrm>
          <a:off x="4389120" y="56921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31</xdr:row>
      <xdr:rowOff>0</xdr:rowOff>
    </xdr:from>
    <xdr:to>
      <xdr:col>6</xdr:col>
      <xdr:colOff>0</xdr:colOff>
      <xdr:row>31</xdr:row>
      <xdr:rowOff>0</xdr:rowOff>
    </xdr:to>
    <xdr:sp macro="" textlink="">
      <xdr:nvSpPr>
        <xdr:cNvPr id="18551" name="Line 2">
          <a:extLst>
            <a:ext uri="{FF2B5EF4-FFF2-40B4-BE49-F238E27FC236}">
              <a16:creationId xmlns:a16="http://schemas.microsoft.com/office/drawing/2014/main" id="{00000000-0008-0000-1900-000077480000}"/>
            </a:ext>
          </a:extLst>
        </xdr:cNvPr>
        <xdr:cNvSpPr>
          <a:spLocks noChangeShapeType="1"/>
        </xdr:cNvSpPr>
      </xdr:nvSpPr>
      <xdr:spPr bwMode="auto">
        <a:xfrm>
          <a:off x="4389120" y="58597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23</xdr:row>
      <xdr:rowOff>0</xdr:rowOff>
    </xdr:from>
    <xdr:to>
      <xdr:col>6</xdr:col>
      <xdr:colOff>0</xdr:colOff>
      <xdr:row>23</xdr:row>
      <xdr:rowOff>0</xdr:rowOff>
    </xdr:to>
    <xdr:sp macro="" textlink="">
      <xdr:nvSpPr>
        <xdr:cNvPr id="18552" name="Line 3">
          <a:extLst>
            <a:ext uri="{FF2B5EF4-FFF2-40B4-BE49-F238E27FC236}">
              <a16:creationId xmlns:a16="http://schemas.microsoft.com/office/drawing/2014/main" id="{00000000-0008-0000-1900-000078480000}"/>
            </a:ext>
          </a:extLst>
        </xdr:cNvPr>
        <xdr:cNvSpPr>
          <a:spLocks noChangeShapeType="1"/>
        </xdr:cNvSpPr>
      </xdr:nvSpPr>
      <xdr:spPr bwMode="auto">
        <a:xfrm>
          <a:off x="4389120" y="45186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23</xdr:row>
      <xdr:rowOff>0</xdr:rowOff>
    </xdr:from>
    <xdr:to>
      <xdr:col>9</xdr:col>
      <xdr:colOff>662940</xdr:colOff>
      <xdr:row>23</xdr:row>
      <xdr:rowOff>0</xdr:rowOff>
    </xdr:to>
    <xdr:sp macro="" textlink="">
      <xdr:nvSpPr>
        <xdr:cNvPr id="18553" name="Line 4">
          <a:extLst>
            <a:ext uri="{FF2B5EF4-FFF2-40B4-BE49-F238E27FC236}">
              <a16:creationId xmlns:a16="http://schemas.microsoft.com/office/drawing/2014/main" id="{00000000-0008-0000-1900-000079480000}"/>
            </a:ext>
          </a:extLst>
        </xdr:cNvPr>
        <xdr:cNvSpPr>
          <a:spLocks noChangeShapeType="1"/>
        </xdr:cNvSpPr>
      </xdr:nvSpPr>
      <xdr:spPr bwMode="auto">
        <a:xfrm>
          <a:off x="6926580" y="451866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30</xdr:row>
      <xdr:rowOff>0</xdr:rowOff>
    </xdr:from>
    <xdr:to>
      <xdr:col>14</xdr:col>
      <xdr:colOff>662940</xdr:colOff>
      <xdr:row>30</xdr:row>
      <xdr:rowOff>0</xdr:rowOff>
    </xdr:to>
    <xdr:sp macro="" textlink="">
      <xdr:nvSpPr>
        <xdr:cNvPr id="18554" name="Line 5">
          <a:extLst>
            <a:ext uri="{FF2B5EF4-FFF2-40B4-BE49-F238E27FC236}">
              <a16:creationId xmlns:a16="http://schemas.microsoft.com/office/drawing/2014/main" id="{00000000-0008-0000-1900-00007A480000}"/>
            </a:ext>
          </a:extLst>
        </xdr:cNvPr>
        <xdr:cNvSpPr>
          <a:spLocks noChangeShapeType="1"/>
        </xdr:cNvSpPr>
      </xdr:nvSpPr>
      <xdr:spPr bwMode="auto">
        <a:xfrm>
          <a:off x="10584180" y="569214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31</xdr:row>
      <xdr:rowOff>0</xdr:rowOff>
    </xdr:from>
    <xdr:to>
      <xdr:col>14</xdr:col>
      <xdr:colOff>662940</xdr:colOff>
      <xdr:row>31</xdr:row>
      <xdr:rowOff>0</xdr:rowOff>
    </xdr:to>
    <xdr:sp macro="" textlink="">
      <xdr:nvSpPr>
        <xdr:cNvPr id="18555" name="Line 6">
          <a:extLst>
            <a:ext uri="{FF2B5EF4-FFF2-40B4-BE49-F238E27FC236}">
              <a16:creationId xmlns:a16="http://schemas.microsoft.com/office/drawing/2014/main" id="{00000000-0008-0000-1900-00007B480000}"/>
            </a:ext>
          </a:extLst>
        </xdr:cNvPr>
        <xdr:cNvSpPr>
          <a:spLocks noChangeShapeType="1"/>
        </xdr:cNvSpPr>
      </xdr:nvSpPr>
      <xdr:spPr bwMode="auto">
        <a:xfrm>
          <a:off x="10584180" y="585978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32</xdr:row>
      <xdr:rowOff>0</xdr:rowOff>
    </xdr:from>
    <xdr:to>
      <xdr:col>6</xdr:col>
      <xdr:colOff>0</xdr:colOff>
      <xdr:row>32</xdr:row>
      <xdr:rowOff>0</xdr:rowOff>
    </xdr:to>
    <xdr:sp macro="" textlink="">
      <xdr:nvSpPr>
        <xdr:cNvPr id="18556" name="Line 7">
          <a:extLst>
            <a:ext uri="{FF2B5EF4-FFF2-40B4-BE49-F238E27FC236}">
              <a16:creationId xmlns:a16="http://schemas.microsoft.com/office/drawing/2014/main" id="{00000000-0008-0000-1900-00007C480000}"/>
            </a:ext>
          </a:extLst>
        </xdr:cNvPr>
        <xdr:cNvSpPr>
          <a:spLocks noChangeShapeType="1"/>
        </xdr:cNvSpPr>
      </xdr:nvSpPr>
      <xdr:spPr bwMode="auto">
        <a:xfrm>
          <a:off x="4389120" y="60274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33</xdr:row>
      <xdr:rowOff>0</xdr:rowOff>
    </xdr:from>
    <xdr:to>
      <xdr:col>6</xdr:col>
      <xdr:colOff>0</xdr:colOff>
      <xdr:row>33</xdr:row>
      <xdr:rowOff>0</xdr:rowOff>
    </xdr:to>
    <xdr:sp macro="" textlink="">
      <xdr:nvSpPr>
        <xdr:cNvPr id="18557" name="Line 8">
          <a:extLst>
            <a:ext uri="{FF2B5EF4-FFF2-40B4-BE49-F238E27FC236}">
              <a16:creationId xmlns:a16="http://schemas.microsoft.com/office/drawing/2014/main" id="{00000000-0008-0000-1900-00007D480000}"/>
            </a:ext>
          </a:extLst>
        </xdr:cNvPr>
        <xdr:cNvSpPr>
          <a:spLocks noChangeShapeType="1"/>
        </xdr:cNvSpPr>
      </xdr:nvSpPr>
      <xdr:spPr bwMode="auto">
        <a:xfrm>
          <a:off x="4389120" y="61950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34</xdr:row>
      <xdr:rowOff>0</xdr:rowOff>
    </xdr:from>
    <xdr:to>
      <xdr:col>6</xdr:col>
      <xdr:colOff>0</xdr:colOff>
      <xdr:row>34</xdr:row>
      <xdr:rowOff>0</xdr:rowOff>
    </xdr:to>
    <xdr:sp macro="" textlink="">
      <xdr:nvSpPr>
        <xdr:cNvPr id="18558" name="Line 9">
          <a:extLst>
            <a:ext uri="{FF2B5EF4-FFF2-40B4-BE49-F238E27FC236}">
              <a16:creationId xmlns:a16="http://schemas.microsoft.com/office/drawing/2014/main" id="{00000000-0008-0000-1900-00007E480000}"/>
            </a:ext>
          </a:extLst>
        </xdr:cNvPr>
        <xdr:cNvSpPr>
          <a:spLocks noChangeShapeType="1"/>
        </xdr:cNvSpPr>
      </xdr:nvSpPr>
      <xdr:spPr bwMode="auto">
        <a:xfrm>
          <a:off x="4389120" y="6362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32</xdr:row>
      <xdr:rowOff>0</xdr:rowOff>
    </xdr:from>
    <xdr:to>
      <xdr:col>10</xdr:col>
      <xdr:colOff>0</xdr:colOff>
      <xdr:row>32</xdr:row>
      <xdr:rowOff>0</xdr:rowOff>
    </xdr:to>
    <xdr:sp macro="" textlink="">
      <xdr:nvSpPr>
        <xdr:cNvPr id="18559" name="Line 10">
          <a:extLst>
            <a:ext uri="{FF2B5EF4-FFF2-40B4-BE49-F238E27FC236}">
              <a16:creationId xmlns:a16="http://schemas.microsoft.com/office/drawing/2014/main" id="{00000000-0008-0000-1900-00007F480000}"/>
            </a:ext>
          </a:extLst>
        </xdr:cNvPr>
        <xdr:cNvSpPr>
          <a:spLocks noChangeShapeType="1"/>
        </xdr:cNvSpPr>
      </xdr:nvSpPr>
      <xdr:spPr bwMode="auto">
        <a:xfrm>
          <a:off x="6926580" y="6027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33</xdr:row>
      <xdr:rowOff>0</xdr:rowOff>
    </xdr:from>
    <xdr:to>
      <xdr:col>10</xdr:col>
      <xdr:colOff>0</xdr:colOff>
      <xdr:row>33</xdr:row>
      <xdr:rowOff>0</xdr:rowOff>
    </xdr:to>
    <xdr:sp macro="" textlink="">
      <xdr:nvSpPr>
        <xdr:cNvPr id="18560" name="Line 11">
          <a:extLst>
            <a:ext uri="{FF2B5EF4-FFF2-40B4-BE49-F238E27FC236}">
              <a16:creationId xmlns:a16="http://schemas.microsoft.com/office/drawing/2014/main" id="{00000000-0008-0000-1900-000080480000}"/>
            </a:ext>
          </a:extLst>
        </xdr:cNvPr>
        <xdr:cNvSpPr>
          <a:spLocks noChangeShapeType="1"/>
        </xdr:cNvSpPr>
      </xdr:nvSpPr>
      <xdr:spPr bwMode="auto">
        <a:xfrm>
          <a:off x="6926580" y="61950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34</xdr:row>
      <xdr:rowOff>0</xdr:rowOff>
    </xdr:from>
    <xdr:to>
      <xdr:col>10</xdr:col>
      <xdr:colOff>0</xdr:colOff>
      <xdr:row>34</xdr:row>
      <xdr:rowOff>0</xdr:rowOff>
    </xdr:to>
    <xdr:sp macro="" textlink="">
      <xdr:nvSpPr>
        <xdr:cNvPr id="18561" name="Line 12">
          <a:extLst>
            <a:ext uri="{FF2B5EF4-FFF2-40B4-BE49-F238E27FC236}">
              <a16:creationId xmlns:a16="http://schemas.microsoft.com/office/drawing/2014/main" id="{00000000-0008-0000-1900-000081480000}"/>
            </a:ext>
          </a:extLst>
        </xdr:cNvPr>
        <xdr:cNvSpPr>
          <a:spLocks noChangeShapeType="1"/>
        </xdr:cNvSpPr>
      </xdr:nvSpPr>
      <xdr:spPr bwMode="auto">
        <a:xfrm>
          <a:off x="6926580" y="6362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32</xdr:row>
      <xdr:rowOff>0</xdr:rowOff>
    </xdr:from>
    <xdr:to>
      <xdr:col>15</xdr:col>
      <xdr:colOff>0</xdr:colOff>
      <xdr:row>32</xdr:row>
      <xdr:rowOff>0</xdr:rowOff>
    </xdr:to>
    <xdr:sp macro="" textlink="">
      <xdr:nvSpPr>
        <xdr:cNvPr id="18562" name="Line 13">
          <a:extLst>
            <a:ext uri="{FF2B5EF4-FFF2-40B4-BE49-F238E27FC236}">
              <a16:creationId xmlns:a16="http://schemas.microsoft.com/office/drawing/2014/main" id="{00000000-0008-0000-1900-000082480000}"/>
            </a:ext>
          </a:extLst>
        </xdr:cNvPr>
        <xdr:cNvSpPr>
          <a:spLocks noChangeShapeType="1"/>
        </xdr:cNvSpPr>
      </xdr:nvSpPr>
      <xdr:spPr bwMode="auto">
        <a:xfrm>
          <a:off x="10584180" y="6027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33</xdr:row>
      <xdr:rowOff>0</xdr:rowOff>
    </xdr:from>
    <xdr:to>
      <xdr:col>15</xdr:col>
      <xdr:colOff>0</xdr:colOff>
      <xdr:row>33</xdr:row>
      <xdr:rowOff>0</xdr:rowOff>
    </xdr:to>
    <xdr:sp macro="" textlink="">
      <xdr:nvSpPr>
        <xdr:cNvPr id="18563" name="Line 14">
          <a:extLst>
            <a:ext uri="{FF2B5EF4-FFF2-40B4-BE49-F238E27FC236}">
              <a16:creationId xmlns:a16="http://schemas.microsoft.com/office/drawing/2014/main" id="{00000000-0008-0000-1900-000083480000}"/>
            </a:ext>
          </a:extLst>
        </xdr:cNvPr>
        <xdr:cNvSpPr>
          <a:spLocks noChangeShapeType="1"/>
        </xdr:cNvSpPr>
      </xdr:nvSpPr>
      <xdr:spPr bwMode="auto">
        <a:xfrm>
          <a:off x="10584180" y="61950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34</xdr:row>
      <xdr:rowOff>0</xdr:rowOff>
    </xdr:from>
    <xdr:to>
      <xdr:col>15</xdr:col>
      <xdr:colOff>0</xdr:colOff>
      <xdr:row>34</xdr:row>
      <xdr:rowOff>0</xdr:rowOff>
    </xdr:to>
    <xdr:sp macro="" textlink="">
      <xdr:nvSpPr>
        <xdr:cNvPr id="18564" name="Line 15">
          <a:extLst>
            <a:ext uri="{FF2B5EF4-FFF2-40B4-BE49-F238E27FC236}">
              <a16:creationId xmlns:a16="http://schemas.microsoft.com/office/drawing/2014/main" id="{00000000-0008-0000-1900-000084480000}"/>
            </a:ext>
          </a:extLst>
        </xdr:cNvPr>
        <xdr:cNvSpPr>
          <a:spLocks noChangeShapeType="1"/>
        </xdr:cNvSpPr>
      </xdr:nvSpPr>
      <xdr:spPr bwMode="auto">
        <a:xfrm>
          <a:off x="10584180" y="6362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43</xdr:row>
      <xdr:rowOff>0</xdr:rowOff>
    </xdr:from>
    <xdr:to>
      <xdr:col>14</xdr:col>
      <xdr:colOff>640080</xdr:colOff>
      <xdr:row>43</xdr:row>
      <xdr:rowOff>0</xdr:rowOff>
    </xdr:to>
    <xdr:sp macro="" textlink="">
      <xdr:nvSpPr>
        <xdr:cNvPr id="18565" name="Line 16">
          <a:extLst>
            <a:ext uri="{FF2B5EF4-FFF2-40B4-BE49-F238E27FC236}">
              <a16:creationId xmlns:a16="http://schemas.microsoft.com/office/drawing/2014/main" id="{00000000-0008-0000-1900-000085480000}"/>
            </a:ext>
          </a:extLst>
        </xdr:cNvPr>
        <xdr:cNvSpPr>
          <a:spLocks noChangeShapeType="1"/>
        </xdr:cNvSpPr>
      </xdr:nvSpPr>
      <xdr:spPr bwMode="auto">
        <a:xfrm>
          <a:off x="10584180" y="787146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23</xdr:row>
      <xdr:rowOff>0</xdr:rowOff>
    </xdr:from>
    <xdr:to>
      <xdr:col>4</xdr:col>
      <xdr:colOff>7620</xdr:colOff>
      <xdr:row>23</xdr:row>
      <xdr:rowOff>0</xdr:rowOff>
    </xdr:to>
    <xdr:sp macro="" textlink="">
      <xdr:nvSpPr>
        <xdr:cNvPr id="18566" name="Line 17">
          <a:extLst>
            <a:ext uri="{FF2B5EF4-FFF2-40B4-BE49-F238E27FC236}">
              <a16:creationId xmlns:a16="http://schemas.microsoft.com/office/drawing/2014/main" id="{00000000-0008-0000-1900-000086480000}"/>
            </a:ext>
          </a:extLst>
        </xdr:cNvPr>
        <xdr:cNvSpPr>
          <a:spLocks noChangeShapeType="1"/>
        </xdr:cNvSpPr>
      </xdr:nvSpPr>
      <xdr:spPr bwMode="auto">
        <a:xfrm>
          <a:off x="2194560" y="4518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30</xdr:row>
      <xdr:rowOff>0</xdr:rowOff>
    </xdr:from>
    <xdr:to>
      <xdr:col>4</xdr:col>
      <xdr:colOff>7620</xdr:colOff>
      <xdr:row>30</xdr:row>
      <xdr:rowOff>0</xdr:rowOff>
    </xdr:to>
    <xdr:sp macro="" textlink="">
      <xdr:nvSpPr>
        <xdr:cNvPr id="18567" name="Line 18">
          <a:extLst>
            <a:ext uri="{FF2B5EF4-FFF2-40B4-BE49-F238E27FC236}">
              <a16:creationId xmlns:a16="http://schemas.microsoft.com/office/drawing/2014/main" id="{00000000-0008-0000-1900-000087480000}"/>
            </a:ext>
          </a:extLst>
        </xdr:cNvPr>
        <xdr:cNvSpPr>
          <a:spLocks noChangeShapeType="1"/>
        </xdr:cNvSpPr>
      </xdr:nvSpPr>
      <xdr:spPr bwMode="auto">
        <a:xfrm>
          <a:off x="2194560" y="56921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31</xdr:row>
      <xdr:rowOff>0</xdr:rowOff>
    </xdr:from>
    <xdr:to>
      <xdr:col>4</xdr:col>
      <xdr:colOff>7620</xdr:colOff>
      <xdr:row>31</xdr:row>
      <xdr:rowOff>0</xdr:rowOff>
    </xdr:to>
    <xdr:sp macro="" textlink="">
      <xdr:nvSpPr>
        <xdr:cNvPr id="18568" name="Line 19">
          <a:extLst>
            <a:ext uri="{FF2B5EF4-FFF2-40B4-BE49-F238E27FC236}">
              <a16:creationId xmlns:a16="http://schemas.microsoft.com/office/drawing/2014/main" id="{00000000-0008-0000-1900-000088480000}"/>
            </a:ext>
          </a:extLst>
        </xdr:cNvPr>
        <xdr:cNvSpPr>
          <a:spLocks noChangeShapeType="1"/>
        </xdr:cNvSpPr>
      </xdr:nvSpPr>
      <xdr:spPr bwMode="auto">
        <a:xfrm>
          <a:off x="2194560" y="58597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32</xdr:row>
      <xdr:rowOff>0</xdr:rowOff>
    </xdr:from>
    <xdr:to>
      <xdr:col>4</xdr:col>
      <xdr:colOff>7620</xdr:colOff>
      <xdr:row>32</xdr:row>
      <xdr:rowOff>0</xdr:rowOff>
    </xdr:to>
    <xdr:sp macro="" textlink="">
      <xdr:nvSpPr>
        <xdr:cNvPr id="18569" name="Line 20">
          <a:extLst>
            <a:ext uri="{FF2B5EF4-FFF2-40B4-BE49-F238E27FC236}">
              <a16:creationId xmlns:a16="http://schemas.microsoft.com/office/drawing/2014/main" id="{00000000-0008-0000-1900-000089480000}"/>
            </a:ext>
          </a:extLst>
        </xdr:cNvPr>
        <xdr:cNvSpPr>
          <a:spLocks noChangeShapeType="1"/>
        </xdr:cNvSpPr>
      </xdr:nvSpPr>
      <xdr:spPr bwMode="auto">
        <a:xfrm>
          <a:off x="2194560" y="6027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33</xdr:row>
      <xdr:rowOff>0</xdr:rowOff>
    </xdr:from>
    <xdr:to>
      <xdr:col>4</xdr:col>
      <xdr:colOff>7620</xdr:colOff>
      <xdr:row>33</xdr:row>
      <xdr:rowOff>0</xdr:rowOff>
    </xdr:to>
    <xdr:sp macro="" textlink="">
      <xdr:nvSpPr>
        <xdr:cNvPr id="18570" name="Line 21">
          <a:extLst>
            <a:ext uri="{FF2B5EF4-FFF2-40B4-BE49-F238E27FC236}">
              <a16:creationId xmlns:a16="http://schemas.microsoft.com/office/drawing/2014/main" id="{00000000-0008-0000-1900-00008A480000}"/>
            </a:ext>
          </a:extLst>
        </xdr:cNvPr>
        <xdr:cNvSpPr>
          <a:spLocks noChangeShapeType="1"/>
        </xdr:cNvSpPr>
      </xdr:nvSpPr>
      <xdr:spPr bwMode="auto">
        <a:xfrm>
          <a:off x="2194560" y="61950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34</xdr:row>
      <xdr:rowOff>0</xdr:rowOff>
    </xdr:from>
    <xdr:to>
      <xdr:col>4</xdr:col>
      <xdr:colOff>7620</xdr:colOff>
      <xdr:row>34</xdr:row>
      <xdr:rowOff>0</xdr:rowOff>
    </xdr:to>
    <xdr:sp macro="" textlink="">
      <xdr:nvSpPr>
        <xdr:cNvPr id="18571" name="Line 22">
          <a:extLst>
            <a:ext uri="{FF2B5EF4-FFF2-40B4-BE49-F238E27FC236}">
              <a16:creationId xmlns:a16="http://schemas.microsoft.com/office/drawing/2014/main" id="{00000000-0008-0000-1900-00008B480000}"/>
            </a:ext>
          </a:extLst>
        </xdr:cNvPr>
        <xdr:cNvSpPr>
          <a:spLocks noChangeShapeType="1"/>
        </xdr:cNvSpPr>
      </xdr:nvSpPr>
      <xdr:spPr bwMode="auto">
        <a:xfrm>
          <a:off x="2194560" y="6362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18572" name="Line 23">
          <a:extLst>
            <a:ext uri="{FF2B5EF4-FFF2-40B4-BE49-F238E27FC236}">
              <a16:creationId xmlns:a16="http://schemas.microsoft.com/office/drawing/2014/main" id="{00000000-0008-0000-1900-00008C480000}"/>
            </a:ext>
          </a:extLst>
        </xdr:cNvPr>
        <xdr:cNvSpPr>
          <a:spLocks noChangeShapeType="1"/>
        </xdr:cNvSpPr>
      </xdr:nvSpPr>
      <xdr:spPr bwMode="auto">
        <a:xfrm>
          <a:off x="21945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18573" name="Line 24">
          <a:extLst>
            <a:ext uri="{FF2B5EF4-FFF2-40B4-BE49-F238E27FC236}">
              <a16:creationId xmlns:a16="http://schemas.microsoft.com/office/drawing/2014/main" id="{00000000-0008-0000-1900-00008D480000}"/>
            </a:ext>
          </a:extLst>
        </xdr:cNvPr>
        <xdr:cNvSpPr>
          <a:spLocks noChangeShapeType="1"/>
        </xdr:cNvSpPr>
      </xdr:nvSpPr>
      <xdr:spPr bwMode="auto">
        <a:xfrm>
          <a:off x="21945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36</xdr:row>
      <xdr:rowOff>0</xdr:rowOff>
    </xdr:from>
    <xdr:to>
      <xdr:col>10</xdr:col>
      <xdr:colOff>0</xdr:colOff>
      <xdr:row>36</xdr:row>
      <xdr:rowOff>0</xdr:rowOff>
    </xdr:to>
    <xdr:sp macro="" textlink="">
      <xdr:nvSpPr>
        <xdr:cNvPr id="18574" name="Line 25">
          <a:extLst>
            <a:ext uri="{FF2B5EF4-FFF2-40B4-BE49-F238E27FC236}">
              <a16:creationId xmlns:a16="http://schemas.microsoft.com/office/drawing/2014/main" id="{00000000-0008-0000-1900-00008E480000}"/>
            </a:ext>
          </a:extLst>
        </xdr:cNvPr>
        <xdr:cNvSpPr>
          <a:spLocks noChangeShapeType="1"/>
        </xdr:cNvSpPr>
      </xdr:nvSpPr>
      <xdr:spPr bwMode="auto">
        <a:xfrm>
          <a:off x="6926580" y="66979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44</xdr:row>
      <xdr:rowOff>0</xdr:rowOff>
    </xdr:from>
    <xdr:to>
      <xdr:col>14</xdr:col>
      <xdr:colOff>640080</xdr:colOff>
      <xdr:row>44</xdr:row>
      <xdr:rowOff>0</xdr:rowOff>
    </xdr:to>
    <xdr:sp macro="" textlink="">
      <xdr:nvSpPr>
        <xdr:cNvPr id="18575" name="Line 26">
          <a:extLst>
            <a:ext uri="{FF2B5EF4-FFF2-40B4-BE49-F238E27FC236}">
              <a16:creationId xmlns:a16="http://schemas.microsoft.com/office/drawing/2014/main" id="{00000000-0008-0000-1900-00008F480000}"/>
            </a:ext>
          </a:extLst>
        </xdr:cNvPr>
        <xdr:cNvSpPr>
          <a:spLocks noChangeShapeType="1"/>
        </xdr:cNvSpPr>
      </xdr:nvSpPr>
      <xdr:spPr bwMode="auto">
        <a:xfrm>
          <a:off x="10584180" y="803910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36</xdr:row>
      <xdr:rowOff>0</xdr:rowOff>
    </xdr:from>
    <xdr:to>
      <xdr:col>6</xdr:col>
      <xdr:colOff>0</xdr:colOff>
      <xdr:row>36</xdr:row>
      <xdr:rowOff>0</xdr:rowOff>
    </xdr:to>
    <xdr:sp macro="" textlink="">
      <xdr:nvSpPr>
        <xdr:cNvPr id="18576" name="Line 27">
          <a:extLst>
            <a:ext uri="{FF2B5EF4-FFF2-40B4-BE49-F238E27FC236}">
              <a16:creationId xmlns:a16="http://schemas.microsoft.com/office/drawing/2014/main" id="{00000000-0008-0000-1900-000090480000}"/>
            </a:ext>
          </a:extLst>
        </xdr:cNvPr>
        <xdr:cNvSpPr>
          <a:spLocks noChangeShapeType="1"/>
        </xdr:cNvSpPr>
      </xdr:nvSpPr>
      <xdr:spPr bwMode="auto">
        <a:xfrm>
          <a:off x="4389120" y="66979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45</xdr:row>
      <xdr:rowOff>0</xdr:rowOff>
    </xdr:from>
    <xdr:to>
      <xdr:col>6</xdr:col>
      <xdr:colOff>0</xdr:colOff>
      <xdr:row>45</xdr:row>
      <xdr:rowOff>0</xdr:rowOff>
    </xdr:to>
    <xdr:sp macro="" textlink="">
      <xdr:nvSpPr>
        <xdr:cNvPr id="18577" name="Line 28">
          <a:extLst>
            <a:ext uri="{FF2B5EF4-FFF2-40B4-BE49-F238E27FC236}">
              <a16:creationId xmlns:a16="http://schemas.microsoft.com/office/drawing/2014/main" id="{00000000-0008-0000-1900-000091480000}"/>
            </a:ext>
          </a:extLst>
        </xdr:cNvPr>
        <xdr:cNvSpPr>
          <a:spLocks noChangeShapeType="1"/>
        </xdr:cNvSpPr>
      </xdr:nvSpPr>
      <xdr:spPr bwMode="auto">
        <a:xfrm>
          <a:off x="4389120" y="82067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45</xdr:row>
      <xdr:rowOff>0</xdr:rowOff>
    </xdr:from>
    <xdr:to>
      <xdr:col>10</xdr:col>
      <xdr:colOff>0</xdr:colOff>
      <xdr:row>45</xdr:row>
      <xdr:rowOff>0</xdr:rowOff>
    </xdr:to>
    <xdr:sp macro="" textlink="">
      <xdr:nvSpPr>
        <xdr:cNvPr id="18578" name="Line 29">
          <a:extLst>
            <a:ext uri="{FF2B5EF4-FFF2-40B4-BE49-F238E27FC236}">
              <a16:creationId xmlns:a16="http://schemas.microsoft.com/office/drawing/2014/main" id="{00000000-0008-0000-1900-000092480000}"/>
            </a:ext>
          </a:extLst>
        </xdr:cNvPr>
        <xdr:cNvSpPr>
          <a:spLocks noChangeShapeType="1"/>
        </xdr:cNvSpPr>
      </xdr:nvSpPr>
      <xdr:spPr bwMode="auto">
        <a:xfrm>
          <a:off x="6926580" y="82067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46</xdr:row>
      <xdr:rowOff>0</xdr:rowOff>
    </xdr:from>
    <xdr:to>
      <xdr:col>10</xdr:col>
      <xdr:colOff>0</xdr:colOff>
      <xdr:row>46</xdr:row>
      <xdr:rowOff>0</xdr:rowOff>
    </xdr:to>
    <xdr:sp macro="" textlink="">
      <xdr:nvSpPr>
        <xdr:cNvPr id="18579" name="Line 30">
          <a:extLst>
            <a:ext uri="{FF2B5EF4-FFF2-40B4-BE49-F238E27FC236}">
              <a16:creationId xmlns:a16="http://schemas.microsoft.com/office/drawing/2014/main" id="{00000000-0008-0000-1900-000093480000}"/>
            </a:ext>
          </a:extLst>
        </xdr:cNvPr>
        <xdr:cNvSpPr>
          <a:spLocks noChangeShapeType="1"/>
        </xdr:cNvSpPr>
      </xdr:nvSpPr>
      <xdr:spPr bwMode="auto">
        <a:xfrm>
          <a:off x="6926580" y="83743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45</xdr:row>
      <xdr:rowOff>0</xdr:rowOff>
    </xdr:from>
    <xdr:to>
      <xdr:col>15</xdr:col>
      <xdr:colOff>0</xdr:colOff>
      <xdr:row>45</xdr:row>
      <xdr:rowOff>0</xdr:rowOff>
    </xdr:to>
    <xdr:sp macro="" textlink="">
      <xdr:nvSpPr>
        <xdr:cNvPr id="18580" name="Line 31">
          <a:extLst>
            <a:ext uri="{FF2B5EF4-FFF2-40B4-BE49-F238E27FC236}">
              <a16:creationId xmlns:a16="http://schemas.microsoft.com/office/drawing/2014/main" id="{00000000-0008-0000-1900-000094480000}"/>
            </a:ext>
          </a:extLst>
        </xdr:cNvPr>
        <xdr:cNvSpPr>
          <a:spLocks noChangeShapeType="1"/>
        </xdr:cNvSpPr>
      </xdr:nvSpPr>
      <xdr:spPr bwMode="auto">
        <a:xfrm>
          <a:off x="10584180" y="82067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46</xdr:row>
      <xdr:rowOff>0</xdr:rowOff>
    </xdr:from>
    <xdr:to>
      <xdr:col>15</xdr:col>
      <xdr:colOff>0</xdr:colOff>
      <xdr:row>46</xdr:row>
      <xdr:rowOff>0</xdr:rowOff>
    </xdr:to>
    <xdr:sp macro="" textlink="">
      <xdr:nvSpPr>
        <xdr:cNvPr id="18581" name="Line 32">
          <a:extLst>
            <a:ext uri="{FF2B5EF4-FFF2-40B4-BE49-F238E27FC236}">
              <a16:creationId xmlns:a16="http://schemas.microsoft.com/office/drawing/2014/main" id="{00000000-0008-0000-1900-000095480000}"/>
            </a:ext>
          </a:extLst>
        </xdr:cNvPr>
        <xdr:cNvSpPr>
          <a:spLocks noChangeShapeType="1"/>
        </xdr:cNvSpPr>
      </xdr:nvSpPr>
      <xdr:spPr bwMode="auto">
        <a:xfrm>
          <a:off x="10584180" y="83743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36</xdr:row>
      <xdr:rowOff>0</xdr:rowOff>
    </xdr:from>
    <xdr:to>
      <xdr:col>4</xdr:col>
      <xdr:colOff>7620</xdr:colOff>
      <xdr:row>36</xdr:row>
      <xdr:rowOff>0</xdr:rowOff>
    </xdr:to>
    <xdr:sp macro="" textlink="">
      <xdr:nvSpPr>
        <xdr:cNvPr id="18582" name="Line 33">
          <a:extLst>
            <a:ext uri="{FF2B5EF4-FFF2-40B4-BE49-F238E27FC236}">
              <a16:creationId xmlns:a16="http://schemas.microsoft.com/office/drawing/2014/main" id="{00000000-0008-0000-1900-000096480000}"/>
            </a:ext>
          </a:extLst>
        </xdr:cNvPr>
        <xdr:cNvSpPr>
          <a:spLocks noChangeShapeType="1"/>
        </xdr:cNvSpPr>
      </xdr:nvSpPr>
      <xdr:spPr bwMode="auto">
        <a:xfrm>
          <a:off x="2194560" y="669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18583" name="Line 34">
          <a:extLst>
            <a:ext uri="{FF2B5EF4-FFF2-40B4-BE49-F238E27FC236}">
              <a16:creationId xmlns:a16="http://schemas.microsoft.com/office/drawing/2014/main" id="{00000000-0008-0000-1900-000097480000}"/>
            </a:ext>
          </a:extLst>
        </xdr:cNvPr>
        <xdr:cNvSpPr>
          <a:spLocks noChangeShapeType="1"/>
        </xdr:cNvSpPr>
      </xdr:nvSpPr>
      <xdr:spPr bwMode="auto">
        <a:xfrm>
          <a:off x="21945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18584" name="Line 35">
          <a:extLst>
            <a:ext uri="{FF2B5EF4-FFF2-40B4-BE49-F238E27FC236}">
              <a16:creationId xmlns:a16="http://schemas.microsoft.com/office/drawing/2014/main" id="{00000000-0008-0000-1900-000098480000}"/>
            </a:ext>
          </a:extLst>
        </xdr:cNvPr>
        <xdr:cNvSpPr>
          <a:spLocks noChangeShapeType="1"/>
        </xdr:cNvSpPr>
      </xdr:nvSpPr>
      <xdr:spPr bwMode="auto">
        <a:xfrm>
          <a:off x="21945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44</xdr:row>
      <xdr:rowOff>0</xdr:rowOff>
    </xdr:from>
    <xdr:to>
      <xdr:col>4</xdr:col>
      <xdr:colOff>7620</xdr:colOff>
      <xdr:row>44</xdr:row>
      <xdr:rowOff>0</xdr:rowOff>
    </xdr:to>
    <xdr:sp macro="" textlink="">
      <xdr:nvSpPr>
        <xdr:cNvPr id="18585" name="Line 36">
          <a:extLst>
            <a:ext uri="{FF2B5EF4-FFF2-40B4-BE49-F238E27FC236}">
              <a16:creationId xmlns:a16="http://schemas.microsoft.com/office/drawing/2014/main" id="{00000000-0008-0000-1900-000099480000}"/>
            </a:ext>
          </a:extLst>
        </xdr:cNvPr>
        <xdr:cNvSpPr>
          <a:spLocks noChangeShapeType="1"/>
        </xdr:cNvSpPr>
      </xdr:nvSpPr>
      <xdr:spPr bwMode="auto">
        <a:xfrm>
          <a:off x="2194560" y="80391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45</xdr:row>
      <xdr:rowOff>0</xdr:rowOff>
    </xdr:from>
    <xdr:to>
      <xdr:col>4</xdr:col>
      <xdr:colOff>7620</xdr:colOff>
      <xdr:row>45</xdr:row>
      <xdr:rowOff>0</xdr:rowOff>
    </xdr:to>
    <xdr:sp macro="" textlink="">
      <xdr:nvSpPr>
        <xdr:cNvPr id="18586" name="Line 37">
          <a:extLst>
            <a:ext uri="{FF2B5EF4-FFF2-40B4-BE49-F238E27FC236}">
              <a16:creationId xmlns:a16="http://schemas.microsoft.com/office/drawing/2014/main" id="{00000000-0008-0000-1900-00009A480000}"/>
            </a:ext>
          </a:extLst>
        </xdr:cNvPr>
        <xdr:cNvSpPr>
          <a:spLocks noChangeShapeType="1"/>
        </xdr:cNvSpPr>
      </xdr:nvSpPr>
      <xdr:spPr bwMode="auto">
        <a:xfrm>
          <a:off x="2194560" y="82067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46</xdr:row>
      <xdr:rowOff>0</xdr:rowOff>
    </xdr:from>
    <xdr:to>
      <xdr:col>4</xdr:col>
      <xdr:colOff>7620</xdr:colOff>
      <xdr:row>46</xdr:row>
      <xdr:rowOff>0</xdr:rowOff>
    </xdr:to>
    <xdr:sp macro="" textlink="">
      <xdr:nvSpPr>
        <xdr:cNvPr id="18587" name="Line 38">
          <a:extLst>
            <a:ext uri="{FF2B5EF4-FFF2-40B4-BE49-F238E27FC236}">
              <a16:creationId xmlns:a16="http://schemas.microsoft.com/office/drawing/2014/main" id="{00000000-0008-0000-1900-00009B480000}"/>
            </a:ext>
          </a:extLst>
        </xdr:cNvPr>
        <xdr:cNvSpPr>
          <a:spLocks noChangeShapeType="1"/>
        </xdr:cNvSpPr>
      </xdr:nvSpPr>
      <xdr:spPr bwMode="auto">
        <a:xfrm>
          <a:off x="2194560" y="83743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46</xdr:row>
      <xdr:rowOff>0</xdr:rowOff>
    </xdr:from>
    <xdr:to>
      <xdr:col>6</xdr:col>
      <xdr:colOff>0</xdr:colOff>
      <xdr:row>46</xdr:row>
      <xdr:rowOff>0</xdr:rowOff>
    </xdr:to>
    <xdr:sp macro="" textlink="">
      <xdr:nvSpPr>
        <xdr:cNvPr id="18588" name="Line 39">
          <a:extLst>
            <a:ext uri="{FF2B5EF4-FFF2-40B4-BE49-F238E27FC236}">
              <a16:creationId xmlns:a16="http://schemas.microsoft.com/office/drawing/2014/main" id="{00000000-0008-0000-1900-00009C480000}"/>
            </a:ext>
          </a:extLst>
        </xdr:cNvPr>
        <xdr:cNvSpPr>
          <a:spLocks noChangeShapeType="1"/>
        </xdr:cNvSpPr>
      </xdr:nvSpPr>
      <xdr:spPr bwMode="auto">
        <a:xfrm>
          <a:off x="4389120" y="83743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58</xdr:row>
      <xdr:rowOff>0</xdr:rowOff>
    </xdr:from>
    <xdr:to>
      <xdr:col>14</xdr:col>
      <xdr:colOff>640080</xdr:colOff>
      <xdr:row>58</xdr:row>
      <xdr:rowOff>0</xdr:rowOff>
    </xdr:to>
    <xdr:sp macro="" textlink="">
      <xdr:nvSpPr>
        <xdr:cNvPr id="18589" name="Line 40">
          <a:extLst>
            <a:ext uri="{FF2B5EF4-FFF2-40B4-BE49-F238E27FC236}">
              <a16:creationId xmlns:a16="http://schemas.microsoft.com/office/drawing/2014/main" id="{00000000-0008-0000-1900-00009D480000}"/>
            </a:ext>
          </a:extLst>
        </xdr:cNvPr>
        <xdr:cNvSpPr>
          <a:spLocks noChangeShapeType="1"/>
        </xdr:cNvSpPr>
      </xdr:nvSpPr>
      <xdr:spPr bwMode="auto">
        <a:xfrm>
          <a:off x="10584180" y="1050798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18590" name="Line 41">
          <a:extLst>
            <a:ext uri="{FF2B5EF4-FFF2-40B4-BE49-F238E27FC236}">
              <a16:creationId xmlns:a16="http://schemas.microsoft.com/office/drawing/2014/main" id="{00000000-0008-0000-1900-00009E48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18591" name="Line 42">
          <a:extLst>
            <a:ext uri="{FF2B5EF4-FFF2-40B4-BE49-F238E27FC236}">
              <a16:creationId xmlns:a16="http://schemas.microsoft.com/office/drawing/2014/main" id="{00000000-0008-0000-1900-00009F48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51</xdr:row>
      <xdr:rowOff>0</xdr:rowOff>
    </xdr:from>
    <xdr:to>
      <xdr:col>10</xdr:col>
      <xdr:colOff>0</xdr:colOff>
      <xdr:row>51</xdr:row>
      <xdr:rowOff>0</xdr:rowOff>
    </xdr:to>
    <xdr:sp macro="" textlink="">
      <xdr:nvSpPr>
        <xdr:cNvPr id="18592" name="Line 43">
          <a:extLst>
            <a:ext uri="{FF2B5EF4-FFF2-40B4-BE49-F238E27FC236}">
              <a16:creationId xmlns:a16="http://schemas.microsoft.com/office/drawing/2014/main" id="{00000000-0008-0000-1900-0000A0480000}"/>
            </a:ext>
          </a:extLst>
        </xdr:cNvPr>
        <xdr:cNvSpPr>
          <a:spLocks noChangeShapeType="1"/>
        </xdr:cNvSpPr>
      </xdr:nvSpPr>
      <xdr:spPr bwMode="auto">
        <a:xfrm>
          <a:off x="6926580" y="93345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59</xdr:row>
      <xdr:rowOff>0</xdr:rowOff>
    </xdr:from>
    <xdr:to>
      <xdr:col>14</xdr:col>
      <xdr:colOff>640080</xdr:colOff>
      <xdr:row>59</xdr:row>
      <xdr:rowOff>0</xdr:rowOff>
    </xdr:to>
    <xdr:sp macro="" textlink="">
      <xdr:nvSpPr>
        <xdr:cNvPr id="18593" name="Line 44">
          <a:extLst>
            <a:ext uri="{FF2B5EF4-FFF2-40B4-BE49-F238E27FC236}">
              <a16:creationId xmlns:a16="http://schemas.microsoft.com/office/drawing/2014/main" id="{00000000-0008-0000-1900-0000A1480000}"/>
            </a:ext>
          </a:extLst>
        </xdr:cNvPr>
        <xdr:cNvSpPr>
          <a:spLocks noChangeShapeType="1"/>
        </xdr:cNvSpPr>
      </xdr:nvSpPr>
      <xdr:spPr bwMode="auto">
        <a:xfrm>
          <a:off x="10584180" y="106756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51</xdr:row>
      <xdr:rowOff>0</xdr:rowOff>
    </xdr:from>
    <xdr:to>
      <xdr:col>6</xdr:col>
      <xdr:colOff>0</xdr:colOff>
      <xdr:row>51</xdr:row>
      <xdr:rowOff>0</xdr:rowOff>
    </xdr:to>
    <xdr:sp macro="" textlink="">
      <xdr:nvSpPr>
        <xdr:cNvPr id="18594" name="Line 45">
          <a:extLst>
            <a:ext uri="{FF2B5EF4-FFF2-40B4-BE49-F238E27FC236}">
              <a16:creationId xmlns:a16="http://schemas.microsoft.com/office/drawing/2014/main" id="{00000000-0008-0000-1900-0000A2480000}"/>
            </a:ext>
          </a:extLst>
        </xdr:cNvPr>
        <xdr:cNvSpPr>
          <a:spLocks noChangeShapeType="1"/>
        </xdr:cNvSpPr>
      </xdr:nvSpPr>
      <xdr:spPr bwMode="auto">
        <a:xfrm>
          <a:off x="4389120" y="9334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60</xdr:row>
      <xdr:rowOff>0</xdr:rowOff>
    </xdr:from>
    <xdr:to>
      <xdr:col>10</xdr:col>
      <xdr:colOff>0</xdr:colOff>
      <xdr:row>60</xdr:row>
      <xdr:rowOff>0</xdr:rowOff>
    </xdr:to>
    <xdr:sp macro="" textlink="">
      <xdr:nvSpPr>
        <xdr:cNvPr id="18595" name="Line 46">
          <a:extLst>
            <a:ext uri="{FF2B5EF4-FFF2-40B4-BE49-F238E27FC236}">
              <a16:creationId xmlns:a16="http://schemas.microsoft.com/office/drawing/2014/main" id="{00000000-0008-0000-1900-0000A3480000}"/>
            </a:ext>
          </a:extLst>
        </xdr:cNvPr>
        <xdr:cNvSpPr>
          <a:spLocks noChangeShapeType="1"/>
        </xdr:cNvSpPr>
      </xdr:nvSpPr>
      <xdr:spPr bwMode="auto">
        <a:xfrm>
          <a:off x="6926580" y="108432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60</xdr:row>
      <xdr:rowOff>0</xdr:rowOff>
    </xdr:from>
    <xdr:to>
      <xdr:col>15</xdr:col>
      <xdr:colOff>0</xdr:colOff>
      <xdr:row>60</xdr:row>
      <xdr:rowOff>0</xdr:rowOff>
    </xdr:to>
    <xdr:sp macro="" textlink="">
      <xdr:nvSpPr>
        <xdr:cNvPr id="18596" name="Line 47">
          <a:extLst>
            <a:ext uri="{FF2B5EF4-FFF2-40B4-BE49-F238E27FC236}">
              <a16:creationId xmlns:a16="http://schemas.microsoft.com/office/drawing/2014/main" id="{00000000-0008-0000-1900-0000A4480000}"/>
            </a:ext>
          </a:extLst>
        </xdr:cNvPr>
        <xdr:cNvSpPr>
          <a:spLocks noChangeShapeType="1"/>
        </xdr:cNvSpPr>
      </xdr:nvSpPr>
      <xdr:spPr bwMode="auto">
        <a:xfrm>
          <a:off x="10584180" y="108432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51</xdr:row>
      <xdr:rowOff>0</xdr:rowOff>
    </xdr:from>
    <xdr:to>
      <xdr:col>4</xdr:col>
      <xdr:colOff>7620</xdr:colOff>
      <xdr:row>51</xdr:row>
      <xdr:rowOff>0</xdr:rowOff>
    </xdr:to>
    <xdr:sp macro="" textlink="">
      <xdr:nvSpPr>
        <xdr:cNvPr id="18597" name="Line 48">
          <a:extLst>
            <a:ext uri="{FF2B5EF4-FFF2-40B4-BE49-F238E27FC236}">
              <a16:creationId xmlns:a16="http://schemas.microsoft.com/office/drawing/2014/main" id="{00000000-0008-0000-1900-0000A5480000}"/>
            </a:ext>
          </a:extLst>
        </xdr:cNvPr>
        <xdr:cNvSpPr>
          <a:spLocks noChangeShapeType="1"/>
        </xdr:cNvSpPr>
      </xdr:nvSpPr>
      <xdr:spPr bwMode="auto">
        <a:xfrm>
          <a:off x="2194560" y="93345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18598" name="Line 49">
          <a:extLst>
            <a:ext uri="{FF2B5EF4-FFF2-40B4-BE49-F238E27FC236}">
              <a16:creationId xmlns:a16="http://schemas.microsoft.com/office/drawing/2014/main" id="{00000000-0008-0000-1900-0000A648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18599" name="Line 50">
          <a:extLst>
            <a:ext uri="{FF2B5EF4-FFF2-40B4-BE49-F238E27FC236}">
              <a16:creationId xmlns:a16="http://schemas.microsoft.com/office/drawing/2014/main" id="{00000000-0008-0000-1900-0000A748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18600" name="Line 51">
          <a:extLst>
            <a:ext uri="{FF2B5EF4-FFF2-40B4-BE49-F238E27FC236}">
              <a16:creationId xmlns:a16="http://schemas.microsoft.com/office/drawing/2014/main" id="{00000000-0008-0000-1900-0000A8480000}"/>
            </a:ext>
          </a:extLst>
        </xdr:cNvPr>
        <xdr:cNvSpPr>
          <a:spLocks noChangeShapeType="1"/>
        </xdr:cNvSpPr>
      </xdr:nvSpPr>
      <xdr:spPr bwMode="auto">
        <a:xfrm>
          <a:off x="21945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59</xdr:row>
      <xdr:rowOff>0</xdr:rowOff>
    </xdr:from>
    <xdr:to>
      <xdr:col>4</xdr:col>
      <xdr:colOff>7620</xdr:colOff>
      <xdr:row>59</xdr:row>
      <xdr:rowOff>0</xdr:rowOff>
    </xdr:to>
    <xdr:sp macro="" textlink="">
      <xdr:nvSpPr>
        <xdr:cNvPr id="18601" name="Line 52">
          <a:extLst>
            <a:ext uri="{FF2B5EF4-FFF2-40B4-BE49-F238E27FC236}">
              <a16:creationId xmlns:a16="http://schemas.microsoft.com/office/drawing/2014/main" id="{00000000-0008-0000-1900-0000A9480000}"/>
            </a:ext>
          </a:extLst>
        </xdr:cNvPr>
        <xdr:cNvSpPr>
          <a:spLocks noChangeShapeType="1"/>
        </xdr:cNvSpPr>
      </xdr:nvSpPr>
      <xdr:spPr bwMode="auto">
        <a:xfrm>
          <a:off x="2194560" y="106756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60</xdr:row>
      <xdr:rowOff>0</xdr:rowOff>
    </xdr:from>
    <xdr:to>
      <xdr:col>4</xdr:col>
      <xdr:colOff>7620</xdr:colOff>
      <xdr:row>60</xdr:row>
      <xdr:rowOff>0</xdr:rowOff>
    </xdr:to>
    <xdr:sp macro="" textlink="">
      <xdr:nvSpPr>
        <xdr:cNvPr id="18602" name="Line 53">
          <a:extLst>
            <a:ext uri="{FF2B5EF4-FFF2-40B4-BE49-F238E27FC236}">
              <a16:creationId xmlns:a16="http://schemas.microsoft.com/office/drawing/2014/main" id="{00000000-0008-0000-1900-0000AA480000}"/>
            </a:ext>
          </a:extLst>
        </xdr:cNvPr>
        <xdr:cNvSpPr>
          <a:spLocks noChangeShapeType="1"/>
        </xdr:cNvSpPr>
      </xdr:nvSpPr>
      <xdr:spPr bwMode="auto">
        <a:xfrm>
          <a:off x="2194560" y="108432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60</xdr:row>
      <xdr:rowOff>0</xdr:rowOff>
    </xdr:from>
    <xdr:to>
      <xdr:col>6</xdr:col>
      <xdr:colOff>0</xdr:colOff>
      <xdr:row>60</xdr:row>
      <xdr:rowOff>0</xdr:rowOff>
    </xdr:to>
    <xdr:sp macro="" textlink="">
      <xdr:nvSpPr>
        <xdr:cNvPr id="18603" name="Line 54">
          <a:extLst>
            <a:ext uri="{FF2B5EF4-FFF2-40B4-BE49-F238E27FC236}">
              <a16:creationId xmlns:a16="http://schemas.microsoft.com/office/drawing/2014/main" id="{00000000-0008-0000-1900-0000AB480000}"/>
            </a:ext>
          </a:extLst>
        </xdr:cNvPr>
        <xdr:cNvSpPr>
          <a:spLocks noChangeShapeType="1"/>
        </xdr:cNvSpPr>
      </xdr:nvSpPr>
      <xdr:spPr bwMode="auto">
        <a:xfrm>
          <a:off x="4389120" y="108432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29</xdr:row>
      <xdr:rowOff>0</xdr:rowOff>
    </xdr:from>
    <xdr:to>
      <xdr:col>7</xdr:col>
      <xdr:colOff>45720</xdr:colOff>
      <xdr:row>29</xdr:row>
      <xdr:rowOff>0</xdr:rowOff>
    </xdr:to>
    <xdr:sp macro="" textlink="">
      <xdr:nvSpPr>
        <xdr:cNvPr id="18604" name="Line 55">
          <a:extLst>
            <a:ext uri="{FF2B5EF4-FFF2-40B4-BE49-F238E27FC236}">
              <a16:creationId xmlns:a16="http://schemas.microsoft.com/office/drawing/2014/main" id="{00000000-0008-0000-1900-0000AC480000}"/>
            </a:ext>
          </a:extLst>
        </xdr:cNvPr>
        <xdr:cNvSpPr>
          <a:spLocks noChangeShapeType="1"/>
        </xdr:cNvSpPr>
      </xdr:nvSpPr>
      <xdr:spPr bwMode="auto">
        <a:xfrm>
          <a:off x="4389120" y="552450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42</xdr:row>
      <xdr:rowOff>0</xdr:rowOff>
    </xdr:from>
    <xdr:to>
      <xdr:col>7</xdr:col>
      <xdr:colOff>45720</xdr:colOff>
      <xdr:row>42</xdr:row>
      <xdr:rowOff>0</xdr:rowOff>
    </xdr:to>
    <xdr:sp macro="" textlink="">
      <xdr:nvSpPr>
        <xdr:cNvPr id="18605" name="Line 56">
          <a:extLst>
            <a:ext uri="{FF2B5EF4-FFF2-40B4-BE49-F238E27FC236}">
              <a16:creationId xmlns:a16="http://schemas.microsoft.com/office/drawing/2014/main" id="{00000000-0008-0000-1900-0000AD480000}"/>
            </a:ext>
          </a:extLst>
        </xdr:cNvPr>
        <xdr:cNvSpPr>
          <a:spLocks noChangeShapeType="1"/>
        </xdr:cNvSpPr>
      </xdr:nvSpPr>
      <xdr:spPr bwMode="auto">
        <a:xfrm>
          <a:off x="4389120" y="770382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57</xdr:row>
      <xdr:rowOff>0</xdr:rowOff>
    </xdr:from>
    <xdr:to>
      <xdr:col>7</xdr:col>
      <xdr:colOff>45720</xdr:colOff>
      <xdr:row>57</xdr:row>
      <xdr:rowOff>0</xdr:rowOff>
    </xdr:to>
    <xdr:sp macro="" textlink="">
      <xdr:nvSpPr>
        <xdr:cNvPr id="18606" name="Line 57">
          <a:extLst>
            <a:ext uri="{FF2B5EF4-FFF2-40B4-BE49-F238E27FC236}">
              <a16:creationId xmlns:a16="http://schemas.microsoft.com/office/drawing/2014/main" id="{00000000-0008-0000-1900-0000AE480000}"/>
            </a:ext>
          </a:extLst>
        </xdr:cNvPr>
        <xdr:cNvSpPr>
          <a:spLocks noChangeShapeType="1"/>
        </xdr:cNvSpPr>
      </xdr:nvSpPr>
      <xdr:spPr bwMode="auto">
        <a:xfrm>
          <a:off x="4389120" y="1034034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69</xdr:row>
      <xdr:rowOff>0</xdr:rowOff>
    </xdr:from>
    <xdr:to>
      <xdr:col>6</xdr:col>
      <xdr:colOff>0</xdr:colOff>
      <xdr:row>69</xdr:row>
      <xdr:rowOff>0</xdr:rowOff>
    </xdr:to>
    <xdr:sp macro="" textlink="">
      <xdr:nvSpPr>
        <xdr:cNvPr id="18607" name="Line 58">
          <a:extLst>
            <a:ext uri="{FF2B5EF4-FFF2-40B4-BE49-F238E27FC236}">
              <a16:creationId xmlns:a16="http://schemas.microsoft.com/office/drawing/2014/main" id="{00000000-0008-0000-1900-0000AF480000}"/>
            </a:ext>
          </a:extLst>
        </xdr:cNvPr>
        <xdr:cNvSpPr>
          <a:spLocks noChangeShapeType="1"/>
        </xdr:cNvSpPr>
      </xdr:nvSpPr>
      <xdr:spPr bwMode="auto">
        <a:xfrm>
          <a:off x="4389120" y="123520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69</xdr:row>
      <xdr:rowOff>0</xdr:rowOff>
    </xdr:from>
    <xdr:to>
      <xdr:col>14</xdr:col>
      <xdr:colOff>640080</xdr:colOff>
      <xdr:row>69</xdr:row>
      <xdr:rowOff>0</xdr:rowOff>
    </xdr:to>
    <xdr:sp macro="" textlink="">
      <xdr:nvSpPr>
        <xdr:cNvPr id="18608" name="Line 59">
          <a:extLst>
            <a:ext uri="{FF2B5EF4-FFF2-40B4-BE49-F238E27FC236}">
              <a16:creationId xmlns:a16="http://schemas.microsoft.com/office/drawing/2014/main" id="{00000000-0008-0000-1900-0000B0480000}"/>
            </a:ext>
          </a:extLst>
        </xdr:cNvPr>
        <xdr:cNvSpPr>
          <a:spLocks noChangeShapeType="1"/>
        </xdr:cNvSpPr>
      </xdr:nvSpPr>
      <xdr:spPr bwMode="auto">
        <a:xfrm>
          <a:off x="10584180" y="123520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70</xdr:row>
      <xdr:rowOff>0</xdr:rowOff>
    </xdr:from>
    <xdr:to>
      <xdr:col>6</xdr:col>
      <xdr:colOff>0</xdr:colOff>
      <xdr:row>70</xdr:row>
      <xdr:rowOff>0</xdr:rowOff>
    </xdr:to>
    <xdr:sp macro="" textlink="">
      <xdr:nvSpPr>
        <xdr:cNvPr id="18609" name="Line 60">
          <a:extLst>
            <a:ext uri="{FF2B5EF4-FFF2-40B4-BE49-F238E27FC236}">
              <a16:creationId xmlns:a16="http://schemas.microsoft.com/office/drawing/2014/main" id="{00000000-0008-0000-1900-0000B1480000}"/>
            </a:ext>
          </a:extLst>
        </xdr:cNvPr>
        <xdr:cNvSpPr>
          <a:spLocks noChangeShapeType="1"/>
        </xdr:cNvSpPr>
      </xdr:nvSpPr>
      <xdr:spPr bwMode="auto">
        <a:xfrm>
          <a:off x="4389120" y="125196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8610" name="Line 61">
          <a:extLst>
            <a:ext uri="{FF2B5EF4-FFF2-40B4-BE49-F238E27FC236}">
              <a16:creationId xmlns:a16="http://schemas.microsoft.com/office/drawing/2014/main" id="{00000000-0008-0000-1900-0000B248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8611" name="Line 62">
          <a:extLst>
            <a:ext uri="{FF2B5EF4-FFF2-40B4-BE49-F238E27FC236}">
              <a16:creationId xmlns:a16="http://schemas.microsoft.com/office/drawing/2014/main" id="{00000000-0008-0000-1900-0000B348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62</xdr:row>
      <xdr:rowOff>0</xdr:rowOff>
    </xdr:from>
    <xdr:to>
      <xdr:col>10</xdr:col>
      <xdr:colOff>0</xdr:colOff>
      <xdr:row>62</xdr:row>
      <xdr:rowOff>0</xdr:rowOff>
    </xdr:to>
    <xdr:sp macro="" textlink="">
      <xdr:nvSpPr>
        <xdr:cNvPr id="18612" name="Line 63">
          <a:extLst>
            <a:ext uri="{FF2B5EF4-FFF2-40B4-BE49-F238E27FC236}">
              <a16:creationId xmlns:a16="http://schemas.microsoft.com/office/drawing/2014/main" id="{00000000-0008-0000-1900-0000B4480000}"/>
            </a:ext>
          </a:extLst>
        </xdr:cNvPr>
        <xdr:cNvSpPr>
          <a:spLocks noChangeShapeType="1"/>
        </xdr:cNvSpPr>
      </xdr:nvSpPr>
      <xdr:spPr bwMode="auto">
        <a:xfrm>
          <a:off x="6926580" y="111785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70</xdr:row>
      <xdr:rowOff>0</xdr:rowOff>
    </xdr:from>
    <xdr:to>
      <xdr:col>14</xdr:col>
      <xdr:colOff>640080</xdr:colOff>
      <xdr:row>70</xdr:row>
      <xdr:rowOff>0</xdr:rowOff>
    </xdr:to>
    <xdr:sp macro="" textlink="">
      <xdr:nvSpPr>
        <xdr:cNvPr id="18613" name="Line 64">
          <a:extLst>
            <a:ext uri="{FF2B5EF4-FFF2-40B4-BE49-F238E27FC236}">
              <a16:creationId xmlns:a16="http://schemas.microsoft.com/office/drawing/2014/main" id="{00000000-0008-0000-1900-0000B5480000}"/>
            </a:ext>
          </a:extLst>
        </xdr:cNvPr>
        <xdr:cNvSpPr>
          <a:spLocks noChangeShapeType="1"/>
        </xdr:cNvSpPr>
      </xdr:nvSpPr>
      <xdr:spPr bwMode="auto">
        <a:xfrm>
          <a:off x="10584180" y="1251966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62</xdr:row>
      <xdr:rowOff>0</xdr:rowOff>
    </xdr:from>
    <xdr:to>
      <xdr:col>6</xdr:col>
      <xdr:colOff>0</xdr:colOff>
      <xdr:row>62</xdr:row>
      <xdr:rowOff>0</xdr:rowOff>
    </xdr:to>
    <xdr:sp macro="" textlink="">
      <xdr:nvSpPr>
        <xdr:cNvPr id="18614" name="Line 65">
          <a:extLst>
            <a:ext uri="{FF2B5EF4-FFF2-40B4-BE49-F238E27FC236}">
              <a16:creationId xmlns:a16="http://schemas.microsoft.com/office/drawing/2014/main" id="{00000000-0008-0000-1900-0000B6480000}"/>
            </a:ext>
          </a:extLst>
        </xdr:cNvPr>
        <xdr:cNvSpPr>
          <a:spLocks noChangeShapeType="1"/>
        </xdr:cNvSpPr>
      </xdr:nvSpPr>
      <xdr:spPr bwMode="auto">
        <a:xfrm>
          <a:off x="4389120" y="111785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62</xdr:row>
      <xdr:rowOff>0</xdr:rowOff>
    </xdr:from>
    <xdr:to>
      <xdr:col>4</xdr:col>
      <xdr:colOff>7620</xdr:colOff>
      <xdr:row>62</xdr:row>
      <xdr:rowOff>0</xdr:rowOff>
    </xdr:to>
    <xdr:sp macro="" textlink="">
      <xdr:nvSpPr>
        <xdr:cNvPr id="18615" name="Line 66">
          <a:extLst>
            <a:ext uri="{FF2B5EF4-FFF2-40B4-BE49-F238E27FC236}">
              <a16:creationId xmlns:a16="http://schemas.microsoft.com/office/drawing/2014/main" id="{00000000-0008-0000-1900-0000B7480000}"/>
            </a:ext>
          </a:extLst>
        </xdr:cNvPr>
        <xdr:cNvSpPr>
          <a:spLocks noChangeShapeType="1"/>
        </xdr:cNvSpPr>
      </xdr:nvSpPr>
      <xdr:spPr bwMode="auto">
        <a:xfrm>
          <a:off x="2194560" y="11178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8616" name="Line 67">
          <a:extLst>
            <a:ext uri="{FF2B5EF4-FFF2-40B4-BE49-F238E27FC236}">
              <a16:creationId xmlns:a16="http://schemas.microsoft.com/office/drawing/2014/main" id="{00000000-0008-0000-1900-0000B848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8617" name="Line 68">
          <a:extLst>
            <a:ext uri="{FF2B5EF4-FFF2-40B4-BE49-F238E27FC236}">
              <a16:creationId xmlns:a16="http://schemas.microsoft.com/office/drawing/2014/main" id="{00000000-0008-0000-1900-0000B948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8618" name="Line 69">
          <a:extLst>
            <a:ext uri="{FF2B5EF4-FFF2-40B4-BE49-F238E27FC236}">
              <a16:creationId xmlns:a16="http://schemas.microsoft.com/office/drawing/2014/main" id="{00000000-0008-0000-1900-0000BA48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8619" name="Line 70">
          <a:extLst>
            <a:ext uri="{FF2B5EF4-FFF2-40B4-BE49-F238E27FC236}">
              <a16:creationId xmlns:a16="http://schemas.microsoft.com/office/drawing/2014/main" id="{00000000-0008-0000-1900-0000BB480000}"/>
            </a:ext>
          </a:extLst>
        </xdr:cNvPr>
        <xdr:cNvSpPr>
          <a:spLocks noChangeShapeType="1"/>
        </xdr:cNvSpPr>
      </xdr:nvSpPr>
      <xdr:spPr bwMode="auto">
        <a:xfrm>
          <a:off x="21945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68</xdr:row>
      <xdr:rowOff>0</xdr:rowOff>
    </xdr:from>
    <xdr:to>
      <xdr:col>7</xdr:col>
      <xdr:colOff>45720</xdr:colOff>
      <xdr:row>68</xdr:row>
      <xdr:rowOff>0</xdr:rowOff>
    </xdr:to>
    <xdr:sp macro="" textlink="">
      <xdr:nvSpPr>
        <xdr:cNvPr id="18620" name="Line 71">
          <a:extLst>
            <a:ext uri="{FF2B5EF4-FFF2-40B4-BE49-F238E27FC236}">
              <a16:creationId xmlns:a16="http://schemas.microsoft.com/office/drawing/2014/main" id="{00000000-0008-0000-1900-0000BC480000}"/>
            </a:ext>
          </a:extLst>
        </xdr:cNvPr>
        <xdr:cNvSpPr>
          <a:spLocks noChangeShapeType="1"/>
        </xdr:cNvSpPr>
      </xdr:nvSpPr>
      <xdr:spPr bwMode="auto">
        <a:xfrm>
          <a:off x="4389120" y="1218438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70</xdr:row>
      <xdr:rowOff>0</xdr:rowOff>
    </xdr:from>
    <xdr:to>
      <xdr:col>4</xdr:col>
      <xdr:colOff>7620</xdr:colOff>
      <xdr:row>70</xdr:row>
      <xdr:rowOff>0</xdr:rowOff>
    </xdr:to>
    <xdr:sp macro="" textlink="">
      <xdr:nvSpPr>
        <xdr:cNvPr id="18621" name="Line 72">
          <a:extLst>
            <a:ext uri="{FF2B5EF4-FFF2-40B4-BE49-F238E27FC236}">
              <a16:creationId xmlns:a16="http://schemas.microsoft.com/office/drawing/2014/main" id="{00000000-0008-0000-1900-0000BD480000}"/>
            </a:ext>
          </a:extLst>
        </xdr:cNvPr>
        <xdr:cNvSpPr>
          <a:spLocks noChangeShapeType="1"/>
        </xdr:cNvSpPr>
      </xdr:nvSpPr>
      <xdr:spPr bwMode="auto">
        <a:xfrm>
          <a:off x="2194560" y="12519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79</xdr:row>
      <xdr:rowOff>0</xdr:rowOff>
    </xdr:from>
    <xdr:to>
      <xdr:col>6</xdr:col>
      <xdr:colOff>0</xdr:colOff>
      <xdr:row>79</xdr:row>
      <xdr:rowOff>0</xdr:rowOff>
    </xdr:to>
    <xdr:sp macro="" textlink="">
      <xdr:nvSpPr>
        <xdr:cNvPr id="18622" name="Line 73">
          <a:extLst>
            <a:ext uri="{FF2B5EF4-FFF2-40B4-BE49-F238E27FC236}">
              <a16:creationId xmlns:a16="http://schemas.microsoft.com/office/drawing/2014/main" id="{00000000-0008-0000-1900-0000BE480000}"/>
            </a:ext>
          </a:extLst>
        </xdr:cNvPr>
        <xdr:cNvSpPr>
          <a:spLocks noChangeShapeType="1"/>
        </xdr:cNvSpPr>
      </xdr:nvSpPr>
      <xdr:spPr bwMode="auto">
        <a:xfrm>
          <a:off x="4389120" y="140284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79</xdr:row>
      <xdr:rowOff>0</xdr:rowOff>
    </xdr:from>
    <xdr:to>
      <xdr:col>14</xdr:col>
      <xdr:colOff>640080</xdr:colOff>
      <xdr:row>79</xdr:row>
      <xdr:rowOff>0</xdr:rowOff>
    </xdr:to>
    <xdr:sp macro="" textlink="">
      <xdr:nvSpPr>
        <xdr:cNvPr id="18623" name="Line 74">
          <a:extLst>
            <a:ext uri="{FF2B5EF4-FFF2-40B4-BE49-F238E27FC236}">
              <a16:creationId xmlns:a16="http://schemas.microsoft.com/office/drawing/2014/main" id="{00000000-0008-0000-1900-0000BF480000}"/>
            </a:ext>
          </a:extLst>
        </xdr:cNvPr>
        <xdr:cNvSpPr>
          <a:spLocks noChangeShapeType="1"/>
        </xdr:cNvSpPr>
      </xdr:nvSpPr>
      <xdr:spPr bwMode="auto">
        <a:xfrm>
          <a:off x="10584180" y="140284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8624" name="Line 75">
          <a:extLst>
            <a:ext uri="{FF2B5EF4-FFF2-40B4-BE49-F238E27FC236}">
              <a16:creationId xmlns:a16="http://schemas.microsoft.com/office/drawing/2014/main" id="{00000000-0008-0000-1900-0000C048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8625" name="Line 76">
          <a:extLst>
            <a:ext uri="{FF2B5EF4-FFF2-40B4-BE49-F238E27FC236}">
              <a16:creationId xmlns:a16="http://schemas.microsoft.com/office/drawing/2014/main" id="{00000000-0008-0000-1900-0000C148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72</xdr:row>
      <xdr:rowOff>0</xdr:rowOff>
    </xdr:from>
    <xdr:to>
      <xdr:col>10</xdr:col>
      <xdr:colOff>0</xdr:colOff>
      <xdr:row>72</xdr:row>
      <xdr:rowOff>0</xdr:rowOff>
    </xdr:to>
    <xdr:sp macro="" textlink="">
      <xdr:nvSpPr>
        <xdr:cNvPr id="18626" name="Line 77">
          <a:extLst>
            <a:ext uri="{FF2B5EF4-FFF2-40B4-BE49-F238E27FC236}">
              <a16:creationId xmlns:a16="http://schemas.microsoft.com/office/drawing/2014/main" id="{00000000-0008-0000-1900-0000C2480000}"/>
            </a:ext>
          </a:extLst>
        </xdr:cNvPr>
        <xdr:cNvSpPr>
          <a:spLocks noChangeShapeType="1"/>
        </xdr:cNvSpPr>
      </xdr:nvSpPr>
      <xdr:spPr bwMode="auto">
        <a:xfrm>
          <a:off x="6926580" y="128549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72</xdr:row>
      <xdr:rowOff>0</xdr:rowOff>
    </xdr:from>
    <xdr:to>
      <xdr:col>6</xdr:col>
      <xdr:colOff>0</xdr:colOff>
      <xdr:row>72</xdr:row>
      <xdr:rowOff>0</xdr:rowOff>
    </xdr:to>
    <xdr:sp macro="" textlink="">
      <xdr:nvSpPr>
        <xdr:cNvPr id="18627" name="Line 78">
          <a:extLst>
            <a:ext uri="{FF2B5EF4-FFF2-40B4-BE49-F238E27FC236}">
              <a16:creationId xmlns:a16="http://schemas.microsoft.com/office/drawing/2014/main" id="{00000000-0008-0000-1900-0000C3480000}"/>
            </a:ext>
          </a:extLst>
        </xdr:cNvPr>
        <xdr:cNvSpPr>
          <a:spLocks noChangeShapeType="1"/>
        </xdr:cNvSpPr>
      </xdr:nvSpPr>
      <xdr:spPr bwMode="auto">
        <a:xfrm>
          <a:off x="4389120" y="128549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72</xdr:row>
      <xdr:rowOff>0</xdr:rowOff>
    </xdr:from>
    <xdr:to>
      <xdr:col>4</xdr:col>
      <xdr:colOff>7620</xdr:colOff>
      <xdr:row>72</xdr:row>
      <xdr:rowOff>0</xdr:rowOff>
    </xdr:to>
    <xdr:sp macro="" textlink="">
      <xdr:nvSpPr>
        <xdr:cNvPr id="18628" name="Line 79">
          <a:extLst>
            <a:ext uri="{FF2B5EF4-FFF2-40B4-BE49-F238E27FC236}">
              <a16:creationId xmlns:a16="http://schemas.microsoft.com/office/drawing/2014/main" id="{00000000-0008-0000-1900-0000C4480000}"/>
            </a:ext>
          </a:extLst>
        </xdr:cNvPr>
        <xdr:cNvSpPr>
          <a:spLocks noChangeShapeType="1"/>
        </xdr:cNvSpPr>
      </xdr:nvSpPr>
      <xdr:spPr bwMode="auto">
        <a:xfrm>
          <a:off x="2194560" y="128549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8629" name="Line 80">
          <a:extLst>
            <a:ext uri="{FF2B5EF4-FFF2-40B4-BE49-F238E27FC236}">
              <a16:creationId xmlns:a16="http://schemas.microsoft.com/office/drawing/2014/main" id="{00000000-0008-0000-1900-0000C548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8630" name="Line 81">
          <a:extLst>
            <a:ext uri="{FF2B5EF4-FFF2-40B4-BE49-F238E27FC236}">
              <a16:creationId xmlns:a16="http://schemas.microsoft.com/office/drawing/2014/main" id="{00000000-0008-0000-1900-0000C648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8631" name="Line 82">
          <a:extLst>
            <a:ext uri="{FF2B5EF4-FFF2-40B4-BE49-F238E27FC236}">
              <a16:creationId xmlns:a16="http://schemas.microsoft.com/office/drawing/2014/main" id="{00000000-0008-0000-1900-0000C748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8632" name="Line 83">
          <a:extLst>
            <a:ext uri="{FF2B5EF4-FFF2-40B4-BE49-F238E27FC236}">
              <a16:creationId xmlns:a16="http://schemas.microsoft.com/office/drawing/2014/main" id="{00000000-0008-0000-1900-0000C8480000}"/>
            </a:ext>
          </a:extLst>
        </xdr:cNvPr>
        <xdr:cNvSpPr>
          <a:spLocks noChangeShapeType="1"/>
        </xdr:cNvSpPr>
      </xdr:nvSpPr>
      <xdr:spPr bwMode="auto">
        <a:xfrm>
          <a:off x="21945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78</xdr:row>
      <xdr:rowOff>0</xdr:rowOff>
    </xdr:from>
    <xdr:to>
      <xdr:col>7</xdr:col>
      <xdr:colOff>45720</xdr:colOff>
      <xdr:row>78</xdr:row>
      <xdr:rowOff>0</xdr:rowOff>
    </xdr:to>
    <xdr:sp macro="" textlink="">
      <xdr:nvSpPr>
        <xdr:cNvPr id="18633" name="Line 84">
          <a:extLst>
            <a:ext uri="{FF2B5EF4-FFF2-40B4-BE49-F238E27FC236}">
              <a16:creationId xmlns:a16="http://schemas.microsoft.com/office/drawing/2014/main" id="{00000000-0008-0000-1900-0000C9480000}"/>
            </a:ext>
          </a:extLst>
        </xdr:cNvPr>
        <xdr:cNvSpPr>
          <a:spLocks noChangeShapeType="1"/>
        </xdr:cNvSpPr>
      </xdr:nvSpPr>
      <xdr:spPr bwMode="auto">
        <a:xfrm>
          <a:off x="4389120" y="1386078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18634" name="Line 85">
          <a:extLst>
            <a:ext uri="{FF2B5EF4-FFF2-40B4-BE49-F238E27FC236}">
              <a16:creationId xmlns:a16="http://schemas.microsoft.com/office/drawing/2014/main" id="{00000000-0008-0000-1900-0000CA480000}"/>
            </a:ext>
          </a:extLst>
        </xdr:cNvPr>
        <xdr:cNvSpPr>
          <a:spLocks noChangeShapeType="1"/>
        </xdr:cNvSpPr>
      </xdr:nvSpPr>
      <xdr:spPr bwMode="auto">
        <a:xfrm>
          <a:off x="69265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18635" name="Line 86">
          <a:extLst>
            <a:ext uri="{FF2B5EF4-FFF2-40B4-BE49-F238E27FC236}">
              <a16:creationId xmlns:a16="http://schemas.microsoft.com/office/drawing/2014/main" id="{00000000-0008-0000-1900-0000CB480000}"/>
            </a:ext>
          </a:extLst>
        </xdr:cNvPr>
        <xdr:cNvSpPr>
          <a:spLocks noChangeShapeType="1"/>
        </xdr:cNvSpPr>
      </xdr:nvSpPr>
      <xdr:spPr bwMode="auto">
        <a:xfrm>
          <a:off x="43891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18636" name="Line 87">
          <a:extLst>
            <a:ext uri="{FF2B5EF4-FFF2-40B4-BE49-F238E27FC236}">
              <a16:creationId xmlns:a16="http://schemas.microsoft.com/office/drawing/2014/main" id="{00000000-0008-0000-1900-0000CC480000}"/>
            </a:ext>
          </a:extLst>
        </xdr:cNvPr>
        <xdr:cNvSpPr>
          <a:spLocks noChangeShapeType="1"/>
        </xdr:cNvSpPr>
      </xdr:nvSpPr>
      <xdr:spPr bwMode="auto">
        <a:xfrm>
          <a:off x="21945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18637" name="Line 88">
          <a:extLst>
            <a:ext uri="{FF2B5EF4-FFF2-40B4-BE49-F238E27FC236}">
              <a16:creationId xmlns:a16="http://schemas.microsoft.com/office/drawing/2014/main" id="{00000000-0008-0000-1900-0000CD480000}"/>
            </a:ext>
          </a:extLst>
        </xdr:cNvPr>
        <xdr:cNvSpPr>
          <a:spLocks noChangeShapeType="1"/>
        </xdr:cNvSpPr>
      </xdr:nvSpPr>
      <xdr:spPr bwMode="auto">
        <a:xfrm>
          <a:off x="4389120" y="1536954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44</xdr:row>
      <xdr:rowOff>0</xdr:rowOff>
    </xdr:from>
    <xdr:to>
      <xdr:col>6</xdr:col>
      <xdr:colOff>0</xdr:colOff>
      <xdr:row>44</xdr:row>
      <xdr:rowOff>0</xdr:rowOff>
    </xdr:to>
    <xdr:sp macro="" textlink="">
      <xdr:nvSpPr>
        <xdr:cNvPr id="18638" name="Line 89">
          <a:extLst>
            <a:ext uri="{FF2B5EF4-FFF2-40B4-BE49-F238E27FC236}">
              <a16:creationId xmlns:a16="http://schemas.microsoft.com/office/drawing/2014/main" id="{00000000-0008-0000-1900-0000CE480000}"/>
            </a:ext>
          </a:extLst>
        </xdr:cNvPr>
        <xdr:cNvSpPr>
          <a:spLocks noChangeShapeType="1"/>
        </xdr:cNvSpPr>
      </xdr:nvSpPr>
      <xdr:spPr bwMode="auto">
        <a:xfrm>
          <a:off x="4389120" y="80391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43</xdr:row>
      <xdr:rowOff>0</xdr:rowOff>
    </xdr:from>
    <xdr:to>
      <xdr:col>6</xdr:col>
      <xdr:colOff>0</xdr:colOff>
      <xdr:row>43</xdr:row>
      <xdr:rowOff>0</xdr:rowOff>
    </xdr:to>
    <xdr:sp macro="" textlink="">
      <xdr:nvSpPr>
        <xdr:cNvPr id="18639" name="Line 90">
          <a:extLst>
            <a:ext uri="{FF2B5EF4-FFF2-40B4-BE49-F238E27FC236}">
              <a16:creationId xmlns:a16="http://schemas.microsoft.com/office/drawing/2014/main" id="{00000000-0008-0000-1900-0000CF480000}"/>
            </a:ext>
          </a:extLst>
        </xdr:cNvPr>
        <xdr:cNvSpPr>
          <a:spLocks noChangeShapeType="1"/>
        </xdr:cNvSpPr>
      </xdr:nvSpPr>
      <xdr:spPr bwMode="auto">
        <a:xfrm>
          <a:off x="4389120" y="78714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59</xdr:row>
      <xdr:rowOff>0</xdr:rowOff>
    </xdr:from>
    <xdr:to>
      <xdr:col>6</xdr:col>
      <xdr:colOff>0</xdr:colOff>
      <xdr:row>59</xdr:row>
      <xdr:rowOff>0</xdr:rowOff>
    </xdr:to>
    <xdr:sp macro="" textlink="">
      <xdr:nvSpPr>
        <xdr:cNvPr id="18640" name="Line 91">
          <a:extLst>
            <a:ext uri="{FF2B5EF4-FFF2-40B4-BE49-F238E27FC236}">
              <a16:creationId xmlns:a16="http://schemas.microsoft.com/office/drawing/2014/main" id="{00000000-0008-0000-1900-0000D0480000}"/>
            </a:ext>
          </a:extLst>
        </xdr:cNvPr>
        <xdr:cNvSpPr>
          <a:spLocks noChangeShapeType="1"/>
        </xdr:cNvSpPr>
      </xdr:nvSpPr>
      <xdr:spPr bwMode="auto">
        <a:xfrm>
          <a:off x="4389120" y="106756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58</xdr:row>
      <xdr:rowOff>0</xdr:rowOff>
    </xdr:from>
    <xdr:to>
      <xdr:col>6</xdr:col>
      <xdr:colOff>0</xdr:colOff>
      <xdr:row>58</xdr:row>
      <xdr:rowOff>0</xdr:rowOff>
    </xdr:to>
    <xdr:sp macro="" textlink="">
      <xdr:nvSpPr>
        <xdr:cNvPr id="18641" name="Line 92">
          <a:extLst>
            <a:ext uri="{FF2B5EF4-FFF2-40B4-BE49-F238E27FC236}">
              <a16:creationId xmlns:a16="http://schemas.microsoft.com/office/drawing/2014/main" id="{00000000-0008-0000-1900-0000D1480000}"/>
            </a:ext>
          </a:extLst>
        </xdr:cNvPr>
        <xdr:cNvSpPr>
          <a:spLocks noChangeShapeType="1"/>
        </xdr:cNvSpPr>
      </xdr:nvSpPr>
      <xdr:spPr bwMode="auto">
        <a:xfrm>
          <a:off x="4389120" y="105079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31</xdr:row>
      <xdr:rowOff>0</xdr:rowOff>
    </xdr:from>
    <xdr:to>
      <xdr:col>10</xdr:col>
      <xdr:colOff>0</xdr:colOff>
      <xdr:row>31</xdr:row>
      <xdr:rowOff>0</xdr:rowOff>
    </xdr:to>
    <xdr:sp macro="" textlink="">
      <xdr:nvSpPr>
        <xdr:cNvPr id="18642" name="Line 93">
          <a:extLst>
            <a:ext uri="{FF2B5EF4-FFF2-40B4-BE49-F238E27FC236}">
              <a16:creationId xmlns:a16="http://schemas.microsoft.com/office/drawing/2014/main" id="{00000000-0008-0000-1900-0000D2480000}"/>
            </a:ext>
          </a:extLst>
        </xdr:cNvPr>
        <xdr:cNvSpPr>
          <a:spLocks noChangeShapeType="1"/>
        </xdr:cNvSpPr>
      </xdr:nvSpPr>
      <xdr:spPr bwMode="auto">
        <a:xfrm>
          <a:off x="6926580" y="58597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30</xdr:row>
      <xdr:rowOff>0</xdr:rowOff>
    </xdr:from>
    <xdr:to>
      <xdr:col>10</xdr:col>
      <xdr:colOff>0</xdr:colOff>
      <xdr:row>30</xdr:row>
      <xdr:rowOff>0</xdr:rowOff>
    </xdr:to>
    <xdr:sp macro="" textlink="">
      <xdr:nvSpPr>
        <xdr:cNvPr id="18643" name="Line 94">
          <a:extLst>
            <a:ext uri="{FF2B5EF4-FFF2-40B4-BE49-F238E27FC236}">
              <a16:creationId xmlns:a16="http://schemas.microsoft.com/office/drawing/2014/main" id="{00000000-0008-0000-1900-0000D3480000}"/>
            </a:ext>
          </a:extLst>
        </xdr:cNvPr>
        <xdr:cNvSpPr>
          <a:spLocks noChangeShapeType="1"/>
        </xdr:cNvSpPr>
      </xdr:nvSpPr>
      <xdr:spPr bwMode="auto">
        <a:xfrm>
          <a:off x="6926580" y="56921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44</xdr:row>
      <xdr:rowOff>0</xdr:rowOff>
    </xdr:from>
    <xdr:to>
      <xdr:col>10</xdr:col>
      <xdr:colOff>0</xdr:colOff>
      <xdr:row>44</xdr:row>
      <xdr:rowOff>0</xdr:rowOff>
    </xdr:to>
    <xdr:sp macro="" textlink="">
      <xdr:nvSpPr>
        <xdr:cNvPr id="18644" name="Line 95">
          <a:extLst>
            <a:ext uri="{FF2B5EF4-FFF2-40B4-BE49-F238E27FC236}">
              <a16:creationId xmlns:a16="http://schemas.microsoft.com/office/drawing/2014/main" id="{00000000-0008-0000-1900-0000D4480000}"/>
            </a:ext>
          </a:extLst>
        </xdr:cNvPr>
        <xdr:cNvSpPr>
          <a:spLocks noChangeShapeType="1"/>
        </xdr:cNvSpPr>
      </xdr:nvSpPr>
      <xdr:spPr bwMode="auto">
        <a:xfrm>
          <a:off x="6926580" y="80391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43</xdr:row>
      <xdr:rowOff>0</xdr:rowOff>
    </xdr:from>
    <xdr:to>
      <xdr:col>10</xdr:col>
      <xdr:colOff>0</xdr:colOff>
      <xdr:row>43</xdr:row>
      <xdr:rowOff>0</xdr:rowOff>
    </xdr:to>
    <xdr:sp macro="" textlink="">
      <xdr:nvSpPr>
        <xdr:cNvPr id="18645" name="Line 96">
          <a:extLst>
            <a:ext uri="{FF2B5EF4-FFF2-40B4-BE49-F238E27FC236}">
              <a16:creationId xmlns:a16="http://schemas.microsoft.com/office/drawing/2014/main" id="{00000000-0008-0000-1900-0000D5480000}"/>
            </a:ext>
          </a:extLst>
        </xdr:cNvPr>
        <xdr:cNvSpPr>
          <a:spLocks noChangeShapeType="1"/>
        </xdr:cNvSpPr>
      </xdr:nvSpPr>
      <xdr:spPr bwMode="auto">
        <a:xfrm>
          <a:off x="6926580" y="78714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59</xdr:row>
      <xdr:rowOff>0</xdr:rowOff>
    </xdr:from>
    <xdr:to>
      <xdr:col>10</xdr:col>
      <xdr:colOff>0</xdr:colOff>
      <xdr:row>59</xdr:row>
      <xdr:rowOff>0</xdr:rowOff>
    </xdr:to>
    <xdr:sp macro="" textlink="">
      <xdr:nvSpPr>
        <xdr:cNvPr id="18646" name="Line 97">
          <a:extLst>
            <a:ext uri="{FF2B5EF4-FFF2-40B4-BE49-F238E27FC236}">
              <a16:creationId xmlns:a16="http://schemas.microsoft.com/office/drawing/2014/main" id="{00000000-0008-0000-1900-0000D6480000}"/>
            </a:ext>
          </a:extLst>
        </xdr:cNvPr>
        <xdr:cNvSpPr>
          <a:spLocks noChangeShapeType="1"/>
        </xdr:cNvSpPr>
      </xdr:nvSpPr>
      <xdr:spPr bwMode="auto">
        <a:xfrm>
          <a:off x="6926580" y="106756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58</xdr:row>
      <xdr:rowOff>0</xdr:rowOff>
    </xdr:from>
    <xdr:to>
      <xdr:col>10</xdr:col>
      <xdr:colOff>0</xdr:colOff>
      <xdr:row>58</xdr:row>
      <xdr:rowOff>0</xdr:rowOff>
    </xdr:to>
    <xdr:sp macro="" textlink="">
      <xdr:nvSpPr>
        <xdr:cNvPr id="18647" name="Line 98">
          <a:extLst>
            <a:ext uri="{FF2B5EF4-FFF2-40B4-BE49-F238E27FC236}">
              <a16:creationId xmlns:a16="http://schemas.microsoft.com/office/drawing/2014/main" id="{00000000-0008-0000-1900-0000D7480000}"/>
            </a:ext>
          </a:extLst>
        </xdr:cNvPr>
        <xdr:cNvSpPr>
          <a:spLocks noChangeShapeType="1"/>
        </xdr:cNvSpPr>
      </xdr:nvSpPr>
      <xdr:spPr bwMode="auto">
        <a:xfrm>
          <a:off x="6926580" y="105079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70</xdr:row>
      <xdr:rowOff>0</xdr:rowOff>
    </xdr:from>
    <xdr:to>
      <xdr:col>10</xdr:col>
      <xdr:colOff>0</xdr:colOff>
      <xdr:row>70</xdr:row>
      <xdr:rowOff>0</xdr:rowOff>
    </xdr:to>
    <xdr:sp macro="" textlink="">
      <xdr:nvSpPr>
        <xdr:cNvPr id="18648" name="Line 99">
          <a:extLst>
            <a:ext uri="{FF2B5EF4-FFF2-40B4-BE49-F238E27FC236}">
              <a16:creationId xmlns:a16="http://schemas.microsoft.com/office/drawing/2014/main" id="{00000000-0008-0000-1900-0000D8480000}"/>
            </a:ext>
          </a:extLst>
        </xdr:cNvPr>
        <xdr:cNvSpPr>
          <a:spLocks noChangeShapeType="1"/>
        </xdr:cNvSpPr>
      </xdr:nvSpPr>
      <xdr:spPr bwMode="auto">
        <a:xfrm>
          <a:off x="6926580" y="125196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69</xdr:row>
      <xdr:rowOff>0</xdr:rowOff>
    </xdr:from>
    <xdr:to>
      <xdr:col>10</xdr:col>
      <xdr:colOff>0</xdr:colOff>
      <xdr:row>69</xdr:row>
      <xdr:rowOff>0</xdr:rowOff>
    </xdr:to>
    <xdr:sp macro="" textlink="">
      <xdr:nvSpPr>
        <xdr:cNvPr id="18649" name="Line 100">
          <a:extLst>
            <a:ext uri="{FF2B5EF4-FFF2-40B4-BE49-F238E27FC236}">
              <a16:creationId xmlns:a16="http://schemas.microsoft.com/office/drawing/2014/main" id="{00000000-0008-0000-1900-0000D9480000}"/>
            </a:ext>
          </a:extLst>
        </xdr:cNvPr>
        <xdr:cNvSpPr>
          <a:spLocks noChangeShapeType="1"/>
        </xdr:cNvSpPr>
      </xdr:nvSpPr>
      <xdr:spPr bwMode="auto">
        <a:xfrm>
          <a:off x="6926580" y="123520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79</xdr:row>
      <xdr:rowOff>0</xdr:rowOff>
    </xdr:from>
    <xdr:to>
      <xdr:col>10</xdr:col>
      <xdr:colOff>0</xdr:colOff>
      <xdr:row>79</xdr:row>
      <xdr:rowOff>0</xdr:rowOff>
    </xdr:to>
    <xdr:sp macro="" textlink="">
      <xdr:nvSpPr>
        <xdr:cNvPr id="18650" name="Line 101">
          <a:extLst>
            <a:ext uri="{FF2B5EF4-FFF2-40B4-BE49-F238E27FC236}">
              <a16:creationId xmlns:a16="http://schemas.microsoft.com/office/drawing/2014/main" id="{00000000-0008-0000-1900-0000DA480000}"/>
            </a:ext>
          </a:extLst>
        </xdr:cNvPr>
        <xdr:cNvSpPr>
          <a:spLocks noChangeShapeType="1"/>
        </xdr:cNvSpPr>
      </xdr:nvSpPr>
      <xdr:spPr bwMode="auto">
        <a:xfrm>
          <a:off x="6926580" y="14028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8651" name="Line 102">
          <a:extLst>
            <a:ext uri="{FF2B5EF4-FFF2-40B4-BE49-F238E27FC236}">
              <a16:creationId xmlns:a16="http://schemas.microsoft.com/office/drawing/2014/main" id="{00000000-0008-0000-1900-0000DB480000}"/>
            </a:ext>
          </a:extLst>
        </xdr:cNvPr>
        <xdr:cNvSpPr>
          <a:spLocks noChangeShapeType="1"/>
        </xdr:cNvSpPr>
      </xdr:nvSpPr>
      <xdr:spPr bwMode="auto">
        <a:xfrm>
          <a:off x="21945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18652" name="Line 108">
          <a:extLst>
            <a:ext uri="{FF2B5EF4-FFF2-40B4-BE49-F238E27FC236}">
              <a16:creationId xmlns:a16="http://schemas.microsoft.com/office/drawing/2014/main" id="{00000000-0008-0000-1900-0000DC480000}"/>
            </a:ext>
          </a:extLst>
        </xdr:cNvPr>
        <xdr:cNvSpPr>
          <a:spLocks noChangeShapeType="1"/>
        </xdr:cNvSpPr>
      </xdr:nvSpPr>
      <xdr:spPr bwMode="auto">
        <a:xfrm>
          <a:off x="69265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18653" name="Line 109">
          <a:extLst>
            <a:ext uri="{FF2B5EF4-FFF2-40B4-BE49-F238E27FC236}">
              <a16:creationId xmlns:a16="http://schemas.microsoft.com/office/drawing/2014/main" id="{00000000-0008-0000-1900-0000DD480000}"/>
            </a:ext>
          </a:extLst>
        </xdr:cNvPr>
        <xdr:cNvSpPr>
          <a:spLocks noChangeShapeType="1"/>
        </xdr:cNvSpPr>
      </xdr:nvSpPr>
      <xdr:spPr bwMode="auto">
        <a:xfrm>
          <a:off x="43891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18654" name="Line 110">
          <a:extLst>
            <a:ext uri="{FF2B5EF4-FFF2-40B4-BE49-F238E27FC236}">
              <a16:creationId xmlns:a16="http://schemas.microsoft.com/office/drawing/2014/main" id="{00000000-0008-0000-1900-0000DE480000}"/>
            </a:ext>
          </a:extLst>
        </xdr:cNvPr>
        <xdr:cNvSpPr>
          <a:spLocks noChangeShapeType="1"/>
        </xdr:cNvSpPr>
      </xdr:nvSpPr>
      <xdr:spPr bwMode="auto">
        <a:xfrm>
          <a:off x="21945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18655" name="Line 111">
          <a:extLst>
            <a:ext uri="{FF2B5EF4-FFF2-40B4-BE49-F238E27FC236}">
              <a16:creationId xmlns:a16="http://schemas.microsoft.com/office/drawing/2014/main" id="{00000000-0008-0000-1900-0000DF480000}"/>
            </a:ext>
          </a:extLst>
        </xdr:cNvPr>
        <xdr:cNvSpPr>
          <a:spLocks noChangeShapeType="1"/>
        </xdr:cNvSpPr>
      </xdr:nvSpPr>
      <xdr:spPr bwMode="auto">
        <a:xfrm>
          <a:off x="4389120" y="1536954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8656" name="Line 112">
          <a:extLst>
            <a:ext uri="{FF2B5EF4-FFF2-40B4-BE49-F238E27FC236}">
              <a16:creationId xmlns:a16="http://schemas.microsoft.com/office/drawing/2014/main" id="{00000000-0008-0000-1900-0000E0480000}"/>
            </a:ext>
          </a:extLst>
        </xdr:cNvPr>
        <xdr:cNvSpPr>
          <a:spLocks noChangeShapeType="1"/>
        </xdr:cNvSpPr>
      </xdr:nvSpPr>
      <xdr:spPr bwMode="auto">
        <a:xfrm>
          <a:off x="21945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18657" name="Line 75">
          <a:extLst>
            <a:ext uri="{FF2B5EF4-FFF2-40B4-BE49-F238E27FC236}">
              <a16:creationId xmlns:a16="http://schemas.microsoft.com/office/drawing/2014/main" id="{00000000-0008-0000-1900-0000E1480000}"/>
            </a:ext>
          </a:extLst>
        </xdr:cNvPr>
        <xdr:cNvSpPr>
          <a:spLocks noChangeShapeType="1"/>
        </xdr:cNvSpPr>
      </xdr:nvSpPr>
      <xdr:spPr bwMode="auto">
        <a:xfrm>
          <a:off x="2194560" y="19560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18658" name="Line 87">
          <a:extLst>
            <a:ext uri="{FF2B5EF4-FFF2-40B4-BE49-F238E27FC236}">
              <a16:creationId xmlns:a16="http://schemas.microsoft.com/office/drawing/2014/main" id="{00000000-0008-0000-1900-0000E2480000}"/>
            </a:ext>
          </a:extLst>
        </xdr:cNvPr>
        <xdr:cNvSpPr>
          <a:spLocks noChangeShapeType="1"/>
        </xdr:cNvSpPr>
      </xdr:nvSpPr>
      <xdr:spPr bwMode="auto">
        <a:xfrm>
          <a:off x="2194560" y="20734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18659" name="Line 75">
          <a:extLst>
            <a:ext uri="{FF2B5EF4-FFF2-40B4-BE49-F238E27FC236}">
              <a16:creationId xmlns:a16="http://schemas.microsoft.com/office/drawing/2014/main" id="{00000000-0008-0000-1900-0000E3480000}"/>
            </a:ext>
          </a:extLst>
        </xdr:cNvPr>
        <xdr:cNvSpPr>
          <a:spLocks noChangeShapeType="1"/>
        </xdr:cNvSpPr>
      </xdr:nvSpPr>
      <xdr:spPr bwMode="auto">
        <a:xfrm>
          <a:off x="2194560" y="197281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18660" name="Line 79">
          <a:extLst>
            <a:ext uri="{FF2B5EF4-FFF2-40B4-BE49-F238E27FC236}">
              <a16:creationId xmlns:a16="http://schemas.microsoft.com/office/drawing/2014/main" id="{00000000-0008-0000-1900-0000E4480000}"/>
            </a:ext>
          </a:extLst>
        </xdr:cNvPr>
        <xdr:cNvSpPr>
          <a:spLocks noChangeShapeType="1"/>
        </xdr:cNvSpPr>
      </xdr:nvSpPr>
      <xdr:spPr bwMode="auto">
        <a:xfrm>
          <a:off x="2194560" y="18554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18661" name="Line 87">
          <a:extLst>
            <a:ext uri="{FF2B5EF4-FFF2-40B4-BE49-F238E27FC236}">
              <a16:creationId xmlns:a16="http://schemas.microsoft.com/office/drawing/2014/main" id="{00000000-0008-0000-1900-0000E5480000}"/>
            </a:ext>
          </a:extLst>
        </xdr:cNvPr>
        <xdr:cNvSpPr>
          <a:spLocks noChangeShapeType="1"/>
        </xdr:cNvSpPr>
      </xdr:nvSpPr>
      <xdr:spPr bwMode="auto">
        <a:xfrm>
          <a:off x="2194560" y="20901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18662" name="Line 75">
          <a:extLst>
            <a:ext uri="{FF2B5EF4-FFF2-40B4-BE49-F238E27FC236}">
              <a16:creationId xmlns:a16="http://schemas.microsoft.com/office/drawing/2014/main" id="{00000000-0008-0000-1900-0000E6480000}"/>
            </a:ext>
          </a:extLst>
        </xdr:cNvPr>
        <xdr:cNvSpPr>
          <a:spLocks noChangeShapeType="1"/>
        </xdr:cNvSpPr>
      </xdr:nvSpPr>
      <xdr:spPr bwMode="auto">
        <a:xfrm>
          <a:off x="2194560" y="19560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18663" name="Line 87">
          <a:extLst>
            <a:ext uri="{FF2B5EF4-FFF2-40B4-BE49-F238E27FC236}">
              <a16:creationId xmlns:a16="http://schemas.microsoft.com/office/drawing/2014/main" id="{00000000-0008-0000-1900-0000E7480000}"/>
            </a:ext>
          </a:extLst>
        </xdr:cNvPr>
        <xdr:cNvSpPr>
          <a:spLocks noChangeShapeType="1"/>
        </xdr:cNvSpPr>
      </xdr:nvSpPr>
      <xdr:spPr bwMode="auto">
        <a:xfrm>
          <a:off x="2194560" y="20734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18664" name="Line 75">
          <a:extLst>
            <a:ext uri="{FF2B5EF4-FFF2-40B4-BE49-F238E27FC236}">
              <a16:creationId xmlns:a16="http://schemas.microsoft.com/office/drawing/2014/main" id="{00000000-0008-0000-1900-0000E8480000}"/>
            </a:ext>
          </a:extLst>
        </xdr:cNvPr>
        <xdr:cNvSpPr>
          <a:spLocks noChangeShapeType="1"/>
        </xdr:cNvSpPr>
      </xdr:nvSpPr>
      <xdr:spPr bwMode="auto">
        <a:xfrm>
          <a:off x="2194560" y="197281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18665" name="Line 79">
          <a:extLst>
            <a:ext uri="{FF2B5EF4-FFF2-40B4-BE49-F238E27FC236}">
              <a16:creationId xmlns:a16="http://schemas.microsoft.com/office/drawing/2014/main" id="{00000000-0008-0000-1900-0000E9480000}"/>
            </a:ext>
          </a:extLst>
        </xdr:cNvPr>
        <xdr:cNvSpPr>
          <a:spLocks noChangeShapeType="1"/>
        </xdr:cNvSpPr>
      </xdr:nvSpPr>
      <xdr:spPr bwMode="auto">
        <a:xfrm>
          <a:off x="2194560" y="18554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18666" name="Line 87">
          <a:extLst>
            <a:ext uri="{FF2B5EF4-FFF2-40B4-BE49-F238E27FC236}">
              <a16:creationId xmlns:a16="http://schemas.microsoft.com/office/drawing/2014/main" id="{00000000-0008-0000-1900-0000EA480000}"/>
            </a:ext>
          </a:extLst>
        </xdr:cNvPr>
        <xdr:cNvSpPr>
          <a:spLocks noChangeShapeType="1"/>
        </xdr:cNvSpPr>
      </xdr:nvSpPr>
      <xdr:spPr bwMode="auto">
        <a:xfrm>
          <a:off x="2194560" y="20901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2" Type="http://purl.oclc.org/ooxml/officeDocument/relationships/externalLinkPath" Target="file:///C:\Users\vtbxqb\AppData\Local\Microsoft\Windows\INetCache\Content.Outlook\0GAEZK7L\MCS_MAILCHAR25v%20(002).xlsx" TargetMode="External"/><Relationship Id="rId1" Type="http://purl.oclc.org/ooxml/officeDocument/relationships/externalLinkPath" Target="file:///C:\Users\vtbxqb\AppData\Local\Microsoft\Windows\INetCache\Content.Outlook\0GAEZK7L\MCS_MAILCHAR25v%20(002).xlsx" TargetMode="External"/></Relationships>
</file>

<file path=xl/externalLinks/_rels/externalLink2.xml.rels><?xml version="1.0" encoding="UTF-8" standalone="yes"?>
<Relationships xmlns="http://schemas.openxmlformats.org/package/2006/relationships"><Relationship Id="rId2" Type="http://purl.oclc.org/ooxml/officeDocument/relationships/externalLinkPath" Target="https://usps365-my.sharepoint.com/personal/kamaldeep_walia_usps_gov/Documents/Desktop/ACR2025%20Inputs/shp25prc.xlsx" TargetMode="External"/><Relationship Id="rId1" Type="http://purl.oclc.org/ooxml/officeDocument/relationships/externalLinkPath" Target="/personal/kamaldeep_walia_usps_gov/Documents/Desktop/ACR2025%20Inputs/shp25prc.xlsx" TargetMode="External"/></Relationships>
</file>

<file path=xl/externalLinks/_rels/externalLink3.xml.rels><?xml version="1.0" encoding="UTF-8" standalone="yes"?>
<Relationships xmlns="http://schemas.openxmlformats.org/package/2006/relationships"><Relationship Id="rId2" Type="http://purl.oclc.org/ooxml/officeDocument/relationships/externalLinkPath" Target="https://usps365-my.sharepoint.com/personal/kamaldeep_walia_usps_gov/Documents/Desktop/ACR2025%20Inputs/Coverage%20Factors%2025v.xlsx" TargetMode="External"/><Relationship Id="rId1" Type="http://purl.oclc.org/ooxml/officeDocument/relationships/externalLinkPath" Target="/personal/kamaldeep_walia_usps_gov/Documents/Desktop/ACR2025%20Inputs/Coverage%20Factors%2025v.xlsx" TargetMode="External"/></Relationships>
</file>

<file path=xl/externalLinks/_rels/externalLink4.xml.rels><?xml version="1.0" encoding="UTF-8" standalone="yes"?>
<Relationships xmlns="http://schemas.openxmlformats.org/package/2006/relationships"><Relationship Id="rId2" Type="http://purl.oclc.org/ooxml/officeDocument/relationships/externalLinkPath" Target="file:///C:\Users\vtbxqb\AppData\Local\Microsoft\Windows\INetCache\Content.Outlook\ZOOHLDJB\Coverage%20Factors%2024v.xlsx" TargetMode="External"/><Relationship Id="rId1" Type="http://purl.oclc.org/ooxml/officeDocument/relationships/externalLinkPath" Target="file:///C:\Users\vtbxqb\AppData\Local\Microsoft\Windows\INetCache\Content.Outlook\ZOOHLDJB\Coverage%20Factors%2024v.xlsx" TargetMode="External"/></Relationships>
</file>

<file path=xl/externalLinks/_rels/externalLink5.xml.rels><?xml version="1.0" encoding="UTF-8" standalone="yes"?>
<Relationships xmlns="http://schemas.openxmlformats.org/package/2006/relationships"><Relationship Id="rId1" Type="http://purl.oclc.org/ooxml/officeDocument/relationships/externalLinkPath" Target="/Users/vtbxqb/AppData/Local/Microsoft/Windows/INetCache/Content.Outlook/LRGZS708/Accept2021_v.xlsx" TargetMode="External"/></Relationships>
</file>

<file path=xl/externalLinks/_rels/externalLink6.xml.rels><?xml version="1.0" encoding="UTF-8" standalone="yes"?>
<Relationships xmlns="http://schemas.openxmlformats.org/package/2006/relationships"><Relationship Id="rId2" Type="http://purl.oclc.org/ooxml/officeDocument/relationships/externalLinkPath" Target="https://usps365-my.sharepoint.com/personal/kamaldeep_walia_usps_gov/Documents/Desktop/ACR2025%20Inputs/Accept2025_v.xlsx" TargetMode="External"/><Relationship Id="rId1" Type="http://purl.oclc.org/ooxml/officeDocument/relationships/externalLinkPath" Target="/personal/kamaldeep_walia_usps_gov/Documents/Desktop/ACR2025%20Inputs/Accept2025_v.xlsx" TargetMode="External"/></Relationships>
</file>

<file path=xl/externalLinks/_rels/externalLink7.xml.rels><?xml version="1.0" encoding="UTF-8" standalone="yes"?>
<Relationships xmlns="http://schemas.openxmlformats.org/package/2006/relationships"><Relationship Id="rId2" Type="http://purl.oclc.org/ooxml/officeDocument/relationships/externalLinkPath" Target="file:///C:\Users\vtbxqb\AppData\Local\Microsoft\Windows\INetCache\Content.Outlook\ZOOHLDJB\Accept2024_v.xlsx" TargetMode="External"/><Relationship Id="rId1" Type="http://purl.oclc.org/ooxml/officeDocument/relationships/externalLinkPath" Target="file:///C:\Users\vtbxqb\AppData\Local\Microsoft\Windows\INetCache\Content.Outlook\ZOOHLDJB\Accept2024_v.xlsx" TargetMode="External"/></Relationships>
</file>

<file path=xl/externalLinks/_rels/externalLink8.xml.rels><?xml version="1.0" encoding="UTF-8" standalone="yes"?>
<Relationships xmlns="http://schemas.openxmlformats.org/package/2006/relationships"><Relationship Id="rId1" Type="http://purl.oclc.org/ooxml/officeDocument/relationships/externalLinkPath" Target="/Documents%20and%20Settings/rubindh/Local%20Settings/Temporary%20Internet%20Files/OLK729/Piece%20density/xALLx/Summary.xls" TargetMode="External"/></Relationships>
</file>

<file path=xl/externalLinks/_rels/externalLink9.xml.rels><?xml version="1.0" encoding="UTF-8" standalone="yes"?>
<Relationships xmlns="http://schemas.openxmlformats.org/package/2006/relationships"><Relationship Id="rId2" Type="http://purl.oclc.org/ooxml/officeDocument/relationships/externalLinkPath" Target="https://usps365-my.sharepoint.com/personal/kamaldeep_walia_usps_gov/Documents/Desktop/ACR2025%20Inputs/FY25%20ACR%20inputs%20to%20Special%20Cost%20Studies%20Public.xlsx" TargetMode="External"/><Relationship Id="rId1" Type="http://purl.oclc.org/ooxml/officeDocument/relationships/externalLinkPath" Target="/personal/kamaldeep_walia_usps_gov/Documents/Desktop/ACR2025%20Inputs/FY25%20ACR%20inputs%20to%20Special%20Cost%20Studies%20Public.xlsx" TargetMode="External"/></Relationships>
</file>

<file path=xl/externalLinks/_rels/externalLink10.xml.rels><?xml version="1.0" encoding="UTF-8" standalone="yes"?>
<Relationships xmlns="http://schemas.openxmlformats.org/package/2006/relationships"><Relationship Id="rId2" Type="http://purl.oclc.org/ooxml/officeDocument/relationships/externalLinkPath" Target="https://usps365-my.sharepoint.com/personal/kamaldeep_walia_usps_gov/Documents/ACR2025%20Inputs/YRscrub2025_revised.xlsx" TargetMode="External"/><Relationship Id="rId1" Type="http://purl.oclc.org/ooxml/officeDocument/relationships/externalLinkPath" Target="/personal/kamaldeep_walia_usps_gov/Documents/ACR2025%20Inputs/YRscrub2025_revised.xlsx" TargetMode="External"/></Relationships>
</file>

<file path=xl/externalLinks/_rels/externalLink11.xml.rels><?xml version="1.0" encoding="UTF-8" standalone="yes"?>
<Relationships xmlns="http://schemas.openxmlformats.org/package/2006/relationships"><Relationship Id="rId2" Type="http://purl.oclc.org/ooxml/officeDocument/relationships/externalLinkPath" Target="https://usps365-my.sharepoint.com/personal/kamaldeep_walia_usps_gov/Documents/ACR2025%20Inputs/RECprods2025_revised.xlsx" TargetMode="External"/><Relationship Id="rId1" Type="http://purl.oclc.org/ooxml/officeDocument/relationships/externalLinkPath" Target="/personal/kamaldeep_walia_usps_gov/Documents/ACR2025%20Inputs/RECprods2025_revised.xlsx" TargetMode="External"/></Relationships>
</file>

<file path=xl/externalLinks/_rels/externalLink12.xml.rels><?xml version="1.0" encoding="UTF-8" standalone="yes"?>
<Relationships xmlns="http://schemas.openxmlformats.org/package/2006/relationships"><Relationship Id="rId1" Type="http://purl.oclc.org/ooxml/officeDocument/relationships/externalLinkPath" Target="/Users/millermw/Documents/ACR2015/USPS-FY15-23/YRscrub2015.xlsx" TargetMode="External"/></Relationships>
</file>

<file path=xl/externalLinks/_rels/externalLink13.xml.rels><?xml version="1.0" encoding="UTF-8" standalone="yes"?>
<Relationships xmlns="http://schemas.openxmlformats.org/package/2006/relationships"><Relationship Id="rId2" Type="http://purl.oclc.org/ooxml/officeDocument/relationships/externalLinkPath" Target="https://usps365-my.sharepoint.com/personal/kamaldeep_walia_usps_gov/Documents/Desktop/ACR2025%20Inputs/eFlash_Prod_RM2025-4_FY2025.xlsx" TargetMode="External"/><Relationship Id="rId1" Type="http://purl.oclc.org/ooxml/officeDocument/relationships/externalLinkPath" Target="/personal/kamaldeep_walia_usps_gov/Documents/Desktop/ACR2025%20Inputs/eFlash_Prod_RM2025-4_FY2025.xlsx" TargetMode="External"/></Relationships>
</file>

<file path=xl/externalLinks/_rels/externalLink14.xml.rels><?xml version="1.0" encoding="UTF-8" standalone="yes"?>
<Relationships xmlns="http://schemas.openxmlformats.org/package/2006/relationships"><Relationship Id="rId2" Type="http://purl.oclc.org/ooxml/officeDocument/relationships/externalLinkPath" Target="https://usps365-my.sharepoint.com/personal/kamaldeep_walia_usps_gov/Documents/Desktop/ACR2025%20Inputs/MCS_MAILCHAR25v.xlsx" TargetMode="External"/><Relationship Id="rId1" Type="http://purl.oclc.org/ooxml/officeDocument/relationships/externalLinkPath" Target="/personal/kamaldeep_walia_usps_gov/Documents/Desktop/ACR2025%20Inputs/MCS_MAILCHAR25v.xlsx" TargetMode="External"/></Relationships>
</file>

<file path=xl/externalLinks/_rels/externalLink15.xml.rels><?xml version="1.0" encoding="UTF-8" standalone="yes"?>
<Relationships xmlns="http://schemas.openxmlformats.org/package/2006/relationships"><Relationship Id="rId1" Type="http://purl.oclc.org/ooxml/officeDocument/relationships/externalLinkPath" Target="/Users/millermw/Documents/RM%20DOCKETS/RM2009-1/Facility%20Study.xls" TargetMode="External"/></Relationships>
</file>

<file path=xl/externalLinks/_rels/externalLink16.xml.rels><?xml version="1.0" encoding="UTF-8" standalone="yes"?>
<Relationships xmlns="http://schemas.openxmlformats.org/package/2006/relationships"><Relationship Id="rId1" Type="http://purl.oclc.org/ooxml/officeDocument/relationships/externalLinkPath" Target="file:///C:\Users\millermw\Documents\RM%20DOCKETS\RM2009-1\Facility%20Study.xls" TargetMode="External"/></Relationships>
</file>

<file path=xl/externalLinks/_rels/externalLink17.xml.rels><?xml version="1.0" encoding="UTF-8" standalone="yes"?>
<Relationships xmlns="http://schemas.openxmlformats.org/package/2006/relationships"><Relationship Id="rId2" Type="http://purl.oclc.org/ooxml/officeDocument/relationships/externalLinkPath" Target="file:///\\Files\Post\MCB\S21\ACR%202025\USPS-FY25-11%20MM-FCM\Inputs\FY25%20ACR%20inputs%20to%20Special%20Cost%20Studies%20Public.xlsx" TargetMode="External"/><Relationship Id="rId1" Type="http://purl.oclc.org/ooxml/officeDocument/relationships/externalLinkPath" Target="file:///\\Files\Post\MCB\S21\ACR%202025\USPS-FY25-11%20MM-FCM\Inputs\FY25%20ACR%20inputs%20to%20Special%20Cost%20Studies%20Public.xlsx" TargetMode="External"/></Relationships>
</file>

<file path=xl/externalLinks/_rels/externalLink18.xml.rels><?xml version="1.0" encoding="UTF-8" standalone="yes"?>
<Relationships xmlns="http://schemas.openxmlformats.org/package/2006/relationships"><Relationship Id="rId2" Type="http://purl.oclc.org/ooxml/officeDocument/relationships/externalLinkPath" Target="https://usps365-my.sharepoint.com/personal/kamaldeep_walia_usps_gov/Documents/ACR2025%20Inputs/MPPGBY25PRC.xlsx" TargetMode="External"/><Relationship Id="rId1" Type="http://purl.oclc.org/ooxml/officeDocument/relationships/externalLinkPath" Target="/personal/kamaldeep_walia_usps_gov/Documents/ACR2025%20Inputs/MPPGBY25PRC.xlsx" TargetMode="External"/></Relationships>
</file>

<file path=xl/externalLinks/_rels/externalLink19.xml.rels><?xml version="1.0" encoding="UTF-8" standalone="yes"?>
<Relationships xmlns="http://schemas.openxmlformats.org/package/2006/relationships"><Relationship Id="rId2" Type="http://purl.oclc.org/ooxml/officeDocument/relationships/externalLinkPath" Target="file:///Z:\Cost%20Attribution\ACR%20File%20Ref\ACR2024\Public\FY24-25%20MP%20Op%20Spec%20Piggyback%20Factors\MPPGBY24PRC.xlsx" TargetMode="External"/><Relationship Id="rId1" Type="http://purl.oclc.org/ooxml/officeDocument/relationships/externalLinkPath" Target="file:///Z:\Cost%20Attribution\ACR%20File%20Ref\ACR2024\Public\FY24-25%20MP%20Op%20Spec%20Piggyback%20Factors\MPPGBY24PRC.xlsx" TargetMode="External"/></Relationships>
</file>

<file path=xl/externalLinks/_rels/externalLink20.xml.rels><?xml version="1.0" encoding="UTF-8" standalone="yes"?>
<Relationships xmlns="http://schemas.openxmlformats.org/package/2006/relationships"><Relationship Id="rId2" Type="http://purl.oclc.org/ooxml/officeDocument/relationships/externalLinkPath" Target="file:///C:\Users\vtbxqb\AppData\Local\Microsoft\Windows\INetCache\Content.Outlook\0GAEZK7L\MCS_MAILCHAR25v.xlsx" TargetMode="External"/><Relationship Id="rId1" Type="http://purl.oclc.org/ooxml/officeDocument/relationships/externalLinkPath" Target="file:///C:\Users\vtbxqb\AppData\Local\Microsoft\Windows\INetCache\Content.Outlook\0GAEZK7L\MCS_MAILCHAR25v.xlsx" TargetMode="External"/></Relationships>
</file>

<file path=xl/externalLinks/_rels/externalLink21.xml.rels><?xml version="1.0" encoding="UTF-8" standalone="yes"?>
<Relationships xmlns="http://schemas.openxmlformats.org/package/2006/relationships"><Relationship Id="rId2" Type="http://purl.oclc.org/ooxml/officeDocument/relationships/externalLinkPath" Target="https://usps365-my.sharepoint.com/personal/michael_w_miller_usps_gov/Documents/Documents/ACR2023/USPS-FY23-14/MAILCHAR23.xlsx" TargetMode="External"/><Relationship Id="rId1" Type="http://purl.oclc.org/ooxml/officeDocument/relationships/externalLinkPath" Target="/personal/michael_w_miller_usps_gov/Documents/Documents/ACR2023/USPS-FY23-14/MAILCHAR23.xlsx" TargetMode="External"/></Relationships>
</file>

<file path=xl/externalLinks/_rels/externalLink22.xml.rels><?xml version="1.0" encoding="UTF-8" standalone="yes"?>
<Relationships xmlns="http://schemas.openxmlformats.org/package/2006/relationships"><Relationship Id="rId2" Type="http://purl.oclc.org/ooxml/officeDocument/relationships/externalLinkPath" Target="file:///C:\Users\vtbxqb\AppData\Local\Microsoft\Windows\INetCache\Content.Outlook\ZOOHLDJB\MAILCHAR24v%20(002).xlsx" TargetMode="External"/><Relationship Id="rId1" Type="http://purl.oclc.org/ooxml/officeDocument/relationships/externalLinkPath" Target="file:///C:\Users\vtbxqb\AppData\Local\Microsoft\Windows\INetCache\Content.Outlook\ZOOHLDJB\MAILCHAR24v%20(002).xlsx" TargetMode="External"/></Relationships>
</file>

<file path=xl/externalLinks/externalLink1.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absoluteUrl r:id="rId2"/>
    </xxl21:alternateUrls>
    <sheetNames>
      <sheetName val="FCM PRESORT LETTERS"/>
      <sheetName val="FCM PRESORT CARDS"/>
      <sheetName val="FCM PRESORT FLATS"/>
      <sheetName val="PERIODICALS FLATS"/>
      <sheetName val="USPS MM LETTERS"/>
      <sheetName val="USPS MM FLATS"/>
      <sheetName val="USPS MM CARRIER ROUTE FLATS"/>
      <sheetName val="USPS MM CR FLATS"/>
      <sheetName val="USPS MM ENTRY PROFILE"/>
      <sheetName val="CONTAINER STATISTICS"/>
      <sheetName val="USPS MM FLATS BY CON RATE"/>
      <sheetName val="PERIODICAL BUNDLE DENSITIES"/>
      <sheetName val="USPS MM BUNDLE DENSITIES"/>
      <sheetName val="NON 5D-CONTAINER AVE BUN SIZE"/>
      <sheetName val="FCM PCS PER TRAY"/>
      <sheetName val="DELIVERY"/>
      <sheetName val="Order 6658"/>
      <sheetName val="BPM_20_Sta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0">
          <cell r="B10">
            <v>6370915649.6242037</v>
          </cell>
          <cell r="C10">
            <v>34237234.74083893</v>
          </cell>
        </row>
        <row r="11">
          <cell r="B11">
            <v>2188515.599461081</v>
          </cell>
          <cell r="C11">
            <v>16566.730275700116</v>
          </cell>
        </row>
        <row r="12">
          <cell r="B12">
            <v>21332845410.03569</v>
          </cell>
          <cell r="C12">
            <v>77759350.718593493</v>
          </cell>
        </row>
        <row r="18">
          <cell r="B18">
            <v>836121453.02696145</v>
          </cell>
          <cell r="C18">
            <v>1705469.142550207</v>
          </cell>
        </row>
        <row r="19">
          <cell r="B19">
            <v>4517432.9699312495</v>
          </cell>
          <cell r="C19">
            <v>33366.007878076554</v>
          </cell>
        </row>
        <row r="20">
          <cell r="B20">
            <v>1273137432.9194393</v>
          </cell>
          <cell r="C20">
            <v>2413081.0917971311</v>
          </cell>
        </row>
        <row r="30">
          <cell r="C30">
            <v>626047.72168930282</v>
          </cell>
          <cell r="D30">
            <v>18840.257298348632</v>
          </cell>
        </row>
        <row r="31">
          <cell r="C31">
            <v>18589922.758781977</v>
          </cell>
          <cell r="D31">
            <v>317064.32809246972</v>
          </cell>
        </row>
        <row r="32">
          <cell r="C32">
            <v>6376339.0526709454</v>
          </cell>
          <cell r="D32">
            <v>107775.30031054415</v>
          </cell>
        </row>
        <row r="33">
          <cell r="C33">
            <v>23394223.915570825</v>
          </cell>
          <cell r="D33">
            <v>554527.39705498016</v>
          </cell>
        </row>
        <row r="34">
          <cell r="C34">
            <v>10198361.702709874</v>
          </cell>
          <cell r="D34">
            <v>167659.76759077222</v>
          </cell>
        </row>
        <row r="35">
          <cell r="C35">
            <v>44360900.750273839</v>
          </cell>
          <cell r="D35">
            <v>690296.84858204634</v>
          </cell>
        </row>
        <row r="36">
          <cell r="C36">
            <v>114794161.52862188</v>
          </cell>
          <cell r="D36">
            <v>2491497.8372885953</v>
          </cell>
        </row>
        <row r="37">
          <cell r="C37">
            <v>17375282.471019551</v>
          </cell>
          <cell r="D37">
            <v>199068.21509505768</v>
          </cell>
        </row>
        <row r="38">
          <cell r="C38">
            <v>63537036.047945768</v>
          </cell>
          <cell r="D38">
            <v>1295420.3480253846</v>
          </cell>
        </row>
      </sheetData>
      <sheetData sheetId="15" refreshError="1"/>
      <sheetData sheetId="16" refreshError="1"/>
      <sheetData sheetId="17" refreshError="1"/>
    </sheetDataSet>
  </externalBook>
</externalLink>
</file>

<file path=xl/externalLinks/externalLink2.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absoluteUrl r:id="rId2"/>
    </xxl21:alternateUrls>
    <sheetNames>
      <sheetName val="Doc"/>
      <sheetName val="Products"/>
      <sheetName val="PB"/>
      <sheetName val="LTTR VVC"/>
      <sheetName val="LTTR VVC W Premium Pay"/>
      <sheetName val="LTTR Unit Costs W PB &amp; MP RF"/>
      <sheetName val="LTTR Unit Costs  Final Adj."/>
      <sheetName val="FLAT VVC"/>
      <sheetName val="FLAT VVC W Premium Pay"/>
      <sheetName val="FLAT Unit Costs W PB &amp; MP RF"/>
      <sheetName val="FLAT Unit Costs W Final Adj"/>
      <sheetName val="PARCEL VVC"/>
      <sheetName val="PARCEL VVC W Premium Pay"/>
      <sheetName val="PARCEL Unit Costs W PB &amp; MP RF"/>
      <sheetName val="PARCEL Unit Costs W  Final Adj."/>
      <sheetName val="VVC (All Shapes)  W Premium Pay"/>
      <sheetName val="Costs (All Shapes) W PB &amp; MP RF"/>
      <sheetName val="Costs (All Shapes) W Final RF"/>
      <sheetName val="Summary WO Cost Adj."/>
      <sheetName val="ECR Cost Adj."/>
      <sheetName val="Final Adj."/>
      <sheetName val="Final Summary"/>
      <sheetName val="Non-Letter Outside County Per."/>
    </sheetNames>
    <sheetDataSet>
      <sheetData sheetId="0"/>
      <sheetData sheetId="1"/>
      <sheetData sheetId="2"/>
      <sheetData sheetId="3"/>
      <sheetData sheetId="4"/>
      <sheetData sheetId="5"/>
      <sheetData sheetId="6">
        <row r="6">
          <cell r="F6">
            <v>3.5241512441823368</v>
          </cell>
        </row>
      </sheetData>
      <sheetData sheetId="7"/>
      <sheetData sheetId="8"/>
      <sheetData sheetId="9"/>
      <sheetData sheetId="10">
        <row r="6">
          <cell r="E6">
            <v>1.1272591951197184</v>
          </cell>
        </row>
        <row r="7">
          <cell r="E7">
            <v>30.215422253823792</v>
          </cell>
        </row>
        <row r="9">
          <cell r="E9">
            <v>0.20623590041702197</v>
          </cell>
        </row>
        <row r="10">
          <cell r="E10">
            <v>1.2154888531421673</v>
          </cell>
        </row>
        <row r="11">
          <cell r="E11">
            <v>0.70835711759759634</v>
          </cell>
        </row>
        <row r="12">
          <cell r="E12">
            <v>2.3674792773599553</v>
          </cell>
        </row>
        <row r="13">
          <cell r="E13">
            <v>3.2575517471284487</v>
          </cell>
        </row>
        <row r="14">
          <cell r="E14">
            <v>0.4184634720832115</v>
          </cell>
        </row>
        <row r="15">
          <cell r="E15">
            <v>1.4324583769826512E-3</v>
          </cell>
        </row>
        <row r="16">
          <cell r="E16">
            <v>0.33800046213188134</v>
          </cell>
        </row>
        <row r="17">
          <cell r="E17">
            <v>0.10180842934530844</v>
          </cell>
        </row>
        <row r="18">
          <cell r="E18">
            <v>1.7467164366732553</v>
          </cell>
        </row>
        <row r="19">
          <cell r="E19">
            <v>0.26912676400414642</v>
          </cell>
        </row>
        <row r="20">
          <cell r="E20">
            <v>0</v>
          </cell>
        </row>
        <row r="21">
          <cell r="E21">
            <v>0.12579918753689256</v>
          </cell>
        </row>
        <row r="22">
          <cell r="E22">
            <v>1.7180085014214235</v>
          </cell>
        </row>
        <row r="23">
          <cell r="E23">
            <v>6.528266573299317E-2</v>
          </cell>
        </row>
        <row r="24">
          <cell r="E24">
            <v>9.6866677664143381</v>
          </cell>
        </row>
        <row r="25">
          <cell r="E25">
            <v>8.3184342622548743E-2</v>
          </cell>
        </row>
        <row r="26">
          <cell r="E26">
            <v>6.3063594684715979E-2</v>
          </cell>
        </row>
        <row r="27">
          <cell r="E27">
            <v>3.7936789512418891E-2</v>
          </cell>
        </row>
        <row r="28">
          <cell r="E28">
            <v>0.35322377773372193</v>
          </cell>
        </row>
        <row r="29">
          <cell r="E29">
            <v>6.3474976045066578E-2</v>
          </cell>
        </row>
        <row r="30">
          <cell r="E30">
            <v>0.25146951814129404</v>
          </cell>
        </row>
        <row r="31">
          <cell r="E31">
            <v>2.6764577428580419E-2</v>
          </cell>
        </row>
        <row r="32">
          <cell r="E32">
            <v>4.5210846496155463E-2</v>
          </cell>
        </row>
        <row r="33">
          <cell r="E33">
            <v>0.34043531431429142</v>
          </cell>
        </row>
        <row r="34">
          <cell r="E34">
            <v>0.13666159971911046</v>
          </cell>
        </row>
        <row r="35">
          <cell r="E35">
            <v>0.15321664192083029</v>
          </cell>
        </row>
        <row r="36">
          <cell r="E36">
            <v>0</v>
          </cell>
        </row>
        <row r="38">
          <cell r="E38">
            <v>2.5773454485366183E-4</v>
          </cell>
        </row>
        <row r="39">
          <cell r="E39">
            <v>0.19441349175917827</v>
          </cell>
        </row>
        <row r="40">
          <cell r="E40">
            <v>0.41297549804775696</v>
          </cell>
        </row>
        <row r="41">
          <cell r="E41">
            <v>8.5505057181298555E-2</v>
          </cell>
        </row>
        <row r="42">
          <cell r="E42">
            <v>0</v>
          </cell>
        </row>
        <row r="43">
          <cell r="E43">
            <v>7.3235601669543349E-2</v>
          </cell>
        </row>
        <row r="44">
          <cell r="E44">
            <v>0.16899802574034006</v>
          </cell>
        </row>
        <row r="45">
          <cell r="E45">
            <v>4.5024721835769679</v>
          </cell>
        </row>
        <row r="46">
          <cell r="E46">
            <v>6.6876899873786366E-2</v>
          </cell>
        </row>
        <row r="47">
          <cell r="E47">
            <v>2.7925734104094295E-3</v>
          </cell>
        </row>
        <row r="48">
          <cell r="E48">
            <v>0.33540320625146175</v>
          </cell>
        </row>
        <row r="49">
          <cell r="E49">
            <v>2.0821376376855816</v>
          </cell>
        </row>
        <row r="50">
          <cell r="E50">
            <v>1.9993932618975407</v>
          </cell>
        </row>
        <row r="51">
          <cell r="E51">
            <v>0</v>
          </cell>
        </row>
        <row r="52">
          <cell r="E52">
            <v>5.5573051118789047</v>
          </cell>
        </row>
        <row r="53">
          <cell r="E53">
            <v>0.16617247155509327</v>
          </cell>
        </row>
        <row r="54">
          <cell r="E54">
            <v>0.39676140483245004</v>
          </cell>
        </row>
        <row r="55">
          <cell r="E55">
            <v>0.57749623697627284</v>
          </cell>
        </row>
        <row r="56">
          <cell r="E56">
            <v>3.922273575890603E-3</v>
          </cell>
        </row>
        <row r="57">
          <cell r="E57">
            <v>0</v>
          </cell>
        </row>
      </sheetData>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absoluteUrl r:id="rId2"/>
    </xxl21:alternateUrls>
    <sheetNames>
      <sheetName val="FY25"/>
    </sheetNames>
    <sheetDataSet>
      <sheetData sheetId="0">
        <row r="6">
          <cell r="C6">
            <v>0.41322614567088495</v>
          </cell>
        </row>
        <row r="8">
          <cell r="C8">
            <v>0.57953240690519603</v>
          </cell>
        </row>
        <row r="10">
          <cell r="C10">
            <v>7.2414474239187072E-3</v>
          </cell>
        </row>
        <row r="12">
          <cell r="C12">
            <v>0.99999999999999967</v>
          </cell>
        </row>
        <row r="14">
          <cell r="C14">
            <v>0.99999539464188447</v>
          </cell>
        </row>
        <row r="16">
          <cell r="C16">
            <v>0</v>
          </cell>
        </row>
        <row r="18">
          <cell r="C18">
            <v>0</v>
          </cell>
        </row>
        <row r="20">
          <cell r="C20">
            <v>4.6053581159079979E-6</v>
          </cell>
        </row>
        <row r="22">
          <cell r="C22">
            <v>1.0000000000000004</v>
          </cell>
        </row>
        <row r="24">
          <cell r="C24">
            <v>0.77083131522657944</v>
          </cell>
        </row>
        <row r="30">
          <cell r="C30">
            <v>0.43789906901121634</v>
          </cell>
        </row>
        <row r="32">
          <cell r="C32">
            <v>0.53131470964892846</v>
          </cell>
        </row>
        <row r="34">
          <cell r="C34">
            <v>3.0786221339854355E-2</v>
          </cell>
        </row>
        <row r="36">
          <cell r="C36">
            <v>0.99999999999999911</v>
          </cell>
        </row>
        <row r="38">
          <cell r="C38">
            <v>0.99397739428218057</v>
          </cell>
        </row>
        <row r="40">
          <cell r="C40">
            <v>0</v>
          </cell>
        </row>
        <row r="42">
          <cell r="C42">
            <v>0</v>
          </cell>
        </row>
        <row r="44">
          <cell r="C44">
            <v>6.0226057178184916E-3</v>
          </cell>
        </row>
        <row r="46">
          <cell r="C46">
            <v>0.99999999999999911</v>
          </cell>
        </row>
        <row r="48">
          <cell r="C48">
            <v>0.77560774057682547</v>
          </cell>
        </row>
      </sheetData>
    </sheetDataSet>
  </externalBook>
</externalLink>
</file>

<file path=xl/externalLinks/externalLink4.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absoluteUrl r:id="rId2"/>
    </xxl21:alternateUrls>
    <sheetNames>
      <sheetName val="FY24"/>
      <sheetName val="FY25"/>
    </sheetNames>
    <sheetDataSet>
      <sheetData sheetId="0">
        <row r="6">
          <cell r="C6">
            <v>0.4328611846142193</v>
          </cell>
        </row>
        <row r="28">
          <cell r="C28" t="str">
            <v>First-Class</v>
          </cell>
        </row>
      </sheetData>
      <sheetData sheetId="1">
        <row r="12">
          <cell r="D12">
            <v>0.99999999999999989</v>
          </cell>
        </row>
      </sheetData>
    </sheetDataSet>
  </externalBook>
</externalLink>
</file>

<file path=xl/externalLinks/externalLink5.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sheetNames>
      <sheetName val="Letters"/>
      <sheetName val="Flats"/>
      <sheetName val="Parcels"/>
      <sheetName val="ppgar"/>
      <sheetName val="afsmrefeed"/>
      <sheetName val="ufsmkey"/>
      <sheetName val="appsspbsgar"/>
      <sheetName val="flatgar"/>
      <sheetName val="mlissgar"/>
      <sheetName val="lettergar"/>
      <sheetName val="diossgar"/>
      <sheetName val="WebROADS"/>
    </sheetNames>
    <sheetDataSet>
      <sheetData sheetId="0" refreshError="1"/>
      <sheetData sheetId="1" refreshError="1">
        <row r="8">
          <cell r="A8" t="str">
            <v>APPS/APBS/LIPS/SPSS/EPPS/ADUS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absoluteUrl r:id="rId2"/>
    </xxl21:alternateUrls>
    <sheetNames>
      <sheetName val="Letters"/>
      <sheetName val="Flats"/>
      <sheetName val="Parcels"/>
      <sheetName val="ppgar"/>
      <sheetName val="afsmrefeed"/>
      <sheetName val="ufsmkey"/>
      <sheetName val="appsspbsgar"/>
      <sheetName val="flatgar"/>
      <sheetName val="mlissgar"/>
      <sheetName val="lettergar"/>
      <sheetName val="diossgar"/>
      <sheetName val="WebROADS"/>
    </sheetNames>
    <sheetDataSet>
      <sheetData sheetId="0">
        <row r="6">
          <cell r="C6">
            <v>0.90245715339016008</v>
          </cell>
        </row>
      </sheetData>
      <sheetData sheetId="1">
        <row r="8">
          <cell r="H8">
            <v>0.84905640284582573</v>
          </cell>
        </row>
        <row r="11">
          <cell r="H11">
            <v>0.88162885148614423</v>
          </cell>
        </row>
        <row r="14">
          <cell r="F14">
            <v>1.2707072519633367E-2</v>
          </cell>
          <cell r="G14">
            <v>0.92783966347078106</v>
          </cell>
          <cell r="H14">
            <v>0.95327189462561079</v>
          </cell>
        </row>
        <row r="15">
          <cell r="F15">
            <v>7.9879359908480909E-3</v>
          </cell>
          <cell r="G15">
            <v>0.92783966347078106</v>
          </cell>
          <cell r="H15">
            <v>0.90730744293695564</v>
          </cell>
        </row>
        <row r="16">
          <cell r="F16">
            <v>1.005332231380021E-2</v>
          </cell>
          <cell r="G16">
            <v>0.92783966347078106</v>
          </cell>
          <cell r="H16">
            <v>0.92748318352547432</v>
          </cell>
        </row>
        <row r="17">
          <cell r="F17">
            <v>9.7273555860640064E-3</v>
          </cell>
          <cell r="G17">
            <v>0.92783966347078106</v>
          </cell>
          <cell r="H17">
            <v>0.95050882548269811</v>
          </cell>
        </row>
      </sheetData>
      <sheetData sheetId="2"/>
      <sheetData sheetId="3"/>
      <sheetData sheetId="4"/>
      <sheetData sheetId="5"/>
      <sheetData sheetId="6"/>
      <sheetData sheetId="7"/>
      <sheetData sheetId="8"/>
      <sheetData sheetId="9"/>
      <sheetData sheetId="10"/>
      <sheetData sheetId="11"/>
    </sheetDataSet>
  </externalBook>
</externalLink>
</file>

<file path=xl/externalLinks/externalLink7.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absoluteUrl r:id="rId2"/>
    </xxl21:alternateUrls>
    <sheetNames>
      <sheetName val="Letters"/>
      <sheetName val="Flats"/>
      <sheetName val="Parcels"/>
      <sheetName val="ppgar"/>
      <sheetName val="afsmrefeed"/>
      <sheetName val="ufsmkey"/>
      <sheetName val="appsspbsgar"/>
      <sheetName val="flatgar"/>
      <sheetName val="mlissgar"/>
      <sheetName val="lettergar"/>
      <sheetName val="diossgar"/>
      <sheetName val="WebROADS"/>
    </sheetNames>
    <sheetDataSet>
      <sheetData sheetId="0">
        <row r="6">
          <cell r="C6">
            <v>0.90878306492554928</v>
          </cell>
        </row>
      </sheetData>
      <sheetData sheetId="1">
        <row r="8">
          <cell r="H8">
            <v>0.85591087170901103</v>
          </cell>
        </row>
        <row r="19">
          <cell r="H19" t="str">
            <v>---</v>
          </cell>
        </row>
        <row r="20">
          <cell r="H20" t="str">
            <v>---</v>
          </cell>
        </row>
      </sheetData>
      <sheetData sheetId="2"/>
      <sheetData sheetId="3"/>
      <sheetData sheetId="4"/>
      <sheetData sheetId="5"/>
      <sheetData sheetId="6"/>
      <sheetData sheetId="7"/>
      <sheetData sheetId="8"/>
      <sheetData sheetId="9"/>
      <sheetData sheetId="10"/>
      <sheetData sheetId="11"/>
    </sheetDataSet>
  </externalBook>
</externalLink>
</file>

<file path=xl/externalLinks/externalLink8.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sheetNames>
      <sheetName val="Summary"/>
      <sheetName val="AFSM100 OP"/>
      <sheetName val="AFSM100 OS"/>
      <sheetName val="AFSM100 MMP"/>
      <sheetName val="AFSM100 SCF"/>
      <sheetName val="UFSM1000 OP"/>
      <sheetName val="UFSM1000 OS"/>
      <sheetName val="UFSM1000 MMP"/>
      <sheetName val="UFSM1000 SCF"/>
    </sheetNames>
    <sheetDataSet>
      <sheetData sheetId="0" refreshError="1"/>
      <sheetData sheetId="1" refreshError="1"/>
      <sheetData sheetId="2" refreshError="1">
        <row r="39">
          <cell r="K39">
            <v>1.6122758650167768E-2</v>
          </cell>
          <cell r="L39">
            <v>0.82579368010090526</v>
          </cell>
          <cell r="M39">
            <v>6.901537761983581E-2</v>
          </cell>
          <cell r="N39">
            <v>7.3513972216309054E-3</v>
          </cell>
          <cell r="O39">
            <v>9.7839545057628055E-2</v>
          </cell>
        </row>
      </sheetData>
      <sheetData sheetId="3" refreshError="1">
        <row r="39">
          <cell r="K39">
            <v>2.0560691426449794E-3</v>
          </cell>
          <cell r="L39">
            <v>7.7870896442113098E-4</v>
          </cell>
          <cell r="M39">
            <v>0.1989407472148581</v>
          </cell>
          <cell r="N39">
            <v>6.4589034680307633E-2</v>
          </cell>
          <cell r="O39">
            <v>0.73647021810483426</v>
          </cell>
        </row>
      </sheetData>
      <sheetData sheetId="4" refreshError="1">
        <row r="39">
          <cell r="K39">
            <v>0</v>
          </cell>
          <cell r="L39">
            <v>1.7129560465742408E-3</v>
          </cell>
          <cell r="M39">
            <v>5.2341664273577296E-2</v>
          </cell>
          <cell r="N39">
            <v>2.2371971272315966E-2</v>
          </cell>
          <cell r="O39">
            <v>0.97762802872768406</v>
          </cell>
        </row>
      </sheetData>
      <sheetData sheetId="5" refreshError="1"/>
      <sheetData sheetId="6" refreshError="1">
        <row r="39">
          <cell r="K39">
            <v>0</v>
          </cell>
          <cell r="L39">
            <v>0.70784361637141113</v>
          </cell>
          <cell r="M39">
            <v>3.103237629810629E-3</v>
          </cell>
          <cell r="N39">
            <v>1.9865607819181428E-2</v>
          </cell>
          <cell r="O39">
            <v>0.26918753817959684</v>
          </cell>
        </row>
      </sheetData>
      <sheetData sheetId="7" refreshError="1">
        <row r="39">
          <cell r="K39">
            <v>0</v>
          </cell>
          <cell r="L39">
            <v>0</v>
          </cell>
          <cell r="M39">
            <v>0.26426386864938378</v>
          </cell>
          <cell r="N39">
            <v>4.1476741852909525E-2</v>
          </cell>
          <cell r="O39">
            <v>0.69425938949770671</v>
          </cell>
        </row>
      </sheetData>
      <sheetData sheetId="8" refreshError="1">
        <row r="39">
          <cell r="K39">
            <v>0</v>
          </cell>
          <cell r="L39">
            <v>8.3099485200515601E-3</v>
          </cell>
          <cell r="M39">
            <v>7.2635365043273586E-2</v>
          </cell>
          <cell r="N39">
            <v>2.5867828035649049E-2</v>
          </cell>
          <cell r="O39">
            <v>0.97413217196435098</v>
          </cell>
        </row>
      </sheetData>
    </sheetDataSet>
  </externalBook>
</externalLink>
</file>

<file path=xl/externalLinks/externalLink9.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absoluteUrl r:id="rId2"/>
    </xxl21:alternateUrls>
    <sheetNames>
      <sheetName val="volume-variability factors"/>
      <sheetName val="Disaggregated wage rates"/>
      <sheetName val="Premium Pay Fctrs"/>
      <sheetName val=" Overhead factors"/>
      <sheetName val=" MODS ovh factors"/>
      <sheetName val=" NDCs OVH Factors"/>
      <sheetName val=" nonmods OVH Factors"/>
      <sheetName val="crosswalk, % of direct"/>
    </sheetNames>
    <sheetDataSet>
      <sheetData sheetId="0">
        <row r="11">
          <cell r="G11">
            <v>0.98909999999999998</v>
          </cell>
        </row>
        <row r="14">
          <cell r="G14">
            <v>0.97340000000000004</v>
          </cell>
        </row>
        <row r="18">
          <cell r="G18">
            <v>0.96399999999999997</v>
          </cell>
        </row>
        <row r="22">
          <cell r="G22">
            <v>0.96760000000000002</v>
          </cell>
        </row>
        <row r="27">
          <cell r="G27">
            <v>0.873</v>
          </cell>
        </row>
        <row r="31">
          <cell r="G31">
            <v>0.94969999999999999</v>
          </cell>
        </row>
        <row r="41">
          <cell r="G41">
            <v>0.94240000000000002</v>
          </cell>
        </row>
        <row r="88">
          <cell r="G88">
            <v>0.9738</v>
          </cell>
        </row>
        <row r="90">
          <cell r="G90">
            <v>0.96150000000000002</v>
          </cell>
        </row>
      </sheetData>
      <sheetData sheetId="1">
        <row r="6">
          <cell r="C6">
            <v>54.142360316355024</v>
          </cell>
        </row>
        <row r="8">
          <cell r="C8">
            <v>50.10717457546064</v>
          </cell>
        </row>
      </sheetData>
      <sheetData sheetId="2">
        <row r="7">
          <cell r="D7">
            <v>1.0126008477139226</v>
          </cell>
        </row>
        <row r="9">
          <cell r="C9">
            <v>1.0210631968009072</v>
          </cell>
          <cell r="D9">
            <v>1.0209228242204351</v>
          </cell>
        </row>
        <row r="10">
          <cell r="C10">
            <v>1.0126974442214889</v>
          </cell>
          <cell r="D10">
            <v>1.0124488075687152</v>
          </cell>
        </row>
        <row r="12">
          <cell r="C12">
            <v>1.0289187345367075</v>
          </cell>
          <cell r="D12">
            <v>1.0285306172213804</v>
          </cell>
        </row>
      </sheetData>
      <sheetData sheetId="3" refreshError="1"/>
      <sheetData sheetId="4" refreshError="1"/>
      <sheetData sheetId="5" refreshError="1"/>
      <sheetData sheetId="6" refreshError="1"/>
      <sheetData sheetId="7" refreshError="1"/>
    </sheetDataSet>
  </externalBook>
</externalLink>
</file>

<file path=xl/externalLinks/externalLink10.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absoluteUrl r:id="rId2"/>
    </xxl21:alternateUrls>
    <sheetNames>
      <sheetName val="FY25 Table"/>
    </sheetNames>
    <sheetDataSet>
      <sheetData sheetId="0">
        <row r="10">
          <cell r="E10">
            <v>1447</v>
          </cell>
        </row>
        <row r="11">
          <cell r="I11">
            <v>85.837148173784783</v>
          </cell>
        </row>
        <row r="38">
          <cell r="J38">
            <v>0.90347346195308265</v>
          </cell>
        </row>
        <row r="58">
          <cell r="F58">
            <v>19317020</v>
          </cell>
          <cell r="G58">
            <v>16944693</v>
          </cell>
          <cell r="H58">
            <v>87153.509222626686</v>
          </cell>
        </row>
        <row r="59">
          <cell r="F59">
            <v>183273859</v>
          </cell>
          <cell r="G59">
            <v>163089773</v>
          </cell>
          <cell r="H59">
            <v>999194.66121392138</v>
          </cell>
        </row>
        <row r="60">
          <cell r="F60">
            <v>4216486</v>
          </cell>
          <cell r="G60">
            <v>4216486</v>
          </cell>
          <cell r="H60">
            <v>20090.329811096191</v>
          </cell>
        </row>
        <row r="61">
          <cell r="F61">
            <v>7002177</v>
          </cell>
          <cell r="G61">
            <v>5760482</v>
          </cell>
          <cell r="I61">
            <v>206.95516782120072</v>
          </cell>
        </row>
        <row r="62">
          <cell r="F62">
            <v>46407047</v>
          </cell>
          <cell r="G62">
            <v>39115306</v>
          </cell>
          <cell r="I62">
            <v>236.38446052932412</v>
          </cell>
        </row>
        <row r="80">
          <cell r="I80">
            <v>1530.697871044493</v>
          </cell>
        </row>
        <row r="81">
          <cell r="I81">
            <v>2207.4471605243534</v>
          </cell>
        </row>
        <row r="82">
          <cell r="I82">
            <v>1531.1342266301606</v>
          </cell>
        </row>
        <row r="83">
          <cell r="I83">
            <v>2018.3927532193345</v>
          </cell>
        </row>
        <row r="84">
          <cell r="I84">
            <v>1087.692150893748</v>
          </cell>
        </row>
        <row r="85">
          <cell r="I85">
            <v>1808.8275858515883</v>
          </cell>
        </row>
      </sheetData>
    </sheetDataSet>
  </externalBook>
</externalLink>
</file>

<file path=xl/externalLinks/externalLink11.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absoluteUrl r:id="rId2"/>
    </xxl21:alternateUrls>
    <sheetNames>
      <sheetName val="Prod Calc"/>
    </sheetNames>
    <sheetDataSet>
      <sheetData sheetId="0">
        <row r="10">
          <cell r="E10">
            <v>775.23422288961956</v>
          </cell>
        </row>
      </sheetData>
    </sheetDataSet>
  </externalBook>
</externalLink>
</file>

<file path=xl/externalLinks/externalLink12.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sheetNames>
      <sheetName val="Table"/>
    </sheetNames>
    <sheetDataSet>
      <sheetData sheetId="0">
        <row r="51">
          <cell r="E51">
            <v>1873</v>
          </cell>
          <cell r="I51">
            <v>600.16717529296875</v>
          </cell>
        </row>
        <row r="52">
          <cell r="I52">
            <v>474.72515869140625</v>
          </cell>
        </row>
        <row r="53">
          <cell r="I53">
            <v>670.51171875</v>
          </cell>
        </row>
        <row r="54">
          <cell r="I54">
            <v>581.19781494140625</v>
          </cell>
        </row>
        <row r="55">
          <cell r="I55">
            <v>728.99871826171875</v>
          </cell>
        </row>
      </sheetData>
    </sheetDataSet>
  </externalBook>
</externalLink>
</file>

<file path=xl/externalLinks/externalLink13.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absoluteUrl r:id="rId2"/>
    </xxl21:alternateUrls>
    <sheetNames>
      <sheetName val="FY25 F4 Manual Productivity"/>
      <sheetName val="FY25 Est Hours"/>
      <sheetName val="FY25 Costs"/>
    </sheetNames>
    <sheetDataSet>
      <sheetData sheetId="0">
        <row r="4">
          <cell r="D4">
            <v>658.18475684439443</v>
          </cell>
        </row>
        <row r="6">
          <cell r="D6">
            <v>295.82991061998308</v>
          </cell>
        </row>
      </sheetData>
      <sheetData sheetId="1" refreshError="1"/>
      <sheetData sheetId="2" refreshError="1"/>
    </sheetDataSet>
  </externalBook>
</externalLink>
</file>

<file path=xl/externalLinks/externalLink14.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absoluteUrl r:id="rId2"/>
    </xxl21:alternateUrls>
    <sheetNames>
      <sheetName val="FCM PRESORT LETTERS"/>
      <sheetName val="FCM PRESORT CARDS"/>
      <sheetName val="FCM PRESORT FLATS"/>
      <sheetName val="PERIODICALS FLATS"/>
      <sheetName val="USPS MM LETTERS"/>
      <sheetName val="USPS MM FLATS"/>
      <sheetName val="USPS MM CARRIER ROUTE FLATS"/>
      <sheetName val="USPS MM CR FLATS"/>
      <sheetName val="USPS MM ENTRY PROFILE"/>
      <sheetName val="CONTAINER STATISTICS"/>
      <sheetName val="USPS MM FLATS BY CON RATE"/>
      <sheetName val="PERIODICAL BUNDLE DENSITIES"/>
      <sheetName val="USPS MM BUNDLE DENSITIES"/>
      <sheetName val="NON 5D-CONTAINER AVE BUN SIZE"/>
      <sheetName val="FCM PCS PER TRAY"/>
      <sheetName val="DELIVERY"/>
      <sheetName val="Order 6658"/>
      <sheetName val="BPM_20_Stats"/>
    </sheetNames>
    <sheetDataSet>
      <sheetData sheetId="0">
        <row r="1">
          <cell r="A1" t="str">
            <v>Table MCS - 1</v>
          </cell>
        </row>
      </sheetData>
      <sheetData sheetId="1">
        <row r="2">
          <cell r="A2" t="str">
            <v>FIRST-CLASS MAIL PRESORT CARDS MAIL CHARACTERISTICS DATA</v>
          </cell>
        </row>
      </sheetData>
      <sheetData sheetId="2">
        <row r="1">
          <cell r="A1" t="str">
            <v>USPS-FY25-14</v>
          </cell>
        </row>
        <row r="8">
          <cell r="E8">
            <v>195381.00758660256</v>
          </cell>
          <cell r="F8">
            <v>25.889688355557539</v>
          </cell>
        </row>
        <row r="9">
          <cell r="E9">
            <v>83150.744597043638</v>
          </cell>
          <cell r="F9">
            <v>12.915870103866876</v>
          </cell>
        </row>
        <row r="10">
          <cell r="E10">
            <v>117585.22206616323</v>
          </cell>
          <cell r="F10">
            <v>15.475657918485441</v>
          </cell>
        </row>
        <row r="11">
          <cell r="E11">
            <v>70286.855594443958</v>
          </cell>
          <cell r="F11">
            <v>2.3577151340913924</v>
          </cell>
        </row>
        <row r="12">
          <cell r="E12">
            <v>5771560.9194324845</v>
          </cell>
          <cell r="F12" t="str">
            <v>NA</v>
          </cell>
        </row>
        <row r="13">
          <cell r="E13">
            <v>11353.377997393069</v>
          </cell>
          <cell r="F13">
            <v>10.495621463603916</v>
          </cell>
        </row>
        <row r="14">
          <cell r="E14">
            <v>59857.167762708923</v>
          </cell>
          <cell r="F14">
            <v>19.999359499447042</v>
          </cell>
        </row>
        <row r="15">
          <cell r="E15">
            <v>24755.011053349972</v>
          </cell>
          <cell r="F15">
            <v>7.8262825087579513</v>
          </cell>
        </row>
        <row r="16">
          <cell r="E16">
            <v>351885.06966642151</v>
          </cell>
          <cell r="F16" t="str">
            <v>NA</v>
          </cell>
        </row>
        <row r="17">
          <cell r="E17">
            <v>166320.12266407604</v>
          </cell>
          <cell r="F17">
            <v>15.724901674692212</v>
          </cell>
        </row>
        <row r="18">
          <cell r="E18">
            <v>359278.45247866592</v>
          </cell>
          <cell r="F18">
            <v>15.614300571720802</v>
          </cell>
        </row>
        <row r="19">
          <cell r="E19">
            <v>102043.4895918321</v>
          </cell>
          <cell r="F19" t="str">
            <v>NA</v>
          </cell>
        </row>
        <row r="20">
          <cell r="E20">
            <v>590245.32172872487</v>
          </cell>
          <cell r="F20">
            <v>15.72083950519421</v>
          </cell>
        </row>
        <row r="21">
          <cell r="F21" t="str">
            <v>NA</v>
          </cell>
        </row>
        <row r="41">
          <cell r="E41">
            <v>6790978.9539399911</v>
          </cell>
          <cell r="F41">
            <v>19.212094055307322</v>
          </cell>
        </row>
        <row r="42">
          <cell r="E42">
            <v>35333601.046059862</v>
          </cell>
        </row>
        <row r="43">
          <cell r="E43">
            <v>0</v>
          </cell>
        </row>
        <row r="44">
          <cell r="E44">
            <v>0</v>
          </cell>
        </row>
        <row r="50">
          <cell r="E50">
            <v>10876683.035051174</v>
          </cell>
          <cell r="F50">
            <v>10.937299301087512</v>
          </cell>
        </row>
        <row r="51">
          <cell r="E51">
            <v>960177.66253190662</v>
          </cell>
          <cell r="F51">
            <v>12.417526788383796</v>
          </cell>
        </row>
        <row r="52">
          <cell r="E52">
            <v>23425693.302416913</v>
          </cell>
        </row>
        <row r="61">
          <cell r="E61">
            <v>29581655.806427885</v>
          </cell>
          <cell r="F61">
            <v>12.412878506101629</v>
          </cell>
        </row>
        <row r="62">
          <cell r="E62">
            <v>18221082.667969819</v>
          </cell>
          <cell r="F62">
            <v>13.591603645922383</v>
          </cell>
        </row>
        <row r="63">
          <cell r="E63">
            <v>10090650.452648461</v>
          </cell>
          <cell r="F63">
            <v>19.994175880242782</v>
          </cell>
        </row>
        <row r="64">
          <cell r="E64">
            <v>114307473.07295413</v>
          </cell>
        </row>
        <row r="74">
          <cell r="E74">
            <v>44733463.193865955</v>
          </cell>
          <cell r="F74">
            <v>11.447562741147676</v>
          </cell>
        </row>
        <row r="75">
          <cell r="E75">
            <v>6331891.8758744923</v>
          </cell>
          <cell r="F75">
            <v>11.239872105392223</v>
          </cell>
        </row>
        <row r="76">
          <cell r="E76">
            <v>43925226.721421435</v>
          </cell>
          <cell r="F76">
            <v>13.914887343074128</v>
          </cell>
        </row>
        <row r="77">
          <cell r="E77">
            <v>16785037.149290826</v>
          </cell>
          <cell r="F77">
            <v>31.675145217178954</v>
          </cell>
        </row>
        <row r="78">
          <cell r="E78">
            <v>63494670.059547372</v>
          </cell>
        </row>
      </sheetData>
      <sheetData sheetId="3">
        <row r="7">
          <cell r="D7">
            <v>0</v>
          </cell>
        </row>
      </sheetData>
      <sheetData sheetId="4">
        <row r="1">
          <cell r="C1" t="str">
            <v>USPS-FY25-14</v>
          </cell>
        </row>
      </sheetData>
      <sheetData sheetId="5">
        <row r="8">
          <cell r="F8">
            <v>1326261.8809508262</v>
          </cell>
        </row>
      </sheetData>
      <sheetData sheetId="6">
        <row r="1">
          <cell r="B1" t="str">
            <v>USPS-FY25-14</v>
          </cell>
        </row>
      </sheetData>
      <sheetData sheetId="7"/>
      <sheetData sheetId="8"/>
      <sheetData sheetId="9"/>
      <sheetData sheetId="10"/>
      <sheetData sheetId="11">
        <row r="8">
          <cell r="D8">
            <v>1</v>
          </cell>
          <cell r="F8">
            <v>2.9988031424260542E-2</v>
          </cell>
          <cell r="H8">
            <v>2.0334349644644232E-2</v>
          </cell>
          <cell r="J8">
            <v>0</v>
          </cell>
          <cell r="N8">
            <v>0</v>
          </cell>
        </row>
        <row r="9">
          <cell r="F9">
            <v>0.97001196857573946</v>
          </cell>
          <cell r="H9">
            <v>0.97562707114267477</v>
          </cell>
          <cell r="J9">
            <v>0.9502921481235731</v>
          </cell>
          <cell r="N9">
            <v>0.86394484766162494</v>
          </cell>
        </row>
        <row r="10">
          <cell r="H10">
            <v>4.0385792126810226E-3</v>
          </cell>
          <cell r="J10">
            <v>9.422077100039724E-3</v>
          </cell>
          <cell r="N10">
            <v>3.7332042724338987E-2</v>
          </cell>
        </row>
        <row r="11">
          <cell r="J11">
            <v>4.0285774776387187E-2</v>
          </cell>
          <cell r="N11">
            <v>9.8723109614036075E-2</v>
          </cell>
        </row>
        <row r="16">
          <cell r="F16">
            <v>1</v>
          </cell>
          <cell r="H16">
            <v>0.93646197171886036</v>
          </cell>
          <cell r="J16">
            <v>0</v>
          </cell>
          <cell r="N16">
            <v>0</v>
          </cell>
        </row>
        <row r="17">
          <cell r="H17">
            <v>6.3538028281139636E-2</v>
          </cell>
          <cell r="J17">
            <v>6.9777660172226752E-2</v>
          </cell>
          <cell r="N17">
            <v>8.5323402876839233E-2</v>
          </cell>
        </row>
        <row r="18">
          <cell r="J18">
            <v>0.93022233982777325</v>
          </cell>
          <cell r="N18">
            <v>0.91467659712316074</v>
          </cell>
        </row>
      </sheetData>
      <sheetData sheetId="12">
        <row r="1">
          <cell r="A1" t="str">
            <v>USPS-FY25-14</v>
          </cell>
        </row>
      </sheetData>
      <sheetData sheetId="13">
        <row r="31">
          <cell r="E31">
            <v>25.091147345874898</v>
          </cell>
        </row>
      </sheetData>
      <sheetData sheetId="14"/>
      <sheetData sheetId="15"/>
      <sheetData sheetId="16"/>
      <sheetData sheetId="17"/>
    </sheetDataSet>
  </externalBook>
</externalLink>
</file>

<file path=xl/externalLinks/externalLink15.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sheetNames>
      <sheetName val="Table 1"/>
      <sheetName val="Weights"/>
      <sheetName val="DDU Weights"/>
      <sheetName val="DDU Breakage"/>
      <sheetName val="DDU Bundle Productivity"/>
      <sheetName val="Single Piece Sort"/>
      <sheetName val="Tubs per MTE"/>
      <sheetName val="Broken Bundles"/>
      <sheetName val="Bundles per Container"/>
      <sheetName val="Pieces Per Tub"/>
      <sheetName val="Manual Plant"/>
      <sheetName val="Tub Prep"/>
      <sheetName val="Bundle Prep"/>
    </sheetNames>
    <sheetDataSet>
      <sheetData sheetId="0">
        <row r="7">
          <cell r="C7">
            <v>56.605460510181793</v>
          </cell>
        </row>
      </sheetData>
      <sheetData sheetId="1" refreshError="1"/>
      <sheetData sheetId="2" refreshError="1"/>
      <sheetData sheetId="3">
        <row r="44">
          <cell r="M44">
            <v>6.9882371211232377E-3</v>
          </cell>
        </row>
      </sheetData>
      <sheetData sheetId="4" refreshError="1"/>
      <sheetData sheetId="5">
        <row r="31">
          <cell r="Q31">
            <v>3.8148671809604358E-2</v>
          </cell>
        </row>
        <row r="59">
          <cell r="Q59">
            <v>5.1729357444902091E-2</v>
          </cell>
        </row>
      </sheetData>
      <sheetData sheetId="6">
        <row r="26">
          <cell r="J26">
            <v>22.10434395250704</v>
          </cell>
        </row>
      </sheetData>
      <sheetData sheetId="7">
        <row r="27">
          <cell r="L27">
            <v>6.1234942212081587E-3</v>
          </cell>
        </row>
        <row r="49">
          <cell r="L49">
            <v>0.10356873985476586</v>
          </cell>
        </row>
        <row r="74">
          <cell r="L74">
            <v>3.668762192892272E-2</v>
          </cell>
        </row>
      </sheetData>
      <sheetData sheetId="8">
        <row r="27">
          <cell r="K27">
            <v>97.875870710118733</v>
          </cell>
        </row>
      </sheetData>
      <sheetData sheetId="9">
        <row r="100">
          <cell r="K100">
            <v>56.605460510181793</v>
          </cell>
        </row>
      </sheetData>
      <sheetData sheetId="10" refreshError="1"/>
      <sheetData sheetId="11" refreshError="1"/>
      <sheetData sheetId="12" refreshError="1"/>
    </sheetDataSet>
  </externalBook>
</externalLink>
</file>

<file path=xl/externalLinks/externalLink16.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sheetNames>
      <sheetName val="Table 1"/>
      <sheetName val="Weights"/>
      <sheetName val="DDU Weights"/>
      <sheetName val="DDU Breakage"/>
      <sheetName val="DDU Bundle Productivity"/>
      <sheetName val="Single Piece Sort"/>
      <sheetName val="Tubs per MTE"/>
      <sheetName val="Broken Bundles"/>
      <sheetName val="Bundles per Container"/>
      <sheetName val="Pieces Per Tub"/>
      <sheetName val="Manual Plant"/>
      <sheetName val="Tub Prep"/>
      <sheetName val="Bundle Prep"/>
    </sheetNames>
    <sheetDataSet>
      <sheetData sheetId="0" refreshError="1">
        <row r="7">
          <cell r="C7">
            <v>56.605460510181793</v>
          </cell>
        </row>
        <row r="17">
          <cell r="C17">
            <v>502.61938508845128</v>
          </cell>
        </row>
        <row r="18">
          <cell r="C18">
            <v>431.40924386370864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absoluteUrl r:id="rId2"/>
    </xxl21:alternateUrls>
    <sheetNames>
      <sheetName val="volume-variability factors"/>
      <sheetName val="Disaggregated wage rates"/>
      <sheetName val="Premium Pay Fctrs"/>
      <sheetName val=" Overhead factors"/>
      <sheetName val=" MODS ovh factors"/>
      <sheetName val=" NDCs OVH Factors"/>
      <sheetName val=" nonmods OVH Factors"/>
      <sheetName val="crosswalk, % of direct"/>
    </sheetNames>
    <sheetDataSet>
      <sheetData sheetId="0">
        <row r="14">
          <cell r="G14">
            <v>0.97340000000000004</v>
          </cell>
        </row>
      </sheetData>
      <sheetData sheetId="1">
        <row r="6">
          <cell r="C6">
            <v>54.142360316355024</v>
          </cell>
        </row>
      </sheetData>
      <sheetData sheetId="2">
        <row r="12">
          <cell r="D12">
            <v>1.0285312910393245</v>
          </cell>
        </row>
      </sheetData>
      <sheetData sheetId="3"/>
      <sheetData sheetId="4">
        <row r="63">
          <cell r="G63">
            <v>1.3718327722393713</v>
          </cell>
        </row>
      </sheetData>
      <sheetData sheetId="5"/>
      <sheetData sheetId="6">
        <row r="10">
          <cell r="G10">
            <v>1.639965597331799</v>
          </cell>
        </row>
      </sheetData>
      <sheetData sheetId="7"/>
    </sheetDataSet>
  </externalBook>
</externalLink>
</file>

<file path=xl/externalLinks/externalLink18.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absoluteUrl r:id="rId2"/>
    </xxl21:alternateUrls>
    <sheetNames>
      <sheetName val="Doc"/>
      <sheetName val="MP Piggybacks"/>
      <sheetName val="Cost Ratios"/>
      <sheetName val="MP Labor Cost Splits"/>
      <sheetName val="MP Labor Costs"/>
      <sheetName val="CR &amp; OP"/>
      <sheetName val="Facility Related Costs"/>
      <sheetName val="Facility Space Data "/>
      <sheetName val="Space Summary Costs"/>
      <sheetName val="IOCS Tallies – Select Equipment"/>
      <sheetName val="All Equip. Related Costs"/>
      <sheetName val="Capital Costs"/>
      <sheetName val="Maint. Costs"/>
      <sheetName val="Parts Costs"/>
      <sheetName val="Equip. Var."/>
      <sheetName val="Supv_Admin_Benefit Costs"/>
      <sheetName val="PB by Cost Type  "/>
      <sheetName val="PSM &amp; FSM &amp; LMLM Data"/>
    </sheetNames>
    <sheetDataSet>
      <sheetData sheetId="0"/>
      <sheetData sheetId="1">
        <row r="7">
          <cell r="J7">
            <v>1.754359816131257</v>
          </cell>
        </row>
        <row r="8">
          <cell r="J8">
            <v>1.6305774272183733</v>
          </cell>
        </row>
        <row r="13">
          <cell r="J13">
            <v>1.5358044573278811</v>
          </cell>
        </row>
        <row r="14">
          <cell r="J14">
            <v>1.3622907328394676</v>
          </cell>
        </row>
        <row r="16">
          <cell r="J16">
            <v>1.3208756008457678</v>
          </cell>
        </row>
        <row r="26">
          <cell r="J26">
            <v>1.5985378657336238</v>
          </cell>
        </row>
        <row r="77">
          <cell r="J77">
            <v>1.2615773174013249</v>
          </cell>
        </row>
        <row r="78">
          <cell r="J78">
            <v>1.6056412614911089</v>
          </cell>
        </row>
        <row r="84">
          <cell r="J84">
            <v>1.8052502472456198</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9.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absoluteUrl r:id="rId2"/>
    </xxl21:alternateUrls>
    <sheetNames>
      <sheetName val="Doc"/>
      <sheetName val="MP Piggybacks"/>
      <sheetName val="Cost Ratios"/>
      <sheetName val="MP Labor Cost Splits"/>
      <sheetName val="MP Labor Costs"/>
      <sheetName val="CR &amp; OP"/>
      <sheetName val="Facility Related Costs"/>
      <sheetName val="Facility Space Data "/>
      <sheetName val="Space Summary Costs"/>
      <sheetName val="IOCS Tallies – Select Equipment"/>
      <sheetName val="All Equip. Related Costs"/>
      <sheetName val="Capital Costs"/>
      <sheetName val="Maint. Costs"/>
      <sheetName val="Parts Costs"/>
      <sheetName val="Equip. Var."/>
      <sheetName val="Supv_Admin_Benefit Costs"/>
      <sheetName val="PB by Cost Type  "/>
      <sheetName val="PSM &amp; FSM &amp; LMLM Data"/>
    </sheetNames>
    <sheetDataSet>
      <sheetData sheetId="0" refreshError="1"/>
      <sheetData sheetId="1">
        <row r="13">
          <cell r="A13" t="str">
            <v>Mechanized Tray Sorter &amp; Robotics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0.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absoluteUrl r:id="rId2"/>
    </xxl21:alternateUrls>
    <sheetNames>
      <sheetName val="FCM PRESORT LETTERS"/>
      <sheetName val="FCM PRESORT CARDS"/>
      <sheetName val="FCM PRESORT FLATS"/>
      <sheetName val="PERIODICALS FLATS"/>
      <sheetName val="USPS MM LETTERS"/>
      <sheetName val="USPS MM FLATS"/>
      <sheetName val="USPS MM CARRIER ROUTE FLATS"/>
      <sheetName val="USPS MM CR FLATS"/>
      <sheetName val="USPS MM ENTRY PROFILE"/>
      <sheetName val="CONTAINER STATISTICS"/>
      <sheetName val="USPS MM FLATS BY CON RATE"/>
      <sheetName val="PERIODICAL BUNDLE DENSITIES"/>
      <sheetName val="USPS MM BUNDLE DENSITIES"/>
      <sheetName val="NON 5D-CONTAINER AVE BUN SIZE"/>
      <sheetName val="FCM PCS PER TRAY"/>
      <sheetName val="DELIVERY"/>
      <sheetName val="Order 6658"/>
      <sheetName val="BPM_20_Stats"/>
    </sheetNames>
    <sheetDataSet>
      <sheetData sheetId="0"/>
      <sheetData sheetId="1"/>
      <sheetData sheetId="2">
        <row r="20">
          <cell r="E20">
            <v>590245.32172872487</v>
          </cell>
        </row>
        <row r="21">
          <cell r="E21">
            <v>35847.237780088006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21.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absoluteUrl r:id="rId2"/>
    </xxl21:alternateUrls>
    <sheetNames>
      <sheetName val="FCM PRESORT LETTERS"/>
      <sheetName val="FCM PRESORT CARDS"/>
      <sheetName val="FCM PRESORT FLATS"/>
      <sheetName val="PERIODICALS FLATS"/>
      <sheetName val="USPS MM LETTERS"/>
      <sheetName val="USPS MM FLATS"/>
      <sheetName val="USPS MM CARRIER ROUTE FLATS"/>
      <sheetName val="USPS MM CR FLATS"/>
      <sheetName val="USPS MM ENTRY PROFILE"/>
      <sheetName val="CONTAINER STATISTICS"/>
      <sheetName val="USPS MM FLATS BY CON RATE"/>
      <sheetName val="PERIODICAL BUNDLE DENSITIES"/>
      <sheetName val="USPS MM BUNDLE DENSITIES"/>
      <sheetName val="NON 5D-CONTAINER AVE BUN SIZE"/>
      <sheetName val="DELIVERY"/>
    </sheetNames>
    <sheetDataSet>
      <sheetData sheetId="0"/>
      <sheetData sheetId="1"/>
      <sheetData sheetId="2">
        <row r="8">
          <cell r="E8">
            <v>200238.86119809456</v>
          </cell>
        </row>
        <row r="22">
          <cell r="F22">
            <v>16.895711780944328</v>
          </cell>
        </row>
        <row r="23">
          <cell r="F23">
            <v>18.499924331508513</v>
          </cell>
        </row>
        <row r="24">
          <cell r="F24">
            <v>14.800820801862816</v>
          </cell>
        </row>
        <row r="25">
          <cell r="F25">
            <v>0</v>
          </cell>
        </row>
        <row r="26">
          <cell r="F26" t="str">
            <v>N/A</v>
          </cell>
        </row>
        <row r="27">
          <cell r="F27">
            <v>15.633530485923108</v>
          </cell>
        </row>
        <row r="28">
          <cell r="F28">
            <v>18.70889847145688</v>
          </cell>
        </row>
        <row r="29">
          <cell r="F29">
            <v>13.130540427082932</v>
          </cell>
        </row>
        <row r="30">
          <cell r="F30" t="str">
            <v>N/A</v>
          </cell>
        </row>
        <row r="31">
          <cell r="F31">
            <v>16.341769002010366</v>
          </cell>
        </row>
        <row r="32">
          <cell r="F32">
            <v>13.382711561224308</v>
          </cell>
        </row>
        <row r="33">
          <cell r="F33" t="str">
            <v>N/A</v>
          </cell>
        </row>
        <row r="34">
          <cell r="F34">
            <v>21.436053726709304</v>
          </cell>
        </row>
        <row r="35">
          <cell r="F35" t="str">
            <v>N/A</v>
          </cell>
        </row>
        <row r="43">
          <cell r="F43">
            <v>18.993011211931897</v>
          </cell>
        </row>
        <row r="44">
          <cell r="F44" t="str">
            <v>N/A</v>
          </cell>
        </row>
        <row r="52">
          <cell r="F52" t="str">
            <v>N/A</v>
          </cell>
        </row>
        <row r="53">
          <cell r="F53">
            <v>15.89073988768034</v>
          </cell>
        </row>
        <row r="54">
          <cell r="F54">
            <v>17.184148258385399</v>
          </cell>
        </row>
        <row r="55">
          <cell r="F55" t="str">
            <v>N/A</v>
          </cell>
        </row>
        <row r="65">
          <cell r="F65">
            <v>14.040531045128205</v>
          </cell>
        </row>
        <row r="66">
          <cell r="F66">
            <v>26.931949414072395</v>
          </cell>
        </row>
        <row r="67">
          <cell r="F67">
            <v>21.184085871593382</v>
          </cell>
        </row>
        <row r="68">
          <cell r="F68" t="str">
            <v>N/A</v>
          </cell>
        </row>
      </sheetData>
      <sheetData sheetId="3">
        <row r="7">
          <cell r="D7">
            <v>0</v>
          </cell>
        </row>
      </sheetData>
      <sheetData sheetId="4"/>
      <sheetData sheetId="5">
        <row r="8">
          <cell r="F8">
            <v>878933.60699999973</v>
          </cell>
        </row>
      </sheetData>
      <sheetData sheetId="6">
        <row r="8">
          <cell r="F8">
            <v>6410677.0600000005</v>
          </cell>
        </row>
      </sheetData>
      <sheetData sheetId="7"/>
      <sheetData sheetId="8"/>
      <sheetData sheetId="9"/>
      <sheetData sheetId="10"/>
      <sheetData sheetId="11">
        <row r="8">
          <cell r="D8">
            <v>1</v>
          </cell>
        </row>
      </sheetData>
      <sheetData sheetId="12">
        <row r="9">
          <cell r="E9">
            <v>1</v>
          </cell>
        </row>
      </sheetData>
      <sheetData sheetId="13">
        <row r="31">
          <cell r="E31">
            <v>23.213806618852217</v>
          </cell>
        </row>
      </sheetData>
      <sheetData sheetId="14"/>
    </sheetDataSet>
  </externalBook>
</externalLink>
</file>

<file path=xl/externalLinks/externalLink22.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absoluteUrl r:id="rId2"/>
    </xxl21:alternateUrls>
    <sheetNames>
      <sheetName val="FCM PRESORT LETTERS"/>
      <sheetName val="FCM PRESORT CARDS"/>
      <sheetName val="FCM PRESORT FLATS"/>
      <sheetName val="PERIODICALS FLATS"/>
      <sheetName val="USPS MM LETTERS"/>
      <sheetName val="USPS MM FLATS"/>
      <sheetName val="USPS MM CARRIER ROUTE FLATS"/>
      <sheetName val="USPS MM CR FLATS"/>
      <sheetName val="USPS MM ENTRY PROFILE"/>
      <sheetName val="CONTAINER STATISTICS"/>
      <sheetName val="USPS MM FLATS BY CON RATE"/>
      <sheetName val="PERIODICAL BUNDLE DENSITIES"/>
      <sheetName val="USPS MM BUNDLE DENSITIES"/>
      <sheetName val="NON 5D-CONTAINER AVE BUN SIZE"/>
      <sheetName val="DELIVERY"/>
      <sheetName val="Order 6658"/>
      <sheetName val="BPM_20_Stats"/>
      <sheetName val="FCM PCS PER TRAY"/>
    </sheetNames>
    <sheetDataSet>
      <sheetData sheetId="0" refreshError="1"/>
      <sheetData sheetId="1" refreshError="1"/>
      <sheetData sheetId="2" refreshError="1">
        <row r="8">
          <cell r="E8">
            <v>1087864.3873324001</v>
          </cell>
        </row>
        <row r="42">
          <cell r="F42" t="str">
            <v>NA</v>
          </cell>
        </row>
        <row r="53">
          <cell r="E53">
            <v>0</v>
          </cell>
        </row>
        <row r="54">
          <cell r="E54">
            <v>0</v>
          </cell>
        </row>
        <row r="55">
          <cell r="E55">
            <v>0</v>
          </cell>
        </row>
        <row r="64">
          <cell r="F64" t="str">
            <v>NA</v>
          </cell>
        </row>
        <row r="65">
          <cell r="E65">
            <v>0</v>
          </cell>
        </row>
        <row r="66">
          <cell r="E66">
            <v>0</v>
          </cell>
        </row>
        <row r="67">
          <cell r="E67">
            <v>0</v>
          </cell>
        </row>
        <row r="68">
          <cell r="E68">
            <v>0</v>
          </cell>
        </row>
        <row r="74">
          <cell r="F74">
            <v>12.401949976475661</v>
          </cell>
        </row>
        <row r="78">
          <cell r="F78" t="str">
            <v>NA</v>
          </cell>
        </row>
        <row r="79">
          <cell r="E79">
            <v>0</v>
          </cell>
        </row>
        <row r="80">
          <cell r="E80">
            <v>0</v>
          </cell>
        </row>
        <row r="81">
          <cell r="E81">
            <v>0</v>
          </cell>
        </row>
        <row r="82">
          <cell r="E82">
            <v>0</v>
          </cell>
        </row>
        <row r="83">
          <cell r="E83">
            <v>0</v>
          </cell>
        </row>
      </sheetData>
      <sheetData sheetId="3">
        <row r="7">
          <cell r="D7">
            <v>0</v>
          </cell>
        </row>
      </sheetData>
      <sheetData sheetId="4" refreshError="1"/>
      <sheetData sheetId="5" refreshError="1"/>
      <sheetData sheetId="6" refreshError="1"/>
      <sheetData sheetId="7" refreshError="1"/>
      <sheetData sheetId="8" refreshError="1"/>
      <sheetData sheetId="9" refreshError="1"/>
      <sheetData sheetId="10" refreshError="1"/>
      <sheetData sheetId="11">
        <row r="8">
          <cell r="D8">
            <v>1</v>
          </cell>
        </row>
      </sheetData>
      <sheetData sheetId="12" refreshError="1"/>
      <sheetData sheetId="13">
        <row r="31">
          <cell r="E31">
            <v>24.210340951140079</v>
          </cell>
        </row>
      </sheetData>
      <sheetData sheetId="14" refreshError="1"/>
      <sheetData sheetId="15" refreshError="1"/>
      <sheetData sheetId="16" refreshError="1"/>
      <sheetData sheetId="17"/>
    </sheetDataSet>
  </externalBook>
</externalLink>
</file>

<file path=xl/theme/theme1.xml><?xml version="1.0" encoding="utf-8"?>
<a:theme xmlns:a="http://purl.oclc.org/ooxml/drawingml/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purl.oclc.org/ooxml/officeDocument/relationships/printerSettings" Target="../printerSettings/printerSettings1.bin"/></Relationships>
</file>

<file path=xl/worksheets/_rels/sheet2.xml.rels><?xml version="1.0" encoding="UTF-8" standalone="yes"?>
<Relationships xmlns="http://schemas.openxmlformats.org/package/2006/relationships"><Relationship Id="rId1" Type="http://purl.oclc.org/ooxml/officeDocument/relationships/printerSettings" Target="../printerSettings/printerSettings2.bin"/></Relationships>
</file>

<file path=xl/worksheets/_rels/sheet3.xml.rels><?xml version="1.0" encoding="UTF-8" standalone="yes"?>
<Relationships xmlns="http://schemas.openxmlformats.org/package/2006/relationships"><Relationship Id="rId1" Type="http://purl.oclc.org/ooxml/officeDocument/relationships/printerSettings" Target="../printerSettings/printerSettings3.bin"/></Relationships>
</file>

<file path=xl/worksheets/_rels/sheet4.xml.rels><?xml version="1.0" encoding="UTF-8" standalone="yes"?>
<Relationships xmlns="http://schemas.openxmlformats.org/package/2006/relationships"><Relationship Id="rId1" Type="http://purl.oclc.org/ooxml/officeDocument/relationships/printerSettings" Target="../printerSettings/printerSettings4.bin"/></Relationships>
</file>

<file path=xl/worksheets/_rels/sheet5.xml.rels><?xml version="1.0" encoding="UTF-8" standalone="yes"?>
<Relationships xmlns="http://schemas.openxmlformats.org/package/2006/relationships"><Relationship Id="rId1" Type="http://purl.oclc.org/ooxml/officeDocument/relationships/printerSettings" Target="../printerSettings/printerSettings5.bin"/></Relationships>
</file>

<file path=xl/worksheets/_rels/sheet6.xml.rels><?xml version="1.0" encoding="UTF-8" standalone="yes"?>
<Relationships xmlns="http://schemas.openxmlformats.org/package/2006/relationships"><Relationship Id="rId1" Type="http://purl.oclc.org/ooxml/officeDocument/relationships/printerSettings" Target="../printerSettings/printerSettings6.bin"/></Relationships>
</file>

<file path=xl/worksheets/_rels/sheet7.xml.rels><?xml version="1.0" encoding="UTF-8" standalone="yes"?>
<Relationships xmlns="http://schemas.openxmlformats.org/package/2006/relationships"><Relationship Id="rId1" Type="http://purl.oclc.org/ooxml/officeDocument/relationships/printerSettings" Target="../printerSettings/printerSettings7.bin"/></Relationships>
</file>

<file path=xl/worksheets/_rels/sheet8.xml.rels><?xml version="1.0" encoding="UTF-8" standalone="yes"?>
<Relationships xmlns="http://schemas.openxmlformats.org/package/2006/relationships"><Relationship Id="rId1" Type="http://purl.oclc.org/ooxml/officeDocument/relationships/printerSettings" Target="../printerSettings/printerSettings8.bin"/></Relationships>
</file>

<file path=xl/worksheets/_rels/sheet9.xml.rels><?xml version="1.0" encoding="UTF-8" standalone="yes"?>
<Relationships xmlns="http://schemas.openxmlformats.org/package/2006/relationships"><Relationship Id="rId1" Type="http://purl.oclc.org/ooxml/officeDocument/relationships/printerSettings" Target="../printerSettings/printerSettings9.bin"/></Relationships>
</file>

<file path=xl/worksheets/_rels/sheet10.xml.rels><?xml version="1.0" encoding="UTF-8" standalone="yes"?>
<Relationships xmlns="http://schemas.openxmlformats.org/package/2006/relationships"><Relationship Id="rId1" Type="http://purl.oclc.org/ooxml/officeDocument/relationships/printerSettings" Target="../printerSettings/printerSettings10.bin"/></Relationships>
</file>

<file path=xl/worksheets/_rels/sheet11.xml.rels><?xml version="1.0" encoding="UTF-8" standalone="yes"?>
<Relationships xmlns="http://schemas.openxmlformats.org/package/2006/relationships"><Relationship Id="rId1" Type="http://purl.oclc.org/ooxml/officeDocument/relationships/printerSettings" Target="../printerSettings/printerSettings11.bin"/></Relationships>
</file>

<file path=xl/worksheets/_rels/sheet12.xml.rels><?xml version="1.0" encoding="UTF-8" standalone="yes"?>
<Relationships xmlns="http://schemas.openxmlformats.org/package/2006/relationships"><Relationship Id="rId2" Type="http://purl.oclc.org/ooxml/officeDocument/relationships/drawing" Target="../drawings/drawing1.xml"/><Relationship Id="rId1" Type="http://purl.oclc.org/ooxml/officeDocument/relationships/printerSettings" Target="../printerSettings/printerSettings12.bin"/></Relationships>
</file>

<file path=xl/worksheets/_rels/sheet13.xml.rels><?xml version="1.0" encoding="UTF-8" standalone="yes"?>
<Relationships xmlns="http://schemas.openxmlformats.org/package/2006/relationships"><Relationship Id="rId1" Type="http://purl.oclc.org/ooxml/officeDocument/relationships/printerSettings" Target="../printerSettings/printerSettings13.bin"/></Relationships>
</file>

<file path=xl/worksheets/_rels/sheet14.xml.rels><?xml version="1.0" encoding="UTF-8" standalone="yes"?>
<Relationships xmlns="http://schemas.openxmlformats.org/package/2006/relationships"><Relationship Id="rId2" Type="http://purl.oclc.org/ooxml/officeDocument/relationships/drawing" Target="../drawings/drawing2.xml"/><Relationship Id="rId1" Type="http://purl.oclc.org/ooxml/officeDocument/relationships/printerSettings" Target="../printerSettings/printerSettings14.bin"/></Relationships>
</file>

<file path=xl/worksheets/_rels/sheet15.xml.rels><?xml version="1.0" encoding="UTF-8" standalone="yes"?>
<Relationships xmlns="http://schemas.openxmlformats.org/package/2006/relationships"><Relationship Id="rId1" Type="http://purl.oclc.org/ooxml/officeDocument/relationships/printerSettings" Target="../printerSettings/printerSettings15.bin"/></Relationships>
</file>

<file path=xl/worksheets/_rels/sheet16.xml.rels><?xml version="1.0" encoding="UTF-8" standalone="yes"?>
<Relationships xmlns="http://schemas.openxmlformats.org/package/2006/relationships"><Relationship Id="rId2" Type="http://purl.oclc.org/ooxml/officeDocument/relationships/drawing" Target="../drawings/drawing3.xml"/><Relationship Id="rId1" Type="http://purl.oclc.org/ooxml/officeDocument/relationships/printerSettings" Target="../printerSettings/printerSettings16.bin"/></Relationships>
</file>

<file path=xl/worksheets/_rels/sheet17.xml.rels><?xml version="1.0" encoding="UTF-8" standalone="yes"?>
<Relationships xmlns="http://schemas.openxmlformats.org/package/2006/relationships"><Relationship Id="rId1" Type="http://purl.oclc.org/ooxml/officeDocument/relationships/printerSettings" Target="../printerSettings/printerSettings17.bin"/></Relationships>
</file>

<file path=xl/worksheets/_rels/sheet18.xml.rels><?xml version="1.0" encoding="UTF-8" standalone="yes"?>
<Relationships xmlns="http://schemas.openxmlformats.org/package/2006/relationships"><Relationship Id="rId2" Type="http://purl.oclc.org/ooxml/officeDocument/relationships/drawing" Target="../drawings/drawing4.xml"/><Relationship Id="rId1" Type="http://purl.oclc.org/ooxml/officeDocument/relationships/printerSettings" Target="../printerSettings/printerSettings18.bin"/></Relationships>
</file>

<file path=xl/worksheets/_rels/sheet19.xml.rels><?xml version="1.0" encoding="UTF-8" standalone="yes"?>
<Relationships xmlns="http://schemas.openxmlformats.org/package/2006/relationships"><Relationship Id="rId1" Type="http://purl.oclc.org/ooxml/officeDocument/relationships/printerSettings" Target="../printerSettings/printerSettings19.bin"/></Relationships>
</file>

<file path=xl/worksheets/_rels/sheet20.xml.rels><?xml version="1.0" encoding="UTF-8" standalone="yes"?>
<Relationships xmlns="http://schemas.openxmlformats.org/package/2006/relationships"><Relationship Id="rId2" Type="http://purl.oclc.org/ooxml/officeDocument/relationships/drawing" Target="../drawings/drawing5.xml"/><Relationship Id="rId1" Type="http://purl.oclc.org/ooxml/officeDocument/relationships/printerSettings" Target="../printerSettings/printerSettings20.bin"/></Relationships>
</file>

<file path=xl/worksheets/_rels/sheet21.xml.rels><?xml version="1.0" encoding="UTF-8" standalone="yes"?>
<Relationships xmlns="http://schemas.openxmlformats.org/package/2006/relationships"><Relationship Id="rId1" Type="http://purl.oclc.org/ooxml/officeDocument/relationships/printerSettings" Target="../printerSettings/printerSettings21.bin"/></Relationships>
</file>

<file path=xl/worksheets/_rels/sheet22.xml.rels><?xml version="1.0" encoding="UTF-8" standalone="yes"?>
<Relationships xmlns="http://schemas.openxmlformats.org/package/2006/relationships"><Relationship Id="rId2" Type="http://purl.oclc.org/ooxml/officeDocument/relationships/drawing" Target="../drawings/drawing6.xml"/><Relationship Id="rId1" Type="http://purl.oclc.org/ooxml/officeDocument/relationships/printerSettings" Target="../printerSettings/printerSettings22.bin"/></Relationships>
</file>

<file path=xl/worksheets/_rels/sheet23.xml.rels><?xml version="1.0" encoding="UTF-8" standalone="yes"?>
<Relationships xmlns="http://schemas.openxmlformats.org/package/2006/relationships"><Relationship Id="rId1" Type="http://purl.oclc.org/ooxml/officeDocument/relationships/printerSettings" Target="../printerSettings/printerSettings23.bin"/></Relationships>
</file>

<file path=xl/worksheets/_rels/sheet24.xml.rels><?xml version="1.0" encoding="UTF-8" standalone="yes"?>
<Relationships xmlns="http://schemas.openxmlformats.org/package/2006/relationships"><Relationship Id="rId2" Type="http://purl.oclc.org/ooxml/officeDocument/relationships/drawing" Target="../drawings/drawing7.xml"/><Relationship Id="rId1" Type="http://purl.oclc.org/ooxml/officeDocument/relationships/printerSettings" Target="../printerSettings/printerSettings24.bin"/></Relationships>
</file>

<file path=xl/worksheets/_rels/sheet25.xml.rels><?xml version="1.0" encoding="UTF-8" standalone="yes"?>
<Relationships xmlns="http://schemas.openxmlformats.org/package/2006/relationships"><Relationship Id="rId1" Type="http://purl.oclc.org/ooxml/officeDocument/relationships/printerSettings" Target="../printerSettings/printerSettings25.bin"/></Relationships>
</file>

<file path=xl/worksheets/_rels/sheet26.xml.rels><?xml version="1.0" encoding="UTF-8" standalone="yes"?>
<Relationships xmlns="http://schemas.openxmlformats.org/package/2006/relationships"><Relationship Id="rId2" Type="http://purl.oclc.org/ooxml/officeDocument/relationships/drawing" Target="../drawings/drawing8.xml"/><Relationship Id="rId1" Type="http://purl.oclc.org/ooxml/officeDocument/relationships/printerSettings" Target="../printerSettings/printerSettings26.bin"/></Relationships>
</file>

<file path=xl/worksheets/_rels/sheet27.xml.rels><?xml version="1.0" encoding="UTF-8" standalone="yes"?>
<Relationships xmlns="http://schemas.openxmlformats.org/package/2006/relationships"><Relationship Id="rId1" Type="http://purl.oclc.org/ooxml/officeDocument/relationships/printerSettings" Target="../printerSettings/printerSettings27.bin"/></Relationships>
</file>

<file path=xl/worksheets/_rels/sheet28.xml.rels><?xml version="1.0" encoding="UTF-8" standalone="yes"?>
<Relationships xmlns="http://schemas.openxmlformats.org/package/2006/relationships"><Relationship Id="rId2" Type="http://purl.oclc.org/ooxml/officeDocument/relationships/drawing" Target="../drawings/drawing9.xml"/><Relationship Id="rId1" Type="http://purl.oclc.org/ooxml/officeDocument/relationships/printerSettings" Target="../printerSettings/printerSettings28.bin"/></Relationships>
</file>

<file path=xl/worksheets/_rels/sheet29.xml.rels><?xml version="1.0" encoding="UTF-8" standalone="yes"?>
<Relationships xmlns="http://schemas.openxmlformats.org/package/2006/relationships"><Relationship Id="rId1" Type="http://purl.oclc.org/ooxml/officeDocument/relationships/printerSettings" Target="../printerSettings/printerSettings29.bin"/></Relationships>
</file>

<file path=xl/worksheets/_rels/sheet30.xml.rels><?xml version="1.0" encoding="UTF-8" standalone="yes"?>
<Relationships xmlns="http://schemas.openxmlformats.org/package/2006/relationships"><Relationship Id="rId1" Type="http://purl.oclc.org/ooxml/officeDocument/relationships/printerSettings" Target="../printerSettings/printerSettings30.bin"/></Relationships>
</file>

<file path=xl/worksheets/_rels/sheet31.xml.rels><?xml version="1.0" encoding="UTF-8" standalone="yes"?>
<Relationships xmlns="http://schemas.openxmlformats.org/package/2006/relationships"><Relationship Id="rId1" Type="http://purl.oclc.org/ooxml/officeDocument/relationships/printerSettings" Target="../printerSettings/printerSettings31.bin"/></Relationships>
</file>

<file path=xl/worksheets/_rels/sheet32.xml.rels><?xml version="1.0" encoding="UTF-8" standalone="yes"?>
<Relationships xmlns="http://schemas.openxmlformats.org/package/2006/relationships"><Relationship Id="rId1" Type="http://purl.oclc.org/ooxml/officeDocument/relationships/printerSettings" Target="../printerSettings/printerSettings32.bin"/></Relationships>
</file>

<file path=xl/worksheets/_rels/sheet33.xml.rels><?xml version="1.0" encoding="UTF-8" standalone="yes"?>
<Relationships xmlns="http://schemas.openxmlformats.org/package/2006/relationships"><Relationship Id="rId1" Type="http://purl.oclc.org/ooxml/officeDocument/relationships/printerSettings" Target="../printerSettings/printerSettings33.bin"/></Relationships>
</file>

<file path=xl/worksheets/_rels/sheet34.xml.rels><?xml version="1.0" encoding="UTF-8" standalone="yes"?>
<Relationships xmlns="http://schemas.openxmlformats.org/package/2006/relationships"><Relationship Id="rId1" Type="http://purl.oclc.org/ooxml/officeDocument/relationships/printerSettings" Target="../printerSettings/printerSettings34.bin"/></Relationships>
</file>

<file path=xl/worksheets/_rels/sheet35.xml.rels><?xml version="1.0" encoding="UTF-8" standalone="yes"?>
<Relationships xmlns="http://schemas.openxmlformats.org/package/2006/relationships"><Relationship Id="rId1" Type="http://purl.oclc.org/ooxml/officeDocument/relationships/printerSettings" Target="../printerSettings/printerSettings35.bin"/></Relationships>
</file>

<file path=xl/worksheets/_rels/sheet36.xml.rels><?xml version="1.0" encoding="UTF-8" standalone="yes"?>
<Relationships xmlns="http://schemas.openxmlformats.org/package/2006/relationships"><Relationship Id="rId1" Type="http://purl.oclc.org/ooxml/officeDocument/relationships/printerSettings" Target="../printerSettings/printerSettings36.bin"/></Relationships>
</file>

<file path=xl/worksheets/_rels/sheet37.xml.rels><?xml version="1.0" encoding="UTF-8" standalone="yes"?>
<Relationships xmlns="http://schemas.openxmlformats.org/package/2006/relationships"><Relationship Id="rId1" Type="http://purl.oclc.org/ooxml/officeDocument/relationships/printerSettings" Target="../printerSettings/printerSettings37.bin"/></Relationships>
</file>

<file path=xl/worksheets/_rels/sheet38.xml.rels><?xml version="1.0" encoding="UTF-8" standalone="yes"?>
<Relationships xmlns="http://schemas.openxmlformats.org/package/2006/relationships"><Relationship Id="rId1" Type="http://purl.oclc.org/ooxml/officeDocument/relationships/printerSettings" Target="../printerSettings/printerSettings38.bin"/></Relationships>
</file>

<file path=xl/worksheets/_rels/sheet39.xml.rels><?xml version="1.0" encoding="UTF-8" standalone="yes"?>
<Relationships xmlns="http://schemas.openxmlformats.org/package/2006/relationships"><Relationship Id="rId1" Type="http://purl.oclc.org/ooxml/officeDocument/relationships/printerSettings" Target="../printerSettings/printerSettings39.bin"/></Relationships>
</file>

<file path=xl/worksheets/_rels/sheet40.xml.rels><?xml version="1.0" encoding="UTF-8" standalone="yes"?>
<Relationships xmlns="http://schemas.openxmlformats.org/package/2006/relationships"><Relationship Id="rId1" Type="http://purl.oclc.org/ooxml/officeDocument/relationships/printerSettings" Target="../printerSettings/printerSettings40.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6188D-61EE-4299-B513-1B6182B1D7B1}">
  <sheetPr>
    <tabColor rgb="FFFFFF00"/>
  </sheetPr>
  <dimension ref="A1:IO231"/>
  <sheetViews>
    <sheetView tabSelected="1" topLeftCell="A10" zoomScale="90" zoomScaleNormal="90" workbookViewId="0">
      <selection activeCell="H15" sqref="H15"/>
    </sheetView>
  </sheetViews>
  <sheetFormatPr defaultColWidth="9.21875" defaultRowHeight="11.4" x14ac:dyDescent="0.2"/>
  <cols>
    <col min="1" max="2" width="5.77734375" style="168" customWidth="1"/>
    <col min="3" max="3" width="26.77734375" style="168" customWidth="1"/>
    <col min="4" max="4" width="13.77734375" style="169" customWidth="1"/>
    <col min="5" max="5" width="16" style="170" customWidth="1"/>
    <col min="6" max="6" width="13.77734375" style="171" customWidth="1"/>
    <col min="7" max="7" width="14.77734375" style="171" customWidth="1"/>
    <col min="8" max="8" width="11.5546875" style="168" customWidth="1"/>
    <col min="9" max="9" width="11.21875" style="168" bestFit="1" customWidth="1"/>
    <col min="10" max="10" width="10.21875" style="324" customWidth="1"/>
    <col min="11" max="11" width="22.77734375" style="293" customWidth="1"/>
    <col min="12" max="13" width="9.21875" style="293"/>
    <col min="14" max="16384" width="9.21875" style="168"/>
  </cols>
  <sheetData>
    <row r="1" spans="1:249" s="144" customFormat="1" ht="17.399999999999999" x14ac:dyDescent="0.3">
      <c r="A1" s="46" t="s">
        <v>0</v>
      </c>
      <c r="B1" s="148"/>
      <c r="C1" s="148"/>
      <c r="D1" s="149"/>
      <c r="E1" s="150"/>
      <c r="F1" s="151"/>
      <c r="G1" s="151"/>
      <c r="J1" s="320"/>
      <c r="K1" s="290"/>
      <c r="L1" s="290"/>
      <c r="M1" s="290"/>
    </row>
    <row r="2" spans="1:249" s="144" customFormat="1" ht="15.6" x14ac:dyDescent="0.3">
      <c r="A2" s="211" t="s">
        <v>628</v>
      </c>
      <c r="B2" s="148"/>
      <c r="C2" s="148"/>
      <c r="D2" s="149"/>
      <c r="E2" s="150"/>
      <c r="F2" s="151"/>
      <c r="G2" s="151"/>
      <c r="J2" s="320"/>
      <c r="K2" s="290"/>
      <c r="L2" s="290"/>
      <c r="M2" s="290"/>
    </row>
    <row r="3" spans="1:249" s="6" customFormat="1" ht="15.6" x14ac:dyDescent="0.3">
      <c r="A3" s="299" t="s">
        <v>629</v>
      </c>
      <c r="B3" s="146"/>
      <c r="C3" s="146"/>
      <c r="D3" s="241"/>
      <c r="E3" s="146"/>
      <c r="F3" s="145"/>
      <c r="G3" s="347"/>
      <c r="H3" s="146"/>
      <c r="I3" s="146"/>
      <c r="J3" s="321"/>
      <c r="K3" s="291"/>
      <c r="L3" s="291"/>
      <c r="M3" s="291"/>
      <c r="N3" s="146"/>
      <c r="O3" s="146"/>
      <c r="P3" s="146"/>
      <c r="Q3" s="146"/>
      <c r="R3" s="146"/>
      <c r="S3" s="146"/>
      <c r="T3" s="146"/>
      <c r="U3" s="146"/>
      <c r="V3" s="146"/>
      <c r="W3" s="146"/>
      <c r="X3" s="146"/>
      <c r="Y3" s="146"/>
      <c r="Z3" s="146"/>
      <c r="AA3" s="146"/>
      <c r="AB3" s="146"/>
      <c r="AC3" s="146"/>
      <c r="AD3" s="146"/>
      <c r="AE3" s="146"/>
      <c r="AF3" s="146"/>
      <c r="AG3" s="146"/>
      <c r="AH3" s="146"/>
      <c r="AI3" s="146"/>
      <c r="AJ3" s="146"/>
      <c r="AK3" s="146"/>
      <c r="AL3" s="146"/>
      <c r="AM3" s="146"/>
      <c r="AN3" s="146"/>
      <c r="AO3" s="146"/>
      <c r="AP3" s="146"/>
      <c r="AQ3" s="146"/>
      <c r="AR3" s="146"/>
      <c r="AS3" s="146"/>
      <c r="AT3" s="146"/>
      <c r="AU3" s="146"/>
      <c r="AV3" s="146"/>
      <c r="AW3" s="146"/>
      <c r="AX3" s="146"/>
      <c r="AY3" s="146"/>
      <c r="AZ3" s="146"/>
      <c r="BA3" s="146"/>
      <c r="BB3" s="146"/>
      <c r="BC3" s="146"/>
      <c r="BD3" s="146"/>
      <c r="BE3" s="146"/>
      <c r="BF3" s="146"/>
      <c r="BG3" s="146"/>
      <c r="BH3" s="146"/>
      <c r="BI3" s="146"/>
      <c r="BJ3" s="146"/>
      <c r="BK3" s="146"/>
      <c r="BL3" s="146"/>
      <c r="BM3" s="146"/>
      <c r="BN3" s="146"/>
      <c r="BO3" s="146"/>
      <c r="BP3" s="146"/>
      <c r="BQ3" s="146"/>
      <c r="BR3" s="146"/>
      <c r="BS3" s="146"/>
      <c r="BT3" s="146"/>
      <c r="BU3" s="146"/>
      <c r="BV3" s="146"/>
      <c r="BW3" s="146"/>
      <c r="BX3" s="146"/>
      <c r="BY3" s="146"/>
      <c r="BZ3" s="146"/>
      <c r="CA3" s="146"/>
      <c r="CB3" s="146"/>
      <c r="CC3" s="146"/>
      <c r="CD3" s="146"/>
      <c r="CE3" s="146"/>
      <c r="CF3" s="146"/>
      <c r="CG3" s="146"/>
      <c r="CH3" s="146"/>
      <c r="CI3" s="146"/>
      <c r="CJ3" s="146"/>
      <c r="CK3" s="146"/>
      <c r="CL3" s="146"/>
      <c r="CM3" s="146"/>
      <c r="CN3" s="146"/>
      <c r="CO3" s="146"/>
      <c r="CP3" s="146"/>
      <c r="CQ3" s="146"/>
      <c r="CR3" s="146"/>
      <c r="CS3" s="146"/>
      <c r="CT3" s="146"/>
      <c r="CU3" s="146"/>
      <c r="CV3" s="146"/>
      <c r="CW3" s="146"/>
      <c r="CX3" s="146"/>
      <c r="CY3" s="146"/>
      <c r="CZ3" s="146"/>
      <c r="DA3" s="146"/>
      <c r="DB3" s="146"/>
      <c r="DC3" s="146"/>
      <c r="DD3" s="146"/>
      <c r="DE3" s="146"/>
      <c r="DF3" s="146"/>
      <c r="DG3" s="146"/>
      <c r="DH3" s="146"/>
      <c r="DI3" s="146"/>
      <c r="DJ3" s="146"/>
      <c r="DK3" s="146"/>
      <c r="DL3" s="146"/>
      <c r="DM3" s="146"/>
      <c r="DN3" s="146"/>
      <c r="DO3" s="146"/>
      <c r="DP3" s="146"/>
      <c r="DQ3" s="146"/>
      <c r="DR3" s="146"/>
      <c r="DS3" s="146"/>
      <c r="DT3" s="146"/>
      <c r="DU3" s="146"/>
      <c r="DV3" s="146"/>
      <c r="DW3" s="146"/>
      <c r="DX3" s="146"/>
      <c r="DY3" s="146"/>
      <c r="DZ3" s="146"/>
      <c r="EA3" s="146"/>
      <c r="EB3" s="146"/>
      <c r="EC3" s="146"/>
      <c r="ED3" s="146"/>
      <c r="EE3" s="146"/>
      <c r="EF3" s="146"/>
      <c r="EG3" s="146"/>
      <c r="EH3" s="146"/>
      <c r="EI3" s="146"/>
      <c r="EJ3" s="146"/>
      <c r="EK3" s="146"/>
      <c r="EL3" s="146"/>
      <c r="EM3" s="146"/>
      <c r="EN3" s="146"/>
      <c r="EO3" s="146"/>
      <c r="EP3" s="146"/>
      <c r="EQ3" s="146"/>
      <c r="ER3" s="146"/>
      <c r="ES3" s="146"/>
      <c r="ET3" s="146"/>
      <c r="EU3" s="146"/>
      <c r="EV3" s="146"/>
      <c r="EW3" s="146"/>
      <c r="EX3" s="146"/>
      <c r="EY3" s="146"/>
      <c r="EZ3" s="146"/>
      <c r="FA3" s="146"/>
      <c r="FB3" s="146"/>
      <c r="FC3" s="146"/>
      <c r="FD3" s="146"/>
      <c r="FE3" s="146"/>
      <c r="FF3" s="146"/>
      <c r="FG3" s="146"/>
      <c r="FH3" s="146"/>
      <c r="FI3" s="146"/>
      <c r="FJ3" s="146"/>
      <c r="FK3" s="146"/>
      <c r="FL3" s="146"/>
      <c r="FM3" s="146"/>
      <c r="FN3" s="146"/>
      <c r="FO3" s="146"/>
      <c r="FP3" s="146"/>
      <c r="FQ3" s="146"/>
      <c r="FR3" s="146"/>
      <c r="FS3" s="146"/>
      <c r="FT3" s="146"/>
      <c r="FU3" s="146"/>
      <c r="FV3" s="146"/>
      <c r="FW3" s="146"/>
      <c r="FX3" s="146"/>
      <c r="FY3" s="146"/>
      <c r="FZ3" s="146"/>
      <c r="GA3" s="146"/>
      <c r="GB3" s="146"/>
      <c r="GC3" s="146"/>
      <c r="GD3" s="146"/>
      <c r="GE3" s="146"/>
      <c r="GF3" s="146"/>
      <c r="GG3" s="146"/>
      <c r="GH3" s="146"/>
      <c r="GI3" s="146"/>
      <c r="GJ3" s="146"/>
      <c r="GK3" s="146"/>
      <c r="GL3" s="146"/>
      <c r="GM3" s="146"/>
      <c r="GN3" s="146"/>
      <c r="GO3" s="146"/>
      <c r="GP3" s="146"/>
      <c r="GQ3" s="146"/>
      <c r="GR3" s="146"/>
      <c r="GS3" s="146"/>
      <c r="GT3" s="146"/>
      <c r="GU3" s="146"/>
      <c r="GV3" s="146"/>
      <c r="GW3" s="146"/>
      <c r="GX3" s="146"/>
      <c r="GY3" s="146"/>
      <c r="GZ3" s="146"/>
      <c r="HA3" s="146"/>
      <c r="HB3" s="146"/>
      <c r="HC3" s="146"/>
      <c r="HD3" s="146"/>
      <c r="HE3" s="146"/>
      <c r="HF3" s="146"/>
      <c r="HG3" s="146"/>
      <c r="HH3" s="146"/>
      <c r="HI3" s="146"/>
      <c r="HJ3" s="146"/>
      <c r="HK3" s="146"/>
      <c r="HL3" s="146"/>
      <c r="HM3" s="146"/>
      <c r="HN3" s="146"/>
      <c r="HO3" s="146"/>
      <c r="HP3" s="146"/>
      <c r="HQ3" s="146"/>
      <c r="HR3" s="146"/>
      <c r="HS3" s="146"/>
      <c r="HT3" s="146"/>
      <c r="HU3" s="146"/>
      <c r="HV3" s="146"/>
      <c r="HW3" s="146"/>
      <c r="HX3" s="146"/>
      <c r="HY3" s="146"/>
      <c r="HZ3" s="146"/>
      <c r="IA3" s="146"/>
      <c r="IB3" s="146"/>
      <c r="IC3" s="146"/>
      <c r="ID3" s="146"/>
      <c r="IE3" s="146"/>
      <c r="IF3" s="146"/>
      <c r="IG3" s="146"/>
      <c r="IH3" s="146"/>
      <c r="II3" s="146"/>
      <c r="IJ3" s="146"/>
      <c r="IK3" s="146"/>
      <c r="IL3" s="146"/>
      <c r="IM3" s="146"/>
      <c r="IN3" s="146"/>
      <c r="IO3" s="146"/>
    </row>
    <row r="4" spans="1:249" s="6" customFormat="1" ht="15.6" x14ac:dyDescent="0.3">
      <c r="A4" s="299"/>
      <c r="B4" s="146"/>
      <c r="C4" s="146"/>
      <c r="D4" s="241"/>
      <c r="E4" s="326"/>
      <c r="F4" s="145"/>
      <c r="G4" s="347"/>
      <c r="H4" s="146"/>
      <c r="I4" s="146"/>
      <c r="J4" s="321"/>
      <c r="K4" s="291"/>
      <c r="L4" s="291"/>
      <c r="M4" s="291"/>
      <c r="N4" s="146"/>
      <c r="O4" s="146"/>
      <c r="P4" s="146"/>
      <c r="Q4" s="146"/>
      <c r="R4" s="146"/>
      <c r="S4" s="146"/>
      <c r="T4" s="146"/>
      <c r="U4" s="146"/>
      <c r="V4" s="146"/>
      <c r="W4" s="146"/>
      <c r="X4" s="146"/>
      <c r="Y4" s="146"/>
      <c r="Z4" s="146"/>
      <c r="AA4" s="146"/>
      <c r="AB4" s="146"/>
      <c r="AC4" s="146"/>
      <c r="AD4" s="146"/>
      <c r="AE4" s="146"/>
      <c r="AF4" s="146"/>
      <c r="AG4" s="146"/>
      <c r="AH4" s="146"/>
      <c r="AI4" s="146"/>
      <c r="AJ4" s="146"/>
      <c r="AK4" s="146"/>
      <c r="AL4" s="146"/>
      <c r="AM4" s="146"/>
      <c r="AN4" s="146"/>
      <c r="AO4" s="146"/>
      <c r="AP4" s="146"/>
      <c r="AQ4" s="146"/>
      <c r="AR4" s="146"/>
      <c r="AS4" s="146"/>
      <c r="AT4" s="146"/>
      <c r="AU4" s="146"/>
      <c r="AV4" s="146"/>
      <c r="AW4" s="146"/>
      <c r="AX4" s="146"/>
      <c r="AY4" s="146"/>
      <c r="AZ4" s="146"/>
      <c r="BA4" s="146"/>
      <c r="BB4" s="146"/>
      <c r="BC4" s="146"/>
      <c r="BD4" s="146"/>
      <c r="BE4" s="146"/>
      <c r="BF4" s="146"/>
      <c r="BG4" s="146"/>
      <c r="BH4" s="146"/>
      <c r="BI4" s="146"/>
      <c r="BJ4" s="146"/>
      <c r="BK4" s="146"/>
      <c r="BL4" s="146"/>
      <c r="BM4" s="146"/>
      <c r="BN4" s="146"/>
      <c r="BO4" s="146"/>
      <c r="BP4" s="146"/>
      <c r="BQ4" s="146"/>
      <c r="BR4" s="146"/>
      <c r="BS4" s="146"/>
      <c r="BT4" s="146"/>
      <c r="BU4" s="146"/>
      <c r="BV4" s="146"/>
      <c r="BW4" s="146"/>
      <c r="BX4" s="146"/>
      <c r="BY4" s="146"/>
      <c r="BZ4" s="146"/>
      <c r="CA4" s="146"/>
      <c r="CB4" s="146"/>
      <c r="CC4" s="146"/>
      <c r="CD4" s="146"/>
      <c r="CE4" s="146"/>
      <c r="CF4" s="146"/>
      <c r="CG4" s="146"/>
      <c r="CH4" s="146"/>
      <c r="CI4" s="146"/>
      <c r="CJ4" s="146"/>
      <c r="CK4" s="146"/>
      <c r="CL4" s="146"/>
      <c r="CM4" s="146"/>
      <c r="CN4" s="146"/>
      <c r="CO4" s="146"/>
      <c r="CP4" s="146"/>
      <c r="CQ4" s="146"/>
      <c r="CR4" s="146"/>
      <c r="CS4" s="146"/>
      <c r="CT4" s="146"/>
      <c r="CU4" s="146"/>
      <c r="CV4" s="146"/>
      <c r="CW4" s="146"/>
      <c r="CX4" s="146"/>
      <c r="CY4" s="146"/>
      <c r="CZ4" s="146"/>
      <c r="DA4" s="146"/>
      <c r="DB4" s="146"/>
      <c r="DC4" s="146"/>
      <c r="DD4" s="146"/>
      <c r="DE4" s="146"/>
      <c r="DF4" s="146"/>
      <c r="DG4" s="146"/>
      <c r="DH4" s="146"/>
      <c r="DI4" s="146"/>
      <c r="DJ4" s="146"/>
      <c r="DK4" s="146"/>
      <c r="DL4" s="146"/>
      <c r="DM4" s="146"/>
      <c r="DN4" s="146"/>
      <c r="DO4" s="146"/>
      <c r="DP4" s="146"/>
      <c r="DQ4" s="146"/>
      <c r="DR4" s="146"/>
      <c r="DS4" s="146"/>
      <c r="DT4" s="146"/>
      <c r="DU4" s="146"/>
      <c r="DV4" s="146"/>
      <c r="DW4" s="146"/>
      <c r="DX4" s="146"/>
      <c r="DY4" s="146"/>
      <c r="DZ4" s="146"/>
      <c r="EA4" s="146"/>
      <c r="EB4" s="146"/>
      <c r="EC4" s="146"/>
      <c r="ED4" s="146"/>
      <c r="EE4" s="146"/>
      <c r="EF4" s="146"/>
      <c r="EG4" s="146"/>
      <c r="EH4" s="146"/>
      <c r="EI4" s="146"/>
      <c r="EJ4" s="146"/>
      <c r="EK4" s="146"/>
      <c r="EL4" s="146"/>
      <c r="EM4" s="146"/>
      <c r="EN4" s="146"/>
      <c r="EO4" s="146"/>
      <c r="EP4" s="146"/>
      <c r="EQ4" s="146"/>
      <c r="ER4" s="146"/>
      <c r="ES4" s="146"/>
      <c r="ET4" s="146"/>
      <c r="EU4" s="146"/>
      <c r="EV4" s="146"/>
      <c r="EW4" s="146"/>
      <c r="EX4" s="146"/>
      <c r="EY4" s="146"/>
      <c r="EZ4" s="146"/>
      <c r="FA4" s="146"/>
      <c r="FB4" s="146"/>
      <c r="FC4" s="146"/>
      <c r="FD4" s="146"/>
      <c r="FE4" s="146"/>
      <c r="FF4" s="146"/>
      <c r="FG4" s="146"/>
      <c r="FH4" s="146"/>
      <c r="FI4" s="146"/>
      <c r="FJ4" s="146"/>
      <c r="FK4" s="146"/>
      <c r="FL4" s="146"/>
      <c r="FM4" s="146"/>
      <c r="FN4" s="146"/>
      <c r="FO4" s="146"/>
      <c r="FP4" s="146"/>
      <c r="FQ4" s="146"/>
      <c r="FR4" s="146"/>
      <c r="FS4" s="146"/>
      <c r="FT4" s="146"/>
      <c r="FU4" s="146"/>
      <c r="FV4" s="146"/>
      <c r="FW4" s="146"/>
      <c r="FX4" s="146"/>
      <c r="FY4" s="146"/>
      <c r="FZ4" s="146"/>
      <c r="GA4" s="146"/>
      <c r="GB4" s="146"/>
      <c r="GC4" s="146"/>
      <c r="GD4" s="146"/>
      <c r="GE4" s="146"/>
      <c r="GF4" s="146"/>
      <c r="GG4" s="146"/>
      <c r="GH4" s="146"/>
      <c r="GI4" s="146"/>
      <c r="GJ4" s="146"/>
      <c r="GK4" s="146"/>
      <c r="GL4" s="146"/>
      <c r="GM4" s="146"/>
      <c r="GN4" s="146"/>
      <c r="GO4" s="146"/>
      <c r="GP4" s="146"/>
      <c r="GQ4" s="146"/>
      <c r="GR4" s="146"/>
      <c r="GS4" s="146"/>
      <c r="GT4" s="146"/>
      <c r="GU4" s="146"/>
      <c r="GV4" s="146"/>
      <c r="GW4" s="146"/>
      <c r="GX4" s="146"/>
      <c r="GY4" s="146"/>
      <c r="GZ4" s="146"/>
      <c r="HA4" s="146"/>
      <c r="HB4" s="146"/>
      <c r="HC4" s="146"/>
      <c r="HD4" s="146"/>
      <c r="HE4" s="146"/>
      <c r="HF4" s="146"/>
      <c r="HG4" s="146"/>
      <c r="HH4" s="146"/>
      <c r="HI4" s="146"/>
      <c r="HJ4" s="146"/>
      <c r="HK4" s="146"/>
      <c r="HL4" s="146"/>
      <c r="HM4" s="146"/>
      <c r="HN4" s="146"/>
      <c r="HO4" s="146"/>
      <c r="HP4" s="146"/>
      <c r="HQ4" s="146"/>
      <c r="HR4" s="146"/>
      <c r="HS4" s="146"/>
      <c r="HT4" s="146"/>
      <c r="HU4" s="146"/>
      <c r="HV4" s="146"/>
      <c r="HW4" s="146"/>
      <c r="HX4" s="146"/>
      <c r="HY4" s="146"/>
      <c r="HZ4" s="146"/>
      <c r="IA4" s="146"/>
      <c r="IB4" s="146"/>
      <c r="IC4" s="146"/>
      <c r="ID4" s="146"/>
      <c r="IE4" s="146"/>
      <c r="IF4" s="146"/>
      <c r="IG4" s="146"/>
      <c r="IH4" s="146"/>
      <c r="II4" s="146"/>
      <c r="IJ4" s="146"/>
      <c r="IK4" s="146"/>
      <c r="IL4" s="146"/>
      <c r="IM4" s="146"/>
      <c r="IN4" s="146"/>
      <c r="IO4" s="146"/>
    </row>
    <row r="5" spans="1:249" s="142" customFormat="1" ht="14.1" customHeight="1" thickBot="1" x14ac:dyDescent="0.35">
      <c r="A5" s="152" t="s">
        <v>1</v>
      </c>
      <c r="B5" s="152"/>
      <c r="C5" s="152"/>
      <c r="D5" s="153"/>
      <c r="E5" s="154"/>
      <c r="F5" s="155"/>
      <c r="G5" s="156"/>
      <c r="J5" s="322"/>
      <c r="K5" s="292"/>
      <c r="L5" s="292"/>
      <c r="M5" s="292"/>
    </row>
    <row r="6" spans="1:249" s="6" customFormat="1" ht="14.1" customHeight="1" x14ac:dyDescent="0.25">
      <c r="A6" s="1"/>
      <c r="B6" s="1"/>
      <c r="C6" s="1"/>
      <c r="D6" s="241"/>
      <c r="E6" s="326"/>
      <c r="F6" s="241"/>
      <c r="G6" s="347"/>
      <c r="H6" s="146"/>
      <c r="I6" s="146"/>
      <c r="J6" s="321"/>
      <c r="K6" s="291"/>
      <c r="L6" s="291"/>
      <c r="M6" s="291"/>
      <c r="N6" s="146"/>
      <c r="O6" s="146"/>
      <c r="P6" s="146"/>
      <c r="Q6" s="146"/>
      <c r="R6" s="146"/>
      <c r="S6" s="146"/>
      <c r="T6" s="146"/>
      <c r="U6" s="146"/>
      <c r="V6" s="146"/>
      <c r="W6" s="146"/>
      <c r="X6" s="146"/>
      <c r="Y6" s="146"/>
      <c r="Z6" s="146"/>
      <c r="AA6" s="146"/>
      <c r="AB6" s="146"/>
      <c r="AC6" s="146"/>
      <c r="AD6" s="146"/>
      <c r="AE6" s="146"/>
      <c r="AF6" s="146"/>
      <c r="AG6" s="146"/>
      <c r="AH6" s="146"/>
      <c r="AI6" s="146"/>
      <c r="AJ6" s="146"/>
      <c r="AK6" s="146"/>
      <c r="AL6" s="146"/>
      <c r="AM6" s="146"/>
      <c r="AN6" s="146"/>
      <c r="AO6" s="146"/>
      <c r="AP6" s="146"/>
      <c r="AQ6" s="146"/>
      <c r="AR6" s="146"/>
      <c r="AS6" s="146"/>
      <c r="AT6" s="146"/>
      <c r="AU6" s="146"/>
      <c r="AV6" s="146"/>
      <c r="AW6" s="146"/>
      <c r="AX6" s="146"/>
      <c r="AY6" s="146"/>
      <c r="AZ6" s="146"/>
      <c r="BA6" s="146"/>
      <c r="BB6" s="146"/>
      <c r="BC6" s="146"/>
      <c r="BD6" s="146"/>
      <c r="BE6" s="146"/>
      <c r="BF6" s="146"/>
      <c r="BG6" s="146"/>
      <c r="BH6" s="146"/>
      <c r="BI6" s="146"/>
      <c r="BJ6" s="146"/>
      <c r="BK6" s="146"/>
      <c r="BL6" s="146"/>
      <c r="BM6" s="146"/>
      <c r="BN6" s="146"/>
      <c r="BO6" s="146"/>
      <c r="BP6" s="146"/>
      <c r="BQ6" s="146"/>
      <c r="BR6" s="146"/>
      <c r="BS6" s="146"/>
      <c r="BT6" s="146"/>
      <c r="BU6" s="146"/>
      <c r="BV6" s="146"/>
      <c r="BW6" s="146"/>
      <c r="BX6" s="146"/>
      <c r="BY6" s="146"/>
      <c r="BZ6" s="146"/>
      <c r="CA6" s="146"/>
      <c r="CB6" s="146"/>
      <c r="CC6" s="146"/>
      <c r="CD6" s="146"/>
      <c r="CE6" s="146"/>
      <c r="CF6" s="146"/>
      <c r="CG6" s="146"/>
      <c r="CH6" s="146"/>
      <c r="CI6" s="146"/>
      <c r="CJ6" s="146"/>
      <c r="CK6" s="146"/>
      <c r="CL6" s="146"/>
      <c r="CM6" s="146"/>
      <c r="CN6" s="146"/>
      <c r="CO6" s="146"/>
      <c r="CP6" s="146"/>
      <c r="CQ6" s="146"/>
      <c r="CR6" s="146"/>
      <c r="CS6" s="146"/>
      <c r="CT6" s="146"/>
      <c r="CU6" s="146"/>
      <c r="CV6" s="146"/>
      <c r="CW6" s="146"/>
      <c r="CX6" s="146"/>
      <c r="CY6" s="146"/>
      <c r="CZ6" s="146"/>
      <c r="DA6" s="146"/>
      <c r="DB6" s="146"/>
      <c r="DC6" s="146"/>
      <c r="DD6" s="146"/>
      <c r="DE6" s="146"/>
      <c r="DF6" s="146"/>
      <c r="DG6" s="146"/>
      <c r="DH6" s="146"/>
      <c r="DI6" s="146"/>
      <c r="DJ6" s="146"/>
      <c r="DK6" s="146"/>
      <c r="DL6" s="146"/>
      <c r="DM6" s="146"/>
      <c r="DN6" s="146"/>
      <c r="DO6" s="146"/>
      <c r="DP6" s="146"/>
      <c r="DQ6" s="146"/>
      <c r="DR6" s="146"/>
      <c r="DS6" s="146"/>
      <c r="DT6" s="146"/>
      <c r="DU6" s="146"/>
      <c r="DV6" s="146"/>
      <c r="DW6" s="146"/>
      <c r="DX6" s="146"/>
      <c r="DY6" s="146"/>
      <c r="DZ6" s="146"/>
      <c r="EA6" s="146"/>
      <c r="EB6" s="146"/>
      <c r="EC6" s="146"/>
      <c r="ED6" s="146"/>
      <c r="EE6" s="146"/>
      <c r="EF6" s="146"/>
      <c r="EG6" s="146"/>
      <c r="EH6" s="146"/>
      <c r="EI6" s="146"/>
      <c r="EJ6" s="146"/>
      <c r="EK6" s="146"/>
      <c r="EL6" s="146"/>
      <c r="EM6" s="146"/>
      <c r="EN6" s="146"/>
      <c r="EO6" s="146"/>
      <c r="EP6" s="146"/>
      <c r="EQ6" s="146"/>
      <c r="ER6" s="146"/>
      <c r="ES6" s="146"/>
      <c r="ET6" s="146"/>
      <c r="EU6" s="146"/>
      <c r="EV6" s="146"/>
      <c r="EW6" s="146"/>
      <c r="EX6" s="146"/>
      <c r="EY6" s="146"/>
      <c r="EZ6" s="146"/>
      <c r="FA6" s="146"/>
      <c r="FB6" s="146"/>
      <c r="FC6" s="146"/>
      <c r="FD6" s="146"/>
      <c r="FE6" s="146"/>
      <c r="FF6" s="146"/>
      <c r="FG6" s="146"/>
      <c r="FH6" s="146"/>
      <c r="FI6" s="146"/>
      <c r="FJ6" s="146"/>
      <c r="FK6" s="146"/>
      <c r="FL6" s="146"/>
      <c r="FM6" s="146"/>
      <c r="FN6" s="146"/>
      <c r="FO6" s="146"/>
      <c r="FP6" s="146"/>
      <c r="FQ6" s="146"/>
      <c r="FR6" s="146"/>
      <c r="FS6" s="146"/>
      <c r="FT6" s="146"/>
      <c r="FU6" s="146"/>
      <c r="FV6" s="146"/>
      <c r="FW6" s="146"/>
      <c r="FX6" s="146"/>
      <c r="FY6" s="146"/>
      <c r="FZ6" s="146"/>
      <c r="GA6" s="146"/>
      <c r="GB6" s="146"/>
      <c r="GC6" s="146"/>
      <c r="GD6" s="146"/>
      <c r="GE6" s="146"/>
      <c r="GF6" s="146"/>
      <c r="GG6" s="146"/>
      <c r="GH6" s="146"/>
      <c r="GI6" s="146"/>
      <c r="GJ6" s="146"/>
      <c r="GK6" s="146"/>
      <c r="GL6" s="146"/>
      <c r="GM6" s="146"/>
      <c r="GN6" s="146"/>
      <c r="GO6" s="146"/>
      <c r="GP6" s="146"/>
      <c r="GQ6" s="146"/>
      <c r="GR6" s="146"/>
      <c r="GS6" s="146"/>
      <c r="GT6" s="146"/>
      <c r="GU6" s="146"/>
      <c r="GV6" s="146"/>
      <c r="GW6" s="146"/>
      <c r="GX6" s="146"/>
      <c r="GY6" s="146"/>
      <c r="GZ6" s="146"/>
      <c r="HA6" s="146"/>
      <c r="HB6" s="146"/>
      <c r="HC6" s="146"/>
      <c r="HD6" s="146"/>
      <c r="HE6" s="146"/>
      <c r="HF6" s="146"/>
      <c r="HG6" s="146"/>
      <c r="HH6" s="146"/>
      <c r="HI6" s="146"/>
      <c r="HJ6" s="146"/>
      <c r="HK6" s="146"/>
      <c r="HL6" s="146"/>
      <c r="HM6" s="146"/>
      <c r="HN6" s="146"/>
      <c r="HO6" s="146"/>
      <c r="HP6" s="146"/>
      <c r="HQ6" s="146"/>
      <c r="HR6" s="146"/>
      <c r="HS6" s="146"/>
      <c r="HT6" s="146"/>
      <c r="HU6" s="146"/>
      <c r="HV6" s="146"/>
      <c r="HW6" s="146"/>
      <c r="HX6" s="146"/>
      <c r="HY6" s="146"/>
      <c r="HZ6" s="146"/>
      <c r="IA6" s="146"/>
      <c r="IB6" s="146"/>
      <c r="IC6" s="146"/>
      <c r="ID6" s="146"/>
      <c r="IE6" s="146"/>
      <c r="IF6" s="146"/>
      <c r="IG6" s="146"/>
      <c r="IH6" s="146"/>
      <c r="II6" s="146"/>
      <c r="IJ6" s="146"/>
      <c r="IK6" s="146"/>
      <c r="IL6" s="146"/>
      <c r="IM6" s="146"/>
      <c r="IN6" s="146"/>
      <c r="IO6" s="146"/>
    </row>
    <row r="7" spans="1:249" s="6" customFormat="1" ht="14.1" customHeight="1" x14ac:dyDescent="0.25">
      <c r="A7" s="146"/>
      <c r="B7" s="341" t="s">
        <v>2</v>
      </c>
      <c r="C7" s="348"/>
      <c r="D7" s="241"/>
      <c r="E7" s="146"/>
      <c r="F7" s="241">
        <v>62.274536275210089</v>
      </c>
      <c r="G7" s="157" t="s">
        <v>3</v>
      </c>
      <c r="H7" s="349"/>
      <c r="I7" s="146"/>
      <c r="J7" s="321"/>
      <c r="K7" s="291"/>
      <c r="L7" s="291"/>
      <c r="M7" s="291"/>
      <c r="N7" s="146"/>
      <c r="O7" s="146"/>
      <c r="P7" s="146"/>
      <c r="Q7" s="146"/>
      <c r="R7" s="146"/>
      <c r="S7" s="146"/>
      <c r="T7" s="146"/>
      <c r="U7" s="146"/>
      <c r="V7" s="146"/>
      <c r="W7" s="146"/>
      <c r="X7" s="146"/>
      <c r="Y7" s="146"/>
      <c r="Z7" s="146"/>
      <c r="AA7" s="146"/>
      <c r="AB7" s="146"/>
      <c r="AC7" s="146"/>
      <c r="AD7" s="146"/>
      <c r="AE7" s="146"/>
      <c r="AF7" s="146"/>
      <c r="AG7" s="146"/>
      <c r="AH7" s="146"/>
      <c r="AI7" s="146"/>
      <c r="AJ7" s="146"/>
      <c r="AK7" s="146"/>
      <c r="AL7" s="146"/>
      <c r="AM7" s="146"/>
      <c r="AN7" s="146"/>
      <c r="AO7" s="146"/>
      <c r="AP7" s="146"/>
      <c r="AQ7" s="146"/>
      <c r="AR7" s="146"/>
      <c r="AS7" s="146"/>
      <c r="AT7" s="146"/>
      <c r="AU7" s="146"/>
      <c r="AV7" s="146"/>
      <c r="AW7" s="146"/>
      <c r="AX7" s="146"/>
      <c r="AY7" s="146"/>
      <c r="AZ7" s="146"/>
      <c r="BA7" s="146"/>
      <c r="BB7" s="146"/>
      <c r="BC7" s="146"/>
      <c r="BD7" s="146"/>
      <c r="BE7" s="146"/>
      <c r="BF7" s="146"/>
      <c r="BG7" s="146"/>
      <c r="BH7" s="146"/>
      <c r="BI7" s="146"/>
      <c r="BJ7" s="146"/>
      <c r="BK7" s="146"/>
      <c r="BL7" s="146"/>
      <c r="BM7" s="146"/>
      <c r="BN7" s="146"/>
      <c r="BO7" s="146"/>
      <c r="BP7" s="146"/>
      <c r="BQ7" s="146"/>
      <c r="BR7" s="146"/>
      <c r="BS7" s="146"/>
      <c r="BT7" s="146"/>
      <c r="BU7" s="146"/>
      <c r="BV7" s="146"/>
      <c r="BW7" s="146"/>
      <c r="BX7" s="146"/>
      <c r="BY7" s="146"/>
      <c r="BZ7" s="146"/>
      <c r="CA7" s="146"/>
      <c r="CB7" s="146"/>
      <c r="CC7" s="146"/>
      <c r="CD7" s="146"/>
      <c r="CE7" s="146"/>
      <c r="CF7" s="146"/>
      <c r="CG7" s="146"/>
      <c r="CH7" s="146"/>
      <c r="CI7" s="146"/>
      <c r="CJ7" s="146"/>
      <c r="CK7" s="146"/>
      <c r="CL7" s="146"/>
      <c r="CM7" s="146"/>
      <c r="CN7" s="146"/>
      <c r="CO7" s="146"/>
      <c r="CP7" s="146"/>
      <c r="CQ7" s="146"/>
      <c r="CR7" s="146"/>
      <c r="CS7" s="146"/>
      <c r="CT7" s="146"/>
      <c r="CU7" s="146"/>
      <c r="CV7" s="146"/>
      <c r="CW7" s="146"/>
      <c r="CX7" s="146"/>
      <c r="CY7" s="146"/>
      <c r="CZ7" s="146"/>
      <c r="DA7" s="146"/>
      <c r="DB7" s="146"/>
      <c r="DC7" s="146"/>
      <c r="DD7" s="146"/>
      <c r="DE7" s="146"/>
      <c r="DF7" s="146"/>
      <c r="DG7" s="146"/>
      <c r="DH7" s="146"/>
      <c r="DI7" s="146"/>
      <c r="DJ7" s="146"/>
      <c r="DK7" s="146"/>
      <c r="DL7" s="146"/>
      <c r="DM7" s="146"/>
      <c r="DN7" s="146"/>
      <c r="DO7" s="146"/>
      <c r="DP7" s="146"/>
      <c r="DQ7" s="146"/>
      <c r="DR7" s="146"/>
      <c r="DS7" s="146"/>
      <c r="DT7" s="146"/>
      <c r="DU7" s="146"/>
      <c r="DV7" s="146"/>
      <c r="DW7" s="146"/>
      <c r="DX7" s="146"/>
      <c r="DY7" s="146"/>
      <c r="DZ7" s="146"/>
      <c r="EA7" s="146"/>
      <c r="EB7" s="146"/>
      <c r="EC7" s="146"/>
      <c r="ED7" s="146"/>
      <c r="EE7" s="146"/>
      <c r="EF7" s="146"/>
      <c r="EG7" s="146"/>
      <c r="EH7" s="146"/>
      <c r="EI7" s="146"/>
      <c r="EJ7" s="146"/>
      <c r="EK7" s="146"/>
      <c r="EL7" s="146"/>
      <c r="EM7" s="146"/>
      <c r="EN7" s="146"/>
      <c r="EO7" s="146"/>
      <c r="EP7" s="146"/>
      <c r="EQ7" s="146"/>
      <c r="ER7" s="146"/>
      <c r="ES7" s="146"/>
      <c r="ET7" s="146"/>
      <c r="EU7" s="146"/>
      <c r="EV7" s="146"/>
      <c r="EW7" s="146"/>
      <c r="EX7" s="146"/>
      <c r="EY7" s="146"/>
      <c r="EZ7" s="146"/>
      <c r="FA7" s="146"/>
      <c r="FB7" s="146"/>
      <c r="FC7" s="146"/>
      <c r="FD7" s="146"/>
      <c r="FE7" s="146"/>
      <c r="FF7" s="146"/>
      <c r="FG7" s="146"/>
      <c r="FH7" s="146"/>
      <c r="FI7" s="146"/>
      <c r="FJ7" s="146"/>
      <c r="FK7" s="146"/>
      <c r="FL7" s="146"/>
      <c r="FM7" s="146"/>
      <c r="FN7" s="146"/>
      <c r="FO7" s="146"/>
      <c r="FP7" s="146"/>
      <c r="FQ7" s="146"/>
      <c r="FR7" s="146"/>
      <c r="FS7" s="146"/>
      <c r="FT7" s="146"/>
      <c r="FU7" s="146"/>
      <c r="FV7" s="146"/>
      <c r="FW7" s="146"/>
      <c r="FX7" s="146"/>
      <c r="FY7" s="146"/>
      <c r="FZ7" s="146"/>
      <c r="GA7" s="146"/>
      <c r="GB7" s="146"/>
      <c r="GC7" s="146"/>
      <c r="GD7" s="146"/>
      <c r="GE7" s="146"/>
      <c r="GF7" s="146"/>
      <c r="GG7" s="146"/>
      <c r="GH7" s="146"/>
      <c r="GI7" s="146"/>
      <c r="GJ7" s="146"/>
      <c r="GK7" s="146"/>
      <c r="GL7" s="146"/>
      <c r="GM7" s="146"/>
      <c r="GN7" s="146"/>
      <c r="GO7" s="146"/>
      <c r="GP7" s="146"/>
      <c r="GQ7" s="146"/>
      <c r="GR7" s="146"/>
      <c r="GS7" s="146"/>
      <c r="GT7" s="146"/>
      <c r="GU7" s="146"/>
      <c r="GV7" s="146"/>
      <c r="GW7" s="146"/>
      <c r="GX7" s="146"/>
      <c r="GY7" s="146"/>
      <c r="GZ7" s="146"/>
      <c r="HA7" s="146"/>
      <c r="HB7" s="146"/>
      <c r="HC7" s="146"/>
      <c r="HD7" s="146"/>
      <c r="HE7" s="146"/>
      <c r="HF7" s="146"/>
      <c r="HG7" s="146"/>
      <c r="HH7" s="146"/>
      <c r="HI7" s="146"/>
      <c r="HJ7" s="146"/>
      <c r="HK7" s="146"/>
      <c r="HL7" s="146"/>
      <c r="HM7" s="146"/>
      <c r="HN7" s="146"/>
      <c r="HO7" s="146"/>
      <c r="HP7" s="146"/>
      <c r="HQ7" s="146"/>
      <c r="HR7" s="146"/>
      <c r="HS7" s="146"/>
      <c r="HT7" s="146"/>
      <c r="HU7" s="146"/>
      <c r="HV7" s="146"/>
      <c r="HW7" s="146"/>
      <c r="HX7" s="146"/>
      <c r="HY7" s="146"/>
      <c r="HZ7" s="146"/>
      <c r="IA7" s="146"/>
      <c r="IB7" s="146"/>
      <c r="IC7" s="146"/>
      <c r="ID7" s="146"/>
      <c r="IE7" s="146"/>
      <c r="IF7" s="146"/>
      <c r="IG7" s="146"/>
      <c r="IH7" s="146"/>
      <c r="II7" s="146"/>
      <c r="IJ7" s="146"/>
      <c r="IK7" s="146"/>
      <c r="IL7" s="146"/>
      <c r="IM7" s="146"/>
      <c r="IN7" s="146"/>
      <c r="IO7" s="146"/>
    </row>
    <row r="8" spans="1:249" s="6" customFormat="1" ht="14.1" customHeight="1" x14ac:dyDescent="0.25">
      <c r="A8" s="146"/>
      <c r="B8" s="341" t="s">
        <v>4</v>
      </c>
      <c r="C8" s="348"/>
      <c r="D8" s="241"/>
      <c r="E8" s="146"/>
      <c r="F8" s="241">
        <v>9.3384898344070031</v>
      </c>
      <c r="G8" s="157" t="s">
        <v>5</v>
      </c>
      <c r="H8" s="349"/>
      <c r="I8" s="146"/>
      <c r="J8" s="321"/>
      <c r="K8" s="291"/>
      <c r="L8" s="291"/>
      <c r="M8" s="291"/>
      <c r="N8" s="146"/>
      <c r="O8" s="146"/>
      <c r="P8" s="146"/>
      <c r="Q8" s="146"/>
      <c r="R8" s="146"/>
      <c r="S8" s="146"/>
      <c r="T8" s="146"/>
      <c r="U8" s="146"/>
      <c r="V8" s="146"/>
      <c r="W8" s="146"/>
      <c r="X8" s="146"/>
      <c r="Y8" s="146"/>
      <c r="Z8" s="146"/>
      <c r="AA8" s="146"/>
      <c r="AB8" s="146"/>
      <c r="AC8" s="146"/>
      <c r="AD8" s="146"/>
      <c r="AE8" s="146"/>
      <c r="AF8" s="146"/>
      <c r="AG8" s="146"/>
      <c r="AH8" s="146"/>
      <c r="AI8" s="146"/>
      <c r="AJ8" s="146"/>
      <c r="AK8" s="146"/>
      <c r="AL8" s="146"/>
      <c r="AM8" s="146"/>
      <c r="AN8" s="146"/>
      <c r="AO8" s="146"/>
      <c r="AP8" s="146"/>
      <c r="AQ8" s="146"/>
      <c r="AR8" s="146"/>
      <c r="AS8" s="146"/>
      <c r="AT8" s="146"/>
      <c r="AU8" s="146"/>
      <c r="AV8" s="146"/>
      <c r="AW8" s="146"/>
      <c r="AX8" s="146"/>
      <c r="AY8" s="146"/>
      <c r="AZ8" s="146"/>
      <c r="BA8" s="146"/>
      <c r="BB8" s="146"/>
      <c r="BC8" s="146"/>
      <c r="BD8" s="146"/>
      <c r="BE8" s="146"/>
      <c r="BF8" s="146"/>
      <c r="BG8" s="146"/>
      <c r="BH8" s="146"/>
      <c r="BI8" s="146"/>
      <c r="BJ8" s="146"/>
      <c r="BK8" s="146"/>
      <c r="BL8" s="146"/>
      <c r="BM8" s="146"/>
      <c r="BN8" s="146"/>
      <c r="BO8" s="146"/>
      <c r="BP8" s="146"/>
      <c r="BQ8" s="146"/>
      <c r="BR8" s="146"/>
      <c r="BS8" s="146"/>
      <c r="BT8" s="146"/>
      <c r="BU8" s="146"/>
      <c r="BV8" s="146"/>
      <c r="BW8" s="146"/>
      <c r="BX8" s="146"/>
      <c r="BY8" s="146"/>
      <c r="BZ8" s="146"/>
      <c r="CA8" s="146"/>
      <c r="CB8" s="146"/>
      <c r="CC8" s="146"/>
      <c r="CD8" s="146"/>
      <c r="CE8" s="146"/>
      <c r="CF8" s="146"/>
      <c r="CG8" s="146"/>
      <c r="CH8" s="146"/>
      <c r="CI8" s="146"/>
      <c r="CJ8" s="146"/>
      <c r="CK8" s="146"/>
      <c r="CL8" s="146"/>
      <c r="CM8" s="146"/>
      <c r="CN8" s="146"/>
      <c r="CO8" s="146"/>
      <c r="CP8" s="146"/>
      <c r="CQ8" s="146"/>
      <c r="CR8" s="146"/>
      <c r="CS8" s="146"/>
      <c r="CT8" s="146"/>
      <c r="CU8" s="146"/>
      <c r="CV8" s="146"/>
      <c r="CW8" s="146"/>
      <c r="CX8" s="146"/>
      <c r="CY8" s="146"/>
      <c r="CZ8" s="146"/>
      <c r="DA8" s="146"/>
      <c r="DB8" s="146"/>
      <c r="DC8" s="146"/>
      <c r="DD8" s="146"/>
      <c r="DE8" s="146"/>
      <c r="DF8" s="146"/>
      <c r="DG8" s="146"/>
      <c r="DH8" s="146"/>
      <c r="DI8" s="146"/>
      <c r="DJ8" s="146"/>
      <c r="DK8" s="146"/>
      <c r="DL8" s="146"/>
      <c r="DM8" s="146"/>
      <c r="DN8" s="146"/>
      <c r="DO8" s="146"/>
      <c r="DP8" s="146"/>
      <c r="DQ8" s="146"/>
      <c r="DR8" s="146"/>
      <c r="DS8" s="146"/>
      <c r="DT8" s="146"/>
      <c r="DU8" s="146"/>
      <c r="DV8" s="146"/>
      <c r="DW8" s="146"/>
      <c r="DX8" s="146"/>
      <c r="DY8" s="146"/>
      <c r="DZ8" s="146"/>
      <c r="EA8" s="146"/>
      <c r="EB8" s="146"/>
      <c r="EC8" s="146"/>
      <c r="ED8" s="146"/>
      <c r="EE8" s="146"/>
      <c r="EF8" s="146"/>
      <c r="EG8" s="146"/>
      <c r="EH8" s="146"/>
      <c r="EI8" s="146"/>
      <c r="EJ8" s="146"/>
      <c r="EK8" s="146"/>
      <c r="EL8" s="146"/>
      <c r="EM8" s="146"/>
      <c r="EN8" s="146"/>
      <c r="EO8" s="146"/>
      <c r="EP8" s="146"/>
      <c r="EQ8" s="146"/>
      <c r="ER8" s="146"/>
      <c r="ES8" s="146"/>
      <c r="ET8" s="146"/>
      <c r="EU8" s="146"/>
      <c r="EV8" s="146"/>
      <c r="EW8" s="146"/>
      <c r="EX8" s="146"/>
      <c r="EY8" s="146"/>
      <c r="EZ8" s="146"/>
      <c r="FA8" s="146"/>
      <c r="FB8" s="146"/>
      <c r="FC8" s="146"/>
      <c r="FD8" s="146"/>
      <c r="FE8" s="146"/>
      <c r="FF8" s="146"/>
      <c r="FG8" s="146"/>
      <c r="FH8" s="146"/>
      <c r="FI8" s="146"/>
      <c r="FJ8" s="146"/>
      <c r="FK8" s="146"/>
      <c r="FL8" s="146"/>
      <c r="FM8" s="146"/>
      <c r="FN8" s="146"/>
      <c r="FO8" s="146"/>
      <c r="FP8" s="146"/>
      <c r="FQ8" s="146"/>
      <c r="FR8" s="146"/>
      <c r="FS8" s="146"/>
      <c r="FT8" s="146"/>
      <c r="FU8" s="146"/>
      <c r="FV8" s="146"/>
      <c r="FW8" s="146"/>
      <c r="FX8" s="146"/>
      <c r="FY8" s="146"/>
      <c r="FZ8" s="146"/>
      <c r="GA8" s="146"/>
      <c r="GB8" s="146"/>
      <c r="GC8" s="146"/>
      <c r="GD8" s="146"/>
      <c r="GE8" s="146"/>
      <c r="GF8" s="146"/>
      <c r="GG8" s="146"/>
      <c r="GH8" s="146"/>
      <c r="GI8" s="146"/>
      <c r="GJ8" s="146"/>
      <c r="GK8" s="146"/>
      <c r="GL8" s="146"/>
      <c r="GM8" s="146"/>
      <c r="GN8" s="146"/>
      <c r="GO8" s="146"/>
      <c r="GP8" s="146"/>
      <c r="GQ8" s="146"/>
      <c r="GR8" s="146"/>
      <c r="GS8" s="146"/>
      <c r="GT8" s="146"/>
      <c r="GU8" s="146"/>
      <c r="GV8" s="146"/>
      <c r="GW8" s="146"/>
      <c r="GX8" s="146"/>
      <c r="GY8" s="146"/>
      <c r="GZ8" s="146"/>
      <c r="HA8" s="146"/>
      <c r="HB8" s="146"/>
      <c r="HC8" s="146"/>
      <c r="HD8" s="146"/>
      <c r="HE8" s="146"/>
      <c r="HF8" s="146"/>
      <c r="HG8" s="146"/>
      <c r="HH8" s="146"/>
      <c r="HI8" s="146"/>
      <c r="HJ8" s="146"/>
      <c r="HK8" s="146"/>
      <c r="HL8" s="146"/>
      <c r="HM8" s="146"/>
      <c r="HN8" s="146"/>
      <c r="HO8" s="146"/>
      <c r="HP8" s="146"/>
      <c r="HQ8" s="146"/>
      <c r="HR8" s="146"/>
      <c r="HS8" s="146"/>
      <c r="HT8" s="146"/>
      <c r="HU8" s="146"/>
      <c r="HV8" s="146"/>
      <c r="HW8" s="146"/>
      <c r="HX8" s="146"/>
      <c r="HY8" s="146"/>
      <c r="HZ8" s="146"/>
      <c r="IA8" s="146"/>
      <c r="IB8" s="146"/>
      <c r="IC8" s="146"/>
      <c r="ID8" s="146"/>
      <c r="IE8" s="146"/>
      <c r="IF8" s="146"/>
      <c r="IG8" s="146"/>
      <c r="IH8" s="146"/>
      <c r="II8" s="146"/>
      <c r="IJ8" s="146"/>
      <c r="IK8" s="146"/>
      <c r="IL8" s="146"/>
      <c r="IM8" s="146"/>
      <c r="IN8" s="146"/>
      <c r="IO8" s="146"/>
    </row>
    <row r="9" spans="1:249" s="6" customFormat="1" ht="14.1" customHeight="1" x14ac:dyDescent="0.25">
      <c r="A9" s="146"/>
      <c r="B9" s="341" t="s">
        <v>6</v>
      </c>
      <c r="C9" s="348"/>
      <c r="D9" s="241"/>
      <c r="E9" s="146"/>
      <c r="F9" s="241">
        <v>0.13683502776810874</v>
      </c>
      <c r="G9" s="157" t="s">
        <v>7</v>
      </c>
      <c r="H9" s="349"/>
      <c r="I9" s="146"/>
      <c r="J9" s="321"/>
      <c r="K9" s="291"/>
      <c r="L9" s="291"/>
      <c r="M9" s="291"/>
      <c r="N9" s="146"/>
      <c r="O9" s="146"/>
      <c r="P9" s="146"/>
      <c r="Q9" s="146"/>
      <c r="R9" s="146"/>
      <c r="S9" s="146"/>
      <c r="T9" s="146"/>
      <c r="U9" s="146"/>
      <c r="V9" s="146"/>
      <c r="W9" s="146"/>
      <c r="X9" s="146"/>
      <c r="Y9" s="146"/>
      <c r="Z9" s="146"/>
      <c r="AA9" s="146"/>
      <c r="AB9" s="146"/>
      <c r="AC9" s="146"/>
      <c r="AD9" s="146"/>
      <c r="AE9" s="146"/>
      <c r="AF9" s="146"/>
      <c r="AG9" s="146"/>
      <c r="AH9" s="146"/>
      <c r="AI9" s="146"/>
      <c r="AJ9" s="146"/>
      <c r="AK9" s="146"/>
      <c r="AL9" s="146"/>
      <c r="AM9" s="146"/>
      <c r="AN9" s="146"/>
      <c r="AO9" s="146"/>
      <c r="AP9" s="146"/>
      <c r="AQ9" s="146"/>
      <c r="AR9" s="146"/>
      <c r="AS9" s="146"/>
      <c r="AT9" s="146"/>
      <c r="AU9" s="146"/>
      <c r="AV9" s="146"/>
      <c r="AW9" s="146"/>
      <c r="AX9" s="146"/>
      <c r="AY9" s="146"/>
      <c r="AZ9" s="146"/>
      <c r="BA9" s="146"/>
      <c r="BB9" s="146"/>
      <c r="BC9" s="146"/>
      <c r="BD9" s="146"/>
      <c r="BE9" s="146"/>
      <c r="BF9" s="146"/>
      <c r="BG9" s="146"/>
      <c r="BH9" s="146"/>
      <c r="BI9" s="146"/>
      <c r="BJ9" s="146"/>
      <c r="BK9" s="146"/>
      <c r="BL9" s="146"/>
      <c r="BM9" s="146"/>
      <c r="BN9" s="146"/>
      <c r="BO9" s="146"/>
      <c r="BP9" s="146"/>
      <c r="BQ9" s="146"/>
      <c r="BR9" s="146"/>
      <c r="BS9" s="146"/>
      <c r="BT9" s="146"/>
      <c r="BU9" s="146"/>
      <c r="BV9" s="146"/>
      <c r="BW9" s="146"/>
      <c r="BX9" s="146"/>
      <c r="BY9" s="146"/>
      <c r="BZ9" s="146"/>
      <c r="CA9" s="146"/>
      <c r="CB9" s="146"/>
      <c r="CC9" s="146"/>
      <c r="CD9" s="146"/>
      <c r="CE9" s="146"/>
      <c r="CF9" s="146"/>
      <c r="CG9" s="146"/>
      <c r="CH9" s="146"/>
      <c r="CI9" s="146"/>
      <c r="CJ9" s="146"/>
      <c r="CK9" s="146"/>
      <c r="CL9" s="146"/>
      <c r="CM9" s="146"/>
      <c r="CN9" s="146"/>
      <c r="CO9" s="146"/>
      <c r="CP9" s="146"/>
      <c r="CQ9" s="146"/>
      <c r="CR9" s="146"/>
      <c r="CS9" s="146"/>
      <c r="CT9" s="146"/>
      <c r="CU9" s="146"/>
      <c r="CV9" s="146"/>
      <c r="CW9" s="146"/>
      <c r="CX9" s="146"/>
      <c r="CY9" s="146"/>
      <c r="CZ9" s="146"/>
      <c r="DA9" s="146"/>
      <c r="DB9" s="146"/>
      <c r="DC9" s="146"/>
      <c r="DD9" s="146"/>
      <c r="DE9" s="146"/>
      <c r="DF9" s="146"/>
      <c r="DG9" s="146"/>
      <c r="DH9" s="146"/>
      <c r="DI9" s="146"/>
      <c r="DJ9" s="146"/>
      <c r="DK9" s="146"/>
      <c r="DL9" s="146"/>
      <c r="DM9" s="146"/>
      <c r="DN9" s="146"/>
      <c r="DO9" s="146"/>
      <c r="DP9" s="146"/>
      <c r="DQ9" s="146"/>
      <c r="DR9" s="146"/>
      <c r="DS9" s="146"/>
      <c r="DT9" s="146"/>
      <c r="DU9" s="146"/>
      <c r="DV9" s="146"/>
      <c r="DW9" s="146"/>
      <c r="DX9" s="146"/>
      <c r="DY9" s="146"/>
      <c r="DZ9" s="146"/>
      <c r="EA9" s="146"/>
      <c r="EB9" s="146"/>
      <c r="EC9" s="146"/>
      <c r="ED9" s="146"/>
      <c r="EE9" s="146"/>
      <c r="EF9" s="146"/>
      <c r="EG9" s="146"/>
      <c r="EH9" s="146"/>
      <c r="EI9" s="146"/>
      <c r="EJ9" s="146"/>
      <c r="EK9" s="146"/>
      <c r="EL9" s="146"/>
      <c r="EM9" s="146"/>
      <c r="EN9" s="146"/>
      <c r="EO9" s="146"/>
      <c r="EP9" s="146"/>
      <c r="EQ9" s="146"/>
      <c r="ER9" s="146"/>
      <c r="ES9" s="146"/>
      <c r="ET9" s="146"/>
      <c r="EU9" s="146"/>
      <c r="EV9" s="146"/>
      <c r="EW9" s="146"/>
      <c r="EX9" s="146"/>
      <c r="EY9" s="146"/>
      <c r="EZ9" s="146"/>
      <c r="FA9" s="146"/>
      <c r="FB9" s="146"/>
      <c r="FC9" s="146"/>
      <c r="FD9" s="146"/>
      <c r="FE9" s="146"/>
      <c r="FF9" s="146"/>
      <c r="FG9" s="146"/>
      <c r="FH9" s="146"/>
      <c r="FI9" s="146"/>
      <c r="FJ9" s="146"/>
      <c r="FK9" s="146"/>
      <c r="FL9" s="146"/>
      <c r="FM9" s="146"/>
      <c r="FN9" s="146"/>
      <c r="FO9" s="146"/>
      <c r="FP9" s="146"/>
      <c r="FQ9" s="146"/>
      <c r="FR9" s="146"/>
      <c r="FS9" s="146"/>
      <c r="FT9" s="146"/>
      <c r="FU9" s="146"/>
      <c r="FV9" s="146"/>
      <c r="FW9" s="146"/>
      <c r="FX9" s="146"/>
      <c r="FY9" s="146"/>
      <c r="FZ9" s="146"/>
      <c r="GA9" s="146"/>
      <c r="GB9" s="146"/>
      <c r="GC9" s="146"/>
      <c r="GD9" s="146"/>
      <c r="GE9" s="146"/>
      <c r="GF9" s="146"/>
      <c r="GG9" s="146"/>
      <c r="GH9" s="146"/>
      <c r="GI9" s="146"/>
      <c r="GJ9" s="146"/>
      <c r="GK9" s="146"/>
      <c r="GL9" s="146"/>
      <c r="GM9" s="146"/>
      <c r="GN9" s="146"/>
      <c r="GO9" s="146"/>
      <c r="GP9" s="146"/>
      <c r="GQ9" s="146"/>
      <c r="GR9" s="146"/>
      <c r="GS9" s="146"/>
      <c r="GT9" s="146"/>
      <c r="GU9" s="146"/>
      <c r="GV9" s="146"/>
      <c r="GW9" s="146"/>
      <c r="GX9" s="146"/>
      <c r="GY9" s="146"/>
      <c r="GZ9" s="146"/>
      <c r="HA9" s="146"/>
      <c r="HB9" s="146"/>
      <c r="HC9" s="146"/>
      <c r="HD9" s="146"/>
      <c r="HE9" s="146"/>
      <c r="HF9" s="146"/>
      <c r="HG9" s="146"/>
      <c r="HH9" s="146"/>
      <c r="HI9" s="146"/>
      <c r="HJ9" s="146"/>
      <c r="HK9" s="146"/>
      <c r="HL9" s="146"/>
      <c r="HM9" s="146"/>
      <c r="HN9" s="146"/>
      <c r="HO9" s="146"/>
      <c r="HP9" s="146"/>
      <c r="HQ9" s="146"/>
      <c r="HR9" s="146"/>
      <c r="HS9" s="146"/>
      <c r="HT9" s="146"/>
      <c r="HU9" s="146"/>
      <c r="HV9" s="146"/>
      <c r="HW9" s="146"/>
      <c r="HX9" s="146"/>
      <c r="HY9" s="146"/>
      <c r="HZ9" s="146"/>
      <c r="IA9" s="146"/>
      <c r="IB9" s="146"/>
      <c r="IC9" s="146"/>
      <c r="ID9" s="146"/>
      <c r="IE9" s="146"/>
      <c r="IF9" s="146"/>
      <c r="IG9" s="146"/>
      <c r="IH9" s="146"/>
      <c r="II9" s="146"/>
      <c r="IJ9" s="146"/>
      <c r="IK9" s="146"/>
      <c r="IL9" s="146"/>
      <c r="IM9" s="146"/>
      <c r="IN9" s="146"/>
      <c r="IO9" s="146"/>
    </row>
    <row r="10" spans="1:249" s="6" customFormat="1" ht="14.1" customHeight="1" x14ac:dyDescent="0.25">
      <c r="A10" s="146"/>
      <c r="B10" s="33" t="s">
        <v>8</v>
      </c>
      <c r="C10" s="158"/>
      <c r="D10" s="241"/>
      <c r="E10" s="146"/>
      <c r="F10" s="40">
        <v>71.74986113738521</v>
      </c>
      <c r="G10" s="157" t="s">
        <v>9</v>
      </c>
      <c r="H10" s="349"/>
      <c r="I10" s="146"/>
      <c r="J10" s="321"/>
      <c r="K10" s="295"/>
      <c r="L10" s="291"/>
      <c r="M10" s="291"/>
      <c r="N10" s="146"/>
      <c r="O10" s="146"/>
      <c r="P10" s="146"/>
      <c r="Q10" s="146"/>
      <c r="R10" s="146"/>
      <c r="S10" s="146"/>
      <c r="T10" s="146"/>
      <c r="U10" s="146"/>
      <c r="V10" s="146"/>
      <c r="W10" s="146"/>
      <c r="X10" s="146"/>
      <c r="Y10" s="146"/>
      <c r="Z10" s="146"/>
      <c r="AA10" s="146"/>
      <c r="AB10" s="146"/>
      <c r="AC10" s="146"/>
      <c r="AD10" s="146"/>
      <c r="AE10" s="146"/>
      <c r="AF10" s="146"/>
      <c r="AG10" s="146"/>
      <c r="AH10" s="146"/>
      <c r="AI10" s="146"/>
      <c r="AJ10" s="146"/>
      <c r="AK10" s="146"/>
      <c r="AL10" s="146"/>
      <c r="AM10" s="146"/>
      <c r="AN10" s="146"/>
      <c r="AO10" s="146"/>
      <c r="AP10" s="146"/>
      <c r="AQ10" s="146"/>
      <c r="AR10" s="146"/>
      <c r="AS10" s="146"/>
      <c r="AT10" s="146"/>
      <c r="AU10" s="146"/>
      <c r="AV10" s="146"/>
      <c r="AW10" s="146"/>
      <c r="AX10" s="146"/>
      <c r="AY10" s="146"/>
      <c r="AZ10" s="146"/>
      <c r="BA10" s="146"/>
      <c r="BB10" s="146"/>
      <c r="BC10" s="146"/>
      <c r="BD10" s="146"/>
      <c r="BE10" s="146"/>
      <c r="BF10" s="146"/>
      <c r="BG10" s="146"/>
      <c r="BH10" s="146"/>
      <c r="BI10" s="146"/>
      <c r="BJ10" s="146"/>
      <c r="BK10" s="146"/>
      <c r="BL10" s="146"/>
      <c r="BM10" s="146"/>
      <c r="BN10" s="146"/>
      <c r="BO10" s="146"/>
      <c r="BP10" s="146"/>
      <c r="BQ10" s="146"/>
      <c r="BR10" s="146"/>
      <c r="BS10" s="146"/>
      <c r="BT10" s="146"/>
      <c r="BU10" s="146"/>
      <c r="BV10" s="146"/>
      <c r="BW10" s="146"/>
      <c r="BX10" s="146"/>
      <c r="BY10" s="146"/>
      <c r="BZ10" s="146"/>
      <c r="CA10" s="146"/>
      <c r="CB10" s="146"/>
      <c r="CC10" s="146"/>
      <c r="CD10" s="146"/>
      <c r="CE10" s="146"/>
      <c r="CF10" s="146"/>
      <c r="CG10" s="146"/>
      <c r="CH10" s="146"/>
      <c r="CI10" s="146"/>
      <c r="CJ10" s="146"/>
      <c r="CK10" s="146"/>
      <c r="CL10" s="146"/>
      <c r="CM10" s="146"/>
      <c r="CN10" s="146"/>
      <c r="CO10" s="146"/>
      <c r="CP10" s="146"/>
      <c r="CQ10" s="146"/>
      <c r="CR10" s="146"/>
      <c r="CS10" s="146"/>
      <c r="CT10" s="146"/>
      <c r="CU10" s="146"/>
      <c r="CV10" s="146"/>
      <c r="CW10" s="146"/>
      <c r="CX10" s="146"/>
      <c r="CY10" s="146"/>
      <c r="CZ10" s="146"/>
      <c r="DA10" s="146"/>
      <c r="DB10" s="146"/>
      <c r="DC10" s="146"/>
      <c r="DD10" s="146"/>
      <c r="DE10" s="146"/>
      <c r="DF10" s="146"/>
      <c r="DG10" s="146"/>
      <c r="DH10" s="146"/>
      <c r="DI10" s="146"/>
      <c r="DJ10" s="146"/>
      <c r="DK10" s="146"/>
      <c r="DL10" s="146"/>
      <c r="DM10" s="146"/>
      <c r="DN10" s="146"/>
      <c r="DO10" s="146"/>
      <c r="DP10" s="146"/>
      <c r="DQ10" s="146"/>
      <c r="DR10" s="146"/>
      <c r="DS10" s="146"/>
      <c r="DT10" s="146"/>
      <c r="DU10" s="146"/>
      <c r="DV10" s="146"/>
      <c r="DW10" s="146"/>
      <c r="DX10" s="146"/>
      <c r="DY10" s="146"/>
      <c r="DZ10" s="146"/>
      <c r="EA10" s="146"/>
      <c r="EB10" s="146"/>
      <c r="EC10" s="146"/>
      <c r="ED10" s="146"/>
      <c r="EE10" s="146"/>
      <c r="EF10" s="146"/>
      <c r="EG10" s="146"/>
      <c r="EH10" s="146"/>
      <c r="EI10" s="146"/>
      <c r="EJ10" s="146"/>
      <c r="EK10" s="146"/>
      <c r="EL10" s="146"/>
      <c r="EM10" s="146"/>
      <c r="EN10" s="146"/>
      <c r="EO10" s="146"/>
      <c r="EP10" s="146"/>
      <c r="EQ10" s="146"/>
      <c r="ER10" s="146"/>
      <c r="ES10" s="146"/>
      <c r="ET10" s="146"/>
      <c r="EU10" s="146"/>
      <c r="EV10" s="146"/>
      <c r="EW10" s="146"/>
      <c r="EX10" s="146"/>
      <c r="EY10" s="146"/>
      <c r="EZ10" s="146"/>
      <c r="FA10" s="146"/>
      <c r="FB10" s="146"/>
      <c r="FC10" s="146"/>
      <c r="FD10" s="146"/>
      <c r="FE10" s="146"/>
      <c r="FF10" s="146"/>
      <c r="FG10" s="146"/>
      <c r="FH10" s="146"/>
      <c r="FI10" s="146"/>
      <c r="FJ10" s="146"/>
      <c r="FK10" s="146"/>
      <c r="FL10" s="146"/>
      <c r="FM10" s="146"/>
      <c r="FN10" s="146"/>
      <c r="FO10" s="146"/>
      <c r="FP10" s="146"/>
      <c r="FQ10" s="146"/>
      <c r="FR10" s="146"/>
      <c r="FS10" s="146"/>
      <c r="FT10" s="146"/>
      <c r="FU10" s="146"/>
      <c r="FV10" s="146"/>
      <c r="FW10" s="146"/>
      <c r="FX10" s="146"/>
      <c r="FY10" s="146"/>
      <c r="FZ10" s="146"/>
      <c r="GA10" s="146"/>
      <c r="GB10" s="146"/>
      <c r="GC10" s="146"/>
      <c r="GD10" s="146"/>
      <c r="GE10" s="146"/>
      <c r="GF10" s="146"/>
      <c r="GG10" s="146"/>
      <c r="GH10" s="146"/>
      <c r="GI10" s="146"/>
      <c r="GJ10" s="146"/>
      <c r="GK10" s="146"/>
      <c r="GL10" s="146"/>
      <c r="GM10" s="146"/>
      <c r="GN10" s="146"/>
      <c r="GO10" s="146"/>
      <c r="GP10" s="146"/>
      <c r="GQ10" s="146"/>
      <c r="GR10" s="146"/>
      <c r="GS10" s="146"/>
      <c r="GT10" s="146"/>
      <c r="GU10" s="146"/>
      <c r="GV10" s="146"/>
      <c r="GW10" s="146"/>
      <c r="GX10" s="146"/>
      <c r="GY10" s="146"/>
      <c r="GZ10" s="146"/>
      <c r="HA10" s="146"/>
      <c r="HB10" s="146"/>
      <c r="HC10" s="146"/>
      <c r="HD10" s="146"/>
      <c r="HE10" s="146"/>
      <c r="HF10" s="146"/>
      <c r="HG10" s="146"/>
      <c r="HH10" s="146"/>
      <c r="HI10" s="146"/>
      <c r="HJ10" s="146"/>
      <c r="HK10" s="146"/>
      <c r="HL10" s="146"/>
      <c r="HM10" s="146"/>
      <c r="HN10" s="146"/>
      <c r="HO10" s="146"/>
      <c r="HP10" s="146"/>
      <c r="HQ10" s="146"/>
      <c r="HR10" s="146"/>
      <c r="HS10" s="146"/>
      <c r="HT10" s="146"/>
      <c r="HU10" s="146"/>
      <c r="HV10" s="146"/>
      <c r="HW10" s="146"/>
      <c r="HX10" s="146"/>
      <c r="HY10" s="146"/>
      <c r="HZ10" s="146"/>
      <c r="IA10" s="146"/>
      <c r="IB10" s="146"/>
      <c r="IC10" s="146"/>
      <c r="ID10" s="146"/>
      <c r="IE10" s="146"/>
      <c r="IF10" s="146"/>
      <c r="IG10" s="146"/>
      <c r="IH10" s="146"/>
      <c r="II10" s="146"/>
      <c r="IJ10" s="146"/>
      <c r="IK10" s="146"/>
      <c r="IL10" s="146"/>
      <c r="IM10" s="146"/>
      <c r="IN10" s="146"/>
      <c r="IO10" s="146"/>
    </row>
    <row r="11" spans="1:249" s="6" customFormat="1" ht="14.1" customHeight="1" x14ac:dyDescent="0.25">
      <c r="A11" s="1"/>
      <c r="B11" s="1"/>
      <c r="C11" s="1"/>
      <c r="D11" s="241"/>
      <c r="E11" s="146"/>
      <c r="F11" s="347"/>
      <c r="G11" s="347"/>
      <c r="H11" s="146"/>
      <c r="I11" s="146"/>
      <c r="J11" s="321"/>
      <c r="K11" s="295"/>
      <c r="L11" s="291"/>
      <c r="M11" s="291"/>
      <c r="N11" s="146"/>
      <c r="O11" s="146"/>
      <c r="P11" s="146"/>
      <c r="Q11" s="146"/>
      <c r="R11" s="146"/>
      <c r="S11" s="146"/>
      <c r="T11" s="146"/>
      <c r="U11" s="146"/>
      <c r="V11" s="146"/>
      <c r="W11" s="146"/>
      <c r="X11" s="146"/>
      <c r="Y11" s="146"/>
      <c r="Z11" s="146"/>
      <c r="AA11" s="146"/>
      <c r="AB11" s="146"/>
      <c r="AC11" s="146"/>
      <c r="AD11" s="146"/>
      <c r="AE11" s="146"/>
      <c r="AF11" s="146"/>
      <c r="AG11" s="146"/>
      <c r="AH11" s="146"/>
      <c r="AI11" s="146"/>
      <c r="AJ11" s="146"/>
      <c r="AK11" s="146"/>
      <c r="AL11" s="146"/>
      <c r="AM11" s="146"/>
      <c r="AN11" s="146"/>
      <c r="AO11" s="146"/>
      <c r="AP11" s="146"/>
      <c r="AQ11" s="146"/>
      <c r="AR11" s="146"/>
      <c r="AS11" s="146"/>
      <c r="AT11" s="146"/>
      <c r="AU11" s="146"/>
      <c r="AV11" s="146"/>
      <c r="AW11" s="146"/>
      <c r="AX11" s="146"/>
      <c r="AY11" s="146"/>
      <c r="AZ11" s="146"/>
      <c r="BA11" s="146"/>
      <c r="BB11" s="146"/>
      <c r="BC11" s="146"/>
      <c r="BD11" s="146"/>
      <c r="BE11" s="146"/>
      <c r="BF11" s="146"/>
      <c r="BG11" s="146"/>
      <c r="BH11" s="146"/>
      <c r="BI11" s="146"/>
      <c r="BJ11" s="146"/>
      <c r="BK11" s="146"/>
      <c r="BL11" s="146"/>
      <c r="BM11" s="146"/>
      <c r="BN11" s="146"/>
      <c r="BO11" s="146"/>
      <c r="BP11" s="146"/>
      <c r="BQ11" s="146"/>
      <c r="BR11" s="146"/>
      <c r="BS11" s="146"/>
      <c r="BT11" s="146"/>
      <c r="BU11" s="146"/>
      <c r="BV11" s="146"/>
      <c r="BW11" s="146"/>
      <c r="BX11" s="146"/>
      <c r="BY11" s="146"/>
      <c r="BZ11" s="146"/>
      <c r="CA11" s="146"/>
      <c r="CB11" s="146"/>
      <c r="CC11" s="146"/>
      <c r="CD11" s="146"/>
      <c r="CE11" s="146"/>
      <c r="CF11" s="146"/>
      <c r="CG11" s="146"/>
      <c r="CH11" s="146"/>
      <c r="CI11" s="146"/>
      <c r="CJ11" s="146"/>
      <c r="CK11" s="146"/>
      <c r="CL11" s="146"/>
      <c r="CM11" s="146"/>
      <c r="CN11" s="146"/>
      <c r="CO11" s="146"/>
      <c r="CP11" s="146"/>
      <c r="CQ11" s="146"/>
      <c r="CR11" s="146"/>
      <c r="CS11" s="146"/>
      <c r="CT11" s="146"/>
      <c r="CU11" s="146"/>
      <c r="CV11" s="146"/>
      <c r="CW11" s="146"/>
      <c r="CX11" s="146"/>
      <c r="CY11" s="146"/>
      <c r="CZ11" s="146"/>
      <c r="DA11" s="146"/>
      <c r="DB11" s="146"/>
      <c r="DC11" s="146"/>
      <c r="DD11" s="146"/>
      <c r="DE11" s="146"/>
      <c r="DF11" s="146"/>
      <c r="DG11" s="146"/>
      <c r="DH11" s="146"/>
      <c r="DI11" s="146"/>
      <c r="DJ11" s="146"/>
      <c r="DK11" s="146"/>
      <c r="DL11" s="146"/>
      <c r="DM11" s="146"/>
      <c r="DN11" s="146"/>
      <c r="DO11" s="146"/>
      <c r="DP11" s="146"/>
      <c r="DQ11" s="146"/>
      <c r="DR11" s="146"/>
      <c r="DS11" s="146"/>
      <c r="DT11" s="146"/>
      <c r="DU11" s="146"/>
      <c r="DV11" s="146"/>
      <c r="DW11" s="146"/>
      <c r="DX11" s="146"/>
      <c r="DY11" s="146"/>
      <c r="DZ11" s="146"/>
      <c r="EA11" s="146"/>
      <c r="EB11" s="146"/>
      <c r="EC11" s="146"/>
      <c r="ED11" s="146"/>
      <c r="EE11" s="146"/>
      <c r="EF11" s="146"/>
      <c r="EG11" s="146"/>
      <c r="EH11" s="146"/>
      <c r="EI11" s="146"/>
      <c r="EJ11" s="146"/>
      <c r="EK11" s="146"/>
      <c r="EL11" s="146"/>
      <c r="EM11" s="146"/>
      <c r="EN11" s="146"/>
      <c r="EO11" s="146"/>
      <c r="EP11" s="146"/>
      <c r="EQ11" s="146"/>
      <c r="ER11" s="146"/>
      <c r="ES11" s="146"/>
      <c r="ET11" s="146"/>
      <c r="EU11" s="146"/>
      <c r="EV11" s="146"/>
      <c r="EW11" s="146"/>
      <c r="EX11" s="146"/>
      <c r="EY11" s="146"/>
      <c r="EZ11" s="146"/>
      <c r="FA11" s="146"/>
      <c r="FB11" s="146"/>
      <c r="FC11" s="146"/>
      <c r="FD11" s="146"/>
      <c r="FE11" s="146"/>
      <c r="FF11" s="146"/>
      <c r="FG11" s="146"/>
      <c r="FH11" s="146"/>
      <c r="FI11" s="146"/>
      <c r="FJ11" s="146"/>
      <c r="FK11" s="146"/>
      <c r="FL11" s="146"/>
      <c r="FM11" s="146"/>
      <c r="FN11" s="146"/>
      <c r="FO11" s="146"/>
      <c r="FP11" s="146"/>
      <c r="FQ11" s="146"/>
      <c r="FR11" s="146"/>
      <c r="FS11" s="146"/>
      <c r="FT11" s="146"/>
      <c r="FU11" s="146"/>
      <c r="FV11" s="146"/>
      <c r="FW11" s="146"/>
      <c r="FX11" s="146"/>
      <c r="FY11" s="146"/>
      <c r="FZ11" s="146"/>
      <c r="GA11" s="146"/>
      <c r="GB11" s="146"/>
      <c r="GC11" s="146"/>
      <c r="GD11" s="146"/>
      <c r="GE11" s="146"/>
      <c r="GF11" s="146"/>
      <c r="GG11" s="146"/>
      <c r="GH11" s="146"/>
      <c r="GI11" s="146"/>
      <c r="GJ11" s="146"/>
      <c r="GK11" s="146"/>
      <c r="GL11" s="146"/>
      <c r="GM11" s="146"/>
      <c r="GN11" s="146"/>
      <c r="GO11" s="146"/>
      <c r="GP11" s="146"/>
      <c r="GQ11" s="146"/>
      <c r="GR11" s="146"/>
      <c r="GS11" s="146"/>
      <c r="GT11" s="146"/>
      <c r="GU11" s="146"/>
      <c r="GV11" s="146"/>
      <c r="GW11" s="146"/>
      <c r="GX11" s="146"/>
      <c r="GY11" s="146"/>
      <c r="GZ11" s="146"/>
      <c r="HA11" s="146"/>
      <c r="HB11" s="146"/>
      <c r="HC11" s="146"/>
      <c r="HD11" s="146"/>
      <c r="HE11" s="146"/>
      <c r="HF11" s="146"/>
      <c r="HG11" s="146"/>
      <c r="HH11" s="146"/>
      <c r="HI11" s="146"/>
      <c r="HJ11" s="146"/>
      <c r="HK11" s="146"/>
      <c r="HL11" s="146"/>
      <c r="HM11" s="146"/>
      <c r="HN11" s="146"/>
      <c r="HO11" s="146"/>
      <c r="HP11" s="146"/>
      <c r="HQ11" s="146"/>
      <c r="HR11" s="146"/>
      <c r="HS11" s="146"/>
      <c r="HT11" s="146"/>
      <c r="HU11" s="146"/>
      <c r="HV11" s="146"/>
      <c r="HW11" s="146"/>
      <c r="HX11" s="146"/>
      <c r="HY11" s="146"/>
      <c r="HZ11" s="146"/>
      <c r="IA11" s="146"/>
      <c r="IB11" s="146"/>
      <c r="IC11" s="146"/>
      <c r="ID11" s="146"/>
      <c r="IE11" s="146"/>
      <c r="IF11" s="146"/>
      <c r="IG11" s="146"/>
      <c r="IH11" s="146"/>
      <c r="II11" s="146"/>
      <c r="IJ11" s="146"/>
      <c r="IK11" s="146"/>
      <c r="IL11" s="146"/>
      <c r="IM11" s="146"/>
      <c r="IN11" s="146"/>
      <c r="IO11" s="146"/>
    </row>
    <row r="12" spans="1:249" s="6" customFormat="1" ht="14.1" customHeight="1" thickBot="1" x14ac:dyDescent="0.35">
      <c r="A12" s="152" t="s">
        <v>10</v>
      </c>
      <c r="B12" s="159"/>
      <c r="C12" s="159"/>
      <c r="D12" s="350"/>
      <c r="E12" s="351"/>
      <c r="F12" s="352"/>
      <c r="G12" s="353"/>
      <c r="H12" s="146"/>
      <c r="I12" s="146"/>
      <c r="J12" s="321"/>
      <c r="K12" s="295"/>
      <c r="L12" s="291"/>
      <c r="M12" s="291"/>
      <c r="N12" s="146"/>
      <c r="O12" s="146"/>
      <c r="P12" s="146"/>
      <c r="Q12" s="146"/>
      <c r="R12" s="146"/>
      <c r="S12" s="146"/>
      <c r="T12" s="146"/>
      <c r="U12" s="146"/>
      <c r="V12" s="146"/>
      <c r="W12" s="146"/>
      <c r="X12" s="146"/>
      <c r="Y12" s="146"/>
      <c r="Z12" s="146"/>
      <c r="AA12" s="146"/>
      <c r="AB12" s="146"/>
      <c r="AC12" s="146"/>
      <c r="AD12" s="146"/>
      <c r="AE12" s="146"/>
      <c r="AF12" s="146"/>
      <c r="AG12" s="146"/>
      <c r="AH12" s="146"/>
      <c r="AI12" s="146"/>
      <c r="AJ12" s="146"/>
      <c r="AK12" s="146"/>
      <c r="AL12" s="146"/>
      <c r="AM12" s="146"/>
      <c r="AN12" s="146"/>
      <c r="AO12" s="146"/>
      <c r="AP12" s="146"/>
      <c r="AQ12" s="146"/>
      <c r="AR12" s="146"/>
      <c r="AS12" s="146"/>
      <c r="AT12" s="146"/>
      <c r="AU12" s="146"/>
      <c r="AV12" s="146"/>
      <c r="AW12" s="146"/>
      <c r="AX12" s="146"/>
      <c r="AY12" s="146"/>
      <c r="AZ12" s="146"/>
      <c r="BA12" s="146"/>
      <c r="BB12" s="146"/>
      <c r="BC12" s="146"/>
      <c r="BD12" s="146"/>
      <c r="BE12" s="146"/>
      <c r="BF12" s="146"/>
      <c r="BG12" s="146"/>
      <c r="BH12" s="146"/>
      <c r="BI12" s="146"/>
      <c r="BJ12" s="146"/>
      <c r="BK12" s="146"/>
      <c r="BL12" s="146"/>
      <c r="BM12" s="146"/>
      <c r="BN12" s="146"/>
      <c r="BO12" s="146"/>
      <c r="BP12" s="146"/>
      <c r="BQ12" s="146"/>
      <c r="BR12" s="146"/>
      <c r="BS12" s="146"/>
      <c r="BT12" s="146"/>
      <c r="BU12" s="146"/>
      <c r="BV12" s="146"/>
      <c r="BW12" s="146"/>
      <c r="BX12" s="146"/>
      <c r="BY12" s="146"/>
      <c r="BZ12" s="146"/>
      <c r="CA12" s="146"/>
      <c r="CB12" s="146"/>
      <c r="CC12" s="146"/>
      <c r="CD12" s="146"/>
      <c r="CE12" s="146"/>
      <c r="CF12" s="146"/>
      <c r="CG12" s="146"/>
      <c r="CH12" s="146"/>
      <c r="CI12" s="146"/>
      <c r="CJ12" s="146"/>
      <c r="CK12" s="146"/>
      <c r="CL12" s="146"/>
      <c r="CM12" s="146"/>
      <c r="CN12" s="146"/>
      <c r="CO12" s="146"/>
      <c r="CP12" s="146"/>
      <c r="CQ12" s="146"/>
      <c r="CR12" s="146"/>
      <c r="CS12" s="146"/>
      <c r="CT12" s="146"/>
      <c r="CU12" s="146"/>
      <c r="CV12" s="146"/>
      <c r="CW12" s="146"/>
      <c r="CX12" s="146"/>
      <c r="CY12" s="146"/>
      <c r="CZ12" s="146"/>
      <c r="DA12" s="146"/>
      <c r="DB12" s="146"/>
      <c r="DC12" s="146"/>
      <c r="DD12" s="146"/>
      <c r="DE12" s="146"/>
      <c r="DF12" s="146"/>
      <c r="DG12" s="146"/>
      <c r="DH12" s="146"/>
      <c r="DI12" s="146"/>
      <c r="DJ12" s="146"/>
      <c r="DK12" s="146"/>
      <c r="DL12" s="146"/>
      <c r="DM12" s="146"/>
      <c r="DN12" s="146"/>
      <c r="DO12" s="146"/>
      <c r="DP12" s="146"/>
      <c r="DQ12" s="146"/>
      <c r="DR12" s="146"/>
      <c r="DS12" s="146"/>
      <c r="DT12" s="146"/>
      <c r="DU12" s="146"/>
      <c r="DV12" s="146"/>
      <c r="DW12" s="146"/>
      <c r="DX12" s="146"/>
      <c r="DY12" s="146"/>
      <c r="DZ12" s="146"/>
      <c r="EA12" s="146"/>
      <c r="EB12" s="146"/>
      <c r="EC12" s="146"/>
      <c r="ED12" s="146"/>
      <c r="EE12" s="146"/>
      <c r="EF12" s="146"/>
      <c r="EG12" s="146"/>
      <c r="EH12" s="146"/>
      <c r="EI12" s="146"/>
      <c r="EJ12" s="146"/>
      <c r="EK12" s="146"/>
      <c r="EL12" s="146"/>
      <c r="EM12" s="146"/>
      <c r="EN12" s="146"/>
      <c r="EO12" s="146"/>
      <c r="EP12" s="146"/>
      <c r="EQ12" s="146"/>
      <c r="ER12" s="146"/>
      <c r="ES12" s="146"/>
      <c r="ET12" s="146"/>
      <c r="EU12" s="146"/>
      <c r="EV12" s="146"/>
      <c r="EW12" s="146"/>
      <c r="EX12" s="146"/>
      <c r="EY12" s="146"/>
      <c r="EZ12" s="146"/>
      <c r="FA12" s="146"/>
      <c r="FB12" s="146"/>
      <c r="FC12" s="146"/>
      <c r="FD12" s="146"/>
      <c r="FE12" s="146"/>
      <c r="FF12" s="146"/>
      <c r="FG12" s="146"/>
      <c r="FH12" s="146"/>
      <c r="FI12" s="146"/>
      <c r="FJ12" s="146"/>
      <c r="FK12" s="146"/>
      <c r="FL12" s="146"/>
      <c r="FM12" s="146"/>
      <c r="FN12" s="146"/>
      <c r="FO12" s="146"/>
      <c r="FP12" s="146"/>
      <c r="FQ12" s="146"/>
      <c r="FR12" s="146"/>
      <c r="FS12" s="146"/>
      <c r="FT12" s="146"/>
      <c r="FU12" s="146"/>
      <c r="FV12" s="146"/>
      <c r="FW12" s="146"/>
      <c r="FX12" s="146"/>
      <c r="FY12" s="146"/>
      <c r="FZ12" s="146"/>
      <c r="GA12" s="146"/>
      <c r="GB12" s="146"/>
      <c r="GC12" s="146"/>
      <c r="GD12" s="146"/>
      <c r="GE12" s="146"/>
      <c r="GF12" s="146"/>
      <c r="GG12" s="146"/>
      <c r="GH12" s="146"/>
      <c r="GI12" s="146"/>
      <c r="GJ12" s="146"/>
      <c r="GK12" s="146"/>
      <c r="GL12" s="146"/>
      <c r="GM12" s="146"/>
      <c r="GN12" s="146"/>
      <c r="GO12" s="146"/>
      <c r="GP12" s="146"/>
      <c r="GQ12" s="146"/>
      <c r="GR12" s="146"/>
      <c r="GS12" s="146"/>
      <c r="GT12" s="146"/>
      <c r="GU12" s="146"/>
      <c r="GV12" s="146"/>
      <c r="GW12" s="146"/>
      <c r="GX12" s="146"/>
      <c r="GY12" s="146"/>
      <c r="GZ12" s="146"/>
      <c r="HA12" s="146"/>
      <c r="HB12" s="146"/>
      <c r="HC12" s="146"/>
      <c r="HD12" s="146"/>
      <c r="HE12" s="146"/>
      <c r="HF12" s="146"/>
      <c r="HG12" s="146"/>
      <c r="HH12" s="146"/>
      <c r="HI12" s="146"/>
      <c r="HJ12" s="146"/>
      <c r="HK12" s="146"/>
      <c r="HL12" s="146"/>
      <c r="HM12" s="146"/>
      <c r="HN12" s="146"/>
      <c r="HO12" s="146"/>
      <c r="HP12" s="146"/>
      <c r="HQ12" s="146"/>
      <c r="HR12" s="146"/>
      <c r="HS12" s="146"/>
      <c r="HT12" s="146"/>
      <c r="HU12" s="146"/>
      <c r="HV12" s="146"/>
      <c r="HW12" s="146"/>
      <c r="HX12" s="146"/>
      <c r="HY12" s="146"/>
      <c r="HZ12" s="146"/>
      <c r="IA12" s="146"/>
      <c r="IB12" s="146"/>
      <c r="IC12" s="146"/>
      <c r="ID12" s="146"/>
      <c r="IE12" s="146"/>
      <c r="IF12" s="146"/>
      <c r="IG12" s="146"/>
      <c r="IH12" s="146"/>
      <c r="II12" s="146"/>
      <c r="IJ12" s="146"/>
      <c r="IK12" s="146"/>
      <c r="IL12" s="146"/>
      <c r="IM12" s="146"/>
      <c r="IN12" s="146"/>
      <c r="IO12" s="146"/>
    </row>
    <row r="13" spans="1:249" s="6" customFormat="1" ht="14.1" customHeight="1" x14ac:dyDescent="0.25">
      <c r="A13" s="1"/>
      <c r="B13" s="1"/>
      <c r="C13" s="1"/>
      <c r="D13" s="241"/>
      <c r="E13" s="146"/>
      <c r="F13" s="145"/>
      <c r="G13" s="347"/>
      <c r="H13" s="146"/>
      <c r="I13" s="146"/>
      <c r="J13" s="321"/>
      <c r="K13" s="295"/>
      <c r="L13" s="291"/>
      <c r="M13" s="291"/>
      <c r="N13" s="146"/>
      <c r="O13" s="146"/>
      <c r="P13" s="146"/>
      <c r="Q13" s="146"/>
      <c r="R13" s="146"/>
      <c r="S13" s="146"/>
      <c r="T13" s="146"/>
      <c r="U13" s="146"/>
      <c r="V13" s="146"/>
      <c r="W13" s="146"/>
      <c r="X13" s="146"/>
      <c r="Y13" s="146"/>
      <c r="Z13" s="146"/>
      <c r="AA13" s="146"/>
      <c r="AB13" s="146"/>
      <c r="AC13" s="146"/>
      <c r="AD13" s="146"/>
      <c r="AE13" s="146"/>
      <c r="AF13" s="146"/>
      <c r="AG13" s="146"/>
      <c r="AH13" s="146"/>
      <c r="AI13" s="146"/>
      <c r="AJ13" s="146"/>
      <c r="AK13" s="146"/>
      <c r="AL13" s="146"/>
      <c r="AM13" s="146"/>
      <c r="AN13" s="146"/>
      <c r="AO13" s="146"/>
      <c r="AP13" s="146"/>
      <c r="AQ13" s="146"/>
      <c r="AR13" s="146"/>
      <c r="AS13" s="146"/>
      <c r="AT13" s="146"/>
      <c r="AU13" s="146"/>
      <c r="AV13" s="146"/>
      <c r="AW13" s="146"/>
      <c r="AX13" s="146"/>
      <c r="AY13" s="146"/>
      <c r="AZ13" s="146"/>
      <c r="BA13" s="146"/>
      <c r="BB13" s="146"/>
      <c r="BC13" s="146"/>
      <c r="BD13" s="146"/>
      <c r="BE13" s="146"/>
      <c r="BF13" s="146"/>
      <c r="BG13" s="146"/>
      <c r="BH13" s="146"/>
      <c r="BI13" s="146"/>
      <c r="BJ13" s="146"/>
      <c r="BK13" s="146"/>
      <c r="BL13" s="146"/>
      <c r="BM13" s="146"/>
      <c r="BN13" s="146"/>
      <c r="BO13" s="146"/>
      <c r="BP13" s="146"/>
      <c r="BQ13" s="146"/>
      <c r="BR13" s="146"/>
      <c r="BS13" s="146"/>
      <c r="BT13" s="146"/>
      <c r="BU13" s="146"/>
      <c r="BV13" s="146"/>
      <c r="BW13" s="146"/>
      <c r="BX13" s="146"/>
      <c r="BY13" s="146"/>
      <c r="BZ13" s="146"/>
      <c r="CA13" s="146"/>
      <c r="CB13" s="146"/>
      <c r="CC13" s="146"/>
      <c r="CD13" s="146"/>
      <c r="CE13" s="146"/>
      <c r="CF13" s="146"/>
      <c r="CG13" s="146"/>
      <c r="CH13" s="146"/>
      <c r="CI13" s="146"/>
      <c r="CJ13" s="146"/>
      <c r="CK13" s="146"/>
      <c r="CL13" s="146"/>
      <c r="CM13" s="146"/>
      <c r="CN13" s="146"/>
      <c r="CO13" s="146"/>
      <c r="CP13" s="146"/>
      <c r="CQ13" s="146"/>
      <c r="CR13" s="146"/>
      <c r="CS13" s="146"/>
      <c r="CT13" s="146"/>
      <c r="CU13" s="146"/>
      <c r="CV13" s="146"/>
      <c r="CW13" s="146"/>
      <c r="CX13" s="146"/>
      <c r="CY13" s="146"/>
      <c r="CZ13" s="146"/>
      <c r="DA13" s="146"/>
      <c r="DB13" s="146"/>
      <c r="DC13" s="146"/>
      <c r="DD13" s="146"/>
      <c r="DE13" s="146"/>
      <c r="DF13" s="146"/>
      <c r="DG13" s="146"/>
      <c r="DH13" s="146"/>
      <c r="DI13" s="146"/>
      <c r="DJ13" s="146"/>
      <c r="DK13" s="146"/>
      <c r="DL13" s="146"/>
      <c r="DM13" s="146"/>
      <c r="DN13" s="146"/>
      <c r="DO13" s="146"/>
      <c r="DP13" s="146"/>
      <c r="DQ13" s="146"/>
      <c r="DR13" s="146"/>
      <c r="DS13" s="146"/>
      <c r="DT13" s="146"/>
      <c r="DU13" s="146"/>
      <c r="DV13" s="146"/>
      <c r="DW13" s="146"/>
      <c r="DX13" s="146"/>
      <c r="DY13" s="146"/>
      <c r="DZ13" s="146"/>
      <c r="EA13" s="146"/>
      <c r="EB13" s="146"/>
      <c r="EC13" s="146"/>
      <c r="ED13" s="146"/>
      <c r="EE13" s="146"/>
      <c r="EF13" s="146"/>
      <c r="EG13" s="146"/>
      <c r="EH13" s="146"/>
      <c r="EI13" s="146"/>
      <c r="EJ13" s="146"/>
      <c r="EK13" s="146"/>
      <c r="EL13" s="146"/>
      <c r="EM13" s="146"/>
      <c r="EN13" s="146"/>
      <c r="EO13" s="146"/>
      <c r="EP13" s="146"/>
      <c r="EQ13" s="146"/>
      <c r="ER13" s="146"/>
      <c r="ES13" s="146"/>
      <c r="ET13" s="146"/>
      <c r="EU13" s="146"/>
      <c r="EV13" s="146"/>
      <c r="EW13" s="146"/>
      <c r="EX13" s="146"/>
      <c r="EY13" s="146"/>
      <c r="EZ13" s="146"/>
      <c r="FA13" s="146"/>
      <c r="FB13" s="146"/>
      <c r="FC13" s="146"/>
      <c r="FD13" s="146"/>
      <c r="FE13" s="146"/>
      <c r="FF13" s="146"/>
      <c r="FG13" s="146"/>
      <c r="FH13" s="146"/>
      <c r="FI13" s="146"/>
      <c r="FJ13" s="146"/>
      <c r="FK13" s="146"/>
      <c r="FL13" s="146"/>
      <c r="FM13" s="146"/>
      <c r="FN13" s="146"/>
      <c r="FO13" s="146"/>
      <c r="FP13" s="146"/>
      <c r="FQ13" s="146"/>
      <c r="FR13" s="146"/>
      <c r="FS13" s="146"/>
      <c r="FT13" s="146"/>
      <c r="FU13" s="146"/>
      <c r="FV13" s="146"/>
      <c r="FW13" s="146"/>
      <c r="FX13" s="146"/>
      <c r="FY13" s="146"/>
      <c r="FZ13" s="146"/>
      <c r="GA13" s="146"/>
      <c r="GB13" s="146"/>
      <c r="GC13" s="146"/>
      <c r="GD13" s="146"/>
      <c r="GE13" s="146"/>
      <c r="GF13" s="146"/>
      <c r="GG13" s="146"/>
      <c r="GH13" s="146"/>
      <c r="GI13" s="146"/>
      <c r="GJ13" s="146"/>
      <c r="GK13" s="146"/>
      <c r="GL13" s="146"/>
      <c r="GM13" s="146"/>
      <c r="GN13" s="146"/>
      <c r="GO13" s="146"/>
      <c r="GP13" s="146"/>
      <c r="GQ13" s="146"/>
      <c r="GR13" s="146"/>
      <c r="GS13" s="146"/>
      <c r="GT13" s="146"/>
      <c r="GU13" s="146"/>
      <c r="GV13" s="146"/>
      <c r="GW13" s="146"/>
      <c r="GX13" s="146"/>
      <c r="GY13" s="146"/>
      <c r="GZ13" s="146"/>
      <c r="HA13" s="146"/>
      <c r="HB13" s="146"/>
      <c r="HC13" s="146"/>
      <c r="HD13" s="146"/>
      <c r="HE13" s="146"/>
      <c r="HF13" s="146"/>
      <c r="HG13" s="146"/>
      <c r="HH13" s="146"/>
      <c r="HI13" s="146"/>
      <c r="HJ13" s="146"/>
      <c r="HK13" s="146"/>
      <c r="HL13" s="146"/>
      <c r="HM13" s="146"/>
      <c r="HN13" s="146"/>
      <c r="HO13" s="146"/>
      <c r="HP13" s="146"/>
      <c r="HQ13" s="146"/>
      <c r="HR13" s="146"/>
      <c r="HS13" s="146"/>
      <c r="HT13" s="146"/>
      <c r="HU13" s="146"/>
      <c r="HV13" s="146"/>
      <c r="HW13" s="146"/>
      <c r="HX13" s="146"/>
      <c r="HY13" s="146"/>
      <c r="HZ13" s="146"/>
      <c r="IA13" s="146"/>
      <c r="IB13" s="146"/>
      <c r="IC13" s="146"/>
      <c r="ID13" s="146"/>
      <c r="IE13" s="146"/>
      <c r="IF13" s="146"/>
      <c r="IG13" s="146"/>
      <c r="IH13" s="146"/>
      <c r="II13" s="146"/>
      <c r="IJ13" s="146"/>
      <c r="IK13" s="146"/>
      <c r="IL13" s="146"/>
      <c r="IM13" s="146"/>
      <c r="IN13" s="146"/>
      <c r="IO13" s="146"/>
    </row>
    <row r="14" spans="1:249" s="6" customFormat="1" ht="14.1" customHeight="1" x14ac:dyDescent="0.25">
      <c r="A14" s="1"/>
      <c r="B14" s="1"/>
      <c r="C14" s="1"/>
      <c r="D14" s="40" t="s">
        <v>11</v>
      </c>
      <c r="E14" s="31" t="s">
        <v>12</v>
      </c>
      <c r="F14" s="31" t="s">
        <v>13</v>
      </c>
      <c r="G14" s="347"/>
      <c r="H14" s="146"/>
      <c r="I14" s="146"/>
      <c r="J14" s="321"/>
      <c r="K14" s="295"/>
      <c r="L14" s="291"/>
      <c r="M14" s="291"/>
      <c r="N14" s="146"/>
      <c r="O14" s="146"/>
      <c r="P14" s="146"/>
      <c r="Q14" s="146"/>
      <c r="R14" s="146"/>
      <c r="S14" s="146"/>
      <c r="T14" s="146"/>
      <c r="U14" s="146"/>
      <c r="V14" s="146"/>
      <c r="W14" s="146"/>
      <c r="X14" s="146"/>
      <c r="Y14" s="146"/>
      <c r="Z14" s="146"/>
      <c r="AA14" s="146"/>
      <c r="AB14" s="146"/>
      <c r="AC14" s="146"/>
      <c r="AD14" s="146"/>
      <c r="AE14" s="146"/>
      <c r="AF14" s="146"/>
      <c r="AG14" s="146"/>
      <c r="AH14" s="146"/>
      <c r="AI14" s="146"/>
      <c r="AJ14" s="146"/>
      <c r="AK14" s="146"/>
      <c r="AL14" s="146"/>
      <c r="AM14" s="146"/>
      <c r="AN14" s="146"/>
      <c r="AO14" s="146"/>
      <c r="AP14" s="146"/>
      <c r="AQ14" s="146"/>
      <c r="AR14" s="146"/>
      <c r="AS14" s="146"/>
      <c r="AT14" s="146"/>
      <c r="AU14" s="146"/>
      <c r="AV14" s="146"/>
      <c r="AW14" s="146"/>
      <c r="AX14" s="146"/>
      <c r="AY14" s="146"/>
      <c r="AZ14" s="146"/>
      <c r="BA14" s="146"/>
      <c r="BB14" s="146"/>
      <c r="BC14" s="146"/>
      <c r="BD14" s="146"/>
      <c r="BE14" s="146"/>
      <c r="BF14" s="146"/>
      <c r="BG14" s="146"/>
      <c r="BH14" s="146"/>
      <c r="BI14" s="146"/>
      <c r="BJ14" s="146"/>
      <c r="BK14" s="146"/>
      <c r="BL14" s="146"/>
      <c r="BM14" s="146"/>
      <c r="BN14" s="146"/>
      <c r="BO14" s="146"/>
      <c r="BP14" s="146"/>
      <c r="BQ14" s="146"/>
      <c r="BR14" s="146"/>
      <c r="BS14" s="146"/>
      <c r="BT14" s="146"/>
      <c r="BU14" s="146"/>
      <c r="BV14" s="146"/>
      <c r="BW14" s="146"/>
      <c r="BX14" s="146"/>
      <c r="BY14" s="146"/>
      <c r="BZ14" s="146"/>
      <c r="CA14" s="146"/>
      <c r="CB14" s="146"/>
      <c r="CC14" s="146"/>
      <c r="CD14" s="146"/>
      <c r="CE14" s="146"/>
      <c r="CF14" s="146"/>
      <c r="CG14" s="146"/>
      <c r="CH14" s="146"/>
      <c r="CI14" s="146"/>
      <c r="CJ14" s="146"/>
      <c r="CK14" s="146"/>
      <c r="CL14" s="146"/>
      <c r="CM14" s="146"/>
      <c r="CN14" s="146"/>
      <c r="CO14" s="146"/>
      <c r="CP14" s="146"/>
      <c r="CQ14" s="146"/>
      <c r="CR14" s="146"/>
      <c r="CS14" s="146"/>
      <c r="CT14" s="146"/>
      <c r="CU14" s="146"/>
      <c r="CV14" s="146"/>
      <c r="CW14" s="146"/>
      <c r="CX14" s="146"/>
      <c r="CY14" s="146"/>
      <c r="CZ14" s="146"/>
      <c r="DA14" s="146"/>
      <c r="DB14" s="146"/>
      <c r="DC14" s="146"/>
      <c r="DD14" s="146"/>
      <c r="DE14" s="146"/>
      <c r="DF14" s="146"/>
      <c r="DG14" s="146"/>
      <c r="DH14" s="146"/>
      <c r="DI14" s="146"/>
      <c r="DJ14" s="146"/>
      <c r="DK14" s="146"/>
      <c r="DL14" s="146"/>
      <c r="DM14" s="146"/>
      <c r="DN14" s="146"/>
      <c r="DO14" s="146"/>
      <c r="DP14" s="146"/>
      <c r="DQ14" s="146"/>
      <c r="DR14" s="146"/>
      <c r="DS14" s="146"/>
      <c r="DT14" s="146"/>
      <c r="DU14" s="146"/>
      <c r="DV14" s="146"/>
      <c r="DW14" s="146"/>
      <c r="DX14" s="146"/>
      <c r="DY14" s="146"/>
      <c r="DZ14" s="146"/>
      <c r="EA14" s="146"/>
      <c r="EB14" s="146"/>
      <c r="EC14" s="146"/>
      <c r="ED14" s="146"/>
      <c r="EE14" s="146"/>
      <c r="EF14" s="146"/>
      <c r="EG14" s="146"/>
      <c r="EH14" s="146"/>
      <c r="EI14" s="146"/>
      <c r="EJ14" s="146"/>
      <c r="EK14" s="146"/>
      <c r="EL14" s="146"/>
      <c r="EM14" s="146"/>
      <c r="EN14" s="146"/>
      <c r="EO14" s="146"/>
      <c r="EP14" s="146"/>
      <c r="EQ14" s="146"/>
      <c r="ER14" s="146"/>
      <c r="ES14" s="146"/>
      <c r="ET14" s="146"/>
      <c r="EU14" s="146"/>
      <c r="EV14" s="146"/>
      <c r="EW14" s="146"/>
      <c r="EX14" s="146"/>
      <c r="EY14" s="146"/>
      <c r="EZ14" s="146"/>
      <c r="FA14" s="146"/>
      <c r="FB14" s="146"/>
      <c r="FC14" s="146"/>
      <c r="FD14" s="146"/>
      <c r="FE14" s="146"/>
      <c r="FF14" s="146"/>
      <c r="FG14" s="146"/>
      <c r="FH14" s="146"/>
      <c r="FI14" s="146"/>
      <c r="FJ14" s="146"/>
      <c r="FK14" s="146"/>
      <c r="FL14" s="146"/>
      <c r="FM14" s="146"/>
      <c r="FN14" s="146"/>
      <c r="FO14" s="146"/>
      <c r="FP14" s="146"/>
      <c r="FQ14" s="146"/>
      <c r="FR14" s="146"/>
      <c r="FS14" s="146"/>
      <c r="FT14" s="146"/>
      <c r="FU14" s="146"/>
      <c r="FV14" s="146"/>
      <c r="FW14" s="146"/>
      <c r="FX14" s="146"/>
      <c r="FY14" s="146"/>
      <c r="FZ14" s="146"/>
      <c r="GA14" s="146"/>
      <c r="GB14" s="146"/>
      <c r="GC14" s="146"/>
      <c r="GD14" s="146"/>
      <c r="GE14" s="146"/>
      <c r="GF14" s="146"/>
      <c r="GG14" s="146"/>
      <c r="GH14" s="146"/>
      <c r="GI14" s="146"/>
      <c r="GJ14" s="146"/>
      <c r="GK14" s="146"/>
      <c r="GL14" s="146"/>
      <c r="GM14" s="146"/>
      <c r="GN14" s="146"/>
      <c r="GO14" s="146"/>
      <c r="GP14" s="146"/>
      <c r="GQ14" s="146"/>
      <c r="GR14" s="146"/>
      <c r="GS14" s="146"/>
      <c r="GT14" s="146"/>
      <c r="GU14" s="146"/>
      <c r="GV14" s="146"/>
      <c r="GW14" s="146"/>
      <c r="GX14" s="146"/>
      <c r="GY14" s="146"/>
      <c r="GZ14" s="146"/>
      <c r="HA14" s="146"/>
      <c r="HB14" s="146"/>
      <c r="HC14" s="146"/>
      <c r="HD14" s="146"/>
      <c r="HE14" s="146"/>
      <c r="HF14" s="146"/>
      <c r="HG14" s="146"/>
      <c r="HH14" s="146"/>
      <c r="HI14" s="146"/>
      <c r="HJ14" s="146"/>
      <c r="HK14" s="146"/>
      <c r="HL14" s="146"/>
      <c r="HM14" s="146"/>
      <c r="HN14" s="146"/>
      <c r="HO14" s="146"/>
      <c r="HP14" s="146"/>
      <c r="HQ14" s="146"/>
      <c r="HR14" s="146"/>
      <c r="HS14" s="146"/>
      <c r="HT14" s="146"/>
      <c r="HU14" s="146"/>
      <c r="HV14" s="146"/>
      <c r="HW14" s="146"/>
      <c r="HX14" s="146"/>
      <c r="HY14" s="146"/>
      <c r="HZ14" s="146"/>
      <c r="IA14" s="146"/>
      <c r="IB14" s="146"/>
      <c r="IC14" s="146"/>
      <c r="ID14" s="146"/>
      <c r="IE14" s="146"/>
      <c r="IF14" s="146"/>
      <c r="IG14" s="146"/>
      <c r="IH14" s="146"/>
      <c r="II14" s="146"/>
      <c r="IJ14" s="146"/>
      <c r="IK14" s="146"/>
      <c r="IL14" s="146"/>
      <c r="IM14" s="146"/>
      <c r="IN14" s="146"/>
      <c r="IO14" s="146"/>
    </row>
    <row r="15" spans="1:249" s="6" customFormat="1" ht="13.5" customHeight="1" x14ac:dyDescent="0.25">
      <c r="A15" s="1"/>
      <c r="B15" s="1"/>
      <c r="C15" s="1"/>
      <c r="D15" s="241"/>
      <c r="E15" s="31"/>
      <c r="F15" s="31"/>
      <c r="G15" s="146"/>
      <c r="H15" s="146"/>
      <c r="I15" s="146"/>
      <c r="J15" s="321"/>
      <c r="K15" s="295"/>
      <c r="L15" s="291"/>
      <c r="M15" s="291"/>
      <c r="N15" s="146"/>
      <c r="O15" s="146"/>
      <c r="P15" s="146"/>
      <c r="Q15" s="146"/>
      <c r="R15" s="146"/>
      <c r="S15" s="146"/>
      <c r="T15" s="146"/>
      <c r="U15" s="146"/>
      <c r="V15" s="146"/>
      <c r="W15" s="146"/>
      <c r="X15" s="146"/>
      <c r="Y15" s="146"/>
      <c r="Z15" s="146"/>
      <c r="AA15" s="146"/>
      <c r="AB15" s="146"/>
      <c r="AC15" s="146"/>
      <c r="AD15" s="146"/>
      <c r="AE15" s="146"/>
      <c r="AF15" s="146"/>
      <c r="AG15" s="146"/>
      <c r="AH15" s="146"/>
      <c r="AI15" s="146"/>
      <c r="AJ15" s="146"/>
      <c r="AK15" s="146"/>
      <c r="AL15" s="146"/>
      <c r="AM15" s="146"/>
      <c r="AN15" s="146"/>
      <c r="AO15" s="146"/>
      <c r="AP15" s="146"/>
      <c r="AQ15" s="146"/>
      <c r="AR15" s="146"/>
      <c r="AS15" s="146"/>
      <c r="AT15" s="146"/>
      <c r="AU15" s="146"/>
      <c r="AV15" s="146"/>
      <c r="AW15" s="146"/>
      <c r="AX15" s="146"/>
      <c r="AY15" s="146"/>
      <c r="AZ15" s="146"/>
      <c r="BA15" s="146"/>
      <c r="BB15" s="146"/>
      <c r="BC15" s="146"/>
      <c r="BD15" s="146"/>
      <c r="BE15" s="146"/>
      <c r="BF15" s="146"/>
      <c r="BG15" s="146"/>
      <c r="BH15" s="146"/>
      <c r="BI15" s="146"/>
      <c r="BJ15" s="146"/>
      <c r="BK15" s="146"/>
      <c r="BL15" s="146"/>
      <c r="BM15" s="146"/>
      <c r="BN15" s="146"/>
      <c r="BO15" s="146"/>
      <c r="BP15" s="146"/>
      <c r="BQ15" s="146"/>
      <c r="BR15" s="146"/>
      <c r="BS15" s="146"/>
      <c r="BT15" s="146"/>
      <c r="BU15" s="146"/>
      <c r="BV15" s="146"/>
      <c r="BW15" s="146"/>
      <c r="BX15" s="146"/>
      <c r="BY15" s="146"/>
      <c r="BZ15" s="146"/>
      <c r="CA15" s="146"/>
      <c r="CB15" s="146"/>
      <c r="CC15" s="146"/>
      <c r="CD15" s="146"/>
      <c r="CE15" s="146"/>
      <c r="CF15" s="146"/>
      <c r="CG15" s="146"/>
      <c r="CH15" s="146"/>
      <c r="CI15" s="146"/>
      <c r="CJ15" s="146"/>
      <c r="CK15" s="146"/>
      <c r="CL15" s="146"/>
      <c r="CM15" s="146"/>
      <c r="CN15" s="146"/>
      <c r="CO15" s="146"/>
      <c r="CP15" s="146"/>
      <c r="CQ15" s="146"/>
      <c r="CR15" s="146"/>
      <c r="CS15" s="146"/>
      <c r="CT15" s="146"/>
      <c r="CU15" s="146"/>
      <c r="CV15" s="146"/>
      <c r="CW15" s="146"/>
      <c r="CX15" s="146"/>
      <c r="CY15" s="146"/>
      <c r="CZ15" s="146"/>
      <c r="DA15" s="146"/>
      <c r="DB15" s="146"/>
      <c r="DC15" s="146"/>
      <c r="DD15" s="146"/>
      <c r="DE15" s="146"/>
      <c r="DF15" s="146"/>
      <c r="DG15" s="146"/>
      <c r="DH15" s="146"/>
      <c r="DI15" s="146"/>
      <c r="DJ15" s="146"/>
      <c r="DK15" s="146"/>
      <c r="DL15" s="146"/>
      <c r="DM15" s="146"/>
      <c r="DN15" s="146"/>
      <c r="DO15" s="146"/>
      <c r="DP15" s="146"/>
      <c r="DQ15" s="146"/>
      <c r="DR15" s="146"/>
      <c r="DS15" s="146"/>
      <c r="DT15" s="146"/>
      <c r="DU15" s="146"/>
      <c r="DV15" s="146"/>
      <c r="DW15" s="146"/>
      <c r="DX15" s="146"/>
      <c r="DY15" s="146"/>
      <c r="DZ15" s="146"/>
      <c r="EA15" s="146"/>
      <c r="EB15" s="146"/>
      <c r="EC15" s="146"/>
      <c r="ED15" s="146"/>
      <c r="EE15" s="146"/>
      <c r="EF15" s="146"/>
      <c r="EG15" s="146"/>
      <c r="EH15" s="146"/>
      <c r="EI15" s="146"/>
      <c r="EJ15" s="146"/>
      <c r="EK15" s="146"/>
      <c r="EL15" s="146"/>
      <c r="EM15" s="146"/>
      <c r="EN15" s="146"/>
      <c r="EO15" s="146"/>
      <c r="EP15" s="146"/>
      <c r="EQ15" s="146"/>
      <c r="ER15" s="146"/>
      <c r="ES15" s="146"/>
      <c r="ET15" s="146"/>
      <c r="EU15" s="146"/>
      <c r="EV15" s="146"/>
      <c r="EW15" s="146"/>
      <c r="EX15" s="146"/>
      <c r="EY15" s="146"/>
      <c r="EZ15" s="146"/>
      <c r="FA15" s="146"/>
      <c r="FB15" s="146"/>
      <c r="FC15" s="146"/>
      <c r="FD15" s="146"/>
      <c r="FE15" s="146"/>
      <c r="FF15" s="146"/>
      <c r="FG15" s="146"/>
      <c r="FH15" s="146"/>
      <c r="FI15" s="146"/>
      <c r="FJ15" s="146"/>
      <c r="FK15" s="146"/>
      <c r="FL15" s="146"/>
      <c r="FM15" s="146"/>
      <c r="FN15" s="146"/>
      <c r="FO15" s="146"/>
      <c r="FP15" s="146"/>
      <c r="FQ15" s="146"/>
      <c r="FR15" s="146"/>
      <c r="FS15" s="146"/>
      <c r="FT15" s="146"/>
      <c r="FU15" s="146"/>
      <c r="FV15" s="146"/>
      <c r="FW15" s="146"/>
      <c r="FX15" s="146"/>
      <c r="FY15" s="146"/>
      <c r="FZ15" s="146"/>
      <c r="GA15" s="146"/>
      <c r="GB15" s="146"/>
      <c r="GC15" s="146"/>
      <c r="GD15" s="146"/>
      <c r="GE15" s="146"/>
      <c r="GF15" s="146"/>
      <c r="GG15" s="146"/>
      <c r="GH15" s="146"/>
      <c r="GI15" s="146"/>
      <c r="GJ15" s="146"/>
      <c r="GK15" s="146"/>
      <c r="GL15" s="146"/>
      <c r="GM15" s="146"/>
      <c r="GN15" s="146"/>
      <c r="GO15" s="146"/>
      <c r="GP15" s="146"/>
      <c r="GQ15" s="146"/>
      <c r="GR15" s="146"/>
      <c r="GS15" s="146"/>
      <c r="GT15" s="146"/>
      <c r="GU15" s="146"/>
      <c r="GV15" s="146"/>
      <c r="GW15" s="146"/>
      <c r="GX15" s="146"/>
      <c r="GY15" s="146"/>
      <c r="GZ15" s="146"/>
      <c r="HA15" s="146"/>
      <c r="HB15" s="146"/>
      <c r="HC15" s="146"/>
      <c r="HD15" s="146"/>
      <c r="HE15" s="146"/>
      <c r="HF15" s="146"/>
      <c r="HG15" s="146"/>
      <c r="HH15" s="146"/>
      <c r="HI15" s="146"/>
      <c r="HJ15" s="146"/>
      <c r="HK15" s="146"/>
      <c r="HL15" s="146"/>
      <c r="HM15" s="146"/>
      <c r="HN15" s="146"/>
      <c r="HO15" s="146"/>
      <c r="HP15" s="146"/>
      <c r="HQ15" s="146"/>
      <c r="HR15" s="146"/>
      <c r="HS15" s="146"/>
      <c r="HT15" s="146"/>
      <c r="HU15" s="146"/>
      <c r="HV15" s="146"/>
      <c r="HW15" s="146"/>
      <c r="HX15" s="146"/>
      <c r="HY15" s="146"/>
      <c r="HZ15" s="146"/>
      <c r="IA15" s="146"/>
      <c r="IB15" s="146"/>
      <c r="IC15" s="146"/>
      <c r="ID15" s="146"/>
      <c r="IE15" s="146"/>
      <c r="IF15" s="146"/>
      <c r="IG15" s="146"/>
      <c r="IH15" s="146"/>
      <c r="II15" s="146"/>
      <c r="IJ15" s="146"/>
      <c r="IK15" s="146"/>
      <c r="IL15" s="146"/>
      <c r="IM15" s="146"/>
      <c r="IN15" s="146"/>
      <c r="IO15" s="146"/>
    </row>
    <row r="16" spans="1:249" s="6" customFormat="1" ht="14.1" customHeight="1" x14ac:dyDescent="0.25">
      <c r="A16" s="1"/>
      <c r="B16" s="1"/>
      <c r="C16" s="1"/>
      <c r="D16" s="354"/>
      <c r="E16" s="16" t="s">
        <v>14</v>
      </c>
      <c r="F16" s="31" t="s">
        <v>14</v>
      </c>
      <c r="G16" s="146"/>
      <c r="H16" s="146"/>
      <c r="I16" s="146"/>
      <c r="J16" s="321"/>
      <c r="K16" s="295"/>
      <c r="L16" s="291"/>
      <c r="M16" s="291"/>
      <c r="N16" s="146"/>
      <c r="O16" s="146"/>
      <c r="P16" s="146"/>
      <c r="Q16" s="146"/>
      <c r="R16" s="146"/>
      <c r="S16" s="146"/>
      <c r="T16" s="146"/>
      <c r="U16" s="146"/>
      <c r="V16" s="146"/>
      <c r="W16" s="146"/>
      <c r="X16" s="146"/>
      <c r="Y16" s="146"/>
      <c r="Z16" s="146"/>
      <c r="AA16" s="146"/>
      <c r="AB16" s="146"/>
      <c r="AC16" s="146"/>
      <c r="AD16" s="146"/>
      <c r="AE16" s="146"/>
      <c r="AF16" s="146"/>
      <c r="AG16" s="146"/>
      <c r="AH16" s="146"/>
      <c r="AI16" s="146"/>
      <c r="AJ16" s="146"/>
      <c r="AK16" s="146"/>
      <c r="AL16" s="146"/>
      <c r="AM16" s="146"/>
      <c r="AN16" s="146"/>
      <c r="AO16" s="146"/>
      <c r="AP16" s="146"/>
      <c r="AQ16" s="146"/>
      <c r="AR16" s="146"/>
      <c r="AS16" s="146"/>
      <c r="AT16" s="146"/>
      <c r="AU16" s="146"/>
      <c r="AV16" s="146"/>
      <c r="AW16" s="146"/>
      <c r="AX16" s="146"/>
      <c r="AY16" s="146"/>
      <c r="AZ16" s="146"/>
      <c r="BA16" s="146"/>
      <c r="BB16" s="146"/>
      <c r="BC16" s="146"/>
      <c r="BD16" s="146"/>
      <c r="BE16" s="146"/>
      <c r="BF16" s="146"/>
      <c r="BG16" s="146"/>
      <c r="BH16" s="146"/>
      <c r="BI16" s="146"/>
      <c r="BJ16" s="146"/>
      <c r="BK16" s="146"/>
      <c r="BL16" s="146"/>
      <c r="BM16" s="146"/>
      <c r="BN16" s="146"/>
      <c r="BO16" s="146"/>
      <c r="BP16" s="146"/>
      <c r="BQ16" s="146"/>
      <c r="BR16" s="146"/>
      <c r="BS16" s="146"/>
      <c r="BT16" s="146"/>
      <c r="BU16" s="146"/>
      <c r="BV16" s="146"/>
      <c r="BW16" s="146"/>
      <c r="BX16" s="146"/>
      <c r="BY16" s="146"/>
      <c r="BZ16" s="146"/>
      <c r="CA16" s="146"/>
      <c r="CB16" s="146"/>
      <c r="CC16" s="146"/>
      <c r="CD16" s="146"/>
      <c r="CE16" s="146"/>
      <c r="CF16" s="146"/>
      <c r="CG16" s="146"/>
      <c r="CH16" s="146"/>
      <c r="CI16" s="146"/>
      <c r="CJ16" s="146"/>
      <c r="CK16" s="146"/>
      <c r="CL16" s="146"/>
      <c r="CM16" s="146"/>
      <c r="CN16" s="146"/>
      <c r="CO16" s="146"/>
      <c r="CP16" s="146"/>
      <c r="CQ16" s="146"/>
      <c r="CR16" s="146"/>
      <c r="CS16" s="146"/>
      <c r="CT16" s="146"/>
      <c r="CU16" s="146"/>
      <c r="CV16" s="146"/>
      <c r="CW16" s="146"/>
      <c r="CX16" s="146"/>
      <c r="CY16" s="146"/>
      <c r="CZ16" s="146"/>
      <c r="DA16" s="146"/>
      <c r="DB16" s="146"/>
      <c r="DC16" s="146"/>
      <c r="DD16" s="146"/>
      <c r="DE16" s="146"/>
      <c r="DF16" s="146"/>
      <c r="DG16" s="146"/>
      <c r="DH16" s="146"/>
      <c r="DI16" s="146"/>
      <c r="DJ16" s="146"/>
      <c r="DK16" s="146"/>
      <c r="DL16" s="146"/>
      <c r="DM16" s="146"/>
      <c r="DN16" s="146"/>
      <c r="DO16" s="146"/>
      <c r="DP16" s="146"/>
      <c r="DQ16" s="146"/>
      <c r="DR16" s="146"/>
      <c r="DS16" s="146"/>
      <c r="DT16" s="146"/>
      <c r="DU16" s="146"/>
      <c r="DV16" s="146"/>
      <c r="DW16" s="146"/>
      <c r="DX16" s="146"/>
      <c r="DY16" s="146"/>
      <c r="DZ16" s="146"/>
      <c r="EA16" s="146"/>
      <c r="EB16" s="146"/>
      <c r="EC16" s="146"/>
      <c r="ED16" s="146"/>
      <c r="EE16" s="146"/>
      <c r="EF16" s="146"/>
      <c r="EG16" s="146"/>
      <c r="EH16" s="146"/>
      <c r="EI16" s="146"/>
      <c r="EJ16" s="146"/>
      <c r="EK16" s="146"/>
      <c r="EL16" s="146"/>
      <c r="EM16" s="146"/>
      <c r="EN16" s="146"/>
      <c r="EO16" s="146"/>
      <c r="EP16" s="146"/>
      <c r="EQ16" s="146"/>
      <c r="ER16" s="146"/>
      <c r="ES16" s="146"/>
      <c r="ET16" s="146"/>
      <c r="EU16" s="146"/>
      <c r="EV16" s="146"/>
      <c r="EW16" s="146"/>
      <c r="EX16" s="146"/>
      <c r="EY16" s="146"/>
      <c r="EZ16" s="146"/>
      <c r="FA16" s="146"/>
      <c r="FB16" s="146"/>
      <c r="FC16" s="146"/>
      <c r="FD16" s="146"/>
      <c r="FE16" s="146"/>
      <c r="FF16" s="146"/>
      <c r="FG16" s="146"/>
      <c r="FH16" s="146"/>
      <c r="FI16" s="146"/>
      <c r="FJ16" s="146"/>
      <c r="FK16" s="146"/>
      <c r="FL16" s="146"/>
      <c r="FM16" s="146"/>
      <c r="FN16" s="146"/>
      <c r="FO16" s="146"/>
      <c r="FP16" s="146"/>
      <c r="FQ16" s="146"/>
      <c r="FR16" s="146"/>
      <c r="FS16" s="146"/>
      <c r="FT16" s="146"/>
      <c r="FU16" s="146"/>
      <c r="FV16" s="146"/>
      <c r="FW16" s="146"/>
      <c r="FX16" s="146"/>
      <c r="FY16" s="146"/>
      <c r="FZ16" s="146"/>
      <c r="GA16" s="146"/>
      <c r="GB16" s="146"/>
      <c r="GC16" s="146"/>
      <c r="GD16" s="146"/>
      <c r="GE16" s="146"/>
      <c r="GF16" s="146"/>
      <c r="GG16" s="146"/>
      <c r="GH16" s="146"/>
      <c r="GI16" s="146"/>
      <c r="GJ16" s="146"/>
      <c r="GK16" s="146"/>
      <c r="GL16" s="146"/>
      <c r="GM16" s="146"/>
      <c r="GN16" s="146"/>
      <c r="GO16" s="146"/>
      <c r="GP16" s="146"/>
      <c r="GQ16" s="146"/>
      <c r="GR16" s="146"/>
      <c r="GS16" s="146"/>
      <c r="GT16" s="146"/>
      <c r="GU16" s="146"/>
      <c r="GV16" s="146"/>
      <c r="GW16" s="146"/>
      <c r="GX16" s="146"/>
      <c r="GY16" s="146"/>
      <c r="GZ16" s="146"/>
      <c r="HA16" s="146"/>
      <c r="HB16" s="146"/>
      <c r="HC16" s="146"/>
      <c r="HD16" s="146"/>
      <c r="HE16" s="146"/>
      <c r="HF16" s="146"/>
      <c r="HG16" s="146"/>
      <c r="HH16" s="146"/>
      <c r="HI16" s="146"/>
      <c r="HJ16" s="146"/>
      <c r="HK16" s="146"/>
      <c r="HL16" s="146"/>
      <c r="HM16" s="146"/>
      <c r="HN16" s="146"/>
      <c r="HO16" s="146"/>
      <c r="HP16" s="146"/>
      <c r="HQ16" s="146"/>
      <c r="HR16" s="146"/>
      <c r="HS16" s="146"/>
      <c r="HT16" s="146"/>
      <c r="HU16" s="146"/>
      <c r="HV16" s="146"/>
      <c r="HW16" s="146"/>
      <c r="HX16" s="146"/>
      <c r="HY16" s="146"/>
      <c r="HZ16" s="146"/>
      <c r="IA16" s="146"/>
      <c r="IB16" s="146"/>
      <c r="IC16" s="146"/>
      <c r="ID16" s="146"/>
      <c r="IE16" s="146"/>
      <c r="IF16" s="146"/>
      <c r="IG16" s="146"/>
      <c r="IH16" s="146"/>
      <c r="II16" s="146"/>
      <c r="IJ16" s="146"/>
      <c r="IK16" s="146"/>
      <c r="IL16" s="146"/>
      <c r="IM16" s="146"/>
      <c r="IN16" s="146"/>
      <c r="IO16" s="146"/>
    </row>
    <row r="17" spans="1:249" s="6" customFormat="1" ht="14.1" customHeight="1" x14ac:dyDescent="0.25">
      <c r="A17" s="146"/>
      <c r="B17" s="1" t="s">
        <v>15</v>
      </c>
      <c r="C17" s="1"/>
      <c r="D17" s="40" t="s">
        <v>16</v>
      </c>
      <c r="E17" s="16" t="s">
        <v>17</v>
      </c>
      <c r="F17" s="31" t="s">
        <v>18</v>
      </c>
      <c r="G17" s="146"/>
      <c r="H17" s="146"/>
      <c r="I17" s="146"/>
      <c r="J17" s="321"/>
      <c r="K17" s="295"/>
      <c r="L17" s="291"/>
      <c r="M17" s="291"/>
      <c r="N17" s="146"/>
      <c r="O17" s="146"/>
      <c r="P17" s="146"/>
      <c r="Q17" s="146"/>
      <c r="R17" s="146"/>
      <c r="S17" s="146"/>
      <c r="T17" s="146"/>
      <c r="U17" s="146"/>
      <c r="V17" s="146"/>
      <c r="W17" s="146"/>
      <c r="X17" s="146"/>
      <c r="Y17" s="146"/>
      <c r="Z17" s="146"/>
      <c r="AA17" s="146"/>
      <c r="AB17" s="146"/>
      <c r="AC17" s="146"/>
      <c r="AD17" s="146"/>
      <c r="AE17" s="146"/>
      <c r="AF17" s="146"/>
      <c r="AG17" s="146"/>
      <c r="AH17" s="146"/>
      <c r="AI17" s="146"/>
      <c r="AJ17" s="146"/>
      <c r="AK17" s="146"/>
      <c r="AL17" s="146"/>
      <c r="AM17" s="146"/>
      <c r="AN17" s="146"/>
      <c r="AO17" s="146"/>
      <c r="AP17" s="146"/>
      <c r="AQ17" s="146"/>
      <c r="AR17" s="146"/>
      <c r="AS17" s="146"/>
      <c r="AT17" s="146"/>
      <c r="AU17" s="146"/>
      <c r="AV17" s="146"/>
      <c r="AW17" s="146"/>
      <c r="AX17" s="146"/>
      <c r="AY17" s="146"/>
      <c r="AZ17" s="146"/>
      <c r="BA17" s="146"/>
      <c r="BB17" s="146"/>
      <c r="BC17" s="146"/>
      <c r="BD17" s="146"/>
      <c r="BE17" s="146"/>
      <c r="BF17" s="146"/>
      <c r="BG17" s="146"/>
      <c r="BH17" s="146"/>
      <c r="BI17" s="146"/>
      <c r="BJ17" s="146"/>
      <c r="BK17" s="146"/>
      <c r="BL17" s="146"/>
      <c r="BM17" s="146"/>
      <c r="BN17" s="146"/>
      <c r="BO17" s="146"/>
      <c r="BP17" s="146"/>
      <c r="BQ17" s="146"/>
      <c r="BR17" s="146"/>
      <c r="BS17" s="146"/>
      <c r="BT17" s="146"/>
      <c r="BU17" s="146"/>
      <c r="BV17" s="146"/>
      <c r="BW17" s="146"/>
      <c r="BX17" s="146"/>
      <c r="BY17" s="146"/>
      <c r="BZ17" s="146"/>
      <c r="CA17" s="146"/>
      <c r="CB17" s="146"/>
      <c r="CC17" s="146"/>
      <c r="CD17" s="146"/>
      <c r="CE17" s="146"/>
      <c r="CF17" s="146"/>
      <c r="CG17" s="146"/>
      <c r="CH17" s="146"/>
      <c r="CI17" s="146"/>
      <c r="CJ17" s="146"/>
      <c r="CK17" s="146"/>
      <c r="CL17" s="146"/>
      <c r="CM17" s="146"/>
      <c r="CN17" s="146"/>
      <c r="CO17" s="146"/>
      <c r="CP17" s="146"/>
      <c r="CQ17" s="146"/>
      <c r="CR17" s="146"/>
      <c r="CS17" s="146"/>
      <c r="CT17" s="146"/>
      <c r="CU17" s="146"/>
      <c r="CV17" s="146"/>
      <c r="CW17" s="146"/>
      <c r="CX17" s="146"/>
      <c r="CY17" s="146"/>
      <c r="CZ17" s="146"/>
      <c r="DA17" s="146"/>
      <c r="DB17" s="146"/>
      <c r="DC17" s="146"/>
      <c r="DD17" s="146"/>
      <c r="DE17" s="146"/>
      <c r="DF17" s="146"/>
      <c r="DG17" s="146"/>
      <c r="DH17" s="146"/>
      <c r="DI17" s="146"/>
      <c r="DJ17" s="146"/>
      <c r="DK17" s="146"/>
      <c r="DL17" s="146"/>
      <c r="DM17" s="146"/>
      <c r="DN17" s="146"/>
      <c r="DO17" s="146"/>
      <c r="DP17" s="146"/>
      <c r="DQ17" s="146"/>
      <c r="DR17" s="146"/>
      <c r="DS17" s="146"/>
      <c r="DT17" s="146"/>
      <c r="DU17" s="146"/>
      <c r="DV17" s="146"/>
      <c r="DW17" s="146"/>
      <c r="DX17" s="146"/>
      <c r="DY17" s="146"/>
      <c r="DZ17" s="146"/>
      <c r="EA17" s="146"/>
      <c r="EB17" s="146"/>
      <c r="EC17" s="146"/>
      <c r="ED17" s="146"/>
      <c r="EE17" s="146"/>
      <c r="EF17" s="146"/>
      <c r="EG17" s="146"/>
      <c r="EH17" s="146"/>
      <c r="EI17" s="146"/>
      <c r="EJ17" s="146"/>
      <c r="EK17" s="146"/>
      <c r="EL17" s="146"/>
      <c r="EM17" s="146"/>
      <c r="EN17" s="146"/>
      <c r="EO17" s="146"/>
      <c r="EP17" s="146"/>
      <c r="EQ17" s="146"/>
      <c r="ER17" s="146"/>
      <c r="ES17" s="146"/>
      <c r="ET17" s="146"/>
      <c r="EU17" s="146"/>
      <c r="EV17" s="146"/>
      <c r="EW17" s="146"/>
      <c r="EX17" s="146"/>
      <c r="EY17" s="146"/>
      <c r="EZ17" s="146"/>
      <c r="FA17" s="146"/>
      <c r="FB17" s="146"/>
      <c r="FC17" s="146"/>
      <c r="FD17" s="146"/>
      <c r="FE17" s="146"/>
      <c r="FF17" s="146"/>
      <c r="FG17" s="146"/>
      <c r="FH17" s="146"/>
      <c r="FI17" s="146"/>
      <c r="FJ17" s="146"/>
      <c r="FK17" s="146"/>
      <c r="FL17" s="146"/>
      <c r="FM17" s="146"/>
      <c r="FN17" s="146"/>
      <c r="FO17" s="146"/>
      <c r="FP17" s="146"/>
      <c r="FQ17" s="146"/>
      <c r="FR17" s="146"/>
      <c r="FS17" s="146"/>
      <c r="FT17" s="146"/>
      <c r="FU17" s="146"/>
      <c r="FV17" s="146"/>
      <c r="FW17" s="146"/>
      <c r="FX17" s="146"/>
      <c r="FY17" s="146"/>
      <c r="FZ17" s="146"/>
      <c r="GA17" s="146"/>
      <c r="GB17" s="146"/>
      <c r="GC17" s="146"/>
      <c r="GD17" s="146"/>
      <c r="GE17" s="146"/>
      <c r="GF17" s="146"/>
      <c r="GG17" s="146"/>
      <c r="GH17" s="146"/>
      <c r="GI17" s="146"/>
      <c r="GJ17" s="146"/>
      <c r="GK17" s="146"/>
      <c r="GL17" s="146"/>
      <c r="GM17" s="146"/>
      <c r="GN17" s="146"/>
      <c r="GO17" s="146"/>
      <c r="GP17" s="146"/>
      <c r="GQ17" s="146"/>
      <c r="GR17" s="146"/>
      <c r="GS17" s="146"/>
      <c r="GT17" s="146"/>
      <c r="GU17" s="146"/>
      <c r="GV17" s="146"/>
      <c r="GW17" s="146"/>
      <c r="GX17" s="146"/>
      <c r="GY17" s="146"/>
      <c r="GZ17" s="146"/>
      <c r="HA17" s="146"/>
      <c r="HB17" s="146"/>
      <c r="HC17" s="146"/>
      <c r="HD17" s="146"/>
      <c r="HE17" s="146"/>
      <c r="HF17" s="146"/>
      <c r="HG17" s="146"/>
      <c r="HH17" s="146"/>
      <c r="HI17" s="146"/>
      <c r="HJ17" s="146"/>
      <c r="HK17" s="146"/>
      <c r="HL17" s="146"/>
      <c r="HM17" s="146"/>
      <c r="HN17" s="146"/>
      <c r="HO17" s="146"/>
      <c r="HP17" s="146"/>
      <c r="HQ17" s="146"/>
      <c r="HR17" s="146"/>
      <c r="HS17" s="146"/>
      <c r="HT17" s="146"/>
      <c r="HU17" s="146"/>
      <c r="HV17" s="146"/>
      <c r="HW17" s="146"/>
      <c r="HX17" s="146"/>
      <c r="HY17" s="146"/>
      <c r="HZ17" s="146"/>
      <c r="IA17" s="146"/>
      <c r="IB17" s="146"/>
      <c r="IC17" s="146"/>
      <c r="ID17" s="146"/>
      <c r="IE17" s="146"/>
      <c r="IF17" s="146"/>
      <c r="IG17" s="146"/>
      <c r="IH17" s="146"/>
      <c r="II17" s="146"/>
      <c r="IJ17" s="146"/>
      <c r="IK17" s="146"/>
      <c r="IL17" s="146"/>
      <c r="IM17" s="146"/>
      <c r="IN17" s="146"/>
      <c r="IO17" s="146"/>
    </row>
    <row r="18" spans="1:249" s="6" customFormat="1" ht="14.1" customHeight="1" x14ac:dyDescent="0.25">
      <c r="A18" s="146"/>
      <c r="B18" s="146"/>
      <c r="C18" s="146" t="s">
        <v>19</v>
      </c>
      <c r="D18" s="241">
        <v>20.544372284181453</v>
      </c>
      <c r="E18" s="326">
        <v>7939549.9999999972</v>
      </c>
      <c r="F18" s="217">
        <v>1.8344708216943815E-2</v>
      </c>
      <c r="G18" s="268"/>
      <c r="H18" s="241"/>
      <c r="I18" s="146"/>
      <c r="J18" s="321"/>
      <c r="K18" s="295"/>
      <c r="L18" s="291"/>
      <c r="M18" s="291"/>
      <c r="N18" s="146"/>
      <c r="O18" s="146"/>
      <c r="P18" s="146"/>
      <c r="Q18" s="146"/>
      <c r="R18" s="146"/>
      <c r="S18" s="146"/>
      <c r="T18" s="146"/>
      <c r="U18" s="146"/>
      <c r="V18" s="146"/>
      <c r="W18" s="146"/>
      <c r="X18" s="146"/>
      <c r="Y18" s="146"/>
      <c r="Z18" s="146"/>
      <c r="AA18" s="146"/>
      <c r="AB18" s="146"/>
      <c r="AC18" s="146"/>
      <c r="AD18" s="146"/>
      <c r="AE18" s="146"/>
      <c r="AF18" s="146"/>
      <c r="AG18" s="146"/>
      <c r="AH18" s="146"/>
      <c r="AI18" s="146"/>
      <c r="AJ18" s="146"/>
      <c r="AK18" s="146"/>
      <c r="AL18" s="146"/>
      <c r="AM18" s="146"/>
      <c r="AN18" s="146"/>
      <c r="AO18" s="146"/>
      <c r="AP18" s="146"/>
      <c r="AQ18" s="146"/>
      <c r="AR18" s="146"/>
      <c r="AS18" s="146"/>
      <c r="AT18" s="146"/>
      <c r="AU18" s="146"/>
      <c r="AV18" s="146"/>
      <c r="AW18" s="146"/>
      <c r="AX18" s="146"/>
      <c r="AY18" s="146"/>
      <c r="AZ18" s="146"/>
      <c r="BA18" s="146"/>
      <c r="BB18" s="146"/>
      <c r="BC18" s="146"/>
      <c r="BD18" s="146"/>
      <c r="BE18" s="146"/>
      <c r="BF18" s="146"/>
      <c r="BG18" s="146"/>
      <c r="BH18" s="146"/>
      <c r="BI18" s="146"/>
      <c r="BJ18" s="146"/>
      <c r="BK18" s="146"/>
      <c r="BL18" s="146"/>
      <c r="BM18" s="146"/>
      <c r="BN18" s="146"/>
      <c r="BO18" s="146"/>
      <c r="BP18" s="146"/>
      <c r="BQ18" s="146"/>
      <c r="BR18" s="146"/>
      <c r="BS18" s="146"/>
      <c r="BT18" s="146"/>
      <c r="BU18" s="146"/>
      <c r="BV18" s="146"/>
      <c r="BW18" s="146"/>
      <c r="BX18" s="146"/>
      <c r="BY18" s="146"/>
      <c r="BZ18" s="146"/>
      <c r="CA18" s="146"/>
      <c r="CB18" s="146"/>
      <c r="CC18" s="146"/>
      <c r="CD18" s="146"/>
      <c r="CE18" s="146"/>
      <c r="CF18" s="146"/>
      <c r="CG18" s="146"/>
      <c r="CH18" s="146"/>
      <c r="CI18" s="146"/>
      <c r="CJ18" s="146"/>
      <c r="CK18" s="146"/>
      <c r="CL18" s="146"/>
      <c r="CM18" s="146"/>
      <c r="CN18" s="146"/>
      <c r="CO18" s="146"/>
      <c r="CP18" s="146"/>
      <c r="CQ18" s="146"/>
      <c r="CR18" s="146"/>
      <c r="CS18" s="146"/>
      <c r="CT18" s="146"/>
      <c r="CU18" s="146"/>
      <c r="CV18" s="146"/>
      <c r="CW18" s="146"/>
      <c r="CX18" s="146"/>
      <c r="CY18" s="146"/>
      <c r="CZ18" s="146"/>
      <c r="DA18" s="146"/>
      <c r="DB18" s="146"/>
      <c r="DC18" s="146"/>
      <c r="DD18" s="146"/>
      <c r="DE18" s="146"/>
      <c r="DF18" s="146"/>
      <c r="DG18" s="146"/>
      <c r="DH18" s="146"/>
      <c r="DI18" s="146"/>
      <c r="DJ18" s="146"/>
      <c r="DK18" s="146"/>
      <c r="DL18" s="146"/>
      <c r="DM18" s="146"/>
      <c r="DN18" s="146"/>
      <c r="DO18" s="146"/>
      <c r="DP18" s="146"/>
      <c r="DQ18" s="146"/>
      <c r="DR18" s="146"/>
      <c r="DS18" s="146"/>
      <c r="DT18" s="146"/>
      <c r="DU18" s="146"/>
      <c r="DV18" s="146"/>
      <c r="DW18" s="146"/>
      <c r="DX18" s="146"/>
      <c r="DY18" s="146"/>
      <c r="DZ18" s="146"/>
      <c r="EA18" s="146"/>
      <c r="EB18" s="146"/>
      <c r="EC18" s="146"/>
      <c r="ED18" s="146"/>
      <c r="EE18" s="146"/>
      <c r="EF18" s="146"/>
      <c r="EG18" s="146"/>
      <c r="EH18" s="146"/>
      <c r="EI18" s="146"/>
      <c r="EJ18" s="146"/>
      <c r="EK18" s="146"/>
      <c r="EL18" s="146"/>
      <c r="EM18" s="146"/>
      <c r="EN18" s="146"/>
      <c r="EO18" s="146"/>
      <c r="EP18" s="146"/>
      <c r="EQ18" s="146"/>
      <c r="ER18" s="146"/>
      <c r="ES18" s="146"/>
      <c r="ET18" s="146"/>
      <c r="EU18" s="146"/>
      <c r="EV18" s="146"/>
      <c r="EW18" s="146"/>
      <c r="EX18" s="146"/>
      <c r="EY18" s="146"/>
      <c r="EZ18" s="146"/>
      <c r="FA18" s="146"/>
      <c r="FB18" s="146"/>
      <c r="FC18" s="146"/>
      <c r="FD18" s="146"/>
      <c r="FE18" s="146"/>
      <c r="FF18" s="146"/>
      <c r="FG18" s="146"/>
      <c r="FH18" s="146"/>
      <c r="FI18" s="146"/>
      <c r="FJ18" s="146"/>
      <c r="FK18" s="146"/>
      <c r="FL18" s="146"/>
      <c r="FM18" s="146"/>
      <c r="FN18" s="146"/>
      <c r="FO18" s="146"/>
      <c r="FP18" s="146"/>
      <c r="FQ18" s="146"/>
      <c r="FR18" s="146"/>
      <c r="FS18" s="146"/>
      <c r="FT18" s="146"/>
      <c r="FU18" s="146"/>
      <c r="FV18" s="146"/>
      <c r="FW18" s="146"/>
      <c r="FX18" s="146"/>
      <c r="FY18" s="146"/>
      <c r="FZ18" s="146"/>
      <c r="GA18" s="146"/>
      <c r="GB18" s="146"/>
      <c r="GC18" s="146"/>
      <c r="GD18" s="146"/>
      <c r="GE18" s="146"/>
      <c r="GF18" s="146"/>
      <c r="GG18" s="146"/>
      <c r="GH18" s="146"/>
      <c r="GI18" s="146"/>
      <c r="GJ18" s="146"/>
      <c r="GK18" s="146"/>
      <c r="GL18" s="146"/>
      <c r="GM18" s="146"/>
      <c r="GN18" s="146"/>
      <c r="GO18" s="146"/>
      <c r="GP18" s="146"/>
      <c r="GQ18" s="146"/>
      <c r="GR18" s="146"/>
      <c r="GS18" s="146"/>
      <c r="GT18" s="146"/>
      <c r="GU18" s="146"/>
      <c r="GV18" s="146"/>
      <c r="GW18" s="146"/>
      <c r="GX18" s="146"/>
      <c r="GY18" s="146"/>
      <c r="GZ18" s="146"/>
      <c r="HA18" s="146"/>
      <c r="HB18" s="146"/>
      <c r="HC18" s="146"/>
      <c r="HD18" s="146"/>
      <c r="HE18" s="146"/>
      <c r="HF18" s="146"/>
      <c r="HG18" s="146"/>
      <c r="HH18" s="146"/>
      <c r="HI18" s="146"/>
      <c r="HJ18" s="146"/>
      <c r="HK18" s="146"/>
      <c r="HL18" s="146"/>
      <c r="HM18" s="146"/>
      <c r="HN18" s="146"/>
      <c r="HO18" s="146"/>
      <c r="HP18" s="146"/>
      <c r="HQ18" s="146"/>
      <c r="HR18" s="146"/>
      <c r="HS18" s="146"/>
      <c r="HT18" s="146"/>
      <c r="HU18" s="146"/>
      <c r="HV18" s="146"/>
      <c r="HW18" s="146"/>
      <c r="HX18" s="146"/>
      <c r="HY18" s="146"/>
      <c r="HZ18" s="146"/>
      <c r="IA18" s="146"/>
      <c r="IB18" s="146"/>
      <c r="IC18" s="146"/>
      <c r="ID18" s="146"/>
      <c r="IE18" s="146"/>
      <c r="IF18" s="146"/>
      <c r="IG18" s="146"/>
      <c r="IH18" s="146"/>
      <c r="II18" s="146"/>
      <c r="IJ18" s="146"/>
      <c r="IK18" s="146"/>
      <c r="IL18" s="146"/>
      <c r="IM18" s="146"/>
      <c r="IN18" s="146"/>
      <c r="IO18" s="146"/>
    </row>
    <row r="19" spans="1:249" s="6" customFormat="1" ht="14.1" customHeight="1" x14ac:dyDescent="0.25">
      <c r="A19" s="146"/>
      <c r="B19" s="146"/>
      <c r="C19" s="146" t="s">
        <v>20</v>
      </c>
      <c r="D19" s="241">
        <v>21.187226988158788</v>
      </c>
      <c r="E19" s="326">
        <v>42124579.999999851</v>
      </c>
      <c r="F19" s="217">
        <v>9.7330847322745564E-2</v>
      </c>
      <c r="G19" s="355"/>
      <c r="H19" s="241"/>
      <c r="I19" s="146"/>
      <c r="J19" s="321"/>
      <c r="K19" s="295"/>
      <c r="L19" s="291"/>
      <c r="M19" s="291"/>
      <c r="N19" s="146"/>
      <c r="O19" s="146"/>
      <c r="P19" s="146"/>
      <c r="Q19" s="146"/>
      <c r="R19" s="146"/>
      <c r="S19" s="146"/>
      <c r="T19" s="146"/>
      <c r="U19" s="146"/>
      <c r="V19" s="146"/>
      <c r="W19" s="146"/>
      <c r="X19" s="146"/>
      <c r="Y19" s="146"/>
      <c r="Z19" s="146"/>
      <c r="AA19" s="146"/>
      <c r="AB19" s="146"/>
      <c r="AC19" s="146"/>
      <c r="AD19" s="146"/>
      <c r="AE19" s="146"/>
      <c r="AF19" s="146"/>
      <c r="AG19" s="146"/>
      <c r="AH19" s="146"/>
      <c r="AI19" s="146"/>
      <c r="AJ19" s="146"/>
      <c r="AK19" s="146"/>
      <c r="AL19" s="146"/>
      <c r="AM19" s="146"/>
      <c r="AN19" s="146"/>
      <c r="AO19" s="146"/>
      <c r="AP19" s="146"/>
      <c r="AQ19" s="146"/>
      <c r="AR19" s="146"/>
      <c r="AS19" s="146"/>
      <c r="AT19" s="146"/>
      <c r="AU19" s="146"/>
      <c r="AV19" s="146"/>
      <c r="AW19" s="146"/>
      <c r="AX19" s="146"/>
      <c r="AY19" s="146"/>
      <c r="AZ19" s="146"/>
      <c r="BA19" s="146"/>
      <c r="BB19" s="146"/>
      <c r="BC19" s="146"/>
      <c r="BD19" s="146"/>
      <c r="BE19" s="146"/>
      <c r="BF19" s="146"/>
      <c r="BG19" s="146"/>
      <c r="BH19" s="146"/>
      <c r="BI19" s="146"/>
      <c r="BJ19" s="146"/>
      <c r="BK19" s="146"/>
      <c r="BL19" s="146"/>
      <c r="BM19" s="146"/>
      <c r="BN19" s="146"/>
      <c r="BO19" s="146"/>
      <c r="BP19" s="146"/>
      <c r="BQ19" s="146"/>
      <c r="BR19" s="146"/>
      <c r="BS19" s="146"/>
      <c r="BT19" s="146"/>
      <c r="BU19" s="146"/>
      <c r="BV19" s="146"/>
      <c r="BW19" s="146"/>
      <c r="BX19" s="146"/>
      <c r="BY19" s="146"/>
      <c r="BZ19" s="146"/>
      <c r="CA19" s="146"/>
      <c r="CB19" s="146"/>
      <c r="CC19" s="146"/>
      <c r="CD19" s="146"/>
      <c r="CE19" s="146"/>
      <c r="CF19" s="146"/>
      <c r="CG19" s="146"/>
      <c r="CH19" s="146"/>
      <c r="CI19" s="146"/>
      <c r="CJ19" s="146"/>
      <c r="CK19" s="146"/>
      <c r="CL19" s="146"/>
      <c r="CM19" s="146"/>
      <c r="CN19" s="146"/>
      <c r="CO19" s="146"/>
      <c r="CP19" s="146"/>
      <c r="CQ19" s="146"/>
      <c r="CR19" s="146"/>
      <c r="CS19" s="146"/>
      <c r="CT19" s="146"/>
      <c r="CU19" s="146"/>
      <c r="CV19" s="146"/>
      <c r="CW19" s="146"/>
      <c r="CX19" s="146"/>
      <c r="CY19" s="146"/>
      <c r="CZ19" s="146"/>
      <c r="DA19" s="146"/>
      <c r="DB19" s="146"/>
      <c r="DC19" s="146"/>
      <c r="DD19" s="146"/>
      <c r="DE19" s="146"/>
      <c r="DF19" s="146"/>
      <c r="DG19" s="146"/>
      <c r="DH19" s="146"/>
      <c r="DI19" s="146"/>
      <c r="DJ19" s="146"/>
      <c r="DK19" s="146"/>
      <c r="DL19" s="146"/>
      <c r="DM19" s="146"/>
      <c r="DN19" s="146"/>
      <c r="DO19" s="146"/>
      <c r="DP19" s="146"/>
      <c r="DQ19" s="146"/>
      <c r="DR19" s="146"/>
      <c r="DS19" s="146"/>
      <c r="DT19" s="146"/>
      <c r="DU19" s="146"/>
      <c r="DV19" s="146"/>
      <c r="DW19" s="146"/>
      <c r="DX19" s="146"/>
      <c r="DY19" s="146"/>
      <c r="DZ19" s="146"/>
      <c r="EA19" s="146"/>
      <c r="EB19" s="146"/>
      <c r="EC19" s="146"/>
      <c r="ED19" s="146"/>
      <c r="EE19" s="146"/>
      <c r="EF19" s="146"/>
      <c r="EG19" s="146"/>
      <c r="EH19" s="146"/>
      <c r="EI19" s="146"/>
      <c r="EJ19" s="146"/>
      <c r="EK19" s="146"/>
      <c r="EL19" s="146"/>
      <c r="EM19" s="146"/>
      <c r="EN19" s="146"/>
      <c r="EO19" s="146"/>
      <c r="EP19" s="146"/>
      <c r="EQ19" s="146"/>
      <c r="ER19" s="146"/>
      <c r="ES19" s="146"/>
      <c r="ET19" s="146"/>
      <c r="EU19" s="146"/>
      <c r="EV19" s="146"/>
      <c r="EW19" s="146"/>
      <c r="EX19" s="146"/>
      <c r="EY19" s="146"/>
      <c r="EZ19" s="146"/>
      <c r="FA19" s="146"/>
      <c r="FB19" s="146"/>
      <c r="FC19" s="146"/>
      <c r="FD19" s="146"/>
      <c r="FE19" s="146"/>
      <c r="FF19" s="146"/>
      <c r="FG19" s="146"/>
      <c r="FH19" s="146"/>
      <c r="FI19" s="146"/>
      <c r="FJ19" s="146"/>
      <c r="FK19" s="146"/>
      <c r="FL19" s="146"/>
      <c r="FM19" s="146"/>
      <c r="FN19" s="146"/>
      <c r="FO19" s="146"/>
      <c r="FP19" s="146"/>
      <c r="FQ19" s="146"/>
      <c r="FR19" s="146"/>
      <c r="FS19" s="146"/>
      <c r="FT19" s="146"/>
      <c r="FU19" s="146"/>
      <c r="FV19" s="146"/>
      <c r="FW19" s="146"/>
      <c r="FX19" s="146"/>
      <c r="FY19" s="146"/>
      <c r="FZ19" s="146"/>
      <c r="GA19" s="146"/>
      <c r="GB19" s="146"/>
      <c r="GC19" s="146"/>
      <c r="GD19" s="146"/>
      <c r="GE19" s="146"/>
      <c r="GF19" s="146"/>
      <c r="GG19" s="146"/>
      <c r="GH19" s="146"/>
      <c r="GI19" s="146"/>
      <c r="GJ19" s="146"/>
      <c r="GK19" s="146"/>
      <c r="GL19" s="146"/>
      <c r="GM19" s="146"/>
      <c r="GN19" s="146"/>
      <c r="GO19" s="146"/>
      <c r="GP19" s="146"/>
      <c r="GQ19" s="146"/>
      <c r="GR19" s="146"/>
      <c r="GS19" s="146"/>
      <c r="GT19" s="146"/>
      <c r="GU19" s="146"/>
      <c r="GV19" s="146"/>
      <c r="GW19" s="146"/>
      <c r="GX19" s="146"/>
      <c r="GY19" s="146"/>
      <c r="GZ19" s="146"/>
      <c r="HA19" s="146"/>
      <c r="HB19" s="146"/>
      <c r="HC19" s="146"/>
      <c r="HD19" s="146"/>
      <c r="HE19" s="146"/>
      <c r="HF19" s="146"/>
      <c r="HG19" s="146"/>
      <c r="HH19" s="146"/>
      <c r="HI19" s="146"/>
      <c r="HJ19" s="146"/>
      <c r="HK19" s="146"/>
      <c r="HL19" s="146"/>
      <c r="HM19" s="146"/>
      <c r="HN19" s="146"/>
      <c r="HO19" s="146"/>
      <c r="HP19" s="146"/>
      <c r="HQ19" s="146"/>
      <c r="HR19" s="146"/>
      <c r="HS19" s="146"/>
      <c r="HT19" s="146"/>
      <c r="HU19" s="146"/>
      <c r="HV19" s="146"/>
      <c r="HW19" s="146"/>
      <c r="HX19" s="146"/>
      <c r="HY19" s="146"/>
      <c r="HZ19" s="146"/>
      <c r="IA19" s="146"/>
      <c r="IB19" s="146"/>
      <c r="IC19" s="146"/>
      <c r="ID19" s="146"/>
      <c r="IE19" s="146"/>
      <c r="IF19" s="146"/>
      <c r="IG19" s="146"/>
      <c r="IH19" s="146"/>
      <c r="II19" s="146"/>
      <c r="IJ19" s="146"/>
      <c r="IK19" s="146"/>
      <c r="IL19" s="146"/>
      <c r="IM19" s="146"/>
      <c r="IN19" s="146"/>
      <c r="IO19" s="146"/>
    </row>
    <row r="20" spans="1:249" s="6" customFormat="1" ht="14.1" customHeight="1" x14ac:dyDescent="0.25">
      <c r="A20" s="146"/>
      <c r="B20" s="146"/>
      <c r="C20" s="146" t="s">
        <v>21</v>
      </c>
      <c r="D20" s="241">
        <v>16.431415362498338</v>
      </c>
      <c r="E20" s="326">
        <v>35262553.999999993</v>
      </c>
      <c r="F20" s="217">
        <v>8.1475809600572449E-2</v>
      </c>
      <c r="G20" s="146"/>
      <c r="H20" s="241"/>
      <c r="I20" s="146"/>
      <c r="J20" s="321"/>
      <c r="K20" s="295"/>
      <c r="L20" s="291"/>
      <c r="M20" s="291"/>
      <c r="N20" s="146"/>
      <c r="O20" s="146"/>
      <c r="P20" s="146"/>
      <c r="Q20" s="146"/>
      <c r="R20" s="146"/>
      <c r="S20" s="146"/>
      <c r="T20" s="146"/>
      <c r="U20" s="146"/>
      <c r="V20" s="146"/>
      <c r="W20" s="146"/>
      <c r="X20" s="146"/>
      <c r="Y20" s="146"/>
      <c r="Z20" s="146"/>
      <c r="AA20" s="146"/>
      <c r="AB20" s="146"/>
      <c r="AC20" s="146"/>
      <c r="AD20" s="146"/>
      <c r="AE20" s="146"/>
      <c r="AF20" s="146"/>
      <c r="AG20" s="146"/>
      <c r="AH20" s="146"/>
      <c r="AI20" s="146"/>
      <c r="AJ20" s="146"/>
      <c r="AK20" s="146"/>
      <c r="AL20" s="146"/>
      <c r="AM20" s="146"/>
      <c r="AN20" s="146"/>
      <c r="AO20" s="146"/>
      <c r="AP20" s="146"/>
      <c r="AQ20" s="146"/>
      <c r="AR20" s="146"/>
      <c r="AS20" s="146"/>
      <c r="AT20" s="146"/>
      <c r="AU20" s="146"/>
      <c r="AV20" s="146"/>
      <c r="AW20" s="146"/>
      <c r="AX20" s="146"/>
      <c r="AY20" s="146"/>
      <c r="AZ20" s="146"/>
      <c r="BA20" s="146"/>
      <c r="BB20" s="146"/>
      <c r="BC20" s="146"/>
      <c r="BD20" s="146"/>
      <c r="BE20" s="146"/>
      <c r="BF20" s="146"/>
      <c r="BG20" s="146"/>
      <c r="BH20" s="146"/>
      <c r="BI20" s="146"/>
      <c r="BJ20" s="146"/>
      <c r="BK20" s="146"/>
      <c r="BL20" s="146"/>
      <c r="BM20" s="146"/>
      <c r="BN20" s="146"/>
      <c r="BO20" s="146"/>
      <c r="BP20" s="146"/>
      <c r="BQ20" s="146"/>
      <c r="BR20" s="146"/>
      <c r="BS20" s="146"/>
      <c r="BT20" s="146"/>
      <c r="BU20" s="146"/>
      <c r="BV20" s="146"/>
      <c r="BW20" s="146"/>
      <c r="BX20" s="146"/>
      <c r="BY20" s="146"/>
      <c r="BZ20" s="146"/>
      <c r="CA20" s="146"/>
      <c r="CB20" s="146"/>
      <c r="CC20" s="146"/>
      <c r="CD20" s="146"/>
      <c r="CE20" s="146"/>
      <c r="CF20" s="146"/>
      <c r="CG20" s="146"/>
      <c r="CH20" s="146"/>
      <c r="CI20" s="146"/>
      <c r="CJ20" s="146"/>
      <c r="CK20" s="146"/>
      <c r="CL20" s="146"/>
      <c r="CM20" s="146"/>
      <c r="CN20" s="146"/>
      <c r="CO20" s="146"/>
      <c r="CP20" s="146"/>
      <c r="CQ20" s="146"/>
      <c r="CR20" s="146"/>
      <c r="CS20" s="146"/>
      <c r="CT20" s="146"/>
      <c r="CU20" s="146"/>
      <c r="CV20" s="146"/>
      <c r="CW20" s="146"/>
      <c r="CX20" s="146"/>
      <c r="CY20" s="146"/>
      <c r="CZ20" s="146"/>
      <c r="DA20" s="146"/>
      <c r="DB20" s="146"/>
      <c r="DC20" s="146"/>
      <c r="DD20" s="146"/>
      <c r="DE20" s="146"/>
      <c r="DF20" s="146"/>
      <c r="DG20" s="146"/>
      <c r="DH20" s="146"/>
      <c r="DI20" s="146"/>
      <c r="DJ20" s="146"/>
      <c r="DK20" s="146"/>
      <c r="DL20" s="146"/>
      <c r="DM20" s="146"/>
      <c r="DN20" s="146"/>
      <c r="DO20" s="146"/>
      <c r="DP20" s="146"/>
      <c r="DQ20" s="146"/>
      <c r="DR20" s="146"/>
      <c r="DS20" s="146"/>
      <c r="DT20" s="146"/>
      <c r="DU20" s="146"/>
      <c r="DV20" s="146"/>
      <c r="DW20" s="146"/>
      <c r="DX20" s="146"/>
      <c r="DY20" s="146"/>
      <c r="DZ20" s="146"/>
      <c r="EA20" s="146"/>
      <c r="EB20" s="146"/>
      <c r="EC20" s="146"/>
      <c r="ED20" s="146"/>
      <c r="EE20" s="146"/>
      <c r="EF20" s="146"/>
      <c r="EG20" s="146"/>
      <c r="EH20" s="146"/>
      <c r="EI20" s="146"/>
      <c r="EJ20" s="146"/>
      <c r="EK20" s="146"/>
      <c r="EL20" s="146"/>
      <c r="EM20" s="146"/>
      <c r="EN20" s="146"/>
      <c r="EO20" s="146"/>
      <c r="EP20" s="146"/>
      <c r="EQ20" s="146"/>
      <c r="ER20" s="146"/>
      <c r="ES20" s="146"/>
      <c r="ET20" s="146"/>
      <c r="EU20" s="146"/>
      <c r="EV20" s="146"/>
      <c r="EW20" s="146"/>
      <c r="EX20" s="146"/>
      <c r="EY20" s="146"/>
      <c r="EZ20" s="146"/>
      <c r="FA20" s="146"/>
      <c r="FB20" s="146"/>
      <c r="FC20" s="146"/>
      <c r="FD20" s="146"/>
      <c r="FE20" s="146"/>
      <c r="FF20" s="146"/>
      <c r="FG20" s="146"/>
      <c r="FH20" s="146"/>
      <c r="FI20" s="146"/>
      <c r="FJ20" s="146"/>
      <c r="FK20" s="146"/>
      <c r="FL20" s="146"/>
      <c r="FM20" s="146"/>
      <c r="FN20" s="146"/>
      <c r="FO20" s="146"/>
      <c r="FP20" s="146"/>
      <c r="FQ20" s="146"/>
      <c r="FR20" s="146"/>
      <c r="FS20" s="146"/>
      <c r="FT20" s="146"/>
      <c r="FU20" s="146"/>
      <c r="FV20" s="146"/>
      <c r="FW20" s="146"/>
      <c r="FX20" s="146"/>
      <c r="FY20" s="146"/>
      <c r="FZ20" s="146"/>
      <c r="GA20" s="146"/>
      <c r="GB20" s="146"/>
      <c r="GC20" s="146"/>
      <c r="GD20" s="146"/>
      <c r="GE20" s="146"/>
      <c r="GF20" s="146"/>
      <c r="GG20" s="146"/>
      <c r="GH20" s="146"/>
      <c r="GI20" s="146"/>
      <c r="GJ20" s="146"/>
      <c r="GK20" s="146"/>
      <c r="GL20" s="146"/>
      <c r="GM20" s="146"/>
      <c r="GN20" s="146"/>
      <c r="GO20" s="146"/>
      <c r="GP20" s="146"/>
      <c r="GQ20" s="146"/>
      <c r="GR20" s="146"/>
      <c r="GS20" s="146"/>
      <c r="GT20" s="146"/>
      <c r="GU20" s="146"/>
      <c r="GV20" s="146"/>
      <c r="GW20" s="146"/>
      <c r="GX20" s="146"/>
      <c r="GY20" s="146"/>
      <c r="GZ20" s="146"/>
      <c r="HA20" s="146"/>
      <c r="HB20" s="146"/>
      <c r="HC20" s="146"/>
      <c r="HD20" s="146"/>
      <c r="HE20" s="146"/>
      <c r="HF20" s="146"/>
      <c r="HG20" s="146"/>
      <c r="HH20" s="146"/>
      <c r="HI20" s="146"/>
      <c r="HJ20" s="146"/>
      <c r="HK20" s="146"/>
      <c r="HL20" s="146"/>
      <c r="HM20" s="146"/>
      <c r="HN20" s="146"/>
      <c r="HO20" s="146"/>
      <c r="HP20" s="146"/>
      <c r="HQ20" s="146"/>
      <c r="HR20" s="146"/>
      <c r="HS20" s="146"/>
      <c r="HT20" s="146"/>
      <c r="HU20" s="146"/>
      <c r="HV20" s="146"/>
      <c r="HW20" s="146"/>
      <c r="HX20" s="146"/>
      <c r="HY20" s="146"/>
      <c r="HZ20" s="146"/>
      <c r="IA20" s="146"/>
      <c r="IB20" s="146"/>
      <c r="IC20" s="146"/>
      <c r="ID20" s="146"/>
      <c r="IE20" s="146"/>
      <c r="IF20" s="146"/>
      <c r="IG20" s="146"/>
      <c r="IH20" s="146"/>
      <c r="II20" s="146"/>
      <c r="IJ20" s="146"/>
      <c r="IK20" s="146"/>
      <c r="IL20" s="146"/>
      <c r="IM20" s="146"/>
      <c r="IN20" s="146"/>
      <c r="IO20" s="146"/>
    </row>
    <row r="21" spans="1:249" s="6" customFormat="1" ht="14.1" customHeight="1" x14ac:dyDescent="0.25">
      <c r="A21" s="146"/>
      <c r="B21" s="146"/>
      <c r="C21" s="146" t="s">
        <v>22</v>
      </c>
      <c r="D21" s="241">
        <v>12.925919162108599</v>
      </c>
      <c r="E21" s="326">
        <v>172200862.0000003</v>
      </c>
      <c r="F21" s="217">
        <v>0.3978782888320137</v>
      </c>
      <c r="G21" s="146"/>
      <c r="H21" s="241"/>
      <c r="I21" s="146"/>
      <c r="J21" s="321"/>
      <c r="K21" s="295"/>
      <c r="L21" s="291"/>
      <c r="M21" s="291"/>
      <c r="N21" s="146"/>
      <c r="O21" s="146"/>
      <c r="P21" s="146"/>
      <c r="Q21" s="146"/>
      <c r="R21" s="146"/>
      <c r="S21" s="146"/>
      <c r="T21" s="146"/>
      <c r="U21" s="146"/>
      <c r="V21" s="146"/>
      <c r="W21" s="146"/>
      <c r="X21" s="146"/>
      <c r="Y21" s="146"/>
      <c r="Z21" s="146"/>
      <c r="AA21" s="146"/>
      <c r="AB21" s="146"/>
      <c r="AC21" s="146"/>
      <c r="AD21" s="146"/>
      <c r="AE21" s="146"/>
      <c r="AF21" s="146"/>
      <c r="AG21" s="146"/>
      <c r="AH21" s="146"/>
      <c r="AI21" s="146"/>
      <c r="AJ21" s="146"/>
      <c r="AK21" s="146"/>
      <c r="AL21" s="146"/>
      <c r="AM21" s="146"/>
      <c r="AN21" s="146"/>
      <c r="AO21" s="146"/>
      <c r="AP21" s="146"/>
      <c r="AQ21" s="146"/>
      <c r="AR21" s="146"/>
      <c r="AS21" s="146"/>
      <c r="AT21" s="146"/>
      <c r="AU21" s="146"/>
      <c r="AV21" s="146"/>
      <c r="AW21" s="146"/>
      <c r="AX21" s="146"/>
      <c r="AY21" s="146"/>
      <c r="AZ21" s="146"/>
      <c r="BA21" s="146"/>
      <c r="BB21" s="146"/>
      <c r="BC21" s="146"/>
      <c r="BD21" s="146"/>
      <c r="BE21" s="146"/>
      <c r="BF21" s="146"/>
      <c r="BG21" s="146"/>
      <c r="BH21" s="146"/>
      <c r="BI21" s="146"/>
      <c r="BJ21" s="146"/>
      <c r="BK21" s="146"/>
      <c r="BL21" s="146"/>
      <c r="BM21" s="146"/>
      <c r="BN21" s="146"/>
      <c r="BO21" s="146"/>
      <c r="BP21" s="146"/>
      <c r="BQ21" s="146"/>
      <c r="BR21" s="146"/>
      <c r="BS21" s="146"/>
      <c r="BT21" s="146"/>
      <c r="BU21" s="146"/>
      <c r="BV21" s="146"/>
      <c r="BW21" s="146"/>
      <c r="BX21" s="146"/>
      <c r="BY21" s="146"/>
      <c r="BZ21" s="146"/>
      <c r="CA21" s="146"/>
      <c r="CB21" s="146"/>
      <c r="CC21" s="146"/>
      <c r="CD21" s="146"/>
      <c r="CE21" s="146"/>
      <c r="CF21" s="146"/>
      <c r="CG21" s="146"/>
      <c r="CH21" s="146"/>
      <c r="CI21" s="146"/>
      <c r="CJ21" s="146"/>
      <c r="CK21" s="146"/>
      <c r="CL21" s="146"/>
      <c r="CM21" s="146"/>
      <c r="CN21" s="146"/>
      <c r="CO21" s="146"/>
      <c r="CP21" s="146"/>
      <c r="CQ21" s="146"/>
      <c r="CR21" s="146"/>
      <c r="CS21" s="146"/>
      <c r="CT21" s="146"/>
      <c r="CU21" s="146"/>
      <c r="CV21" s="146"/>
      <c r="CW21" s="146"/>
      <c r="CX21" s="146"/>
      <c r="CY21" s="146"/>
      <c r="CZ21" s="146"/>
      <c r="DA21" s="146"/>
      <c r="DB21" s="146"/>
      <c r="DC21" s="146"/>
      <c r="DD21" s="146"/>
      <c r="DE21" s="146"/>
      <c r="DF21" s="146"/>
      <c r="DG21" s="146"/>
      <c r="DH21" s="146"/>
      <c r="DI21" s="146"/>
      <c r="DJ21" s="146"/>
      <c r="DK21" s="146"/>
      <c r="DL21" s="146"/>
      <c r="DM21" s="146"/>
      <c r="DN21" s="146"/>
      <c r="DO21" s="146"/>
      <c r="DP21" s="146"/>
      <c r="DQ21" s="146"/>
      <c r="DR21" s="146"/>
      <c r="DS21" s="146"/>
      <c r="DT21" s="146"/>
      <c r="DU21" s="146"/>
      <c r="DV21" s="146"/>
      <c r="DW21" s="146"/>
      <c r="DX21" s="146"/>
      <c r="DY21" s="146"/>
      <c r="DZ21" s="146"/>
      <c r="EA21" s="146"/>
      <c r="EB21" s="146"/>
      <c r="EC21" s="146"/>
      <c r="ED21" s="146"/>
      <c r="EE21" s="146"/>
      <c r="EF21" s="146"/>
      <c r="EG21" s="146"/>
      <c r="EH21" s="146"/>
      <c r="EI21" s="146"/>
      <c r="EJ21" s="146"/>
      <c r="EK21" s="146"/>
      <c r="EL21" s="146"/>
      <c r="EM21" s="146"/>
      <c r="EN21" s="146"/>
      <c r="EO21" s="146"/>
      <c r="EP21" s="146"/>
      <c r="EQ21" s="146"/>
      <c r="ER21" s="146"/>
      <c r="ES21" s="146"/>
      <c r="ET21" s="146"/>
      <c r="EU21" s="146"/>
      <c r="EV21" s="146"/>
      <c r="EW21" s="146"/>
      <c r="EX21" s="146"/>
      <c r="EY21" s="146"/>
      <c r="EZ21" s="146"/>
      <c r="FA21" s="146"/>
      <c r="FB21" s="146"/>
      <c r="FC21" s="146"/>
      <c r="FD21" s="146"/>
      <c r="FE21" s="146"/>
      <c r="FF21" s="146"/>
      <c r="FG21" s="146"/>
      <c r="FH21" s="146"/>
      <c r="FI21" s="146"/>
      <c r="FJ21" s="146"/>
      <c r="FK21" s="146"/>
      <c r="FL21" s="146"/>
      <c r="FM21" s="146"/>
      <c r="FN21" s="146"/>
      <c r="FO21" s="146"/>
      <c r="FP21" s="146"/>
      <c r="FQ21" s="146"/>
      <c r="FR21" s="146"/>
      <c r="FS21" s="146"/>
      <c r="FT21" s="146"/>
      <c r="FU21" s="146"/>
      <c r="FV21" s="146"/>
      <c r="FW21" s="146"/>
      <c r="FX21" s="146"/>
      <c r="FY21" s="146"/>
      <c r="FZ21" s="146"/>
      <c r="GA21" s="146"/>
      <c r="GB21" s="146"/>
      <c r="GC21" s="146"/>
      <c r="GD21" s="146"/>
      <c r="GE21" s="146"/>
      <c r="GF21" s="146"/>
      <c r="GG21" s="146"/>
      <c r="GH21" s="146"/>
      <c r="GI21" s="146"/>
      <c r="GJ21" s="146"/>
      <c r="GK21" s="146"/>
      <c r="GL21" s="146"/>
      <c r="GM21" s="146"/>
      <c r="GN21" s="146"/>
      <c r="GO21" s="146"/>
      <c r="GP21" s="146"/>
      <c r="GQ21" s="146"/>
      <c r="GR21" s="146"/>
      <c r="GS21" s="146"/>
      <c r="GT21" s="146"/>
      <c r="GU21" s="146"/>
      <c r="GV21" s="146"/>
      <c r="GW21" s="146"/>
      <c r="GX21" s="146"/>
      <c r="GY21" s="146"/>
      <c r="GZ21" s="146"/>
      <c r="HA21" s="146"/>
      <c r="HB21" s="146"/>
      <c r="HC21" s="146"/>
      <c r="HD21" s="146"/>
      <c r="HE21" s="146"/>
      <c r="HF21" s="146"/>
      <c r="HG21" s="146"/>
      <c r="HH21" s="146"/>
      <c r="HI21" s="146"/>
      <c r="HJ21" s="146"/>
      <c r="HK21" s="146"/>
      <c r="HL21" s="146"/>
      <c r="HM21" s="146"/>
      <c r="HN21" s="146"/>
      <c r="HO21" s="146"/>
      <c r="HP21" s="146"/>
      <c r="HQ21" s="146"/>
      <c r="HR21" s="146"/>
      <c r="HS21" s="146"/>
      <c r="HT21" s="146"/>
      <c r="HU21" s="146"/>
      <c r="HV21" s="146"/>
      <c r="HW21" s="146"/>
      <c r="HX21" s="146"/>
      <c r="HY21" s="146"/>
      <c r="HZ21" s="146"/>
      <c r="IA21" s="146"/>
      <c r="IB21" s="146"/>
      <c r="IC21" s="146"/>
      <c r="ID21" s="146"/>
      <c r="IE21" s="146"/>
      <c r="IF21" s="146"/>
      <c r="IG21" s="146"/>
      <c r="IH21" s="146"/>
      <c r="II21" s="146"/>
      <c r="IJ21" s="146"/>
      <c r="IK21" s="146"/>
      <c r="IL21" s="146"/>
      <c r="IM21" s="146"/>
      <c r="IN21" s="146"/>
      <c r="IO21" s="146"/>
    </row>
    <row r="22" spans="1:249" s="6" customFormat="1" ht="14.1" customHeight="1" x14ac:dyDescent="0.25">
      <c r="A22" s="146"/>
      <c r="B22" s="146"/>
      <c r="C22" s="146" t="s">
        <v>23</v>
      </c>
      <c r="D22" s="241">
        <v>8.2198460836608085</v>
      </c>
      <c r="E22" s="326">
        <v>175270289.00000009</v>
      </c>
      <c r="F22" s="217">
        <v>0.40497034602772447</v>
      </c>
      <c r="G22" s="146"/>
      <c r="H22" s="241"/>
      <c r="I22" s="356"/>
      <c r="J22" s="321"/>
      <c r="K22" s="295"/>
      <c r="L22" s="291"/>
      <c r="M22" s="291"/>
      <c r="N22" s="146"/>
      <c r="O22" s="146"/>
      <c r="P22" s="146"/>
      <c r="Q22" s="146"/>
      <c r="R22" s="146"/>
      <c r="S22" s="146"/>
      <c r="T22" s="146"/>
      <c r="U22" s="146"/>
      <c r="V22" s="146"/>
      <c r="W22" s="146"/>
      <c r="X22" s="146"/>
      <c r="Y22" s="146"/>
      <c r="Z22" s="146"/>
      <c r="AA22" s="146"/>
      <c r="AB22" s="146"/>
      <c r="AC22" s="146"/>
      <c r="AD22" s="146"/>
      <c r="AE22" s="146"/>
      <c r="AF22" s="146"/>
      <c r="AG22" s="146"/>
      <c r="AH22" s="146"/>
      <c r="AI22" s="146"/>
      <c r="AJ22" s="146"/>
      <c r="AK22" s="146"/>
      <c r="AL22" s="146"/>
      <c r="AM22" s="146"/>
      <c r="AN22" s="146"/>
      <c r="AO22" s="146"/>
      <c r="AP22" s="146"/>
      <c r="AQ22" s="146"/>
      <c r="AR22" s="146"/>
      <c r="AS22" s="146"/>
      <c r="AT22" s="146"/>
      <c r="AU22" s="146"/>
      <c r="AV22" s="146"/>
      <c r="AW22" s="146"/>
      <c r="AX22" s="146"/>
      <c r="AY22" s="146"/>
      <c r="AZ22" s="146"/>
      <c r="BA22" s="146"/>
      <c r="BB22" s="146"/>
      <c r="BC22" s="146"/>
      <c r="BD22" s="146"/>
      <c r="BE22" s="146"/>
      <c r="BF22" s="146"/>
      <c r="BG22" s="146"/>
      <c r="BH22" s="146"/>
      <c r="BI22" s="146"/>
      <c r="BJ22" s="146"/>
      <c r="BK22" s="146"/>
      <c r="BL22" s="146"/>
      <c r="BM22" s="146"/>
      <c r="BN22" s="146"/>
      <c r="BO22" s="146"/>
      <c r="BP22" s="146"/>
      <c r="BQ22" s="146"/>
      <c r="BR22" s="146"/>
      <c r="BS22" s="146"/>
      <c r="BT22" s="146"/>
      <c r="BU22" s="146"/>
      <c r="BV22" s="146"/>
      <c r="BW22" s="146"/>
      <c r="BX22" s="146"/>
      <c r="BY22" s="146"/>
      <c r="BZ22" s="146"/>
      <c r="CA22" s="146"/>
      <c r="CB22" s="146"/>
      <c r="CC22" s="146"/>
      <c r="CD22" s="146"/>
      <c r="CE22" s="146"/>
      <c r="CF22" s="146"/>
      <c r="CG22" s="146"/>
      <c r="CH22" s="146"/>
      <c r="CI22" s="146"/>
      <c r="CJ22" s="146"/>
      <c r="CK22" s="146"/>
      <c r="CL22" s="146"/>
      <c r="CM22" s="146"/>
      <c r="CN22" s="146"/>
      <c r="CO22" s="146"/>
      <c r="CP22" s="146"/>
      <c r="CQ22" s="146"/>
      <c r="CR22" s="146"/>
      <c r="CS22" s="146"/>
      <c r="CT22" s="146"/>
      <c r="CU22" s="146"/>
      <c r="CV22" s="146"/>
      <c r="CW22" s="146"/>
      <c r="CX22" s="146"/>
      <c r="CY22" s="146"/>
      <c r="CZ22" s="146"/>
      <c r="DA22" s="146"/>
      <c r="DB22" s="146"/>
      <c r="DC22" s="146"/>
      <c r="DD22" s="146"/>
      <c r="DE22" s="146"/>
      <c r="DF22" s="146"/>
      <c r="DG22" s="146"/>
      <c r="DH22" s="146"/>
      <c r="DI22" s="146"/>
      <c r="DJ22" s="146"/>
      <c r="DK22" s="146"/>
      <c r="DL22" s="146"/>
      <c r="DM22" s="146"/>
      <c r="DN22" s="146"/>
      <c r="DO22" s="146"/>
      <c r="DP22" s="146"/>
      <c r="DQ22" s="146"/>
      <c r="DR22" s="146"/>
      <c r="DS22" s="146"/>
      <c r="DT22" s="146"/>
      <c r="DU22" s="146"/>
      <c r="DV22" s="146"/>
      <c r="DW22" s="146"/>
      <c r="DX22" s="146"/>
      <c r="DY22" s="146"/>
      <c r="DZ22" s="146"/>
      <c r="EA22" s="146"/>
      <c r="EB22" s="146"/>
      <c r="EC22" s="146"/>
      <c r="ED22" s="146"/>
      <c r="EE22" s="146"/>
      <c r="EF22" s="146"/>
      <c r="EG22" s="146"/>
      <c r="EH22" s="146"/>
      <c r="EI22" s="146"/>
      <c r="EJ22" s="146"/>
      <c r="EK22" s="146"/>
      <c r="EL22" s="146"/>
      <c r="EM22" s="146"/>
      <c r="EN22" s="146"/>
      <c r="EO22" s="146"/>
      <c r="EP22" s="146"/>
      <c r="EQ22" s="146"/>
      <c r="ER22" s="146"/>
      <c r="ES22" s="146"/>
      <c r="ET22" s="146"/>
      <c r="EU22" s="146"/>
      <c r="EV22" s="146"/>
      <c r="EW22" s="146"/>
      <c r="EX22" s="146"/>
      <c r="EY22" s="146"/>
      <c r="EZ22" s="146"/>
      <c r="FA22" s="146"/>
      <c r="FB22" s="146"/>
      <c r="FC22" s="146"/>
      <c r="FD22" s="146"/>
      <c r="FE22" s="146"/>
      <c r="FF22" s="146"/>
      <c r="FG22" s="146"/>
      <c r="FH22" s="146"/>
      <c r="FI22" s="146"/>
      <c r="FJ22" s="146"/>
      <c r="FK22" s="146"/>
      <c r="FL22" s="146"/>
      <c r="FM22" s="146"/>
      <c r="FN22" s="146"/>
      <c r="FO22" s="146"/>
      <c r="FP22" s="146"/>
      <c r="FQ22" s="146"/>
      <c r="FR22" s="146"/>
      <c r="FS22" s="146"/>
      <c r="FT22" s="146"/>
      <c r="FU22" s="146"/>
      <c r="FV22" s="146"/>
      <c r="FW22" s="146"/>
      <c r="FX22" s="146"/>
      <c r="FY22" s="146"/>
      <c r="FZ22" s="146"/>
      <c r="GA22" s="146"/>
      <c r="GB22" s="146"/>
      <c r="GC22" s="146"/>
      <c r="GD22" s="146"/>
      <c r="GE22" s="146"/>
      <c r="GF22" s="146"/>
      <c r="GG22" s="146"/>
      <c r="GH22" s="146"/>
      <c r="GI22" s="146"/>
      <c r="GJ22" s="146"/>
      <c r="GK22" s="146"/>
      <c r="GL22" s="146"/>
      <c r="GM22" s="146"/>
      <c r="GN22" s="146"/>
      <c r="GO22" s="146"/>
      <c r="GP22" s="146"/>
      <c r="GQ22" s="146"/>
      <c r="GR22" s="146"/>
      <c r="GS22" s="146"/>
      <c r="GT22" s="146"/>
      <c r="GU22" s="146"/>
      <c r="GV22" s="146"/>
      <c r="GW22" s="146"/>
      <c r="GX22" s="146"/>
      <c r="GY22" s="146"/>
      <c r="GZ22" s="146"/>
      <c r="HA22" s="146"/>
      <c r="HB22" s="146"/>
      <c r="HC22" s="146"/>
      <c r="HD22" s="146"/>
      <c r="HE22" s="146"/>
      <c r="HF22" s="146"/>
      <c r="HG22" s="146"/>
      <c r="HH22" s="146"/>
      <c r="HI22" s="146"/>
      <c r="HJ22" s="146"/>
      <c r="HK22" s="146"/>
      <c r="HL22" s="146"/>
      <c r="HM22" s="146"/>
      <c r="HN22" s="146"/>
      <c r="HO22" s="146"/>
      <c r="HP22" s="146"/>
      <c r="HQ22" s="146"/>
      <c r="HR22" s="146"/>
      <c r="HS22" s="146"/>
      <c r="HT22" s="146"/>
      <c r="HU22" s="146"/>
      <c r="HV22" s="146"/>
      <c r="HW22" s="146"/>
      <c r="HX22" s="146"/>
      <c r="HY22" s="146"/>
      <c r="HZ22" s="146"/>
      <c r="IA22" s="146"/>
      <c r="IB22" s="146"/>
      <c r="IC22" s="146"/>
      <c r="ID22" s="146"/>
      <c r="IE22" s="146"/>
      <c r="IF22" s="146"/>
      <c r="IG22" s="146"/>
      <c r="IH22" s="146"/>
      <c r="II22" s="146"/>
      <c r="IJ22" s="146"/>
      <c r="IK22" s="146"/>
      <c r="IL22" s="146"/>
      <c r="IM22" s="146"/>
      <c r="IN22" s="146"/>
      <c r="IO22" s="146"/>
    </row>
    <row r="23" spans="1:249" s="1" customFormat="1" ht="14.1" customHeight="1" x14ac:dyDescent="0.25">
      <c r="A23" s="139" t="s">
        <v>24</v>
      </c>
      <c r="B23" s="1" t="s">
        <v>25</v>
      </c>
      <c r="D23" s="40">
        <v>12.249550650368707</v>
      </c>
      <c r="E23" s="160">
        <v>432797835.00000024</v>
      </c>
      <c r="F23" s="13">
        <v>1</v>
      </c>
      <c r="J23" s="323"/>
      <c r="K23" s="295"/>
      <c r="L23" s="296"/>
      <c r="M23" s="296"/>
    </row>
    <row r="24" spans="1:249" s="1" customFormat="1" ht="14.1" customHeight="1" x14ac:dyDescent="0.25">
      <c r="D24" s="40"/>
      <c r="E24" s="161"/>
      <c r="F24" s="133"/>
      <c r="J24" s="434"/>
      <c r="K24" s="295"/>
      <c r="L24" s="291"/>
      <c r="M24" s="296"/>
    </row>
    <row r="25" spans="1:249" s="1" customFormat="1" ht="14.1" customHeight="1" x14ac:dyDescent="0.25">
      <c r="B25" s="33" t="s">
        <v>26</v>
      </c>
      <c r="C25" s="158"/>
      <c r="D25" s="40"/>
      <c r="F25" s="15">
        <v>5.0838220970444858</v>
      </c>
      <c r="G25" s="1" t="s">
        <v>27</v>
      </c>
      <c r="J25" s="434"/>
      <c r="K25" s="295"/>
      <c r="L25" s="296"/>
      <c r="M25" s="296"/>
    </row>
    <row r="26" spans="1:249" s="1" customFormat="1" ht="14.1" customHeight="1" x14ac:dyDescent="0.25">
      <c r="A26" s="158"/>
      <c r="B26" s="158"/>
      <c r="C26" s="158"/>
      <c r="D26" s="40"/>
      <c r="F26" s="133"/>
      <c r="G26" s="162"/>
      <c r="J26" s="434"/>
      <c r="K26" s="295"/>
      <c r="L26" s="296"/>
      <c r="M26" s="296"/>
      <c r="IN26" s="1" t="s">
        <v>28</v>
      </c>
    </row>
    <row r="27" spans="1:249" s="142" customFormat="1" ht="14.1" customHeight="1" thickBot="1" x14ac:dyDescent="0.35">
      <c r="A27" s="163" t="s">
        <v>29</v>
      </c>
      <c r="B27" s="152"/>
      <c r="C27" s="152"/>
      <c r="D27" s="153"/>
      <c r="E27" s="164"/>
      <c r="F27" s="155"/>
      <c r="G27" s="156"/>
      <c r="H27" s="156"/>
      <c r="I27" s="156"/>
      <c r="J27" s="434"/>
      <c r="K27" s="295"/>
      <c r="L27" s="292"/>
      <c r="M27" s="292"/>
    </row>
    <row r="28" spans="1:249" s="6" customFormat="1" ht="14.1" customHeight="1" x14ac:dyDescent="0.25">
      <c r="A28" s="146"/>
      <c r="B28" s="1"/>
      <c r="C28" s="1"/>
      <c r="D28" s="241"/>
      <c r="E28" s="326"/>
      <c r="F28" s="347"/>
      <c r="G28" s="347"/>
      <c r="H28" s="347"/>
      <c r="I28" s="347"/>
      <c r="J28" s="434"/>
      <c r="K28" s="295"/>
      <c r="L28" s="291"/>
      <c r="M28" s="291"/>
      <c r="N28" s="146"/>
      <c r="O28" s="146"/>
      <c r="P28" s="146"/>
      <c r="Q28" s="146"/>
      <c r="R28" s="146"/>
      <c r="S28" s="146"/>
      <c r="T28" s="146"/>
      <c r="U28" s="146"/>
      <c r="V28" s="146"/>
      <c r="W28" s="146"/>
      <c r="X28" s="146"/>
      <c r="Y28" s="146"/>
      <c r="Z28" s="146"/>
      <c r="AA28" s="146"/>
      <c r="AB28" s="146"/>
      <c r="AC28" s="146"/>
      <c r="AD28" s="146"/>
      <c r="AE28" s="146"/>
      <c r="AF28" s="146"/>
      <c r="AG28" s="146"/>
      <c r="AH28" s="146"/>
      <c r="AI28" s="146"/>
      <c r="AJ28" s="146"/>
      <c r="AK28" s="146"/>
      <c r="AL28" s="146"/>
      <c r="AM28" s="146"/>
      <c r="AN28" s="146"/>
      <c r="AO28" s="146"/>
      <c r="AP28" s="146"/>
      <c r="AQ28" s="146"/>
      <c r="AR28" s="146"/>
      <c r="AS28" s="146"/>
      <c r="AT28" s="146"/>
      <c r="AU28" s="146"/>
      <c r="AV28" s="146"/>
      <c r="AW28" s="146"/>
      <c r="AX28" s="146"/>
      <c r="AY28" s="146"/>
      <c r="AZ28" s="146"/>
      <c r="BA28" s="146"/>
      <c r="BB28" s="146"/>
      <c r="BC28" s="146"/>
      <c r="BD28" s="146"/>
      <c r="BE28" s="146"/>
      <c r="BF28" s="146"/>
      <c r="BG28" s="146"/>
      <c r="BH28" s="146"/>
      <c r="BI28" s="146"/>
      <c r="BJ28" s="146"/>
      <c r="BK28" s="146"/>
      <c r="BL28" s="146"/>
      <c r="BM28" s="146"/>
      <c r="BN28" s="146"/>
      <c r="BO28" s="146"/>
      <c r="BP28" s="146"/>
      <c r="BQ28" s="146"/>
      <c r="BR28" s="146"/>
      <c r="BS28" s="146"/>
      <c r="BT28" s="146"/>
      <c r="BU28" s="146"/>
      <c r="BV28" s="146"/>
      <c r="BW28" s="146"/>
      <c r="BX28" s="146"/>
      <c r="BY28" s="146"/>
      <c r="BZ28" s="146"/>
      <c r="CA28" s="146"/>
      <c r="CB28" s="146"/>
      <c r="CC28" s="146"/>
      <c r="CD28" s="146"/>
      <c r="CE28" s="146"/>
      <c r="CF28" s="146"/>
      <c r="CG28" s="146"/>
      <c r="CH28" s="146"/>
      <c r="CI28" s="146"/>
      <c r="CJ28" s="146"/>
      <c r="CK28" s="146"/>
      <c r="CL28" s="146"/>
      <c r="CM28" s="146"/>
      <c r="CN28" s="146"/>
      <c r="CO28" s="146"/>
      <c r="CP28" s="146"/>
      <c r="CQ28" s="146"/>
      <c r="CR28" s="146"/>
      <c r="CS28" s="146"/>
      <c r="CT28" s="146"/>
      <c r="CU28" s="146"/>
      <c r="CV28" s="146"/>
      <c r="CW28" s="146"/>
      <c r="CX28" s="146"/>
      <c r="CY28" s="146"/>
      <c r="CZ28" s="146"/>
      <c r="DA28" s="146"/>
      <c r="DB28" s="146"/>
      <c r="DC28" s="146"/>
      <c r="DD28" s="146"/>
      <c r="DE28" s="146"/>
      <c r="DF28" s="146"/>
      <c r="DG28" s="146"/>
      <c r="DH28" s="146"/>
      <c r="DI28" s="146"/>
      <c r="DJ28" s="146"/>
      <c r="DK28" s="146"/>
      <c r="DL28" s="146"/>
      <c r="DM28" s="146"/>
      <c r="DN28" s="146"/>
      <c r="DO28" s="146"/>
      <c r="DP28" s="146"/>
      <c r="DQ28" s="146"/>
      <c r="DR28" s="146"/>
      <c r="DS28" s="146"/>
      <c r="DT28" s="146"/>
      <c r="DU28" s="146"/>
      <c r="DV28" s="146"/>
      <c r="DW28" s="146"/>
      <c r="DX28" s="146"/>
      <c r="DY28" s="146"/>
      <c r="DZ28" s="146"/>
      <c r="EA28" s="146"/>
      <c r="EB28" s="146"/>
      <c r="EC28" s="146"/>
      <c r="ED28" s="146"/>
      <c r="EE28" s="146"/>
      <c r="EF28" s="146"/>
      <c r="EG28" s="146"/>
      <c r="EH28" s="146"/>
      <c r="EI28" s="146"/>
      <c r="EJ28" s="146"/>
      <c r="EK28" s="146"/>
      <c r="EL28" s="146"/>
      <c r="EM28" s="146"/>
      <c r="EN28" s="146"/>
      <c r="EO28" s="146"/>
      <c r="EP28" s="146"/>
      <c r="EQ28" s="146"/>
      <c r="ER28" s="146"/>
      <c r="ES28" s="146"/>
      <c r="ET28" s="146"/>
      <c r="EU28" s="146"/>
      <c r="EV28" s="146"/>
      <c r="EW28" s="146"/>
      <c r="EX28" s="146"/>
      <c r="EY28" s="146"/>
      <c r="EZ28" s="146"/>
      <c r="FA28" s="146"/>
      <c r="FB28" s="146"/>
      <c r="FC28" s="146"/>
      <c r="FD28" s="146"/>
      <c r="FE28" s="146"/>
      <c r="FF28" s="146"/>
      <c r="FG28" s="146"/>
      <c r="FH28" s="146"/>
      <c r="FI28" s="146"/>
      <c r="FJ28" s="146"/>
      <c r="FK28" s="146"/>
      <c r="FL28" s="146"/>
      <c r="FM28" s="146"/>
      <c r="FN28" s="146"/>
      <c r="FO28" s="146"/>
      <c r="FP28" s="146"/>
      <c r="FQ28" s="146"/>
      <c r="FR28" s="146"/>
      <c r="FS28" s="146"/>
      <c r="FT28" s="146"/>
      <c r="FU28" s="146"/>
      <c r="FV28" s="146"/>
      <c r="FW28" s="146"/>
      <c r="FX28" s="146"/>
      <c r="FY28" s="146"/>
      <c r="FZ28" s="146"/>
      <c r="GA28" s="146"/>
      <c r="GB28" s="146"/>
      <c r="GC28" s="146"/>
      <c r="GD28" s="146"/>
      <c r="GE28" s="146"/>
      <c r="GF28" s="146"/>
      <c r="GG28" s="146"/>
      <c r="GH28" s="146"/>
      <c r="GI28" s="146"/>
      <c r="GJ28" s="146"/>
      <c r="GK28" s="146"/>
      <c r="GL28" s="146"/>
      <c r="GM28" s="146"/>
      <c r="GN28" s="146"/>
      <c r="GO28" s="146"/>
      <c r="GP28" s="146"/>
      <c r="GQ28" s="146"/>
      <c r="GR28" s="146"/>
      <c r="GS28" s="146"/>
      <c r="GT28" s="146"/>
      <c r="GU28" s="146"/>
      <c r="GV28" s="146"/>
      <c r="GW28" s="146"/>
      <c r="GX28" s="146"/>
      <c r="GY28" s="146"/>
      <c r="GZ28" s="146"/>
      <c r="HA28" s="146"/>
      <c r="HB28" s="146"/>
      <c r="HC28" s="146"/>
      <c r="HD28" s="146"/>
      <c r="HE28" s="146"/>
      <c r="HF28" s="146"/>
      <c r="HG28" s="146"/>
      <c r="HH28" s="146"/>
      <c r="HI28" s="146"/>
      <c r="HJ28" s="146"/>
      <c r="HK28" s="146"/>
      <c r="HL28" s="146"/>
      <c r="HM28" s="146"/>
      <c r="HN28" s="146"/>
      <c r="HO28" s="146"/>
      <c r="HP28" s="146"/>
      <c r="HQ28" s="146"/>
      <c r="HR28" s="146"/>
      <c r="HS28" s="146"/>
      <c r="HT28" s="146"/>
      <c r="HU28" s="146"/>
      <c r="HV28" s="146"/>
      <c r="HW28" s="146"/>
      <c r="HX28" s="146"/>
      <c r="HY28" s="146"/>
      <c r="HZ28" s="146"/>
      <c r="IA28" s="146"/>
      <c r="IB28" s="146"/>
      <c r="IC28" s="146"/>
      <c r="ID28" s="146"/>
      <c r="IE28" s="146"/>
      <c r="IF28" s="146"/>
      <c r="IG28" s="146"/>
      <c r="IH28" s="146"/>
      <c r="II28" s="146"/>
      <c r="IJ28" s="146"/>
      <c r="IK28" s="146"/>
      <c r="IL28" s="146"/>
      <c r="IM28" s="146"/>
      <c r="IN28" s="146"/>
      <c r="IO28" s="146"/>
    </row>
    <row r="29" spans="1:249" s="6" customFormat="1" ht="14.1" customHeight="1" x14ac:dyDescent="0.25">
      <c r="A29" s="146"/>
      <c r="B29" s="1"/>
      <c r="C29" s="1"/>
      <c r="D29" s="40" t="s">
        <v>30</v>
      </c>
      <c r="E29" s="31" t="s">
        <v>31</v>
      </c>
      <c r="F29" s="31" t="s">
        <v>32</v>
      </c>
      <c r="G29" s="31" t="s">
        <v>33</v>
      </c>
      <c r="H29" s="31" t="s">
        <v>34</v>
      </c>
      <c r="I29" s="31" t="s">
        <v>35</v>
      </c>
      <c r="J29" s="430"/>
      <c r="K29" s="433"/>
      <c r="L29" s="291"/>
      <c r="M29" s="291"/>
      <c r="N29" s="146"/>
      <c r="O29" s="146"/>
      <c r="P29" s="146"/>
      <c r="Q29" s="146"/>
      <c r="R29" s="146"/>
      <c r="S29" s="146"/>
      <c r="T29" s="146"/>
      <c r="U29" s="146"/>
      <c r="V29" s="146"/>
      <c r="W29" s="146"/>
      <c r="X29" s="146"/>
      <c r="Y29" s="146"/>
      <c r="Z29" s="146"/>
      <c r="AA29" s="146"/>
      <c r="AB29" s="146"/>
      <c r="AC29" s="146"/>
      <c r="AD29" s="146"/>
      <c r="AE29" s="146"/>
      <c r="AF29" s="146"/>
      <c r="AG29" s="146"/>
      <c r="AH29" s="146"/>
      <c r="AI29" s="146"/>
      <c r="AJ29" s="146"/>
      <c r="AK29" s="146"/>
      <c r="AL29" s="146"/>
      <c r="AM29" s="146"/>
      <c r="AN29" s="146"/>
      <c r="AO29" s="146"/>
      <c r="AP29" s="146"/>
      <c r="AQ29" s="146"/>
      <c r="AR29" s="146"/>
      <c r="AS29" s="146"/>
      <c r="AT29" s="146"/>
      <c r="AU29" s="146"/>
      <c r="AV29" s="146"/>
      <c r="AW29" s="146"/>
      <c r="AX29" s="146"/>
      <c r="AY29" s="146"/>
      <c r="AZ29" s="146"/>
      <c r="BA29" s="146"/>
      <c r="BB29" s="146"/>
      <c r="BC29" s="146"/>
      <c r="BD29" s="146"/>
      <c r="BE29" s="146"/>
      <c r="BF29" s="146"/>
      <c r="BG29" s="146"/>
      <c r="BH29" s="146"/>
      <c r="BI29" s="146"/>
      <c r="BJ29" s="146"/>
      <c r="BK29" s="146"/>
      <c r="BL29" s="146"/>
      <c r="BM29" s="146"/>
      <c r="BN29" s="146"/>
      <c r="BO29" s="146"/>
      <c r="BP29" s="146"/>
      <c r="BQ29" s="146"/>
      <c r="BR29" s="146"/>
      <c r="BS29" s="146"/>
      <c r="BT29" s="146"/>
      <c r="BU29" s="146"/>
      <c r="BV29" s="146"/>
      <c r="BW29" s="146"/>
      <c r="BX29" s="146"/>
      <c r="BY29" s="146"/>
      <c r="BZ29" s="146"/>
      <c r="CA29" s="146"/>
      <c r="CB29" s="146"/>
      <c r="CC29" s="146"/>
      <c r="CD29" s="146"/>
      <c r="CE29" s="146"/>
      <c r="CF29" s="146"/>
      <c r="CG29" s="146"/>
      <c r="CH29" s="146"/>
      <c r="CI29" s="146"/>
      <c r="CJ29" s="146"/>
      <c r="CK29" s="146"/>
      <c r="CL29" s="146"/>
      <c r="CM29" s="146"/>
      <c r="CN29" s="146"/>
      <c r="CO29" s="146"/>
      <c r="CP29" s="146"/>
      <c r="CQ29" s="146"/>
      <c r="CR29" s="146"/>
      <c r="CS29" s="146"/>
      <c r="CT29" s="146"/>
      <c r="CU29" s="146"/>
      <c r="CV29" s="146"/>
      <c r="CW29" s="146"/>
      <c r="CX29" s="146"/>
      <c r="CY29" s="146"/>
      <c r="CZ29" s="146"/>
      <c r="DA29" s="146"/>
      <c r="DB29" s="146"/>
      <c r="DC29" s="146"/>
      <c r="DD29" s="146"/>
      <c r="DE29" s="146"/>
      <c r="DF29" s="146"/>
      <c r="DG29" s="146"/>
      <c r="DH29" s="146"/>
      <c r="DI29" s="146"/>
      <c r="DJ29" s="146"/>
      <c r="DK29" s="146"/>
      <c r="DL29" s="146"/>
      <c r="DM29" s="146"/>
      <c r="DN29" s="146"/>
      <c r="DO29" s="146"/>
      <c r="DP29" s="146"/>
      <c r="DQ29" s="146"/>
      <c r="DR29" s="146"/>
      <c r="DS29" s="146"/>
      <c r="DT29" s="146"/>
      <c r="DU29" s="146"/>
      <c r="DV29" s="146"/>
      <c r="DW29" s="146"/>
      <c r="DX29" s="146"/>
      <c r="DY29" s="146"/>
      <c r="DZ29" s="146"/>
      <c r="EA29" s="146"/>
      <c r="EB29" s="146"/>
      <c r="EC29" s="146"/>
      <c r="ED29" s="146"/>
      <c r="EE29" s="146"/>
      <c r="EF29" s="146"/>
      <c r="EG29" s="146"/>
      <c r="EH29" s="146"/>
      <c r="EI29" s="146"/>
      <c r="EJ29" s="146"/>
      <c r="EK29" s="146"/>
      <c r="EL29" s="146"/>
      <c r="EM29" s="146"/>
      <c r="EN29" s="146"/>
      <c r="EO29" s="146"/>
      <c r="EP29" s="146"/>
      <c r="EQ29" s="146"/>
      <c r="ER29" s="146"/>
      <c r="ES29" s="146"/>
      <c r="ET29" s="146"/>
      <c r="EU29" s="146"/>
      <c r="EV29" s="146"/>
      <c r="EW29" s="146"/>
      <c r="EX29" s="146"/>
      <c r="EY29" s="146"/>
      <c r="EZ29" s="146"/>
      <c r="FA29" s="146"/>
      <c r="FB29" s="146"/>
      <c r="FC29" s="146"/>
      <c r="FD29" s="146"/>
      <c r="FE29" s="146"/>
      <c r="FF29" s="146"/>
      <c r="FG29" s="146"/>
      <c r="FH29" s="146"/>
      <c r="FI29" s="146"/>
      <c r="FJ29" s="146"/>
      <c r="FK29" s="146"/>
      <c r="FL29" s="146"/>
      <c r="FM29" s="146"/>
      <c r="FN29" s="146"/>
      <c r="FO29" s="146"/>
      <c r="FP29" s="146"/>
      <c r="FQ29" s="146"/>
      <c r="FR29" s="146"/>
      <c r="FS29" s="146"/>
      <c r="FT29" s="146"/>
      <c r="FU29" s="146"/>
      <c r="FV29" s="146"/>
      <c r="FW29" s="146"/>
      <c r="FX29" s="146"/>
      <c r="FY29" s="146"/>
      <c r="FZ29" s="146"/>
      <c r="GA29" s="146"/>
      <c r="GB29" s="146"/>
      <c r="GC29" s="146"/>
      <c r="GD29" s="146"/>
      <c r="GE29" s="146"/>
      <c r="GF29" s="146"/>
      <c r="GG29" s="146"/>
      <c r="GH29" s="146"/>
      <c r="GI29" s="146"/>
      <c r="GJ29" s="146"/>
      <c r="GK29" s="146"/>
      <c r="GL29" s="146"/>
      <c r="GM29" s="146"/>
      <c r="GN29" s="146"/>
      <c r="GO29" s="146"/>
      <c r="GP29" s="146"/>
      <c r="GQ29" s="146"/>
      <c r="GR29" s="146"/>
      <c r="GS29" s="146"/>
      <c r="GT29" s="146"/>
      <c r="GU29" s="146"/>
      <c r="GV29" s="146"/>
      <c r="GW29" s="146"/>
      <c r="GX29" s="146"/>
      <c r="GY29" s="146"/>
      <c r="GZ29" s="146"/>
      <c r="HA29" s="146"/>
      <c r="HB29" s="146"/>
      <c r="HC29" s="146"/>
      <c r="HD29" s="146"/>
      <c r="HE29" s="146"/>
      <c r="HF29" s="146"/>
      <c r="HG29" s="146"/>
      <c r="HH29" s="146"/>
      <c r="HI29" s="146"/>
      <c r="HJ29" s="146"/>
      <c r="HK29" s="146"/>
      <c r="HL29" s="146"/>
      <c r="HM29" s="146"/>
      <c r="HN29" s="146"/>
      <c r="HO29" s="146"/>
      <c r="HP29" s="146"/>
      <c r="HQ29" s="146"/>
      <c r="HR29" s="146"/>
      <c r="HS29" s="146"/>
      <c r="HT29" s="146"/>
      <c r="HU29" s="146"/>
      <c r="HV29" s="146"/>
      <c r="HW29" s="146"/>
      <c r="HX29" s="146"/>
      <c r="HY29" s="146"/>
      <c r="HZ29" s="146"/>
      <c r="IA29" s="146"/>
      <c r="IB29" s="146"/>
      <c r="IC29" s="146"/>
      <c r="ID29" s="146"/>
      <c r="IE29" s="146"/>
      <c r="IF29" s="146"/>
      <c r="IG29" s="146"/>
      <c r="IH29" s="146"/>
      <c r="II29" s="146"/>
      <c r="IJ29" s="146"/>
      <c r="IK29" s="146"/>
      <c r="IL29" s="146"/>
      <c r="IM29" s="146"/>
      <c r="IN29" s="146"/>
      <c r="IO29" s="146"/>
    </row>
    <row r="30" spans="1:249" s="6" customFormat="1" ht="14.1" customHeight="1" x14ac:dyDescent="0.25">
      <c r="A30" s="146"/>
      <c r="B30" s="146"/>
      <c r="C30" s="146"/>
      <c r="D30" s="40"/>
      <c r="E30" s="31"/>
      <c r="F30" s="31" t="s">
        <v>36</v>
      </c>
      <c r="G30" s="162" t="s">
        <v>37</v>
      </c>
      <c r="H30" s="162" t="s">
        <v>38</v>
      </c>
      <c r="I30" s="162" t="s">
        <v>8</v>
      </c>
      <c r="J30" s="431"/>
      <c r="K30" s="433"/>
      <c r="L30" s="291"/>
      <c r="M30" s="291"/>
      <c r="N30" s="146"/>
      <c r="O30" s="146"/>
      <c r="P30" s="146"/>
      <c r="Q30" s="146"/>
      <c r="R30" s="146"/>
      <c r="S30" s="146"/>
      <c r="T30" s="146"/>
      <c r="U30" s="146"/>
      <c r="V30" s="146"/>
      <c r="W30" s="146"/>
      <c r="X30" s="146"/>
      <c r="Y30" s="146"/>
      <c r="Z30" s="146"/>
      <c r="AA30" s="146"/>
      <c r="AB30" s="146"/>
      <c r="AC30" s="146"/>
      <c r="AD30" s="146"/>
      <c r="AE30" s="146"/>
      <c r="AF30" s="146"/>
      <c r="AG30" s="146"/>
      <c r="AH30" s="146"/>
      <c r="AI30" s="146"/>
      <c r="AJ30" s="146"/>
      <c r="AK30" s="146"/>
      <c r="AL30" s="146"/>
      <c r="AM30" s="146"/>
      <c r="AN30" s="146"/>
      <c r="AO30" s="146"/>
      <c r="AP30" s="146"/>
      <c r="AQ30" s="146"/>
      <c r="AR30" s="146"/>
      <c r="AS30" s="146"/>
      <c r="AT30" s="146"/>
      <c r="AU30" s="146"/>
      <c r="AV30" s="146"/>
      <c r="AW30" s="146"/>
      <c r="AX30" s="146"/>
      <c r="AY30" s="146"/>
      <c r="AZ30" s="146"/>
      <c r="BA30" s="146"/>
      <c r="BB30" s="146"/>
      <c r="BC30" s="146"/>
      <c r="BD30" s="146"/>
      <c r="BE30" s="146"/>
      <c r="BF30" s="146"/>
      <c r="BG30" s="146"/>
      <c r="BH30" s="146"/>
      <c r="BI30" s="146"/>
      <c r="BJ30" s="146"/>
      <c r="BK30" s="146"/>
      <c r="BL30" s="146"/>
      <c r="BM30" s="146"/>
      <c r="BN30" s="146"/>
      <c r="BO30" s="146"/>
      <c r="BP30" s="146"/>
      <c r="BQ30" s="146"/>
      <c r="BR30" s="146"/>
      <c r="BS30" s="146"/>
      <c r="BT30" s="146"/>
      <c r="BU30" s="146"/>
      <c r="BV30" s="146"/>
      <c r="BW30" s="146"/>
      <c r="BX30" s="146"/>
      <c r="BY30" s="146"/>
      <c r="BZ30" s="146"/>
      <c r="CA30" s="146"/>
      <c r="CB30" s="146"/>
      <c r="CC30" s="146"/>
      <c r="CD30" s="146"/>
      <c r="CE30" s="146"/>
      <c r="CF30" s="146"/>
      <c r="CG30" s="146"/>
      <c r="CH30" s="146"/>
      <c r="CI30" s="146"/>
      <c r="CJ30" s="146"/>
      <c r="CK30" s="146"/>
      <c r="CL30" s="146"/>
      <c r="CM30" s="146"/>
      <c r="CN30" s="146"/>
      <c r="CO30" s="146"/>
      <c r="CP30" s="146"/>
      <c r="CQ30" s="146"/>
      <c r="CR30" s="146"/>
      <c r="CS30" s="146"/>
      <c r="CT30" s="146"/>
      <c r="CU30" s="146"/>
      <c r="CV30" s="146"/>
      <c r="CW30" s="146"/>
      <c r="CX30" s="146"/>
      <c r="CY30" s="146"/>
      <c r="CZ30" s="146"/>
      <c r="DA30" s="146"/>
      <c r="DB30" s="146"/>
      <c r="DC30" s="146"/>
      <c r="DD30" s="146"/>
      <c r="DE30" s="146"/>
      <c r="DF30" s="146"/>
      <c r="DG30" s="146"/>
      <c r="DH30" s="146"/>
      <c r="DI30" s="146"/>
      <c r="DJ30" s="146"/>
      <c r="DK30" s="146"/>
      <c r="DL30" s="146"/>
      <c r="DM30" s="146"/>
      <c r="DN30" s="146"/>
      <c r="DO30" s="146"/>
      <c r="DP30" s="146"/>
      <c r="DQ30" s="146"/>
      <c r="DR30" s="146"/>
      <c r="DS30" s="146"/>
      <c r="DT30" s="146"/>
      <c r="DU30" s="146"/>
      <c r="DV30" s="146"/>
      <c r="DW30" s="146"/>
      <c r="DX30" s="146"/>
      <c r="DY30" s="146"/>
      <c r="DZ30" s="146"/>
      <c r="EA30" s="146"/>
      <c r="EB30" s="146"/>
      <c r="EC30" s="146"/>
      <c r="ED30" s="146"/>
      <c r="EE30" s="146"/>
      <c r="EF30" s="146"/>
      <c r="EG30" s="146"/>
      <c r="EH30" s="146"/>
      <c r="EI30" s="146"/>
      <c r="EJ30" s="146"/>
      <c r="EK30" s="146"/>
      <c r="EL30" s="146"/>
      <c r="EM30" s="146"/>
      <c r="EN30" s="146"/>
      <c r="EO30" s="146"/>
      <c r="EP30" s="146"/>
      <c r="EQ30" s="146"/>
      <c r="ER30" s="146"/>
      <c r="ES30" s="146"/>
      <c r="ET30" s="146"/>
      <c r="EU30" s="146"/>
      <c r="EV30" s="146"/>
      <c r="EW30" s="146"/>
      <c r="EX30" s="146"/>
      <c r="EY30" s="146"/>
      <c r="EZ30" s="146"/>
      <c r="FA30" s="146"/>
      <c r="FB30" s="146"/>
      <c r="FC30" s="146"/>
      <c r="FD30" s="146"/>
      <c r="FE30" s="146"/>
      <c r="FF30" s="146"/>
      <c r="FG30" s="146"/>
      <c r="FH30" s="146"/>
      <c r="FI30" s="146"/>
      <c r="FJ30" s="146"/>
      <c r="FK30" s="146"/>
      <c r="FL30" s="146"/>
      <c r="FM30" s="146"/>
      <c r="FN30" s="146"/>
      <c r="FO30" s="146"/>
      <c r="FP30" s="146"/>
      <c r="FQ30" s="146"/>
      <c r="FR30" s="146"/>
      <c r="FS30" s="146"/>
      <c r="FT30" s="146"/>
      <c r="FU30" s="146"/>
      <c r="FV30" s="146"/>
      <c r="FW30" s="146"/>
      <c r="FX30" s="146"/>
      <c r="FY30" s="146"/>
      <c r="FZ30" s="146"/>
      <c r="GA30" s="146"/>
      <c r="GB30" s="146"/>
      <c r="GC30" s="146"/>
      <c r="GD30" s="146"/>
      <c r="GE30" s="146"/>
      <c r="GF30" s="146"/>
      <c r="GG30" s="146"/>
      <c r="GH30" s="146"/>
      <c r="GI30" s="146"/>
      <c r="GJ30" s="146"/>
      <c r="GK30" s="146"/>
      <c r="GL30" s="146"/>
      <c r="GM30" s="146"/>
      <c r="GN30" s="146"/>
      <c r="GO30" s="146"/>
      <c r="GP30" s="146"/>
      <c r="GQ30" s="146"/>
      <c r="GR30" s="146"/>
      <c r="GS30" s="146"/>
      <c r="GT30" s="146"/>
      <c r="GU30" s="146"/>
      <c r="GV30" s="146"/>
      <c r="GW30" s="146"/>
      <c r="GX30" s="146"/>
      <c r="GY30" s="146"/>
      <c r="GZ30" s="146"/>
      <c r="HA30" s="146"/>
      <c r="HB30" s="146"/>
      <c r="HC30" s="146"/>
      <c r="HD30" s="146"/>
      <c r="HE30" s="146"/>
      <c r="HF30" s="146"/>
      <c r="HG30" s="146"/>
      <c r="HH30" s="146"/>
      <c r="HI30" s="146"/>
      <c r="HJ30" s="146"/>
      <c r="HK30" s="146"/>
      <c r="HL30" s="146"/>
      <c r="HM30" s="146"/>
      <c r="HN30" s="146"/>
      <c r="HO30" s="146"/>
      <c r="HP30" s="146"/>
      <c r="HQ30" s="146"/>
      <c r="HR30" s="146"/>
      <c r="HS30" s="146"/>
      <c r="HT30" s="146"/>
      <c r="HU30" s="146"/>
      <c r="HV30" s="146"/>
      <c r="HW30" s="146"/>
      <c r="HX30" s="146"/>
      <c r="HY30" s="146"/>
      <c r="HZ30" s="146"/>
      <c r="IA30" s="146"/>
      <c r="IB30" s="146"/>
      <c r="IC30" s="146"/>
      <c r="ID30" s="146"/>
      <c r="IE30" s="146"/>
      <c r="IF30" s="146"/>
      <c r="IG30" s="146"/>
      <c r="IH30" s="146"/>
      <c r="II30" s="146"/>
      <c r="IJ30" s="146"/>
      <c r="IK30" s="146"/>
      <c r="IL30" s="146"/>
      <c r="IM30" s="146"/>
      <c r="IN30" s="146"/>
      <c r="IO30" s="146"/>
    </row>
    <row r="31" spans="1:249" s="6" customFormat="1" ht="14.1" customHeight="1" x14ac:dyDescent="0.25">
      <c r="A31" s="146"/>
      <c r="B31" s="1"/>
      <c r="C31" s="146"/>
      <c r="D31" s="40" t="s">
        <v>39</v>
      </c>
      <c r="E31" s="31" t="s">
        <v>40</v>
      </c>
      <c r="F31" s="31" t="s">
        <v>41</v>
      </c>
      <c r="G31" s="162" t="s">
        <v>42</v>
      </c>
      <c r="H31" s="162" t="s">
        <v>42</v>
      </c>
      <c r="I31" s="162" t="s">
        <v>42</v>
      </c>
      <c r="J31" s="431"/>
      <c r="K31" s="433"/>
      <c r="L31" s="291"/>
      <c r="M31" s="291"/>
      <c r="N31" s="146"/>
      <c r="O31" s="146"/>
      <c r="P31" s="146"/>
      <c r="Q31" s="146"/>
      <c r="R31" s="146"/>
      <c r="S31" s="146"/>
      <c r="T31" s="146"/>
      <c r="U31" s="146"/>
      <c r="V31" s="146"/>
      <c r="W31" s="146"/>
      <c r="X31" s="146"/>
      <c r="Y31" s="146"/>
      <c r="Z31" s="146"/>
      <c r="AA31" s="146"/>
      <c r="AB31" s="146"/>
      <c r="AC31" s="146"/>
      <c r="AD31" s="146"/>
      <c r="AE31" s="146"/>
      <c r="AF31" s="146"/>
      <c r="AG31" s="146"/>
      <c r="AH31" s="146"/>
      <c r="AI31" s="146"/>
      <c r="AJ31" s="146"/>
      <c r="AK31" s="146"/>
      <c r="AL31" s="146"/>
      <c r="AM31" s="146"/>
      <c r="AN31" s="146"/>
      <c r="AO31" s="146"/>
      <c r="AP31" s="146"/>
      <c r="AQ31" s="146"/>
      <c r="AR31" s="146"/>
      <c r="AS31" s="146"/>
      <c r="AT31" s="146"/>
      <c r="AU31" s="146"/>
      <c r="AV31" s="146"/>
      <c r="AW31" s="146"/>
      <c r="AX31" s="146"/>
      <c r="AY31" s="146"/>
      <c r="AZ31" s="146"/>
      <c r="BA31" s="146"/>
      <c r="BB31" s="146"/>
      <c r="BC31" s="146"/>
      <c r="BD31" s="146"/>
      <c r="BE31" s="146"/>
      <c r="BF31" s="146"/>
      <c r="BG31" s="146"/>
      <c r="BH31" s="146"/>
      <c r="BI31" s="146"/>
      <c r="BJ31" s="146"/>
      <c r="BK31" s="146"/>
      <c r="BL31" s="146"/>
      <c r="BM31" s="146"/>
      <c r="BN31" s="146"/>
      <c r="BO31" s="146"/>
      <c r="BP31" s="146"/>
      <c r="BQ31" s="146"/>
      <c r="BR31" s="146"/>
      <c r="BS31" s="146"/>
      <c r="BT31" s="146"/>
      <c r="BU31" s="146"/>
      <c r="BV31" s="146"/>
      <c r="BW31" s="146"/>
      <c r="BX31" s="146"/>
      <c r="BY31" s="146"/>
      <c r="BZ31" s="146"/>
      <c r="CA31" s="146"/>
      <c r="CB31" s="146"/>
      <c r="CC31" s="146"/>
      <c r="CD31" s="146"/>
      <c r="CE31" s="146"/>
      <c r="CF31" s="146"/>
      <c r="CG31" s="146"/>
      <c r="CH31" s="146"/>
      <c r="CI31" s="146"/>
      <c r="CJ31" s="146"/>
      <c r="CK31" s="146"/>
      <c r="CL31" s="146"/>
      <c r="CM31" s="146"/>
      <c r="CN31" s="146"/>
      <c r="CO31" s="146"/>
      <c r="CP31" s="146"/>
      <c r="CQ31" s="146"/>
      <c r="CR31" s="146"/>
      <c r="CS31" s="146"/>
      <c r="CT31" s="146"/>
      <c r="CU31" s="146"/>
      <c r="CV31" s="146"/>
      <c r="CW31" s="146"/>
      <c r="CX31" s="146"/>
      <c r="CY31" s="146"/>
      <c r="CZ31" s="146"/>
      <c r="DA31" s="146"/>
      <c r="DB31" s="146"/>
      <c r="DC31" s="146"/>
      <c r="DD31" s="146"/>
      <c r="DE31" s="146"/>
      <c r="DF31" s="146"/>
      <c r="DG31" s="146"/>
      <c r="DH31" s="146"/>
      <c r="DI31" s="146"/>
      <c r="DJ31" s="146"/>
      <c r="DK31" s="146"/>
      <c r="DL31" s="146"/>
      <c r="DM31" s="146"/>
      <c r="DN31" s="146"/>
      <c r="DO31" s="146"/>
      <c r="DP31" s="146"/>
      <c r="DQ31" s="146"/>
      <c r="DR31" s="146"/>
      <c r="DS31" s="146"/>
      <c r="DT31" s="146"/>
      <c r="DU31" s="146"/>
      <c r="DV31" s="146"/>
      <c r="DW31" s="146"/>
      <c r="DX31" s="146"/>
      <c r="DY31" s="146"/>
      <c r="DZ31" s="146"/>
      <c r="EA31" s="146"/>
      <c r="EB31" s="146"/>
      <c r="EC31" s="146"/>
      <c r="ED31" s="146"/>
      <c r="EE31" s="146"/>
      <c r="EF31" s="146"/>
      <c r="EG31" s="146"/>
      <c r="EH31" s="146"/>
      <c r="EI31" s="146"/>
      <c r="EJ31" s="146"/>
      <c r="EK31" s="146"/>
      <c r="EL31" s="146"/>
      <c r="EM31" s="146"/>
      <c r="EN31" s="146"/>
      <c r="EO31" s="146"/>
      <c r="EP31" s="146"/>
      <c r="EQ31" s="146"/>
      <c r="ER31" s="146"/>
      <c r="ES31" s="146"/>
      <c r="ET31" s="146"/>
      <c r="EU31" s="146"/>
      <c r="EV31" s="146"/>
      <c r="EW31" s="146"/>
      <c r="EX31" s="146"/>
      <c r="EY31" s="146"/>
      <c r="EZ31" s="146"/>
      <c r="FA31" s="146"/>
      <c r="FB31" s="146"/>
      <c r="FC31" s="146"/>
      <c r="FD31" s="146"/>
      <c r="FE31" s="146"/>
      <c r="FF31" s="146"/>
      <c r="FG31" s="146"/>
      <c r="FH31" s="146"/>
      <c r="FI31" s="146"/>
      <c r="FJ31" s="146"/>
      <c r="FK31" s="146"/>
      <c r="FL31" s="146"/>
      <c r="FM31" s="146"/>
      <c r="FN31" s="146"/>
      <c r="FO31" s="146"/>
      <c r="FP31" s="146"/>
      <c r="FQ31" s="146"/>
      <c r="FR31" s="146"/>
      <c r="FS31" s="146"/>
      <c r="FT31" s="146"/>
      <c r="FU31" s="146"/>
      <c r="FV31" s="146"/>
      <c r="FW31" s="146"/>
      <c r="FX31" s="146"/>
      <c r="FY31" s="146"/>
      <c r="FZ31" s="146"/>
      <c r="GA31" s="146"/>
      <c r="GB31" s="146"/>
      <c r="GC31" s="146"/>
      <c r="GD31" s="146"/>
      <c r="GE31" s="146"/>
      <c r="GF31" s="146"/>
      <c r="GG31" s="146"/>
      <c r="GH31" s="146"/>
      <c r="GI31" s="146"/>
      <c r="GJ31" s="146"/>
      <c r="GK31" s="146"/>
      <c r="GL31" s="146"/>
      <c r="GM31" s="146"/>
      <c r="GN31" s="146"/>
      <c r="GO31" s="146"/>
      <c r="GP31" s="146"/>
      <c r="GQ31" s="146"/>
      <c r="GR31" s="146"/>
      <c r="GS31" s="146"/>
      <c r="GT31" s="146"/>
      <c r="GU31" s="146"/>
      <c r="GV31" s="146"/>
      <c r="GW31" s="146"/>
      <c r="GX31" s="146"/>
      <c r="GY31" s="146"/>
      <c r="GZ31" s="146"/>
      <c r="HA31" s="146"/>
      <c r="HB31" s="146"/>
      <c r="HC31" s="146"/>
      <c r="HD31" s="146"/>
      <c r="HE31" s="146"/>
      <c r="HF31" s="146"/>
      <c r="HG31" s="146"/>
      <c r="HH31" s="146"/>
      <c r="HI31" s="146"/>
      <c r="HJ31" s="146"/>
      <c r="HK31" s="146"/>
      <c r="HL31" s="146"/>
      <c r="HM31" s="146"/>
      <c r="HN31" s="146"/>
      <c r="HO31" s="146"/>
      <c r="HP31" s="146"/>
      <c r="HQ31" s="146"/>
      <c r="HR31" s="146"/>
      <c r="HS31" s="146"/>
      <c r="HT31" s="146"/>
      <c r="HU31" s="146"/>
      <c r="HV31" s="146"/>
      <c r="HW31" s="146"/>
      <c r="HX31" s="146"/>
      <c r="HY31" s="146"/>
      <c r="HZ31" s="146"/>
      <c r="IA31" s="146"/>
      <c r="IB31" s="146"/>
      <c r="IC31" s="146"/>
      <c r="ID31" s="146"/>
      <c r="IE31" s="146"/>
      <c r="IF31" s="146"/>
      <c r="IG31" s="146"/>
      <c r="IH31" s="146"/>
      <c r="II31" s="146"/>
      <c r="IJ31" s="146"/>
      <c r="IK31" s="146"/>
      <c r="IL31" s="146"/>
      <c r="IM31" s="146"/>
      <c r="IN31" s="146"/>
      <c r="IO31" s="146"/>
    </row>
    <row r="32" spans="1:249" s="6" customFormat="1" ht="14.1" customHeight="1" x14ac:dyDescent="0.25">
      <c r="A32" s="146"/>
      <c r="B32" s="35" t="s">
        <v>43</v>
      </c>
      <c r="C32" s="1"/>
      <c r="D32" s="42" t="s">
        <v>44</v>
      </c>
      <c r="E32" s="36" t="s">
        <v>44</v>
      </c>
      <c r="F32" s="36" t="s">
        <v>44</v>
      </c>
      <c r="G32" s="165" t="s">
        <v>44</v>
      </c>
      <c r="H32" s="165" t="s">
        <v>44</v>
      </c>
      <c r="I32" s="165" t="s">
        <v>44</v>
      </c>
      <c r="J32" s="432"/>
      <c r="K32" s="433"/>
      <c r="L32" s="291"/>
      <c r="M32" s="291"/>
      <c r="N32" s="146"/>
      <c r="O32" s="146"/>
      <c r="P32" s="146"/>
      <c r="Q32" s="146"/>
      <c r="R32" s="146"/>
      <c r="S32" s="146"/>
      <c r="T32" s="146"/>
      <c r="U32" s="146"/>
      <c r="V32" s="146"/>
      <c r="W32" s="146"/>
      <c r="X32" s="146"/>
      <c r="Y32" s="146"/>
      <c r="Z32" s="146"/>
      <c r="AA32" s="146"/>
      <c r="AB32" s="146"/>
      <c r="AC32" s="146"/>
      <c r="AD32" s="146"/>
      <c r="AE32" s="146"/>
      <c r="AF32" s="146"/>
      <c r="AG32" s="146"/>
      <c r="AH32" s="146"/>
      <c r="AI32" s="146"/>
      <c r="AJ32" s="146"/>
      <c r="AK32" s="146"/>
      <c r="AL32" s="146"/>
      <c r="AM32" s="146"/>
      <c r="AN32" s="146"/>
      <c r="AO32" s="146"/>
      <c r="AP32" s="146"/>
      <c r="AQ32" s="146"/>
      <c r="AR32" s="146"/>
      <c r="AS32" s="146"/>
      <c r="AT32" s="146"/>
      <c r="AU32" s="146"/>
      <c r="AV32" s="146"/>
      <c r="AW32" s="146"/>
      <c r="AX32" s="146"/>
      <c r="AY32" s="146"/>
      <c r="AZ32" s="146"/>
      <c r="BA32" s="146"/>
      <c r="BB32" s="146"/>
      <c r="BC32" s="146"/>
      <c r="BD32" s="146"/>
      <c r="BE32" s="146"/>
      <c r="BF32" s="146"/>
      <c r="BG32" s="146"/>
      <c r="BH32" s="146"/>
      <c r="BI32" s="146"/>
      <c r="BJ32" s="146"/>
      <c r="BK32" s="146"/>
      <c r="BL32" s="146"/>
      <c r="BM32" s="146"/>
      <c r="BN32" s="146"/>
      <c r="BO32" s="146"/>
      <c r="BP32" s="146"/>
      <c r="BQ32" s="146"/>
      <c r="BR32" s="146"/>
      <c r="BS32" s="146"/>
      <c r="BT32" s="146"/>
      <c r="BU32" s="146"/>
      <c r="BV32" s="146"/>
      <c r="BW32" s="146"/>
      <c r="BX32" s="146"/>
      <c r="BY32" s="146"/>
      <c r="BZ32" s="146"/>
      <c r="CA32" s="146"/>
      <c r="CB32" s="146"/>
      <c r="CC32" s="146"/>
      <c r="CD32" s="146"/>
      <c r="CE32" s="146"/>
      <c r="CF32" s="146"/>
      <c r="CG32" s="146"/>
      <c r="CH32" s="146"/>
      <c r="CI32" s="146"/>
      <c r="CJ32" s="146"/>
      <c r="CK32" s="146"/>
      <c r="CL32" s="146"/>
      <c r="CM32" s="146"/>
      <c r="CN32" s="146"/>
      <c r="CO32" s="146"/>
      <c r="CP32" s="146"/>
      <c r="CQ32" s="146"/>
      <c r="CR32" s="146"/>
      <c r="CS32" s="146"/>
      <c r="CT32" s="146"/>
      <c r="CU32" s="146"/>
      <c r="CV32" s="146"/>
      <c r="CW32" s="146"/>
      <c r="CX32" s="146"/>
      <c r="CY32" s="146"/>
      <c r="CZ32" s="146"/>
      <c r="DA32" s="146"/>
      <c r="DB32" s="146"/>
      <c r="DC32" s="146"/>
      <c r="DD32" s="146"/>
      <c r="DE32" s="146"/>
      <c r="DF32" s="146"/>
      <c r="DG32" s="146"/>
      <c r="DH32" s="146"/>
      <c r="DI32" s="146"/>
      <c r="DJ32" s="146"/>
      <c r="DK32" s="146"/>
      <c r="DL32" s="146"/>
      <c r="DM32" s="146"/>
      <c r="DN32" s="146"/>
      <c r="DO32" s="146"/>
      <c r="DP32" s="146"/>
      <c r="DQ32" s="146"/>
      <c r="DR32" s="146"/>
      <c r="DS32" s="146"/>
      <c r="DT32" s="146"/>
      <c r="DU32" s="146"/>
      <c r="DV32" s="146"/>
      <c r="DW32" s="146"/>
      <c r="DX32" s="146"/>
      <c r="DY32" s="146"/>
      <c r="DZ32" s="146"/>
      <c r="EA32" s="146"/>
      <c r="EB32" s="146"/>
      <c r="EC32" s="146"/>
      <c r="ED32" s="146"/>
      <c r="EE32" s="146"/>
      <c r="EF32" s="146"/>
      <c r="EG32" s="146"/>
      <c r="EH32" s="146"/>
      <c r="EI32" s="146"/>
      <c r="EJ32" s="146"/>
      <c r="EK32" s="146"/>
      <c r="EL32" s="146"/>
      <c r="EM32" s="146"/>
      <c r="EN32" s="146"/>
      <c r="EO32" s="146"/>
      <c r="EP32" s="146"/>
      <c r="EQ32" s="146"/>
      <c r="ER32" s="146"/>
      <c r="ES32" s="146"/>
      <c r="ET32" s="146"/>
      <c r="EU32" s="146"/>
      <c r="EV32" s="146"/>
      <c r="EW32" s="146"/>
      <c r="EX32" s="146"/>
      <c r="EY32" s="146"/>
      <c r="EZ32" s="146"/>
      <c r="FA32" s="146"/>
      <c r="FB32" s="146"/>
      <c r="FC32" s="146"/>
      <c r="FD32" s="146"/>
      <c r="FE32" s="146"/>
      <c r="FF32" s="146"/>
      <c r="FG32" s="146"/>
      <c r="FH32" s="146"/>
      <c r="FI32" s="146"/>
      <c r="FJ32" s="146"/>
      <c r="FK32" s="146"/>
      <c r="FL32" s="146"/>
      <c r="FM32" s="146"/>
      <c r="FN32" s="146"/>
      <c r="FO32" s="146"/>
      <c r="FP32" s="146"/>
      <c r="FQ32" s="146"/>
      <c r="FR32" s="146"/>
      <c r="FS32" s="146"/>
      <c r="FT32" s="146"/>
      <c r="FU32" s="146"/>
      <c r="FV32" s="146"/>
      <c r="FW32" s="146"/>
      <c r="FX32" s="146"/>
      <c r="FY32" s="146"/>
      <c r="FZ32" s="146"/>
      <c r="GA32" s="146"/>
      <c r="GB32" s="146"/>
      <c r="GC32" s="146"/>
      <c r="GD32" s="146"/>
      <c r="GE32" s="146"/>
      <c r="GF32" s="146"/>
      <c r="GG32" s="146"/>
      <c r="GH32" s="146"/>
      <c r="GI32" s="146"/>
      <c r="GJ32" s="146"/>
      <c r="GK32" s="146"/>
      <c r="GL32" s="146"/>
      <c r="GM32" s="146"/>
      <c r="GN32" s="146"/>
      <c r="GO32" s="146"/>
      <c r="GP32" s="146"/>
      <c r="GQ32" s="146"/>
      <c r="GR32" s="146"/>
      <c r="GS32" s="146"/>
      <c r="GT32" s="146"/>
      <c r="GU32" s="146"/>
      <c r="GV32" s="146"/>
      <c r="GW32" s="146"/>
      <c r="GX32" s="146"/>
      <c r="GY32" s="146"/>
      <c r="GZ32" s="146"/>
      <c r="HA32" s="146"/>
      <c r="HB32" s="146"/>
      <c r="HC32" s="146"/>
      <c r="HD32" s="146"/>
      <c r="HE32" s="146"/>
      <c r="HF32" s="146"/>
      <c r="HG32" s="146"/>
      <c r="HH32" s="146"/>
      <c r="HI32" s="146"/>
      <c r="HJ32" s="146"/>
      <c r="HK32" s="146"/>
      <c r="HL32" s="146"/>
      <c r="HM32" s="146"/>
      <c r="HN32" s="146"/>
      <c r="HO32" s="146"/>
      <c r="HP32" s="146"/>
      <c r="HQ32" s="146"/>
      <c r="HR32" s="146"/>
      <c r="HS32" s="146"/>
      <c r="HT32" s="146"/>
      <c r="HU32" s="146"/>
      <c r="HV32" s="146"/>
      <c r="HW32" s="146"/>
      <c r="HX32" s="146"/>
      <c r="HY32" s="146"/>
      <c r="HZ32" s="146"/>
      <c r="IA32" s="146"/>
      <c r="IB32" s="146"/>
      <c r="IC32" s="146"/>
      <c r="ID32" s="146"/>
      <c r="IE32" s="146"/>
      <c r="IF32" s="146"/>
      <c r="IG32" s="146"/>
      <c r="IH32" s="146"/>
      <c r="II32" s="146"/>
      <c r="IJ32" s="146"/>
      <c r="IK32" s="146"/>
      <c r="IL32" s="146"/>
      <c r="IM32" s="146"/>
      <c r="IN32" s="146"/>
      <c r="IO32" s="146"/>
    </row>
    <row r="33" spans="1:249" s="6" customFormat="1" ht="14.1" customHeight="1" x14ac:dyDescent="0.25">
      <c r="A33" s="146"/>
      <c r="B33" s="1"/>
      <c r="C33" s="1"/>
      <c r="D33" s="40"/>
      <c r="E33" s="31"/>
      <c r="F33" s="31"/>
      <c r="G33" s="162"/>
      <c r="H33" s="146"/>
      <c r="I33" s="146"/>
      <c r="J33" s="291"/>
      <c r="K33" s="295"/>
      <c r="L33" s="291"/>
      <c r="M33" s="291"/>
      <c r="N33" s="146"/>
      <c r="O33" s="146"/>
      <c r="P33" s="146"/>
      <c r="Q33" s="146" t="s">
        <v>45</v>
      </c>
      <c r="R33" s="146"/>
      <c r="S33" s="146"/>
      <c r="T33" s="146"/>
      <c r="U33" s="146"/>
      <c r="V33" s="146"/>
      <c r="W33" s="146"/>
      <c r="X33" s="146"/>
      <c r="Y33" s="146"/>
      <c r="Z33" s="146"/>
      <c r="AA33" s="146"/>
      <c r="AB33" s="146"/>
      <c r="AC33" s="146"/>
      <c r="AD33" s="146"/>
      <c r="AE33" s="146"/>
      <c r="AF33" s="146"/>
      <c r="AG33" s="146"/>
      <c r="AH33" s="146"/>
      <c r="AI33" s="146"/>
      <c r="AJ33" s="146"/>
      <c r="AK33" s="146"/>
      <c r="AL33" s="146"/>
      <c r="AM33" s="146"/>
      <c r="AN33" s="146"/>
      <c r="AO33" s="146"/>
      <c r="AP33" s="146"/>
      <c r="AQ33" s="146"/>
      <c r="AR33" s="146"/>
      <c r="AS33" s="146"/>
      <c r="AT33" s="146"/>
      <c r="AU33" s="146"/>
      <c r="AV33" s="146"/>
      <c r="AW33" s="146"/>
      <c r="AX33" s="146"/>
      <c r="AY33" s="146"/>
      <c r="AZ33" s="146"/>
      <c r="BA33" s="146"/>
      <c r="BB33" s="146"/>
      <c r="BC33" s="146"/>
      <c r="BD33" s="146"/>
      <c r="BE33" s="146"/>
      <c r="BF33" s="146"/>
      <c r="BG33" s="146"/>
      <c r="BH33" s="146"/>
      <c r="BI33" s="146"/>
      <c r="BJ33" s="146"/>
      <c r="BK33" s="146"/>
      <c r="BL33" s="146"/>
      <c r="BM33" s="146"/>
      <c r="BN33" s="146"/>
      <c r="BO33" s="146"/>
      <c r="BP33" s="146"/>
      <c r="BQ33" s="146"/>
      <c r="BR33" s="146"/>
      <c r="BS33" s="146"/>
      <c r="BT33" s="146"/>
      <c r="BU33" s="146"/>
      <c r="BV33" s="146"/>
      <c r="BW33" s="146"/>
      <c r="BX33" s="146"/>
      <c r="BY33" s="146"/>
      <c r="BZ33" s="146"/>
      <c r="CA33" s="146"/>
      <c r="CB33" s="146"/>
      <c r="CC33" s="146"/>
      <c r="CD33" s="146"/>
      <c r="CE33" s="146"/>
      <c r="CF33" s="146"/>
      <c r="CG33" s="146"/>
      <c r="CH33" s="146"/>
      <c r="CI33" s="146"/>
      <c r="CJ33" s="146"/>
      <c r="CK33" s="146"/>
      <c r="CL33" s="146"/>
      <c r="CM33" s="146"/>
      <c r="CN33" s="146"/>
      <c r="CO33" s="146"/>
      <c r="CP33" s="146"/>
      <c r="CQ33" s="146"/>
      <c r="CR33" s="146"/>
      <c r="CS33" s="146"/>
      <c r="CT33" s="146"/>
      <c r="CU33" s="146"/>
      <c r="CV33" s="146"/>
      <c r="CW33" s="146"/>
      <c r="CX33" s="146"/>
      <c r="CY33" s="146"/>
      <c r="CZ33" s="146"/>
      <c r="DA33" s="146"/>
      <c r="DB33" s="146"/>
      <c r="DC33" s="146"/>
      <c r="DD33" s="146"/>
      <c r="DE33" s="146"/>
      <c r="DF33" s="146"/>
      <c r="DG33" s="146"/>
      <c r="DH33" s="146"/>
      <c r="DI33" s="146"/>
      <c r="DJ33" s="146"/>
      <c r="DK33" s="146"/>
      <c r="DL33" s="146"/>
      <c r="DM33" s="146"/>
      <c r="DN33" s="146"/>
      <c r="DO33" s="146"/>
      <c r="DP33" s="146"/>
      <c r="DQ33" s="146"/>
      <c r="DR33" s="146"/>
      <c r="DS33" s="146"/>
      <c r="DT33" s="146"/>
      <c r="DU33" s="146"/>
      <c r="DV33" s="146"/>
      <c r="DW33" s="146"/>
      <c r="DX33" s="146"/>
      <c r="DY33" s="146"/>
      <c r="DZ33" s="146"/>
      <c r="EA33" s="146"/>
      <c r="EB33" s="146"/>
      <c r="EC33" s="146"/>
      <c r="ED33" s="146"/>
      <c r="EE33" s="146"/>
      <c r="EF33" s="146"/>
      <c r="EG33" s="146"/>
      <c r="EH33" s="146"/>
      <c r="EI33" s="146"/>
      <c r="EJ33" s="146"/>
      <c r="EK33" s="146"/>
      <c r="EL33" s="146"/>
      <c r="EM33" s="146"/>
      <c r="EN33" s="146"/>
      <c r="EO33" s="146"/>
      <c r="EP33" s="146"/>
      <c r="EQ33" s="146"/>
      <c r="ER33" s="146"/>
      <c r="ES33" s="146"/>
      <c r="ET33" s="146"/>
      <c r="EU33" s="146"/>
      <c r="EV33" s="146"/>
      <c r="EW33" s="146"/>
      <c r="EX33" s="146"/>
      <c r="EY33" s="146"/>
      <c r="EZ33" s="146"/>
      <c r="FA33" s="146"/>
      <c r="FB33" s="146"/>
      <c r="FC33" s="146"/>
      <c r="FD33" s="146"/>
      <c r="FE33" s="146"/>
      <c r="FF33" s="146"/>
      <c r="FG33" s="146"/>
      <c r="FH33" s="146"/>
      <c r="FI33" s="146"/>
      <c r="FJ33" s="146"/>
      <c r="FK33" s="146"/>
      <c r="FL33" s="146"/>
      <c r="FM33" s="146"/>
      <c r="FN33" s="146"/>
      <c r="FO33" s="146"/>
      <c r="FP33" s="146"/>
      <c r="FQ33" s="146"/>
      <c r="FR33" s="146"/>
      <c r="FS33" s="146"/>
      <c r="FT33" s="146"/>
      <c r="FU33" s="146"/>
      <c r="FV33" s="146"/>
      <c r="FW33" s="146"/>
      <c r="FX33" s="146"/>
      <c r="FY33" s="146"/>
      <c r="FZ33" s="146"/>
      <c r="GA33" s="146"/>
      <c r="GB33" s="146"/>
      <c r="GC33" s="146"/>
      <c r="GD33" s="146"/>
      <c r="GE33" s="146"/>
      <c r="GF33" s="146"/>
      <c r="GG33" s="146"/>
      <c r="GH33" s="146"/>
      <c r="GI33" s="146"/>
      <c r="GJ33" s="146"/>
      <c r="GK33" s="146"/>
      <c r="GL33" s="146"/>
      <c r="GM33" s="146"/>
      <c r="GN33" s="146"/>
      <c r="GO33" s="146"/>
      <c r="GP33" s="146"/>
      <c r="GQ33" s="146"/>
      <c r="GR33" s="146"/>
      <c r="GS33" s="146"/>
      <c r="GT33" s="146"/>
      <c r="GU33" s="146"/>
      <c r="GV33" s="146"/>
      <c r="GW33" s="146"/>
      <c r="GX33" s="146"/>
      <c r="GY33" s="146"/>
      <c r="GZ33" s="146"/>
      <c r="HA33" s="146"/>
      <c r="HB33" s="146"/>
      <c r="HC33" s="146"/>
      <c r="HD33" s="146"/>
      <c r="HE33" s="146"/>
      <c r="HF33" s="146"/>
      <c r="HG33" s="146"/>
      <c r="HH33" s="146"/>
      <c r="HI33" s="146"/>
      <c r="HJ33" s="146"/>
      <c r="HK33" s="146"/>
      <c r="HL33" s="146"/>
      <c r="HM33" s="146"/>
      <c r="HN33" s="146"/>
      <c r="HO33" s="146"/>
      <c r="HP33" s="146"/>
      <c r="HQ33" s="146"/>
      <c r="HR33" s="146"/>
      <c r="HS33" s="146"/>
      <c r="HT33" s="146"/>
      <c r="HU33" s="146"/>
      <c r="HV33" s="146"/>
      <c r="HW33" s="146"/>
      <c r="HX33" s="146"/>
      <c r="HY33" s="146"/>
      <c r="HZ33" s="146"/>
      <c r="IA33" s="146"/>
      <c r="IB33" s="146"/>
      <c r="IC33" s="146"/>
      <c r="ID33" s="146"/>
      <c r="IE33" s="146"/>
      <c r="IF33" s="146"/>
      <c r="IG33" s="146"/>
      <c r="IH33" s="146"/>
      <c r="II33" s="146"/>
      <c r="IJ33" s="146"/>
      <c r="IK33" s="146"/>
      <c r="IL33" s="146"/>
      <c r="IM33" s="146"/>
      <c r="IN33" s="146"/>
      <c r="IO33" s="146"/>
    </row>
    <row r="34" spans="1:249" s="1" customFormat="1" ht="14.1" customHeight="1" x14ac:dyDescent="0.25">
      <c r="A34" s="158"/>
      <c r="B34" s="1" t="s">
        <v>19</v>
      </c>
      <c r="D34" s="40">
        <v>20.544372284181453</v>
      </c>
      <c r="E34" s="40">
        <v>104.44393378822997</v>
      </c>
      <c r="F34" s="40">
        <v>9.3384898344070031</v>
      </c>
      <c r="G34" s="40">
        <v>113.78242362263697</v>
      </c>
      <c r="H34" s="40">
        <v>0.13683502776810874</v>
      </c>
      <c r="I34" s="40">
        <v>113.91925865040508</v>
      </c>
      <c r="J34" s="298"/>
      <c r="K34" s="40"/>
      <c r="L34" s="298"/>
      <c r="M34" s="297"/>
    </row>
    <row r="35" spans="1:249" s="1" customFormat="1" ht="14.1" customHeight="1" x14ac:dyDescent="0.25">
      <c r="A35" s="158"/>
      <c r="D35" s="40"/>
      <c r="E35" s="40"/>
      <c r="F35" s="40"/>
      <c r="G35" s="40"/>
      <c r="H35" s="40"/>
      <c r="J35" s="296"/>
      <c r="K35" s="40"/>
      <c r="L35" s="298"/>
      <c r="M35" s="297"/>
    </row>
    <row r="36" spans="1:249" s="1" customFormat="1" ht="14.1" customHeight="1" x14ac:dyDescent="0.25">
      <c r="A36" s="158"/>
      <c r="B36" s="1" t="s">
        <v>20</v>
      </c>
      <c r="D36" s="40">
        <v>21.187226988158788</v>
      </c>
      <c r="E36" s="40">
        <v>107.71209273749893</v>
      </c>
      <c r="F36" s="40">
        <v>9.3384898344070031</v>
      </c>
      <c r="G36" s="40">
        <v>117.05058257190593</v>
      </c>
      <c r="H36" s="40">
        <v>0.13683502776810874</v>
      </c>
      <c r="I36" s="40">
        <v>117.18741759967405</v>
      </c>
      <c r="J36" s="298"/>
      <c r="K36" s="40"/>
      <c r="L36" s="298"/>
      <c r="M36" s="297"/>
    </row>
    <row r="37" spans="1:249" s="1" customFormat="1" ht="14.1" customHeight="1" x14ac:dyDescent="0.25">
      <c r="A37" s="158"/>
      <c r="D37" s="40"/>
      <c r="E37" s="40"/>
      <c r="F37" s="40"/>
      <c r="G37" s="210"/>
      <c r="H37" s="210"/>
      <c r="I37" s="210"/>
      <c r="J37" s="331"/>
      <c r="K37" s="40"/>
      <c r="L37" s="298"/>
      <c r="M37" s="297"/>
    </row>
    <row r="38" spans="1:249" s="1" customFormat="1" ht="14.1" customHeight="1" x14ac:dyDescent="0.25">
      <c r="A38" s="158"/>
      <c r="B38" s="1" t="s">
        <v>21</v>
      </c>
      <c r="D38" s="40">
        <v>16.431415362498338</v>
      </c>
      <c r="E38" s="40">
        <v>83.534392505585288</v>
      </c>
      <c r="F38" s="40">
        <v>9.3384898344070031</v>
      </c>
      <c r="G38" s="40">
        <v>92.872882339992287</v>
      </c>
      <c r="H38" s="40">
        <v>0.13683502776810874</v>
      </c>
      <c r="I38" s="40">
        <v>93.009717367760402</v>
      </c>
      <c r="J38" s="298"/>
      <c r="K38" s="40"/>
      <c r="L38" s="298"/>
      <c r="M38" s="297"/>
    </row>
    <row r="39" spans="1:249" s="1" customFormat="1" ht="14.1" customHeight="1" x14ac:dyDescent="0.25">
      <c r="A39" s="158"/>
      <c r="D39" s="40"/>
      <c r="E39" s="40"/>
      <c r="F39" s="40"/>
      <c r="G39" s="210"/>
      <c r="H39" s="210"/>
      <c r="I39" s="210"/>
      <c r="J39" s="331"/>
      <c r="K39" s="40"/>
      <c r="L39" s="298"/>
      <c r="M39" s="297"/>
    </row>
    <row r="40" spans="1:249" s="1" customFormat="1" ht="14.1" customHeight="1" x14ac:dyDescent="0.25">
      <c r="B40" s="33" t="s">
        <v>22</v>
      </c>
      <c r="D40" s="40">
        <v>12.925919162108599</v>
      </c>
      <c r="E40" s="40">
        <v>65.713073460938446</v>
      </c>
      <c r="F40" s="40">
        <v>9.3384898344070031</v>
      </c>
      <c r="G40" s="40">
        <v>75.051563295345446</v>
      </c>
      <c r="H40" s="40">
        <v>0.13683502776810874</v>
      </c>
      <c r="I40" s="40">
        <v>75.18839832311356</v>
      </c>
      <c r="J40" s="298"/>
      <c r="K40" s="40"/>
      <c r="L40" s="298"/>
      <c r="M40" s="297"/>
    </row>
    <row r="41" spans="1:249" s="1" customFormat="1" ht="14.1" customHeight="1" x14ac:dyDescent="0.25">
      <c r="B41" s="33" t="s">
        <v>45</v>
      </c>
      <c r="D41" s="40"/>
      <c r="E41" s="40"/>
      <c r="F41" s="40"/>
      <c r="G41" s="210"/>
      <c r="H41" s="40"/>
      <c r="J41" s="296"/>
      <c r="K41" s="40"/>
      <c r="L41" s="298"/>
      <c r="M41" s="297"/>
    </row>
    <row r="42" spans="1:249" s="6" customFormat="1" ht="14.1" customHeight="1" x14ac:dyDescent="0.25">
      <c r="A42" s="146"/>
      <c r="B42" s="33" t="s">
        <v>23</v>
      </c>
      <c r="C42" s="146"/>
      <c r="D42" s="40">
        <v>8.2198460836608085</v>
      </c>
      <c r="E42" s="40">
        <v>41.788235154419397</v>
      </c>
      <c r="F42" s="40">
        <v>9.3384898344070031</v>
      </c>
      <c r="G42" s="40">
        <v>51.126724988826396</v>
      </c>
      <c r="H42" s="40">
        <v>0.13683502776810874</v>
      </c>
      <c r="I42" s="40">
        <v>51.263560016594504</v>
      </c>
      <c r="J42" s="298"/>
      <c r="K42" s="40"/>
      <c r="L42" s="298"/>
      <c r="M42" s="297"/>
      <c r="N42" s="146"/>
      <c r="O42" s="146"/>
      <c r="P42" s="146"/>
      <c r="Q42" s="146"/>
      <c r="R42" s="146"/>
      <c r="S42" s="146"/>
      <c r="T42" s="146"/>
      <c r="U42" s="146"/>
      <c r="V42" s="146"/>
      <c r="W42" s="146"/>
      <c r="X42" s="146"/>
      <c r="Y42" s="146"/>
      <c r="Z42" s="146"/>
      <c r="AA42" s="146"/>
      <c r="AB42" s="146"/>
      <c r="AC42" s="146"/>
      <c r="AD42" s="146"/>
      <c r="AE42" s="146"/>
      <c r="AF42" s="146"/>
      <c r="AG42" s="146"/>
      <c r="AH42" s="146"/>
      <c r="AI42" s="146"/>
      <c r="AJ42" s="146"/>
      <c r="AK42" s="146"/>
      <c r="AL42" s="146"/>
      <c r="AM42" s="146"/>
      <c r="AN42" s="146"/>
      <c r="AO42" s="146"/>
      <c r="AP42" s="146"/>
      <c r="AQ42" s="146"/>
      <c r="AR42" s="146"/>
      <c r="AS42" s="146"/>
      <c r="AT42" s="146"/>
      <c r="AU42" s="146"/>
      <c r="AV42" s="146"/>
      <c r="AW42" s="146"/>
      <c r="AX42" s="146"/>
      <c r="AY42" s="146"/>
      <c r="AZ42" s="146"/>
      <c r="BA42" s="146"/>
      <c r="BB42" s="146"/>
      <c r="BC42" s="146"/>
      <c r="BD42" s="146"/>
      <c r="BE42" s="146"/>
      <c r="BF42" s="146"/>
      <c r="BG42" s="146"/>
      <c r="BH42" s="146"/>
      <c r="BI42" s="146"/>
      <c r="BJ42" s="146"/>
      <c r="BK42" s="146"/>
      <c r="BL42" s="146"/>
      <c r="BM42" s="146"/>
      <c r="BN42" s="146"/>
      <c r="BO42" s="146"/>
      <c r="BP42" s="146"/>
      <c r="BQ42" s="146"/>
      <c r="BR42" s="146"/>
      <c r="BS42" s="146"/>
      <c r="BT42" s="146"/>
      <c r="BU42" s="146"/>
      <c r="BV42" s="146"/>
      <c r="BW42" s="146"/>
      <c r="BX42" s="146"/>
      <c r="BY42" s="146"/>
      <c r="BZ42" s="146"/>
      <c r="CA42" s="146"/>
      <c r="CB42" s="146"/>
      <c r="CC42" s="146"/>
      <c r="CD42" s="146"/>
      <c r="CE42" s="146"/>
      <c r="CF42" s="146"/>
      <c r="CG42" s="146"/>
      <c r="CH42" s="146"/>
      <c r="CI42" s="146"/>
      <c r="CJ42" s="146"/>
      <c r="CK42" s="146"/>
      <c r="CL42" s="146"/>
      <c r="CM42" s="146"/>
      <c r="CN42" s="146"/>
      <c r="CO42" s="146"/>
      <c r="CP42" s="146"/>
      <c r="CQ42" s="146"/>
      <c r="CR42" s="146"/>
      <c r="CS42" s="146"/>
      <c r="CT42" s="146"/>
      <c r="CU42" s="146"/>
      <c r="CV42" s="146"/>
      <c r="CW42" s="146"/>
      <c r="CX42" s="146"/>
      <c r="CY42" s="146"/>
      <c r="CZ42" s="146"/>
      <c r="DA42" s="146"/>
      <c r="DB42" s="146"/>
      <c r="DC42" s="146"/>
      <c r="DD42" s="146"/>
      <c r="DE42" s="146"/>
      <c r="DF42" s="146"/>
      <c r="DG42" s="146"/>
      <c r="DH42" s="146"/>
      <c r="DI42" s="146"/>
      <c r="DJ42" s="146"/>
      <c r="DK42" s="146"/>
      <c r="DL42" s="146"/>
      <c r="DM42" s="146"/>
      <c r="DN42" s="146"/>
      <c r="DO42" s="146"/>
      <c r="DP42" s="146"/>
      <c r="DQ42" s="146"/>
      <c r="DR42" s="146"/>
      <c r="DS42" s="146"/>
      <c r="DT42" s="146"/>
      <c r="DU42" s="146"/>
      <c r="DV42" s="146"/>
      <c r="DW42" s="146"/>
      <c r="DX42" s="146"/>
      <c r="DY42" s="146"/>
      <c r="DZ42" s="146"/>
      <c r="EA42" s="146"/>
      <c r="EB42" s="146"/>
      <c r="EC42" s="146"/>
      <c r="ED42" s="146"/>
      <c r="EE42" s="146"/>
      <c r="EF42" s="146"/>
      <c r="EG42" s="146"/>
      <c r="EH42" s="146"/>
      <c r="EI42" s="146"/>
      <c r="EJ42" s="146"/>
      <c r="EK42" s="146"/>
      <c r="EL42" s="146"/>
      <c r="EM42" s="146"/>
      <c r="EN42" s="146"/>
      <c r="EO42" s="146"/>
      <c r="EP42" s="146"/>
      <c r="EQ42" s="146"/>
      <c r="ER42" s="146"/>
      <c r="ES42" s="146"/>
      <c r="ET42" s="146"/>
      <c r="EU42" s="146"/>
      <c r="EV42" s="146"/>
      <c r="EW42" s="146"/>
      <c r="EX42" s="146"/>
      <c r="EY42" s="146"/>
      <c r="EZ42" s="146"/>
      <c r="FA42" s="146"/>
      <c r="FB42" s="146"/>
      <c r="FC42" s="146"/>
      <c r="FD42" s="146"/>
      <c r="FE42" s="146"/>
      <c r="FF42" s="146"/>
      <c r="FG42" s="146"/>
      <c r="FH42" s="146"/>
      <c r="FI42" s="146"/>
      <c r="FJ42" s="146"/>
      <c r="FK42" s="146"/>
      <c r="FL42" s="146"/>
      <c r="FM42" s="146"/>
      <c r="FN42" s="146"/>
      <c r="FO42" s="146"/>
      <c r="FP42" s="146"/>
      <c r="FQ42" s="146"/>
      <c r="FR42" s="146"/>
      <c r="FS42" s="146"/>
      <c r="FT42" s="146"/>
      <c r="FU42" s="146"/>
      <c r="FV42" s="146"/>
      <c r="FW42" s="146"/>
      <c r="FX42" s="146"/>
      <c r="FY42" s="146"/>
      <c r="FZ42" s="146"/>
      <c r="GA42" s="146"/>
      <c r="GB42" s="146"/>
      <c r="GC42" s="146"/>
      <c r="GD42" s="146"/>
      <c r="GE42" s="146"/>
      <c r="GF42" s="146"/>
      <c r="GG42" s="146"/>
      <c r="GH42" s="146"/>
      <c r="GI42" s="146"/>
      <c r="GJ42" s="146"/>
      <c r="GK42" s="146"/>
      <c r="GL42" s="146"/>
      <c r="GM42" s="146"/>
      <c r="GN42" s="146"/>
      <c r="GO42" s="146"/>
      <c r="GP42" s="146"/>
      <c r="GQ42" s="146"/>
      <c r="GR42" s="146"/>
      <c r="GS42" s="146"/>
      <c r="GT42" s="146"/>
      <c r="GU42" s="146"/>
      <c r="GV42" s="146"/>
      <c r="GW42" s="146"/>
      <c r="GX42" s="146"/>
      <c r="GY42" s="146"/>
      <c r="GZ42" s="146"/>
      <c r="HA42" s="146"/>
      <c r="HB42" s="146"/>
      <c r="HC42" s="146"/>
      <c r="HD42" s="146"/>
      <c r="HE42" s="146"/>
      <c r="HF42" s="146"/>
      <c r="HG42" s="146"/>
      <c r="HH42" s="146"/>
      <c r="HI42" s="146"/>
      <c r="HJ42" s="146"/>
      <c r="HK42" s="146"/>
      <c r="HL42" s="146"/>
      <c r="HM42" s="146"/>
      <c r="HN42" s="146"/>
      <c r="HO42" s="146"/>
      <c r="HP42" s="146"/>
      <c r="HQ42" s="146"/>
      <c r="HR42" s="146"/>
      <c r="HS42" s="146"/>
      <c r="HT42" s="146"/>
      <c r="HU42" s="146"/>
      <c r="HV42" s="146"/>
      <c r="HW42" s="146"/>
      <c r="HX42" s="146"/>
      <c r="HY42" s="146"/>
      <c r="HZ42" s="146"/>
      <c r="IA42" s="146"/>
      <c r="IB42" s="146"/>
      <c r="IC42" s="146"/>
      <c r="ID42" s="146"/>
      <c r="IE42" s="146"/>
      <c r="IF42" s="146"/>
      <c r="IG42" s="146"/>
      <c r="IH42" s="146"/>
      <c r="II42" s="146"/>
      <c r="IJ42" s="146"/>
      <c r="IK42" s="146"/>
      <c r="IL42" s="146"/>
      <c r="IM42" s="146"/>
      <c r="IN42" s="146"/>
      <c r="IO42" s="146"/>
    </row>
    <row r="43" spans="1:249" s="6" customFormat="1" ht="14.1" customHeight="1" thickBot="1" x14ac:dyDescent="0.3">
      <c r="A43" s="351"/>
      <c r="B43" s="166"/>
      <c r="C43" s="351"/>
      <c r="D43" s="167"/>
      <c r="E43" s="167"/>
      <c r="F43" s="167"/>
      <c r="G43" s="167"/>
      <c r="H43" s="167"/>
      <c r="I43" s="167"/>
      <c r="J43" s="321"/>
      <c r="K43" s="291"/>
      <c r="L43" s="291"/>
      <c r="M43" s="291"/>
      <c r="N43" s="146"/>
      <c r="O43" s="146"/>
      <c r="P43" s="146"/>
      <c r="Q43" s="146"/>
      <c r="R43" s="146"/>
      <c r="S43" s="146"/>
      <c r="T43" s="146"/>
      <c r="U43" s="146"/>
      <c r="V43" s="146"/>
      <c r="W43" s="146"/>
      <c r="X43" s="146"/>
      <c r="Y43" s="146"/>
      <c r="Z43" s="146"/>
      <c r="AA43" s="146"/>
      <c r="AB43" s="146"/>
      <c r="AC43" s="146"/>
      <c r="AD43" s="146"/>
      <c r="AE43" s="146"/>
      <c r="AF43" s="146"/>
      <c r="AG43" s="146"/>
      <c r="AH43" s="146"/>
      <c r="AI43" s="146"/>
      <c r="AJ43" s="146"/>
      <c r="AK43" s="146"/>
      <c r="AL43" s="146"/>
      <c r="AM43" s="146"/>
      <c r="AN43" s="146"/>
      <c r="AO43" s="146"/>
      <c r="AP43" s="146"/>
      <c r="AQ43" s="146"/>
      <c r="AR43" s="146"/>
      <c r="AS43" s="146"/>
      <c r="AT43" s="146"/>
      <c r="AU43" s="146"/>
      <c r="AV43" s="146"/>
      <c r="AW43" s="146"/>
      <c r="AX43" s="146"/>
      <c r="AY43" s="146"/>
      <c r="AZ43" s="146"/>
      <c r="BA43" s="146"/>
      <c r="BB43" s="146"/>
      <c r="BC43" s="146"/>
      <c r="BD43" s="146"/>
      <c r="BE43" s="146"/>
      <c r="BF43" s="146"/>
      <c r="BG43" s="146"/>
      <c r="BH43" s="146"/>
      <c r="BI43" s="146"/>
      <c r="BJ43" s="146"/>
      <c r="BK43" s="146"/>
      <c r="BL43" s="146"/>
      <c r="BM43" s="146"/>
      <c r="BN43" s="146"/>
      <c r="BO43" s="146"/>
      <c r="BP43" s="146"/>
      <c r="BQ43" s="146"/>
      <c r="BR43" s="146"/>
      <c r="BS43" s="146"/>
      <c r="BT43" s="146"/>
      <c r="BU43" s="146"/>
      <c r="BV43" s="146"/>
      <c r="BW43" s="146"/>
      <c r="BX43" s="146"/>
      <c r="BY43" s="146"/>
      <c r="BZ43" s="146"/>
      <c r="CA43" s="146"/>
      <c r="CB43" s="146"/>
      <c r="CC43" s="146"/>
      <c r="CD43" s="146"/>
      <c r="CE43" s="146"/>
      <c r="CF43" s="146"/>
      <c r="CG43" s="146"/>
      <c r="CH43" s="146"/>
      <c r="CI43" s="146"/>
      <c r="CJ43" s="146"/>
      <c r="CK43" s="146"/>
      <c r="CL43" s="146"/>
      <c r="CM43" s="146"/>
      <c r="CN43" s="146"/>
      <c r="CO43" s="146"/>
      <c r="CP43" s="146"/>
      <c r="CQ43" s="146"/>
      <c r="CR43" s="146"/>
      <c r="CS43" s="146"/>
      <c r="CT43" s="146"/>
      <c r="CU43" s="146"/>
      <c r="CV43" s="146"/>
      <c r="CW43" s="146"/>
      <c r="CX43" s="146"/>
      <c r="CY43" s="146"/>
      <c r="CZ43" s="146"/>
      <c r="DA43" s="146"/>
      <c r="DB43" s="146"/>
      <c r="DC43" s="146"/>
      <c r="DD43" s="146"/>
      <c r="DE43" s="146"/>
      <c r="DF43" s="146"/>
      <c r="DG43" s="146"/>
      <c r="DH43" s="146"/>
      <c r="DI43" s="146"/>
      <c r="DJ43" s="146"/>
      <c r="DK43" s="146"/>
      <c r="DL43" s="146"/>
      <c r="DM43" s="146"/>
      <c r="DN43" s="146"/>
      <c r="DO43" s="146"/>
      <c r="DP43" s="146"/>
      <c r="DQ43" s="146"/>
      <c r="DR43" s="146"/>
      <c r="DS43" s="146"/>
      <c r="DT43" s="146"/>
      <c r="DU43" s="146"/>
      <c r="DV43" s="146"/>
      <c r="DW43" s="146"/>
      <c r="DX43" s="146"/>
      <c r="DY43" s="146"/>
      <c r="DZ43" s="146"/>
      <c r="EA43" s="146"/>
      <c r="EB43" s="146"/>
      <c r="EC43" s="146"/>
      <c r="ED43" s="146"/>
      <c r="EE43" s="146"/>
      <c r="EF43" s="146"/>
      <c r="EG43" s="146"/>
      <c r="EH43" s="146"/>
      <c r="EI43" s="146"/>
      <c r="EJ43" s="146"/>
      <c r="EK43" s="146"/>
      <c r="EL43" s="146"/>
      <c r="EM43" s="146"/>
      <c r="EN43" s="146"/>
      <c r="EO43" s="146"/>
      <c r="EP43" s="146"/>
      <c r="EQ43" s="146"/>
      <c r="ER43" s="146"/>
      <c r="ES43" s="146"/>
      <c r="ET43" s="146"/>
      <c r="EU43" s="146"/>
      <c r="EV43" s="146"/>
      <c r="EW43" s="146"/>
      <c r="EX43" s="146"/>
      <c r="EY43" s="146"/>
      <c r="EZ43" s="146"/>
      <c r="FA43" s="146"/>
      <c r="FB43" s="146"/>
      <c r="FC43" s="146"/>
      <c r="FD43" s="146"/>
      <c r="FE43" s="146"/>
      <c r="FF43" s="146"/>
      <c r="FG43" s="146"/>
      <c r="FH43" s="146"/>
      <c r="FI43" s="146"/>
      <c r="FJ43" s="146"/>
      <c r="FK43" s="146"/>
      <c r="FL43" s="146"/>
      <c r="FM43" s="146"/>
      <c r="FN43" s="146"/>
      <c r="FO43" s="146"/>
      <c r="FP43" s="146"/>
      <c r="FQ43" s="146"/>
      <c r="FR43" s="146"/>
      <c r="FS43" s="146"/>
      <c r="FT43" s="146"/>
      <c r="FU43" s="146"/>
      <c r="FV43" s="146"/>
      <c r="FW43" s="146"/>
      <c r="FX43" s="146"/>
      <c r="FY43" s="146"/>
      <c r="FZ43" s="146"/>
      <c r="GA43" s="146"/>
      <c r="GB43" s="146"/>
      <c r="GC43" s="146"/>
      <c r="GD43" s="146"/>
      <c r="GE43" s="146"/>
      <c r="GF43" s="146"/>
      <c r="GG43" s="146"/>
      <c r="GH43" s="146"/>
      <c r="GI43" s="146"/>
      <c r="GJ43" s="146"/>
      <c r="GK43" s="146"/>
      <c r="GL43" s="146"/>
      <c r="GM43" s="146"/>
      <c r="GN43" s="146"/>
      <c r="GO43" s="146"/>
      <c r="GP43" s="146"/>
      <c r="GQ43" s="146"/>
      <c r="GR43" s="146"/>
      <c r="GS43" s="146"/>
      <c r="GT43" s="146"/>
      <c r="GU43" s="146"/>
      <c r="GV43" s="146"/>
      <c r="GW43" s="146"/>
      <c r="GX43" s="146"/>
      <c r="GY43" s="146"/>
      <c r="GZ43" s="146"/>
      <c r="HA43" s="146"/>
      <c r="HB43" s="146"/>
      <c r="HC43" s="146"/>
      <c r="HD43" s="146"/>
      <c r="HE43" s="146"/>
      <c r="HF43" s="146"/>
      <c r="HG43" s="146"/>
      <c r="HH43" s="146"/>
      <c r="HI43" s="146"/>
      <c r="HJ43" s="146"/>
      <c r="HK43" s="146"/>
      <c r="HL43" s="146"/>
      <c r="HM43" s="146"/>
      <c r="HN43" s="146"/>
      <c r="HO43" s="146"/>
      <c r="HP43" s="146"/>
      <c r="HQ43" s="146"/>
      <c r="HR43" s="146"/>
      <c r="HS43" s="146"/>
      <c r="HT43" s="146"/>
      <c r="HU43" s="146"/>
      <c r="HV43" s="146"/>
      <c r="HW43" s="146"/>
      <c r="HX43" s="146"/>
      <c r="HY43" s="146"/>
      <c r="HZ43" s="146"/>
      <c r="IA43" s="146"/>
      <c r="IB43" s="146"/>
      <c r="IC43" s="146"/>
      <c r="ID43" s="146"/>
      <c r="IE43" s="146"/>
      <c r="IF43" s="146"/>
      <c r="IG43" s="146"/>
      <c r="IH43" s="146"/>
      <c r="II43" s="146"/>
      <c r="IJ43" s="146"/>
      <c r="IK43" s="146"/>
      <c r="IL43" s="146"/>
      <c r="IM43" s="146"/>
      <c r="IN43" s="146"/>
      <c r="IO43" s="146"/>
    </row>
    <row r="44" spans="1:249" ht="14.1" customHeight="1" x14ac:dyDescent="0.2"/>
    <row r="45" spans="1:249" ht="14.1" customHeight="1" x14ac:dyDescent="0.25">
      <c r="A45" s="311" t="s">
        <v>46</v>
      </c>
    </row>
    <row r="46" spans="1:249" ht="14.1" customHeight="1" x14ac:dyDescent="0.25">
      <c r="A46" s="172" t="s">
        <v>3</v>
      </c>
      <c r="B46" s="173" t="s">
        <v>47</v>
      </c>
    </row>
    <row r="47" spans="1:249" ht="14.1" customHeight="1" x14ac:dyDescent="0.25">
      <c r="A47" s="172" t="s">
        <v>5</v>
      </c>
      <c r="B47" s="173" t="s">
        <v>48</v>
      </c>
    </row>
    <row r="48" spans="1:249" ht="14.1" customHeight="1" x14ac:dyDescent="0.25">
      <c r="A48" s="172" t="s">
        <v>7</v>
      </c>
      <c r="B48" s="173" t="s">
        <v>49</v>
      </c>
    </row>
    <row r="49" spans="1:13" ht="14.1" customHeight="1" x14ac:dyDescent="0.25">
      <c r="A49" s="172" t="s">
        <v>9</v>
      </c>
      <c r="B49" s="173" t="s">
        <v>50</v>
      </c>
    </row>
    <row r="50" spans="1:13" ht="14.1" customHeight="1" x14ac:dyDescent="0.25">
      <c r="A50" s="172" t="s">
        <v>11</v>
      </c>
      <c r="B50" s="173" t="s">
        <v>51</v>
      </c>
    </row>
    <row r="51" spans="1:13" ht="14.1" customHeight="1" x14ac:dyDescent="0.25">
      <c r="A51" s="172" t="s">
        <v>12</v>
      </c>
      <c r="B51" s="173" t="s">
        <v>52</v>
      </c>
    </row>
    <row r="52" spans="1:13" ht="14.1" customHeight="1" x14ac:dyDescent="0.25">
      <c r="A52" s="172" t="s">
        <v>13</v>
      </c>
      <c r="B52" s="173" t="s">
        <v>53</v>
      </c>
    </row>
    <row r="53" spans="1:13" ht="14.1" customHeight="1" x14ac:dyDescent="0.25">
      <c r="A53" s="172" t="s">
        <v>24</v>
      </c>
      <c r="B53" s="173" t="s">
        <v>54</v>
      </c>
      <c r="G53" s="208"/>
    </row>
    <row r="54" spans="1:13" ht="14.1" customHeight="1" x14ac:dyDescent="0.25">
      <c r="A54" s="172" t="s">
        <v>27</v>
      </c>
      <c r="B54" s="173" t="s">
        <v>55</v>
      </c>
      <c r="G54" s="208"/>
    </row>
    <row r="55" spans="1:13" ht="14.1" customHeight="1" x14ac:dyDescent="0.25">
      <c r="A55" s="172" t="s">
        <v>30</v>
      </c>
      <c r="B55" s="173" t="s">
        <v>51</v>
      </c>
    </row>
    <row r="56" spans="1:13" ht="14.1" customHeight="1" x14ac:dyDescent="0.25">
      <c r="A56" s="172" t="s">
        <v>31</v>
      </c>
      <c r="B56" s="173" t="s">
        <v>56</v>
      </c>
      <c r="F56" s="209"/>
      <c r="G56" s="40"/>
    </row>
    <row r="57" spans="1:13" ht="14.1" customHeight="1" x14ac:dyDescent="0.25">
      <c r="A57" s="172" t="s">
        <v>32</v>
      </c>
      <c r="B57" s="173" t="s">
        <v>5</v>
      </c>
      <c r="F57" s="209"/>
      <c r="G57" s="40"/>
    </row>
    <row r="58" spans="1:13" s="173" customFormat="1" ht="14.1" customHeight="1" x14ac:dyDescent="0.25">
      <c r="A58" s="172" t="s">
        <v>33</v>
      </c>
      <c r="B58" s="173" t="s">
        <v>57</v>
      </c>
      <c r="D58" s="236"/>
      <c r="E58" s="237"/>
      <c r="F58" s="208"/>
      <c r="G58" s="208"/>
      <c r="J58" s="325"/>
      <c r="K58" s="294"/>
      <c r="L58" s="294"/>
      <c r="M58" s="294"/>
    </row>
    <row r="59" spans="1:13" s="173" customFormat="1" ht="14.1" customHeight="1" x14ac:dyDescent="0.25">
      <c r="A59" s="172" t="s">
        <v>34</v>
      </c>
      <c r="B59" s="173" t="s">
        <v>7</v>
      </c>
      <c r="D59" s="236"/>
      <c r="E59" s="237"/>
      <c r="F59" s="208"/>
      <c r="G59" s="208"/>
      <c r="J59" s="325"/>
      <c r="K59" s="294"/>
      <c r="L59" s="294"/>
      <c r="M59" s="294"/>
    </row>
    <row r="60" spans="1:13" ht="14.1" customHeight="1" x14ac:dyDescent="0.25">
      <c r="A60" s="172" t="s">
        <v>35</v>
      </c>
      <c r="B60" s="235" t="s">
        <v>58</v>
      </c>
    </row>
    <row r="61" spans="1:13" ht="14.1" customHeight="1" x14ac:dyDescent="0.25">
      <c r="A61" s="172"/>
      <c r="B61" s="235"/>
    </row>
    <row r="62" spans="1:13" ht="14.1" customHeight="1" x14ac:dyDescent="0.2"/>
    <row r="63" spans="1:13" ht="14.1" customHeight="1" x14ac:dyDescent="0.2"/>
    <row r="64" spans="1:13" ht="14.1" customHeight="1" x14ac:dyDescent="0.2"/>
    <row r="65" spans="3:3" ht="14.1" customHeight="1" x14ac:dyDescent="0.2"/>
    <row r="66" spans="3:3" ht="14.1" customHeight="1" x14ac:dyDescent="0.2">
      <c r="C66" s="308"/>
    </row>
    <row r="67" spans="3:3" ht="14.1" customHeight="1" x14ac:dyDescent="0.2"/>
    <row r="68" spans="3:3" ht="14.1" customHeight="1" x14ac:dyDescent="0.2"/>
    <row r="69" spans="3:3" ht="14.1" customHeight="1" x14ac:dyDescent="0.2"/>
    <row r="70" spans="3:3" ht="14.1" customHeight="1" x14ac:dyDescent="0.2"/>
    <row r="71" spans="3:3" ht="14.1" customHeight="1" x14ac:dyDescent="0.2"/>
    <row r="72" spans="3:3" ht="14.1" customHeight="1" x14ac:dyDescent="0.2"/>
    <row r="73" spans="3:3" ht="14.1" customHeight="1" x14ac:dyDescent="0.2"/>
    <row r="74" spans="3:3" ht="14.1" customHeight="1" x14ac:dyDescent="0.2"/>
    <row r="75" spans="3:3" ht="14.1" customHeight="1" x14ac:dyDescent="0.2"/>
    <row r="76" spans="3:3" ht="14.1" customHeight="1" x14ac:dyDescent="0.2"/>
    <row r="77" spans="3:3" ht="14.1" customHeight="1" x14ac:dyDescent="0.2"/>
    <row r="78" spans="3:3" ht="14.1" customHeight="1" x14ac:dyDescent="0.2"/>
    <row r="79" spans="3:3" ht="14.1" customHeight="1" x14ac:dyDescent="0.2"/>
    <row r="80" spans="3:3" ht="14.1" customHeight="1" x14ac:dyDescent="0.2"/>
    <row r="81" ht="14.1" customHeight="1" x14ac:dyDescent="0.2"/>
    <row r="82" ht="14.1" customHeight="1" x14ac:dyDescent="0.2"/>
    <row r="83" ht="14.1" customHeight="1" x14ac:dyDescent="0.2"/>
    <row r="84" ht="14.1" customHeight="1" x14ac:dyDescent="0.2"/>
    <row r="85" ht="14.1" customHeight="1" x14ac:dyDescent="0.2"/>
    <row r="86" ht="14.1" customHeight="1" x14ac:dyDescent="0.2"/>
    <row r="87" ht="14.1" customHeight="1" x14ac:dyDescent="0.2"/>
    <row r="88" ht="14.1" customHeight="1" x14ac:dyDescent="0.2"/>
    <row r="89" ht="14.1" customHeight="1" x14ac:dyDescent="0.2"/>
    <row r="90" ht="14.1" customHeight="1" x14ac:dyDescent="0.2"/>
    <row r="91" ht="14.1" customHeight="1" x14ac:dyDescent="0.2"/>
    <row r="92" ht="14.1" customHeight="1" x14ac:dyDescent="0.2"/>
    <row r="93" ht="14.1" customHeight="1" x14ac:dyDescent="0.2"/>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6.05" customHeight="1" x14ac:dyDescent="0.2"/>
    <row r="121" ht="16.05" customHeight="1" x14ac:dyDescent="0.2"/>
    <row r="122" ht="16.05" customHeight="1" x14ac:dyDescent="0.2"/>
    <row r="123" ht="16.05" customHeight="1" x14ac:dyDescent="0.2"/>
    <row r="124" ht="16.05" customHeight="1" x14ac:dyDescent="0.2"/>
    <row r="125" ht="16.05" customHeight="1" x14ac:dyDescent="0.2"/>
    <row r="126" ht="16.05" customHeight="1" x14ac:dyDescent="0.2"/>
    <row r="127" ht="16.05" customHeight="1" x14ac:dyDescent="0.2"/>
    <row r="128" ht="16.05" customHeight="1" x14ac:dyDescent="0.2"/>
    <row r="129" ht="16.05" customHeight="1" x14ac:dyDescent="0.2"/>
    <row r="130" ht="16.05" customHeight="1" x14ac:dyDescent="0.2"/>
    <row r="131" ht="16.05" customHeight="1" x14ac:dyDescent="0.2"/>
    <row r="132" ht="16.05" customHeight="1" x14ac:dyDescent="0.2"/>
    <row r="133" ht="16.05" customHeight="1" x14ac:dyDescent="0.2"/>
    <row r="134" ht="16.05" customHeight="1" x14ac:dyDescent="0.2"/>
    <row r="135" ht="16.05" customHeight="1" x14ac:dyDescent="0.2"/>
    <row r="136" ht="16.05" customHeight="1" x14ac:dyDescent="0.2"/>
    <row r="137" ht="16.05" customHeight="1" x14ac:dyDescent="0.2"/>
    <row r="138" ht="16.05" customHeight="1" x14ac:dyDescent="0.2"/>
    <row r="139" ht="16.05" customHeight="1" x14ac:dyDescent="0.2"/>
    <row r="140" ht="16.05" customHeight="1" x14ac:dyDescent="0.2"/>
    <row r="141" ht="16.05" customHeight="1" x14ac:dyDescent="0.2"/>
    <row r="142" ht="16.05" customHeight="1" x14ac:dyDescent="0.2"/>
    <row r="143" ht="16.05" customHeight="1" x14ac:dyDescent="0.2"/>
    <row r="144" ht="16.05" customHeight="1" x14ac:dyDescent="0.2"/>
    <row r="145" ht="16.05" customHeight="1" x14ac:dyDescent="0.2"/>
    <row r="146" ht="16.05" customHeight="1" x14ac:dyDescent="0.2"/>
    <row r="147" ht="16.05" customHeight="1" x14ac:dyDescent="0.2"/>
    <row r="148" ht="16.05" customHeight="1" x14ac:dyDescent="0.2"/>
    <row r="149" ht="16.05" customHeight="1" x14ac:dyDescent="0.2"/>
    <row r="150" ht="16.05" customHeight="1" x14ac:dyDescent="0.2"/>
    <row r="151" ht="16.05" customHeight="1" x14ac:dyDescent="0.2"/>
    <row r="152" ht="16.05" customHeight="1" x14ac:dyDescent="0.2"/>
    <row r="153" ht="16.05" customHeight="1" x14ac:dyDescent="0.2"/>
    <row r="154" ht="16.05" customHeight="1" x14ac:dyDescent="0.2"/>
    <row r="155" ht="16.05" customHeight="1" x14ac:dyDescent="0.2"/>
    <row r="156" ht="16.05" customHeight="1" x14ac:dyDescent="0.2"/>
    <row r="157" ht="16.05" customHeight="1" x14ac:dyDescent="0.2"/>
    <row r="158" ht="16.05" customHeight="1" x14ac:dyDescent="0.2"/>
    <row r="159" ht="16.05" customHeight="1" x14ac:dyDescent="0.2"/>
    <row r="160" ht="16.05" customHeight="1" x14ac:dyDescent="0.2"/>
    <row r="161" ht="16.05" customHeight="1" x14ac:dyDescent="0.2"/>
    <row r="162" ht="16.05" customHeight="1" x14ac:dyDescent="0.2"/>
    <row r="163" ht="16.05" customHeight="1" x14ac:dyDescent="0.2"/>
    <row r="164" ht="16.05" customHeight="1" x14ac:dyDescent="0.2"/>
    <row r="165" ht="16.05" customHeight="1" x14ac:dyDescent="0.2"/>
    <row r="166" ht="16.05" customHeight="1" x14ac:dyDescent="0.2"/>
    <row r="167" ht="16.05" customHeight="1" x14ac:dyDescent="0.2"/>
    <row r="168" ht="16.05" customHeight="1" x14ac:dyDescent="0.2"/>
    <row r="169" ht="16.05" customHeight="1" x14ac:dyDescent="0.2"/>
    <row r="170" ht="16.05" customHeight="1" x14ac:dyDescent="0.2"/>
    <row r="171" ht="16.05" customHeight="1" x14ac:dyDescent="0.2"/>
    <row r="172" ht="16.05" customHeight="1" x14ac:dyDescent="0.2"/>
    <row r="173" ht="16.05" customHeight="1" x14ac:dyDescent="0.2"/>
    <row r="174" ht="16.05" customHeight="1" x14ac:dyDescent="0.2"/>
    <row r="175" ht="16.05" customHeight="1" x14ac:dyDescent="0.2"/>
    <row r="176" ht="16.05" customHeight="1" x14ac:dyDescent="0.2"/>
    <row r="177" ht="16.05" customHeight="1" x14ac:dyDescent="0.2"/>
    <row r="178" ht="16.05" customHeight="1" x14ac:dyDescent="0.2"/>
    <row r="179" ht="16.05" customHeight="1" x14ac:dyDescent="0.2"/>
    <row r="180" ht="16.05" customHeight="1" x14ac:dyDescent="0.2"/>
    <row r="181" ht="16.05" customHeight="1" x14ac:dyDescent="0.2"/>
    <row r="182" ht="16.05" customHeight="1" x14ac:dyDescent="0.2"/>
    <row r="183" ht="16.05" customHeight="1" x14ac:dyDescent="0.2"/>
    <row r="184" ht="16.05" customHeight="1" x14ac:dyDescent="0.2"/>
    <row r="185" ht="16.05" customHeight="1" x14ac:dyDescent="0.2"/>
    <row r="186" ht="16.05" customHeight="1" x14ac:dyDescent="0.2"/>
    <row r="187" ht="16.05" customHeight="1" x14ac:dyDescent="0.2"/>
    <row r="188" ht="16.05" customHeight="1" x14ac:dyDescent="0.2"/>
    <row r="189" ht="16.05" customHeight="1" x14ac:dyDescent="0.2"/>
    <row r="190" ht="16.05" customHeight="1" x14ac:dyDescent="0.2"/>
    <row r="191" ht="16.05" customHeight="1" x14ac:dyDescent="0.2"/>
    <row r="192" ht="16.05" customHeight="1" x14ac:dyDescent="0.2"/>
    <row r="193" ht="16.05" customHeight="1" x14ac:dyDescent="0.2"/>
    <row r="194" ht="16.05" customHeight="1" x14ac:dyDescent="0.2"/>
    <row r="195" ht="16.05" customHeight="1" x14ac:dyDescent="0.2"/>
    <row r="196" ht="16.05" customHeight="1" x14ac:dyDescent="0.2"/>
    <row r="197" ht="16.05" customHeight="1" x14ac:dyDescent="0.2"/>
    <row r="198" ht="16.05" customHeight="1" x14ac:dyDescent="0.2"/>
    <row r="199" ht="16.05" customHeight="1" x14ac:dyDescent="0.2"/>
    <row r="200" ht="16.05" customHeight="1" x14ac:dyDescent="0.2"/>
    <row r="201" ht="16.05" customHeight="1" x14ac:dyDescent="0.2"/>
    <row r="202" ht="16.05" customHeight="1" x14ac:dyDescent="0.2"/>
    <row r="203" ht="16.05" customHeight="1" x14ac:dyDescent="0.2"/>
    <row r="204" ht="16.05" customHeight="1" x14ac:dyDescent="0.2"/>
    <row r="205" ht="16.05" customHeight="1" x14ac:dyDescent="0.2"/>
    <row r="206" ht="16.05" customHeight="1" x14ac:dyDescent="0.2"/>
    <row r="207" ht="16.05" customHeight="1" x14ac:dyDescent="0.2"/>
    <row r="208" ht="16.05" customHeight="1" x14ac:dyDescent="0.2"/>
    <row r="209" ht="16.05" customHeight="1" x14ac:dyDescent="0.2"/>
    <row r="210" ht="16.05" customHeight="1" x14ac:dyDescent="0.2"/>
    <row r="211" ht="16.05" customHeight="1" x14ac:dyDescent="0.2"/>
    <row r="212" ht="16.05" customHeight="1" x14ac:dyDescent="0.2"/>
    <row r="213" ht="16.05" customHeight="1" x14ac:dyDescent="0.2"/>
    <row r="214" ht="16.05" customHeight="1" x14ac:dyDescent="0.2"/>
    <row r="215" ht="16.05" customHeight="1" x14ac:dyDescent="0.2"/>
    <row r="216" ht="16.05" customHeight="1" x14ac:dyDescent="0.2"/>
    <row r="217" ht="16.05" customHeight="1" x14ac:dyDescent="0.2"/>
    <row r="218" ht="16.05" customHeight="1" x14ac:dyDescent="0.2"/>
    <row r="219" ht="16.05" customHeight="1" x14ac:dyDescent="0.2"/>
    <row r="220" ht="16.05" customHeight="1" x14ac:dyDescent="0.2"/>
    <row r="221" ht="16.05" customHeight="1" x14ac:dyDescent="0.2"/>
    <row r="222" ht="16.05" customHeight="1" x14ac:dyDescent="0.2"/>
    <row r="223" ht="16.05" customHeight="1" x14ac:dyDescent="0.2"/>
    <row r="224" ht="16.05" customHeight="1" x14ac:dyDescent="0.2"/>
    <row r="225" ht="16.05" customHeight="1" x14ac:dyDescent="0.2"/>
    <row r="226" ht="16.05" customHeight="1" x14ac:dyDescent="0.2"/>
    <row r="227" ht="16.05" customHeight="1" x14ac:dyDescent="0.2"/>
    <row r="228" ht="16.05" customHeight="1" x14ac:dyDescent="0.2"/>
    <row r="229" ht="16.05" customHeight="1" x14ac:dyDescent="0.2"/>
    <row r="230" ht="16.05" customHeight="1" x14ac:dyDescent="0.2"/>
    <row r="231" ht="16.05" customHeight="1" x14ac:dyDescent="0.2"/>
  </sheetData>
  <pageMargins left="0.7" right="0.7" top="0.75" bottom="0.75" header="0.3" footer="0.3"/>
  <pageSetup orientation="portrait" horizontalDpi="300" verticalDpi="0" copies="0" r:id="rId1"/>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FFFF00"/>
    <pageSetUpPr fitToPage="1"/>
  </sheetPr>
  <dimension ref="A1:IO231"/>
  <sheetViews>
    <sheetView zoomScale="115" zoomScaleNormal="115" workbookViewId="0">
      <selection sqref="A1:XFD1048576"/>
    </sheetView>
  </sheetViews>
  <sheetFormatPr defaultColWidth="9.21875" defaultRowHeight="11.4" x14ac:dyDescent="0.2"/>
  <cols>
    <col min="1" max="2" width="5.77734375" style="168" customWidth="1"/>
    <col min="3" max="3" width="26.77734375" style="168" customWidth="1"/>
    <col min="4" max="4" width="13.77734375" style="169" customWidth="1"/>
    <col min="5" max="5" width="16" style="170" customWidth="1"/>
    <col min="6" max="6" width="13.77734375" style="171" customWidth="1"/>
    <col min="7" max="7" width="14.77734375" style="171" customWidth="1"/>
    <col min="8" max="8" width="11.5546875" style="168" customWidth="1"/>
    <col min="9" max="9" width="11.21875" style="168" bestFit="1" customWidth="1"/>
    <col min="10" max="10" width="10.21875" style="324" customWidth="1"/>
    <col min="11" max="11" width="22.77734375" style="293" customWidth="1"/>
    <col min="12" max="13" width="9.21875" style="293"/>
    <col min="14" max="16384" width="9.21875" style="168"/>
  </cols>
  <sheetData>
    <row r="1" spans="1:249" s="144" customFormat="1" ht="17.399999999999999" x14ac:dyDescent="0.3">
      <c r="A1" s="46" t="s">
        <v>0</v>
      </c>
      <c r="B1" s="148"/>
      <c r="C1" s="148"/>
      <c r="D1" s="149"/>
      <c r="E1" s="150"/>
      <c r="F1" s="151"/>
      <c r="G1" s="151"/>
      <c r="J1" s="320"/>
      <c r="K1" s="290"/>
      <c r="L1" s="290"/>
      <c r="M1" s="290"/>
    </row>
    <row r="2" spans="1:249" s="144" customFormat="1" ht="15.6" x14ac:dyDescent="0.3">
      <c r="A2" s="52"/>
      <c r="B2" s="148"/>
      <c r="C2" s="148"/>
      <c r="D2" s="149"/>
      <c r="E2" s="150"/>
      <c r="F2" s="151"/>
      <c r="G2" s="151"/>
      <c r="J2" s="320"/>
      <c r="K2" s="290"/>
      <c r="L2" s="290"/>
      <c r="M2" s="290"/>
    </row>
    <row r="3" spans="1:249" s="6" customFormat="1" ht="15.6" x14ac:dyDescent="0.3">
      <c r="A3" s="211"/>
      <c r="B3" s="146"/>
      <c r="C3" s="146"/>
      <c r="D3" s="241"/>
      <c r="E3" s="146"/>
      <c r="F3" s="145"/>
      <c r="G3" s="347"/>
      <c r="H3" s="146"/>
      <c r="I3" s="146"/>
      <c r="J3" s="321"/>
      <c r="K3" s="291"/>
      <c r="L3" s="291"/>
      <c r="M3" s="291"/>
      <c r="N3" s="146"/>
      <c r="O3" s="146"/>
      <c r="P3" s="146"/>
      <c r="Q3" s="146"/>
      <c r="R3" s="146"/>
      <c r="S3" s="146"/>
      <c r="T3" s="146"/>
      <c r="U3" s="146"/>
      <c r="V3" s="146"/>
      <c r="W3" s="146"/>
      <c r="X3" s="146"/>
      <c r="Y3" s="146"/>
      <c r="Z3" s="146"/>
      <c r="AA3" s="146"/>
      <c r="AB3" s="146"/>
      <c r="AC3" s="146"/>
      <c r="AD3" s="146"/>
      <c r="AE3" s="146"/>
      <c r="AF3" s="146"/>
      <c r="AG3" s="146"/>
      <c r="AH3" s="146"/>
      <c r="AI3" s="146"/>
      <c r="AJ3" s="146"/>
      <c r="AK3" s="146"/>
      <c r="AL3" s="146"/>
      <c r="AM3" s="146"/>
      <c r="AN3" s="146"/>
      <c r="AO3" s="146"/>
      <c r="AP3" s="146"/>
      <c r="AQ3" s="146"/>
      <c r="AR3" s="146"/>
      <c r="AS3" s="146"/>
      <c r="AT3" s="146"/>
      <c r="AU3" s="146"/>
      <c r="AV3" s="146"/>
      <c r="AW3" s="146"/>
      <c r="AX3" s="146"/>
      <c r="AY3" s="146"/>
      <c r="AZ3" s="146"/>
      <c r="BA3" s="146"/>
      <c r="BB3" s="146"/>
      <c r="BC3" s="146"/>
      <c r="BD3" s="146"/>
      <c r="BE3" s="146"/>
      <c r="BF3" s="146"/>
      <c r="BG3" s="146"/>
      <c r="BH3" s="146"/>
      <c r="BI3" s="146"/>
      <c r="BJ3" s="146"/>
      <c r="BK3" s="146"/>
      <c r="BL3" s="146"/>
      <c r="BM3" s="146"/>
      <c r="BN3" s="146"/>
      <c r="BO3" s="146"/>
      <c r="BP3" s="146"/>
      <c r="BQ3" s="146"/>
      <c r="BR3" s="146"/>
      <c r="BS3" s="146"/>
      <c r="BT3" s="146"/>
      <c r="BU3" s="146"/>
      <c r="BV3" s="146"/>
      <c r="BW3" s="146"/>
      <c r="BX3" s="146"/>
      <c r="BY3" s="146"/>
      <c r="BZ3" s="146"/>
      <c r="CA3" s="146"/>
      <c r="CB3" s="146"/>
      <c r="CC3" s="146"/>
      <c r="CD3" s="146"/>
      <c r="CE3" s="146"/>
      <c r="CF3" s="146"/>
      <c r="CG3" s="146"/>
      <c r="CH3" s="146"/>
      <c r="CI3" s="146"/>
      <c r="CJ3" s="146"/>
      <c r="CK3" s="146"/>
      <c r="CL3" s="146"/>
      <c r="CM3" s="146"/>
      <c r="CN3" s="146"/>
      <c r="CO3" s="146"/>
      <c r="CP3" s="146"/>
      <c r="CQ3" s="146"/>
      <c r="CR3" s="146"/>
      <c r="CS3" s="146"/>
      <c r="CT3" s="146"/>
      <c r="CU3" s="146"/>
      <c r="CV3" s="146"/>
      <c r="CW3" s="146"/>
      <c r="CX3" s="146"/>
      <c r="CY3" s="146"/>
      <c r="CZ3" s="146"/>
      <c r="DA3" s="146"/>
      <c r="DB3" s="146"/>
      <c r="DC3" s="146"/>
      <c r="DD3" s="146"/>
      <c r="DE3" s="146"/>
      <c r="DF3" s="146"/>
      <c r="DG3" s="146"/>
      <c r="DH3" s="146"/>
      <c r="DI3" s="146"/>
      <c r="DJ3" s="146"/>
      <c r="DK3" s="146"/>
      <c r="DL3" s="146"/>
      <c r="DM3" s="146"/>
      <c r="DN3" s="146"/>
      <c r="DO3" s="146"/>
      <c r="DP3" s="146"/>
      <c r="DQ3" s="146"/>
      <c r="DR3" s="146"/>
      <c r="DS3" s="146"/>
      <c r="DT3" s="146"/>
      <c r="DU3" s="146"/>
      <c r="DV3" s="146"/>
      <c r="DW3" s="146"/>
      <c r="DX3" s="146"/>
      <c r="DY3" s="146"/>
      <c r="DZ3" s="146"/>
      <c r="EA3" s="146"/>
      <c r="EB3" s="146"/>
      <c r="EC3" s="146"/>
      <c r="ED3" s="146"/>
      <c r="EE3" s="146"/>
      <c r="EF3" s="146"/>
      <c r="EG3" s="146"/>
      <c r="EH3" s="146"/>
      <c r="EI3" s="146"/>
      <c r="EJ3" s="146"/>
      <c r="EK3" s="146"/>
      <c r="EL3" s="146"/>
      <c r="EM3" s="146"/>
      <c r="EN3" s="146"/>
      <c r="EO3" s="146"/>
      <c r="EP3" s="146"/>
      <c r="EQ3" s="146"/>
      <c r="ER3" s="146"/>
      <c r="ES3" s="146"/>
      <c r="ET3" s="146"/>
      <c r="EU3" s="146"/>
      <c r="EV3" s="146"/>
      <c r="EW3" s="146"/>
      <c r="EX3" s="146"/>
      <c r="EY3" s="146"/>
      <c r="EZ3" s="146"/>
      <c r="FA3" s="146"/>
      <c r="FB3" s="146"/>
      <c r="FC3" s="146"/>
      <c r="FD3" s="146"/>
      <c r="FE3" s="146"/>
      <c r="FF3" s="146"/>
      <c r="FG3" s="146"/>
      <c r="FH3" s="146"/>
      <c r="FI3" s="146"/>
      <c r="FJ3" s="146"/>
      <c r="FK3" s="146"/>
      <c r="FL3" s="146"/>
      <c r="FM3" s="146"/>
      <c r="FN3" s="146"/>
      <c r="FO3" s="146"/>
      <c r="FP3" s="146"/>
      <c r="FQ3" s="146"/>
      <c r="FR3" s="146"/>
      <c r="FS3" s="146"/>
      <c r="FT3" s="146"/>
      <c r="FU3" s="146"/>
      <c r="FV3" s="146"/>
      <c r="FW3" s="146"/>
      <c r="FX3" s="146"/>
      <c r="FY3" s="146"/>
      <c r="FZ3" s="146"/>
      <c r="GA3" s="146"/>
      <c r="GB3" s="146"/>
      <c r="GC3" s="146"/>
      <c r="GD3" s="146"/>
      <c r="GE3" s="146"/>
      <c r="GF3" s="146"/>
      <c r="GG3" s="146"/>
      <c r="GH3" s="146"/>
      <c r="GI3" s="146"/>
      <c r="GJ3" s="146"/>
      <c r="GK3" s="146"/>
      <c r="GL3" s="146"/>
      <c r="GM3" s="146"/>
      <c r="GN3" s="146"/>
      <c r="GO3" s="146"/>
      <c r="GP3" s="146"/>
      <c r="GQ3" s="146"/>
      <c r="GR3" s="146"/>
      <c r="GS3" s="146"/>
      <c r="GT3" s="146"/>
      <c r="GU3" s="146"/>
      <c r="GV3" s="146"/>
      <c r="GW3" s="146"/>
      <c r="GX3" s="146"/>
      <c r="GY3" s="146"/>
      <c r="GZ3" s="146"/>
      <c r="HA3" s="146"/>
      <c r="HB3" s="146"/>
      <c r="HC3" s="146"/>
      <c r="HD3" s="146"/>
      <c r="HE3" s="146"/>
      <c r="HF3" s="146"/>
      <c r="HG3" s="146"/>
      <c r="HH3" s="146"/>
      <c r="HI3" s="146"/>
      <c r="HJ3" s="146"/>
      <c r="HK3" s="146"/>
      <c r="HL3" s="146"/>
      <c r="HM3" s="146"/>
      <c r="HN3" s="146"/>
      <c r="HO3" s="146"/>
      <c r="HP3" s="146"/>
      <c r="HQ3" s="146"/>
      <c r="HR3" s="146"/>
      <c r="HS3" s="146"/>
      <c r="HT3" s="146"/>
      <c r="HU3" s="146"/>
      <c r="HV3" s="146"/>
      <c r="HW3" s="146"/>
      <c r="HX3" s="146"/>
      <c r="HY3" s="146"/>
      <c r="HZ3" s="146"/>
      <c r="IA3" s="146"/>
      <c r="IB3" s="146"/>
      <c r="IC3" s="146"/>
      <c r="ID3" s="146"/>
      <c r="IE3" s="146"/>
      <c r="IF3" s="146"/>
      <c r="IG3" s="146"/>
      <c r="IH3" s="146"/>
      <c r="II3" s="146"/>
      <c r="IJ3" s="146"/>
      <c r="IK3" s="146"/>
      <c r="IL3" s="146"/>
      <c r="IM3" s="146"/>
      <c r="IN3" s="146"/>
      <c r="IO3" s="146"/>
    </row>
    <row r="4" spans="1:249" s="6" customFormat="1" ht="15.6" x14ac:dyDescent="0.3">
      <c r="A4" s="299"/>
      <c r="B4" s="146"/>
      <c r="C4" s="146"/>
      <c r="D4" s="241"/>
      <c r="E4" s="326"/>
      <c r="F4" s="145"/>
      <c r="G4" s="347"/>
      <c r="H4" s="146"/>
      <c r="I4" s="146"/>
      <c r="J4" s="321"/>
      <c r="K4" s="291"/>
      <c r="L4" s="291"/>
      <c r="M4" s="291"/>
      <c r="N4" s="146"/>
      <c r="O4" s="146"/>
      <c r="P4" s="146"/>
      <c r="Q4" s="146"/>
      <c r="R4" s="146"/>
      <c r="S4" s="146"/>
      <c r="T4" s="146"/>
      <c r="U4" s="146"/>
      <c r="V4" s="146"/>
      <c r="W4" s="146"/>
      <c r="X4" s="146"/>
      <c r="Y4" s="146"/>
      <c r="Z4" s="146"/>
      <c r="AA4" s="146"/>
      <c r="AB4" s="146"/>
      <c r="AC4" s="146"/>
      <c r="AD4" s="146"/>
      <c r="AE4" s="146"/>
      <c r="AF4" s="146"/>
      <c r="AG4" s="146"/>
      <c r="AH4" s="146"/>
      <c r="AI4" s="146"/>
      <c r="AJ4" s="146"/>
      <c r="AK4" s="146"/>
      <c r="AL4" s="146"/>
      <c r="AM4" s="146"/>
      <c r="AN4" s="146"/>
      <c r="AO4" s="146"/>
      <c r="AP4" s="146"/>
      <c r="AQ4" s="146"/>
      <c r="AR4" s="146"/>
      <c r="AS4" s="146"/>
      <c r="AT4" s="146"/>
      <c r="AU4" s="146"/>
      <c r="AV4" s="146"/>
      <c r="AW4" s="146"/>
      <c r="AX4" s="146"/>
      <c r="AY4" s="146"/>
      <c r="AZ4" s="146"/>
      <c r="BA4" s="146"/>
      <c r="BB4" s="146"/>
      <c r="BC4" s="146"/>
      <c r="BD4" s="146"/>
      <c r="BE4" s="146"/>
      <c r="BF4" s="146"/>
      <c r="BG4" s="146"/>
      <c r="BH4" s="146"/>
      <c r="BI4" s="146"/>
      <c r="BJ4" s="146"/>
      <c r="BK4" s="146"/>
      <c r="BL4" s="146"/>
      <c r="BM4" s="146"/>
      <c r="BN4" s="146"/>
      <c r="BO4" s="146"/>
      <c r="BP4" s="146"/>
      <c r="BQ4" s="146"/>
      <c r="BR4" s="146"/>
      <c r="BS4" s="146"/>
      <c r="BT4" s="146"/>
      <c r="BU4" s="146"/>
      <c r="BV4" s="146"/>
      <c r="BW4" s="146"/>
      <c r="BX4" s="146"/>
      <c r="BY4" s="146"/>
      <c r="BZ4" s="146"/>
      <c r="CA4" s="146"/>
      <c r="CB4" s="146"/>
      <c r="CC4" s="146"/>
      <c r="CD4" s="146"/>
      <c r="CE4" s="146"/>
      <c r="CF4" s="146"/>
      <c r="CG4" s="146"/>
      <c r="CH4" s="146"/>
      <c r="CI4" s="146"/>
      <c r="CJ4" s="146"/>
      <c r="CK4" s="146"/>
      <c r="CL4" s="146"/>
      <c r="CM4" s="146"/>
      <c r="CN4" s="146"/>
      <c r="CO4" s="146"/>
      <c r="CP4" s="146"/>
      <c r="CQ4" s="146"/>
      <c r="CR4" s="146"/>
      <c r="CS4" s="146"/>
      <c r="CT4" s="146"/>
      <c r="CU4" s="146"/>
      <c r="CV4" s="146"/>
      <c r="CW4" s="146"/>
      <c r="CX4" s="146"/>
      <c r="CY4" s="146"/>
      <c r="CZ4" s="146"/>
      <c r="DA4" s="146"/>
      <c r="DB4" s="146"/>
      <c r="DC4" s="146"/>
      <c r="DD4" s="146"/>
      <c r="DE4" s="146"/>
      <c r="DF4" s="146"/>
      <c r="DG4" s="146"/>
      <c r="DH4" s="146"/>
      <c r="DI4" s="146"/>
      <c r="DJ4" s="146"/>
      <c r="DK4" s="146"/>
      <c r="DL4" s="146"/>
      <c r="DM4" s="146"/>
      <c r="DN4" s="146"/>
      <c r="DO4" s="146"/>
      <c r="DP4" s="146"/>
      <c r="DQ4" s="146"/>
      <c r="DR4" s="146"/>
      <c r="DS4" s="146"/>
      <c r="DT4" s="146"/>
      <c r="DU4" s="146"/>
      <c r="DV4" s="146"/>
      <c r="DW4" s="146"/>
      <c r="DX4" s="146"/>
      <c r="DY4" s="146"/>
      <c r="DZ4" s="146"/>
      <c r="EA4" s="146"/>
      <c r="EB4" s="146"/>
      <c r="EC4" s="146"/>
      <c r="ED4" s="146"/>
      <c r="EE4" s="146"/>
      <c r="EF4" s="146"/>
      <c r="EG4" s="146"/>
      <c r="EH4" s="146"/>
      <c r="EI4" s="146"/>
      <c r="EJ4" s="146"/>
      <c r="EK4" s="146"/>
      <c r="EL4" s="146"/>
      <c r="EM4" s="146"/>
      <c r="EN4" s="146"/>
      <c r="EO4" s="146"/>
      <c r="EP4" s="146"/>
      <c r="EQ4" s="146"/>
      <c r="ER4" s="146"/>
      <c r="ES4" s="146"/>
      <c r="ET4" s="146"/>
      <c r="EU4" s="146"/>
      <c r="EV4" s="146"/>
      <c r="EW4" s="146"/>
      <c r="EX4" s="146"/>
      <c r="EY4" s="146"/>
      <c r="EZ4" s="146"/>
      <c r="FA4" s="146"/>
      <c r="FB4" s="146"/>
      <c r="FC4" s="146"/>
      <c r="FD4" s="146"/>
      <c r="FE4" s="146"/>
      <c r="FF4" s="146"/>
      <c r="FG4" s="146"/>
      <c r="FH4" s="146"/>
      <c r="FI4" s="146"/>
      <c r="FJ4" s="146"/>
      <c r="FK4" s="146"/>
      <c r="FL4" s="146"/>
      <c r="FM4" s="146"/>
      <c r="FN4" s="146"/>
      <c r="FO4" s="146"/>
      <c r="FP4" s="146"/>
      <c r="FQ4" s="146"/>
      <c r="FR4" s="146"/>
      <c r="FS4" s="146"/>
      <c r="FT4" s="146"/>
      <c r="FU4" s="146"/>
      <c r="FV4" s="146"/>
      <c r="FW4" s="146"/>
      <c r="FX4" s="146"/>
      <c r="FY4" s="146"/>
      <c r="FZ4" s="146"/>
      <c r="GA4" s="146"/>
      <c r="GB4" s="146"/>
      <c r="GC4" s="146"/>
      <c r="GD4" s="146"/>
      <c r="GE4" s="146"/>
      <c r="GF4" s="146"/>
      <c r="GG4" s="146"/>
      <c r="GH4" s="146"/>
      <c r="GI4" s="146"/>
      <c r="GJ4" s="146"/>
      <c r="GK4" s="146"/>
      <c r="GL4" s="146"/>
      <c r="GM4" s="146"/>
      <c r="GN4" s="146"/>
      <c r="GO4" s="146"/>
      <c r="GP4" s="146"/>
      <c r="GQ4" s="146"/>
      <c r="GR4" s="146"/>
      <c r="GS4" s="146"/>
      <c r="GT4" s="146"/>
      <c r="GU4" s="146"/>
      <c r="GV4" s="146"/>
      <c r="GW4" s="146"/>
      <c r="GX4" s="146"/>
      <c r="GY4" s="146"/>
      <c r="GZ4" s="146"/>
      <c r="HA4" s="146"/>
      <c r="HB4" s="146"/>
      <c r="HC4" s="146"/>
      <c r="HD4" s="146"/>
      <c r="HE4" s="146"/>
      <c r="HF4" s="146"/>
      <c r="HG4" s="146"/>
      <c r="HH4" s="146"/>
      <c r="HI4" s="146"/>
      <c r="HJ4" s="146"/>
      <c r="HK4" s="146"/>
      <c r="HL4" s="146"/>
      <c r="HM4" s="146"/>
      <c r="HN4" s="146"/>
      <c r="HO4" s="146"/>
      <c r="HP4" s="146"/>
      <c r="HQ4" s="146"/>
      <c r="HR4" s="146"/>
      <c r="HS4" s="146"/>
      <c r="HT4" s="146"/>
      <c r="HU4" s="146"/>
      <c r="HV4" s="146"/>
      <c r="HW4" s="146"/>
      <c r="HX4" s="146"/>
      <c r="HY4" s="146"/>
      <c r="HZ4" s="146"/>
      <c r="IA4" s="146"/>
      <c r="IB4" s="146"/>
      <c r="IC4" s="146"/>
      <c r="ID4" s="146"/>
      <c r="IE4" s="146"/>
      <c r="IF4" s="146"/>
      <c r="IG4" s="146"/>
      <c r="IH4" s="146"/>
      <c r="II4" s="146"/>
      <c r="IJ4" s="146"/>
      <c r="IK4" s="146"/>
      <c r="IL4" s="146"/>
      <c r="IM4" s="146"/>
      <c r="IN4" s="146"/>
      <c r="IO4" s="146"/>
    </row>
    <row r="5" spans="1:249" s="142" customFormat="1" ht="14.1" customHeight="1" x14ac:dyDescent="0.3">
      <c r="A5" s="152" t="s">
        <v>1</v>
      </c>
      <c r="B5" s="152"/>
      <c r="C5" s="152"/>
      <c r="D5" s="153"/>
      <c r="E5" s="154"/>
      <c r="F5" s="155"/>
      <c r="G5" s="156"/>
      <c r="J5" s="322"/>
      <c r="K5" s="292"/>
      <c r="L5" s="292"/>
      <c r="M5" s="292"/>
    </row>
    <row r="6" spans="1:249" s="6" customFormat="1" ht="14.1" customHeight="1" x14ac:dyDescent="0.25">
      <c r="A6" s="1"/>
      <c r="B6" s="1"/>
      <c r="C6" s="1"/>
      <c r="D6" s="241"/>
      <c r="E6" s="326"/>
      <c r="F6" s="241"/>
      <c r="G6" s="347"/>
      <c r="H6" s="146"/>
      <c r="I6" s="146"/>
      <c r="J6" s="321"/>
      <c r="K6" s="291"/>
      <c r="L6" s="291"/>
      <c r="M6" s="291"/>
      <c r="N6" s="146"/>
      <c r="O6" s="146"/>
      <c r="P6" s="146"/>
      <c r="Q6" s="146"/>
      <c r="R6" s="146"/>
      <c r="S6" s="146"/>
      <c r="T6" s="146"/>
      <c r="U6" s="146"/>
      <c r="V6" s="146"/>
      <c r="W6" s="146"/>
      <c r="X6" s="146"/>
      <c r="Y6" s="146"/>
      <c r="Z6" s="146"/>
      <c r="AA6" s="146"/>
      <c r="AB6" s="146"/>
      <c r="AC6" s="146"/>
      <c r="AD6" s="146"/>
      <c r="AE6" s="146"/>
      <c r="AF6" s="146"/>
      <c r="AG6" s="146"/>
      <c r="AH6" s="146"/>
      <c r="AI6" s="146"/>
      <c r="AJ6" s="146"/>
      <c r="AK6" s="146"/>
      <c r="AL6" s="146"/>
      <c r="AM6" s="146"/>
      <c r="AN6" s="146"/>
      <c r="AO6" s="146"/>
      <c r="AP6" s="146"/>
      <c r="AQ6" s="146"/>
      <c r="AR6" s="146"/>
      <c r="AS6" s="146"/>
      <c r="AT6" s="146"/>
      <c r="AU6" s="146"/>
      <c r="AV6" s="146"/>
      <c r="AW6" s="146"/>
      <c r="AX6" s="146"/>
      <c r="AY6" s="146"/>
      <c r="AZ6" s="146"/>
      <c r="BA6" s="146"/>
      <c r="BB6" s="146"/>
      <c r="BC6" s="146"/>
      <c r="BD6" s="146"/>
      <c r="BE6" s="146"/>
      <c r="BF6" s="146"/>
      <c r="BG6" s="146"/>
      <c r="BH6" s="146"/>
      <c r="BI6" s="146"/>
      <c r="BJ6" s="146"/>
      <c r="BK6" s="146"/>
      <c r="BL6" s="146"/>
      <c r="BM6" s="146"/>
      <c r="BN6" s="146"/>
      <c r="BO6" s="146"/>
      <c r="BP6" s="146"/>
      <c r="BQ6" s="146"/>
      <c r="BR6" s="146"/>
      <c r="BS6" s="146"/>
      <c r="BT6" s="146"/>
      <c r="BU6" s="146"/>
      <c r="BV6" s="146"/>
      <c r="BW6" s="146"/>
      <c r="BX6" s="146"/>
      <c r="BY6" s="146"/>
      <c r="BZ6" s="146"/>
      <c r="CA6" s="146"/>
      <c r="CB6" s="146"/>
      <c r="CC6" s="146"/>
      <c r="CD6" s="146"/>
      <c r="CE6" s="146"/>
      <c r="CF6" s="146"/>
      <c r="CG6" s="146"/>
      <c r="CH6" s="146"/>
      <c r="CI6" s="146"/>
      <c r="CJ6" s="146"/>
      <c r="CK6" s="146"/>
      <c r="CL6" s="146"/>
      <c r="CM6" s="146"/>
      <c r="CN6" s="146"/>
      <c r="CO6" s="146"/>
      <c r="CP6" s="146"/>
      <c r="CQ6" s="146"/>
      <c r="CR6" s="146"/>
      <c r="CS6" s="146"/>
      <c r="CT6" s="146"/>
      <c r="CU6" s="146"/>
      <c r="CV6" s="146"/>
      <c r="CW6" s="146"/>
      <c r="CX6" s="146"/>
      <c r="CY6" s="146"/>
      <c r="CZ6" s="146"/>
      <c r="DA6" s="146"/>
      <c r="DB6" s="146"/>
      <c r="DC6" s="146"/>
      <c r="DD6" s="146"/>
      <c r="DE6" s="146"/>
      <c r="DF6" s="146"/>
      <c r="DG6" s="146"/>
      <c r="DH6" s="146"/>
      <c r="DI6" s="146"/>
      <c r="DJ6" s="146"/>
      <c r="DK6" s="146"/>
      <c r="DL6" s="146"/>
      <c r="DM6" s="146"/>
      <c r="DN6" s="146"/>
      <c r="DO6" s="146"/>
      <c r="DP6" s="146"/>
      <c r="DQ6" s="146"/>
      <c r="DR6" s="146"/>
      <c r="DS6" s="146"/>
      <c r="DT6" s="146"/>
      <c r="DU6" s="146"/>
      <c r="DV6" s="146"/>
      <c r="DW6" s="146"/>
      <c r="DX6" s="146"/>
      <c r="DY6" s="146"/>
      <c r="DZ6" s="146"/>
      <c r="EA6" s="146"/>
      <c r="EB6" s="146"/>
      <c r="EC6" s="146"/>
      <c r="ED6" s="146"/>
      <c r="EE6" s="146"/>
      <c r="EF6" s="146"/>
      <c r="EG6" s="146"/>
      <c r="EH6" s="146"/>
      <c r="EI6" s="146"/>
      <c r="EJ6" s="146"/>
      <c r="EK6" s="146"/>
      <c r="EL6" s="146"/>
      <c r="EM6" s="146"/>
      <c r="EN6" s="146"/>
      <c r="EO6" s="146"/>
      <c r="EP6" s="146"/>
      <c r="EQ6" s="146"/>
      <c r="ER6" s="146"/>
      <c r="ES6" s="146"/>
      <c r="ET6" s="146"/>
      <c r="EU6" s="146"/>
      <c r="EV6" s="146"/>
      <c r="EW6" s="146"/>
      <c r="EX6" s="146"/>
      <c r="EY6" s="146"/>
      <c r="EZ6" s="146"/>
      <c r="FA6" s="146"/>
      <c r="FB6" s="146"/>
      <c r="FC6" s="146"/>
      <c r="FD6" s="146"/>
      <c r="FE6" s="146"/>
      <c r="FF6" s="146"/>
      <c r="FG6" s="146"/>
      <c r="FH6" s="146"/>
      <c r="FI6" s="146"/>
      <c r="FJ6" s="146"/>
      <c r="FK6" s="146"/>
      <c r="FL6" s="146"/>
      <c r="FM6" s="146"/>
      <c r="FN6" s="146"/>
      <c r="FO6" s="146"/>
      <c r="FP6" s="146"/>
      <c r="FQ6" s="146"/>
      <c r="FR6" s="146"/>
      <c r="FS6" s="146"/>
      <c r="FT6" s="146"/>
      <c r="FU6" s="146"/>
      <c r="FV6" s="146"/>
      <c r="FW6" s="146"/>
      <c r="FX6" s="146"/>
      <c r="FY6" s="146"/>
      <c r="FZ6" s="146"/>
      <c r="GA6" s="146"/>
      <c r="GB6" s="146"/>
      <c r="GC6" s="146"/>
      <c r="GD6" s="146"/>
      <c r="GE6" s="146"/>
      <c r="GF6" s="146"/>
      <c r="GG6" s="146"/>
      <c r="GH6" s="146"/>
      <c r="GI6" s="146"/>
      <c r="GJ6" s="146"/>
      <c r="GK6" s="146"/>
      <c r="GL6" s="146"/>
      <c r="GM6" s="146"/>
      <c r="GN6" s="146"/>
      <c r="GO6" s="146"/>
      <c r="GP6" s="146"/>
      <c r="GQ6" s="146"/>
      <c r="GR6" s="146"/>
      <c r="GS6" s="146"/>
      <c r="GT6" s="146"/>
      <c r="GU6" s="146"/>
      <c r="GV6" s="146"/>
      <c r="GW6" s="146"/>
      <c r="GX6" s="146"/>
      <c r="GY6" s="146"/>
      <c r="GZ6" s="146"/>
      <c r="HA6" s="146"/>
      <c r="HB6" s="146"/>
      <c r="HC6" s="146"/>
      <c r="HD6" s="146"/>
      <c r="HE6" s="146"/>
      <c r="HF6" s="146"/>
      <c r="HG6" s="146"/>
      <c r="HH6" s="146"/>
      <c r="HI6" s="146"/>
      <c r="HJ6" s="146"/>
      <c r="HK6" s="146"/>
      <c r="HL6" s="146"/>
      <c r="HM6" s="146"/>
      <c r="HN6" s="146"/>
      <c r="HO6" s="146"/>
      <c r="HP6" s="146"/>
      <c r="HQ6" s="146"/>
      <c r="HR6" s="146"/>
      <c r="HS6" s="146"/>
      <c r="HT6" s="146"/>
      <c r="HU6" s="146"/>
      <c r="HV6" s="146"/>
      <c r="HW6" s="146"/>
      <c r="HX6" s="146"/>
      <c r="HY6" s="146"/>
      <c r="HZ6" s="146"/>
      <c r="IA6" s="146"/>
      <c r="IB6" s="146"/>
      <c r="IC6" s="146"/>
      <c r="ID6" s="146"/>
      <c r="IE6" s="146"/>
      <c r="IF6" s="146"/>
      <c r="IG6" s="146"/>
      <c r="IH6" s="146"/>
      <c r="II6" s="146"/>
      <c r="IJ6" s="146"/>
      <c r="IK6" s="146"/>
      <c r="IL6" s="146"/>
      <c r="IM6" s="146"/>
      <c r="IN6" s="146"/>
      <c r="IO6" s="146"/>
    </row>
    <row r="7" spans="1:249" s="6" customFormat="1" ht="14.1" customHeight="1" x14ac:dyDescent="0.25">
      <c r="A7" s="146"/>
      <c r="B7" s="341" t="s">
        <v>2</v>
      </c>
      <c r="C7" s="348"/>
      <c r="D7" s="241"/>
      <c r="E7" s="146"/>
      <c r="F7" s="241">
        <f>'CRA PRESORT FLATS'!G80</f>
        <v>62.274536275210089</v>
      </c>
      <c r="G7" s="157" t="str">
        <f>"(1)"</f>
        <v>(1)</v>
      </c>
      <c r="H7" s="349"/>
      <c r="I7" s="146"/>
      <c r="J7" s="321"/>
      <c r="K7" s="291"/>
      <c r="L7" s="291"/>
      <c r="M7" s="291"/>
      <c r="N7" s="146"/>
      <c r="O7" s="146"/>
      <c r="P7" s="146"/>
      <c r="Q7" s="146"/>
      <c r="R7" s="146"/>
      <c r="S7" s="146"/>
      <c r="T7" s="146"/>
      <c r="U7" s="146"/>
      <c r="V7" s="146"/>
      <c r="W7" s="146"/>
      <c r="X7" s="146"/>
      <c r="Y7" s="146"/>
      <c r="Z7" s="146"/>
      <c r="AA7" s="146"/>
      <c r="AB7" s="146"/>
      <c r="AC7" s="146"/>
      <c r="AD7" s="146"/>
      <c r="AE7" s="146"/>
      <c r="AF7" s="146"/>
      <c r="AG7" s="146"/>
      <c r="AH7" s="146"/>
      <c r="AI7" s="146"/>
      <c r="AJ7" s="146"/>
      <c r="AK7" s="146"/>
      <c r="AL7" s="146"/>
      <c r="AM7" s="146"/>
      <c r="AN7" s="146"/>
      <c r="AO7" s="146"/>
      <c r="AP7" s="146"/>
      <c r="AQ7" s="146"/>
      <c r="AR7" s="146"/>
      <c r="AS7" s="146"/>
      <c r="AT7" s="146"/>
      <c r="AU7" s="146"/>
      <c r="AV7" s="146"/>
      <c r="AW7" s="146"/>
      <c r="AX7" s="146"/>
      <c r="AY7" s="146"/>
      <c r="AZ7" s="146"/>
      <c r="BA7" s="146"/>
      <c r="BB7" s="146"/>
      <c r="BC7" s="146"/>
      <c r="BD7" s="146"/>
      <c r="BE7" s="146"/>
      <c r="BF7" s="146"/>
      <c r="BG7" s="146"/>
      <c r="BH7" s="146"/>
      <c r="BI7" s="146"/>
      <c r="BJ7" s="146"/>
      <c r="BK7" s="146"/>
      <c r="BL7" s="146"/>
      <c r="BM7" s="146"/>
      <c r="BN7" s="146"/>
      <c r="BO7" s="146"/>
      <c r="BP7" s="146"/>
      <c r="BQ7" s="146"/>
      <c r="BR7" s="146"/>
      <c r="BS7" s="146"/>
      <c r="BT7" s="146"/>
      <c r="BU7" s="146"/>
      <c r="BV7" s="146"/>
      <c r="BW7" s="146"/>
      <c r="BX7" s="146"/>
      <c r="BY7" s="146"/>
      <c r="BZ7" s="146"/>
      <c r="CA7" s="146"/>
      <c r="CB7" s="146"/>
      <c r="CC7" s="146"/>
      <c r="CD7" s="146"/>
      <c r="CE7" s="146"/>
      <c r="CF7" s="146"/>
      <c r="CG7" s="146"/>
      <c r="CH7" s="146"/>
      <c r="CI7" s="146"/>
      <c r="CJ7" s="146"/>
      <c r="CK7" s="146"/>
      <c r="CL7" s="146"/>
      <c r="CM7" s="146"/>
      <c r="CN7" s="146"/>
      <c r="CO7" s="146"/>
      <c r="CP7" s="146"/>
      <c r="CQ7" s="146"/>
      <c r="CR7" s="146"/>
      <c r="CS7" s="146"/>
      <c r="CT7" s="146"/>
      <c r="CU7" s="146"/>
      <c r="CV7" s="146"/>
      <c r="CW7" s="146"/>
      <c r="CX7" s="146"/>
      <c r="CY7" s="146"/>
      <c r="CZ7" s="146"/>
      <c r="DA7" s="146"/>
      <c r="DB7" s="146"/>
      <c r="DC7" s="146"/>
      <c r="DD7" s="146"/>
      <c r="DE7" s="146"/>
      <c r="DF7" s="146"/>
      <c r="DG7" s="146"/>
      <c r="DH7" s="146"/>
      <c r="DI7" s="146"/>
      <c r="DJ7" s="146"/>
      <c r="DK7" s="146"/>
      <c r="DL7" s="146"/>
      <c r="DM7" s="146"/>
      <c r="DN7" s="146"/>
      <c r="DO7" s="146"/>
      <c r="DP7" s="146"/>
      <c r="DQ7" s="146"/>
      <c r="DR7" s="146"/>
      <c r="DS7" s="146"/>
      <c r="DT7" s="146"/>
      <c r="DU7" s="146"/>
      <c r="DV7" s="146"/>
      <c r="DW7" s="146"/>
      <c r="DX7" s="146"/>
      <c r="DY7" s="146"/>
      <c r="DZ7" s="146"/>
      <c r="EA7" s="146"/>
      <c r="EB7" s="146"/>
      <c r="EC7" s="146"/>
      <c r="ED7" s="146"/>
      <c r="EE7" s="146"/>
      <c r="EF7" s="146"/>
      <c r="EG7" s="146"/>
      <c r="EH7" s="146"/>
      <c r="EI7" s="146"/>
      <c r="EJ7" s="146"/>
      <c r="EK7" s="146"/>
      <c r="EL7" s="146"/>
      <c r="EM7" s="146"/>
      <c r="EN7" s="146"/>
      <c r="EO7" s="146"/>
      <c r="EP7" s="146"/>
      <c r="EQ7" s="146"/>
      <c r="ER7" s="146"/>
      <c r="ES7" s="146"/>
      <c r="ET7" s="146"/>
      <c r="EU7" s="146"/>
      <c r="EV7" s="146"/>
      <c r="EW7" s="146"/>
      <c r="EX7" s="146"/>
      <c r="EY7" s="146"/>
      <c r="EZ7" s="146"/>
      <c r="FA7" s="146"/>
      <c r="FB7" s="146"/>
      <c r="FC7" s="146"/>
      <c r="FD7" s="146"/>
      <c r="FE7" s="146"/>
      <c r="FF7" s="146"/>
      <c r="FG7" s="146"/>
      <c r="FH7" s="146"/>
      <c r="FI7" s="146"/>
      <c r="FJ7" s="146"/>
      <c r="FK7" s="146"/>
      <c r="FL7" s="146"/>
      <c r="FM7" s="146"/>
      <c r="FN7" s="146"/>
      <c r="FO7" s="146"/>
      <c r="FP7" s="146"/>
      <c r="FQ7" s="146"/>
      <c r="FR7" s="146"/>
      <c r="FS7" s="146"/>
      <c r="FT7" s="146"/>
      <c r="FU7" s="146"/>
      <c r="FV7" s="146"/>
      <c r="FW7" s="146"/>
      <c r="FX7" s="146"/>
      <c r="FY7" s="146"/>
      <c r="FZ7" s="146"/>
      <c r="GA7" s="146"/>
      <c r="GB7" s="146"/>
      <c r="GC7" s="146"/>
      <c r="GD7" s="146"/>
      <c r="GE7" s="146"/>
      <c r="GF7" s="146"/>
      <c r="GG7" s="146"/>
      <c r="GH7" s="146"/>
      <c r="GI7" s="146"/>
      <c r="GJ7" s="146"/>
      <c r="GK7" s="146"/>
      <c r="GL7" s="146"/>
      <c r="GM7" s="146"/>
      <c r="GN7" s="146"/>
      <c r="GO7" s="146"/>
      <c r="GP7" s="146"/>
      <c r="GQ7" s="146"/>
      <c r="GR7" s="146"/>
      <c r="GS7" s="146"/>
      <c r="GT7" s="146"/>
      <c r="GU7" s="146"/>
      <c r="GV7" s="146"/>
      <c r="GW7" s="146"/>
      <c r="GX7" s="146"/>
      <c r="GY7" s="146"/>
      <c r="GZ7" s="146"/>
      <c r="HA7" s="146"/>
      <c r="HB7" s="146"/>
      <c r="HC7" s="146"/>
      <c r="HD7" s="146"/>
      <c r="HE7" s="146"/>
      <c r="HF7" s="146"/>
      <c r="HG7" s="146"/>
      <c r="HH7" s="146"/>
      <c r="HI7" s="146"/>
      <c r="HJ7" s="146"/>
      <c r="HK7" s="146"/>
      <c r="HL7" s="146"/>
      <c r="HM7" s="146"/>
      <c r="HN7" s="146"/>
      <c r="HO7" s="146"/>
      <c r="HP7" s="146"/>
      <c r="HQ7" s="146"/>
      <c r="HR7" s="146"/>
      <c r="HS7" s="146"/>
      <c r="HT7" s="146"/>
      <c r="HU7" s="146"/>
      <c r="HV7" s="146"/>
      <c r="HW7" s="146"/>
      <c r="HX7" s="146"/>
      <c r="HY7" s="146"/>
      <c r="HZ7" s="146"/>
      <c r="IA7" s="146"/>
      <c r="IB7" s="146"/>
      <c r="IC7" s="146"/>
      <c r="ID7" s="146"/>
      <c r="IE7" s="146"/>
      <c r="IF7" s="146"/>
      <c r="IG7" s="146"/>
      <c r="IH7" s="146"/>
      <c r="II7" s="146"/>
      <c r="IJ7" s="146"/>
      <c r="IK7" s="146"/>
      <c r="IL7" s="146"/>
      <c r="IM7" s="146"/>
      <c r="IN7" s="146"/>
      <c r="IO7" s="146"/>
    </row>
    <row r="8" spans="1:249" s="6" customFormat="1" ht="14.1" customHeight="1" x14ac:dyDescent="0.25">
      <c r="A8" s="146"/>
      <c r="B8" s="341" t="s">
        <v>4</v>
      </c>
      <c r="C8" s="348"/>
      <c r="D8" s="241"/>
      <c r="E8" s="146"/>
      <c r="F8" s="241">
        <f>'CRA PRESORT FLATS'!H80</f>
        <v>9.3384898344070031</v>
      </c>
      <c r="G8" s="157" t="str">
        <f>"(2)"</f>
        <v>(2)</v>
      </c>
      <c r="H8" s="349"/>
      <c r="I8" s="146"/>
      <c r="J8" s="321"/>
      <c r="K8" s="291"/>
      <c r="L8" s="291"/>
      <c r="M8" s="291"/>
      <c r="N8" s="146"/>
      <c r="O8" s="146"/>
      <c r="P8" s="146"/>
      <c r="Q8" s="146"/>
      <c r="R8" s="146"/>
      <c r="S8" s="146"/>
      <c r="T8" s="146"/>
      <c r="U8" s="146"/>
      <c r="V8" s="146"/>
      <c r="W8" s="146"/>
      <c r="X8" s="146"/>
      <c r="Y8" s="146"/>
      <c r="Z8" s="146"/>
      <c r="AA8" s="146"/>
      <c r="AB8" s="146"/>
      <c r="AC8" s="146"/>
      <c r="AD8" s="146"/>
      <c r="AE8" s="146"/>
      <c r="AF8" s="146"/>
      <c r="AG8" s="146"/>
      <c r="AH8" s="146"/>
      <c r="AI8" s="146"/>
      <c r="AJ8" s="146"/>
      <c r="AK8" s="146"/>
      <c r="AL8" s="146"/>
      <c r="AM8" s="146"/>
      <c r="AN8" s="146"/>
      <c r="AO8" s="146"/>
      <c r="AP8" s="146"/>
      <c r="AQ8" s="146"/>
      <c r="AR8" s="146"/>
      <c r="AS8" s="146"/>
      <c r="AT8" s="146"/>
      <c r="AU8" s="146"/>
      <c r="AV8" s="146"/>
      <c r="AW8" s="146"/>
      <c r="AX8" s="146"/>
      <c r="AY8" s="146"/>
      <c r="AZ8" s="146"/>
      <c r="BA8" s="146"/>
      <c r="BB8" s="146"/>
      <c r="BC8" s="146"/>
      <c r="BD8" s="146"/>
      <c r="BE8" s="146"/>
      <c r="BF8" s="146"/>
      <c r="BG8" s="146"/>
      <c r="BH8" s="146"/>
      <c r="BI8" s="146"/>
      <c r="BJ8" s="146"/>
      <c r="BK8" s="146"/>
      <c r="BL8" s="146"/>
      <c r="BM8" s="146"/>
      <c r="BN8" s="146"/>
      <c r="BO8" s="146"/>
      <c r="BP8" s="146"/>
      <c r="BQ8" s="146"/>
      <c r="BR8" s="146"/>
      <c r="BS8" s="146"/>
      <c r="BT8" s="146"/>
      <c r="BU8" s="146"/>
      <c r="BV8" s="146"/>
      <c r="BW8" s="146"/>
      <c r="BX8" s="146"/>
      <c r="BY8" s="146"/>
      <c r="BZ8" s="146"/>
      <c r="CA8" s="146"/>
      <c r="CB8" s="146"/>
      <c r="CC8" s="146"/>
      <c r="CD8" s="146"/>
      <c r="CE8" s="146"/>
      <c r="CF8" s="146"/>
      <c r="CG8" s="146"/>
      <c r="CH8" s="146"/>
      <c r="CI8" s="146"/>
      <c r="CJ8" s="146"/>
      <c r="CK8" s="146"/>
      <c r="CL8" s="146"/>
      <c r="CM8" s="146"/>
      <c r="CN8" s="146"/>
      <c r="CO8" s="146"/>
      <c r="CP8" s="146"/>
      <c r="CQ8" s="146"/>
      <c r="CR8" s="146"/>
      <c r="CS8" s="146"/>
      <c r="CT8" s="146"/>
      <c r="CU8" s="146"/>
      <c r="CV8" s="146"/>
      <c r="CW8" s="146"/>
      <c r="CX8" s="146"/>
      <c r="CY8" s="146"/>
      <c r="CZ8" s="146"/>
      <c r="DA8" s="146"/>
      <c r="DB8" s="146"/>
      <c r="DC8" s="146"/>
      <c r="DD8" s="146"/>
      <c r="DE8" s="146"/>
      <c r="DF8" s="146"/>
      <c r="DG8" s="146"/>
      <c r="DH8" s="146"/>
      <c r="DI8" s="146"/>
      <c r="DJ8" s="146"/>
      <c r="DK8" s="146"/>
      <c r="DL8" s="146"/>
      <c r="DM8" s="146"/>
      <c r="DN8" s="146"/>
      <c r="DO8" s="146"/>
      <c r="DP8" s="146"/>
      <c r="DQ8" s="146"/>
      <c r="DR8" s="146"/>
      <c r="DS8" s="146"/>
      <c r="DT8" s="146"/>
      <c r="DU8" s="146"/>
      <c r="DV8" s="146"/>
      <c r="DW8" s="146"/>
      <c r="DX8" s="146"/>
      <c r="DY8" s="146"/>
      <c r="DZ8" s="146"/>
      <c r="EA8" s="146"/>
      <c r="EB8" s="146"/>
      <c r="EC8" s="146"/>
      <c r="ED8" s="146"/>
      <c r="EE8" s="146"/>
      <c r="EF8" s="146"/>
      <c r="EG8" s="146"/>
      <c r="EH8" s="146"/>
      <c r="EI8" s="146"/>
      <c r="EJ8" s="146"/>
      <c r="EK8" s="146"/>
      <c r="EL8" s="146"/>
      <c r="EM8" s="146"/>
      <c r="EN8" s="146"/>
      <c r="EO8" s="146"/>
      <c r="EP8" s="146"/>
      <c r="EQ8" s="146"/>
      <c r="ER8" s="146"/>
      <c r="ES8" s="146"/>
      <c r="ET8" s="146"/>
      <c r="EU8" s="146"/>
      <c r="EV8" s="146"/>
      <c r="EW8" s="146"/>
      <c r="EX8" s="146"/>
      <c r="EY8" s="146"/>
      <c r="EZ8" s="146"/>
      <c r="FA8" s="146"/>
      <c r="FB8" s="146"/>
      <c r="FC8" s="146"/>
      <c r="FD8" s="146"/>
      <c r="FE8" s="146"/>
      <c r="FF8" s="146"/>
      <c r="FG8" s="146"/>
      <c r="FH8" s="146"/>
      <c r="FI8" s="146"/>
      <c r="FJ8" s="146"/>
      <c r="FK8" s="146"/>
      <c r="FL8" s="146"/>
      <c r="FM8" s="146"/>
      <c r="FN8" s="146"/>
      <c r="FO8" s="146"/>
      <c r="FP8" s="146"/>
      <c r="FQ8" s="146"/>
      <c r="FR8" s="146"/>
      <c r="FS8" s="146"/>
      <c r="FT8" s="146"/>
      <c r="FU8" s="146"/>
      <c r="FV8" s="146"/>
      <c r="FW8" s="146"/>
      <c r="FX8" s="146"/>
      <c r="FY8" s="146"/>
      <c r="FZ8" s="146"/>
      <c r="GA8" s="146"/>
      <c r="GB8" s="146"/>
      <c r="GC8" s="146"/>
      <c r="GD8" s="146"/>
      <c r="GE8" s="146"/>
      <c r="GF8" s="146"/>
      <c r="GG8" s="146"/>
      <c r="GH8" s="146"/>
      <c r="GI8" s="146"/>
      <c r="GJ8" s="146"/>
      <c r="GK8" s="146"/>
      <c r="GL8" s="146"/>
      <c r="GM8" s="146"/>
      <c r="GN8" s="146"/>
      <c r="GO8" s="146"/>
      <c r="GP8" s="146"/>
      <c r="GQ8" s="146"/>
      <c r="GR8" s="146"/>
      <c r="GS8" s="146"/>
      <c r="GT8" s="146"/>
      <c r="GU8" s="146"/>
      <c r="GV8" s="146"/>
      <c r="GW8" s="146"/>
      <c r="GX8" s="146"/>
      <c r="GY8" s="146"/>
      <c r="GZ8" s="146"/>
      <c r="HA8" s="146"/>
      <c r="HB8" s="146"/>
      <c r="HC8" s="146"/>
      <c r="HD8" s="146"/>
      <c r="HE8" s="146"/>
      <c r="HF8" s="146"/>
      <c r="HG8" s="146"/>
      <c r="HH8" s="146"/>
      <c r="HI8" s="146"/>
      <c r="HJ8" s="146"/>
      <c r="HK8" s="146"/>
      <c r="HL8" s="146"/>
      <c r="HM8" s="146"/>
      <c r="HN8" s="146"/>
      <c r="HO8" s="146"/>
      <c r="HP8" s="146"/>
      <c r="HQ8" s="146"/>
      <c r="HR8" s="146"/>
      <c r="HS8" s="146"/>
      <c r="HT8" s="146"/>
      <c r="HU8" s="146"/>
      <c r="HV8" s="146"/>
      <c r="HW8" s="146"/>
      <c r="HX8" s="146"/>
      <c r="HY8" s="146"/>
      <c r="HZ8" s="146"/>
      <c r="IA8" s="146"/>
      <c r="IB8" s="146"/>
      <c r="IC8" s="146"/>
      <c r="ID8" s="146"/>
      <c r="IE8" s="146"/>
      <c r="IF8" s="146"/>
      <c r="IG8" s="146"/>
      <c r="IH8" s="146"/>
      <c r="II8" s="146"/>
      <c r="IJ8" s="146"/>
      <c r="IK8" s="146"/>
      <c r="IL8" s="146"/>
      <c r="IM8" s="146"/>
      <c r="IN8" s="146"/>
      <c r="IO8" s="146"/>
    </row>
    <row r="9" spans="1:249" s="6" customFormat="1" ht="14.1" customHeight="1" x14ac:dyDescent="0.25">
      <c r="A9" s="146"/>
      <c r="B9" s="341" t="s">
        <v>6</v>
      </c>
      <c r="C9" s="348"/>
      <c r="D9" s="241"/>
      <c r="E9" s="146"/>
      <c r="F9" s="241">
        <f>'CRA PRESORT FLATS'!I80</f>
        <v>0.13683502776810874</v>
      </c>
      <c r="G9" s="157" t="str">
        <f>"(3)"</f>
        <v>(3)</v>
      </c>
      <c r="H9" s="349"/>
      <c r="I9" s="146"/>
      <c r="J9" s="321"/>
      <c r="K9" s="291"/>
      <c r="L9" s="291"/>
      <c r="M9" s="291"/>
      <c r="N9" s="146"/>
      <c r="O9" s="146"/>
      <c r="P9" s="146"/>
      <c r="Q9" s="146"/>
      <c r="R9" s="146"/>
      <c r="S9" s="146"/>
      <c r="T9" s="146"/>
      <c r="U9" s="146"/>
      <c r="V9" s="146"/>
      <c r="W9" s="146"/>
      <c r="X9" s="146"/>
      <c r="Y9" s="146"/>
      <c r="Z9" s="146"/>
      <c r="AA9" s="146"/>
      <c r="AB9" s="146"/>
      <c r="AC9" s="146"/>
      <c r="AD9" s="146"/>
      <c r="AE9" s="146"/>
      <c r="AF9" s="146"/>
      <c r="AG9" s="146"/>
      <c r="AH9" s="146"/>
      <c r="AI9" s="146"/>
      <c r="AJ9" s="146"/>
      <c r="AK9" s="146"/>
      <c r="AL9" s="146"/>
      <c r="AM9" s="146"/>
      <c r="AN9" s="146"/>
      <c r="AO9" s="146"/>
      <c r="AP9" s="146"/>
      <c r="AQ9" s="146"/>
      <c r="AR9" s="146"/>
      <c r="AS9" s="146"/>
      <c r="AT9" s="146"/>
      <c r="AU9" s="146"/>
      <c r="AV9" s="146"/>
      <c r="AW9" s="146"/>
      <c r="AX9" s="146"/>
      <c r="AY9" s="146"/>
      <c r="AZ9" s="146"/>
      <c r="BA9" s="146"/>
      <c r="BB9" s="146"/>
      <c r="BC9" s="146"/>
      <c r="BD9" s="146"/>
      <c r="BE9" s="146"/>
      <c r="BF9" s="146"/>
      <c r="BG9" s="146"/>
      <c r="BH9" s="146"/>
      <c r="BI9" s="146"/>
      <c r="BJ9" s="146"/>
      <c r="BK9" s="146"/>
      <c r="BL9" s="146"/>
      <c r="BM9" s="146"/>
      <c r="BN9" s="146"/>
      <c r="BO9" s="146"/>
      <c r="BP9" s="146"/>
      <c r="BQ9" s="146"/>
      <c r="BR9" s="146"/>
      <c r="BS9" s="146"/>
      <c r="BT9" s="146"/>
      <c r="BU9" s="146"/>
      <c r="BV9" s="146"/>
      <c r="BW9" s="146"/>
      <c r="BX9" s="146"/>
      <c r="BY9" s="146"/>
      <c r="BZ9" s="146"/>
      <c r="CA9" s="146"/>
      <c r="CB9" s="146"/>
      <c r="CC9" s="146"/>
      <c r="CD9" s="146"/>
      <c r="CE9" s="146"/>
      <c r="CF9" s="146"/>
      <c r="CG9" s="146"/>
      <c r="CH9" s="146"/>
      <c r="CI9" s="146"/>
      <c r="CJ9" s="146"/>
      <c r="CK9" s="146"/>
      <c r="CL9" s="146"/>
      <c r="CM9" s="146"/>
      <c r="CN9" s="146"/>
      <c r="CO9" s="146"/>
      <c r="CP9" s="146"/>
      <c r="CQ9" s="146"/>
      <c r="CR9" s="146"/>
      <c r="CS9" s="146"/>
      <c r="CT9" s="146"/>
      <c r="CU9" s="146"/>
      <c r="CV9" s="146"/>
      <c r="CW9" s="146"/>
      <c r="CX9" s="146"/>
      <c r="CY9" s="146"/>
      <c r="CZ9" s="146"/>
      <c r="DA9" s="146"/>
      <c r="DB9" s="146"/>
      <c r="DC9" s="146"/>
      <c r="DD9" s="146"/>
      <c r="DE9" s="146"/>
      <c r="DF9" s="146"/>
      <c r="DG9" s="146"/>
      <c r="DH9" s="146"/>
      <c r="DI9" s="146"/>
      <c r="DJ9" s="146"/>
      <c r="DK9" s="146"/>
      <c r="DL9" s="146"/>
      <c r="DM9" s="146"/>
      <c r="DN9" s="146"/>
      <c r="DO9" s="146"/>
      <c r="DP9" s="146"/>
      <c r="DQ9" s="146"/>
      <c r="DR9" s="146"/>
      <c r="DS9" s="146"/>
      <c r="DT9" s="146"/>
      <c r="DU9" s="146"/>
      <c r="DV9" s="146"/>
      <c r="DW9" s="146"/>
      <c r="DX9" s="146"/>
      <c r="DY9" s="146"/>
      <c r="DZ9" s="146"/>
      <c r="EA9" s="146"/>
      <c r="EB9" s="146"/>
      <c r="EC9" s="146"/>
      <c r="ED9" s="146"/>
      <c r="EE9" s="146"/>
      <c r="EF9" s="146"/>
      <c r="EG9" s="146"/>
      <c r="EH9" s="146"/>
      <c r="EI9" s="146"/>
      <c r="EJ9" s="146"/>
      <c r="EK9" s="146"/>
      <c r="EL9" s="146"/>
      <c r="EM9" s="146"/>
      <c r="EN9" s="146"/>
      <c r="EO9" s="146"/>
      <c r="EP9" s="146"/>
      <c r="EQ9" s="146"/>
      <c r="ER9" s="146"/>
      <c r="ES9" s="146"/>
      <c r="ET9" s="146"/>
      <c r="EU9" s="146"/>
      <c r="EV9" s="146"/>
      <c r="EW9" s="146"/>
      <c r="EX9" s="146"/>
      <c r="EY9" s="146"/>
      <c r="EZ9" s="146"/>
      <c r="FA9" s="146"/>
      <c r="FB9" s="146"/>
      <c r="FC9" s="146"/>
      <c r="FD9" s="146"/>
      <c r="FE9" s="146"/>
      <c r="FF9" s="146"/>
      <c r="FG9" s="146"/>
      <c r="FH9" s="146"/>
      <c r="FI9" s="146"/>
      <c r="FJ9" s="146"/>
      <c r="FK9" s="146"/>
      <c r="FL9" s="146"/>
      <c r="FM9" s="146"/>
      <c r="FN9" s="146"/>
      <c r="FO9" s="146"/>
      <c r="FP9" s="146"/>
      <c r="FQ9" s="146"/>
      <c r="FR9" s="146"/>
      <c r="FS9" s="146"/>
      <c r="FT9" s="146"/>
      <c r="FU9" s="146"/>
      <c r="FV9" s="146"/>
      <c r="FW9" s="146"/>
      <c r="FX9" s="146"/>
      <c r="FY9" s="146"/>
      <c r="FZ9" s="146"/>
      <c r="GA9" s="146"/>
      <c r="GB9" s="146"/>
      <c r="GC9" s="146"/>
      <c r="GD9" s="146"/>
      <c r="GE9" s="146"/>
      <c r="GF9" s="146"/>
      <c r="GG9" s="146"/>
      <c r="GH9" s="146"/>
      <c r="GI9" s="146"/>
      <c r="GJ9" s="146"/>
      <c r="GK9" s="146"/>
      <c r="GL9" s="146"/>
      <c r="GM9" s="146"/>
      <c r="GN9" s="146"/>
      <c r="GO9" s="146"/>
      <c r="GP9" s="146"/>
      <c r="GQ9" s="146"/>
      <c r="GR9" s="146"/>
      <c r="GS9" s="146"/>
      <c r="GT9" s="146"/>
      <c r="GU9" s="146"/>
      <c r="GV9" s="146"/>
      <c r="GW9" s="146"/>
      <c r="GX9" s="146"/>
      <c r="GY9" s="146"/>
      <c r="GZ9" s="146"/>
      <c r="HA9" s="146"/>
      <c r="HB9" s="146"/>
      <c r="HC9" s="146"/>
      <c r="HD9" s="146"/>
      <c r="HE9" s="146"/>
      <c r="HF9" s="146"/>
      <c r="HG9" s="146"/>
      <c r="HH9" s="146"/>
      <c r="HI9" s="146"/>
      <c r="HJ9" s="146"/>
      <c r="HK9" s="146"/>
      <c r="HL9" s="146"/>
      <c r="HM9" s="146"/>
      <c r="HN9" s="146"/>
      <c r="HO9" s="146"/>
      <c r="HP9" s="146"/>
      <c r="HQ9" s="146"/>
      <c r="HR9" s="146"/>
      <c r="HS9" s="146"/>
      <c r="HT9" s="146"/>
      <c r="HU9" s="146"/>
      <c r="HV9" s="146"/>
      <c r="HW9" s="146"/>
      <c r="HX9" s="146"/>
      <c r="HY9" s="146"/>
      <c r="HZ9" s="146"/>
      <c r="IA9" s="146"/>
      <c r="IB9" s="146"/>
      <c r="IC9" s="146"/>
      <c r="ID9" s="146"/>
      <c r="IE9" s="146"/>
      <c r="IF9" s="146"/>
      <c r="IG9" s="146"/>
      <c r="IH9" s="146"/>
      <c r="II9" s="146"/>
      <c r="IJ9" s="146"/>
      <c r="IK9" s="146"/>
      <c r="IL9" s="146"/>
      <c r="IM9" s="146"/>
      <c r="IN9" s="146"/>
      <c r="IO9" s="146"/>
    </row>
    <row r="10" spans="1:249" s="6" customFormat="1" ht="14.1" customHeight="1" x14ac:dyDescent="0.25">
      <c r="A10" s="146"/>
      <c r="B10" s="33" t="s">
        <v>8</v>
      </c>
      <c r="C10" s="158"/>
      <c r="D10" s="241"/>
      <c r="E10" s="146"/>
      <c r="F10" s="40">
        <f>SUM(F7:F9)</f>
        <v>71.74986113738521</v>
      </c>
      <c r="G10" s="157" t="str">
        <f>"(4)"</f>
        <v>(4)</v>
      </c>
      <c r="H10" s="349"/>
      <c r="I10" s="146"/>
      <c r="J10" s="321"/>
      <c r="K10" s="295"/>
      <c r="L10" s="291"/>
      <c r="M10" s="291"/>
      <c r="N10" s="146"/>
      <c r="O10" s="146"/>
      <c r="P10" s="146"/>
      <c r="Q10" s="146"/>
      <c r="R10" s="146"/>
      <c r="S10" s="146"/>
      <c r="T10" s="146"/>
      <c r="U10" s="146"/>
      <c r="V10" s="146"/>
      <c r="W10" s="146"/>
      <c r="X10" s="146"/>
      <c r="Y10" s="146"/>
      <c r="Z10" s="146"/>
      <c r="AA10" s="146"/>
      <c r="AB10" s="146"/>
      <c r="AC10" s="146"/>
      <c r="AD10" s="146"/>
      <c r="AE10" s="146"/>
      <c r="AF10" s="146"/>
      <c r="AG10" s="146"/>
      <c r="AH10" s="146"/>
      <c r="AI10" s="146"/>
      <c r="AJ10" s="146"/>
      <c r="AK10" s="146"/>
      <c r="AL10" s="146"/>
      <c r="AM10" s="146"/>
      <c r="AN10" s="146"/>
      <c r="AO10" s="146"/>
      <c r="AP10" s="146"/>
      <c r="AQ10" s="146"/>
      <c r="AR10" s="146"/>
      <c r="AS10" s="146"/>
      <c r="AT10" s="146"/>
      <c r="AU10" s="146"/>
      <c r="AV10" s="146"/>
      <c r="AW10" s="146"/>
      <c r="AX10" s="146"/>
      <c r="AY10" s="146"/>
      <c r="AZ10" s="146"/>
      <c r="BA10" s="146"/>
      <c r="BB10" s="146"/>
      <c r="BC10" s="146"/>
      <c r="BD10" s="146"/>
      <c r="BE10" s="146"/>
      <c r="BF10" s="146"/>
      <c r="BG10" s="146"/>
      <c r="BH10" s="146"/>
      <c r="BI10" s="146"/>
      <c r="BJ10" s="146"/>
      <c r="BK10" s="146"/>
      <c r="BL10" s="146"/>
      <c r="BM10" s="146"/>
      <c r="BN10" s="146"/>
      <c r="BO10" s="146"/>
      <c r="BP10" s="146"/>
      <c r="BQ10" s="146"/>
      <c r="BR10" s="146"/>
      <c r="BS10" s="146"/>
      <c r="BT10" s="146"/>
      <c r="BU10" s="146"/>
      <c r="BV10" s="146"/>
      <c r="BW10" s="146"/>
      <c r="BX10" s="146"/>
      <c r="BY10" s="146"/>
      <c r="BZ10" s="146"/>
      <c r="CA10" s="146"/>
      <c r="CB10" s="146"/>
      <c r="CC10" s="146"/>
      <c r="CD10" s="146"/>
      <c r="CE10" s="146"/>
      <c r="CF10" s="146"/>
      <c r="CG10" s="146"/>
      <c r="CH10" s="146"/>
      <c r="CI10" s="146"/>
      <c r="CJ10" s="146"/>
      <c r="CK10" s="146"/>
      <c r="CL10" s="146"/>
      <c r="CM10" s="146"/>
      <c r="CN10" s="146"/>
      <c r="CO10" s="146"/>
      <c r="CP10" s="146"/>
      <c r="CQ10" s="146"/>
      <c r="CR10" s="146"/>
      <c r="CS10" s="146"/>
      <c r="CT10" s="146"/>
      <c r="CU10" s="146"/>
      <c r="CV10" s="146"/>
      <c r="CW10" s="146"/>
      <c r="CX10" s="146"/>
      <c r="CY10" s="146"/>
      <c r="CZ10" s="146"/>
      <c r="DA10" s="146"/>
      <c r="DB10" s="146"/>
      <c r="DC10" s="146"/>
      <c r="DD10" s="146"/>
      <c r="DE10" s="146"/>
      <c r="DF10" s="146"/>
      <c r="DG10" s="146"/>
      <c r="DH10" s="146"/>
      <c r="DI10" s="146"/>
      <c r="DJ10" s="146"/>
      <c r="DK10" s="146"/>
      <c r="DL10" s="146"/>
      <c r="DM10" s="146"/>
      <c r="DN10" s="146"/>
      <c r="DO10" s="146"/>
      <c r="DP10" s="146"/>
      <c r="DQ10" s="146"/>
      <c r="DR10" s="146"/>
      <c r="DS10" s="146"/>
      <c r="DT10" s="146"/>
      <c r="DU10" s="146"/>
      <c r="DV10" s="146"/>
      <c r="DW10" s="146"/>
      <c r="DX10" s="146"/>
      <c r="DY10" s="146"/>
      <c r="DZ10" s="146"/>
      <c r="EA10" s="146"/>
      <c r="EB10" s="146"/>
      <c r="EC10" s="146"/>
      <c r="ED10" s="146"/>
      <c r="EE10" s="146"/>
      <c r="EF10" s="146"/>
      <c r="EG10" s="146"/>
      <c r="EH10" s="146"/>
      <c r="EI10" s="146"/>
      <c r="EJ10" s="146"/>
      <c r="EK10" s="146"/>
      <c r="EL10" s="146"/>
      <c r="EM10" s="146"/>
      <c r="EN10" s="146"/>
      <c r="EO10" s="146"/>
      <c r="EP10" s="146"/>
      <c r="EQ10" s="146"/>
      <c r="ER10" s="146"/>
      <c r="ES10" s="146"/>
      <c r="ET10" s="146"/>
      <c r="EU10" s="146"/>
      <c r="EV10" s="146"/>
      <c r="EW10" s="146"/>
      <c r="EX10" s="146"/>
      <c r="EY10" s="146"/>
      <c r="EZ10" s="146"/>
      <c r="FA10" s="146"/>
      <c r="FB10" s="146"/>
      <c r="FC10" s="146"/>
      <c r="FD10" s="146"/>
      <c r="FE10" s="146"/>
      <c r="FF10" s="146"/>
      <c r="FG10" s="146"/>
      <c r="FH10" s="146"/>
      <c r="FI10" s="146"/>
      <c r="FJ10" s="146"/>
      <c r="FK10" s="146"/>
      <c r="FL10" s="146"/>
      <c r="FM10" s="146"/>
      <c r="FN10" s="146"/>
      <c r="FO10" s="146"/>
      <c r="FP10" s="146"/>
      <c r="FQ10" s="146"/>
      <c r="FR10" s="146"/>
      <c r="FS10" s="146"/>
      <c r="FT10" s="146"/>
      <c r="FU10" s="146"/>
      <c r="FV10" s="146"/>
      <c r="FW10" s="146"/>
      <c r="FX10" s="146"/>
      <c r="FY10" s="146"/>
      <c r="FZ10" s="146"/>
      <c r="GA10" s="146"/>
      <c r="GB10" s="146"/>
      <c r="GC10" s="146"/>
      <c r="GD10" s="146"/>
      <c r="GE10" s="146"/>
      <c r="GF10" s="146"/>
      <c r="GG10" s="146"/>
      <c r="GH10" s="146"/>
      <c r="GI10" s="146"/>
      <c r="GJ10" s="146"/>
      <c r="GK10" s="146"/>
      <c r="GL10" s="146"/>
      <c r="GM10" s="146"/>
      <c r="GN10" s="146"/>
      <c r="GO10" s="146"/>
      <c r="GP10" s="146"/>
      <c r="GQ10" s="146"/>
      <c r="GR10" s="146"/>
      <c r="GS10" s="146"/>
      <c r="GT10" s="146"/>
      <c r="GU10" s="146"/>
      <c r="GV10" s="146"/>
      <c r="GW10" s="146"/>
      <c r="GX10" s="146"/>
      <c r="GY10" s="146"/>
      <c r="GZ10" s="146"/>
      <c r="HA10" s="146"/>
      <c r="HB10" s="146"/>
      <c r="HC10" s="146"/>
      <c r="HD10" s="146"/>
      <c r="HE10" s="146"/>
      <c r="HF10" s="146"/>
      <c r="HG10" s="146"/>
      <c r="HH10" s="146"/>
      <c r="HI10" s="146"/>
      <c r="HJ10" s="146"/>
      <c r="HK10" s="146"/>
      <c r="HL10" s="146"/>
      <c r="HM10" s="146"/>
      <c r="HN10" s="146"/>
      <c r="HO10" s="146"/>
      <c r="HP10" s="146"/>
      <c r="HQ10" s="146"/>
      <c r="HR10" s="146"/>
      <c r="HS10" s="146"/>
      <c r="HT10" s="146"/>
      <c r="HU10" s="146"/>
      <c r="HV10" s="146"/>
      <c r="HW10" s="146"/>
      <c r="HX10" s="146"/>
      <c r="HY10" s="146"/>
      <c r="HZ10" s="146"/>
      <c r="IA10" s="146"/>
      <c r="IB10" s="146"/>
      <c r="IC10" s="146"/>
      <c r="ID10" s="146"/>
      <c r="IE10" s="146"/>
      <c r="IF10" s="146"/>
      <c r="IG10" s="146"/>
      <c r="IH10" s="146"/>
      <c r="II10" s="146"/>
      <c r="IJ10" s="146"/>
      <c r="IK10" s="146"/>
      <c r="IL10" s="146"/>
      <c r="IM10" s="146"/>
      <c r="IN10" s="146"/>
      <c r="IO10" s="146"/>
    </row>
    <row r="11" spans="1:249" s="6" customFormat="1" ht="14.1" customHeight="1" x14ac:dyDescent="0.25">
      <c r="A11" s="1"/>
      <c r="B11" s="1"/>
      <c r="C11" s="1"/>
      <c r="D11" s="241"/>
      <c r="E11" s="146"/>
      <c r="F11" s="347"/>
      <c r="G11" s="347"/>
      <c r="H11" s="146"/>
      <c r="I11" s="146"/>
      <c r="J11" s="321"/>
      <c r="K11" s="295"/>
      <c r="L11" s="291"/>
      <c r="M11" s="291"/>
      <c r="N11" s="146"/>
      <c r="O11" s="146"/>
      <c r="P11" s="146"/>
      <c r="Q11" s="146"/>
      <c r="R11" s="146"/>
      <c r="S11" s="146"/>
      <c r="T11" s="146"/>
      <c r="U11" s="146"/>
      <c r="V11" s="146"/>
      <c r="W11" s="146"/>
      <c r="X11" s="146"/>
      <c r="Y11" s="146"/>
      <c r="Z11" s="146"/>
      <c r="AA11" s="146"/>
      <c r="AB11" s="146"/>
      <c r="AC11" s="146"/>
      <c r="AD11" s="146"/>
      <c r="AE11" s="146"/>
      <c r="AF11" s="146"/>
      <c r="AG11" s="146"/>
      <c r="AH11" s="146"/>
      <c r="AI11" s="146"/>
      <c r="AJ11" s="146"/>
      <c r="AK11" s="146"/>
      <c r="AL11" s="146"/>
      <c r="AM11" s="146"/>
      <c r="AN11" s="146"/>
      <c r="AO11" s="146"/>
      <c r="AP11" s="146"/>
      <c r="AQ11" s="146"/>
      <c r="AR11" s="146"/>
      <c r="AS11" s="146"/>
      <c r="AT11" s="146"/>
      <c r="AU11" s="146"/>
      <c r="AV11" s="146"/>
      <c r="AW11" s="146"/>
      <c r="AX11" s="146"/>
      <c r="AY11" s="146"/>
      <c r="AZ11" s="146"/>
      <c r="BA11" s="146"/>
      <c r="BB11" s="146"/>
      <c r="BC11" s="146"/>
      <c r="BD11" s="146"/>
      <c r="BE11" s="146"/>
      <c r="BF11" s="146"/>
      <c r="BG11" s="146"/>
      <c r="BH11" s="146"/>
      <c r="BI11" s="146"/>
      <c r="BJ11" s="146"/>
      <c r="BK11" s="146"/>
      <c r="BL11" s="146"/>
      <c r="BM11" s="146"/>
      <c r="BN11" s="146"/>
      <c r="BO11" s="146"/>
      <c r="BP11" s="146"/>
      <c r="BQ11" s="146"/>
      <c r="BR11" s="146"/>
      <c r="BS11" s="146"/>
      <c r="BT11" s="146"/>
      <c r="BU11" s="146"/>
      <c r="BV11" s="146"/>
      <c r="BW11" s="146"/>
      <c r="BX11" s="146"/>
      <c r="BY11" s="146"/>
      <c r="BZ11" s="146"/>
      <c r="CA11" s="146"/>
      <c r="CB11" s="146"/>
      <c r="CC11" s="146"/>
      <c r="CD11" s="146"/>
      <c r="CE11" s="146"/>
      <c r="CF11" s="146"/>
      <c r="CG11" s="146"/>
      <c r="CH11" s="146"/>
      <c r="CI11" s="146"/>
      <c r="CJ11" s="146"/>
      <c r="CK11" s="146"/>
      <c r="CL11" s="146"/>
      <c r="CM11" s="146"/>
      <c r="CN11" s="146"/>
      <c r="CO11" s="146"/>
      <c r="CP11" s="146"/>
      <c r="CQ11" s="146"/>
      <c r="CR11" s="146"/>
      <c r="CS11" s="146"/>
      <c r="CT11" s="146"/>
      <c r="CU11" s="146"/>
      <c r="CV11" s="146"/>
      <c r="CW11" s="146"/>
      <c r="CX11" s="146"/>
      <c r="CY11" s="146"/>
      <c r="CZ11" s="146"/>
      <c r="DA11" s="146"/>
      <c r="DB11" s="146"/>
      <c r="DC11" s="146"/>
      <c r="DD11" s="146"/>
      <c r="DE11" s="146"/>
      <c r="DF11" s="146"/>
      <c r="DG11" s="146"/>
      <c r="DH11" s="146"/>
      <c r="DI11" s="146"/>
      <c r="DJ11" s="146"/>
      <c r="DK11" s="146"/>
      <c r="DL11" s="146"/>
      <c r="DM11" s="146"/>
      <c r="DN11" s="146"/>
      <c r="DO11" s="146"/>
      <c r="DP11" s="146"/>
      <c r="DQ11" s="146"/>
      <c r="DR11" s="146"/>
      <c r="DS11" s="146"/>
      <c r="DT11" s="146"/>
      <c r="DU11" s="146"/>
      <c r="DV11" s="146"/>
      <c r="DW11" s="146"/>
      <c r="DX11" s="146"/>
      <c r="DY11" s="146"/>
      <c r="DZ11" s="146"/>
      <c r="EA11" s="146"/>
      <c r="EB11" s="146"/>
      <c r="EC11" s="146"/>
      <c r="ED11" s="146"/>
      <c r="EE11" s="146"/>
      <c r="EF11" s="146"/>
      <c r="EG11" s="146"/>
      <c r="EH11" s="146"/>
      <c r="EI11" s="146"/>
      <c r="EJ11" s="146"/>
      <c r="EK11" s="146"/>
      <c r="EL11" s="146"/>
      <c r="EM11" s="146"/>
      <c r="EN11" s="146"/>
      <c r="EO11" s="146"/>
      <c r="EP11" s="146"/>
      <c r="EQ11" s="146"/>
      <c r="ER11" s="146"/>
      <c r="ES11" s="146"/>
      <c r="ET11" s="146"/>
      <c r="EU11" s="146"/>
      <c r="EV11" s="146"/>
      <c r="EW11" s="146"/>
      <c r="EX11" s="146"/>
      <c r="EY11" s="146"/>
      <c r="EZ11" s="146"/>
      <c r="FA11" s="146"/>
      <c r="FB11" s="146"/>
      <c r="FC11" s="146"/>
      <c r="FD11" s="146"/>
      <c r="FE11" s="146"/>
      <c r="FF11" s="146"/>
      <c r="FG11" s="146"/>
      <c r="FH11" s="146"/>
      <c r="FI11" s="146"/>
      <c r="FJ11" s="146"/>
      <c r="FK11" s="146"/>
      <c r="FL11" s="146"/>
      <c r="FM11" s="146"/>
      <c r="FN11" s="146"/>
      <c r="FO11" s="146"/>
      <c r="FP11" s="146"/>
      <c r="FQ11" s="146"/>
      <c r="FR11" s="146"/>
      <c r="FS11" s="146"/>
      <c r="FT11" s="146"/>
      <c r="FU11" s="146"/>
      <c r="FV11" s="146"/>
      <c r="FW11" s="146"/>
      <c r="FX11" s="146"/>
      <c r="FY11" s="146"/>
      <c r="FZ11" s="146"/>
      <c r="GA11" s="146"/>
      <c r="GB11" s="146"/>
      <c r="GC11" s="146"/>
      <c r="GD11" s="146"/>
      <c r="GE11" s="146"/>
      <c r="GF11" s="146"/>
      <c r="GG11" s="146"/>
      <c r="GH11" s="146"/>
      <c r="GI11" s="146"/>
      <c r="GJ11" s="146"/>
      <c r="GK11" s="146"/>
      <c r="GL11" s="146"/>
      <c r="GM11" s="146"/>
      <c r="GN11" s="146"/>
      <c r="GO11" s="146"/>
      <c r="GP11" s="146"/>
      <c r="GQ11" s="146"/>
      <c r="GR11" s="146"/>
      <c r="GS11" s="146"/>
      <c r="GT11" s="146"/>
      <c r="GU11" s="146"/>
      <c r="GV11" s="146"/>
      <c r="GW11" s="146"/>
      <c r="GX11" s="146"/>
      <c r="GY11" s="146"/>
      <c r="GZ11" s="146"/>
      <c r="HA11" s="146"/>
      <c r="HB11" s="146"/>
      <c r="HC11" s="146"/>
      <c r="HD11" s="146"/>
      <c r="HE11" s="146"/>
      <c r="HF11" s="146"/>
      <c r="HG11" s="146"/>
      <c r="HH11" s="146"/>
      <c r="HI11" s="146"/>
      <c r="HJ11" s="146"/>
      <c r="HK11" s="146"/>
      <c r="HL11" s="146"/>
      <c r="HM11" s="146"/>
      <c r="HN11" s="146"/>
      <c r="HO11" s="146"/>
      <c r="HP11" s="146"/>
      <c r="HQ11" s="146"/>
      <c r="HR11" s="146"/>
      <c r="HS11" s="146"/>
      <c r="HT11" s="146"/>
      <c r="HU11" s="146"/>
      <c r="HV11" s="146"/>
      <c r="HW11" s="146"/>
      <c r="HX11" s="146"/>
      <c r="HY11" s="146"/>
      <c r="HZ11" s="146"/>
      <c r="IA11" s="146"/>
      <c r="IB11" s="146"/>
      <c r="IC11" s="146"/>
      <c r="ID11" s="146"/>
      <c r="IE11" s="146"/>
      <c r="IF11" s="146"/>
      <c r="IG11" s="146"/>
      <c r="IH11" s="146"/>
      <c r="II11" s="146"/>
      <c r="IJ11" s="146"/>
      <c r="IK11" s="146"/>
      <c r="IL11" s="146"/>
      <c r="IM11" s="146"/>
      <c r="IN11" s="146"/>
      <c r="IO11" s="146"/>
    </row>
    <row r="12" spans="1:249" s="6" customFormat="1" ht="14.1" customHeight="1" x14ac:dyDescent="0.3">
      <c r="A12" s="152" t="s">
        <v>10</v>
      </c>
      <c r="B12" s="159"/>
      <c r="C12" s="159"/>
      <c r="D12" s="350"/>
      <c r="E12" s="351"/>
      <c r="F12" s="352"/>
      <c r="G12" s="353"/>
      <c r="H12" s="146"/>
      <c r="I12" s="146"/>
      <c r="J12" s="321"/>
      <c r="K12" s="295"/>
      <c r="L12" s="291"/>
      <c r="M12" s="291"/>
      <c r="N12" s="146"/>
      <c r="O12" s="146"/>
      <c r="P12" s="146"/>
      <c r="Q12" s="146"/>
      <c r="R12" s="146"/>
      <c r="S12" s="146"/>
      <c r="T12" s="146"/>
      <c r="U12" s="146"/>
      <c r="V12" s="146"/>
      <c r="W12" s="146"/>
      <c r="X12" s="146"/>
      <c r="Y12" s="146"/>
      <c r="Z12" s="146"/>
      <c r="AA12" s="146"/>
      <c r="AB12" s="146"/>
      <c r="AC12" s="146"/>
      <c r="AD12" s="146"/>
      <c r="AE12" s="146"/>
      <c r="AF12" s="146"/>
      <c r="AG12" s="146"/>
      <c r="AH12" s="146"/>
      <c r="AI12" s="146"/>
      <c r="AJ12" s="146"/>
      <c r="AK12" s="146"/>
      <c r="AL12" s="146"/>
      <c r="AM12" s="146"/>
      <c r="AN12" s="146"/>
      <c r="AO12" s="146"/>
      <c r="AP12" s="146"/>
      <c r="AQ12" s="146"/>
      <c r="AR12" s="146"/>
      <c r="AS12" s="146"/>
      <c r="AT12" s="146"/>
      <c r="AU12" s="146"/>
      <c r="AV12" s="146"/>
      <c r="AW12" s="146"/>
      <c r="AX12" s="146"/>
      <c r="AY12" s="146"/>
      <c r="AZ12" s="146"/>
      <c r="BA12" s="146"/>
      <c r="BB12" s="146"/>
      <c r="BC12" s="146"/>
      <c r="BD12" s="146"/>
      <c r="BE12" s="146"/>
      <c r="BF12" s="146"/>
      <c r="BG12" s="146"/>
      <c r="BH12" s="146"/>
      <c r="BI12" s="146"/>
      <c r="BJ12" s="146"/>
      <c r="BK12" s="146"/>
      <c r="BL12" s="146"/>
      <c r="BM12" s="146"/>
      <c r="BN12" s="146"/>
      <c r="BO12" s="146"/>
      <c r="BP12" s="146"/>
      <c r="BQ12" s="146"/>
      <c r="BR12" s="146"/>
      <c r="BS12" s="146"/>
      <c r="BT12" s="146"/>
      <c r="BU12" s="146"/>
      <c r="BV12" s="146"/>
      <c r="BW12" s="146"/>
      <c r="BX12" s="146"/>
      <c r="BY12" s="146"/>
      <c r="BZ12" s="146"/>
      <c r="CA12" s="146"/>
      <c r="CB12" s="146"/>
      <c r="CC12" s="146"/>
      <c r="CD12" s="146"/>
      <c r="CE12" s="146"/>
      <c r="CF12" s="146"/>
      <c r="CG12" s="146"/>
      <c r="CH12" s="146"/>
      <c r="CI12" s="146"/>
      <c r="CJ12" s="146"/>
      <c r="CK12" s="146"/>
      <c r="CL12" s="146"/>
      <c r="CM12" s="146"/>
      <c r="CN12" s="146"/>
      <c r="CO12" s="146"/>
      <c r="CP12" s="146"/>
      <c r="CQ12" s="146"/>
      <c r="CR12" s="146"/>
      <c r="CS12" s="146"/>
      <c r="CT12" s="146"/>
      <c r="CU12" s="146"/>
      <c r="CV12" s="146"/>
      <c r="CW12" s="146"/>
      <c r="CX12" s="146"/>
      <c r="CY12" s="146"/>
      <c r="CZ12" s="146"/>
      <c r="DA12" s="146"/>
      <c r="DB12" s="146"/>
      <c r="DC12" s="146"/>
      <c r="DD12" s="146"/>
      <c r="DE12" s="146"/>
      <c r="DF12" s="146"/>
      <c r="DG12" s="146"/>
      <c r="DH12" s="146"/>
      <c r="DI12" s="146"/>
      <c r="DJ12" s="146"/>
      <c r="DK12" s="146"/>
      <c r="DL12" s="146"/>
      <c r="DM12" s="146"/>
      <c r="DN12" s="146"/>
      <c r="DO12" s="146"/>
      <c r="DP12" s="146"/>
      <c r="DQ12" s="146"/>
      <c r="DR12" s="146"/>
      <c r="DS12" s="146"/>
      <c r="DT12" s="146"/>
      <c r="DU12" s="146"/>
      <c r="DV12" s="146"/>
      <c r="DW12" s="146"/>
      <c r="DX12" s="146"/>
      <c r="DY12" s="146"/>
      <c r="DZ12" s="146"/>
      <c r="EA12" s="146"/>
      <c r="EB12" s="146"/>
      <c r="EC12" s="146"/>
      <c r="ED12" s="146"/>
      <c r="EE12" s="146"/>
      <c r="EF12" s="146"/>
      <c r="EG12" s="146"/>
      <c r="EH12" s="146"/>
      <c r="EI12" s="146"/>
      <c r="EJ12" s="146"/>
      <c r="EK12" s="146"/>
      <c r="EL12" s="146"/>
      <c r="EM12" s="146"/>
      <c r="EN12" s="146"/>
      <c r="EO12" s="146"/>
      <c r="EP12" s="146"/>
      <c r="EQ12" s="146"/>
      <c r="ER12" s="146"/>
      <c r="ES12" s="146"/>
      <c r="ET12" s="146"/>
      <c r="EU12" s="146"/>
      <c r="EV12" s="146"/>
      <c r="EW12" s="146"/>
      <c r="EX12" s="146"/>
      <c r="EY12" s="146"/>
      <c r="EZ12" s="146"/>
      <c r="FA12" s="146"/>
      <c r="FB12" s="146"/>
      <c r="FC12" s="146"/>
      <c r="FD12" s="146"/>
      <c r="FE12" s="146"/>
      <c r="FF12" s="146"/>
      <c r="FG12" s="146"/>
      <c r="FH12" s="146"/>
      <c r="FI12" s="146"/>
      <c r="FJ12" s="146"/>
      <c r="FK12" s="146"/>
      <c r="FL12" s="146"/>
      <c r="FM12" s="146"/>
      <c r="FN12" s="146"/>
      <c r="FO12" s="146"/>
      <c r="FP12" s="146"/>
      <c r="FQ12" s="146"/>
      <c r="FR12" s="146"/>
      <c r="FS12" s="146"/>
      <c r="FT12" s="146"/>
      <c r="FU12" s="146"/>
      <c r="FV12" s="146"/>
      <c r="FW12" s="146"/>
      <c r="FX12" s="146"/>
      <c r="FY12" s="146"/>
      <c r="FZ12" s="146"/>
      <c r="GA12" s="146"/>
      <c r="GB12" s="146"/>
      <c r="GC12" s="146"/>
      <c r="GD12" s="146"/>
      <c r="GE12" s="146"/>
      <c r="GF12" s="146"/>
      <c r="GG12" s="146"/>
      <c r="GH12" s="146"/>
      <c r="GI12" s="146"/>
      <c r="GJ12" s="146"/>
      <c r="GK12" s="146"/>
      <c r="GL12" s="146"/>
      <c r="GM12" s="146"/>
      <c r="GN12" s="146"/>
      <c r="GO12" s="146"/>
      <c r="GP12" s="146"/>
      <c r="GQ12" s="146"/>
      <c r="GR12" s="146"/>
      <c r="GS12" s="146"/>
      <c r="GT12" s="146"/>
      <c r="GU12" s="146"/>
      <c r="GV12" s="146"/>
      <c r="GW12" s="146"/>
      <c r="GX12" s="146"/>
      <c r="GY12" s="146"/>
      <c r="GZ12" s="146"/>
      <c r="HA12" s="146"/>
      <c r="HB12" s="146"/>
      <c r="HC12" s="146"/>
      <c r="HD12" s="146"/>
      <c r="HE12" s="146"/>
      <c r="HF12" s="146"/>
      <c r="HG12" s="146"/>
      <c r="HH12" s="146"/>
      <c r="HI12" s="146"/>
      <c r="HJ12" s="146"/>
      <c r="HK12" s="146"/>
      <c r="HL12" s="146"/>
      <c r="HM12" s="146"/>
      <c r="HN12" s="146"/>
      <c r="HO12" s="146"/>
      <c r="HP12" s="146"/>
      <c r="HQ12" s="146"/>
      <c r="HR12" s="146"/>
      <c r="HS12" s="146"/>
      <c r="HT12" s="146"/>
      <c r="HU12" s="146"/>
      <c r="HV12" s="146"/>
      <c r="HW12" s="146"/>
      <c r="HX12" s="146"/>
      <c r="HY12" s="146"/>
      <c r="HZ12" s="146"/>
      <c r="IA12" s="146"/>
      <c r="IB12" s="146"/>
      <c r="IC12" s="146"/>
      <c r="ID12" s="146"/>
      <c r="IE12" s="146"/>
      <c r="IF12" s="146"/>
      <c r="IG12" s="146"/>
      <c r="IH12" s="146"/>
      <c r="II12" s="146"/>
      <c r="IJ12" s="146"/>
      <c r="IK12" s="146"/>
      <c r="IL12" s="146"/>
      <c r="IM12" s="146"/>
      <c r="IN12" s="146"/>
      <c r="IO12" s="146"/>
    </row>
    <row r="13" spans="1:249" s="6" customFormat="1" ht="14.1" customHeight="1" x14ac:dyDescent="0.25">
      <c r="A13" s="1"/>
      <c r="B13" s="1"/>
      <c r="C13" s="1"/>
      <c r="D13" s="241"/>
      <c r="E13" s="146"/>
      <c r="F13" s="145"/>
      <c r="G13" s="347"/>
      <c r="H13" s="146"/>
      <c r="I13" s="146"/>
      <c r="J13" s="321"/>
      <c r="K13" s="295"/>
      <c r="L13" s="291"/>
      <c r="M13" s="291"/>
      <c r="N13" s="146"/>
      <c r="O13" s="146"/>
      <c r="P13" s="146"/>
      <c r="Q13" s="146"/>
      <c r="R13" s="146"/>
      <c r="S13" s="146"/>
      <c r="T13" s="146"/>
      <c r="U13" s="146"/>
      <c r="V13" s="146"/>
      <c r="W13" s="146"/>
      <c r="X13" s="146"/>
      <c r="Y13" s="146"/>
      <c r="Z13" s="146"/>
      <c r="AA13" s="146"/>
      <c r="AB13" s="146"/>
      <c r="AC13" s="146"/>
      <c r="AD13" s="146"/>
      <c r="AE13" s="146"/>
      <c r="AF13" s="146"/>
      <c r="AG13" s="146"/>
      <c r="AH13" s="146"/>
      <c r="AI13" s="146"/>
      <c r="AJ13" s="146"/>
      <c r="AK13" s="146"/>
      <c r="AL13" s="146"/>
      <c r="AM13" s="146"/>
      <c r="AN13" s="146"/>
      <c r="AO13" s="146"/>
      <c r="AP13" s="146"/>
      <c r="AQ13" s="146"/>
      <c r="AR13" s="146"/>
      <c r="AS13" s="146"/>
      <c r="AT13" s="146"/>
      <c r="AU13" s="146"/>
      <c r="AV13" s="146"/>
      <c r="AW13" s="146"/>
      <c r="AX13" s="146"/>
      <c r="AY13" s="146"/>
      <c r="AZ13" s="146"/>
      <c r="BA13" s="146"/>
      <c r="BB13" s="146"/>
      <c r="BC13" s="146"/>
      <c r="BD13" s="146"/>
      <c r="BE13" s="146"/>
      <c r="BF13" s="146"/>
      <c r="BG13" s="146"/>
      <c r="BH13" s="146"/>
      <c r="BI13" s="146"/>
      <c r="BJ13" s="146"/>
      <c r="BK13" s="146"/>
      <c r="BL13" s="146"/>
      <c r="BM13" s="146"/>
      <c r="BN13" s="146"/>
      <c r="BO13" s="146"/>
      <c r="BP13" s="146"/>
      <c r="BQ13" s="146"/>
      <c r="BR13" s="146"/>
      <c r="BS13" s="146"/>
      <c r="BT13" s="146"/>
      <c r="BU13" s="146"/>
      <c r="BV13" s="146"/>
      <c r="BW13" s="146"/>
      <c r="BX13" s="146"/>
      <c r="BY13" s="146"/>
      <c r="BZ13" s="146"/>
      <c r="CA13" s="146"/>
      <c r="CB13" s="146"/>
      <c r="CC13" s="146"/>
      <c r="CD13" s="146"/>
      <c r="CE13" s="146"/>
      <c r="CF13" s="146"/>
      <c r="CG13" s="146"/>
      <c r="CH13" s="146"/>
      <c r="CI13" s="146"/>
      <c r="CJ13" s="146"/>
      <c r="CK13" s="146"/>
      <c r="CL13" s="146"/>
      <c r="CM13" s="146"/>
      <c r="CN13" s="146"/>
      <c r="CO13" s="146"/>
      <c r="CP13" s="146"/>
      <c r="CQ13" s="146"/>
      <c r="CR13" s="146"/>
      <c r="CS13" s="146"/>
      <c r="CT13" s="146"/>
      <c r="CU13" s="146"/>
      <c r="CV13" s="146"/>
      <c r="CW13" s="146"/>
      <c r="CX13" s="146"/>
      <c r="CY13" s="146"/>
      <c r="CZ13" s="146"/>
      <c r="DA13" s="146"/>
      <c r="DB13" s="146"/>
      <c r="DC13" s="146"/>
      <c r="DD13" s="146"/>
      <c r="DE13" s="146"/>
      <c r="DF13" s="146"/>
      <c r="DG13" s="146"/>
      <c r="DH13" s="146"/>
      <c r="DI13" s="146"/>
      <c r="DJ13" s="146"/>
      <c r="DK13" s="146"/>
      <c r="DL13" s="146"/>
      <c r="DM13" s="146"/>
      <c r="DN13" s="146"/>
      <c r="DO13" s="146"/>
      <c r="DP13" s="146"/>
      <c r="DQ13" s="146"/>
      <c r="DR13" s="146"/>
      <c r="DS13" s="146"/>
      <c r="DT13" s="146"/>
      <c r="DU13" s="146"/>
      <c r="DV13" s="146"/>
      <c r="DW13" s="146"/>
      <c r="DX13" s="146"/>
      <c r="DY13" s="146"/>
      <c r="DZ13" s="146"/>
      <c r="EA13" s="146"/>
      <c r="EB13" s="146"/>
      <c r="EC13" s="146"/>
      <c r="ED13" s="146"/>
      <c r="EE13" s="146"/>
      <c r="EF13" s="146"/>
      <c r="EG13" s="146"/>
      <c r="EH13" s="146"/>
      <c r="EI13" s="146"/>
      <c r="EJ13" s="146"/>
      <c r="EK13" s="146"/>
      <c r="EL13" s="146"/>
      <c r="EM13" s="146"/>
      <c r="EN13" s="146"/>
      <c r="EO13" s="146"/>
      <c r="EP13" s="146"/>
      <c r="EQ13" s="146"/>
      <c r="ER13" s="146"/>
      <c r="ES13" s="146"/>
      <c r="ET13" s="146"/>
      <c r="EU13" s="146"/>
      <c r="EV13" s="146"/>
      <c r="EW13" s="146"/>
      <c r="EX13" s="146"/>
      <c r="EY13" s="146"/>
      <c r="EZ13" s="146"/>
      <c r="FA13" s="146"/>
      <c r="FB13" s="146"/>
      <c r="FC13" s="146"/>
      <c r="FD13" s="146"/>
      <c r="FE13" s="146"/>
      <c r="FF13" s="146"/>
      <c r="FG13" s="146"/>
      <c r="FH13" s="146"/>
      <c r="FI13" s="146"/>
      <c r="FJ13" s="146"/>
      <c r="FK13" s="146"/>
      <c r="FL13" s="146"/>
      <c r="FM13" s="146"/>
      <c r="FN13" s="146"/>
      <c r="FO13" s="146"/>
      <c r="FP13" s="146"/>
      <c r="FQ13" s="146"/>
      <c r="FR13" s="146"/>
      <c r="FS13" s="146"/>
      <c r="FT13" s="146"/>
      <c r="FU13" s="146"/>
      <c r="FV13" s="146"/>
      <c r="FW13" s="146"/>
      <c r="FX13" s="146"/>
      <c r="FY13" s="146"/>
      <c r="FZ13" s="146"/>
      <c r="GA13" s="146"/>
      <c r="GB13" s="146"/>
      <c r="GC13" s="146"/>
      <c r="GD13" s="146"/>
      <c r="GE13" s="146"/>
      <c r="GF13" s="146"/>
      <c r="GG13" s="146"/>
      <c r="GH13" s="146"/>
      <c r="GI13" s="146"/>
      <c r="GJ13" s="146"/>
      <c r="GK13" s="146"/>
      <c r="GL13" s="146"/>
      <c r="GM13" s="146"/>
      <c r="GN13" s="146"/>
      <c r="GO13" s="146"/>
      <c r="GP13" s="146"/>
      <c r="GQ13" s="146"/>
      <c r="GR13" s="146"/>
      <c r="GS13" s="146"/>
      <c r="GT13" s="146"/>
      <c r="GU13" s="146"/>
      <c r="GV13" s="146"/>
      <c r="GW13" s="146"/>
      <c r="GX13" s="146"/>
      <c r="GY13" s="146"/>
      <c r="GZ13" s="146"/>
      <c r="HA13" s="146"/>
      <c r="HB13" s="146"/>
      <c r="HC13" s="146"/>
      <c r="HD13" s="146"/>
      <c r="HE13" s="146"/>
      <c r="HF13" s="146"/>
      <c r="HG13" s="146"/>
      <c r="HH13" s="146"/>
      <c r="HI13" s="146"/>
      <c r="HJ13" s="146"/>
      <c r="HK13" s="146"/>
      <c r="HL13" s="146"/>
      <c r="HM13" s="146"/>
      <c r="HN13" s="146"/>
      <c r="HO13" s="146"/>
      <c r="HP13" s="146"/>
      <c r="HQ13" s="146"/>
      <c r="HR13" s="146"/>
      <c r="HS13" s="146"/>
      <c r="HT13" s="146"/>
      <c r="HU13" s="146"/>
      <c r="HV13" s="146"/>
      <c r="HW13" s="146"/>
      <c r="HX13" s="146"/>
      <c r="HY13" s="146"/>
      <c r="HZ13" s="146"/>
      <c r="IA13" s="146"/>
      <c r="IB13" s="146"/>
      <c r="IC13" s="146"/>
      <c r="ID13" s="146"/>
      <c r="IE13" s="146"/>
      <c r="IF13" s="146"/>
      <c r="IG13" s="146"/>
      <c r="IH13" s="146"/>
      <c r="II13" s="146"/>
      <c r="IJ13" s="146"/>
      <c r="IK13" s="146"/>
      <c r="IL13" s="146"/>
      <c r="IM13" s="146"/>
      <c r="IN13" s="146"/>
      <c r="IO13" s="146"/>
    </row>
    <row r="14" spans="1:249" s="6" customFormat="1" ht="14.1" customHeight="1" x14ac:dyDescent="0.25">
      <c r="A14" s="1"/>
      <c r="B14" s="1"/>
      <c r="C14" s="1"/>
      <c r="D14" s="40" t="str">
        <f>"(5)"</f>
        <v>(5)</v>
      </c>
      <c r="E14" s="31" t="str">
        <f>"(6)"</f>
        <v>(6)</v>
      </c>
      <c r="F14" s="31" t="str">
        <f>"(7)"</f>
        <v>(7)</v>
      </c>
      <c r="G14" s="347"/>
      <c r="H14" s="146"/>
      <c r="I14" s="146"/>
      <c r="J14" s="321"/>
      <c r="K14" s="295"/>
      <c r="L14" s="291"/>
      <c r="M14" s="291"/>
      <c r="N14" s="146"/>
      <c r="O14" s="146"/>
      <c r="P14" s="146"/>
      <c r="Q14" s="146"/>
      <c r="R14" s="146"/>
      <c r="S14" s="146"/>
      <c r="T14" s="146"/>
      <c r="U14" s="146"/>
      <c r="V14" s="146"/>
      <c r="W14" s="146"/>
      <c r="X14" s="146"/>
      <c r="Y14" s="146"/>
      <c r="Z14" s="146"/>
      <c r="AA14" s="146"/>
      <c r="AB14" s="146"/>
      <c r="AC14" s="146"/>
      <c r="AD14" s="146"/>
      <c r="AE14" s="146"/>
      <c r="AF14" s="146"/>
      <c r="AG14" s="146"/>
      <c r="AH14" s="146"/>
      <c r="AI14" s="146"/>
      <c r="AJ14" s="146"/>
      <c r="AK14" s="146"/>
      <c r="AL14" s="146"/>
      <c r="AM14" s="146"/>
      <c r="AN14" s="146"/>
      <c r="AO14" s="146"/>
      <c r="AP14" s="146"/>
      <c r="AQ14" s="146"/>
      <c r="AR14" s="146"/>
      <c r="AS14" s="146"/>
      <c r="AT14" s="146"/>
      <c r="AU14" s="146"/>
      <c r="AV14" s="146"/>
      <c r="AW14" s="146"/>
      <c r="AX14" s="146"/>
      <c r="AY14" s="146"/>
      <c r="AZ14" s="146"/>
      <c r="BA14" s="146"/>
      <c r="BB14" s="146"/>
      <c r="BC14" s="146"/>
      <c r="BD14" s="146"/>
      <c r="BE14" s="146"/>
      <c r="BF14" s="146"/>
      <c r="BG14" s="146"/>
      <c r="BH14" s="146"/>
      <c r="BI14" s="146"/>
      <c r="BJ14" s="146"/>
      <c r="BK14" s="146"/>
      <c r="BL14" s="146"/>
      <c r="BM14" s="146"/>
      <c r="BN14" s="146"/>
      <c r="BO14" s="146"/>
      <c r="BP14" s="146"/>
      <c r="BQ14" s="146"/>
      <c r="BR14" s="146"/>
      <c r="BS14" s="146"/>
      <c r="BT14" s="146"/>
      <c r="BU14" s="146"/>
      <c r="BV14" s="146"/>
      <c r="BW14" s="146"/>
      <c r="BX14" s="146"/>
      <c r="BY14" s="146"/>
      <c r="BZ14" s="146"/>
      <c r="CA14" s="146"/>
      <c r="CB14" s="146"/>
      <c r="CC14" s="146"/>
      <c r="CD14" s="146"/>
      <c r="CE14" s="146"/>
      <c r="CF14" s="146"/>
      <c r="CG14" s="146"/>
      <c r="CH14" s="146"/>
      <c r="CI14" s="146"/>
      <c r="CJ14" s="146"/>
      <c r="CK14" s="146"/>
      <c r="CL14" s="146"/>
      <c r="CM14" s="146"/>
      <c r="CN14" s="146"/>
      <c r="CO14" s="146"/>
      <c r="CP14" s="146"/>
      <c r="CQ14" s="146"/>
      <c r="CR14" s="146"/>
      <c r="CS14" s="146"/>
      <c r="CT14" s="146"/>
      <c r="CU14" s="146"/>
      <c r="CV14" s="146"/>
      <c r="CW14" s="146"/>
      <c r="CX14" s="146"/>
      <c r="CY14" s="146"/>
      <c r="CZ14" s="146"/>
      <c r="DA14" s="146"/>
      <c r="DB14" s="146"/>
      <c r="DC14" s="146"/>
      <c r="DD14" s="146"/>
      <c r="DE14" s="146"/>
      <c r="DF14" s="146"/>
      <c r="DG14" s="146"/>
      <c r="DH14" s="146"/>
      <c r="DI14" s="146"/>
      <c r="DJ14" s="146"/>
      <c r="DK14" s="146"/>
      <c r="DL14" s="146"/>
      <c r="DM14" s="146"/>
      <c r="DN14" s="146"/>
      <c r="DO14" s="146"/>
      <c r="DP14" s="146"/>
      <c r="DQ14" s="146"/>
      <c r="DR14" s="146"/>
      <c r="DS14" s="146"/>
      <c r="DT14" s="146"/>
      <c r="DU14" s="146"/>
      <c r="DV14" s="146"/>
      <c r="DW14" s="146"/>
      <c r="DX14" s="146"/>
      <c r="DY14" s="146"/>
      <c r="DZ14" s="146"/>
      <c r="EA14" s="146"/>
      <c r="EB14" s="146"/>
      <c r="EC14" s="146"/>
      <c r="ED14" s="146"/>
      <c r="EE14" s="146"/>
      <c r="EF14" s="146"/>
      <c r="EG14" s="146"/>
      <c r="EH14" s="146"/>
      <c r="EI14" s="146"/>
      <c r="EJ14" s="146"/>
      <c r="EK14" s="146"/>
      <c r="EL14" s="146"/>
      <c r="EM14" s="146"/>
      <c r="EN14" s="146"/>
      <c r="EO14" s="146"/>
      <c r="EP14" s="146"/>
      <c r="EQ14" s="146"/>
      <c r="ER14" s="146"/>
      <c r="ES14" s="146"/>
      <c r="ET14" s="146"/>
      <c r="EU14" s="146"/>
      <c r="EV14" s="146"/>
      <c r="EW14" s="146"/>
      <c r="EX14" s="146"/>
      <c r="EY14" s="146"/>
      <c r="EZ14" s="146"/>
      <c r="FA14" s="146"/>
      <c r="FB14" s="146"/>
      <c r="FC14" s="146"/>
      <c r="FD14" s="146"/>
      <c r="FE14" s="146"/>
      <c r="FF14" s="146"/>
      <c r="FG14" s="146"/>
      <c r="FH14" s="146"/>
      <c r="FI14" s="146"/>
      <c r="FJ14" s="146"/>
      <c r="FK14" s="146"/>
      <c r="FL14" s="146"/>
      <c r="FM14" s="146"/>
      <c r="FN14" s="146"/>
      <c r="FO14" s="146"/>
      <c r="FP14" s="146"/>
      <c r="FQ14" s="146"/>
      <c r="FR14" s="146"/>
      <c r="FS14" s="146"/>
      <c r="FT14" s="146"/>
      <c r="FU14" s="146"/>
      <c r="FV14" s="146"/>
      <c r="FW14" s="146"/>
      <c r="FX14" s="146"/>
      <c r="FY14" s="146"/>
      <c r="FZ14" s="146"/>
      <c r="GA14" s="146"/>
      <c r="GB14" s="146"/>
      <c r="GC14" s="146"/>
      <c r="GD14" s="146"/>
      <c r="GE14" s="146"/>
      <c r="GF14" s="146"/>
      <c r="GG14" s="146"/>
      <c r="GH14" s="146"/>
      <c r="GI14" s="146"/>
      <c r="GJ14" s="146"/>
      <c r="GK14" s="146"/>
      <c r="GL14" s="146"/>
      <c r="GM14" s="146"/>
      <c r="GN14" s="146"/>
      <c r="GO14" s="146"/>
      <c r="GP14" s="146"/>
      <c r="GQ14" s="146"/>
      <c r="GR14" s="146"/>
      <c r="GS14" s="146"/>
      <c r="GT14" s="146"/>
      <c r="GU14" s="146"/>
      <c r="GV14" s="146"/>
      <c r="GW14" s="146"/>
      <c r="GX14" s="146"/>
      <c r="GY14" s="146"/>
      <c r="GZ14" s="146"/>
      <c r="HA14" s="146"/>
      <c r="HB14" s="146"/>
      <c r="HC14" s="146"/>
      <c r="HD14" s="146"/>
      <c r="HE14" s="146"/>
      <c r="HF14" s="146"/>
      <c r="HG14" s="146"/>
      <c r="HH14" s="146"/>
      <c r="HI14" s="146"/>
      <c r="HJ14" s="146"/>
      <c r="HK14" s="146"/>
      <c r="HL14" s="146"/>
      <c r="HM14" s="146"/>
      <c r="HN14" s="146"/>
      <c r="HO14" s="146"/>
      <c r="HP14" s="146"/>
      <c r="HQ14" s="146"/>
      <c r="HR14" s="146"/>
      <c r="HS14" s="146"/>
      <c r="HT14" s="146"/>
      <c r="HU14" s="146"/>
      <c r="HV14" s="146"/>
      <c r="HW14" s="146"/>
      <c r="HX14" s="146"/>
      <c r="HY14" s="146"/>
      <c r="HZ14" s="146"/>
      <c r="IA14" s="146"/>
      <c r="IB14" s="146"/>
      <c r="IC14" s="146"/>
      <c r="ID14" s="146"/>
      <c r="IE14" s="146"/>
      <c r="IF14" s="146"/>
      <c r="IG14" s="146"/>
      <c r="IH14" s="146"/>
      <c r="II14" s="146"/>
      <c r="IJ14" s="146"/>
      <c r="IK14" s="146"/>
      <c r="IL14" s="146"/>
      <c r="IM14" s="146"/>
      <c r="IN14" s="146"/>
      <c r="IO14" s="146"/>
    </row>
    <row r="15" spans="1:249" s="6" customFormat="1" ht="13.5" customHeight="1" x14ac:dyDescent="0.25">
      <c r="A15" s="1"/>
      <c r="B15" s="1"/>
      <c r="C15" s="1"/>
      <c r="D15" s="241"/>
      <c r="E15" s="31"/>
      <c r="F15" s="31"/>
      <c r="G15" s="146"/>
      <c r="H15" s="146"/>
      <c r="I15" s="146"/>
      <c r="J15" s="321"/>
      <c r="K15" s="295"/>
      <c r="L15" s="291"/>
      <c r="M15" s="291"/>
      <c r="N15" s="146"/>
      <c r="O15" s="146"/>
      <c r="P15" s="146"/>
      <c r="Q15" s="146"/>
      <c r="R15" s="146"/>
      <c r="S15" s="146"/>
      <c r="T15" s="146"/>
      <c r="U15" s="146"/>
      <c r="V15" s="146"/>
      <c r="W15" s="146"/>
      <c r="X15" s="146"/>
      <c r="Y15" s="146"/>
      <c r="Z15" s="146"/>
      <c r="AA15" s="146"/>
      <c r="AB15" s="146"/>
      <c r="AC15" s="146"/>
      <c r="AD15" s="146"/>
      <c r="AE15" s="146"/>
      <c r="AF15" s="146"/>
      <c r="AG15" s="146"/>
      <c r="AH15" s="146"/>
      <c r="AI15" s="146"/>
      <c r="AJ15" s="146"/>
      <c r="AK15" s="146"/>
      <c r="AL15" s="146"/>
      <c r="AM15" s="146"/>
      <c r="AN15" s="146"/>
      <c r="AO15" s="146"/>
      <c r="AP15" s="146"/>
      <c r="AQ15" s="146"/>
      <c r="AR15" s="146"/>
      <c r="AS15" s="146"/>
      <c r="AT15" s="146"/>
      <c r="AU15" s="146"/>
      <c r="AV15" s="146"/>
      <c r="AW15" s="146"/>
      <c r="AX15" s="146"/>
      <c r="AY15" s="146"/>
      <c r="AZ15" s="146"/>
      <c r="BA15" s="146"/>
      <c r="BB15" s="146"/>
      <c r="BC15" s="146"/>
      <c r="BD15" s="146"/>
      <c r="BE15" s="146"/>
      <c r="BF15" s="146"/>
      <c r="BG15" s="146"/>
      <c r="BH15" s="146"/>
      <c r="BI15" s="146"/>
      <c r="BJ15" s="146"/>
      <c r="BK15" s="146"/>
      <c r="BL15" s="146"/>
      <c r="BM15" s="146"/>
      <c r="BN15" s="146"/>
      <c r="BO15" s="146"/>
      <c r="BP15" s="146"/>
      <c r="BQ15" s="146"/>
      <c r="BR15" s="146"/>
      <c r="BS15" s="146"/>
      <c r="BT15" s="146"/>
      <c r="BU15" s="146"/>
      <c r="BV15" s="146"/>
      <c r="BW15" s="146"/>
      <c r="BX15" s="146"/>
      <c r="BY15" s="146"/>
      <c r="BZ15" s="146"/>
      <c r="CA15" s="146"/>
      <c r="CB15" s="146"/>
      <c r="CC15" s="146"/>
      <c r="CD15" s="146"/>
      <c r="CE15" s="146"/>
      <c r="CF15" s="146"/>
      <c r="CG15" s="146"/>
      <c r="CH15" s="146"/>
      <c r="CI15" s="146"/>
      <c r="CJ15" s="146"/>
      <c r="CK15" s="146"/>
      <c r="CL15" s="146"/>
      <c r="CM15" s="146"/>
      <c r="CN15" s="146"/>
      <c r="CO15" s="146"/>
      <c r="CP15" s="146"/>
      <c r="CQ15" s="146"/>
      <c r="CR15" s="146"/>
      <c r="CS15" s="146"/>
      <c r="CT15" s="146"/>
      <c r="CU15" s="146"/>
      <c r="CV15" s="146"/>
      <c r="CW15" s="146"/>
      <c r="CX15" s="146"/>
      <c r="CY15" s="146"/>
      <c r="CZ15" s="146"/>
      <c r="DA15" s="146"/>
      <c r="DB15" s="146"/>
      <c r="DC15" s="146"/>
      <c r="DD15" s="146"/>
      <c r="DE15" s="146"/>
      <c r="DF15" s="146"/>
      <c r="DG15" s="146"/>
      <c r="DH15" s="146"/>
      <c r="DI15" s="146"/>
      <c r="DJ15" s="146"/>
      <c r="DK15" s="146"/>
      <c r="DL15" s="146"/>
      <c r="DM15" s="146"/>
      <c r="DN15" s="146"/>
      <c r="DO15" s="146"/>
      <c r="DP15" s="146"/>
      <c r="DQ15" s="146"/>
      <c r="DR15" s="146"/>
      <c r="DS15" s="146"/>
      <c r="DT15" s="146"/>
      <c r="DU15" s="146"/>
      <c r="DV15" s="146"/>
      <c r="DW15" s="146"/>
      <c r="DX15" s="146"/>
      <c r="DY15" s="146"/>
      <c r="DZ15" s="146"/>
      <c r="EA15" s="146"/>
      <c r="EB15" s="146"/>
      <c r="EC15" s="146"/>
      <c r="ED15" s="146"/>
      <c r="EE15" s="146"/>
      <c r="EF15" s="146"/>
      <c r="EG15" s="146"/>
      <c r="EH15" s="146"/>
      <c r="EI15" s="146"/>
      <c r="EJ15" s="146"/>
      <c r="EK15" s="146"/>
      <c r="EL15" s="146"/>
      <c r="EM15" s="146"/>
      <c r="EN15" s="146"/>
      <c r="EO15" s="146"/>
      <c r="EP15" s="146"/>
      <c r="EQ15" s="146"/>
      <c r="ER15" s="146"/>
      <c r="ES15" s="146"/>
      <c r="ET15" s="146"/>
      <c r="EU15" s="146"/>
      <c r="EV15" s="146"/>
      <c r="EW15" s="146"/>
      <c r="EX15" s="146"/>
      <c r="EY15" s="146"/>
      <c r="EZ15" s="146"/>
      <c r="FA15" s="146"/>
      <c r="FB15" s="146"/>
      <c r="FC15" s="146"/>
      <c r="FD15" s="146"/>
      <c r="FE15" s="146"/>
      <c r="FF15" s="146"/>
      <c r="FG15" s="146"/>
      <c r="FH15" s="146"/>
      <c r="FI15" s="146"/>
      <c r="FJ15" s="146"/>
      <c r="FK15" s="146"/>
      <c r="FL15" s="146"/>
      <c r="FM15" s="146"/>
      <c r="FN15" s="146"/>
      <c r="FO15" s="146"/>
      <c r="FP15" s="146"/>
      <c r="FQ15" s="146"/>
      <c r="FR15" s="146"/>
      <c r="FS15" s="146"/>
      <c r="FT15" s="146"/>
      <c r="FU15" s="146"/>
      <c r="FV15" s="146"/>
      <c r="FW15" s="146"/>
      <c r="FX15" s="146"/>
      <c r="FY15" s="146"/>
      <c r="FZ15" s="146"/>
      <c r="GA15" s="146"/>
      <c r="GB15" s="146"/>
      <c r="GC15" s="146"/>
      <c r="GD15" s="146"/>
      <c r="GE15" s="146"/>
      <c r="GF15" s="146"/>
      <c r="GG15" s="146"/>
      <c r="GH15" s="146"/>
      <c r="GI15" s="146"/>
      <c r="GJ15" s="146"/>
      <c r="GK15" s="146"/>
      <c r="GL15" s="146"/>
      <c r="GM15" s="146"/>
      <c r="GN15" s="146"/>
      <c r="GO15" s="146"/>
      <c r="GP15" s="146"/>
      <c r="GQ15" s="146"/>
      <c r="GR15" s="146"/>
      <c r="GS15" s="146"/>
      <c r="GT15" s="146"/>
      <c r="GU15" s="146"/>
      <c r="GV15" s="146"/>
      <c r="GW15" s="146"/>
      <c r="GX15" s="146"/>
      <c r="GY15" s="146"/>
      <c r="GZ15" s="146"/>
      <c r="HA15" s="146"/>
      <c r="HB15" s="146"/>
      <c r="HC15" s="146"/>
      <c r="HD15" s="146"/>
      <c r="HE15" s="146"/>
      <c r="HF15" s="146"/>
      <c r="HG15" s="146"/>
      <c r="HH15" s="146"/>
      <c r="HI15" s="146"/>
      <c r="HJ15" s="146"/>
      <c r="HK15" s="146"/>
      <c r="HL15" s="146"/>
      <c r="HM15" s="146"/>
      <c r="HN15" s="146"/>
      <c r="HO15" s="146"/>
      <c r="HP15" s="146"/>
      <c r="HQ15" s="146"/>
      <c r="HR15" s="146"/>
      <c r="HS15" s="146"/>
      <c r="HT15" s="146"/>
      <c r="HU15" s="146"/>
      <c r="HV15" s="146"/>
      <c r="HW15" s="146"/>
      <c r="HX15" s="146"/>
      <c r="HY15" s="146"/>
      <c r="HZ15" s="146"/>
      <c r="IA15" s="146"/>
      <c r="IB15" s="146"/>
      <c r="IC15" s="146"/>
      <c r="ID15" s="146"/>
      <c r="IE15" s="146"/>
      <c r="IF15" s="146"/>
      <c r="IG15" s="146"/>
      <c r="IH15" s="146"/>
      <c r="II15" s="146"/>
      <c r="IJ15" s="146"/>
      <c r="IK15" s="146"/>
      <c r="IL15" s="146"/>
      <c r="IM15" s="146"/>
      <c r="IN15" s="146"/>
      <c r="IO15" s="146"/>
    </row>
    <row r="16" spans="1:249" s="6" customFormat="1" ht="14.1" customHeight="1" x14ac:dyDescent="0.25">
      <c r="A16" s="1"/>
      <c r="B16" s="1"/>
      <c r="C16" s="1"/>
      <c r="D16" s="354"/>
      <c r="E16" s="16" t="s">
        <v>14</v>
      </c>
      <c r="F16" s="31" t="s">
        <v>14</v>
      </c>
      <c r="G16" s="146"/>
      <c r="H16" s="146"/>
      <c r="I16" s="146"/>
      <c r="J16" s="321"/>
      <c r="K16" s="295"/>
      <c r="L16" s="291"/>
      <c r="M16" s="291"/>
      <c r="N16" s="146"/>
      <c r="O16" s="146"/>
      <c r="P16" s="146"/>
      <c r="Q16" s="146"/>
      <c r="R16" s="146"/>
      <c r="S16" s="146"/>
      <c r="T16" s="146"/>
      <c r="U16" s="146"/>
      <c r="V16" s="146"/>
      <c r="W16" s="146"/>
      <c r="X16" s="146"/>
      <c r="Y16" s="146"/>
      <c r="Z16" s="146"/>
      <c r="AA16" s="146"/>
      <c r="AB16" s="146"/>
      <c r="AC16" s="146"/>
      <c r="AD16" s="146"/>
      <c r="AE16" s="146"/>
      <c r="AF16" s="146"/>
      <c r="AG16" s="146"/>
      <c r="AH16" s="146"/>
      <c r="AI16" s="146"/>
      <c r="AJ16" s="146"/>
      <c r="AK16" s="146"/>
      <c r="AL16" s="146"/>
      <c r="AM16" s="146"/>
      <c r="AN16" s="146"/>
      <c r="AO16" s="146"/>
      <c r="AP16" s="146"/>
      <c r="AQ16" s="146"/>
      <c r="AR16" s="146"/>
      <c r="AS16" s="146"/>
      <c r="AT16" s="146"/>
      <c r="AU16" s="146"/>
      <c r="AV16" s="146"/>
      <c r="AW16" s="146"/>
      <c r="AX16" s="146"/>
      <c r="AY16" s="146"/>
      <c r="AZ16" s="146"/>
      <c r="BA16" s="146"/>
      <c r="BB16" s="146"/>
      <c r="BC16" s="146"/>
      <c r="BD16" s="146"/>
      <c r="BE16" s="146"/>
      <c r="BF16" s="146"/>
      <c r="BG16" s="146"/>
      <c r="BH16" s="146"/>
      <c r="BI16" s="146"/>
      <c r="BJ16" s="146"/>
      <c r="BK16" s="146"/>
      <c r="BL16" s="146"/>
      <c r="BM16" s="146"/>
      <c r="BN16" s="146"/>
      <c r="BO16" s="146"/>
      <c r="BP16" s="146"/>
      <c r="BQ16" s="146"/>
      <c r="BR16" s="146"/>
      <c r="BS16" s="146"/>
      <c r="BT16" s="146"/>
      <c r="BU16" s="146"/>
      <c r="BV16" s="146"/>
      <c r="BW16" s="146"/>
      <c r="BX16" s="146"/>
      <c r="BY16" s="146"/>
      <c r="BZ16" s="146"/>
      <c r="CA16" s="146"/>
      <c r="CB16" s="146"/>
      <c r="CC16" s="146"/>
      <c r="CD16" s="146"/>
      <c r="CE16" s="146"/>
      <c r="CF16" s="146"/>
      <c r="CG16" s="146"/>
      <c r="CH16" s="146"/>
      <c r="CI16" s="146"/>
      <c r="CJ16" s="146"/>
      <c r="CK16" s="146"/>
      <c r="CL16" s="146"/>
      <c r="CM16" s="146"/>
      <c r="CN16" s="146"/>
      <c r="CO16" s="146"/>
      <c r="CP16" s="146"/>
      <c r="CQ16" s="146"/>
      <c r="CR16" s="146"/>
      <c r="CS16" s="146"/>
      <c r="CT16" s="146"/>
      <c r="CU16" s="146"/>
      <c r="CV16" s="146"/>
      <c r="CW16" s="146"/>
      <c r="CX16" s="146"/>
      <c r="CY16" s="146"/>
      <c r="CZ16" s="146"/>
      <c r="DA16" s="146"/>
      <c r="DB16" s="146"/>
      <c r="DC16" s="146"/>
      <c r="DD16" s="146"/>
      <c r="DE16" s="146"/>
      <c r="DF16" s="146"/>
      <c r="DG16" s="146"/>
      <c r="DH16" s="146"/>
      <c r="DI16" s="146"/>
      <c r="DJ16" s="146"/>
      <c r="DK16" s="146"/>
      <c r="DL16" s="146"/>
      <c r="DM16" s="146"/>
      <c r="DN16" s="146"/>
      <c r="DO16" s="146"/>
      <c r="DP16" s="146"/>
      <c r="DQ16" s="146"/>
      <c r="DR16" s="146"/>
      <c r="DS16" s="146"/>
      <c r="DT16" s="146"/>
      <c r="DU16" s="146"/>
      <c r="DV16" s="146"/>
      <c r="DW16" s="146"/>
      <c r="DX16" s="146"/>
      <c r="DY16" s="146"/>
      <c r="DZ16" s="146"/>
      <c r="EA16" s="146"/>
      <c r="EB16" s="146"/>
      <c r="EC16" s="146"/>
      <c r="ED16" s="146"/>
      <c r="EE16" s="146"/>
      <c r="EF16" s="146"/>
      <c r="EG16" s="146"/>
      <c r="EH16" s="146"/>
      <c r="EI16" s="146"/>
      <c r="EJ16" s="146"/>
      <c r="EK16" s="146"/>
      <c r="EL16" s="146"/>
      <c r="EM16" s="146"/>
      <c r="EN16" s="146"/>
      <c r="EO16" s="146"/>
      <c r="EP16" s="146"/>
      <c r="EQ16" s="146"/>
      <c r="ER16" s="146"/>
      <c r="ES16" s="146"/>
      <c r="ET16" s="146"/>
      <c r="EU16" s="146"/>
      <c r="EV16" s="146"/>
      <c r="EW16" s="146"/>
      <c r="EX16" s="146"/>
      <c r="EY16" s="146"/>
      <c r="EZ16" s="146"/>
      <c r="FA16" s="146"/>
      <c r="FB16" s="146"/>
      <c r="FC16" s="146"/>
      <c r="FD16" s="146"/>
      <c r="FE16" s="146"/>
      <c r="FF16" s="146"/>
      <c r="FG16" s="146"/>
      <c r="FH16" s="146"/>
      <c r="FI16" s="146"/>
      <c r="FJ16" s="146"/>
      <c r="FK16" s="146"/>
      <c r="FL16" s="146"/>
      <c r="FM16" s="146"/>
      <c r="FN16" s="146"/>
      <c r="FO16" s="146"/>
      <c r="FP16" s="146"/>
      <c r="FQ16" s="146"/>
      <c r="FR16" s="146"/>
      <c r="FS16" s="146"/>
      <c r="FT16" s="146"/>
      <c r="FU16" s="146"/>
      <c r="FV16" s="146"/>
      <c r="FW16" s="146"/>
      <c r="FX16" s="146"/>
      <c r="FY16" s="146"/>
      <c r="FZ16" s="146"/>
      <c r="GA16" s="146"/>
      <c r="GB16" s="146"/>
      <c r="GC16" s="146"/>
      <c r="GD16" s="146"/>
      <c r="GE16" s="146"/>
      <c r="GF16" s="146"/>
      <c r="GG16" s="146"/>
      <c r="GH16" s="146"/>
      <c r="GI16" s="146"/>
      <c r="GJ16" s="146"/>
      <c r="GK16" s="146"/>
      <c r="GL16" s="146"/>
      <c r="GM16" s="146"/>
      <c r="GN16" s="146"/>
      <c r="GO16" s="146"/>
      <c r="GP16" s="146"/>
      <c r="GQ16" s="146"/>
      <c r="GR16" s="146"/>
      <c r="GS16" s="146"/>
      <c r="GT16" s="146"/>
      <c r="GU16" s="146"/>
      <c r="GV16" s="146"/>
      <c r="GW16" s="146"/>
      <c r="GX16" s="146"/>
      <c r="GY16" s="146"/>
      <c r="GZ16" s="146"/>
      <c r="HA16" s="146"/>
      <c r="HB16" s="146"/>
      <c r="HC16" s="146"/>
      <c r="HD16" s="146"/>
      <c r="HE16" s="146"/>
      <c r="HF16" s="146"/>
      <c r="HG16" s="146"/>
      <c r="HH16" s="146"/>
      <c r="HI16" s="146"/>
      <c r="HJ16" s="146"/>
      <c r="HK16" s="146"/>
      <c r="HL16" s="146"/>
      <c r="HM16" s="146"/>
      <c r="HN16" s="146"/>
      <c r="HO16" s="146"/>
      <c r="HP16" s="146"/>
      <c r="HQ16" s="146"/>
      <c r="HR16" s="146"/>
      <c r="HS16" s="146"/>
      <c r="HT16" s="146"/>
      <c r="HU16" s="146"/>
      <c r="HV16" s="146"/>
      <c r="HW16" s="146"/>
      <c r="HX16" s="146"/>
      <c r="HY16" s="146"/>
      <c r="HZ16" s="146"/>
      <c r="IA16" s="146"/>
      <c r="IB16" s="146"/>
      <c r="IC16" s="146"/>
      <c r="ID16" s="146"/>
      <c r="IE16" s="146"/>
      <c r="IF16" s="146"/>
      <c r="IG16" s="146"/>
      <c r="IH16" s="146"/>
      <c r="II16" s="146"/>
      <c r="IJ16" s="146"/>
      <c r="IK16" s="146"/>
      <c r="IL16" s="146"/>
      <c r="IM16" s="146"/>
      <c r="IN16" s="146"/>
      <c r="IO16" s="146"/>
    </row>
    <row r="17" spans="1:249" s="6" customFormat="1" ht="14.1" customHeight="1" x14ac:dyDescent="0.25">
      <c r="A17" s="146"/>
      <c r="B17" s="1" t="s">
        <v>15</v>
      </c>
      <c r="C17" s="1"/>
      <c r="D17" s="40" t="s">
        <v>16</v>
      </c>
      <c r="E17" s="16" t="s">
        <v>17</v>
      </c>
      <c r="F17" s="31" t="s">
        <v>18</v>
      </c>
      <c r="G17" s="146"/>
      <c r="H17" s="146"/>
      <c r="I17" s="146"/>
      <c r="J17" s="321"/>
      <c r="K17" s="295"/>
      <c r="L17" s="291"/>
      <c r="M17" s="291"/>
      <c r="N17" s="146"/>
      <c r="O17" s="146"/>
      <c r="P17" s="146"/>
      <c r="Q17" s="146"/>
      <c r="R17" s="146"/>
      <c r="S17" s="146"/>
      <c r="T17" s="146"/>
      <c r="U17" s="146"/>
      <c r="V17" s="146"/>
      <c r="W17" s="146"/>
      <c r="X17" s="146"/>
      <c r="Y17" s="146"/>
      <c r="Z17" s="146"/>
      <c r="AA17" s="146"/>
      <c r="AB17" s="146"/>
      <c r="AC17" s="146"/>
      <c r="AD17" s="146"/>
      <c r="AE17" s="146"/>
      <c r="AF17" s="146"/>
      <c r="AG17" s="146"/>
      <c r="AH17" s="146"/>
      <c r="AI17" s="146"/>
      <c r="AJ17" s="146"/>
      <c r="AK17" s="146"/>
      <c r="AL17" s="146"/>
      <c r="AM17" s="146"/>
      <c r="AN17" s="146"/>
      <c r="AO17" s="146"/>
      <c r="AP17" s="146"/>
      <c r="AQ17" s="146"/>
      <c r="AR17" s="146"/>
      <c r="AS17" s="146"/>
      <c r="AT17" s="146"/>
      <c r="AU17" s="146"/>
      <c r="AV17" s="146"/>
      <c r="AW17" s="146"/>
      <c r="AX17" s="146"/>
      <c r="AY17" s="146"/>
      <c r="AZ17" s="146"/>
      <c r="BA17" s="146"/>
      <c r="BB17" s="146"/>
      <c r="BC17" s="146"/>
      <c r="BD17" s="146"/>
      <c r="BE17" s="146"/>
      <c r="BF17" s="146"/>
      <c r="BG17" s="146"/>
      <c r="BH17" s="146"/>
      <c r="BI17" s="146"/>
      <c r="BJ17" s="146"/>
      <c r="BK17" s="146"/>
      <c r="BL17" s="146"/>
      <c r="BM17" s="146"/>
      <c r="BN17" s="146"/>
      <c r="BO17" s="146"/>
      <c r="BP17" s="146"/>
      <c r="BQ17" s="146"/>
      <c r="BR17" s="146"/>
      <c r="BS17" s="146"/>
      <c r="BT17" s="146"/>
      <c r="BU17" s="146"/>
      <c r="BV17" s="146"/>
      <c r="BW17" s="146"/>
      <c r="BX17" s="146"/>
      <c r="BY17" s="146"/>
      <c r="BZ17" s="146"/>
      <c r="CA17" s="146"/>
      <c r="CB17" s="146"/>
      <c r="CC17" s="146"/>
      <c r="CD17" s="146"/>
      <c r="CE17" s="146"/>
      <c r="CF17" s="146"/>
      <c r="CG17" s="146"/>
      <c r="CH17" s="146"/>
      <c r="CI17" s="146"/>
      <c r="CJ17" s="146"/>
      <c r="CK17" s="146"/>
      <c r="CL17" s="146"/>
      <c r="CM17" s="146"/>
      <c r="CN17" s="146"/>
      <c r="CO17" s="146"/>
      <c r="CP17" s="146"/>
      <c r="CQ17" s="146"/>
      <c r="CR17" s="146"/>
      <c r="CS17" s="146"/>
      <c r="CT17" s="146"/>
      <c r="CU17" s="146"/>
      <c r="CV17" s="146"/>
      <c r="CW17" s="146"/>
      <c r="CX17" s="146"/>
      <c r="CY17" s="146"/>
      <c r="CZ17" s="146"/>
      <c r="DA17" s="146"/>
      <c r="DB17" s="146"/>
      <c r="DC17" s="146"/>
      <c r="DD17" s="146"/>
      <c r="DE17" s="146"/>
      <c r="DF17" s="146"/>
      <c r="DG17" s="146"/>
      <c r="DH17" s="146"/>
      <c r="DI17" s="146"/>
      <c r="DJ17" s="146"/>
      <c r="DK17" s="146"/>
      <c r="DL17" s="146"/>
      <c r="DM17" s="146"/>
      <c r="DN17" s="146"/>
      <c r="DO17" s="146"/>
      <c r="DP17" s="146"/>
      <c r="DQ17" s="146"/>
      <c r="DR17" s="146"/>
      <c r="DS17" s="146"/>
      <c r="DT17" s="146"/>
      <c r="DU17" s="146"/>
      <c r="DV17" s="146"/>
      <c r="DW17" s="146"/>
      <c r="DX17" s="146"/>
      <c r="DY17" s="146"/>
      <c r="DZ17" s="146"/>
      <c r="EA17" s="146"/>
      <c r="EB17" s="146"/>
      <c r="EC17" s="146"/>
      <c r="ED17" s="146"/>
      <c r="EE17" s="146"/>
      <c r="EF17" s="146"/>
      <c r="EG17" s="146"/>
      <c r="EH17" s="146"/>
      <c r="EI17" s="146"/>
      <c r="EJ17" s="146"/>
      <c r="EK17" s="146"/>
      <c r="EL17" s="146"/>
      <c r="EM17" s="146"/>
      <c r="EN17" s="146"/>
      <c r="EO17" s="146"/>
      <c r="EP17" s="146"/>
      <c r="EQ17" s="146"/>
      <c r="ER17" s="146"/>
      <c r="ES17" s="146"/>
      <c r="ET17" s="146"/>
      <c r="EU17" s="146"/>
      <c r="EV17" s="146"/>
      <c r="EW17" s="146"/>
      <c r="EX17" s="146"/>
      <c r="EY17" s="146"/>
      <c r="EZ17" s="146"/>
      <c r="FA17" s="146"/>
      <c r="FB17" s="146"/>
      <c r="FC17" s="146"/>
      <c r="FD17" s="146"/>
      <c r="FE17" s="146"/>
      <c r="FF17" s="146"/>
      <c r="FG17" s="146"/>
      <c r="FH17" s="146"/>
      <c r="FI17" s="146"/>
      <c r="FJ17" s="146"/>
      <c r="FK17" s="146"/>
      <c r="FL17" s="146"/>
      <c r="FM17" s="146"/>
      <c r="FN17" s="146"/>
      <c r="FO17" s="146"/>
      <c r="FP17" s="146"/>
      <c r="FQ17" s="146"/>
      <c r="FR17" s="146"/>
      <c r="FS17" s="146"/>
      <c r="FT17" s="146"/>
      <c r="FU17" s="146"/>
      <c r="FV17" s="146"/>
      <c r="FW17" s="146"/>
      <c r="FX17" s="146"/>
      <c r="FY17" s="146"/>
      <c r="FZ17" s="146"/>
      <c r="GA17" s="146"/>
      <c r="GB17" s="146"/>
      <c r="GC17" s="146"/>
      <c r="GD17" s="146"/>
      <c r="GE17" s="146"/>
      <c r="GF17" s="146"/>
      <c r="GG17" s="146"/>
      <c r="GH17" s="146"/>
      <c r="GI17" s="146"/>
      <c r="GJ17" s="146"/>
      <c r="GK17" s="146"/>
      <c r="GL17" s="146"/>
      <c r="GM17" s="146"/>
      <c r="GN17" s="146"/>
      <c r="GO17" s="146"/>
      <c r="GP17" s="146"/>
      <c r="GQ17" s="146"/>
      <c r="GR17" s="146"/>
      <c r="GS17" s="146"/>
      <c r="GT17" s="146"/>
      <c r="GU17" s="146"/>
      <c r="GV17" s="146"/>
      <c r="GW17" s="146"/>
      <c r="GX17" s="146"/>
      <c r="GY17" s="146"/>
      <c r="GZ17" s="146"/>
      <c r="HA17" s="146"/>
      <c r="HB17" s="146"/>
      <c r="HC17" s="146"/>
      <c r="HD17" s="146"/>
      <c r="HE17" s="146"/>
      <c r="HF17" s="146"/>
      <c r="HG17" s="146"/>
      <c r="HH17" s="146"/>
      <c r="HI17" s="146"/>
      <c r="HJ17" s="146"/>
      <c r="HK17" s="146"/>
      <c r="HL17" s="146"/>
      <c r="HM17" s="146"/>
      <c r="HN17" s="146"/>
      <c r="HO17" s="146"/>
      <c r="HP17" s="146"/>
      <c r="HQ17" s="146"/>
      <c r="HR17" s="146"/>
      <c r="HS17" s="146"/>
      <c r="HT17" s="146"/>
      <c r="HU17" s="146"/>
      <c r="HV17" s="146"/>
      <c r="HW17" s="146"/>
      <c r="HX17" s="146"/>
      <c r="HY17" s="146"/>
      <c r="HZ17" s="146"/>
      <c r="IA17" s="146"/>
      <c r="IB17" s="146"/>
      <c r="IC17" s="146"/>
      <c r="ID17" s="146"/>
      <c r="IE17" s="146"/>
      <c r="IF17" s="146"/>
      <c r="IG17" s="146"/>
      <c r="IH17" s="146"/>
      <c r="II17" s="146"/>
      <c r="IJ17" s="146"/>
      <c r="IK17" s="146"/>
      <c r="IL17" s="146"/>
      <c r="IM17" s="146"/>
      <c r="IN17" s="146"/>
      <c r="IO17" s="146"/>
    </row>
    <row r="18" spans="1:249" s="6" customFormat="1" ht="14.1" customHeight="1" x14ac:dyDescent="0.25">
      <c r="A18" s="146"/>
      <c r="B18" s="146"/>
      <c r="C18" s="146" t="s">
        <v>19</v>
      </c>
      <c r="D18" s="241">
        <f ca="1">'NONAUTO COST'!K77</f>
        <v>20.544372284181453</v>
      </c>
      <c r="E18" s="326">
        <f>'FY VOLUME NONAUTO'!E35</f>
        <v>7939549.9999999972</v>
      </c>
      <c r="F18" s="217">
        <f>E18/E23</f>
        <v>1.8344708216943815E-2</v>
      </c>
      <c r="G18" s="268"/>
      <c r="H18" s="241"/>
      <c r="I18" s="146"/>
      <c r="J18" s="321"/>
      <c r="K18" s="295"/>
      <c r="L18" s="291"/>
      <c r="M18" s="291"/>
      <c r="N18" s="146"/>
      <c r="O18" s="146"/>
      <c r="P18" s="146"/>
      <c r="Q18" s="146"/>
      <c r="R18" s="146"/>
      <c r="S18" s="146"/>
      <c r="T18" s="146"/>
      <c r="U18" s="146"/>
      <c r="V18" s="146"/>
      <c r="W18" s="146"/>
      <c r="X18" s="146"/>
      <c r="Y18" s="146"/>
      <c r="Z18" s="146"/>
      <c r="AA18" s="146"/>
      <c r="AB18" s="146"/>
      <c r="AC18" s="146"/>
      <c r="AD18" s="146"/>
      <c r="AE18" s="146"/>
      <c r="AF18" s="146"/>
      <c r="AG18" s="146"/>
      <c r="AH18" s="146"/>
      <c r="AI18" s="146"/>
      <c r="AJ18" s="146"/>
      <c r="AK18" s="146"/>
      <c r="AL18" s="146"/>
      <c r="AM18" s="146"/>
      <c r="AN18" s="146"/>
      <c r="AO18" s="146"/>
      <c r="AP18" s="146"/>
      <c r="AQ18" s="146"/>
      <c r="AR18" s="146"/>
      <c r="AS18" s="146"/>
      <c r="AT18" s="146"/>
      <c r="AU18" s="146"/>
      <c r="AV18" s="146"/>
      <c r="AW18" s="146"/>
      <c r="AX18" s="146"/>
      <c r="AY18" s="146"/>
      <c r="AZ18" s="146"/>
      <c r="BA18" s="146"/>
      <c r="BB18" s="146"/>
      <c r="BC18" s="146"/>
      <c r="BD18" s="146"/>
      <c r="BE18" s="146"/>
      <c r="BF18" s="146"/>
      <c r="BG18" s="146"/>
      <c r="BH18" s="146"/>
      <c r="BI18" s="146"/>
      <c r="BJ18" s="146"/>
      <c r="BK18" s="146"/>
      <c r="BL18" s="146"/>
      <c r="BM18" s="146"/>
      <c r="BN18" s="146"/>
      <c r="BO18" s="146"/>
      <c r="BP18" s="146"/>
      <c r="BQ18" s="146"/>
      <c r="BR18" s="146"/>
      <c r="BS18" s="146"/>
      <c r="BT18" s="146"/>
      <c r="BU18" s="146"/>
      <c r="BV18" s="146"/>
      <c r="BW18" s="146"/>
      <c r="BX18" s="146"/>
      <c r="BY18" s="146"/>
      <c r="BZ18" s="146"/>
      <c r="CA18" s="146"/>
      <c r="CB18" s="146"/>
      <c r="CC18" s="146"/>
      <c r="CD18" s="146"/>
      <c r="CE18" s="146"/>
      <c r="CF18" s="146"/>
      <c r="CG18" s="146"/>
      <c r="CH18" s="146"/>
      <c r="CI18" s="146"/>
      <c r="CJ18" s="146"/>
      <c r="CK18" s="146"/>
      <c r="CL18" s="146"/>
      <c r="CM18" s="146"/>
      <c r="CN18" s="146"/>
      <c r="CO18" s="146"/>
      <c r="CP18" s="146"/>
      <c r="CQ18" s="146"/>
      <c r="CR18" s="146"/>
      <c r="CS18" s="146"/>
      <c r="CT18" s="146"/>
      <c r="CU18" s="146"/>
      <c r="CV18" s="146"/>
      <c r="CW18" s="146"/>
      <c r="CX18" s="146"/>
      <c r="CY18" s="146"/>
      <c r="CZ18" s="146"/>
      <c r="DA18" s="146"/>
      <c r="DB18" s="146"/>
      <c r="DC18" s="146"/>
      <c r="DD18" s="146"/>
      <c r="DE18" s="146"/>
      <c r="DF18" s="146"/>
      <c r="DG18" s="146"/>
      <c r="DH18" s="146"/>
      <c r="DI18" s="146"/>
      <c r="DJ18" s="146"/>
      <c r="DK18" s="146"/>
      <c r="DL18" s="146"/>
      <c r="DM18" s="146"/>
      <c r="DN18" s="146"/>
      <c r="DO18" s="146"/>
      <c r="DP18" s="146"/>
      <c r="DQ18" s="146"/>
      <c r="DR18" s="146"/>
      <c r="DS18" s="146"/>
      <c r="DT18" s="146"/>
      <c r="DU18" s="146"/>
      <c r="DV18" s="146"/>
      <c r="DW18" s="146"/>
      <c r="DX18" s="146"/>
      <c r="DY18" s="146"/>
      <c r="DZ18" s="146"/>
      <c r="EA18" s="146"/>
      <c r="EB18" s="146"/>
      <c r="EC18" s="146"/>
      <c r="ED18" s="146"/>
      <c r="EE18" s="146"/>
      <c r="EF18" s="146"/>
      <c r="EG18" s="146"/>
      <c r="EH18" s="146"/>
      <c r="EI18" s="146"/>
      <c r="EJ18" s="146"/>
      <c r="EK18" s="146"/>
      <c r="EL18" s="146"/>
      <c r="EM18" s="146"/>
      <c r="EN18" s="146"/>
      <c r="EO18" s="146"/>
      <c r="EP18" s="146"/>
      <c r="EQ18" s="146"/>
      <c r="ER18" s="146"/>
      <c r="ES18" s="146"/>
      <c r="ET18" s="146"/>
      <c r="EU18" s="146"/>
      <c r="EV18" s="146"/>
      <c r="EW18" s="146"/>
      <c r="EX18" s="146"/>
      <c r="EY18" s="146"/>
      <c r="EZ18" s="146"/>
      <c r="FA18" s="146"/>
      <c r="FB18" s="146"/>
      <c r="FC18" s="146"/>
      <c r="FD18" s="146"/>
      <c r="FE18" s="146"/>
      <c r="FF18" s="146"/>
      <c r="FG18" s="146"/>
      <c r="FH18" s="146"/>
      <c r="FI18" s="146"/>
      <c r="FJ18" s="146"/>
      <c r="FK18" s="146"/>
      <c r="FL18" s="146"/>
      <c r="FM18" s="146"/>
      <c r="FN18" s="146"/>
      <c r="FO18" s="146"/>
      <c r="FP18" s="146"/>
      <c r="FQ18" s="146"/>
      <c r="FR18" s="146"/>
      <c r="FS18" s="146"/>
      <c r="FT18" s="146"/>
      <c r="FU18" s="146"/>
      <c r="FV18" s="146"/>
      <c r="FW18" s="146"/>
      <c r="FX18" s="146"/>
      <c r="FY18" s="146"/>
      <c r="FZ18" s="146"/>
      <c r="GA18" s="146"/>
      <c r="GB18" s="146"/>
      <c r="GC18" s="146"/>
      <c r="GD18" s="146"/>
      <c r="GE18" s="146"/>
      <c r="GF18" s="146"/>
      <c r="GG18" s="146"/>
      <c r="GH18" s="146"/>
      <c r="GI18" s="146"/>
      <c r="GJ18" s="146"/>
      <c r="GK18" s="146"/>
      <c r="GL18" s="146"/>
      <c r="GM18" s="146"/>
      <c r="GN18" s="146"/>
      <c r="GO18" s="146"/>
      <c r="GP18" s="146"/>
      <c r="GQ18" s="146"/>
      <c r="GR18" s="146"/>
      <c r="GS18" s="146"/>
      <c r="GT18" s="146"/>
      <c r="GU18" s="146"/>
      <c r="GV18" s="146"/>
      <c r="GW18" s="146"/>
      <c r="GX18" s="146"/>
      <c r="GY18" s="146"/>
      <c r="GZ18" s="146"/>
      <c r="HA18" s="146"/>
      <c r="HB18" s="146"/>
      <c r="HC18" s="146"/>
      <c r="HD18" s="146"/>
      <c r="HE18" s="146"/>
      <c r="HF18" s="146"/>
      <c r="HG18" s="146"/>
      <c r="HH18" s="146"/>
      <c r="HI18" s="146"/>
      <c r="HJ18" s="146"/>
      <c r="HK18" s="146"/>
      <c r="HL18" s="146"/>
      <c r="HM18" s="146"/>
      <c r="HN18" s="146"/>
      <c r="HO18" s="146"/>
      <c r="HP18" s="146"/>
      <c r="HQ18" s="146"/>
      <c r="HR18" s="146"/>
      <c r="HS18" s="146"/>
      <c r="HT18" s="146"/>
      <c r="HU18" s="146"/>
      <c r="HV18" s="146"/>
      <c r="HW18" s="146"/>
      <c r="HX18" s="146"/>
      <c r="HY18" s="146"/>
      <c r="HZ18" s="146"/>
      <c r="IA18" s="146"/>
      <c r="IB18" s="146"/>
      <c r="IC18" s="146"/>
      <c r="ID18" s="146"/>
      <c r="IE18" s="146"/>
      <c r="IF18" s="146"/>
      <c r="IG18" s="146"/>
      <c r="IH18" s="146"/>
      <c r="II18" s="146"/>
      <c r="IJ18" s="146"/>
      <c r="IK18" s="146"/>
      <c r="IL18" s="146"/>
      <c r="IM18" s="146"/>
      <c r="IN18" s="146"/>
      <c r="IO18" s="146"/>
    </row>
    <row r="19" spans="1:249" s="6" customFormat="1" ht="14.1" customHeight="1" x14ac:dyDescent="0.25">
      <c r="A19" s="146"/>
      <c r="B19" s="146"/>
      <c r="C19" s="146" t="s">
        <v>20</v>
      </c>
      <c r="D19" s="241">
        <f ca="1">'MADC AUTO COST'!$K$77</f>
        <v>21.187226988158788</v>
      </c>
      <c r="E19" s="326">
        <f>'FY VOLUME AUTO'!E12</f>
        <v>42124579.999999851</v>
      </c>
      <c r="F19" s="217">
        <f>E19/E23</f>
        <v>9.7330847322745564E-2</v>
      </c>
      <c r="G19" s="355"/>
      <c r="H19" s="241"/>
      <c r="I19" s="146"/>
      <c r="J19" s="321"/>
      <c r="K19" s="295"/>
      <c r="L19" s="291"/>
      <c r="M19" s="291"/>
      <c r="N19" s="146"/>
      <c r="O19" s="146"/>
      <c r="P19" s="146"/>
      <c r="Q19" s="146"/>
      <c r="R19" s="146"/>
      <c r="S19" s="146"/>
      <c r="T19" s="146"/>
      <c r="U19" s="146"/>
      <c r="V19" s="146"/>
      <c r="W19" s="146"/>
      <c r="X19" s="146"/>
      <c r="Y19" s="146"/>
      <c r="Z19" s="146"/>
      <c r="AA19" s="146"/>
      <c r="AB19" s="146"/>
      <c r="AC19" s="146"/>
      <c r="AD19" s="146"/>
      <c r="AE19" s="146"/>
      <c r="AF19" s="146"/>
      <c r="AG19" s="146"/>
      <c r="AH19" s="146"/>
      <c r="AI19" s="146"/>
      <c r="AJ19" s="146"/>
      <c r="AK19" s="146"/>
      <c r="AL19" s="146"/>
      <c r="AM19" s="146"/>
      <c r="AN19" s="146"/>
      <c r="AO19" s="146"/>
      <c r="AP19" s="146"/>
      <c r="AQ19" s="146"/>
      <c r="AR19" s="146"/>
      <c r="AS19" s="146"/>
      <c r="AT19" s="146"/>
      <c r="AU19" s="146"/>
      <c r="AV19" s="146"/>
      <c r="AW19" s="146"/>
      <c r="AX19" s="146"/>
      <c r="AY19" s="146"/>
      <c r="AZ19" s="146"/>
      <c r="BA19" s="146"/>
      <c r="BB19" s="146"/>
      <c r="BC19" s="146"/>
      <c r="BD19" s="146"/>
      <c r="BE19" s="146"/>
      <c r="BF19" s="146"/>
      <c r="BG19" s="146"/>
      <c r="BH19" s="146"/>
      <c r="BI19" s="146"/>
      <c r="BJ19" s="146"/>
      <c r="BK19" s="146"/>
      <c r="BL19" s="146"/>
      <c r="BM19" s="146"/>
      <c r="BN19" s="146"/>
      <c r="BO19" s="146"/>
      <c r="BP19" s="146"/>
      <c r="BQ19" s="146"/>
      <c r="BR19" s="146"/>
      <c r="BS19" s="146"/>
      <c r="BT19" s="146"/>
      <c r="BU19" s="146"/>
      <c r="BV19" s="146"/>
      <c r="BW19" s="146"/>
      <c r="BX19" s="146"/>
      <c r="BY19" s="146"/>
      <c r="BZ19" s="146"/>
      <c r="CA19" s="146"/>
      <c r="CB19" s="146"/>
      <c r="CC19" s="146"/>
      <c r="CD19" s="146"/>
      <c r="CE19" s="146"/>
      <c r="CF19" s="146"/>
      <c r="CG19" s="146"/>
      <c r="CH19" s="146"/>
      <c r="CI19" s="146"/>
      <c r="CJ19" s="146"/>
      <c r="CK19" s="146"/>
      <c r="CL19" s="146"/>
      <c r="CM19" s="146"/>
      <c r="CN19" s="146"/>
      <c r="CO19" s="146"/>
      <c r="CP19" s="146"/>
      <c r="CQ19" s="146"/>
      <c r="CR19" s="146"/>
      <c r="CS19" s="146"/>
      <c r="CT19" s="146"/>
      <c r="CU19" s="146"/>
      <c r="CV19" s="146"/>
      <c r="CW19" s="146"/>
      <c r="CX19" s="146"/>
      <c r="CY19" s="146"/>
      <c r="CZ19" s="146"/>
      <c r="DA19" s="146"/>
      <c r="DB19" s="146"/>
      <c r="DC19" s="146"/>
      <c r="DD19" s="146"/>
      <c r="DE19" s="146"/>
      <c r="DF19" s="146"/>
      <c r="DG19" s="146"/>
      <c r="DH19" s="146"/>
      <c r="DI19" s="146"/>
      <c r="DJ19" s="146"/>
      <c r="DK19" s="146"/>
      <c r="DL19" s="146"/>
      <c r="DM19" s="146"/>
      <c r="DN19" s="146"/>
      <c r="DO19" s="146"/>
      <c r="DP19" s="146"/>
      <c r="DQ19" s="146"/>
      <c r="DR19" s="146"/>
      <c r="DS19" s="146"/>
      <c r="DT19" s="146"/>
      <c r="DU19" s="146"/>
      <c r="DV19" s="146"/>
      <c r="DW19" s="146"/>
      <c r="DX19" s="146"/>
      <c r="DY19" s="146"/>
      <c r="DZ19" s="146"/>
      <c r="EA19" s="146"/>
      <c r="EB19" s="146"/>
      <c r="EC19" s="146"/>
      <c r="ED19" s="146"/>
      <c r="EE19" s="146"/>
      <c r="EF19" s="146"/>
      <c r="EG19" s="146"/>
      <c r="EH19" s="146"/>
      <c r="EI19" s="146"/>
      <c r="EJ19" s="146"/>
      <c r="EK19" s="146"/>
      <c r="EL19" s="146"/>
      <c r="EM19" s="146"/>
      <c r="EN19" s="146"/>
      <c r="EO19" s="146"/>
      <c r="EP19" s="146"/>
      <c r="EQ19" s="146"/>
      <c r="ER19" s="146"/>
      <c r="ES19" s="146"/>
      <c r="ET19" s="146"/>
      <c r="EU19" s="146"/>
      <c r="EV19" s="146"/>
      <c r="EW19" s="146"/>
      <c r="EX19" s="146"/>
      <c r="EY19" s="146"/>
      <c r="EZ19" s="146"/>
      <c r="FA19" s="146"/>
      <c r="FB19" s="146"/>
      <c r="FC19" s="146"/>
      <c r="FD19" s="146"/>
      <c r="FE19" s="146"/>
      <c r="FF19" s="146"/>
      <c r="FG19" s="146"/>
      <c r="FH19" s="146"/>
      <c r="FI19" s="146"/>
      <c r="FJ19" s="146"/>
      <c r="FK19" s="146"/>
      <c r="FL19" s="146"/>
      <c r="FM19" s="146"/>
      <c r="FN19" s="146"/>
      <c r="FO19" s="146"/>
      <c r="FP19" s="146"/>
      <c r="FQ19" s="146"/>
      <c r="FR19" s="146"/>
      <c r="FS19" s="146"/>
      <c r="FT19" s="146"/>
      <c r="FU19" s="146"/>
      <c r="FV19" s="146"/>
      <c r="FW19" s="146"/>
      <c r="FX19" s="146"/>
      <c r="FY19" s="146"/>
      <c r="FZ19" s="146"/>
      <c r="GA19" s="146"/>
      <c r="GB19" s="146"/>
      <c r="GC19" s="146"/>
      <c r="GD19" s="146"/>
      <c r="GE19" s="146"/>
      <c r="GF19" s="146"/>
      <c r="GG19" s="146"/>
      <c r="GH19" s="146"/>
      <c r="GI19" s="146"/>
      <c r="GJ19" s="146"/>
      <c r="GK19" s="146"/>
      <c r="GL19" s="146"/>
      <c r="GM19" s="146"/>
      <c r="GN19" s="146"/>
      <c r="GO19" s="146"/>
      <c r="GP19" s="146"/>
      <c r="GQ19" s="146"/>
      <c r="GR19" s="146"/>
      <c r="GS19" s="146"/>
      <c r="GT19" s="146"/>
      <c r="GU19" s="146"/>
      <c r="GV19" s="146"/>
      <c r="GW19" s="146"/>
      <c r="GX19" s="146"/>
      <c r="GY19" s="146"/>
      <c r="GZ19" s="146"/>
      <c r="HA19" s="146"/>
      <c r="HB19" s="146"/>
      <c r="HC19" s="146"/>
      <c r="HD19" s="146"/>
      <c r="HE19" s="146"/>
      <c r="HF19" s="146"/>
      <c r="HG19" s="146"/>
      <c r="HH19" s="146"/>
      <c r="HI19" s="146"/>
      <c r="HJ19" s="146"/>
      <c r="HK19" s="146"/>
      <c r="HL19" s="146"/>
      <c r="HM19" s="146"/>
      <c r="HN19" s="146"/>
      <c r="HO19" s="146"/>
      <c r="HP19" s="146"/>
      <c r="HQ19" s="146"/>
      <c r="HR19" s="146"/>
      <c r="HS19" s="146"/>
      <c r="HT19" s="146"/>
      <c r="HU19" s="146"/>
      <c r="HV19" s="146"/>
      <c r="HW19" s="146"/>
      <c r="HX19" s="146"/>
      <c r="HY19" s="146"/>
      <c r="HZ19" s="146"/>
      <c r="IA19" s="146"/>
      <c r="IB19" s="146"/>
      <c r="IC19" s="146"/>
      <c r="ID19" s="146"/>
      <c r="IE19" s="146"/>
      <c r="IF19" s="146"/>
      <c r="IG19" s="146"/>
      <c r="IH19" s="146"/>
      <c r="II19" s="146"/>
      <c r="IJ19" s="146"/>
      <c r="IK19" s="146"/>
      <c r="IL19" s="146"/>
      <c r="IM19" s="146"/>
      <c r="IN19" s="146"/>
      <c r="IO19" s="146"/>
    </row>
    <row r="20" spans="1:249" s="6" customFormat="1" ht="14.1" customHeight="1" x14ac:dyDescent="0.25">
      <c r="A20" s="146"/>
      <c r="B20" s="146"/>
      <c r="C20" s="146" t="s">
        <v>21</v>
      </c>
      <c r="D20" s="241">
        <f ca="1">'ADC AUTO COST'!$K$77</f>
        <v>16.431415362498338</v>
      </c>
      <c r="E20" s="326">
        <f>'FY VOLUME AUTO'!E23</f>
        <v>35262553.999999993</v>
      </c>
      <c r="F20" s="217">
        <f>E20/E23</f>
        <v>8.1475809600572449E-2</v>
      </c>
      <c r="G20" s="146"/>
      <c r="H20" s="241"/>
      <c r="I20" s="146"/>
      <c r="J20" s="321"/>
      <c r="K20" s="295"/>
      <c r="L20" s="291"/>
      <c r="M20" s="291"/>
      <c r="N20" s="146"/>
      <c r="O20" s="146"/>
      <c r="P20" s="146"/>
      <c r="Q20" s="146"/>
      <c r="R20" s="146"/>
      <c r="S20" s="146"/>
      <c r="T20" s="146"/>
      <c r="U20" s="146"/>
      <c r="V20" s="146"/>
      <c r="W20" s="146"/>
      <c r="X20" s="146"/>
      <c r="Y20" s="146"/>
      <c r="Z20" s="146"/>
      <c r="AA20" s="146"/>
      <c r="AB20" s="146"/>
      <c r="AC20" s="146"/>
      <c r="AD20" s="146"/>
      <c r="AE20" s="146"/>
      <c r="AF20" s="146"/>
      <c r="AG20" s="146"/>
      <c r="AH20" s="146"/>
      <c r="AI20" s="146"/>
      <c r="AJ20" s="146"/>
      <c r="AK20" s="146"/>
      <c r="AL20" s="146"/>
      <c r="AM20" s="146"/>
      <c r="AN20" s="146"/>
      <c r="AO20" s="146"/>
      <c r="AP20" s="146"/>
      <c r="AQ20" s="146"/>
      <c r="AR20" s="146"/>
      <c r="AS20" s="146"/>
      <c r="AT20" s="146"/>
      <c r="AU20" s="146"/>
      <c r="AV20" s="146"/>
      <c r="AW20" s="146"/>
      <c r="AX20" s="146"/>
      <c r="AY20" s="146"/>
      <c r="AZ20" s="146"/>
      <c r="BA20" s="146"/>
      <c r="BB20" s="146"/>
      <c r="BC20" s="146"/>
      <c r="BD20" s="146"/>
      <c r="BE20" s="146"/>
      <c r="BF20" s="146"/>
      <c r="BG20" s="146"/>
      <c r="BH20" s="146"/>
      <c r="BI20" s="146"/>
      <c r="BJ20" s="146"/>
      <c r="BK20" s="146"/>
      <c r="BL20" s="146"/>
      <c r="BM20" s="146"/>
      <c r="BN20" s="146"/>
      <c r="BO20" s="146"/>
      <c r="BP20" s="146"/>
      <c r="BQ20" s="146"/>
      <c r="BR20" s="146"/>
      <c r="BS20" s="146"/>
      <c r="BT20" s="146"/>
      <c r="BU20" s="146"/>
      <c r="BV20" s="146"/>
      <c r="BW20" s="146"/>
      <c r="BX20" s="146"/>
      <c r="BY20" s="146"/>
      <c r="BZ20" s="146"/>
      <c r="CA20" s="146"/>
      <c r="CB20" s="146"/>
      <c r="CC20" s="146"/>
      <c r="CD20" s="146"/>
      <c r="CE20" s="146"/>
      <c r="CF20" s="146"/>
      <c r="CG20" s="146"/>
      <c r="CH20" s="146"/>
      <c r="CI20" s="146"/>
      <c r="CJ20" s="146"/>
      <c r="CK20" s="146"/>
      <c r="CL20" s="146"/>
      <c r="CM20" s="146"/>
      <c r="CN20" s="146"/>
      <c r="CO20" s="146"/>
      <c r="CP20" s="146"/>
      <c r="CQ20" s="146"/>
      <c r="CR20" s="146"/>
      <c r="CS20" s="146"/>
      <c r="CT20" s="146"/>
      <c r="CU20" s="146"/>
      <c r="CV20" s="146"/>
      <c r="CW20" s="146"/>
      <c r="CX20" s="146"/>
      <c r="CY20" s="146"/>
      <c r="CZ20" s="146"/>
      <c r="DA20" s="146"/>
      <c r="DB20" s="146"/>
      <c r="DC20" s="146"/>
      <c r="DD20" s="146"/>
      <c r="DE20" s="146"/>
      <c r="DF20" s="146"/>
      <c r="DG20" s="146"/>
      <c r="DH20" s="146"/>
      <c r="DI20" s="146"/>
      <c r="DJ20" s="146"/>
      <c r="DK20" s="146"/>
      <c r="DL20" s="146"/>
      <c r="DM20" s="146"/>
      <c r="DN20" s="146"/>
      <c r="DO20" s="146"/>
      <c r="DP20" s="146"/>
      <c r="DQ20" s="146"/>
      <c r="DR20" s="146"/>
      <c r="DS20" s="146"/>
      <c r="DT20" s="146"/>
      <c r="DU20" s="146"/>
      <c r="DV20" s="146"/>
      <c r="DW20" s="146"/>
      <c r="DX20" s="146"/>
      <c r="DY20" s="146"/>
      <c r="DZ20" s="146"/>
      <c r="EA20" s="146"/>
      <c r="EB20" s="146"/>
      <c r="EC20" s="146"/>
      <c r="ED20" s="146"/>
      <c r="EE20" s="146"/>
      <c r="EF20" s="146"/>
      <c r="EG20" s="146"/>
      <c r="EH20" s="146"/>
      <c r="EI20" s="146"/>
      <c r="EJ20" s="146"/>
      <c r="EK20" s="146"/>
      <c r="EL20" s="146"/>
      <c r="EM20" s="146"/>
      <c r="EN20" s="146"/>
      <c r="EO20" s="146"/>
      <c r="EP20" s="146"/>
      <c r="EQ20" s="146"/>
      <c r="ER20" s="146"/>
      <c r="ES20" s="146"/>
      <c r="ET20" s="146"/>
      <c r="EU20" s="146"/>
      <c r="EV20" s="146"/>
      <c r="EW20" s="146"/>
      <c r="EX20" s="146"/>
      <c r="EY20" s="146"/>
      <c r="EZ20" s="146"/>
      <c r="FA20" s="146"/>
      <c r="FB20" s="146"/>
      <c r="FC20" s="146"/>
      <c r="FD20" s="146"/>
      <c r="FE20" s="146"/>
      <c r="FF20" s="146"/>
      <c r="FG20" s="146"/>
      <c r="FH20" s="146"/>
      <c r="FI20" s="146"/>
      <c r="FJ20" s="146"/>
      <c r="FK20" s="146"/>
      <c r="FL20" s="146"/>
      <c r="FM20" s="146"/>
      <c r="FN20" s="146"/>
      <c r="FO20" s="146"/>
      <c r="FP20" s="146"/>
      <c r="FQ20" s="146"/>
      <c r="FR20" s="146"/>
      <c r="FS20" s="146"/>
      <c r="FT20" s="146"/>
      <c r="FU20" s="146"/>
      <c r="FV20" s="146"/>
      <c r="FW20" s="146"/>
      <c r="FX20" s="146"/>
      <c r="FY20" s="146"/>
      <c r="FZ20" s="146"/>
      <c r="GA20" s="146"/>
      <c r="GB20" s="146"/>
      <c r="GC20" s="146"/>
      <c r="GD20" s="146"/>
      <c r="GE20" s="146"/>
      <c r="GF20" s="146"/>
      <c r="GG20" s="146"/>
      <c r="GH20" s="146"/>
      <c r="GI20" s="146"/>
      <c r="GJ20" s="146"/>
      <c r="GK20" s="146"/>
      <c r="GL20" s="146"/>
      <c r="GM20" s="146"/>
      <c r="GN20" s="146"/>
      <c r="GO20" s="146"/>
      <c r="GP20" s="146"/>
      <c r="GQ20" s="146"/>
      <c r="GR20" s="146"/>
      <c r="GS20" s="146"/>
      <c r="GT20" s="146"/>
      <c r="GU20" s="146"/>
      <c r="GV20" s="146"/>
      <c r="GW20" s="146"/>
      <c r="GX20" s="146"/>
      <c r="GY20" s="146"/>
      <c r="GZ20" s="146"/>
      <c r="HA20" s="146"/>
      <c r="HB20" s="146"/>
      <c r="HC20" s="146"/>
      <c r="HD20" s="146"/>
      <c r="HE20" s="146"/>
      <c r="HF20" s="146"/>
      <c r="HG20" s="146"/>
      <c r="HH20" s="146"/>
      <c r="HI20" s="146"/>
      <c r="HJ20" s="146"/>
      <c r="HK20" s="146"/>
      <c r="HL20" s="146"/>
      <c r="HM20" s="146"/>
      <c r="HN20" s="146"/>
      <c r="HO20" s="146"/>
      <c r="HP20" s="146"/>
      <c r="HQ20" s="146"/>
      <c r="HR20" s="146"/>
      <c r="HS20" s="146"/>
      <c r="HT20" s="146"/>
      <c r="HU20" s="146"/>
      <c r="HV20" s="146"/>
      <c r="HW20" s="146"/>
      <c r="HX20" s="146"/>
      <c r="HY20" s="146"/>
      <c r="HZ20" s="146"/>
      <c r="IA20" s="146"/>
      <c r="IB20" s="146"/>
      <c r="IC20" s="146"/>
      <c r="ID20" s="146"/>
      <c r="IE20" s="146"/>
      <c r="IF20" s="146"/>
      <c r="IG20" s="146"/>
      <c r="IH20" s="146"/>
      <c r="II20" s="146"/>
      <c r="IJ20" s="146"/>
      <c r="IK20" s="146"/>
      <c r="IL20" s="146"/>
      <c r="IM20" s="146"/>
      <c r="IN20" s="146"/>
      <c r="IO20" s="146"/>
    </row>
    <row r="21" spans="1:249" s="6" customFormat="1" ht="14.1" customHeight="1" x14ac:dyDescent="0.25">
      <c r="A21" s="146"/>
      <c r="B21" s="146"/>
      <c r="C21" s="146" t="s">
        <v>22</v>
      </c>
      <c r="D21" s="241">
        <f ca="1">'3D AUTO COST'!$K$77</f>
        <v>12.925919162108599</v>
      </c>
      <c r="E21" s="326">
        <f>'FY VOLUME AUTO'!E36</f>
        <v>172200862.0000003</v>
      </c>
      <c r="F21" s="217">
        <f>E21/E23</f>
        <v>0.3978782888320137</v>
      </c>
      <c r="G21" s="146"/>
      <c r="H21" s="241"/>
      <c r="I21" s="146"/>
      <c r="J21" s="321"/>
      <c r="K21" s="295"/>
      <c r="L21" s="291"/>
      <c r="M21" s="291"/>
      <c r="N21" s="146"/>
      <c r="O21" s="146"/>
      <c r="P21" s="146"/>
      <c r="Q21" s="146"/>
      <c r="R21" s="146"/>
      <c r="S21" s="146"/>
      <c r="T21" s="146"/>
      <c r="U21" s="146"/>
      <c r="V21" s="146"/>
      <c r="W21" s="146"/>
      <c r="X21" s="146"/>
      <c r="Y21" s="146"/>
      <c r="Z21" s="146"/>
      <c r="AA21" s="146"/>
      <c r="AB21" s="146"/>
      <c r="AC21" s="146"/>
      <c r="AD21" s="146"/>
      <c r="AE21" s="146"/>
      <c r="AF21" s="146"/>
      <c r="AG21" s="146"/>
      <c r="AH21" s="146"/>
      <c r="AI21" s="146"/>
      <c r="AJ21" s="146"/>
      <c r="AK21" s="146"/>
      <c r="AL21" s="146"/>
      <c r="AM21" s="146"/>
      <c r="AN21" s="146"/>
      <c r="AO21" s="146"/>
      <c r="AP21" s="146"/>
      <c r="AQ21" s="146"/>
      <c r="AR21" s="146"/>
      <c r="AS21" s="146"/>
      <c r="AT21" s="146"/>
      <c r="AU21" s="146"/>
      <c r="AV21" s="146"/>
      <c r="AW21" s="146"/>
      <c r="AX21" s="146"/>
      <c r="AY21" s="146"/>
      <c r="AZ21" s="146"/>
      <c r="BA21" s="146"/>
      <c r="BB21" s="146"/>
      <c r="BC21" s="146"/>
      <c r="BD21" s="146"/>
      <c r="BE21" s="146"/>
      <c r="BF21" s="146"/>
      <c r="BG21" s="146"/>
      <c r="BH21" s="146"/>
      <c r="BI21" s="146"/>
      <c r="BJ21" s="146"/>
      <c r="BK21" s="146"/>
      <c r="BL21" s="146"/>
      <c r="BM21" s="146"/>
      <c r="BN21" s="146"/>
      <c r="BO21" s="146"/>
      <c r="BP21" s="146"/>
      <c r="BQ21" s="146"/>
      <c r="BR21" s="146"/>
      <c r="BS21" s="146"/>
      <c r="BT21" s="146"/>
      <c r="BU21" s="146"/>
      <c r="BV21" s="146"/>
      <c r="BW21" s="146"/>
      <c r="BX21" s="146"/>
      <c r="BY21" s="146"/>
      <c r="BZ21" s="146"/>
      <c r="CA21" s="146"/>
      <c r="CB21" s="146"/>
      <c r="CC21" s="146"/>
      <c r="CD21" s="146"/>
      <c r="CE21" s="146"/>
      <c r="CF21" s="146"/>
      <c r="CG21" s="146"/>
      <c r="CH21" s="146"/>
      <c r="CI21" s="146"/>
      <c r="CJ21" s="146"/>
      <c r="CK21" s="146"/>
      <c r="CL21" s="146"/>
      <c r="CM21" s="146"/>
      <c r="CN21" s="146"/>
      <c r="CO21" s="146"/>
      <c r="CP21" s="146"/>
      <c r="CQ21" s="146"/>
      <c r="CR21" s="146"/>
      <c r="CS21" s="146"/>
      <c r="CT21" s="146"/>
      <c r="CU21" s="146"/>
      <c r="CV21" s="146"/>
      <c r="CW21" s="146"/>
      <c r="CX21" s="146"/>
      <c r="CY21" s="146"/>
      <c r="CZ21" s="146"/>
      <c r="DA21" s="146"/>
      <c r="DB21" s="146"/>
      <c r="DC21" s="146"/>
      <c r="DD21" s="146"/>
      <c r="DE21" s="146"/>
      <c r="DF21" s="146"/>
      <c r="DG21" s="146"/>
      <c r="DH21" s="146"/>
      <c r="DI21" s="146"/>
      <c r="DJ21" s="146"/>
      <c r="DK21" s="146"/>
      <c r="DL21" s="146"/>
      <c r="DM21" s="146"/>
      <c r="DN21" s="146"/>
      <c r="DO21" s="146"/>
      <c r="DP21" s="146"/>
      <c r="DQ21" s="146"/>
      <c r="DR21" s="146"/>
      <c r="DS21" s="146"/>
      <c r="DT21" s="146"/>
      <c r="DU21" s="146"/>
      <c r="DV21" s="146"/>
      <c r="DW21" s="146"/>
      <c r="DX21" s="146"/>
      <c r="DY21" s="146"/>
      <c r="DZ21" s="146"/>
      <c r="EA21" s="146"/>
      <c r="EB21" s="146"/>
      <c r="EC21" s="146"/>
      <c r="ED21" s="146"/>
      <c r="EE21" s="146"/>
      <c r="EF21" s="146"/>
      <c r="EG21" s="146"/>
      <c r="EH21" s="146"/>
      <c r="EI21" s="146"/>
      <c r="EJ21" s="146"/>
      <c r="EK21" s="146"/>
      <c r="EL21" s="146"/>
      <c r="EM21" s="146"/>
      <c r="EN21" s="146"/>
      <c r="EO21" s="146"/>
      <c r="EP21" s="146"/>
      <c r="EQ21" s="146"/>
      <c r="ER21" s="146"/>
      <c r="ES21" s="146"/>
      <c r="ET21" s="146"/>
      <c r="EU21" s="146"/>
      <c r="EV21" s="146"/>
      <c r="EW21" s="146"/>
      <c r="EX21" s="146"/>
      <c r="EY21" s="146"/>
      <c r="EZ21" s="146"/>
      <c r="FA21" s="146"/>
      <c r="FB21" s="146"/>
      <c r="FC21" s="146"/>
      <c r="FD21" s="146"/>
      <c r="FE21" s="146"/>
      <c r="FF21" s="146"/>
      <c r="FG21" s="146"/>
      <c r="FH21" s="146"/>
      <c r="FI21" s="146"/>
      <c r="FJ21" s="146"/>
      <c r="FK21" s="146"/>
      <c r="FL21" s="146"/>
      <c r="FM21" s="146"/>
      <c r="FN21" s="146"/>
      <c r="FO21" s="146"/>
      <c r="FP21" s="146"/>
      <c r="FQ21" s="146"/>
      <c r="FR21" s="146"/>
      <c r="FS21" s="146"/>
      <c r="FT21" s="146"/>
      <c r="FU21" s="146"/>
      <c r="FV21" s="146"/>
      <c r="FW21" s="146"/>
      <c r="FX21" s="146"/>
      <c r="FY21" s="146"/>
      <c r="FZ21" s="146"/>
      <c r="GA21" s="146"/>
      <c r="GB21" s="146"/>
      <c r="GC21" s="146"/>
      <c r="GD21" s="146"/>
      <c r="GE21" s="146"/>
      <c r="GF21" s="146"/>
      <c r="GG21" s="146"/>
      <c r="GH21" s="146"/>
      <c r="GI21" s="146"/>
      <c r="GJ21" s="146"/>
      <c r="GK21" s="146"/>
      <c r="GL21" s="146"/>
      <c r="GM21" s="146"/>
      <c r="GN21" s="146"/>
      <c r="GO21" s="146"/>
      <c r="GP21" s="146"/>
      <c r="GQ21" s="146"/>
      <c r="GR21" s="146"/>
      <c r="GS21" s="146"/>
      <c r="GT21" s="146"/>
      <c r="GU21" s="146"/>
      <c r="GV21" s="146"/>
      <c r="GW21" s="146"/>
      <c r="GX21" s="146"/>
      <c r="GY21" s="146"/>
      <c r="GZ21" s="146"/>
      <c r="HA21" s="146"/>
      <c r="HB21" s="146"/>
      <c r="HC21" s="146"/>
      <c r="HD21" s="146"/>
      <c r="HE21" s="146"/>
      <c r="HF21" s="146"/>
      <c r="HG21" s="146"/>
      <c r="HH21" s="146"/>
      <c r="HI21" s="146"/>
      <c r="HJ21" s="146"/>
      <c r="HK21" s="146"/>
      <c r="HL21" s="146"/>
      <c r="HM21" s="146"/>
      <c r="HN21" s="146"/>
      <c r="HO21" s="146"/>
      <c r="HP21" s="146"/>
      <c r="HQ21" s="146"/>
      <c r="HR21" s="146"/>
      <c r="HS21" s="146"/>
      <c r="HT21" s="146"/>
      <c r="HU21" s="146"/>
      <c r="HV21" s="146"/>
      <c r="HW21" s="146"/>
      <c r="HX21" s="146"/>
      <c r="HY21" s="146"/>
      <c r="HZ21" s="146"/>
      <c r="IA21" s="146"/>
      <c r="IB21" s="146"/>
      <c r="IC21" s="146"/>
      <c r="ID21" s="146"/>
      <c r="IE21" s="146"/>
      <c r="IF21" s="146"/>
      <c r="IG21" s="146"/>
      <c r="IH21" s="146"/>
      <c r="II21" s="146"/>
      <c r="IJ21" s="146"/>
      <c r="IK21" s="146"/>
      <c r="IL21" s="146"/>
      <c r="IM21" s="146"/>
      <c r="IN21" s="146"/>
      <c r="IO21" s="146"/>
    </row>
    <row r="22" spans="1:249" s="6" customFormat="1" ht="14.1" customHeight="1" x14ac:dyDescent="0.25">
      <c r="A22" s="146"/>
      <c r="B22" s="146"/>
      <c r="C22" s="146" t="s">
        <v>23</v>
      </c>
      <c r="D22" s="241">
        <f ca="1">'5D AUTO COST'!$K$77</f>
        <v>8.2198460836608085</v>
      </c>
      <c r="E22" s="326">
        <f>'FY VOLUME AUTO'!E51</f>
        <v>175270289.00000009</v>
      </c>
      <c r="F22" s="217">
        <f>E22/E23</f>
        <v>0.40497034602772447</v>
      </c>
      <c r="G22" s="146"/>
      <c r="H22" s="241"/>
      <c r="I22" s="356"/>
      <c r="J22" s="321"/>
      <c r="K22" s="295"/>
      <c r="L22" s="291"/>
      <c r="M22" s="291"/>
      <c r="N22" s="146"/>
      <c r="O22" s="146"/>
      <c r="P22" s="146"/>
      <c r="Q22" s="146"/>
      <c r="R22" s="146"/>
      <c r="S22" s="146"/>
      <c r="T22" s="146"/>
      <c r="U22" s="146"/>
      <c r="V22" s="146"/>
      <c r="W22" s="146"/>
      <c r="X22" s="146"/>
      <c r="Y22" s="146"/>
      <c r="Z22" s="146"/>
      <c r="AA22" s="146"/>
      <c r="AB22" s="146"/>
      <c r="AC22" s="146"/>
      <c r="AD22" s="146"/>
      <c r="AE22" s="146"/>
      <c r="AF22" s="146"/>
      <c r="AG22" s="146"/>
      <c r="AH22" s="146"/>
      <c r="AI22" s="146"/>
      <c r="AJ22" s="146"/>
      <c r="AK22" s="146"/>
      <c r="AL22" s="146"/>
      <c r="AM22" s="146"/>
      <c r="AN22" s="146"/>
      <c r="AO22" s="146"/>
      <c r="AP22" s="146"/>
      <c r="AQ22" s="146"/>
      <c r="AR22" s="146"/>
      <c r="AS22" s="146"/>
      <c r="AT22" s="146"/>
      <c r="AU22" s="146"/>
      <c r="AV22" s="146"/>
      <c r="AW22" s="146"/>
      <c r="AX22" s="146"/>
      <c r="AY22" s="146"/>
      <c r="AZ22" s="146"/>
      <c r="BA22" s="146"/>
      <c r="BB22" s="146"/>
      <c r="BC22" s="146"/>
      <c r="BD22" s="146"/>
      <c r="BE22" s="146"/>
      <c r="BF22" s="146"/>
      <c r="BG22" s="146"/>
      <c r="BH22" s="146"/>
      <c r="BI22" s="146"/>
      <c r="BJ22" s="146"/>
      <c r="BK22" s="146"/>
      <c r="BL22" s="146"/>
      <c r="BM22" s="146"/>
      <c r="BN22" s="146"/>
      <c r="BO22" s="146"/>
      <c r="BP22" s="146"/>
      <c r="BQ22" s="146"/>
      <c r="BR22" s="146"/>
      <c r="BS22" s="146"/>
      <c r="BT22" s="146"/>
      <c r="BU22" s="146"/>
      <c r="BV22" s="146"/>
      <c r="BW22" s="146"/>
      <c r="BX22" s="146"/>
      <c r="BY22" s="146"/>
      <c r="BZ22" s="146"/>
      <c r="CA22" s="146"/>
      <c r="CB22" s="146"/>
      <c r="CC22" s="146"/>
      <c r="CD22" s="146"/>
      <c r="CE22" s="146"/>
      <c r="CF22" s="146"/>
      <c r="CG22" s="146"/>
      <c r="CH22" s="146"/>
      <c r="CI22" s="146"/>
      <c r="CJ22" s="146"/>
      <c r="CK22" s="146"/>
      <c r="CL22" s="146"/>
      <c r="CM22" s="146"/>
      <c r="CN22" s="146"/>
      <c r="CO22" s="146"/>
      <c r="CP22" s="146"/>
      <c r="CQ22" s="146"/>
      <c r="CR22" s="146"/>
      <c r="CS22" s="146"/>
      <c r="CT22" s="146"/>
      <c r="CU22" s="146"/>
      <c r="CV22" s="146"/>
      <c r="CW22" s="146"/>
      <c r="CX22" s="146"/>
      <c r="CY22" s="146"/>
      <c r="CZ22" s="146"/>
      <c r="DA22" s="146"/>
      <c r="DB22" s="146"/>
      <c r="DC22" s="146"/>
      <c r="DD22" s="146"/>
      <c r="DE22" s="146"/>
      <c r="DF22" s="146"/>
      <c r="DG22" s="146"/>
      <c r="DH22" s="146"/>
      <c r="DI22" s="146"/>
      <c r="DJ22" s="146"/>
      <c r="DK22" s="146"/>
      <c r="DL22" s="146"/>
      <c r="DM22" s="146"/>
      <c r="DN22" s="146"/>
      <c r="DO22" s="146"/>
      <c r="DP22" s="146"/>
      <c r="DQ22" s="146"/>
      <c r="DR22" s="146"/>
      <c r="DS22" s="146"/>
      <c r="DT22" s="146"/>
      <c r="DU22" s="146"/>
      <c r="DV22" s="146"/>
      <c r="DW22" s="146"/>
      <c r="DX22" s="146"/>
      <c r="DY22" s="146"/>
      <c r="DZ22" s="146"/>
      <c r="EA22" s="146"/>
      <c r="EB22" s="146"/>
      <c r="EC22" s="146"/>
      <c r="ED22" s="146"/>
      <c r="EE22" s="146"/>
      <c r="EF22" s="146"/>
      <c r="EG22" s="146"/>
      <c r="EH22" s="146"/>
      <c r="EI22" s="146"/>
      <c r="EJ22" s="146"/>
      <c r="EK22" s="146"/>
      <c r="EL22" s="146"/>
      <c r="EM22" s="146"/>
      <c r="EN22" s="146"/>
      <c r="EO22" s="146"/>
      <c r="EP22" s="146"/>
      <c r="EQ22" s="146"/>
      <c r="ER22" s="146"/>
      <c r="ES22" s="146"/>
      <c r="ET22" s="146"/>
      <c r="EU22" s="146"/>
      <c r="EV22" s="146"/>
      <c r="EW22" s="146"/>
      <c r="EX22" s="146"/>
      <c r="EY22" s="146"/>
      <c r="EZ22" s="146"/>
      <c r="FA22" s="146"/>
      <c r="FB22" s="146"/>
      <c r="FC22" s="146"/>
      <c r="FD22" s="146"/>
      <c r="FE22" s="146"/>
      <c r="FF22" s="146"/>
      <c r="FG22" s="146"/>
      <c r="FH22" s="146"/>
      <c r="FI22" s="146"/>
      <c r="FJ22" s="146"/>
      <c r="FK22" s="146"/>
      <c r="FL22" s="146"/>
      <c r="FM22" s="146"/>
      <c r="FN22" s="146"/>
      <c r="FO22" s="146"/>
      <c r="FP22" s="146"/>
      <c r="FQ22" s="146"/>
      <c r="FR22" s="146"/>
      <c r="FS22" s="146"/>
      <c r="FT22" s="146"/>
      <c r="FU22" s="146"/>
      <c r="FV22" s="146"/>
      <c r="FW22" s="146"/>
      <c r="FX22" s="146"/>
      <c r="FY22" s="146"/>
      <c r="FZ22" s="146"/>
      <c r="GA22" s="146"/>
      <c r="GB22" s="146"/>
      <c r="GC22" s="146"/>
      <c r="GD22" s="146"/>
      <c r="GE22" s="146"/>
      <c r="GF22" s="146"/>
      <c r="GG22" s="146"/>
      <c r="GH22" s="146"/>
      <c r="GI22" s="146"/>
      <c r="GJ22" s="146"/>
      <c r="GK22" s="146"/>
      <c r="GL22" s="146"/>
      <c r="GM22" s="146"/>
      <c r="GN22" s="146"/>
      <c r="GO22" s="146"/>
      <c r="GP22" s="146"/>
      <c r="GQ22" s="146"/>
      <c r="GR22" s="146"/>
      <c r="GS22" s="146"/>
      <c r="GT22" s="146"/>
      <c r="GU22" s="146"/>
      <c r="GV22" s="146"/>
      <c r="GW22" s="146"/>
      <c r="GX22" s="146"/>
      <c r="GY22" s="146"/>
      <c r="GZ22" s="146"/>
      <c r="HA22" s="146"/>
      <c r="HB22" s="146"/>
      <c r="HC22" s="146"/>
      <c r="HD22" s="146"/>
      <c r="HE22" s="146"/>
      <c r="HF22" s="146"/>
      <c r="HG22" s="146"/>
      <c r="HH22" s="146"/>
      <c r="HI22" s="146"/>
      <c r="HJ22" s="146"/>
      <c r="HK22" s="146"/>
      <c r="HL22" s="146"/>
      <c r="HM22" s="146"/>
      <c r="HN22" s="146"/>
      <c r="HO22" s="146"/>
      <c r="HP22" s="146"/>
      <c r="HQ22" s="146"/>
      <c r="HR22" s="146"/>
      <c r="HS22" s="146"/>
      <c r="HT22" s="146"/>
      <c r="HU22" s="146"/>
      <c r="HV22" s="146"/>
      <c r="HW22" s="146"/>
      <c r="HX22" s="146"/>
      <c r="HY22" s="146"/>
      <c r="HZ22" s="146"/>
      <c r="IA22" s="146"/>
      <c r="IB22" s="146"/>
      <c r="IC22" s="146"/>
      <c r="ID22" s="146"/>
      <c r="IE22" s="146"/>
      <c r="IF22" s="146"/>
      <c r="IG22" s="146"/>
      <c r="IH22" s="146"/>
      <c r="II22" s="146"/>
      <c r="IJ22" s="146"/>
      <c r="IK22" s="146"/>
      <c r="IL22" s="146"/>
      <c r="IM22" s="146"/>
      <c r="IN22" s="146"/>
      <c r="IO22" s="146"/>
    </row>
    <row r="23" spans="1:249" s="1" customFormat="1" ht="14.1" customHeight="1" x14ac:dyDescent="0.25">
      <c r="A23" s="139" t="str">
        <f>"(8)"</f>
        <v>(8)</v>
      </c>
      <c r="B23" s="1" t="s">
        <v>25</v>
      </c>
      <c r="D23" s="40">
        <f ca="1">D18*F18+D19*F19+D20*F20+D21*F21+D22*F22</f>
        <v>12.249550650368707</v>
      </c>
      <c r="E23" s="160">
        <f>SUM(E18:E22)</f>
        <v>432797835.00000024</v>
      </c>
      <c r="F23" s="13">
        <f>SUM(F18:F22)</f>
        <v>1</v>
      </c>
      <c r="J23" s="323"/>
      <c r="K23" s="295"/>
      <c r="L23" s="296"/>
      <c r="M23" s="296"/>
    </row>
    <row r="24" spans="1:249" s="1" customFormat="1" ht="14.1" customHeight="1" x14ac:dyDescent="0.25">
      <c r="D24" s="40"/>
      <c r="E24" s="161"/>
      <c r="F24" s="133"/>
      <c r="J24" s="434"/>
      <c r="K24" s="295"/>
      <c r="L24" s="291"/>
      <c r="M24" s="296"/>
    </row>
    <row r="25" spans="1:249" s="1" customFormat="1" ht="14.1" customHeight="1" x14ac:dyDescent="0.25">
      <c r="B25" s="33" t="s">
        <v>26</v>
      </c>
      <c r="C25" s="158"/>
      <c r="D25" s="40"/>
      <c r="F25" s="15">
        <f ca="1">F7/D23</f>
        <v>5.0838220970444858</v>
      </c>
      <c r="G25" s="1" t="str">
        <f>"(9)"</f>
        <v>(9)</v>
      </c>
      <c r="J25" s="434"/>
      <c r="K25" s="295"/>
      <c r="L25" s="296"/>
      <c r="M25" s="296"/>
    </row>
    <row r="26" spans="1:249" s="1" customFormat="1" ht="14.1" customHeight="1" x14ac:dyDescent="0.25">
      <c r="A26" s="158"/>
      <c r="B26" s="158"/>
      <c r="C26" s="158"/>
      <c r="D26" s="40"/>
      <c r="F26" s="133"/>
      <c r="G26" s="162"/>
      <c r="J26" s="434"/>
      <c r="K26" s="295"/>
      <c r="L26" s="296"/>
      <c r="M26" s="296"/>
      <c r="IN26" s="1" t="s">
        <v>28</v>
      </c>
    </row>
    <row r="27" spans="1:249" s="142" customFormat="1" ht="14.1" customHeight="1" x14ac:dyDescent="0.3">
      <c r="A27" s="163" t="s">
        <v>29</v>
      </c>
      <c r="B27" s="152"/>
      <c r="C27" s="152"/>
      <c r="D27" s="153"/>
      <c r="E27" s="164"/>
      <c r="F27" s="155"/>
      <c r="G27" s="156"/>
      <c r="H27" s="156"/>
      <c r="I27" s="156"/>
      <c r="J27" s="434"/>
      <c r="K27" s="295"/>
      <c r="L27" s="292"/>
      <c r="M27" s="292"/>
    </row>
    <row r="28" spans="1:249" s="6" customFormat="1" ht="14.1" customHeight="1" x14ac:dyDescent="0.25">
      <c r="A28" s="146"/>
      <c r="B28" s="1"/>
      <c r="C28" s="1"/>
      <c r="D28" s="241"/>
      <c r="E28" s="326"/>
      <c r="F28" s="347"/>
      <c r="G28" s="347"/>
      <c r="H28" s="347"/>
      <c r="I28" s="347"/>
      <c r="J28" s="434"/>
      <c r="K28" s="295"/>
      <c r="L28" s="291"/>
      <c r="M28" s="291"/>
      <c r="N28" s="146"/>
      <c r="O28" s="146"/>
      <c r="P28" s="146"/>
      <c r="Q28" s="146"/>
      <c r="R28" s="146"/>
      <c r="S28" s="146"/>
      <c r="T28" s="146"/>
      <c r="U28" s="146"/>
      <c r="V28" s="146"/>
      <c r="W28" s="146"/>
      <c r="X28" s="146"/>
      <c r="Y28" s="146"/>
      <c r="Z28" s="146"/>
      <c r="AA28" s="146"/>
      <c r="AB28" s="146"/>
      <c r="AC28" s="146"/>
      <c r="AD28" s="146"/>
      <c r="AE28" s="146"/>
      <c r="AF28" s="146"/>
      <c r="AG28" s="146"/>
      <c r="AH28" s="146"/>
      <c r="AI28" s="146"/>
      <c r="AJ28" s="146"/>
      <c r="AK28" s="146"/>
      <c r="AL28" s="146"/>
      <c r="AM28" s="146"/>
      <c r="AN28" s="146"/>
      <c r="AO28" s="146"/>
      <c r="AP28" s="146"/>
      <c r="AQ28" s="146"/>
      <c r="AR28" s="146"/>
      <c r="AS28" s="146"/>
      <c r="AT28" s="146"/>
      <c r="AU28" s="146"/>
      <c r="AV28" s="146"/>
      <c r="AW28" s="146"/>
      <c r="AX28" s="146"/>
      <c r="AY28" s="146"/>
      <c r="AZ28" s="146"/>
      <c r="BA28" s="146"/>
      <c r="BB28" s="146"/>
      <c r="BC28" s="146"/>
      <c r="BD28" s="146"/>
      <c r="BE28" s="146"/>
      <c r="BF28" s="146"/>
      <c r="BG28" s="146"/>
      <c r="BH28" s="146"/>
      <c r="BI28" s="146"/>
      <c r="BJ28" s="146"/>
      <c r="BK28" s="146"/>
      <c r="BL28" s="146"/>
      <c r="BM28" s="146"/>
      <c r="BN28" s="146"/>
      <c r="BO28" s="146"/>
      <c r="BP28" s="146"/>
      <c r="BQ28" s="146"/>
      <c r="BR28" s="146"/>
      <c r="BS28" s="146"/>
      <c r="BT28" s="146"/>
      <c r="BU28" s="146"/>
      <c r="BV28" s="146"/>
      <c r="BW28" s="146"/>
      <c r="BX28" s="146"/>
      <c r="BY28" s="146"/>
      <c r="BZ28" s="146"/>
      <c r="CA28" s="146"/>
      <c r="CB28" s="146"/>
      <c r="CC28" s="146"/>
      <c r="CD28" s="146"/>
      <c r="CE28" s="146"/>
      <c r="CF28" s="146"/>
      <c r="CG28" s="146"/>
      <c r="CH28" s="146"/>
      <c r="CI28" s="146"/>
      <c r="CJ28" s="146"/>
      <c r="CK28" s="146"/>
      <c r="CL28" s="146"/>
      <c r="CM28" s="146"/>
      <c r="CN28" s="146"/>
      <c r="CO28" s="146"/>
      <c r="CP28" s="146"/>
      <c r="CQ28" s="146"/>
      <c r="CR28" s="146"/>
      <c r="CS28" s="146"/>
      <c r="CT28" s="146"/>
      <c r="CU28" s="146"/>
      <c r="CV28" s="146"/>
      <c r="CW28" s="146"/>
      <c r="CX28" s="146"/>
      <c r="CY28" s="146"/>
      <c r="CZ28" s="146"/>
      <c r="DA28" s="146"/>
      <c r="DB28" s="146"/>
      <c r="DC28" s="146"/>
      <c r="DD28" s="146"/>
      <c r="DE28" s="146"/>
      <c r="DF28" s="146"/>
      <c r="DG28" s="146"/>
      <c r="DH28" s="146"/>
      <c r="DI28" s="146"/>
      <c r="DJ28" s="146"/>
      <c r="DK28" s="146"/>
      <c r="DL28" s="146"/>
      <c r="DM28" s="146"/>
      <c r="DN28" s="146"/>
      <c r="DO28" s="146"/>
      <c r="DP28" s="146"/>
      <c r="DQ28" s="146"/>
      <c r="DR28" s="146"/>
      <c r="DS28" s="146"/>
      <c r="DT28" s="146"/>
      <c r="DU28" s="146"/>
      <c r="DV28" s="146"/>
      <c r="DW28" s="146"/>
      <c r="DX28" s="146"/>
      <c r="DY28" s="146"/>
      <c r="DZ28" s="146"/>
      <c r="EA28" s="146"/>
      <c r="EB28" s="146"/>
      <c r="EC28" s="146"/>
      <c r="ED28" s="146"/>
      <c r="EE28" s="146"/>
      <c r="EF28" s="146"/>
      <c r="EG28" s="146"/>
      <c r="EH28" s="146"/>
      <c r="EI28" s="146"/>
      <c r="EJ28" s="146"/>
      <c r="EK28" s="146"/>
      <c r="EL28" s="146"/>
      <c r="EM28" s="146"/>
      <c r="EN28" s="146"/>
      <c r="EO28" s="146"/>
      <c r="EP28" s="146"/>
      <c r="EQ28" s="146"/>
      <c r="ER28" s="146"/>
      <c r="ES28" s="146"/>
      <c r="ET28" s="146"/>
      <c r="EU28" s="146"/>
      <c r="EV28" s="146"/>
      <c r="EW28" s="146"/>
      <c r="EX28" s="146"/>
      <c r="EY28" s="146"/>
      <c r="EZ28" s="146"/>
      <c r="FA28" s="146"/>
      <c r="FB28" s="146"/>
      <c r="FC28" s="146"/>
      <c r="FD28" s="146"/>
      <c r="FE28" s="146"/>
      <c r="FF28" s="146"/>
      <c r="FG28" s="146"/>
      <c r="FH28" s="146"/>
      <c r="FI28" s="146"/>
      <c r="FJ28" s="146"/>
      <c r="FK28" s="146"/>
      <c r="FL28" s="146"/>
      <c r="FM28" s="146"/>
      <c r="FN28" s="146"/>
      <c r="FO28" s="146"/>
      <c r="FP28" s="146"/>
      <c r="FQ28" s="146"/>
      <c r="FR28" s="146"/>
      <c r="FS28" s="146"/>
      <c r="FT28" s="146"/>
      <c r="FU28" s="146"/>
      <c r="FV28" s="146"/>
      <c r="FW28" s="146"/>
      <c r="FX28" s="146"/>
      <c r="FY28" s="146"/>
      <c r="FZ28" s="146"/>
      <c r="GA28" s="146"/>
      <c r="GB28" s="146"/>
      <c r="GC28" s="146"/>
      <c r="GD28" s="146"/>
      <c r="GE28" s="146"/>
      <c r="GF28" s="146"/>
      <c r="GG28" s="146"/>
      <c r="GH28" s="146"/>
      <c r="GI28" s="146"/>
      <c r="GJ28" s="146"/>
      <c r="GK28" s="146"/>
      <c r="GL28" s="146"/>
      <c r="GM28" s="146"/>
      <c r="GN28" s="146"/>
      <c r="GO28" s="146"/>
      <c r="GP28" s="146"/>
      <c r="GQ28" s="146"/>
      <c r="GR28" s="146"/>
      <c r="GS28" s="146"/>
      <c r="GT28" s="146"/>
      <c r="GU28" s="146"/>
      <c r="GV28" s="146"/>
      <c r="GW28" s="146"/>
      <c r="GX28" s="146"/>
      <c r="GY28" s="146"/>
      <c r="GZ28" s="146"/>
      <c r="HA28" s="146"/>
      <c r="HB28" s="146"/>
      <c r="HC28" s="146"/>
      <c r="HD28" s="146"/>
      <c r="HE28" s="146"/>
      <c r="HF28" s="146"/>
      <c r="HG28" s="146"/>
      <c r="HH28" s="146"/>
      <c r="HI28" s="146"/>
      <c r="HJ28" s="146"/>
      <c r="HK28" s="146"/>
      <c r="HL28" s="146"/>
      <c r="HM28" s="146"/>
      <c r="HN28" s="146"/>
      <c r="HO28" s="146"/>
      <c r="HP28" s="146"/>
      <c r="HQ28" s="146"/>
      <c r="HR28" s="146"/>
      <c r="HS28" s="146"/>
      <c r="HT28" s="146"/>
      <c r="HU28" s="146"/>
      <c r="HV28" s="146"/>
      <c r="HW28" s="146"/>
      <c r="HX28" s="146"/>
      <c r="HY28" s="146"/>
      <c r="HZ28" s="146"/>
      <c r="IA28" s="146"/>
      <c r="IB28" s="146"/>
      <c r="IC28" s="146"/>
      <c r="ID28" s="146"/>
      <c r="IE28" s="146"/>
      <c r="IF28" s="146"/>
      <c r="IG28" s="146"/>
      <c r="IH28" s="146"/>
      <c r="II28" s="146"/>
      <c r="IJ28" s="146"/>
      <c r="IK28" s="146"/>
      <c r="IL28" s="146"/>
      <c r="IM28" s="146"/>
      <c r="IN28" s="146"/>
      <c r="IO28" s="146"/>
    </row>
    <row r="29" spans="1:249" s="6" customFormat="1" ht="14.1" customHeight="1" x14ac:dyDescent="0.25">
      <c r="A29" s="146"/>
      <c r="B29" s="1"/>
      <c r="C29" s="1"/>
      <c r="D29" s="40" t="str">
        <f>"(10)"</f>
        <v>(10)</v>
      </c>
      <c r="E29" s="31" t="str">
        <f>"(11)"</f>
        <v>(11)</v>
      </c>
      <c r="F29" s="31" t="str">
        <f>"(12)"</f>
        <v>(12)</v>
      </c>
      <c r="G29" s="31" t="str">
        <f>"(13)"</f>
        <v>(13)</v>
      </c>
      <c r="H29" s="31" t="str">
        <f>"(14)"</f>
        <v>(14)</v>
      </c>
      <c r="I29" s="31" t="str">
        <f>"(15)"</f>
        <v>(15)</v>
      </c>
      <c r="J29" s="430"/>
      <c r="K29" s="433"/>
      <c r="L29" s="291"/>
      <c r="M29" s="291"/>
      <c r="N29" s="146"/>
      <c r="O29" s="146"/>
      <c r="P29" s="146"/>
      <c r="Q29" s="146"/>
      <c r="R29" s="146"/>
      <c r="S29" s="146"/>
      <c r="T29" s="146"/>
      <c r="U29" s="146"/>
      <c r="V29" s="146"/>
      <c r="W29" s="146"/>
      <c r="X29" s="146"/>
      <c r="Y29" s="146"/>
      <c r="Z29" s="146"/>
      <c r="AA29" s="146"/>
      <c r="AB29" s="146"/>
      <c r="AC29" s="146"/>
      <c r="AD29" s="146"/>
      <c r="AE29" s="146"/>
      <c r="AF29" s="146"/>
      <c r="AG29" s="146"/>
      <c r="AH29" s="146"/>
      <c r="AI29" s="146"/>
      <c r="AJ29" s="146"/>
      <c r="AK29" s="146"/>
      <c r="AL29" s="146"/>
      <c r="AM29" s="146"/>
      <c r="AN29" s="146"/>
      <c r="AO29" s="146"/>
      <c r="AP29" s="146"/>
      <c r="AQ29" s="146"/>
      <c r="AR29" s="146"/>
      <c r="AS29" s="146"/>
      <c r="AT29" s="146"/>
      <c r="AU29" s="146"/>
      <c r="AV29" s="146"/>
      <c r="AW29" s="146"/>
      <c r="AX29" s="146"/>
      <c r="AY29" s="146"/>
      <c r="AZ29" s="146"/>
      <c r="BA29" s="146"/>
      <c r="BB29" s="146"/>
      <c r="BC29" s="146"/>
      <c r="BD29" s="146"/>
      <c r="BE29" s="146"/>
      <c r="BF29" s="146"/>
      <c r="BG29" s="146"/>
      <c r="BH29" s="146"/>
      <c r="BI29" s="146"/>
      <c r="BJ29" s="146"/>
      <c r="BK29" s="146"/>
      <c r="BL29" s="146"/>
      <c r="BM29" s="146"/>
      <c r="BN29" s="146"/>
      <c r="BO29" s="146"/>
      <c r="BP29" s="146"/>
      <c r="BQ29" s="146"/>
      <c r="BR29" s="146"/>
      <c r="BS29" s="146"/>
      <c r="BT29" s="146"/>
      <c r="BU29" s="146"/>
      <c r="BV29" s="146"/>
      <c r="BW29" s="146"/>
      <c r="BX29" s="146"/>
      <c r="BY29" s="146"/>
      <c r="BZ29" s="146"/>
      <c r="CA29" s="146"/>
      <c r="CB29" s="146"/>
      <c r="CC29" s="146"/>
      <c r="CD29" s="146"/>
      <c r="CE29" s="146"/>
      <c r="CF29" s="146"/>
      <c r="CG29" s="146"/>
      <c r="CH29" s="146"/>
      <c r="CI29" s="146"/>
      <c r="CJ29" s="146"/>
      <c r="CK29" s="146"/>
      <c r="CL29" s="146"/>
      <c r="CM29" s="146"/>
      <c r="CN29" s="146"/>
      <c r="CO29" s="146"/>
      <c r="CP29" s="146"/>
      <c r="CQ29" s="146"/>
      <c r="CR29" s="146"/>
      <c r="CS29" s="146"/>
      <c r="CT29" s="146"/>
      <c r="CU29" s="146"/>
      <c r="CV29" s="146"/>
      <c r="CW29" s="146"/>
      <c r="CX29" s="146"/>
      <c r="CY29" s="146"/>
      <c r="CZ29" s="146"/>
      <c r="DA29" s="146"/>
      <c r="DB29" s="146"/>
      <c r="DC29" s="146"/>
      <c r="DD29" s="146"/>
      <c r="DE29" s="146"/>
      <c r="DF29" s="146"/>
      <c r="DG29" s="146"/>
      <c r="DH29" s="146"/>
      <c r="DI29" s="146"/>
      <c r="DJ29" s="146"/>
      <c r="DK29" s="146"/>
      <c r="DL29" s="146"/>
      <c r="DM29" s="146"/>
      <c r="DN29" s="146"/>
      <c r="DO29" s="146"/>
      <c r="DP29" s="146"/>
      <c r="DQ29" s="146"/>
      <c r="DR29" s="146"/>
      <c r="DS29" s="146"/>
      <c r="DT29" s="146"/>
      <c r="DU29" s="146"/>
      <c r="DV29" s="146"/>
      <c r="DW29" s="146"/>
      <c r="DX29" s="146"/>
      <c r="DY29" s="146"/>
      <c r="DZ29" s="146"/>
      <c r="EA29" s="146"/>
      <c r="EB29" s="146"/>
      <c r="EC29" s="146"/>
      <c r="ED29" s="146"/>
      <c r="EE29" s="146"/>
      <c r="EF29" s="146"/>
      <c r="EG29" s="146"/>
      <c r="EH29" s="146"/>
      <c r="EI29" s="146"/>
      <c r="EJ29" s="146"/>
      <c r="EK29" s="146"/>
      <c r="EL29" s="146"/>
      <c r="EM29" s="146"/>
      <c r="EN29" s="146"/>
      <c r="EO29" s="146"/>
      <c r="EP29" s="146"/>
      <c r="EQ29" s="146"/>
      <c r="ER29" s="146"/>
      <c r="ES29" s="146"/>
      <c r="ET29" s="146"/>
      <c r="EU29" s="146"/>
      <c r="EV29" s="146"/>
      <c r="EW29" s="146"/>
      <c r="EX29" s="146"/>
      <c r="EY29" s="146"/>
      <c r="EZ29" s="146"/>
      <c r="FA29" s="146"/>
      <c r="FB29" s="146"/>
      <c r="FC29" s="146"/>
      <c r="FD29" s="146"/>
      <c r="FE29" s="146"/>
      <c r="FF29" s="146"/>
      <c r="FG29" s="146"/>
      <c r="FH29" s="146"/>
      <c r="FI29" s="146"/>
      <c r="FJ29" s="146"/>
      <c r="FK29" s="146"/>
      <c r="FL29" s="146"/>
      <c r="FM29" s="146"/>
      <c r="FN29" s="146"/>
      <c r="FO29" s="146"/>
      <c r="FP29" s="146"/>
      <c r="FQ29" s="146"/>
      <c r="FR29" s="146"/>
      <c r="FS29" s="146"/>
      <c r="FT29" s="146"/>
      <c r="FU29" s="146"/>
      <c r="FV29" s="146"/>
      <c r="FW29" s="146"/>
      <c r="FX29" s="146"/>
      <c r="FY29" s="146"/>
      <c r="FZ29" s="146"/>
      <c r="GA29" s="146"/>
      <c r="GB29" s="146"/>
      <c r="GC29" s="146"/>
      <c r="GD29" s="146"/>
      <c r="GE29" s="146"/>
      <c r="GF29" s="146"/>
      <c r="GG29" s="146"/>
      <c r="GH29" s="146"/>
      <c r="GI29" s="146"/>
      <c r="GJ29" s="146"/>
      <c r="GK29" s="146"/>
      <c r="GL29" s="146"/>
      <c r="GM29" s="146"/>
      <c r="GN29" s="146"/>
      <c r="GO29" s="146"/>
      <c r="GP29" s="146"/>
      <c r="GQ29" s="146"/>
      <c r="GR29" s="146"/>
      <c r="GS29" s="146"/>
      <c r="GT29" s="146"/>
      <c r="GU29" s="146"/>
      <c r="GV29" s="146"/>
      <c r="GW29" s="146"/>
      <c r="GX29" s="146"/>
      <c r="GY29" s="146"/>
      <c r="GZ29" s="146"/>
      <c r="HA29" s="146"/>
      <c r="HB29" s="146"/>
      <c r="HC29" s="146"/>
      <c r="HD29" s="146"/>
      <c r="HE29" s="146"/>
      <c r="HF29" s="146"/>
      <c r="HG29" s="146"/>
      <c r="HH29" s="146"/>
      <c r="HI29" s="146"/>
      <c r="HJ29" s="146"/>
      <c r="HK29" s="146"/>
      <c r="HL29" s="146"/>
      <c r="HM29" s="146"/>
      <c r="HN29" s="146"/>
      <c r="HO29" s="146"/>
      <c r="HP29" s="146"/>
      <c r="HQ29" s="146"/>
      <c r="HR29" s="146"/>
      <c r="HS29" s="146"/>
      <c r="HT29" s="146"/>
      <c r="HU29" s="146"/>
      <c r="HV29" s="146"/>
      <c r="HW29" s="146"/>
      <c r="HX29" s="146"/>
      <c r="HY29" s="146"/>
      <c r="HZ29" s="146"/>
      <c r="IA29" s="146"/>
      <c r="IB29" s="146"/>
      <c r="IC29" s="146"/>
      <c r="ID29" s="146"/>
      <c r="IE29" s="146"/>
      <c r="IF29" s="146"/>
      <c r="IG29" s="146"/>
      <c r="IH29" s="146"/>
      <c r="II29" s="146"/>
      <c r="IJ29" s="146"/>
      <c r="IK29" s="146"/>
      <c r="IL29" s="146"/>
      <c r="IM29" s="146"/>
      <c r="IN29" s="146"/>
      <c r="IO29" s="146"/>
    </row>
    <row r="30" spans="1:249" s="6" customFormat="1" ht="14.1" customHeight="1" x14ac:dyDescent="0.25">
      <c r="A30" s="146"/>
      <c r="B30" s="146"/>
      <c r="C30" s="146"/>
      <c r="D30" s="40"/>
      <c r="E30" s="31"/>
      <c r="F30" s="31" t="s">
        <v>36</v>
      </c>
      <c r="G30" s="162" t="s">
        <v>37</v>
      </c>
      <c r="H30" s="162" t="s">
        <v>38</v>
      </c>
      <c r="I30" s="162" t="s">
        <v>8</v>
      </c>
      <c r="J30" s="431"/>
      <c r="K30" s="433"/>
      <c r="L30" s="291"/>
      <c r="M30" s="291"/>
      <c r="N30" s="146"/>
      <c r="O30" s="146"/>
      <c r="P30" s="146"/>
      <c r="Q30" s="146"/>
      <c r="R30" s="146"/>
      <c r="S30" s="146"/>
      <c r="T30" s="146"/>
      <c r="U30" s="146"/>
      <c r="V30" s="146"/>
      <c r="W30" s="146"/>
      <c r="X30" s="146"/>
      <c r="Y30" s="146"/>
      <c r="Z30" s="146"/>
      <c r="AA30" s="146"/>
      <c r="AB30" s="146"/>
      <c r="AC30" s="146"/>
      <c r="AD30" s="146"/>
      <c r="AE30" s="146"/>
      <c r="AF30" s="146"/>
      <c r="AG30" s="146"/>
      <c r="AH30" s="146"/>
      <c r="AI30" s="146"/>
      <c r="AJ30" s="146"/>
      <c r="AK30" s="146"/>
      <c r="AL30" s="146"/>
      <c r="AM30" s="146"/>
      <c r="AN30" s="146"/>
      <c r="AO30" s="146"/>
      <c r="AP30" s="146"/>
      <c r="AQ30" s="146"/>
      <c r="AR30" s="146"/>
      <c r="AS30" s="146"/>
      <c r="AT30" s="146"/>
      <c r="AU30" s="146"/>
      <c r="AV30" s="146"/>
      <c r="AW30" s="146"/>
      <c r="AX30" s="146"/>
      <c r="AY30" s="146"/>
      <c r="AZ30" s="146"/>
      <c r="BA30" s="146"/>
      <c r="BB30" s="146"/>
      <c r="BC30" s="146"/>
      <c r="BD30" s="146"/>
      <c r="BE30" s="146"/>
      <c r="BF30" s="146"/>
      <c r="BG30" s="146"/>
      <c r="BH30" s="146"/>
      <c r="BI30" s="146"/>
      <c r="BJ30" s="146"/>
      <c r="BK30" s="146"/>
      <c r="BL30" s="146"/>
      <c r="BM30" s="146"/>
      <c r="BN30" s="146"/>
      <c r="BO30" s="146"/>
      <c r="BP30" s="146"/>
      <c r="BQ30" s="146"/>
      <c r="BR30" s="146"/>
      <c r="BS30" s="146"/>
      <c r="BT30" s="146"/>
      <c r="BU30" s="146"/>
      <c r="BV30" s="146"/>
      <c r="BW30" s="146"/>
      <c r="BX30" s="146"/>
      <c r="BY30" s="146"/>
      <c r="BZ30" s="146"/>
      <c r="CA30" s="146"/>
      <c r="CB30" s="146"/>
      <c r="CC30" s="146"/>
      <c r="CD30" s="146"/>
      <c r="CE30" s="146"/>
      <c r="CF30" s="146"/>
      <c r="CG30" s="146"/>
      <c r="CH30" s="146"/>
      <c r="CI30" s="146"/>
      <c r="CJ30" s="146"/>
      <c r="CK30" s="146"/>
      <c r="CL30" s="146"/>
      <c r="CM30" s="146"/>
      <c r="CN30" s="146"/>
      <c r="CO30" s="146"/>
      <c r="CP30" s="146"/>
      <c r="CQ30" s="146"/>
      <c r="CR30" s="146"/>
      <c r="CS30" s="146"/>
      <c r="CT30" s="146"/>
      <c r="CU30" s="146"/>
      <c r="CV30" s="146"/>
      <c r="CW30" s="146"/>
      <c r="CX30" s="146"/>
      <c r="CY30" s="146"/>
      <c r="CZ30" s="146"/>
      <c r="DA30" s="146"/>
      <c r="DB30" s="146"/>
      <c r="DC30" s="146"/>
      <c r="DD30" s="146"/>
      <c r="DE30" s="146"/>
      <c r="DF30" s="146"/>
      <c r="DG30" s="146"/>
      <c r="DH30" s="146"/>
      <c r="DI30" s="146"/>
      <c r="DJ30" s="146"/>
      <c r="DK30" s="146"/>
      <c r="DL30" s="146"/>
      <c r="DM30" s="146"/>
      <c r="DN30" s="146"/>
      <c r="DO30" s="146"/>
      <c r="DP30" s="146"/>
      <c r="DQ30" s="146"/>
      <c r="DR30" s="146"/>
      <c r="DS30" s="146"/>
      <c r="DT30" s="146"/>
      <c r="DU30" s="146"/>
      <c r="DV30" s="146"/>
      <c r="DW30" s="146"/>
      <c r="DX30" s="146"/>
      <c r="DY30" s="146"/>
      <c r="DZ30" s="146"/>
      <c r="EA30" s="146"/>
      <c r="EB30" s="146"/>
      <c r="EC30" s="146"/>
      <c r="ED30" s="146"/>
      <c r="EE30" s="146"/>
      <c r="EF30" s="146"/>
      <c r="EG30" s="146"/>
      <c r="EH30" s="146"/>
      <c r="EI30" s="146"/>
      <c r="EJ30" s="146"/>
      <c r="EK30" s="146"/>
      <c r="EL30" s="146"/>
      <c r="EM30" s="146"/>
      <c r="EN30" s="146"/>
      <c r="EO30" s="146"/>
      <c r="EP30" s="146"/>
      <c r="EQ30" s="146"/>
      <c r="ER30" s="146"/>
      <c r="ES30" s="146"/>
      <c r="ET30" s="146"/>
      <c r="EU30" s="146"/>
      <c r="EV30" s="146"/>
      <c r="EW30" s="146"/>
      <c r="EX30" s="146"/>
      <c r="EY30" s="146"/>
      <c r="EZ30" s="146"/>
      <c r="FA30" s="146"/>
      <c r="FB30" s="146"/>
      <c r="FC30" s="146"/>
      <c r="FD30" s="146"/>
      <c r="FE30" s="146"/>
      <c r="FF30" s="146"/>
      <c r="FG30" s="146"/>
      <c r="FH30" s="146"/>
      <c r="FI30" s="146"/>
      <c r="FJ30" s="146"/>
      <c r="FK30" s="146"/>
      <c r="FL30" s="146"/>
      <c r="FM30" s="146"/>
      <c r="FN30" s="146"/>
      <c r="FO30" s="146"/>
      <c r="FP30" s="146"/>
      <c r="FQ30" s="146"/>
      <c r="FR30" s="146"/>
      <c r="FS30" s="146"/>
      <c r="FT30" s="146"/>
      <c r="FU30" s="146"/>
      <c r="FV30" s="146"/>
      <c r="FW30" s="146"/>
      <c r="FX30" s="146"/>
      <c r="FY30" s="146"/>
      <c r="FZ30" s="146"/>
      <c r="GA30" s="146"/>
      <c r="GB30" s="146"/>
      <c r="GC30" s="146"/>
      <c r="GD30" s="146"/>
      <c r="GE30" s="146"/>
      <c r="GF30" s="146"/>
      <c r="GG30" s="146"/>
      <c r="GH30" s="146"/>
      <c r="GI30" s="146"/>
      <c r="GJ30" s="146"/>
      <c r="GK30" s="146"/>
      <c r="GL30" s="146"/>
      <c r="GM30" s="146"/>
      <c r="GN30" s="146"/>
      <c r="GO30" s="146"/>
      <c r="GP30" s="146"/>
      <c r="GQ30" s="146"/>
      <c r="GR30" s="146"/>
      <c r="GS30" s="146"/>
      <c r="GT30" s="146"/>
      <c r="GU30" s="146"/>
      <c r="GV30" s="146"/>
      <c r="GW30" s="146"/>
      <c r="GX30" s="146"/>
      <c r="GY30" s="146"/>
      <c r="GZ30" s="146"/>
      <c r="HA30" s="146"/>
      <c r="HB30" s="146"/>
      <c r="HC30" s="146"/>
      <c r="HD30" s="146"/>
      <c r="HE30" s="146"/>
      <c r="HF30" s="146"/>
      <c r="HG30" s="146"/>
      <c r="HH30" s="146"/>
      <c r="HI30" s="146"/>
      <c r="HJ30" s="146"/>
      <c r="HK30" s="146"/>
      <c r="HL30" s="146"/>
      <c r="HM30" s="146"/>
      <c r="HN30" s="146"/>
      <c r="HO30" s="146"/>
      <c r="HP30" s="146"/>
      <c r="HQ30" s="146"/>
      <c r="HR30" s="146"/>
      <c r="HS30" s="146"/>
      <c r="HT30" s="146"/>
      <c r="HU30" s="146"/>
      <c r="HV30" s="146"/>
      <c r="HW30" s="146"/>
      <c r="HX30" s="146"/>
      <c r="HY30" s="146"/>
      <c r="HZ30" s="146"/>
      <c r="IA30" s="146"/>
      <c r="IB30" s="146"/>
      <c r="IC30" s="146"/>
      <c r="ID30" s="146"/>
      <c r="IE30" s="146"/>
      <c r="IF30" s="146"/>
      <c r="IG30" s="146"/>
      <c r="IH30" s="146"/>
      <c r="II30" s="146"/>
      <c r="IJ30" s="146"/>
      <c r="IK30" s="146"/>
      <c r="IL30" s="146"/>
      <c r="IM30" s="146"/>
      <c r="IN30" s="146"/>
      <c r="IO30" s="146"/>
    </row>
    <row r="31" spans="1:249" s="6" customFormat="1" ht="14.1" customHeight="1" x14ac:dyDescent="0.25">
      <c r="A31" s="146"/>
      <c r="B31" s="1"/>
      <c r="C31" s="146"/>
      <c r="D31" s="40" t="s">
        <v>39</v>
      </c>
      <c r="E31" s="31" t="s">
        <v>40</v>
      </c>
      <c r="F31" s="31" t="s">
        <v>41</v>
      </c>
      <c r="G31" s="162" t="s">
        <v>42</v>
      </c>
      <c r="H31" s="162" t="s">
        <v>42</v>
      </c>
      <c r="I31" s="162" t="s">
        <v>42</v>
      </c>
      <c r="J31" s="431"/>
      <c r="K31" s="433"/>
      <c r="L31" s="291"/>
      <c r="M31" s="291"/>
      <c r="N31" s="146"/>
      <c r="O31" s="146"/>
      <c r="P31" s="146"/>
      <c r="Q31" s="146"/>
      <c r="R31" s="146"/>
      <c r="S31" s="146"/>
      <c r="T31" s="146"/>
      <c r="U31" s="146"/>
      <c r="V31" s="146"/>
      <c r="W31" s="146"/>
      <c r="X31" s="146"/>
      <c r="Y31" s="146"/>
      <c r="Z31" s="146"/>
      <c r="AA31" s="146"/>
      <c r="AB31" s="146"/>
      <c r="AC31" s="146"/>
      <c r="AD31" s="146"/>
      <c r="AE31" s="146"/>
      <c r="AF31" s="146"/>
      <c r="AG31" s="146"/>
      <c r="AH31" s="146"/>
      <c r="AI31" s="146"/>
      <c r="AJ31" s="146"/>
      <c r="AK31" s="146"/>
      <c r="AL31" s="146"/>
      <c r="AM31" s="146"/>
      <c r="AN31" s="146"/>
      <c r="AO31" s="146"/>
      <c r="AP31" s="146"/>
      <c r="AQ31" s="146"/>
      <c r="AR31" s="146"/>
      <c r="AS31" s="146"/>
      <c r="AT31" s="146"/>
      <c r="AU31" s="146"/>
      <c r="AV31" s="146"/>
      <c r="AW31" s="146"/>
      <c r="AX31" s="146"/>
      <c r="AY31" s="146"/>
      <c r="AZ31" s="146"/>
      <c r="BA31" s="146"/>
      <c r="BB31" s="146"/>
      <c r="BC31" s="146"/>
      <c r="BD31" s="146"/>
      <c r="BE31" s="146"/>
      <c r="BF31" s="146"/>
      <c r="BG31" s="146"/>
      <c r="BH31" s="146"/>
      <c r="BI31" s="146"/>
      <c r="BJ31" s="146"/>
      <c r="BK31" s="146"/>
      <c r="BL31" s="146"/>
      <c r="BM31" s="146"/>
      <c r="BN31" s="146"/>
      <c r="BO31" s="146"/>
      <c r="BP31" s="146"/>
      <c r="BQ31" s="146"/>
      <c r="BR31" s="146"/>
      <c r="BS31" s="146"/>
      <c r="BT31" s="146"/>
      <c r="BU31" s="146"/>
      <c r="BV31" s="146"/>
      <c r="BW31" s="146"/>
      <c r="BX31" s="146"/>
      <c r="BY31" s="146"/>
      <c r="BZ31" s="146"/>
      <c r="CA31" s="146"/>
      <c r="CB31" s="146"/>
      <c r="CC31" s="146"/>
      <c r="CD31" s="146"/>
      <c r="CE31" s="146"/>
      <c r="CF31" s="146"/>
      <c r="CG31" s="146"/>
      <c r="CH31" s="146"/>
      <c r="CI31" s="146"/>
      <c r="CJ31" s="146"/>
      <c r="CK31" s="146"/>
      <c r="CL31" s="146"/>
      <c r="CM31" s="146"/>
      <c r="CN31" s="146"/>
      <c r="CO31" s="146"/>
      <c r="CP31" s="146"/>
      <c r="CQ31" s="146"/>
      <c r="CR31" s="146"/>
      <c r="CS31" s="146"/>
      <c r="CT31" s="146"/>
      <c r="CU31" s="146"/>
      <c r="CV31" s="146"/>
      <c r="CW31" s="146"/>
      <c r="CX31" s="146"/>
      <c r="CY31" s="146"/>
      <c r="CZ31" s="146"/>
      <c r="DA31" s="146"/>
      <c r="DB31" s="146"/>
      <c r="DC31" s="146"/>
      <c r="DD31" s="146"/>
      <c r="DE31" s="146"/>
      <c r="DF31" s="146"/>
      <c r="DG31" s="146"/>
      <c r="DH31" s="146"/>
      <c r="DI31" s="146"/>
      <c r="DJ31" s="146"/>
      <c r="DK31" s="146"/>
      <c r="DL31" s="146"/>
      <c r="DM31" s="146"/>
      <c r="DN31" s="146"/>
      <c r="DO31" s="146"/>
      <c r="DP31" s="146"/>
      <c r="DQ31" s="146"/>
      <c r="DR31" s="146"/>
      <c r="DS31" s="146"/>
      <c r="DT31" s="146"/>
      <c r="DU31" s="146"/>
      <c r="DV31" s="146"/>
      <c r="DW31" s="146"/>
      <c r="DX31" s="146"/>
      <c r="DY31" s="146"/>
      <c r="DZ31" s="146"/>
      <c r="EA31" s="146"/>
      <c r="EB31" s="146"/>
      <c r="EC31" s="146"/>
      <c r="ED31" s="146"/>
      <c r="EE31" s="146"/>
      <c r="EF31" s="146"/>
      <c r="EG31" s="146"/>
      <c r="EH31" s="146"/>
      <c r="EI31" s="146"/>
      <c r="EJ31" s="146"/>
      <c r="EK31" s="146"/>
      <c r="EL31" s="146"/>
      <c r="EM31" s="146"/>
      <c r="EN31" s="146"/>
      <c r="EO31" s="146"/>
      <c r="EP31" s="146"/>
      <c r="EQ31" s="146"/>
      <c r="ER31" s="146"/>
      <c r="ES31" s="146"/>
      <c r="ET31" s="146"/>
      <c r="EU31" s="146"/>
      <c r="EV31" s="146"/>
      <c r="EW31" s="146"/>
      <c r="EX31" s="146"/>
      <c r="EY31" s="146"/>
      <c r="EZ31" s="146"/>
      <c r="FA31" s="146"/>
      <c r="FB31" s="146"/>
      <c r="FC31" s="146"/>
      <c r="FD31" s="146"/>
      <c r="FE31" s="146"/>
      <c r="FF31" s="146"/>
      <c r="FG31" s="146"/>
      <c r="FH31" s="146"/>
      <c r="FI31" s="146"/>
      <c r="FJ31" s="146"/>
      <c r="FK31" s="146"/>
      <c r="FL31" s="146"/>
      <c r="FM31" s="146"/>
      <c r="FN31" s="146"/>
      <c r="FO31" s="146"/>
      <c r="FP31" s="146"/>
      <c r="FQ31" s="146"/>
      <c r="FR31" s="146"/>
      <c r="FS31" s="146"/>
      <c r="FT31" s="146"/>
      <c r="FU31" s="146"/>
      <c r="FV31" s="146"/>
      <c r="FW31" s="146"/>
      <c r="FX31" s="146"/>
      <c r="FY31" s="146"/>
      <c r="FZ31" s="146"/>
      <c r="GA31" s="146"/>
      <c r="GB31" s="146"/>
      <c r="GC31" s="146"/>
      <c r="GD31" s="146"/>
      <c r="GE31" s="146"/>
      <c r="GF31" s="146"/>
      <c r="GG31" s="146"/>
      <c r="GH31" s="146"/>
      <c r="GI31" s="146"/>
      <c r="GJ31" s="146"/>
      <c r="GK31" s="146"/>
      <c r="GL31" s="146"/>
      <c r="GM31" s="146"/>
      <c r="GN31" s="146"/>
      <c r="GO31" s="146"/>
      <c r="GP31" s="146"/>
      <c r="GQ31" s="146"/>
      <c r="GR31" s="146"/>
      <c r="GS31" s="146"/>
      <c r="GT31" s="146"/>
      <c r="GU31" s="146"/>
      <c r="GV31" s="146"/>
      <c r="GW31" s="146"/>
      <c r="GX31" s="146"/>
      <c r="GY31" s="146"/>
      <c r="GZ31" s="146"/>
      <c r="HA31" s="146"/>
      <c r="HB31" s="146"/>
      <c r="HC31" s="146"/>
      <c r="HD31" s="146"/>
      <c r="HE31" s="146"/>
      <c r="HF31" s="146"/>
      <c r="HG31" s="146"/>
      <c r="HH31" s="146"/>
      <c r="HI31" s="146"/>
      <c r="HJ31" s="146"/>
      <c r="HK31" s="146"/>
      <c r="HL31" s="146"/>
      <c r="HM31" s="146"/>
      <c r="HN31" s="146"/>
      <c r="HO31" s="146"/>
      <c r="HP31" s="146"/>
      <c r="HQ31" s="146"/>
      <c r="HR31" s="146"/>
      <c r="HS31" s="146"/>
      <c r="HT31" s="146"/>
      <c r="HU31" s="146"/>
      <c r="HV31" s="146"/>
      <c r="HW31" s="146"/>
      <c r="HX31" s="146"/>
      <c r="HY31" s="146"/>
      <c r="HZ31" s="146"/>
      <c r="IA31" s="146"/>
      <c r="IB31" s="146"/>
      <c r="IC31" s="146"/>
      <c r="ID31" s="146"/>
      <c r="IE31" s="146"/>
      <c r="IF31" s="146"/>
      <c r="IG31" s="146"/>
      <c r="IH31" s="146"/>
      <c r="II31" s="146"/>
      <c r="IJ31" s="146"/>
      <c r="IK31" s="146"/>
      <c r="IL31" s="146"/>
      <c r="IM31" s="146"/>
      <c r="IN31" s="146"/>
      <c r="IO31" s="146"/>
    </row>
    <row r="32" spans="1:249" s="6" customFormat="1" ht="14.1" customHeight="1" x14ac:dyDescent="0.25">
      <c r="A32" s="146"/>
      <c r="B32" s="35" t="s">
        <v>43</v>
      </c>
      <c r="C32" s="1"/>
      <c r="D32" s="42" t="s">
        <v>44</v>
      </c>
      <c r="E32" s="36" t="s">
        <v>44</v>
      </c>
      <c r="F32" s="36" t="s">
        <v>44</v>
      </c>
      <c r="G32" s="165" t="s">
        <v>44</v>
      </c>
      <c r="H32" s="165" t="s">
        <v>44</v>
      </c>
      <c r="I32" s="165" t="s">
        <v>44</v>
      </c>
      <c r="J32" s="432"/>
      <c r="K32" s="433"/>
      <c r="L32" s="291"/>
      <c r="M32" s="291"/>
      <c r="N32" s="146"/>
      <c r="O32" s="146"/>
      <c r="P32" s="146"/>
      <c r="Q32" s="146"/>
      <c r="R32" s="146"/>
      <c r="S32" s="146"/>
      <c r="T32" s="146"/>
      <c r="U32" s="146"/>
      <c r="V32" s="146"/>
      <c r="W32" s="146"/>
      <c r="X32" s="146"/>
      <c r="Y32" s="146"/>
      <c r="Z32" s="146"/>
      <c r="AA32" s="146"/>
      <c r="AB32" s="146"/>
      <c r="AC32" s="146"/>
      <c r="AD32" s="146"/>
      <c r="AE32" s="146"/>
      <c r="AF32" s="146"/>
      <c r="AG32" s="146"/>
      <c r="AH32" s="146"/>
      <c r="AI32" s="146"/>
      <c r="AJ32" s="146"/>
      <c r="AK32" s="146"/>
      <c r="AL32" s="146"/>
      <c r="AM32" s="146"/>
      <c r="AN32" s="146"/>
      <c r="AO32" s="146"/>
      <c r="AP32" s="146"/>
      <c r="AQ32" s="146"/>
      <c r="AR32" s="146"/>
      <c r="AS32" s="146"/>
      <c r="AT32" s="146"/>
      <c r="AU32" s="146"/>
      <c r="AV32" s="146"/>
      <c r="AW32" s="146"/>
      <c r="AX32" s="146"/>
      <c r="AY32" s="146"/>
      <c r="AZ32" s="146"/>
      <c r="BA32" s="146"/>
      <c r="BB32" s="146"/>
      <c r="BC32" s="146"/>
      <c r="BD32" s="146"/>
      <c r="BE32" s="146"/>
      <c r="BF32" s="146"/>
      <c r="BG32" s="146"/>
      <c r="BH32" s="146"/>
      <c r="BI32" s="146"/>
      <c r="BJ32" s="146"/>
      <c r="BK32" s="146"/>
      <c r="BL32" s="146"/>
      <c r="BM32" s="146"/>
      <c r="BN32" s="146"/>
      <c r="BO32" s="146"/>
      <c r="BP32" s="146"/>
      <c r="BQ32" s="146"/>
      <c r="BR32" s="146"/>
      <c r="BS32" s="146"/>
      <c r="BT32" s="146"/>
      <c r="BU32" s="146"/>
      <c r="BV32" s="146"/>
      <c r="BW32" s="146"/>
      <c r="BX32" s="146"/>
      <c r="BY32" s="146"/>
      <c r="BZ32" s="146"/>
      <c r="CA32" s="146"/>
      <c r="CB32" s="146"/>
      <c r="CC32" s="146"/>
      <c r="CD32" s="146"/>
      <c r="CE32" s="146"/>
      <c r="CF32" s="146"/>
      <c r="CG32" s="146"/>
      <c r="CH32" s="146"/>
      <c r="CI32" s="146"/>
      <c r="CJ32" s="146"/>
      <c r="CK32" s="146"/>
      <c r="CL32" s="146"/>
      <c r="CM32" s="146"/>
      <c r="CN32" s="146"/>
      <c r="CO32" s="146"/>
      <c r="CP32" s="146"/>
      <c r="CQ32" s="146"/>
      <c r="CR32" s="146"/>
      <c r="CS32" s="146"/>
      <c r="CT32" s="146"/>
      <c r="CU32" s="146"/>
      <c r="CV32" s="146"/>
      <c r="CW32" s="146"/>
      <c r="CX32" s="146"/>
      <c r="CY32" s="146"/>
      <c r="CZ32" s="146"/>
      <c r="DA32" s="146"/>
      <c r="DB32" s="146"/>
      <c r="DC32" s="146"/>
      <c r="DD32" s="146"/>
      <c r="DE32" s="146"/>
      <c r="DF32" s="146"/>
      <c r="DG32" s="146"/>
      <c r="DH32" s="146"/>
      <c r="DI32" s="146"/>
      <c r="DJ32" s="146"/>
      <c r="DK32" s="146"/>
      <c r="DL32" s="146"/>
      <c r="DM32" s="146"/>
      <c r="DN32" s="146"/>
      <c r="DO32" s="146"/>
      <c r="DP32" s="146"/>
      <c r="DQ32" s="146"/>
      <c r="DR32" s="146"/>
      <c r="DS32" s="146"/>
      <c r="DT32" s="146"/>
      <c r="DU32" s="146"/>
      <c r="DV32" s="146"/>
      <c r="DW32" s="146"/>
      <c r="DX32" s="146"/>
      <c r="DY32" s="146"/>
      <c r="DZ32" s="146"/>
      <c r="EA32" s="146"/>
      <c r="EB32" s="146"/>
      <c r="EC32" s="146"/>
      <c r="ED32" s="146"/>
      <c r="EE32" s="146"/>
      <c r="EF32" s="146"/>
      <c r="EG32" s="146"/>
      <c r="EH32" s="146"/>
      <c r="EI32" s="146"/>
      <c r="EJ32" s="146"/>
      <c r="EK32" s="146"/>
      <c r="EL32" s="146"/>
      <c r="EM32" s="146"/>
      <c r="EN32" s="146"/>
      <c r="EO32" s="146"/>
      <c r="EP32" s="146"/>
      <c r="EQ32" s="146"/>
      <c r="ER32" s="146"/>
      <c r="ES32" s="146"/>
      <c r="ET32" s="146"/>
      <c r="EU32" s="146"/>
      <c r="EV32" s="146"/>
      <c r="EW32" s="146"/>
      <c r="EX32" s="146"/>
      <c r="EY32" s="146"/>
      <c r="EZ32" s="146"/>
      <c r="FA32" s="146"/>
      <c r="FB32" s="146"/>
      <c r="FC32" s="146"/>
      <c r="FD32" s="146"/>
      <c r="FE32" s="146"/>
      <c r="FF32" s="146"/>
      <c r="FG32" s="146"/>
      <c r="FH32" s="146"/>
      <c r="FI32" s="146"/>
      <c r="FJ32" s="146"/>
      <c r="FK32" s="146"/>
      <c r="FL32" s="146"/>
      <c r="FM32" s="146"/>
      <c r="FN32" s="146"/>
      <c r="FO32" s="146"/>
      <c r="FP32" s="146"/>
      <c r="FQ32" s="146"/>
      <c r="FR32" s="146"/>
      <c r="FS32" s="146"/>
      <c r="FT32" s="146"/>
      <c r="FU32" s="146"/>
      <c r="FV32" s="146"/>
      <c r="FW32" s="146"/>
      <c r="FX32" s="146"/>
      <c r="FY32" s="146"/>
      <c r="FZ32" s="146"/>
      <c r="GA32" s="146"/>
      <c r="GB32" s="146"/>
      <c r="GC32" s="146"/>
      <c r="GD32" s="146"/>
      <c r="GE32" s="146"/>
      <c r="GF32" s="146"/>
      <c r="GG32" s="146"/>
      <c r="GH32" s="146"/>
      <c r="GI32" s="146"/>
      <c r="GJ32" s="146"/>
      <c r="GK32" s="146"/>
      <c r="GL32" s="146"/>
      <c r="GM32" s="146"/>
      <c r="GN32" s="146"/>
      <c r="GO32" s="146"/>
      <c r="GP32" s="146"/>
      <c r="GQ32" s="146"/>
      <c r="GR32" s="146"/>
      <c r="GS32" s="146"/>
      <c r="GT32" s="146"/>
      <c r="GU32" s="146"/>
      <c r="GV32" s="146"/>
      <c r="GW32" s="146"/>
      <c r="GX32" s="146"/>
      <c r="GY32" s="146"/>
      <c r="GZ32" s="146"/>
      <c r="HA32" s="146"/>
      <c r="HB32" s="146"/>
      <c r="HC32" s="146"/>
      <c r="HD32" s="146"/>
      <c r="HE32" s="146"/>
      <c r="HF32" s="146"/>
      <c r="HG32" s="146"/>
      <c r="HH32" s="146"/>
      <c r="HI32" s="146"/>
      <c r="HJ32" s="146"/>
      <c r="HK32" s="146"/>
      <c r="HL32" s="146"/>
      <c r="HM32" s="146"/>
      <c r="HN32" s="146"/>
      <c r="HO32" s="146"/>
      <c r="HP32" s="146"/>
      <c r="HQ32" s="146"/>
      <c r="HR32" s="146"/>
      <c r="HS32" s="146"/>
      <c r="HT32" s="146"/>
      <c r="HU32" s="146"/>
      <c r="HV32" s="146"/>
      <c r="HW32" s="146"/>
      <c r="HX32" s="146"/>
      <c r="HY32" s="146"/>
      <c r="HZ32" s="146"/>
      <c r="IA32" s="146"/>
      <c r="IB32" s="146"/>
      <c r="IC32" s="146"/>
      <c r="ID32" s="146"/>
      <c r="IE32" s="146"/>
      <c r="IF32" s="146"/>
      <c r="IG32" s="146"/>
      <c r="IH32" s="146"/>
      <c r="II32" s="146"/>
      <c r="IJ32" s="146"/>
      <c r="IK32" s="146"/>
      <c r="IL32" s="146"/>
      <c r="IM32" s="146"/>
      <c r="IN32" s="146"/>
      <c r="IO32" s="146"/>
    </row>
    <row r="33" spans="1:249" s="6" customFormat="1" ht="14.1" customHeight="1" x14ac:dyDescent="0.25">
      <c r="A33" s="146"/>
      <c r="B33" s="1"/>
      <c r="C33" s="1"/>
      <c r="D33" s="40"/>
      <c r="E33" s="31"/>
      <c r="F33" s="31"/>
      <c r="G33" s="162"/>
      <c r="H33" s="146"/>
      <c r="I33" s="146"/>
      <c r="J33" s="291"/>
      <c r="K33" s="295"/>
      <c r="L33" s="291"/>
      <c r="M33" s="291"/>
      <c r="N33" s="146"/>
      <c r="O33" s="146"/>
      <c r="P33" s="146"/>
      <c r="Q33" s="146" t="s">
        <v>45</v>
      </c>
      <c r="R33" s="146"/>
      <c r="S33" s="146"/>
      <c r="T33" s="146"/>
      <c r="U33" s="146"/>
      <c r="V33" s="146"/>
      <c r="W33" s="146"/>
      <c r="X33" s="146"/>
      <c r="Y33" s="146"/>
      <c r="Z33" s="146"/>
      <c r="AA33" s="146"/>
      <c r="AB33" s="146"/>
      <c r="AC33" s="146"/>
      <c r="AD33" s="146"/>
      <c r="AE33" s="146"/>
      <c r="AF33" s="146"/>
      <c r="AG33" s="146"/>
      <c r="AH33" s="146"/>
      <c r="AI33" s="146"/>
      <c r="AJ33" s="146"/>
      <c r="AK33" s="146"/>
      <c r="AL33" s="146"/>
      <c r="AM33" s="146"/>
      <c r="AN33" s="146"/>
      <c r="AO33" s="146"/>
      <c r="AP33" s="146"/>
      <c r="AQ33" s="146"/>
      <c r="AR33" s="146"/>
      <c r="AS33" s="146"/>
      <c r="AT33" s="146"/>
      <c r="AU33" s="146"/>
      <c r="AV33" s="146"/>
      <c r="AW33" s="146"/>
      <c r="AX33" s="146"/>
      <c r="AY33" s="146"/>
      <c r="AZ33" s="146"/>
      <c r="BA33" s="146"/>
      <c r="BB33" s="146"/>
      <c r="BC33" s="146"/>
      <c r="BD33" s="146"/>
      <c r="BE33" s="146"/>
      <c r="BF33" s="146"/>
      <c r="BG33" s="146"/>
      <c r="BH33" s="146"/>
      <c r="BI33" s="146"/>
      <c r="BJ33" s="146"/>
      <c r="BK33" s="146"/>
      <c r="BL33" s="146"/>
      <c r="BM33" s="146"/>
      <c r="BN33" s="146"/>
      <c r="BO33" s="146"/>
      <c r="BP33" s="146"/>
      <c r="BQ33" s="146"/>
      <c r="BR33" s="146"/>
      <c r="BS33" s="146"/>
      <c r="BT33" s="146"/>
      <c r="BU33" s="146"/>
      <c r="BV33" s="146"/>
      <c r="BW33" s="146"/>
      <c r="BX33" s="146"/>
      <c r="BY33" s="146"/>
      <c r="BZ33" s="146"/>
      <c r="CA33" s="146"/>
      <c r="CB33" s="146"/>
      <c r="CC33" s="146"/>
      <c r="CD33" s="146"/>
      <c r="CE33" s="146"/>
      <c r="CF33" s="146"/>
      <c r="CG33" s="146"/>
      <c r="CH33" s="146"/>
      <c r="CI33" s="146"/>
      <c r="CJ33" s="146"/>
      <c r="CK33" s="146"/>
      <c r="CL33" s="146"/>
      <c r="CM33" s="146"/>
      <c r="CN33" s="146"/>
      <c r="CO33" s="146"/>
      <c r="CP33" s="146"/>
      <c r="CQ33" s="146"/>
      <c r="CR33" s="146"/>
      <c r="CS33" s="146"/>
      <c r="CT33" s="146"/>
      <c r="CU33" s="146"/>
      <c r="CV33" s="146"/>
      <c r="CW33" s="146"/>
      <c r="CX33" s="146"/>
      <c r="CY33" s="146"/>
      <c r="CZ33" s="146"/>
      <c r="DA33" s="146"/>
      <c r="DB33" s="146"/>
      <c r="DC33" s="146"/>
      <c r="DD33" s="146"/>
      <c r="DE33" s="146"/>
      <c r="DF33" s="146"/>
      <c r="DG33" s="146"/>
      <c r="DH33" s="146"/>
      <c r="DI33" s="146"/>
      <c r="DJ33" s="146"/>
      <c r="DK33" s="146"/>
      <c r="DL33" s="146"/>
      <c r="DM33" s="146"/>
      <c r="DN33" s="146"/>
      <c r="DO33" s="146"/>
      <c r="DP33" s="146"/>
      <c r="DQ33" s="146"/>
      <c r="DR33" s="146"/>
      <c r="DS33" s="146"/>
      <c r="DT33" s="146"/>
      <c r="DU33" s="146"/>
      <c r="DV33" s="146"/>
      <c r="DW33" s="146"/>
      <c r="DX33" s="146"/>
      <c r="DY33" s="146"/>
      <c r="DZ33" s="146"/>
      <c r="EA33" s="146"/>
      <c r="EB33" s="146"/>
      <c r="EC33" s="146"/>
      <c r="ED33" s="146"/>
      <c r="EE33" s="146"/>
      <c r="EF33" s="146"/>
      <c r="EG33" s="146"/>
      <c r="EH33" s="146"/>
      <c r="EI33" s="146"/>
      <c r="EJ33" s="146"/>
      <c r="EK33" s="146"/>
      <c r="EL33" s="146"/>
      <c r="EM33" s="146"/>
      <c r="EN33" s="146"/>
      <c r="EO33" s="146"/>
      <c r="EP33" s="146"/>
      <c r="EQ33" s="146"/>
      <c r="ER33" s="146"/>
      <c r="ES33" s="146"/>
      <c r="ET33" s="146"/>
      <c r="EU33" s="146"/>
      <c r="EV33" s="146"/>
      <c r="EW33" s="146"/>
      <c r="EX33" s="146"/>
      <c r="EY33" s="146"/>
      <c r="EZ33" s="146"/>
      <c r="FA33" s="146"/>
      <c r="FB33" s="146"/>
      <c r="FC33" s="146"/>
      <c r="FD33" s="146"/>
      <c r="FE33" s="146"/>
      <c r="FF33" s="146"/>
      <c r="FG33" s="146"/>
      <c r="FH33" s="146"/>
      <c r="FI33" s="146"/>
      <c r="FJ33" s="146"/>
      <c r="FK33" s="146"/>
      <c r="FL33" s="146"/>
      <c r="FM33" s="146"/>
      <c r="FN33" s="146"/>
      <c r="FO33" s="146"/>
      <c r="FP33" s="146"/>
      <c r="FQ33" s="146"/>
      <c r="FR33" s="146"/>
      <c r="FS33" s="146"/>
      <c r="FT33" s="146"/>
      <c r="FU33" s="146"/>
      <c r="FV33" s="146"/>
      <c r="FW33" s="146"/>
      <c r="FX33" s="146"/>
      <c r="FY33" s="146"/>
      <c r="FZ33" s="146"/>
      <c r="GA33" s="146"/>
      <c r="GB33" s="146"/>
      <c r="GC33" s="146"/>
      <c r="GD33" s="146"/>
      <c r="GE33" s="146"/>
      <c r="GF33" s="146"/>
      <c r="GG33" s="146"/>
      <c r="GH33" s="146"/>
      <c r="GI33" s="146"/>
      <c r="GJ33" s="146"/>
      <c r="GK33" s="146"/>
      <c r="GL33" s="146"/>
      <c r="GM33" s="146"/>
      <c r="GN33" s="146"/>
      <c r="GO33" s="146"/>
      <c r="GP33" s="146"/>
      <c r="GQ33" s="146"/>
      <c r="GR33" s="146"/>
      <c r="GS33" s="146"/>
      <c r="GT33" s="146"/>
      <c r="GU33" s="146"/>
      <c r="GV33" s="146"/>
      <c r="GW33" s="146"/>
      <c r="GX33" s="146"/>
      <c r="GY33" s="146"/>
      <c r="GZ33" s="146"/>
      <c r="HA33" s="146"/>
      <c r="HB33" s="146"/>
      <c r="HC33" s="146"/>
      <c r="HD33" s="146"/>
      <c r="HE33" s="146"/>
      <c r="HF33" s="146"/>
      <c r="HG33" s="146"/>
      <c r="HH33" s="146"/>
      <c r="HI33" s="146"/>
      <c r="HJ33" s="146"/>
      <c r="HK33" s="146"/>
      <c r="HL33" s="146"/>
      <c r="HM33" s="146"/>
      <c r="HN33" s="146"/>
      <c r="HO33" s="146"/>
      <c r="HP33" s="146"/>
      <c r="HQ33" s="146"/>
      <c r="HR33" s="146"/>
      <c r="HS33" s="146"/>
      <c r="HT33" s="146"/>
      <c r="HU33" s="146"/>
      <c r="HV33" s="146"/>
      <c r="HW33" s="146"/>
      <c r="HX33" s="146"/>
      <c r="HY33" s="146"/>
      <c r="HZ33" s="146"/>
      <c r="IA33" s="146"/>
      <c r="IB33" s="146"/>
      <c r="IC33" s="146"/>
      <c r="ID33" s="146"/>
      <c r="IE33" s="146"/>
      <c r="IF33" s="146"/>
      <c r="IG33" s="146"/>
      <c r="IH33" s="146"/>
      <c r="II33" s="146"/>
      <c r="IJ33" s="146"/>
      <c r="IK33" s="146"/>
      <c r="IL33" s="146"/>
      <c r="IM33" s="146"/>
      <c r="IN33" s="146"/>
      <c r="IO33" s="146"/>
    </row>
    <row r="34" spans="1:249" s="1" customFormat="1" ht="14.1" customHeight="1" x14ac:dyDescent="0.25">
      <c r="A34" s="158"/>
      <c r="B34" s="1" t="str">
        <f>C18</f>
        <v>Nonauto Presort</v>
      </c>
      <c r="D34" s="40">
        <f ca="1">D18</f>
        <v>20.544372284181453</v>
      </c>
      <c r="E34" s="40">
        <f ca="1">$F$25*D34</f>
        <v>104.44393378822997</v>
      </c>
      <c r="F34" s="40">
        <f>$F$8</f>
        <v>9.3384898344070031</v>
      </c>
      <c r="G34" s="40">
        <f ca="1">E34+F34</f>
        <v>113.78242362263697</v>
      </c>
      <c r="H34" s="40">
        <f>$F$9</f>
        <v>0.13683502776810874</v>
      </c>
      <c r="I34" s="40">
        <f ca="1">G34+H34</f>
        <v>113.91925865040508</v>
      </c>
      <c r="J34" s="298"/>
      <c r="K34" s="40"/>
      <c r="L34" s="298"/>
      <c r="M34" s="297"/>
    </row>
    <row r="35" spans="1:249" s="1" customFormat="1" ht="14.1" customHeight="1" x14ac:dyDescent="0.25">
      <c r="A35" s="158"/>
      <c r="D35" s="40"/>
      <c r="E35" s="40"/>
      <c r="F35" s="40"/>
      <c r="G35" s="40"/>
      <c r="H35" s="40"/>
      <c r="J35" s="296"/>
      <c r="K35" s="40"/>
      <c r="L35" s="298"/>
      <c r="M35" s="297"/>
    </row>
    <row r="36" spans="1:249" s="1" customFormat="1" ht="14.1" customHeight="1" x14ac:dyDescent="0.25">
      <c r="A36" s="158"/>
      <c r="B36" s="1" t="str">
        <f>C19</f>
        <v>Mixed ADC Auto Presort</v>
      </c>
      <c r="D36" s="40">
        <f ca="1">D19</f>
        <v>21.187226988158788</v>
      </c>
      <c r="E36" s="40">
        <f ca="1">$F$25*D36</f>
        <v>107.71209273749893</v>
      </c>
      <c r="F36" s="40">
        <f>$F$8</f>
        <v>9.3384898344070031</v>
      </c>
      <c r="G36" s="40">
        <f ca="1">E36+F36</f>
        <v>117.05058257190593</v>
      </c>
      <c r="H36" s="40">
        <f>$F$9</f>
        <v>0.13683502776810874</v>
      </c>
      <c r="I36" s="40">
        <f ca="1">G36+H36</f>
        <v>117.18741759967405</v>
      </c>
      <c r="J36" s="298"/>
      <c r="K36" s="40"/>
      <c r="L36" s="298"/>
      <c r="M36" s="297"/>
    </row>
    <row r="37" spans="1:249" s="1" customFormat="1" ht="14.1" customHeight="1" x14ac:dyDescent="0.25">
      <c r="A37" s="158"/>
      <c r="D37" s="40"/>
      <c r="E37" s="40"/>
      <c r="F37" s="40"/>
      <c r="G37" s="210"/>
      <c r="H37" s="210"/>
      <c r="I37" s="210"/>
      <c r="J37" s="331"/>
      <c r="K37" s="40"/>
      <c r="L37" s="298"/>
      <c r="M37" s="297"/>
    </row>
    <row r="38" spans="1:249" s="1" customFormat="1" ht="14.1" customHeight="1" x14ac:dyDescent="0.25">
      <c r="A38" s="158"/>
      <c r="B38" s="1" t="str">
        <f>C20</f>
        <v>ADC Auto Presort</v>
      </c>
      <c r="D38" s="40">
        <f ca="1">D20</f>
        <v>16.431415362498338</v>
      </c>
      <c r="E38" s="40">
        <f ca="1">$F$25*D38</f>
        <v>83.534392505585288</v>
      </c>
      <c r="F38" s="40">
        <f>$F$8</f>
        <v>9.3384898344070031</v>
      </c>
      <c r="G38" s="40">
        <f ca="1">E38+F38</f>
        <v>92.872882339992287</v>
      </c>
      <c r="H38" s="40">
        <f>$F$9</f>
        <v>0.13683502776810874</v>
      </c>
      <c r="I38" s="40">
        <f ca="1">G38+H38</f>
        <v>93.009717367760402</v>
      </c>
      <c r="J38" s="298"/>
      <c r="K38" s="40"/>
      <c r="L38" s="298"/>
      <c r="M38" s="297"/>
    </row>
    <row r="39" spans="1:249" s="1" customFormat="1" ht="14.1" customHeight="1" x14ac:dyDescent="0.25">
      <c r="A39" s="158"/>
      <c r="D39" s="40"/>
      <c r="E39" s="40"/>
      <c r="F39" s="40"/>
      <c r="G39" s="210"/>
      <c r="H39" s="210"/>
      <c r="I39" s="210"/>
      <c r="J39" s="331"/>
      <c r="K39" s="40"/>
      <c r="L39" s="298"/>
      <c r="M39" s="297"/>
    </row>
    <row r="40" spans="1:249" s="1" customFormat="1" ht="14.1" customHeight="1" x14ac:dyDescent="0.25">
      <c r="B40" s="33" t="str">
        <f>C21</f>
        <v>3-Digit Auto Presort</v>
      </c>
      <c r="D40" s="40">
        <f ca="1">D21</f>
        <v>12.925919162108599</v>
      </c>
      <c r="E40" s="40">
        <f ca="1">$F$25*D40</f>
        <v>65.713073460938446</v>
      </c>
      <c r="F40" s="40">
        <f>$F$8</f>
        <v>9.3384898344070031</v>
      </c>
      <c r="G40" s="40">
        <f ca="1">E40+F40</f>
        <v>75.051563295345446</v>
      </c>
      <c r="H40" s="40">
        <f>$F$9</f>
        <v>0.13683502776810874</v>
      </c>
      <c r="I40" s="40">
        <f ca="1">G40+H40</f>
        <v>75.18839832311356</v>
      </c>
      <c r="J40" s="298"/>
      <c r="K40" s="40"/>
      <c r="L40" s="298"/>
      <c r="M40" s="297"/>
    </row>
    <row r="41" spans="1:249" s="1" customFormat="1" ht="14.1" customHeight="1" x14ac:dyDescent="0.25">
      <c r="B41" s="33" t="s">
        <v>45</v>
      </c>
      <c r="D41" s="40"/>
      <c r="E41" s="40"/>
      <c r="F41" s="40"/>
      <c r="G41" s="210"/>
      <c r="H41" s="40"/>
      <c r="J41" s="296"/>
      <c r="K41" s="40"/>
      <c r="L41" s="298"/>
      <c r="M41" s="297"/>
    </row>
    <row r="42" spans="1:249" s="6" customFormat="1" ht="14.1" customHeight="1" x14ac:dyDescent="0.25">
      <c r="A42" s="146"/>
      <c r="B42" s="33" t="str">
        <f>C22</f>
        <v>5-Digit Auto Presort</v>
      </c>
      <c r="C42" s="146"/>
      <c r="D42" s="40">
        <f ca="1">D22</f>
        <v>8.2198460836608085</v>
      </c>
      <c r="E42" s="40">
        <f ca="1">$F$25*D42</f>
        <v>41.788235154419397</v>
      </c>
      <c r="F42" s="40">
        <f>$F$8</f>
        <v>9.3384898344070031</v>
      </c>
      <c r="G42" s="40">
        <f ca="1">E42+F42</f>
        <v>51.126724988826396</v>
      </c>
      <c r="H42" s="40">
        <f>$F$9</f>
        <v>0.13683502776810874</v>
      </c>
      <c r="I42" s="40">
        <f ca="1">G42+H42</f>
        <v>51.263560016594504</v>
      </c>
      <c r="J42" s="298"/>
      <c r="K42" s="40"/>
      <c r="L42" s="298"/>
      <c r="M42" s="297"/>
      <c r="N42" s="146"/>
      <c r="O42" s="146"/>
      <c r="P42" s="146"/>
      <c r="Q42" s="146"/>
      <c r="R42" s="146"/>
      <c r="S42" s="146"/>
      <c r="T42" s="146"/>
      <c r="U42" s="146"/>
      <c r="V42" s="146"/>
      <c r="W42" s="146"/>
      <c r="X42" s="146"/>
      <c r="Y42" s="146"/>
      <c r="Z42" s="146"/>
      <c r="AA42" s="146"/>
      <c r="AB42" s="146"/>
      <c r="AC42" s="146"/>
      <c r="AD42" s="146"/>
      <c r="AE42" s="146"/>
      <c r="AF42" s="146"/>
      <c r="AG42" s="146"/>
      <c r="AH42" s="146"/>
      <c r="AI42" s="146"/>
      <c r="AJ42" s="146"/>
      <c r="AK42" s="146"/>
      <c r="AL42" s="146"/>
      <c r="AM42" s="146"/>
      <c r="AN42" s="146"/>
      <c r="AO42" s="146"/>
      <c r="AP42" s="146"/>
      <c r="AQ42" s="146"/>
      <c r="AR42" s="146"/>
      <c r="AS42" s="146"/>
      <c r="AT42" s="146"/>
      <c r="AU42" s="146"/>
      <c r="AV42" s="146"/>
      <c r="AW42" s="146"/>
      <c r="AX42" s="146"/>
      <c r="AY42" s="146"/>
      <c r="AZ42" s="146"/>
      <c r="BA42" s="146"/>
      <c r="BB42" s="146"/>
      <c r="BC42" s="146"/>
      <c r="BD42" s="146"/>
      <c r="BE42" s="146"/>
      <c r="BF42" s="146"/>
      <c r="BG42" s="146"/>
      <c r="BH42" s="146"/>
      <c r="BI42" s="146"/>
      <c r="BJ42" s="146"/>
      <c r="BK42" s="146"/>
      <c r="BL42" s="146"/>
      <c r="BM42" s="146"/>
      <c r="BN42" s="146"/>
      <c r="BO42" s="146"/>
      <c r="BP42" s="146"/>
      <c r="BQ42" s="146"/>
      <c r="BR42" s="146"/>
      <c r="BS42" s="146"/>
      <c r="BT42" s="146"/>
      <c r="BU42" s="146"/>
      <c r="BV42" s="146"/>
      <c r="BW42" s="146"/>
      <c r="BX42" s="146"/>
      <c r="BY42" s="146"/>
      <c r="BZ42" s="146"/>
      <c r="CA42" s="146"/>
      <c r="CB42" s="146"/>
      <c r="CC42" s="146"/>
      <c r="CD42" s="146"/>
      <c r="CE42" s="146"/>
      <c r="CF42" s="146"/>
      <c r="CG42" s="146"/>
      <c r="CH42" s="146"/>
      <c r="CI42" s="146"/>
      <c r="CJ42" s="146"/>
      <c r="CK42" s="146"/>
      <c r="CL42" s="146"/>
      <c r="CM42" s="146"/>
      <c r="CN42" s="146"/>
      <c r="CO42" s="146"/>
      <c r="CP42" s="146"/>
      <c r="CQ42" s="146"/>
      <c r="CR42" s="146"/>
      <c r="CS42" s="146"/>
      <c r="CT42" s="146"/>
      <c r="CU42" s="146"/>
      <c r="CV42" s="146"/>
      <c r="CW42" s="146"/>
      <c r="CX42" s="146"/>
      <c r="CY42" s="146"/>
      <c r="CZ42" s="146"/>
      <c r="DA42" s="146"/>
      <c r="DB42" s="146"/>
      <c r="DC42" s="146"/>
      <c r="DD42" s="146"/>
      <c r="DE42" s="146"/>
      <c r="DF42" s="146"/>
      <c r="DG42" s="146"/>
      <c r="DH42" s="146"/>
      <c r="DI42" s="146"/>
      <c r="DJ42" s="146"/>
      <c r="DK42" s="146"/>
      <c r="DL42" s="146"/>
      <c r="DM42" s="146"/>
      <c r="DN42" s="146"/>
      <c r="DO42" s="146"/>
      <c r="DP42" s="146"/>
      <c r="DQ42" s="146"/>
      <c r="DR42" s="146"/>
      <c r="DS42" s="146"/>
      <c r="DT42" s="146"/>
      <c r="DU42" s="146"/>
      <c r="DV42" s="146"/>
      <c r="DW42" s="146"/>
      <c r="DX42" s="146"/>
      <c r="DY42" s="146"/>
      <c r="DZ42" s="146"/>
      <c r="EA42" s="146"/>
      <c r="EB42" s="146"/>
      <c r="EC42" s="146"/>
      <c r="ED42" s="146"/>
      <c r="EE42" s="146"/>
      <c r="EF42" s="146"/>
      <c r="EG42" s="146"/>
      <c r="EH42" s="146"/>
      <c r="EI42" s="146"/>
      <c r="EJ42" s="146"/>
      <c r="EK42" s="146"/>
      <c r="EL42" s="146"/>
      <c r="EM42" s="146"/>
      <c r="EN42" s="146"/>
      <c r="EO42" s="146"/>
      <c r="EP42" s="146"/>
      <c r="EQ42" s="146"/>
      <c r="ER42" s="146"/>
      <c r="ES42" s="146"/>
      <c r="ET42" s="146"/>
      <c r="EU42" s="146"/>
      <c r="EV42" s="146"/>
      <c r="EW42" s="146"/>
      <c r="EX42" s="146"/>
      <c r="EY42" s="146"/>
      <c r="EZ42" s="146"/>
      <c r="FA42" s="146"/>
      <c r="FB42" s="146"/>
      <c r="FC42" s="146"/>
      <c r="FD42" s="146"/>
      <c r="FE42" s="146"/>
      <c r="FF42" s="146"/>
      <c r="FG42" s="146"/>
      <c r="FH42" s="146"/>
      <c r="FI42" s="146"/>
      <c r="FJ42" s="146"/>
      <c r="FK42" s="146"/>
      <c r="FL42" s="146"/>
      <c r="FM42" s="146"/>
      <c r="FN42" s="146"/>
      <c r="FO42" s="146"/>
      <c r="FP42" s="146"/>
      <c r="FQ42" s="146"/>
      <c r="FR42" s="146"/>
      <c r="FS42" s="146"/>
      <c r="FT42" s="146"/>
      <c r="FU42" s="146"/>
      <c r="FV42" s="146"/>
      <c r="FW42" s="146"/>
      <c r="FX42" s="146"/>
      <c r="FY42" s="146"/>
      <c r="FZ42" s="146"/>
      <c r="GA42" s="146"/>
      <c r="GB42" s="146"/>
      <c r="GC42" s="146"/>
      <c r="GD42" s="146"/>
      <c r="GE42" s="146"/>
      <c r="GF42" s="146"/>
      <c r="GG42" s="146"/>
      <c r="GH42" s="146"/>
      <c r="GI42" s="146"/>
      <c r="GJ42" s="146"/>
      <c r="GK42" s="146"/>
      <c r="GL42" s="146"/>
      <c r="GM42" s="146"/>
      <c r="GN42" s="146"/>
      <c r="GO42" s="146"/>
      <c r="GP42" s="146"/>
      <c r="GQ42" s="146"/>
      <c r="GR42" s="146"/>
      <c r="GS42" s="146"/>
      <c r="GT42" s="146"/>
      <c r="GU42" s="146"/>
      <c r="GV42" s="146"/>
      <c r="GW42" s="146"/>
      <c r="GX42" s="146"/>
      <c r="GY42" s="146"/>
      <c r="GZ42" s="146"/>
      <c r="HA42" s="146"/>
      <c r="HB42" s="146"/>
      <c r="HC42" s="146"/>
      <c r="HD42" s="146"/>
      <c r="HE42" s="146"/>
      <c r="HF42" s="146"/>
      <c r="HG42" s="146"/>
      <c r="HH42" s="146"/>
      <c r="HI42" s="146"/>
      <c r="HJ42" s="146"/>
      <c r="HK42" s="146"/>
      <c r="HL42" s="146"/>
      <c r="HM42" s="146"/>
      <c r="HN42" s="146"/>
      <c r="HO42" s="146"/>
      <c r="HP42" s="146"/>
      <c r="HQ42" s="146"/>
      <c r="HR42" s="146"/>
      <c r="HS42" s="146"/>
      <c r="HT42" s="146"/>
      <c r="HU42" s="146"/>
      <c r="HV42" s="146"/>
      <c r="HW42" s="146"/>
      <c r="HX42" s="146"/>
      <c r="HY42" s="146"/>
      <c r="HZ42" s="146"/>
      <c r="IA42" s="146"/>
      <c r="IB42" s="146"/>
      <c r="IC42" s="146"/>
      <c r="ID42" s="146"/>
      <c r="IE42" s="146"/>
      <c r="IF42" s="146"/>
      <c r="IG42" s="146"/>
      <c r="IH42" s="146"/>
      <c r="II42" s="146"/>
      <c r="IJ42" s="146"/>
      <c r="IK42" s="146"/>
      <c r="IL42" s="146"/>
      <c r="IM42" s="146"/>
      <c r="IN42" s="146"/>
      <c r="IO42" s="146"/>
    </row>
    <row r="43" spans="1:249" s="6" customFormat="1" ht="14.1" customHeight="1" x14ac:dyDescent="0.25">
      <c r="A43" s="351"/>
      <c r="B43" s="166"/>
      <c r="C43" s="351"/>
      <c r="D43" s="167"/>
      <c r="E43" s="167"/>
      <c r="F43" s="167"/>
      <c r="G43" s="167"/>
      <c r="H43" s="167"/>
      <c r="I43" s="167"/>
      <c r="J43" s="321"/>
      <c r="K43" s="291"/>
      <c r="L43" s="291"/>
      <c r="M43" s="291"/>
      <c r="N43" s="146"/>
      <c r="O43" s="146"/>
      <c r="P43" s="146"/>
      <c r="Q43" s="146"/>
      <c r="R43" s="146"/>
      <c r="S43" s="146"/>
      <c r="T43" s="146"/>
      <c r="U43" s="146"/>
      <c r="V43" s="146"/>
      <c r="W43" s="146"/>
      <c r="X43" s="146"/>
      <c r="Y43" s="146"/>
      <c r="Z43" s="146"/>
      <c r="AA43" s="146"/>
      <c r="AB43" s="146"/>
      <c r="AC43" s="146"/>
      <c r="AD43" s="146"/>
      <c r="AE43" s="146"/>
      <c r="AF43" s="146"/>
      <c r="AG43" s="146"/>
      <c r="AH43" s="146"/>
      <c r="AI43" s="146"/>
      <c r="AJ43" s="146"/>
      <c r="AK43" s="146"/>
      <c r="AL43" s="146"/>
      <c r="AM43" s="146"/>
      <c r="AN43" s="146"/>
      <c r="AO43" s="146"/>
      <c r="AP43" s="146"/>
      <c r="AQ43" s="146"/>
      <c r="AR43" s="146"/>
      <c r="AS43" s="146"/>
      <c r="AT43" s="146"/>
      <c r="AU43" s="146"/>
      <c r="AV43" s="146"/>
      <c r="AW43" s="146"/>
      <c r="AX43" s="146"/>
      <c r="AY43" s="146"/>
      <c r="AZ43" s="146"/>
      <c r="BA43" s="146"/>
      <c r="BB43" s="146"/>
      <c r="BC43" s="146"/>
      <c r="BD43" s="146"/>
      <c r="BE43" s="146"/>
      <c r="BF43" s="146"/>
      <c r="BG43" s="146"/>
      <c r="BH43" s="146"/>
      <c r="BI43" s="146"/>
      <c r="BJ43" s="146"/>
      <c r="BK43" s="146"/>
      <c r="BL43" s="146"/>
      <c r="BM43" s="146"/>
      <c r="BN43" s="146"/>
      <c r="BO43" s="146"/>
      <c r="BP43" s="146"/>
      <c r="BQ43" s="146"/>
      <c r="BR43" s="146"/>
      <c r="BS43" s="146"/>
      <c r="BT43" s="146"/>
      <c r="BU43" s="146"/>
      <c r="BV43" s="146"/>
      <c r="BW43" s="146"/>
      <c r="BX43" s="146"/>
      <c r="BY43" s="146"/>
      <c r="BZ43" s="146"/>
      <c r="CA43" s="146"/>
      <c r="CB43" s="146"/>
      <c r="CC43" s="146"/>
      <c r="CD43" s="146"/>
      <c r="CE43" s="146"/>
      <c r="CF43" s="146"/>
      <c r="CG43" s="146"/>
      <c r="CH43" s="146"/>
      <c r="CI43" s="146"/>
      <c r="CJ43" s="146"/>
      <c r="CK43" s="146"/>
      <c r="CL43" s="146"/>
      <c r="CM43" s="146"/>
      <c r="CN43" s="146"/>
      <c r="CO43" s="146"/>
      <c r="CP43" s="146"/>
      <c r="CQ43" s="146"/>
      <c r="CR43" s="146"/>
      <c r="CS43" s="146"/>
      <c r="CT43" s="146"/>
      <c r="CU43" s="146"/>
      <c r="CV43" s="146"/>
      <c r="CW43" s="146"/>
      <c r="CX43" s="146"/>
      <c r="CY43" s="146"/>
      <c r="CZ43" s="146"/>
      <c r="DA43" s="146"/>
      <c r="DB43" s="146"/>
      <c r="DC43" s="146"/>
      <c r="DD43" s="146"/>
      <c r="DE43" s="146"/>
      <c r="DF43" s="146"/>
      <c r="DG43" s="146"/>
      <c r="DH43" s="146"/>
      <c r="DI43" s="146"/>
      <c r="DJ43" s="146"/>
      <c r="DK43" s="146"/>
      <c r="DL43" s="146"/>
      <c r="DM43" s="146"/>
      <c r="DN43" s="146"/>
      <c r="DO43" s="146"/>
      <c r="DP43" s="146"/>
      <c r="DQ43" s="146"/>
      <c r="DR43" s="146"/>
      <c r="DS43" s="146"/>
      <c r="DT43" s="146"/>
      <c r="DU43" s="146"/>
      <c r="DV43" s="146"/>
      <c r="DW43" s="146"/>
      <c r="DX43" s="146"/>
      <c r="DY43" s="146"/>
      <c r="DZ43" s="146"/>
      <c r="EA43" s="146"/>
      <c r="EB43" s="146"/>
      <c r="EC43" s="146"/>
      <c r="ED43" s="146"/>
      <c r="EE43" s="146"/>
      <c r="EF43" s="146"/>
      <c r="EG43" s="146"/>
      <c r="EH43" s="146"/>
      <c r="EI43" s="146"/>
      <c r="EJ43" s="146"/>
      <c r="EK43" s="146"/>
      <c r="EL43" s="146"/>
      <c r="EM43" s="146"/>
      <c r="EN43" s="146"/>
      <c r="EO43" s="146"/>
      <c r="EP43" s="146"/>
      <c r="EQ43" s="146"/>
      <c r="ER43" s="146"/>
      <c r="ES43" s="146"/>
      <c r="ET43" s="146"/>
      <c r="EU43" s="146"/>
      <c r="EV43" s="146"/>
      <c r="EW43" s="146"/>
      <c r="EX43" s="146"/>
      <c r="EY43" s="146"/>
      <c r="EZ43" s="146"/>
      <c r="FA43" s="146"/>
      <c r="FB43" s="146"/>
      <c r="FC43" s="146"/>
      <c r="FD43" s="146"/>
      <c r="FE43" s="146"/>
      <c r="FF43" s="146"/>
      <c r="FG43" s="146"/>
      <c r="FH43" s="146"/>
      <c r="FI43" s="146"/>
      <c r="FJ43" s="146"/>
      <c r="FK43" s="146"/>
      <c r="FL43" s="146"/>
      <c r="FM43" s="146"/>
      <c r="FN43" s="146"/>
      <c r="FO43" s="146"/>
      <c r="FP43" s="146"/>
      <c r="FQ43" s="146"/>
      <c r="FR43" s="146"/>
      <c r="FS43" s="146"/>
      <c r="FT43" s="146"/>
      <c r="FU43" s="146"/>
      <c r="FV43" s="146"/>
      <c r="FW43" s="146"/>
      <c r="FX43" s="146"/>
      <c r="FY43" s="146"/>
      <c r="FZ43" s="146"/>
      <c r="GA43" s="146"/>
      <c r="GB43" s="146"/>
      <c r="GC43" s="146"/>
      <c r="GD43" s="146"/>
      <c r="GE43" s="146"/>
      <c r="GF43" s="146"/>
      <c r="GG43" s="146"/>
      <c r="GH43" s="146"/>
      <c r="GI43" s="146"/>
      <c r="GJ43" s="146"/>
      <c r="GK43" s="146"/>
      <c r="GL43" s="146"/>
      <c r="GM43" s="146"/>
      <c r="GN43" s="146"/>
      <c r="GO43" s="146"/>
      <c r="GP43" s="146"/>
      <c r="GQ43" s="146"/>
      <c r="GR43" s="146"/>
      <c r="GS43" s="146"/>
      <c r="GT43" s="146"/>
      <c r="GU43" s="146"/>
      <c r="GV43" s="146"/>
      <c r="GW43" s="146"/>
      <c r="GX43" s="146"/>
      <c r="GY43" s="146"/>
      <c r="GZ43" s="146"/>
      <c r="HA43" s="146"/>
      <c r="HB43" s="146"/>
      <c r="HC43" s="146"/>
      <c r="HD43" s="146"/>
      <c r="HE43" s="146"/>
      <c r="HF43" s="146"/>
      <c r="HG43" s="146"/>
      <c r="HH43" s="146"/>
      <c r="HI43" s="146"/>
      <c r="HJ43" s="146"/>
      <c r="HK43" s="146"/>
      <c r="HL43" s="146"/>
      <c r="HM43" s="146"/>
      <c r="HN43" s="146"/>
      <c r="HO43" s="146"/>
      <c r="HP43" s="146"/>
      <c r="HQ43" s="146"/>
      <c r="HR43" s="146"/>
      <c r="HS43" s="146"/>
      <c r="HT43" s="146"/>
      <c r="HU43" s="146"/>
      <c r="HV43" s="146"/>
      <c r="HW43" s="146"/>
      <c r="HX43" s="146"/>
      <c r="HY43" s="146"/>
      <c r="HZ43" s="146"/>
      <c r="IA43" s="146"/>
      <c r="IB43" s="146"/>
      <c r="IC43" s="146"/>
      <c r="ID43" s="146"/>
      <c r="IE43" s="146"/>
      <c r="IF43" s="146"/>
      <c r="IG43" s="146"/>
      <c r="IH43" s="146"/>
      <c r="II43" s="146"/>
      <c r="IJ43" s="146"/>
      <c r="IK43" s="146"/>
      <c r="IL43" s="146"/>
      <c r="IM43" s="146"/>
      <c r="IN43" s="146"/>
      <c r="IO43" s="146"/>
    </row>
    <row r="44" spans="1:249" ht="14.1" customHeight="1" x14ac:dyDescent="0.2"/>
    <row r="45" spans="1:249" ht="14.1" customHeight="1" x14ac:dyDescent="0.25">
      <c r="A45" s="311" t="s">
        <v>46</v>
      </c>
    </row>
    <row r="46" spans="1:249" ht="14.1" customHeight="1" x14ac:dyDescent="0.25">
      <c r="A46" s="172" t="str">
        <f>"(1)"</f>
        <v>(1)</v>
      </c>
      <c r="B46" s="173" t="s">
        <v>47</v>
      </c>
    </row>
    <row r="47" spans="1:249" ht="14.1" customHeight="1" x14ac:dyDescent="0.25">
      <c r="A47" s="172" t="str">
        <f>"(2)"</f>
        <v>(2)</v>
      </c>
      <c r="B47" s="173" t="s">
        <v>48</v>
      </c>
    </row>
    <row r="48" spans="1:249" ht="14.1" customHeight="1" x14ac:dyDescent="0.25">
      <c r="A48" s="172" t="str">
        <f>"(3)"</f>
        <v>(3)</v>
      </c>
      <c r="B48" s="173" t="s">
        <v>49</v>
      </c>
    </row>
    <row r="49" spans="1:13" ht="14.1" customHeight="1" x14ac:dyDescent="0.25">
      <c r="A49" s="172" t="str">
        <f>"(4)"</f>
        <v>(4)</v>
      </c>
      <c r="B49" s="173" t="s">
        <v>50</v>
      </c>
    </row>
    <row r="50" spans="1:13" ht="14.1" customHeight="1" x14ac:dyDescent="0.25">
      <c r="A50" s="172" t="str">
        <f>"(5)"</f>
        <v>(5)</v>
      </c>
      <c r="B50" s="173" t="s">
        <v>51</v>
      </c>
    </row>
    <row r="51" spans="1:13" ht="14.1" customHeight="1" x14ac:dyDescent="0.25">
      <c r="A51" s="172" t="str">
        <f>"(6)"</f>
        <v>(6)</v>
      </c>
      <c r="B51" s="173" t="s">
        <v>52</v>
      </c>
    </row>
    <row r="52" spans="1:13" ht="14.1" customHeight="1" x14ac:dyDescent="0.25">
      <c r="A52" s="172" t="str">
        <f>"(7)"</f>
        <v>(7)</v>
      </c>
      <c r="B52" s="173" t="s">
        <v>53</v>
      </c>
    </row>
    <row r="53" spans="1:13" ht="14.1" customHeight="1" x14ac:dyDescent="0.25">
      <c r="A53" s="172" t="str">
        <f>"(8)"</f>
        <v>(8)</v>
      </c>
      <c r="B53" s="173" t="s">
        <v>54</v>
      </c>
      <c r="G53" s="208"/>
    </row>
    <row r="54" spans="1:13" ht="14.1" customHeight="1" x14ac:dyDescent="0.25">
      <c r="A54" s="172" t="str">
        <f>"(9)"</f>
        <v>(9)</v>
      </c>
      <c r="B54" s="173" t="s">
        <v>55</v>
      </c>
      <c r="G54" s="208"/>
    </row>
    <row r="55" spans="1:13" ht="14.1" customHeight="1" x14ac:dyDescent="0.25">
      <c r="A55" s="172" t="str">
        <f>"(10)"</f>
        <v>(10)</v>
      </c>
      <c r="B55" s="173" t="s">
        <v>51</v>
      </c>
    </row>
    <row r="56" spans="1:13" ht="14.1" customHeight="1" x14ac:dyDescent="0.25">
      <c r="A56" s="172" t="str">
        <f>"(11)"</f>
        <v>(11)</v>
      </c>
      <c r="B56" s="173" t="s">
        <v>56</v>
      </c>
      <c r="F56" s="209"/>
      <c r="G56" s="40"/>
    </row>
    <row r="57" spans="1:13" ht="14.1" customHeight="1" x14ac:dyDescent="0.25">
      <c r="A57" s="172" t="str">
        <f>"(12)"</f>
        <v>(12)</v>
      </c>
      <c r="B57" s="173" t="str">
        <f>"(2)"</f>
        <v>(2)</v>
      </c>
      <c r="F57" s="209"/>
      <c r="G57" s="40"/>
    </row>
    <row r="58" spans="1:13" s="173" customFormat="1" ht="14.1" customHeight="1" x14ac:dyDescent="0.25">
      <c r="A58" s="172" t="str">
        <f>"(13)"</f>
        <v>(13)</v>
      </c>
      <c r="B58" s="173" t="s">
        <v>57</v>
      </c>
      <c r="D58" s="236"/>
      <c r="E58" s="237"/>
      <c r="F58" s="208"/>
      <c r="G58" s="208"/>
      <c r="J58" s="325"/>
      <c r="K58" s="294"/>
      <c r="L58" s="294"/>
      <c r="M58" s="294"/>
    </row>
    <row r="59" spans="1:13" s="173" customFormat="1" ht="14.1" customHeight="1" x14ac:dyDescent="0.25">
      <c r="A59" s="172" t="str">
        <f>"(14)"</f>
        <v>(14)</v>
      </c>
      <c r="B59" s="173" t="str">
        <f>"(3)"</f>
        <v>(3)</v>
      </c>
      <c r="D59" s="236"/>
      <c r="E59" s="237"/>
      <c r="F59" s="208"/>
      <c r="G59" s="208"/>
      <c r="J59" s="325"/>
      <c r="K59" s="294"/>
      <c r="L59" s="294"/>
      <c r="M59" s="294"/>
    </row>
    <row r="60" spans="1:13" ht="14.1" customHeight="1" x14ac:dyDescent="0.25">
      <c r="A60" s="172" t="str">
        <f>"(15)"</f>
        <v>(15)</v>
      </c>
      <c r="B60" s="235" t="s">
        <v>58</v>
      </c>
    </row>
    <row r="61" spans="1:13" ht="14.1" customHeight="1" x14ac:dyDescent="0.25">
      <c r="A61" s="172"/>
      <c r="B61" s="235"/>
    </row>
    <row r="62" spans="1:13" ht="14.1" customHeight="1" x14ac:dyDescent="0.2"/>
    <row r="63" spans="1:13" ht="14.1" customHeight="1" x14ac:dyDescent="0.2"/>
    <row r="64" spans="1:13" ht="14.1" customHeight="1" x14ac:dyDescent="0.2"/>
    <row r="65" spans="3:3" ht="14.1" customHeight="1" x14ac:dyDescent="0.2"/>
    <row r="66" spans="3:3" ht="14.1" customHeight="1" x14ac:dyDescent="0.2">
      <c r="C66" s="308"/>
    </row>
    <row r="67" spans="3:3" ht="14.1" customHeight="1" x14ac:dyDescent="0.2"/>
    <row r="68" spans="3:3" ht="14.1" customHeight="1" x14ac:dyDescent="0.2"/>
    <row r="69" spans="3:3" ht="14.1" customHeight="1" x14ac:dyDescent="0.2"/>
    <row r="70" spans="3:3" ht="14.1" customHeight="1" x14ac:dyDescent="0.2"/>
    <row r="71" spans="3:3" ht="14.1" customHeight="1" x14ac:dyDescent="0.2"/>
    <row r="72" spans="3:3" ht="14.1" customHeight="1" x14ac:dyDescent="0.2"/>
    <row r="73" spans="3:3" ht="14.1" customHeight="1" x14ac:dyDescent="0.2"/>
    <row r="74" spans="3:3" ht="14.1" customHeight="1" x14ac:dyDescent="0.2"/>
    <row r="75" spans="3:3" ht="14.1" customHeight="1" x14ac:dyDescent="0.2"/>
    <row r="76" spans="3:3" ht="14.1" customHeight="1" x14ac:dyDescent="0.2"/>
    <row r="77" spans="3:3" ht="14.1" customHeight="1" x14ac:dyDescent="0.2"/>
    <row r="78" spans="3:3" ht="14.1" customHeight="1" x14ac:dyDescent="0.2"/>
    <row r="79" spans="3:3" ht="14.1" customHeight="1" x14ac:dyDescent="0.2"/>
    <row r="80" spans="3:3" ht="14.1" customHeight="1" x14ac:dyDescent="0.2"/>
    <row r="81" ht="14.1" customHeight="1" x14ac:dyDescent="0.2"/>
    <row r="82" ht="14.1" customHeight="1" x14ac:dyDescent="0.2"/>
    <row r="83" ht="14.1" customHeight="1" x14ac:dyDescent="0.2"/>
    <row r="84" ht="14.1" customHeight="1" x14ac:dyDescent="0.2"/>
    <row r="85" ht="14.1" customHeight="1" x14ac:dyDescent="0.2"/>
    <row r="86" ht="14.1" customHeight="1" x14ac:dyDescent="0.2"/>
    <row r="87" ht="14.1" customHeight="1" x14ac:dyDescent="0.2"/>
    <row r="88" ht="14.1" customHeight="1" x14ac:dyDescent="0.2"/>
    <row r="89" ht="14.1" customHeight="1" x14ac:dyDescent="0.2"/>
    <row r="90" ht="14.1" customHeight="1" x14ac:dyDescent="0.2"/>
    <row r="91" ht="14.1" customHeight="1" x14ac:dyDescent="0.2"/>
    <row r="92" ht="14.1" customHeight="1" x14ac:dyDescent="0.2"/>
    <row r="93" ht="14.1" customHeight="1" x14ac:dyDescent="0.2"/>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6.05" customHeight="1" x14ac:dyDescent="0.2"/>
    <row r="121" ht="16.05" customHeight="1" x14ac:dyDescent="0.2"/>
    <row r="122" ht="16.05" customHeight="1" x14ac:dyDescent="0.2"/>
    <row r="123" ht="16.05" customHeight="1" x14ac:dyDescent="0.2"/>
    <row r="124" ht="16.05" customHeight="1" x14ac:dyDescent="0.2"/>
    <row r="125" ht="16.05" customHeight="1" x14ac:dyDescent="0.2"/>
    <row r="126" ht="16.05" customHeight="1" x14ac:dyDescent="0.2"/>
    <row r="127" ht="16.05" customHeight="1" x14ac:dyDescent="0.2"/>
    <row r="128" ht="16.05" customHeight="1" x14ac:dyDescent="0.2"/>
    <row r="129" ht="16.05" customHeight="1" x14ac:dyDescent="0.2"/>
    <row r="130" ht="16.05" customHeight="1" x14ac:dyDescent="0.2"/>
    <row r="131" ht="16.05" customHeight="1" x14ac:dyDescent="0.2"/>
    <row r="132" ht="16.05" customHeight="1" x14ac:dyDescent="0.2"/>
    <row r="133" ht="16.05" customHeight="1" x14ac:dyDescent="0.2"/>
    <row r="134" ht="16.05" customHeight="1" x14ac:dyDescent="0.2"/>
    <row r="135" ht="16.05" customHeight="1" x14ac:dyDescent="0.2"/>
    <row r="136" ht="16.05" customHeight="1" x14ac:dyDescent="0.2"/>
    <row r="137" ht="16.05" customHeight="1" x14ac:dyDescent="0.2"/>
    <row r="138" ht="16.05" customHeight="1" x14ac:dyDescent="0.2"/>
    <row r="139" ht="16.05" customHeight="1" x14ac:dyDescent="0.2"/>
    <row r="140" ht="16.05" customHeight="1" x14ac:dyDescent="0.2"/>
    <row r="141" ht="16.05" customHeight="1" x14ac:dyDescent="0.2"/>
    <row r="142" ht="16.05" customHeight="1" x14ac:dyDescent="0.2"/>
    <row r="143" ht="16.05" customHeight="1" x14ac:dyDescent="0.2"/>
    <row r="144" ht="16.05" customHeight="1" x14ac:dyDescent="0.2"/>
    <row r="145" ht="16.05" customHeight="1" x14ac:dyDescent="0.2"/>
    <row r="146" ht="16.05" customHeight="1" x14ac:dyDescent="0.2"/>
    <row r="147" ht="16.05" customHeight="1" x14ac:dyDescent="0.2"/>
    <row r="148" ht="16.05" customHeight="1" x14ac:dyDescent="0.2"/>
    <row r="149" ht="16.05" customHeight="1" x14ac:dyDescent="0.2"/>
    <row r="150" ht="16.05" customHeight="1" x14ac:dyDescent="0.2"/>
    <row r="151" ht="16.05" customHeight="1" x14ac:dyDescent="0.2"/>
    <row r="152" ht="16.05" customHeight="1" x14ac:dyDescent="0.2"/>
    <row r="153" ht="16.05" customHeight="1" x14ac:dyDescent="0.2"/>
    <row r="154" ht="16.05" customHeight="1" x14ac:dyDescent="0.2"/>
    <row r="155" ht="16.05" customHeight="1" x14ac:dyDescent="0.2"/>
    <row r="156" ht="16.05" customHeight="1" x14ac:dyDescent="0.2"/>
    <row r="157" ht="16.05" customHeight="1" x14ac:dyDescent="0.2"/>
    <row r="158" ht="16.05" customHeight="1" x14ac:dyDescent="0.2"/>
    <row r="159" ht="16.05" customHeight="1" x14ac:dyDescent="0.2"/>
    <row r="160" ht="16.05" customHeight="1" x14ac:dyDescent="0.2"/>
    <row r="161" ht="16.05" customHeight="1" x14ac:dyDescent="0.2"/>
    <row r="162" ht="16.05" customHeight="1" x14ac:dyDescent="0.2"/>
    <row r="163" ht="16.05" customHeight="1" x14ac:dyDescent="0.2"/>
    <row r="164" ht="16.05" customHeight="1" x14ac:dyDescent="0.2"/>
    <row r="165" ht="16.05" customHeight="1" x14ac:dyDescent="0.2"/>
    <row r="166" ht="16.05" customHeight="1" x14ac:dyDescent="0.2"/>
    <row r="167" ht="16.05" customHeight="1" x14ac:dyDescent="0.2"/>
    <row r="168" ht="16.05" customHeight="1" x14ac:dyDescent="0.2"/>
    <row r="169" ht="16.05" customHeight="1" x14ac:dyDescent="0.2"/>
    <row r="170" ht="16.05" customHeight="1" x14ac:dyDescent="0.2"/>
    <row r="171" ht="16.05" customHeight="1" x14ac:dyDescent="0.2"/>
    <row r="172" ht="16.05" customHeight="1" x14ac:dyDescent="0.2"/>
    <row r="173" ht="16.05" customHeight="1" x14ac:dyDescent="0.2"/>
    <row r="174" ht="16.05" customHeight="1" x14ac:dyDescent="0.2"/>
    <row r="175" ht="16.05" customHeight="1" x14ac:dyDescent="0.2"/>
    <row r="176" ht="16.05" customHeight="1" x14ac:dyDescent="0.2"/>
    <row r="177" ht="16.05" customHeight="1" x14ac:dyDescent="0.2"/>
    <row r="178" ht="16.05" customHeight="1" x14ac:dyDescent="0.2"/>
    <row r="179" ht="16.05" customHeight="1" x14ac:dyDescent="0.2"/>
    <row r="180" ht="16.05" customHeight="1" x14ac:dyDescent="0.2"/>
    <row r="181" ht="16.05" customHeight="1" x14ac:dyDescent="0.2"/>
    <row r="182" ht="16.05" customHeight="1" x14ac:dyDescent="0.2"/>
    <row r="183" ht="16.05" customHeight="1" x14ac:dyDescent="0.2"/>
    <row r="184" ht="16.05" customHeight="1" x14ac:dyDescent="0.2"/>
    <row r="185" ht="16.05" customHeight="1" x14ac:dyDescent="0.2"/>
    <row r="186" ht="16.05" customHeight="1" x14ac:dyDescent="0.2"/>
    <row r="187" ht="16.05" customHeight="1" x14ac:dyDescent="0.2"/>
    <row r="188" ht="16.05" customHeight="1" x14ac:dyDescent="0.2"/>
    <row r="189" ht="16.05" customHeight="1" x14ac:dyDescent="0.2"/>
    <row r="190" ht="16.05" customHeight="1" x14ac:dyDescent="0.2"/>
    <row r="191" ht="16.05" customHeight="1" x14ac:dyDescent="0.2"/>
    <row r="192" ht="16.05" customHeight="1" x14ac:dyDescent="0.2"/>
    <row r="193" ht="16.05" customHeight="1" x14ac:dyDescent="0.2"/>
    <row r="194" ht="16.05" customHeight="1" x14ac:dyDescent="0.2"/>
    <row r="195" ht="16.05" customHeight="1" x14ac:dyDescent="0.2"/>
    <row r="196" ht="16.05" customHeight="1" x14ac:dyDescent="0.2"/>
    <row r="197" ht="16.05" customHeight="1" x14ac:dyDescent="0.2"/>
    <row r="198" ht="16.05" customHeight="1" x14ac:dyDescent="0.2"/>
    <row r="199" ht="16.05" customHeight="1" x14ac:dyDescent="0.2"/>
    <row r="200" ht="16.05" customHeight="1" x14ac:dyDescent="0.2"/>
    <row r="201" ht="16.05" customHeight="1" x14ac:dyDescent="0.2"/>
    <row r="202" ht="16.05" customHeight="1" x14ac:dyDescent="0.2"/>
    <row r="203" ht="16.05" customHeight="1" x14ac:dyDescent="0.2"/>
    <row r="204" ht="16.05" customHeight="1" x14ac:dyDescent="0.2"/>
    <row r="205" ht="16.05" customHeight="1" x14ac:dyDescent="0.2"/>
    <row r="206" ht="16.05" customHeight="1" x14ac:dyDescent="0.2"/>
    <row r="207" ht="16.05" customHeight="1" x14ac:dyDescent="0.2"/>
    <row r="208" ht="16.05" customHeight="1" x14ac:dyDescent="0.2"/>
    <row r="209" ht="16.05" customHeight="1" x14ac:dyDescent="0.2"/>
    <row r="210" ht="16.05" customHeight="1" x14ac:dyDescent="0.2"/>
    <row r="211" ht="16.05" customHeight="1" x14ac:dyDescent="0.2"/>
    <row r="212" ht="16.05" customHeight="1" x14ac:dyDescent="0.2"/>
    <row r="213" ht="16.05" customHeight="1" x14ac:dyDescent="0.2"/>
    <row r="214" ht="16.05" customHeight="1" x14ac:dyDescent="0.2"/>
    <row r="215" ht="16.05" customHeight="1" x14ac:dyDescent="0.2"/>
    <row r="216" ht="16.05" customHeight="1" x14ac:dyDescent="0.2"/>
    <row r="217" ht="16.05" customHeight="1" x14ac:dyDescent="0.2"/>
    <row r="218" ht="16.05" customHeight="1" x14ac:dyDescent="0.2"/>
    <row r="219" ht="16.05" customHeight="1" x14ac:dyDescent="0.2"/>
    <row r="220" ht="16.05" customHeight="1" x14ac:dyDescent="0.2"/>
    <row r="221" ht="16.05" customHeight="1" x14ac:dyDescent="0.2"/>
    <row r="222" ht="16.05" customHeight="1" x14ac:dyDescent="0.2"/>
    <row r="223" ht="16.05" customHeight="1" x14ac:dyDescent="0.2"/>
    <row r="224" ht="16.05" customHeight="1" x14ac:dyDescent="0.2"/>
    <row r="225" ht="16.05" customHeight="1" x14ac:dyDescent="0.2"/>
    <row r="226" ht="16.05" customHeight="1" x14ac:dyDescent="0.2"/>
    <row r="227" ht="16.05" customHeight="1" x14ac:dyDescent="0.2"/>
    <row r="228" ht="16.05" customHeight="1" x14ac:dyDescent="0.2"/>
    <row r="229" ht="16.05" customHeight="1" x14ac:dyDescent="0.2"/>
    <row r="230" ht="16.05" customHeight="1" x14ac:dyDescent="0.2"/>
    <row r="231" ht="16.05" customHeight="1" x14ac:dyDescent="0.2"/>
  </sheetData>
  <phoneticPr fontId="29" type="noConversion"/>
  <printOptions horizontalCentered="1"/>
  <pageMargins left="0.75" right="0.75" top="1" bottom="1" header="0.5" footer="0.5"/>
  <pageSetup scale="76" orientation="portrait" r:id="rId1"/>
  <headerFooter alignWithMargins="0">
    <oddFooter>&amp;CTab '&amp;A'&amp;RPage 1</oddFooter>
  </headerFooter>
  <ignoredErrors>
    <ignoredError sqref="G42:H42 G38 H34:H41 G40" formula="1"/>
  </ignoredErrors>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P215"/>
  <sheetViews>
    <sheetView zoomScale="115" zoomScaleNormal="115" workbookViewId="0"/>
  </sheetViews>
  <sheetFormatPr defaultColWidth="9.21875" defaultRowHeight="11.4" x14ac:dyDescent="0.2"/>
  <cols>
    <col min="1" max="2" width="5.77734375" style="168" customWidth="1"/>
    <col min="3" max="3" width="26.77734375" style="168" customWidth="1"/>
    <col min="4" max="4" width="13.77734375" style="169" customWidth="1"/>
    <col min="5" max="5" width="16" style="170" customWidth="1"/>
    <col min="6" max="7" width="13.77734375" style="171" customWidth="1"/>
    <col min="8" max="9" width="11.44140625" style="168" bestFit="1" customWidth="1"/>
    <col min="10" max="15" width="9.21875" style="168"/>
    <col min="16" max="16" width="27.77734375" style="168" customWidth="1"/>
    <col min="17" max="16384" width="9.21875" style="168"/>
  </cols>
  <sheetData>
    <row r="1" spans="1:16" s="144" customFormat="1" ht="17.399999999999999" x14ac:dyDescent="0.3">
      <c r="A1" s="46" t="s">
        <v>0</v>
      </c>
      <c r="B1" s="148"/>
      <c r="C1" s="148"/>
      <c r="D1" s="149"/>
      <c r="E1" s="150"/>
      <c r="F1" s="151"/>
      <c r="G1" s="151"/>
    </row>
    <row r="2" spans="1:16" s="144" customFormat="1" ht="15.6" x14ac:dyDescent="0.3">
      <c r="A2" s="52" t="s">
        <v>59</v>
      </c>
      <c r="B2" s="148"/>
      <c r="C2" s="148"/>
      <c r="D2" s="149"/>
      <c r="E2" s="150"/>
      <c r="F2" s="151"/>
      <c r="G2" s="151"/>
    </row>
    <row r="3" spans="1:16" s="6" customFormat="1" ht="13.2" x14ac:dyDescent="0.25">
      <c r="A3" s="146"/>
      <c r="B3" s="146"/>
      <c r="C3" s="146"/>
      <c r="D3" s="241"/>
      <c r="E3" s="146"/>
      <c r="F3" s="145"/>
      <c r="G3" s="347"/>
      <c r="H3" s="146"/>
      <c r="I3" s="146"/>
      <c r="J3" s="146"/>
      <c r="K3" s="146"/>
      <c r="L3" s="146"/>
      <c r="M3" s="146"/>
      <c r="N3" s="146"/>
      <c r="O3" s="146"/>
      <c r="P3" s="146"/>
    </row>
    <row r="4" spans="1:16" s="6" customFormat="1" ht="13.2" x14ac:dyDescent="0.25">
      <c r="A4" s="146"/>
      <c r="B4" s="146"/>
      <c r="C4" s="146"/>
      <c r="D4" s="241"/>
      <c r="E4" s="326"/>
      <c r="F4" s="145"/>
      <c r="G4" s="347"/>
      <c r="H4" s="146"/>
      <c r="I4" s="146"/>
      <c r="J4" s="146"/>
      <c r="K4" s="146"/>
      <c r="L4" s="146"/>
      <c r="M4" s="146"/>
      <c r="N4" s="146"/>
      <c r="O4" s="146"/>
      <c r="P4" s="146"/>
    </row>
    <row r="5" spans="1:16" s="142" customFormat="1" ht="14.1" customHeight="1" thickBot="1" x14ac:dyDescent="0.35">
      <c r="A5" s="163" t="s">
        <v>29</v>
      </c>
      <c r="B5" s="152"/>
      <c r="C5" s="152"/>
      <c r="D5" s="153"/>
      <c r="E5" s="164"/>
      <c r="F5" s="155"/>
      <c r="G5" s="156"/>
      <c r="H5" s="156"/>
      <c r="I5" s="156"/>
    </row>
    <row r="6" spans="1:16" s="6" customFormat="1" ht="14.1" customHeight="1" x14ac:dyDescent="0.25">
      <c r="A6" s="146"/>
      <c r="B6" s="1"/>
      <c r="C6" s="1"/>
      <c r="D6" s="241"/>
      <c r="E6" s="326"/>
      <c r="F6" s="347"/>
      <c r="G6" s="347"/>
      <c r="H6" s="146"/>
      <c r="I6" s="146"/>
      <c r="J6" s="146"/>
      <c r="K6" s="146"/>
      <c r="L6" s="146"/>
      <c r="M6" s="146"/>
      <c r="N6" s="146"/>
      <c r="O6" s="146"/>
      <c r="P6" s="146"/>
    </row>
    <row r="7" spans="1:16" s="6" customFormat="1" ht="14.1" customHeight="1" x14ac:dyDescent="0.25">
      <c r="A7" s="146"/>
      <c r="B7" s="1"/>
      <c r="C7" s="1"/>
      <c r="D7" s="40" t="str">
        <f>"(1)"</f>
        <v>(1)</v>
      </c>
      <c r="E7" s="31" t="str">
        <f>"(2)"</f>
        <v>(2)</v>
      </c>
      <c r="F7" s="31" t="str">
        <f>"(3)"</f>
        <v>(3)</v>
      </c>
      <c r="G7" s="31" t="str">
        <f>"(4)"</f>
        <v>(4)</v>
      </c>
      <c r="H7" s="238" t="s">
        <v>11</v>
      </c>
      <c r="I7" s="238" t="s">
        <v>12</v>
      </c>
      <c r="J7" s="146"/>
      <c r="K7" s="146"/>
      <c r="L7" s="146"/>
      <c r="M7" s="146"/>
      <c r="N7" s="146"/>
      <c r="O7" s="146"/>
      <c r="P7" s="146"/>
    </row>
    <row r="8" spans="1:16" s="6" customFormat="1" ht="14.1" customHeight="1" x14ac:dyDescent="0.25">
      <c r="A8" s="146"/>
      <c r="B8" s="146"/>
      <c r="C8" s="146"/>
      <c r="D8" s="40"/>
      <c r="E8" s="31"/>
      <c r="F8" s="31" t="s">
        <v>60</v>
      </c>
      <c r="G8" s="162" t="s">
        <v>61</v>
      </c>
      <c r="H8" s="162" t="s">
        <v>38</v>
      </c>
      <c r="I8" s="162" t="s">
        <v>8</v>
      </c>
      <c r="J8" s="146"/>
      <c r="K8" s="146"/>
      <c r="L8" s="146"/>
      <c r="M8" s="146"/>
      <c r="N8" s="146"/>
      <c r="O8" s="146"/>
      <c r="P8" s="146"/>
    </row>
    <row r="9" spans="1:16" s="6" customFormat="1" ht="14.1" customHeight="1" x14ac:dyDescent="0.25">
      <c r="A9" s="146"/>
      <c r="B9" s="1"/>
      <c r="C9" s="146"/>
      <c r="D9" s="40" t="s">
        <v>39</v>
      </c>
      <c r="E9" s="31" t="s">
        <v>40</v>
      </c>
      <c r="F9" s="31" t="s">
        <v>41</v>
      </c>
      <c r="G9" s="162" t="s">
        <v>42</v>
      </c>
      <c r="H9" s="162" t="s">
        <v>42</v>
      </c>
      <c r="I9" s="162" t="s">
        <v>42</v>
      </c>
      <c r="J9" s="146"/>
      <c r="K9" s="146"/>
      <c r="L9" s="146"/>
      <c r="M9" s="146"/>
      <c r="N9" s="146"/>
      <c r="O9" s="146"/>
      <c r="P9" s="146"/>
    </row>
    <row r="10" spans="1:16" s="6" customFormat="1" ht="14.1" customHeight="1" x14ac:dyDescent="0.25">
      <c r="A10" s="146"/>
      <c r="B10" s="35" t="s">
        <v>43</v>
      </c>
      <c r="C10" s="1"/>
      <c r="D10" s="42" t="s">
        <v>44</v>
      </c>
      <c r="E10" s="36" t="s">
        <v>44</v>
      </c>
      <c r="F10" s="36" t="s">
        <v>44</v>
      </c>
      <c r="G10" s="165" t="s">
        <v>44</v>
      </c>
      <c r="H10" s="165" t="s">
        <v>44</v>
      </c>
      <c r="I10" s="165" t="s">
        <v>44</v>
      </c>
      <c r="J10" s="146"/>
      <c r="K10" s="146"/>
      <c r="L10" s="146"/>
      <c r="M10" s="146"/>
      <c r="N10" s="146"/>
      <c r="O10" s="146"/>
      <c r="P10" s="146"/>
    </row>
    <row r="11" spans="1:16" s="6" customFormat="1" ht="14.1" customHeight="1" x14ac:dyDescent="0.25">
      <c r="A11" s="146"/>
      <c r="B11" s="1"/>
      <c r="C11" s="1"/>
      <c r="D11" s="40"/>
      <c r="E11" s="31"/>
      <c r="F11" s="31"/>
      <c r="G11" s="162"/>
      <c r="H11" s="146"/>
      <c r="I11" s="146"/>
      <c r="J11" s="146"/>
      <c r="K11" s="146"/>
      <c r="L11" s="146"/>
      <c r="M11" s="146"/>
      <c r="N11" s="146"/>
      <c r="O11" s="146"/>
      <c r="P11" s="146"/>
    </row>
    <row r="12" spans="1:16" s="1" customFormat="1" ht="14.1" customHeight="1" x14ac:dyDescent="0.25">
      <c r="A12" s="158"/>
      <c r="B12" s="1" t="s">
        <v>62</v>
      </c>
      <c r="D12" s="40">
        <f ca="1">'MADC NONAUTO COST'!$K$77</f>
        <v>23.111558595843327</v>
      </c>
      <c r="E12" s="40">
        <f ca="1">D12*'CRA ADJ UNIT COSTS'!$F$25</f>
        <v>117.49505228668674</v>
      </c>
      <c r="F12" s="40">
        <f>'CRA ADJ UNIT COSTS'!$F$8</f>
        <v>9.3384898344070031</v>
      </c>
      <c r="G12" s="40">
        <f ca="1">E12+F12</f>
        <v>126.83354212109374</v>
      </c>
      <c r="H12" s="40">
        <f>'CRA ADJ UNIT COSTS'!$F$9</f>
        <v>0.13683502776810874</v>
      </c>
      <c r="I12" s="40">
        <f ca="1">G12+H12</f>
        <v>126.97037714886186</v>
      </c>
      <c r="J12"/>
      <c r="K12"/>
      <c r="L12"/>
      <c r="M12"/>
      <c r="N12"/>
      <c r="O12"/>
      <c r="P12" s="277"/>
    </row>
    <row r="13" spans="1:16" s="1" customFormat="1" ht="14.1" customHeight="1" x14ac:dyDescent="0.25">
      <c r="A13" s="158"/>
      <c r="D13" s="40"/>
      <c r="E13" s="40"/>
      <c r="F13" s="40"/>
      <c r="G13" s="40"/>
      <c r="H13" s="40"/>
      <c r="I13" s="40"/>
      <c r="J13"/>
      <c r="K13"/>
      <c r="L13"/>
      <c r="M13"/>
      <c r="N13"/>
      <c r="O13"/>
      <c r="P13" s="277"/>
    </row>
    <row r="14" spans="1:16" s="1" customFormat="1" ht="14.1" customHeight="1" x14ac:dyDescent="0.25">
      <c r="A14" s="158"/>
      <c r="B14" s="1" t="s">
        <v>63</v>
      </c>
      <c r="D14" s="40">
        <f ca="1">'ADC NONAUTO COST'!$K$77</f>
        <v>18.275515260445101</v>
      </c>
      <c r="E14" s="40">
        <f ca="1">D14*'CRA ADJ UNIT COSTS'!$F$25</f>
        <v>92.909468315924514</v>
      </c>
      <c r="F14" s="40">
        <f>'CRA ADJ UNIT COSTS'!$F$8</f>
        <v>9.3384898344070031</v>
      </c>
      <c r="G14" s="40">
        <f ca="1">E14+F14</f>
        <v>102.24795815033151</v>
      </c>
      <c r="H14" s="40">
        <f>'CRA ADJ UNIT COSTS'!$F$9</f>
        <v>0.13683502776810874</v>
      </c>
      <c r="I14" s="40">
        <f ca="1">G14+H14</f>
        <v>102.38479317809963</v>
      </c>
      <c r="J14"/>
      <c r="K14"/>
      <c r="L14"/>
      <c r="M14"/>
      <c r="N14"/>
      <c r="O14"/>
      <c r="P14" s="277"/>
    </row>
    <row r="15" spans="1:16" s="1" customFormat="1" ht="14.1" customHeight="1" x14ac:dyDescent="0.25">
      <c r="A15" s="158"/>
      <c r="D15" s="40"/>
      <c r="E15" s="40"/>
      <c r="F15" s="40"/>
      <c r="G15" s="40"/>
      <c r="H15" s="40"/>
      <c r="I15" s="40"/>
      <c r="J15"/>
      <c r="K15"/>
      <c r="L15"/>
      <c r="M15"/>
      <c r="N15"/>
      <c r="O15"/>
      <c r="P15" s="277"/>
    </row>
    <row r="16" spans="1:16" s="1" customFormat="1" ht="14.1" customHeight="1" x14ac:dyDescent="0.25">
      <c r="A16" s="158"/>
      <c r="B16" s="1" t="s">
        <v>64</v>
      </c>
      <c r="D16" s="40">
        <f ca="1">'3D NONAUTO COST'!$K$77</f>
        <v>14.858896635792538</v>
      </c>
      <c r="E16" s="40">
        <f ca="1">D16*'CRA ADJ UNIT COSTS'!$F$25</f>
        <v>75.539987054742085</v>
      </c>
      <c r="F16" s="40">
        <f>'CRA ADJ UNIT COSTS'!$F$8</f>
        <v>9.3384898344070031</v>
      </c>
      <c r="G16" s="40">
        <f ca="1">E16+F16</f>
        <v>84.878476889149084</v>
      </c>
      <c r="H16" s="40">
        <f>'CRA ADJ UNIT COSTS'!$F$9</f>
        <v>0.13683502776810874</v>
      </c>
      <c r="I16" s="40">
        <f ca="1">G16+H16</f>
        <v>85.015311916917199</v>
      </c>
      <c r="J16"/>
      <c r="K16"/>
      <c r="L16"/>
      <c r="M16"/>
      <c r="N16"/>
      <c r="O16"/>
      <c r="P16" s="277"/>
    </row>
    <row r="17" spans="1:16" s="1" customFormat="1" ht="14.1" customHeight="1" x14ac:dyDescent="0.25">
      <c r="A17" s="158"/>
      <c r="D17" s="40"/>
      <c r="E17" s="40"/>
      <c r="F17" s="40"/>
      <c r="G17" s="40"/>
      <c r="H17" s="40"/>
      <c r="I17" s="40"/>
      <c r="J17"/>
      <c r="K17"/>
      <c r="L17"/>
      <c r="M17"/>
      <c r="N17"/>
      <c r="O17"/>
      <c r="P17" s="277"/>
    </row>
    <row r="18" spans="1:16" s="1" customFormat="1" ht="14.1" customHeight="1" x14ac:dyDescent="0.25">
      <c r="A18" s="158"/>
      <c r="B18" s="1" t="s">
        <v>65</v>
      </c>
      <c r="D18" s="40">
        <f ca="1">'5D NONAUTO COST'!$K$77</f>
        <v>9.970258742290822</v>
      </c>
      <c r="E18" s="40">
        <f ca="1">D18*'CRA ADJ UNIT COSTS'!$F$25</f>
        <v>50.687021707309043</v>
      </c>
      <c r="F18" s="40">
        <f>'CRA ADJ UNIT COSTS'!$F$8</f>
        <v>9.3384898344070031</v>
      </c>
      <c r="G18" s="40">
        <f ca="1">E18+F18</f>
        <v>60.025511541716043</v>
      </c>
      <c r="H18" s="40">
        <f>'CRA ADJ UNIT COSTS'!$F$9</f>
        <v>0.13683502776810874</v>
      </c>
      <c r="I18" s="40">
        <f ca="1">G18+H18</f>
        <v>60.16234656948415</v>
      </c>
      <c r="J18"/>
      <c r="K18"/>
      <c r="L18"/>
      <c r="M18"/>
      <c r="N18"/>
      <c r="O18"/>
      <c r="P18" s="277"/>
    </row>
    <row r="19" spans="1:16" s="1" customFormat="1" ht="14.1" customHeight="1" x14ac:dyDescent="0.25">
      <c r="A19" s="158"/>
      <c r="D19" s="40"/>
      <c r="E19" s="40"/>
      <c r="F19" s="40"/>
      <c r="G19" s="40"/>
      <c r="H19" s="40"/>
      <c r="I19" s="40"/>
      <c r="J19"/>
      <c r="K19"/>
      <c r="L19"/>
      <c r="M19"/>
      <c r="N19"/>
      <c r="O19"/>
      <c r="P19" s="277"/>
    </row>
    <row r="20" spans="1:16" s="1" customFormat="1" ht="14.1" customHeight="1" x14ac:dyDescent="0.25">
      <c r="A20" s="158"/>
      <c r="B20" s="1" t="str">
        <f>'CRA ADJ UNIT COSTS'!C19</f>
        <v>Mixed ADC Auto Presort</v>
      </c>
      <c r="D20" s="40">
        <f ca="1">'CRA ADJ UNIT COSTS'!D19</f>
        <v>21.187226988158788</v>
      </c>
      <c r="E20" s="40">
        <f ca="1">D20*'CRA ADJ UNIT COSTS'!$F$25</f>
        <v>107.71209273749893</v>
      </c>
      <c r="F20" s="40">
        <f>'CRA ADJ UNIT COSTS'!$F$8</f>
        <v>9.3384898344070031</v>
      </c>
      <c r="G20" s="40">
        <f ca="1">E20+F20</f>
        <v>117.05058257190593</v>
      </c>
      <c r="H20" s="40">
        <f>'CRA ADJ UNIT COSTS'!$F$9</f>
        <v>0.13683502776810874</v>
      </c>
      <c r="I20" s="40">
        <f ca="1">G20+H20</f>
        <v>117.18741759967405</v>
      </c>
      <c r="J20"/>
      <c r="K20"/>
      <c r="L20"/>
      <c r="M20"/>
      <c r="N20"/>
      <c r="O20"/>
      <c r="P20" s="277"/>
    </row>
    <row r="21" spans="1:16" s="1" customFormat="1" ht="14.1" customHeight="1" x14ac:dyDescent="0.25">
      <c r="A21" s="158"/>
      <c r="D21" s="40"/>
      <c r="E21" s="40"/>
      <c r="F21" s="40"/>
      <c r="G21" s="40"/>
      <c r="H21" s="40"/>
      <c r="I21" s="40"/>
      <c r="J21"/>
      <c r="K21"/>
      <c r="L21"/>
      <c r="M21"/>
      <c r="N21"/>
      <c r="O21"/>
      <c r="P21" s="277"/>
    </row>
    <row r="22" spans="1:16" s="1" customFormat="1" ht="14.1" customHeight="1" x14ac:dyDescent="0.25">
      <c r="A22" s="158"/>
      <c r="B22" s="1" t="str">
        <f>'CRA ADJ UNIT COSTS'!C20</f>
        <v>ADC Auto Presort</v>
      </c>
      <c r="D22" s="40">
        <f ca="1">'CRA ADJ UNIT COSTS'!D20</f>
        <v>16.431415362498338</v>
      </c>
      <c r="E22" s="40">
        <f ca="1">D22*'CRA ADJ UNIT COSTS'!$F$25</f>
        <v>83.534392505585288</v>
      </c>
      <c r="F22" s="40">
        <f>'CRA ADJ UNIT COSTS'!$F$8</f>
        <v>9.3384898344070031</v>
      </c>
      <c r="G22" s="40">
        <f ca="1">E22+F22</f>
        <v>92.872882339992287</v>
      </c>
      <c r="H22" s="40">
        <f>'CRA ADJ UNIT COSTS'!$F$9</f>
        <v>0.13683502776810874</v>
      </c>
      <c r="I22" s="40">
        <f ca="1">G22+H22</f>
        <v>93.009717367760402</v>
      </c>
      <c r="J22"/>
      <c r="K22"/>
      <c r="L22"/>
      <c r="M22"/>
      <c r="N22"/>
      <c r="O22"/>
      <c r="P22" s="277"/>
    </row>
    <row r="23" spans="1:16" s="1" customFormat="1" ht="14.1" customHeight="1" x14ac:dyDescent="0.25">
      <c r="A23" s="158"/>
      <c r="D23" s="40"/>
      <c r="E23" s="40"/>
      <c r="F23" s="40"/>
      <c r="G23" s="40"/>
      <c r="H23" s="40"/>
      <c r="I23" s="40"/>
      <c r="J23"/>
      <c r="K23"/>
      <c r="L23"/>
      <c r="M23"/>
      <c r="N23"/>
      <c r="O23"/>
      <c r="P23" s="277"/>
    </row>
    <row r="24" spans="1:16" s="1" customFormat="1" ht="14.1" customHeight="1" x14ac:dyDescent="0.25">
      <c r="B24" s="33" t="str">
        <f>'CRA ADJ UNIT COSTS'!C21</f>
        <v>3-Digit Auto Presort</v>
      </c>
      <c r="D24" s="40">
        <f ca="1">'CRA ADJ UNIT COSTS'!D21</f>
        <v>12.925919162108599</v>
      </c>
      <c r="E24" s="40">
        <f ca="1">D24*'CRA ADJ UNIT COSTS'!$F$25</f>
        <v>65.713073460938446</v>
      </c>
      <c r="F24" s="40">
        <f>'CRA ADJ UNIT COSTS'!$F$8</f>
        <v>9.3384898344070031</v>
      </c>
      <c r="G24" s="40">
        <f ca="1">E24+F24</f>
        <v>75.051563295345446</v>
      </c>
      <c r="H24" s="40">
        <f>'CRA ADJ UNIT COSTS'!$F$9</f>
        <v>0.13683502776810874</v>
      </c>
      <c r="I24" s="40">
        <f ca="1">G24+H24</f>
        <v>75.18839832311356</v>
      </c>
      <c r="J24"/>
      <c r="K24"/>
      <c r="L24"/>
      <c r="M24"/>
      <c r="N24"/>
      <c r="O24"/>
      <c r="P24" s="277"/>
    </row>
    <row r="25" spans="1:16" s="1" customFormat="1" ht="14.1" customHeight="1" x14ac:dyDescent="0.25">
      <c r="B25" s="33" t="s">
        <v>45</v>
      </c>
      <c r="D25" s="40"/>
      <c r="E25" s="40"/>
      <c r="F25" s="40"/>
      <c r="G25" s="40"/>
      <c r="H25" s="40"/>
      <c r="I25" s="40"/>
      <c r="J25"/>
      <c r="K25"/>
      <c r="L25"/>
      <c r="M25"/>
      <c r="N25"/>
      <c r="O25"/>
      <c r="P25" s="277"/>
    </row>
    <row r="26" spans="1:16" s="6" customFormat="1" ht="14.1" customHeight="1" x14ac:dyDescent="0.25">
      <c r="A26" s="146"/>
      <c r="B26" s="33" t="str">
        <f>'CRA ADJ UNIT COSTS'!C22</f>
        <v>5-Digit Auto Presort</v>
      </c>
      <c r="C26" s="146"/>
      <c r="D26" s="40">
        <f ca="1">'CRA ADJ UNIT COSTS'!D22</f>
        <v>8.2198460836608085</v>
      </c>
      <c r="E26" s="40">
        <f ca="1">D26*'CRA ADJ UNIT COSTS'!$F$25</f>
        <v>41.788235154419397</v>
      </c>
      <c r="F26" s="40">
        <f>'CRA ADJ UNIT COSTS'!$F$8</f>
        <v>9.3384898344070031</v>
      </c>
      <c r="G26" s="40">
        <f ca="1">E26+F26</f>
        <v>51.126724988826396</v>
      </c>
      <c r="H26" s="40">
        <f>'CRA ADJ UNIT COSTS'!$F$9</f>
        <v>0.13683502776810874</v>
      </c>
      <c r="I26" s="40">
        <f ca="1">G26+H26</f>
        <v>51.263560016594504</v>
      </c>
      <c r="J26"/>
      <c r="K26"/>
      <c r="L26"/>
      <c r="M26"/>
      <c r="N26"/>
      <c r="O26"/>
      <c r="P26" s="277"/>
    </row>
    <row r="27" spans="1:16" s="6" customFormat="1" ht="14.1" customHeight="1" thickBot="1" x14ac:dyDescent="0.3">
      <c r="A27" s="351"/>
      <c r="B27" s="166"/>
      <c r="C27" s="351"/>
      <c r="D27" s="167"/>
      <c r="E27" s="167"/>
      <c r="F27" s="167"/>
      <c r="G27" s="167"/>
      <c r="H27" s="167"/>
      <c r="I27" s="167"/>
      <c r="J27" s="40"/>
      <c r="K27" s="146"/>
      <c r="L27" s="146"/>
      <c r="M27" s="146"/>
      <c r="N27" s="146"/>
      <c r="O27" s="146"/>
      <c r="P27" s="146"/>
    </row>
    <row r="28" spans="1:16" ht="14.1" customHeight="1" x14ac:dyDescent="0.2"/>
    <row r="29" spans="1:16" ht="14.1" customHeight="1" x14ac:dyDescent="0.25">
      <c r="A29" s="172" t="str">
        <f>"(1)"</f>
        <v>(1)</v>
      </c>
      <c r="B29" s="173" t="s">
        <v>51</v>
      </c>
    </row>
    <row r="30" spans="1:16" ht="14.1" customHeight="1" x14ac:dyDescent="0.25">
      <c r="A30" s="172" t="str">
        <f>"(2)"</f>
        <v>(2)</v>
      </c>
      <c r="B30" s="173" t="s">
        <v>66</v>
      </c>
    </row>
    <row r="31" spans="1:16" ht="14.1" customHeight="1" x14ac:dyDescent="0.25">
      <c r="A31" s="172" t="str">
        <f>"(3)"</f>
        <v>(3)</v>
      </c>
      <c r="B31" s="173" t="s">
        <v>67</v>
      </c>
    </row>
    <row r="32" spans="1:16" ht="14.1" customHeight="1" x14ac:dyDescent="0.25">
      <c r="A32" s="172" t="str">
        <f>"(4)"</f>
        <v>(4)</v>
      </c>
      <c r="B32" s="173" t="s">
        <v>68</v>
      </c>
    </row>
    <row r="33" spans="1:2" ht="14.1" customHeight="1" x14ac:dyDescent="0.25">
      <c r="A33" s="239" t="s">
        <v>11</v>
      </c>
      <c r="B33" s="173" t="s">
        <v>69</v>
      </c>
    </row>
    <row r="34" spans="1:2" ht="14.1" customHeight="1" x14ac:dyDescent="0.25">
      <c r="A34" s="239" t="s">
        <v>12</v>
      </c>
      <c r="B34" s="173" t="s">
        <v>70</v>
      </c>
    </row>
    <row r="35" spans="1:2" ht="14.1" customHeight="1" x14ac:dyDescent="0.25">
      <c r="A35" s="172"/>
      <c r="B35" s="173"/>
    </row>
    <row r="36" spans="1:2" ht="14.1" customHeight="1" x14ac:dyDescent="0.25">
      <c r="A36" s="172"/>
      <c r="B36" s="173"/>
    </row>
    <row r="37" spans="1:2" ht="14.1" customHeight="1" x14ac:dyDescent="0.25">
      <c r="A37" s="172"/>
      <c r="B37" s="173"/>
    </row>
    <row r="38" spans="1:2" ht="14.1" customHeight="1" x14ac:dyDescent="0.25">
      <c r="A38" s="172"/>
      <c r="B38" s="173"/>
    </row>
    <row r="39" spans="1:2" ht="14.1" customHeight="1" x14ac:dyDescent="0.25">
      <c r="A39" s="172"/>
      <c r="B39" s="173"/>
    </row>
    <row r="40" spans="1:2" ht="14.1" customHeight="1" x14ac:dyDescent="0.25">
      <c r="A40" s="172"/>
      <c r="B40" s="173"/>
    </row>
    <row r="41" spans="1:2" ht="14.1" customHeight="1" x14ac:dyDescent="0.25">
      <c r="A41" s="172"/>
      <c r="B41" s="173"/>
    </row>
    <row r="42" spans="1:2" ht="14.1" customHeight="1" x14ac:dyDescent="0.2"/>
    <row r="43" spans="1:2" ht="14.1" customHeight="1" x14ac:dyDescent="0.2"/>
    <row r="44" spans="1:2" ht="14.1" customHeight="1" x14ac:dyDescent="0.2"/>
    <row r="45" spans="1:2" ht="14.1" customHeight="1" x14ac:dyDescent="0.2"/>
    <row r="46" spans="1:2" ht="14.1" customHeight="1" x14ac:dyDescent="0.2"/>
    <row r="47" spans="1:2" ht="14.1" customHeight="1" x14ac:dyDescent="0.2"/>
    <row r="48" spans="1:2" ht="14.1" customHeight="1" x14ac:dyDescent="0.2"/>
    <row r="49" ht="14.1" customHeight="1" x14ac:dyDescent="0.2"/>
    <row r="50" ht="14.1" customHeight="1" x14ac:dyDescent="0.2"/>
    <row r="51" ht="14.1" customHeight="1" x14ac:dyDescent="0.2"/>
    <row r="52" ht="14.1" customHeight="1" x14ac:dyDescent="0.2"/>
    <row r="53" ht="14.1" customHeight="1" x14ac:dyDescent="0.2"/>
    <row r="54" ht="14.1" customHeight="1" x14ac:dyDescent="0.2"/>
    <row r="55" ht="14.1" customHeight="1" x14ac:dyDescent="0.2"/>
    <row r="56" ht="14.1" customHeight="1" x14ac:dyDescent="0.2"/>
    <row r="57" ht="14.1" customHeight="1" x14ac:dyDescent="0.2"/>
    <row r="58" ht="14.1" customHeight="1" x14ac:dyDescent="0.2"/>
    <row r="59" ht="14.1" customHeight="1" x14ac:dyDescent="0.2"/>
    <row r="60" ht="14.1" customHeight="1" x14ac:dyDescent="0.2"/>
    <row r="61" ht="14.1" customHeight="1" x14ac:dyDescent="0.2"/>
    <row r="62" ht="14.1" customHeight="1" x14ac:dyDescent="0.2"/>
    <row r="63" ht="14.1" customHeight="1" x14ac:dyDescent="0.2"/>
    <row r="64" ht="14.1" customHeight="1" x14ac:dyDescent="0.2"/>
    <row r="65" ht="14.1" customHeight="1" x14ac:dyDescent="0.2"/>
    <row r="66" ht="14.1" customHeight="1" x14ac:dyDescent="0.2"/>
    <row r="67" ht="14.1" customHeight="1" x14ac:dyDescent="0.2"/>
    <row r="68" ht="14.1" customHeight="1" x14ac:dyDescent="0.2"/>
    <row r="69" ht="14.1" customHeight="1" x14ac:dyDescent="0.2"/>
    <row r="70" ht="14.1" customHeight="1" x14ac:dyDescent="0.2"/>
    <row r="71" ht="14.1" customHeight="1" x14ac:dyDescent="0.2"/>
    <row r="72" ht="14.1" customHeight="1" x14ac:dyDescent="0.2"/>
    <row r="73" ht="14.1" customHeight="1" x14ac:dyDescent="0.2"/>
    <row r="74" ht="14.1" customHeight="1" x14ac:dyDescent="0.2"/>
    <row r="75" ht="14.1" customHeight="1" x14ac:dyDescent="0.2"/>
    <row r="76" ht="14.1" customHeight="1" x14ac:dyDescent="0.2"/>
    <row r="77" ht="14.1" customHeight="1" x14ac:dyDescent="0.2"/>
    <row r="78" ht="14.1" customHeight="1" x14ac:dyDescent="0.2"/>
    <row r="79" ht="14.1" customHeight="1" x14ac:dyDescent="0.2"/>
    <row r="80" ht="14.1" customHeight="1" x14ac:dyDescent="0.2"/>
    <row r="81" ht="14.1" customHeight="1" x14ac:dyDescent="0.2"/>
    <row r="82" ht="14.1" customHeight="1" x14ac:dyDescent="0.2"/>
    <row r="83" ht="14.1" customHeight="1" x14ac:dyDescent="0.2"/>
    <row r="84" ht="14.1" customHeight="1" x14ac:dyDescent="0.2"/>
    <row r="85" ht="14.1" customHeight="1" x14ac:dyDescent="0.2"/>
    <row r="86" ht="14.1" customHeight="1" x14ac:dyDescent="0.2"/>
    <row r="87" ht="14.1" customHeight="1" x14ac:dyDescent="0.2"/>
    <row r="88" ht="14.1" customHeight="1" x14ac:dyDescent="0.2"/>
    <row r="89" ht="14.1" customHeight="1" x14ac:dyDescent="0.2"/>
    <row r="90" ht="14.1" customHeight="1" x14ac:dyDescent="0.2"/>
    <row r="91" ht="14.1" customHeight="1" x14ac:dyDescent="0.2"/>
    <row r="92" ht="14.1" customHeight="1" x14ac:dyDescent="0.2"/>
    <row r="93" ht="14.1" customHeight="1" x14ac:dyDescent="0.2"/>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6.05" customHeight="1" x14ac:dyDescent="0.2"/>
    <row r="105" ht="16.05" customHeight="1" x14ac:dyDescent="0.2"/>
    <row r="106" ht="16.05" customHeight="1" x14ac:dyDescent="0.2"/>
    <row r="107" ht="16.05" customHeight="1" x14ac:dyDescent="0.2"/>
    <row r="108" ht="16.05" customHeight="1" x14ac:dyDescent="0.2"/>
    <row r="109" ht="16.05" customHeight="1" x14ac:dyDescent="0.2"/>
    <row r="110" ht="16.05" customHeight="1" x14ac:dyDescent="0.2"/>
    <row r="111" ht="16.05" customHeight="1" x14ac:dyDescent="0.2"/>
    <row r="112" ht="16.05" customHeight="1" x14ac:dyDescent="0.2"/>
    <row r="113" ht="16.05" customHeight="1" x14ac:dyDescent="0.2"/>
    <row r="114" ht="16.05" customHeight="1" x14ac:dyDescent="0.2"/>
    <row r="115" ht="16.05" customHeight="1" x14ac:dyDescent="0.2"/>
    <row r="116" ht="16.05" customHeight="1" x14ac:dyDescent="0.2"/>
    <row r="117" ht="16.05" customHeight="1" x14ac:dyDescent="0.2"/>
    <row r="118" ht="16.05" customHeight="1" x14ac:dyDescent="0.2"/>
    <row r="119" ht="16.05" customHeight="1" x14ac:dyDescent="0.2"/>
    <row r="120" ht="16.05" customHeight="1" x14ac:dyDescent="0.2"/>
    <row r="121" ht="16.05" customHeight="1" x14ac:dyDescent="0.2"/>
    <row r="122" ht="16.05" customHeight="1" x14ac:dyDescent="0.2"/>
    <row r="123" ht="16.05" customHeight="1" x14ac:dyDescent="0.2"/>
    <row r="124" ht="16.05" customHeight="1" x14ac:dyDescent="0.2"/>
    <row r="125" ht="16.05" customHeight="1" x14ac:dyDescent="0.2"/>
    <row r="126" ht="16.05" customHeight="1" x14ac:dyDescent="0.2"/>
    <row r="127" ht="16.05" customHeight="1" x14ac:dyDescent="0.2"/>
    <row r="128" ht="16.05" customHeight="1" x14ac:dyDescent="0.2"/>
    <row r="129" ht="16.05" customHeight="1" x14ac:dyDescent="0.2"/>
    <row r="130" ht="16.05" customHeight="1" x14ac:dyDescent="0.2"/>
    <row r="131" ht="16.05" customHeight="1" x14ac:dyDescent="0.2"/>
    <row r="132" ht="16.05" customHeight="1" x14ac:dyDescent="0.2"/>
    <row r="133" ht="16.05" customHeight="1" x14ac:dyDescent="0.2"/>
    <row r="134" ht="16.05" customHeight="1" x14ac:dyDescent="0.2"/>
    <row r="135" ht="16.05" customHeight="1" x14ac:dyDescent="0.2"/>
    <row r="136" ht="16.05" customHeight="1" x14ac:dyDescent="0.2"/>
    <row r="137" ht="16.05" customHeight="1" x14ac:dyDescent="0.2"/>
    <row r="138" ht="16.05" customHeight="1" x14ac:dyDescent="0.2"/>
    <row r="139" ht="16.05" customHeight="1" x14ac:dyDescent="0.2"/>
    <row r="140" ht="16.05" customHeight="1" x14ac:dyDescent="0.2"/>
    <row r="141" ht="16.05" customHeight="1" x14ac:dyDescent="0.2"/>
    <row r="142" ht="16.05" customHeight="1" x14ac:dyDescent="0.2"/>
    <row r="143" ht="16.05" customHeight="1" x14ac:dyDescent="0.2"/>
    <row r="144" ht="16.05" customHeight="1" x14ac:dyDescent="0.2"/>
    <row r="145" ht="16.05" customHeight="1" x14ac:dyDescent="0.2"/>
    <row r="146" ht="16.05" customHeight="1" x14ac:dyDescent="0.2"/>
    <row r="147" ht="16.05" customHeight="1" x14ac:dyDescent="0.2"/>
    <row r="148" ht="16.05" customHeight="1" x14ac:dyDescent="0.2"/>
    <row r="149" ht="16.05" customHeight="1" x14ac:dyDescent="0.2"/>
    <row r="150" ht="16.05" customHeight="1" x14ac:dyDescent="0.2"/>
    <row r="151" ht="16.05" customHeight="1" x14ac:dyDescent="0.2"/>
    <row r="152" ht="16.05" customHeight="1" x14ac:dyDescent="0.2"/>
    <row r="153" ht="16.05" customHeight="1" x14ac:dyDescent="0.2"/>
    <row r="154" ht="16.05" customHeight="1" x14ac:dyDescent="0.2"/>
    <row r="155" ht="16.05" customHeight="1" x14ac:dyDescent="0.2"/>
    <row r="156" ht="16.05" customHeight="1" x14ac:dyDescent="0.2"/>
    <row r="157" ht="16.05" customHeight="1" x14ac:dyDescent="0.2"/>
    <row r="158" ht="16.05" customHeight="1" x14ac:dyDescent="0.2"/>
    <row r="159" ht="16.05" customHeight="1" x14ac:dyDescent="0.2"/>
    <row r="160" ht="16.05" customHeight="1" x14ac:dyDescent="0.2"/>
    <row r="161" ht="16.05" customHeight="1" x14ac:dyDescent="0.2"/>
    <row r="162" ht="16.05" customHeight="1" x14ac:dyDescent="0.2"/>
    <row r="163" ht="16.05" customHeight="1" x14ac:dyDescent="0.2"/>
    <row r="164" ht="16.05" customHeight="1" x14ac:dyDescent="0.2"/>
    <row r="165" ht="16.05" customHeight="1" x14ac:dyDescent="0.2"/>
    <row r="166" ht="16.05" customHeight="1" x14ac:dyDescent="0.2"/>
    <row r="167" ht="16.05" customHeight="1" x14ac:dyDescent="0.2"/>
    <row r="168" ht="16.05" customHeight="1" x14ac:dyDescent="0.2"/>
    <row r="169" ht="16.05" customHeight="1" x14ac:dyDescent="0.2"/>
    <row r="170" ht="16.05" customHeight="1" x14ac:dyDescent="0.2"/>
    <row r="171" ht="16.05" customHeight="1" x14ac:dyDescent="0.2"/>
    <row r="172" ht="16.05" customHeight="1" x14ac:dyDescent="0.2"/>
    <row r="173" ht="16.05" customHeight="1" x14ac:dyDescent="0.2"/>
    <row r="174" ht="16.05" customHeight="1" x14ac:dyDescent="0.2"/>
    <row r="175" ht="16.05" customHeight="1" x14ac:dyDescent="0.2"/>
    <row r="176" ht="16.05" customHeight="1" x14ac:dyDescent="0.2"/>
    <row r="177" ht="16.05" customHeight="1" x14ac:dyDescent="0.2"/>
    <row r="178" ht="16.05" customHeight="1" x14ac:dyDescent="0.2"/>
    <row r="179" ht="16.05" customHeight="1" x14ac:dyDescent="0.2"/>
    <row r="180" ht="16.05" customHeight="1" x14ac:dyDescent="0.2"/>
    <row r="181" ht="16.05" customHeight="1" x14ac:dyDescent="0.2"/>
    <row r="182" ht="16.05" customHeight="1" x14ac:dyDescent="0.2"/>
    <row r="183" ht="16.05" customHeight="1" x14ac:dyDescent="0.2"/>
    <row r="184" ht="16.05" customHeight="1" x14ac:dyDescent="0.2"/>
    <row r="185" ht="16.05" customHeight="1" x14ac:dyDescent="0.2"/>
    <row r="186" ht="16.05" customHeight="1" x14ac:dyDescent="0.2"/>
    <row r="187" ht="16.05" customHeight="1" x14ac:dyDescent="0.2"/>
    <row r="188" ht="16.05" customHeight="1" x14ac:dyDescent="0.2"/>
    <row r="189" ht="16.05" customHeight="1" x14ac:dyDescent="0.2"/>
    <row r="190" ht="16.05" customHeight="1" x14ac:dyDescent="0.2"/>
    <row r="191" ht="16.05" customHeight="1" x14ac:dyDescent="0.2"/>
    <row r="192" ht="16.05" customHeight="1" x14ac:dyDescent="0.2"/>
    <row r="193" ht="16.05" customHeight="1" x14ac:dyDescent="0.2"/>
    <row r="194" ht="16.05" customHeight="1" x14ac:dyDescent="0.2"/>
    <row r="195" ht="16.05" customHeight="1" x14ac:dyDescent="0.2"/>
    <row r="196" ht="16.05" customHeight="1" x14ac:dyDescent="0.2"/>
    <row r="197" ht="16.05" customHeight="1" x14ac:dyDescent="0.2"/>
    <row r="198" ht="16.05" customHeight="1" x14ac:dyDescent="0.2"/>
    <row r="199" ht="16.05" customHeight="1" x14ac:dyDescent="0.2"/>
    <row r="200" ht="16.05" customHeight="1" x14ac:dyDescent="0.2"/>
    <row r="201" ht="16.05" customHeight="1" x14ac:dyDescent="0.2"/>
    <row r="202" ht="16.05" customHeight="1" x14ac:dyDescent="0.2"/>
    <row r="203" ht="16.05" customHeight="1" x14ac:dyDescent="0.2"/>
    <row r="204" ht="16.05" customHeight="1" x14ac:dyDescent="0.2"/>
    <row r="205" ht="16.05" customHeight="1" x14ac:dyDescent="0.2"/>
    <row r="206" ht="16.05" customHeight="1" x14ac:dyDescent="0.2"/>
    <row r="207" ht="16.05" customHeight="1" x14ac:dyDescent="0.2"/>
    <row r="208" ht="16.05" customHeight="1" x14ac:dyDescent="0.2"/>
    <row r="209" ht="16.05" customHeight="1" x14ac:dyDescent="0.2"/>
    <row r="210" ht="16.05" customHeight="1" x14ac:dyDescent="0.2"/>
    <row r="211" ht="16.05" customHeight="1" x14ac:dyDescent="0.2"/>
    <row r="212" ht="16.05" customHeight="1" x14ac:dyDescent="0.2"/>
    <row r="213" ht="16.05" customHeight="1" x14ac:dyDescent="0.2"/>
    <row r="214" ht="16.05" customHeight="1" x14ac:dyDescent="0.2"/>
    <row r="215" ht="16.05" customHeight="1" x14ac:dyDescent="0.2"/>
  </sheetData>
  <phoneticPr fontId="29" type="noConversion"/>
  <printOptions horizontalCentered="1"/>
  <pageMargins left="0.75" right="0.75" top="1" bottom="1" header="0.5" footer="0.5"/>
  <pageSetup scale="77" orientation="portrait" r:id="rId1"/>
  <headerFooter alignWithMargins="0">
    <oddFooter>&amp;CTab '&amp;A'&amp;RPage 2</oddFooter>
  </headerFooter>
  <ignoredErrors>
    <ignoredError sqref="H7:I7" numberStoredAsText="1"/>
    <ignoredError sqref="H12:H26" formula="1"/>
  </ignoredErrors>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BC8A-2E18-46BC-BDC1-979DBB63B65B}">
  <sheetPr>
    <pageSetUpPr fitToPage="1"/>
  </sheetPr>
  <dimension ref="A1:Q29"/>
  <sheetViews>
    <sheetView zoomScaleNormal="100" workbookViewId="0"/>
  </sheetViews>
  <sheetFormatPr defaultColWidth="9.21875" defaultRowHeight="15" x14ac:dyDescent="0.25"/>
  <cols>
    <col min="1" max="1" width="5.77734375" style="376" customWidth="1"/>
    <col min="2" max="2" width="25.77734375" style="376" customWidth="1"/>
    <col min="3" max="3" width="34.5546875" style="376" bestFit="1" customWidth="1"/>
    <col min="4" max="7" width="12.77734375" style="377" customWidth="1"/>
    <col min="8" max="8" width="14.77734375" style="390" customWidth="1"/>
    <col min="9" max="9" width="12.77734375" style="377" customWidth="1"/>
    <col min="10" max="14" width="12.77734375" style="379" customWidth="1"/>
    <col min="15" max="15" width="12.77734375" style="391" customWidth="1"/>
    <col min="16" max="16" width="12.77734375" style="392" customWidth="1"/>
    <col min="17" max="17" width="18.77734375" style="378" customWidth="1"/>
    <col min="18" max="30" width="9.77734375" style="376" customWidth="1"/>
    <col min="31" max="16384" width="9.21875" style="376"/>
  </cols>
  <sheetData>
    <row r="1" spans="1:17" ht="22.8" x14ac:dyDescent="0.4">
      <c r="A1" s="125" t="s">
        <v>575</v>
      </c>
      <c r="H1" s="378"/>
      <c r="I1" s="379"/>
      <c r="O1" s="378"/>
      <c r="P1" s="376"/>
      <c r="Q1" s="376"/>
    </row>
    <row r="2" spans="1:17" ht="15.6" x14ac:dyDescent="0.3">
      <c r="A2" s="51"/>
      <c r="H2" s="378"/>
      <c r="I2" s="379"/>
      <c r="O2" s="378"/>
      <c r="P2" s="376"/>
      <c r="Q2" s="376"/>
    </row>
    <row r="3" spans="1:17" s="142" customFormat="1" ht="15.6" x14ac:dyDescent="0.3">
      <c r="A3" s="51"/>
      <c r="D3" s="380"/>
      <c r="E3" s="380"/>
      <c r="F3" s="380"/>
      <c r="G3" s="380"/>
      <c r="H3" s="381"/>
      <c r="I3" s="382"/>
      <c r="J3" s="382"/>
      <c r="K3" s="382"/>
      <c r="L3" s="382"/>
      <c r="M3" s="382"/>
      <c r="N3" s="382"/>
      <c r="O3" s="381"/>
    </row>
    <row r="4" spans="1:17" s="142" customFormat="1" ht="15.6" x14ac:dyDescent="0.3">
      <c r="A4" s="51"/>
      <c r="D4" s="383" t="s">
        <v>576</v>
      </c>
      <c r="E4" s="383" t="s">
        <v>577</v>
      </c>
      <c r="F4" s="384" t="s">
        <v>578</v>
      </c>
      <c r="G4" s="383" t="s">
        <v>579</v>
      </c>
      <c r="H4" s="384" t="s">
        <v>580</v>
      </c>
      <c r="I4" s="383" t="s">
        <v>581</v>
      </c>
      <c r="J4" s="383" t="s">
        <v>582</v>
      </c>
      <c r="K4" s="383" t="s">
        <v>583</v>
      </c>
      <c r="L4" s="383" t="s">
        <v>584</v>
      </c>
      <c r="M4" s="383" t="s">
        <v>585</v>
      </c>
      <c r="N4" s="383" t="s">
        <v>586</v>
      </c>
      <c r="O4" s="384"/>
    </row>
    <row r="5" spans="1:17" s="142" customFormat="1" ht="15.6" x14ac:dyDescent="0.3">
      <c r="A5" s="51"/>
      <c r="D5" s="380"/>
      <c r="E5" s="380"/>
      <c r="F5" s="380"/>
      <c r="G5" s="383" t="s">
        <v>410</v>
      </c>
      <c r="H5" s="381"/>
      <c r="I5" s="382"/>
      <c r="J5" s="382"/>
      <c r="K5" s="382"/>
      <c r="L5" s="382"/>
      <c r="M5" s="382"/>
      <c r="N5" s="383"/>
      <c r="O5" s="384"/>
    </row>
    <row r="6" spans="1:17" ht="15.6" x14ac:dyDescent="0.3">
      <c r="D6" s="385" t="s">
        <v>501</v>
      </c>
      <c r="E6" s="385" t="s">
        <v>587</v>
      </c>
      <c r="F6" s="385" t="s">
        <v>17</v>
      </c>
      <c r="G6" s="383" t="s">
        <v>587</v>
      </c>
      <c r="H6" s="378"/>
      <c r="I6" s="383" t="s">
        <v>183</v>
      </c>
      <c r="K6" s="383" t="s">
        <v>184</v>
      </c>
      <c r="L6" s="383" t="s">
        <v>184</v>
      </c>
      <c r="M6" s="383" t="s">
        <v>8</v>
      </c>
      <c r="N6" s="383" t="s">
        <v>8</v>
      </c>
      <c r="O6" s="384"/>
      <c r="P6" s="376"/>
      <c r="Q6" s="376"/>
    </row>
    <row r="7" spans="1:17" ht="15.6" x14ac:dyDescent="0.3">
      <c r="D7" s="383" t="s">
        <v>588</v>
      </c>
      <c r="E7" s="383" t="s">
        <v>588</v>
      </c>
      <c r="F7" s="383" t="s">
        <v>408</v>
      </c>
      <c r="G7" s="383" t="s">
        <v>588</v>
      </c>
      <c r="H7" s="384" t="s">
        <v>187</v>
      </c>
      <c r="I7" s="383" t="s">
        <v>188</v>
      </c>
      <c r="J7" s="383" t="s">
        <v>189</v>
      </c>
      <c r="K7" s="383" t="s">
        <v>190</v>
      </c>
      <c r="L7" s="383" t="s">
        <v>190</v>
      </c>
      <c r="M7" s="383" t="s">
        <v>188</v>
      </c>
      <c r="N7" s="383" t="s">
        <v>188</v>
      </c>
      <c r="O7" s="384"/>
      <c r="P7" s="376"/>
      <c r="Q7" s="376"/>
    </row>
    <row r="8" spans="1:17" ht="15.6" x14ac:dyDescent="0.3">
      <c r="A8" s="386" t="s">
        <v>191</v>
      </c>
      <c r="C8" s="387" t="s">
        <v>589</v>
      </c>
      <c r="D8" s="388" t="s">
        <v>590</v>
      </c>
      <c r="E8" s="388" t="s">
        <v>591</v>
      </c>
      <c r="F8" s="388" t="s">
        <v>195</v>
      </c>
      <c r="G8" s="388" t="s">
        <v>591</v>
      </c>
      <c r="H8" s="389" t="s">
        <v>193</v>
      </c>
      <c r="I8" s="388" t="s">
        <v>592</v>
      </c>
      <c r="J8" s="388" t="s">
        <v>195</v>
      </c>
      <c r="K8" s="388" t="s">
        <v>195</v>
      </c>
      <c r="L8" s="388" t="s">
        <v>196</v>
      </c>
      <c r="M8" s="388" t="s">
        <v>592</v>
      </c>
      <c r="N8" s="388" t="s">
        <v>194</v>
      </c>
      <c r="O8" s="389"/>
      <c r="P8" s="376"/>
      <c r="Q8" s="376"/>
    </row>
    <row r="9" spans="1:17" ht="15.6" x14ac:dyDescent="0.3">
      <c r="A9" s="386"/>
      <c r="D9" s="388"/>
      <c r="E9" s="388"/>
      <c r="F9" s="388"/>
      <c r="G9" s="388"/>
      <c r="H9" s="389"/>
      <c r="I9" s="388"/>
      <c r="J9" s="388"/>
      <c r="K9" s="388"/>
      <c r="L9" s="388"/>
      <c r="M9" s="388"/>
      <c r="O9" s="378"/>
      <c r="P9" s="376"/>
      <c r="Q9" s="376"/>
    </row>
    <row r="10" spans="1:17" x14ac:dyDescent="0.25">
      <c r="A10" s="142" t="s">
        <v>593</v>
      </c>
      <c r="C10" s="376" t="s">
        <v>594</v>
      </c>
      <c r="D10" s="409">
        <f>SUM('[1]FCM PCS PER TRAY'!$B$18:$B$20)/SUM('[1]FCM PCS PER TRAY'!$C$18:$C$20)</f>
        <v>509.10861289035887</v>
      </c>
      <c r="E10" s="382">
        <f>PRODUCTIVITIES!$C$7</f>
        <v>85.837148173784783</v>
      </c>
      <c r="F10" s="382">
        <f>PRODUCTIVITIES!$B$7</f>
        <v>0.94969999999999999</v>
      </c>
      <c r="G10" s="382">
        <f>E10/F10</f>
        <v>90.383434951863521</v>
      </c>
      <c r="H10" s="381">
        <f>'WAGE RATES'!$D$6</f>
        <v>50.10717457546064</v>
      </c>
      <c r="I10" s="382">
        <f>H10*100/G10</f>
        <v>55.43844909429118</v>
      </c>
      <c r="J10" s="382">
        <f>PIGGYBACKS!$B$14</f>
        <v>1.5358044573278811</v>
      </c>
      <c r="K10" s="410">
        <f>'WAGE RATES'!C8</f>
        <v>1.0126974442214889</v>
      </c>
      <c r="L10" s="382">
        <f>I10*(K10-1)</f>
        <v>0.70392661510061327</v>
      </c>
      <c r="M10" s="382">
        <f>I10*J10+L10</f>
        <v>85.846543841457844</v>
      </c>
      <c r="N10" s="379">
        <f>M10/D10</f>
        <v>0.16862127582969347</v>
      </c>
      <c r="O10" s="378"/>
      <c r="P10" s="376"/>
      <c r="Q10" s="376"/>
    </row>
    <row r="11" spans="1:17" x14ac:dyDescent="0.25">
      <c r="A11" s="142" t="s">
        <v>593</v>
      </c>
      <c r="C11" s="376" t="s">
        <v>595</v>
      </c>
      <c r="D11" s="409">
        <f>SUM('[1]FCM PCS PER TRAY'!$B$10:$B$12)/SUM('[1]FCM PCS PER TRAY'!$C$10:$C$12)</f>
        <v>247.34550393096612</v>
      </c>
      <c r="E11" s="382">
        <f>PRODUCTIVITIES!$C$7</f>
        <v>85.837148173784783</v>
      </c>
      <c r="F11" s="382">
        <f>PRODUCTIVITIES!$B$7</f>
        <v>0.94969999999999999</v>
      </c>
      <c r="G11" s="382">
        <f t="shared" ref="G11:G12" si="0">E11/F11</f>
        <v>90.383434951863521</v>
      </c>
      <c r="H11" s="381">
        <f>'WAGE RATES'!$D$6</f>
        <v>50.10717457546064</v>
      </c>
      <c r="I11" s="382">
        <f>H11*100/G11</f>
        <v>55.43844909429118</v>
      </c>
      <c r="J11" s="382">
        <f>PIGGYBACKS!$B$14</f>
        <v>1.5358044573278811</v>
      </c>
      <c r="K11" s="410">
        <f>'WAGE RATES'!C9</f>
        <v>1.0210631968009072</v>
      </c>
      <c r="L11" s="382">
        <f>I11*(K11-1)</f>
        <v>1.1677109636101295</v>
      </c>
      <c r="M11" s="382">
        <f>I11*J11+L11</f>
        <v>86.310328189967365</v>
      </c>
      <c r="N11" s="379">
        <f>M11/D11</f>
        <v>0.34894642036451362</v>
      </c>
      <c r="O11" s="378"/>
      <c r="P11" s="376"/>
      <c r="Q11" s="376"/>
    </row>
    <row r="12" spans="1:17" x14ac:dyDescent="0.25">
      <c r="A12" s="142" t="s">
        <v>596</v>
      </c>
      <c r="C12" s="376" t="s">
        <v>597</v>
      </c>
      <c r="D12" s="409">
        <f>SUM('[1]FCM PCS PER TRAY'!$C$30:$C$38)/SUM('[1]FCM PCS PER TRAY'!$D$30:$D$38)</f>
        <v>51.222967677360742</v>
      </c>
      <c r="E12" s="382">
        <f>PRODUCTIVITIES!$C$7</f>
        <v>85.837148173784783</v>
      </c>
      <c r="F12" s="382">
        <f>PRODUCTIVITIES!$B$7</f>
        <v>0.94969999999999999</v>
      </c>
      <c r="G12" s="382">
        <f t="shared" si="0"/>
        <v>90.383434951863521</v>
      </c>
      <c r="H12" s="381">
        <f>'WAGE RATES'!$D$6</f>
        <v>50.10717457546064</v>
      </c>
      <c r="I12" s="382">
        <f>H12*100/G12</f>
        <v>55.43844909429118</v>
      </c>
      <c r="J12" s="382">
        <f>PIGGYBACKS!$B$14</f>
        <v>1.5358044573278811</v>
      </c>
      <c r="K12" s="410">
        <f>'WAGE RATES'!C10</f>
        <v>1.0289187345367075</v>
      </c>
      <c r="L12" s="382">
        <f>I12*(K12-1)</f>
        <v>1.6032097924845765</v>
      </c>
      <c r="M12" s="382">
        <f>I12*J12+L12</f>
        <v>86.745827018841808</v>
      </c>
      <c r="N12" s="379">
        <f>M12/D12</f>
        <v>1.6934947534713276</v>
      </c>
      <c r="O12" s="378"/>
      <c r="P12" s="376"/>
      <c r="Q12" s="376"/>
    </row>
    <row r="13" spans="1:17" x14ac:dyDescent="0.25">
      <c r="A13" s="142"/>
      <c r="D13" s="382"/>
      <c r="E13" s="382"/>
      <c r="F13" s="382"/>
      <c r="G13" s="382"/>
      <c r="H13" s="381"/>
      <c r="I13" s="382"/>
      <c r="J13" s="382"/>
      <c r="K13" s="382"/>
      <c r="L13" s="382"/>
      <c r="M13" s="382"/>
      <c r="O13" s="378"/>
      <c r="P13" s="376"/>
      <c r="Q13" s="376"/>
    </row>
    <row r="14" spans="1:17" ht="15.6" x14ac:dyDescent="0.3">
      <c r="A14" s="51"/>
      <c r="D14" s="388"/>
      <c r="E14" s="388"/>
      <c r="F14" s="388"/>
      <c r="G14" s="382"/>
      <c r="H14" s="381"/>
      <c r="I14" s="382"/>
      <c r="J14" s="382"/>
      <c r="K14" s="382"/>
      <c r="L14" s="382"/>
      <c r="M14" s="382"/>
      <c r="N14" s="382"/>
      <c r="O14" s="384"/>
      <c r="P14" s="376"/>
      <c r="Q14" s="376"/>
    </row>
    <row r="15" spans="1:17" ht="15.6" x14ac:dyDescent="0.3">
      <c r="A15" s="387" t="s">
        <v>598</v>
      </c>
    </row>
    <row r="16" spans="1:17" ht="15.6" x14ac:dyDescent="0.3">
      <c r="A16" s="393" t="s">
        <v>576</v>
      </c>
      <c r="B16" s="51" t="s">
        <v>599</v>
      </c>
      <c r="C16" s="51"/>
      <c r="K16" s="394"/>
      <c r="L16" s="395"/>
      <c r="M16" s="396"/>
    </row>
    <row r="17" spans="1:13" ht="15.6" x14ac:dyDescent="0.3">
      <c r="A17" s="393" t="s">
        <v>577</v>
      </c>
      <c r="B17" s="51" t="s">
        <v>615</v>
      </c>
      <c r="C17" s="51"/>
      <c r="K17" s="394"/>
      <c r="L17" s="395"/>
      <c r="M17" s="396"/>
    </row>
    <row r="18" spans="1:13" ht="15.6" x14ac:dyDescent="0.3">
      <c r="A18" s="393" t="s">
        <v>578</v>
      </c>
      <c r="B18" s="51" t="s">
        <v>601</v>
      </c>
      <c r="C18" s="51"/>
      <c r="K18" s="394"/>
      <c r="L18" s="395"/>
      <c r="M18" s="396"/>
    </row>
    <row r="19" spans="1:13" ht="15.6" x14ac:dyDescent="0.3">
      <c r="A19" s="393" t="s">
        <v>579</v>
      </c>
      <c r="B19" s="51" t="s">
        <v>602</v>
      </c>
      <c r="C19" s="51"/>
      <c r="K19" s="394"/>
      <c r="L19" s="396"/>
      <c r="M19" s="396"/>
    </row>
    <row r="20" spans="1:13" ht="15.6" x14ac:dyDescent="0.3">
      <c r="A20" s="393" t="s">
        <v>580</v>
      </c>
      <c r="B20" s="175" t="s">
        <v>601</v>
      </c>
      <c r="C20" s="175"/>
      <c r="K20" s="394"/>
      <c r="L20" s="396"/>
      <c r="M20" s="396"/>
    </row>
    <row r="21" spans="1:13" ht="15.6" x14ac:dyDescent="0.3">
      <c r="A21" s="393" t="s">
        <v>581</v>
      </c>
      <c r="B21" s="51" t="s">
        <v>603</v>
      </c>
      <c r="C21" s="51"/>
      <c r="K21" s="394"/>
      <c r="L21" s="396"/>
      <c r="M21" s="396"/>
    </row>
    <row r="22" spans="1:13" ht="15.6" x14ac:dyDescent="0.3">
      <c r="A22" s="393" t="s">
        <v>582</v>
      </c>
      <c r="B22" s="175" t="s">
        <v>571</v>
      </c>
      <c r="C22" s="175"/>
      <c r="K22" s="394"/>
      <c r="L22" s="396"/>
      <c r="M22" s="396"/>
    </row>
    <row r="23" spans="1:13" ht="15.6" x14ac:dyDescent="0.3">
      <c r="A23" s="394" t="s">
        <v>583</v>
      </c>
      <c r="B23" s="175" t="s">
        <v>601</v>
      </c>
      <c r="C23" s="175"/>
    </row>
    <row r="24" spans="1:13" ht="15.6" x14ac:dyDescent="0.3">
      <c r="A24" s="397" t="s">
        <v>584</v>
      </c>
      <c r="B24" s="398" t="s">
        <v>604</v>
      </c>
      <c r="C24" s="398"/>
      <c r="D24" s="394"/>
      <c r="E24" s="394"/>
      <c r="F24" s="394"/>
      <c r="G24" s="396"/>
    </row>
    <row r="25" spans="1:13" ht="15.6" x14ac:dyDescent="0.3">
      <c r="A25" s="397" t="s">
        <v>585</v>
      </c>
      <c r="B25" s="398" t="s">
        <v>605</v>
      </c>
      <c r="C25" s="398"/>
    </row>
    <row r="26" spans="1:13" ht="15.6" x14ac:dyDescent="0.3">
      <c r="A26" s="397" t="s">
        <v>586</v>
      </c>
      <c r="B26" s="398" t="s">
        <v>606</v>
      </c>
      <c r="C26" s="398"/>
    </row>
    <row r="27" spans="1:13" ht="15.6" x14ac:dyDescent="0.3">
      <c r="A27" s="397"/>
      <c r="B27" s="398"/>
      <c r="C27" s="398"/>
    </row>
    <row r="28" spans="1:13" ht="15.6" x14ac:dyDescent="0.3">
      <c r="A28" s="397"/>
      <c r="B28" s="398"/>
      <c r="C28" s="398"/>
    </row>
    <row r="29" spans="1:13" ht="15.6" x14ac:dyDescent="0.3">
      <c r="A29" s="397"/>
      <c r="B29" s="398"/>
      <c r="C29" s="398"/>
    </row>
  </sheetData>
  <printOptions horizontalCentered="1"/>
  <pageMargins left="0.7" right="0.7" top="0.75" bottom="0.75" header="0.3" footer="0.3"/>
  <pageSetup scale="63" orientation="portrait" r:id="rId1"/>
  <headerFooter>
    <oddHeader>&amp;RPage 33</oddHeader>
  </headerFooter>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BR100"/>
  <sheetViews>
    <sheetView zoomScale="145" zoomScaleNormal="145" workbookViewId="0"/>
  </sheetViews>
  <sheetFormatPr defaultRowHeight="13.2" x14ac:dyDescent="0.25"/>
  <cols>
    <col min="1" max="1" width="6.77734375" style="145" customWidth="1"/>
    <col min="2" max="2" width="12.77734375" style="146" customWidth="1"/>
    <col min="3" max="3" width="13.77734375" style="146" customWidth="1"/>
    <col min="4" max="4" width="4.5546875" style="132" customWidth="1"/>
    <col min="5" max="5" width="10.21875" style="41" customWidth="1"/>
    <col min="6" max="6" width="3.44140625" style="41" customWidth="1"/>
    <col min="7" max="7" width="8.44140625" style="132" customWidth="1"/>
    <col min="8" max="8" width="9.21875" style="132" customWidth="1"/>
    <col min="9" max="9" width="8.44140625" customWidth="1"/>
    <col min="10" max="10" width="5.21875" customWidth="1"/>
    <col min="11" max="11" width="14.21875" customWidth="1"/>
    <col min="12" max="12" width="11.77734375" bestFit="1" customWidth="1"/>
    <col min="13" max="13" width="6.21875" customWidth="1"/>
    <col min="14" max="14" width="2.21875" customWidth="1"/>
    <col min="15" max="15" width="11.5546875" customWidth="1"/>
    <col min="16" max="16" width="11.44140625" bestFit="1" customWidth="1"/>
    <col min="17" max="17" width="11.44140625" customWidth="1"/>
    <col min="18" max="18" width="10.44140625" customWidth="1"/>
    <col min="20" max="20" width="13.21875" bestFit="1" customWidth="1"/>
  </cols>
  <sheetData>
    <row r="1" spans="1:70" s="144" customFormat="1" ht="15.6" x14ac:dyDescent="0.3">
      <c r="A1" s="52" t="s">
        <v>71</v>
      </c>
      <c r="B1" s="51"/>
      <c r="C1" s="51"/>
      <c r="D1" s="143"/>
      <c r="E1" s="149"/>
      <c r="F1" s="149"/>
      <c r="G1" s="143"/>
      <c r="H1" s="143"/>
    </row>
    <row r="2" spans="1:70" s="144" customFormat="1" ht="13.8" x14ac:dyDescent="0.25">
      <c r="A2" s="33" t="s">
        <v>566</v>
      </c>
      <c r="B2" s="1"/>
      <c r="C2" s="1"/>
      <c r="D2" s="143"/>
      <c r="E2" s="149"/>
      <c r="F2" s="149"/>
      <c r="G2" s="143"/>
      <c r="H2" s="143"/>
    </row>
    <row r="3" spans="1:70" s="144" customFormat="1" ht="13.8" x14ac:dyDescent="0.25">
      <c r="B3" s="1"/>
      <c r="C3" s="1"/>
      <c r="D3" s="143"/>
      <c r="E3" s="149"/>
      <c r="F3" s="149"/>
    </row>
    <row r="4" spans="1:70" s="144" customFormat="1" ht="15.6" x14ac:dyDescent="0.3">
      <c r="A4" s="52"/>
      <c r="B4" s="51"/>
      <c r="C4" s="51"/>
      <c r="D4" s="143"/>
      <c r="E4" s="149"/>
      <c r="F4" s="149"/>
      <c r="G4" s="143"/>
      <c r="H4" s="143"/>
      <c r="K4" s="408"/>
    </row>
    <row r="5" spans="1:70" x14ac:dyDescent="0.25">
      <c r="D5" s="133"/>
      <c r="E5" s="40" t="s">
        <v>8</v>
      </c>
      <c r="F5" s="40"/>
      <c r="G5" s="33"/>
      <c r="H5" s="133"/>
    </row>
    <row r="6" spans="1:70" x14ac:dyDescent="0.25">
      <c r="A6" s="31" t="s">
        <v>72</v>
      </c>
      <c r="B6" s="1"/>
      <c r="C6" s="1"/>
      <c r="D6" s="133"/>
      <c r="E6" s="40" t="s">
        <v>73</v>
      </c>
      <c r="F6" s="40"/>
      <c r="G6" s="133"/>
      <c r="H6" s="133"/>
      <c r="K6" s="207"/>
      <c r="L6" s="207"/>
      <c r="M6" s="207"/>
      <c r="N6" s="207"/>
      <c r="O6" s="207"/>
      <c r="P6" s="207"/>
      <c r="Q6" s="207"/>
      <c r="R6" s="207"/>
      <c r="S6" s="207"/>
      <c r="T6" s="207"/>
      <c r="U6" s="207"/>
      <c r="V6" s="207"/>
      <c r="W6" s="207"/>
      <c r="X6" s="207"/>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7"/>
      <c r="BQ6" s="207"/>
      <c r="BR6" s="207"/>
    </row>
    <row r="7" spans="1:70" ht="13.8" x14ac:dyDescent="0.25">
      <c r="A7" s="31" t="s">
        <v>74</v>
      </c>
      <c r="B7" s="1"/>
      <c r="C7" s="1" t="s">
        <v>75</v>
      </c>
      <c r="D7" s="31"/>
      <c r="E7" s="40" t="s">
        <v>76</v>
      </c>
      <c r="F7" s="40"/>
      <c r="G7" s="205" t="s">
        <v>77</v>
      </c>
      <c r="H7" s="205"/>
      <c r="I7" s="206"/>
      <c r="J7" s="32"/>
      <c r="O7" s="207"/>
      <c r="P7" s="207"/>
    </row>
    <row r="8" spans="1:70" ht="40.200000000000003" thickBot="1" x14ac:dyDescent="0.3">
      <c r="A8" s="36" t="s">
        <v>78</v>
      </c>
      <c r="B8" s="35" t="s">
        <v>79</v>
      </c>
      <c r="C8" s="35" t="s">
        <v>80</v>
      </c>
      <c r="D8" s="135"/>
      <c r="E8" s="42" t="s">
        <v>81</v>
      </c>
      <c r="F8" s="42"/>
      <c r="G8" s="203" t="s">
        <v>82</v>
      </c>
      <c r="H8" s="204" t="s">
        <v>83</v>
      </c>
      <c r="I8" s="204" t="s">
        <v>84</v>
      </c>
      <c r="K8" s="31" t="s">
        <v>85</v>
      </c>
      <c r="L8" s="31" t="s">
        <v>86</v>
      </c>
      <c r="P8" s="207"/>
    </row>
    <row r="9" spans="1:70" ht="13.8" thickTop="1" x14ac:dyDescent="0.25">
      <c r="E9" s="304" t="s">
        <v>3</v>
      </c>
      <c r="J9">
        <v>1</v>
      </c>
      <c r="K9" s="198" t="s">
        <v>87</v>
      </c>
      <c r="L9" t="s">
        <v>40</v>
      </c>
      <c r="P9" s="207"/>
    </row>
    <row r="10" spans="1:70" x14ac:dyDescent="0.25">
      <c r="B10"/>
      <c r="C10"/>
      <c r="E10" s="305"/>
      <c r="F10" s="241"/>
      <c r="G10" s="41"/>
      <c r="H10" s="41"/>
      <c r="I10" s="41"/>
      <c r="J10">
        <v>2</v>
      </c>
      <c r="K10" s="199" t="s">
        <v>88</v>
      </c>
      <c r="L10" t="s">
        <v>89</v>
      </c>
      <c r="P10" s="207"/>
    </row>
    <row r="11" spans="1:70" x14ac:dyDescent="0.25">
      <c r="A11" s="145">
        <v>1</v>
      </c>
      <c r="B11" t="s">
        <v>90</v>
      </c>
      <c r="C11" s="197" t="s">
        <v>91</v>
      </c>
      <c r="D11" s="17">
        <f>IF($M$12=1,4,3)</f>
        <v>4</v>
      </c>
      <c r="E11" s="301">
        <f>'[2]FLAT Unit Costs W Final Adj'!$E$6</f>
        <v>1.1272591951197184</v>
      </c>
      <c r="F11" s="241"/>
      <c r="G11" s="41">
        <f>IF($M$12=1,$E11*G$83,0)</f>
        <v>0.97839274564769318</v>
      </c>
      <c r="H11" s="41">
        <f>IF($M$12=1,$E11*H$83,0)</f>
        <v>0.14671663983029343</v>
      </c>
      <c r="I11" s="41">
        <f>IF($M$12=1,$E11*I$83,E11)</f>
        <v>2.1498096417317176E-3</v>
      </c>
      <c r="J11">
        <v>3</v>
      </c>
      <c r="K11" s="200" t="s">
        <v>92</v>
      </c>
      <c r="L11" t="s">
        <v>93</v>
      </c>
      <c r="Q11" s="146"/>
      <c r="R11" s="146"/>
      <c r="V11" s="301"/>
      <c r="W11" s="301"/>
      <c r="X11" s="207"/>
      <c r="Y11" s="301"/>
    </row>
    <row r="12" spans="1:70" hidden="1" x14ac:dyDescent="0.25">
      <c r="B12"/>
      <c r="C12"/>
      <c r="D12" s="17"/>
      <c r="E12" s="301"/>
      <c r="F12" s="241"/>
      <c r="G12" s="41"/>
      <c r="H12" s="41"/>
      <c r="I12" s="41"/>
      <c r="J12">
        <v>4</v>
      </c>
      <c r="K12" s="197" t="s">
        <v>94</v>
      </c>
      <c r="L12" t="str">
        <f>IF(M12=1,"Piggybacked","Non WS")</f>
        <v>Piggybacked</v>
      </c>
      <c r="M12" s="146">
        <v>1</v>
      </c>
      <c r="Q12" s="146"/>
      <c r="R12" s="146"/>
      <c r="V12" s="301"/>
      <c r="W12" s="301"/>
      <c r="X12" s="207"/>
      <c r="Y12" s="301"/>
    </row>
    <row r="13" spans="1:70" x14ac:dyDescent="0.25">
      <c r="A13" s="145">
        <v>3</v>
      </c>
      <c r="B13" t="s">
        <v>95</v>
      </c>
      <c r="C13" s="198" t="s">
        <v>96</v>
      </c>
      <c r="D13" s="17">
        <v>1</v>
      </c>
      <c r="E13" s="301">
        <f>'[2]FLAT Unit Costs W Final Adj'!$E$7</f>
        <v>30.215422253823792</v>
      </c>
      <c r="F13" s="241"/>
      <c r="G13" s="41">
        <f>E13</f>
        <v>30.215422253823792</v>
      </c>
      <c r="H13" s="41"/>
      <c r="J13">
        <v>5</v>
      </c>
      <c r="K13" s="201" t="s">
        <v>97</v>
      </c>
      <c r="L13" t="s">
        <v>98</v>
      </c>
      <c r="Q13" s="146"/>
      <c r="R13" s="146"/>
      <c r="V13" s="301"/>
      <c r="W13" s="301"/>
      <c r="X13" s="207"/>
      <c r="Y13" s="301"/>
    </row>
    <row r="14" spans="1:70" x14ac:dyDescent="0.25">
      <c r="A14" s="145">
        <v>4</v>
      </c>
      <c r="B14" t="s">
        <v>95</v>
      </c>
      <c r="C14" s="198" t="s">
        <v>99</v>
      </c>
      <c r="D14" s="17">
        <v>1</v>
      </c>
      <c r="E14" s="301">
        <v>0</v>
      </c>
      <c r="F14" s="241"/>
      <c r="G14" s="41">
        <f>E14</f>
        <v>0</v>
      </c>
      <c r="H14" s="41"/>
      <c r="Q14" s="146"/>
      <c r="R14" s="146"/>
      <c r="V14" s="301"/>
      <c r="W14" s="301"/>
      <c r="X14" s="207"/>
      <c r="Y14" s="301"/>
    </row>
    <row r="15" spans="1:70" hidden="1" x14ac:dyDescent="0.25">
      <c r="B15"/>
      <c r="C15"/>
      <c r="D15" s="17"/>
      <c r="E15" s="301"/>
      <c r="F15" s="241"/>
      <c r="G15" s="41"/>
      <c r="H15" s="41"/>
      <c r="Q15" s="146"/>
      <c r="R15" s="146"/>
      <c r="V15" s="301"/>
      <c r="W15" s="301"/>
      <c r="X15" s="207"/>
      <c r="Y15" s="301"/>
    </row>
    <row r="16" spans="1:70" hidden="1" x14ac:dyDescent="0.25">
      <c r="B16"/>
      <c r="C16"/>
      <c r="D16" s="17"/>
      <c r="E16" s="301"/>
      <c r="F16" s="241"/>
      <c r="G16" s="41"/>
      <c r="H16" s="41"/>
      <c r="I16" s="41"/>
      <c r="Q16" s="146"/>
      <c r="R16" s="146"/>
      <c r="V16" s="301"/>
      <c r="W16" s="301"/>
      <c r="X16" s="207"/>
      <c r="Y16" s="301"/>
    </row>
    <row r="17" spans="1:25" x14ac:dyDescent="0.25">
      <c r="A17" s="145">
        <v>7</v>
      </c>
      <c r="B17" t="s">
        <v>100</v>
      </c>
      <c r="C17" s="198" t="s">
        <v>101</v>
      </c>
      <c r="D17" s="17">
        <v>1</v>
      </c>
      <c r="E17" s="301">
        <f>'[2]FLAT Unit Costs W Final Adj'!E9</f>
        <v>0.20623590041702197</v>
      </c>
      <c r="F17" s="241"/>
      <c r="G17" s="41">
        <f>E17</f>
        <v>0.20623590041702197</v>
      </c>
      <c r="H17" s="41"/>
      <c r="K17" t="s">
        <v>102</v>
      </c>
      <c r="Q17" s="146"/>
      <c r="R17" s="146"/>
      <c r="V17" s="301"/>
      <c r="W17" s="301"/>
      <c r="X17" s="207"/>
      <c r="Y17" s="301"/>
    </row>
    <row r="18" spans="1:25" x14ac:dyDescent="0.25">
      <c r="A18" s="145">
        <v>8</v>
      </c>
      <c r="B18" t="s">
        <v>100</v>
      </c>
      <c r="C18" s="198" t="s">
        <v>103</v>
      </c>
      <c r="D18" s="17">
        <v>1</v>
      </c>
      <c r="E18" s="301">
        <f>'[2]FLAT Unit Costs W Final Adj'!E10</f>
        <v>1.2154888531421673</v>
      </c>
      <c r="F18" s="241"/>
      <c r="G18" s="41">
        <f>E18</f>
        <v>1.2154888531421673</v>
      </c>
      <c r="H18" s="41"/>
      <c r="K18" t="s">
        <v>104</v>
      </c>
      <c r="Q18" s="146"/>
      <c r="R18" s="146"/>
      <c r="V18" s="301"/>
      <c r="W18" s="301"/>
      <c r="X18" s="207"/>
      <c r="Y18" s="301"/>
    </row>
    <row r="19" spans="1:25" x14ac:dyDescent="0.25">
      <c r="A19" s="145">
        <v>9</v>
      </c>
      <c r="B19" t="s">
        <v>105</v>
      </c>
      <c r="C19" s="201" t="s">
        <v>106</v>
      </c>
      <c r="D19" s="17">
        <v>5</v>
      </c>
      <c r="E19" s="301">
        <f>'[2]FLAT Unit Costs W Final Adj'!E11</f>
        <v>0.70835711759759634</v>
      </c>
      <c r="F19" s="241"/>
      <c r="G19" s="41">
        <f t="shared" ref="G19:I20" si="0">$E19*G$83</f>
        <v>0.6148110995109638</v>
      </c>
      <c r="H19" s="41">
        <f t="shared" si="0"/>
        <v>9.219510166227024E-2</v>
      </c>
      <c r="I19" s="41">
        <f t="shared" si="0"/>
        <v>1.3509164243622526E-3</v>
      </c>
      <c r="K19" t="s">
        <v>107</v>
      </c>
      <c r="Q19" s="146"/>
      <c r="R19" s="146"/>
      <c r="V19" s="301"/>
      <c r="W19" s="301"/>
      <c r="X19" s="207"/>
      <c r="Y19" s="301"/>
    </row>
    <row r="20" spans="1:25" x14ac:dyDescent="0.25">
      <c r="A20" s="145">
        <v>10</v>
      </c>
      <c r="B20" t="s">
        <v>105</v>
      </c>
      <c r="C20" s="201" t="s">
        <v>108</v>
      </c>
      <c r="D20" s="17">
        <v>5</v>
      </c>
      <c r="E20" s="301">
        <f>'[2]FLAT Unit Costs W Final Adj'!E12</f>
        <v>2.3674792773599553</v>
      </c>
      <c r="F20" s="241"/>
      <c r="G20" s="41">
        <f t="shared" si="0"/>
        <v>2.0548287035212187</v>
      </c>
      <c r="H20" s="41">
        <f t="shared" si="0"/>
        <v>0.30813552548153261</v>
      </c>
      <c r="I20" s="41">
        <f t="shared" si="0"/>
        <v>4.5150483572040743E-3</v>
      </c>
      <c r="Q20" s="146"/>
      <c r="R20" s="146"/>
      <c r="V20" s="301"/>
      <c r="W20" s="301"/>
      <c r="X20" s="207"/>
      <c r="Y20" s="301"/>
    </row>
    <row r="21" spans="1:25" x14ac:dyDescent="0.25">
      <c r="A21" s="145">
        <v>11</v>
      </c>
      <c r="B21" t="s">
        <v>109</v>
      </c>
      <c r="C21" s="198" t="s">
        <v>110</v>
      </c>
      <c r="D21" s="17">
        <v>1</v>
      </c>
      <c r="E21" s="301">
        <f>'[2]FLAT Unit Costs W Final Adj'!E13</f>
        <v>3.2575517471284487</v>
      </c>
      <c r="F21" s="241"/>
      <c r="G21" s="41">
        <f>E21</f>
        <v>3.2575517471284487</v>
      </c>
      <c r="H21" s="41"/>
      <c r="Q21" s="146"/>
      <c r="R21" s="146"/>
      <c r="V21" s="301"/>
      <c r="W21" s="301"/>
      <c r="X21" s="207"/>
      <c r="Y21" s="301"/>
    </row>
    <row r="22" spans="1:25" x14ac:dyDescent="0.25">
      <c r="A22" s="145">
        <v>12</v>
      </c>
      <c r="B22" t="s">
        <v>109</v>
      </c>
      <c r="C22" s="197" t="s">
        <v>111</v>
      </c>
      <c r="D22" s="17">
        <f>IF($M$12=1,4,3)</f>
        <v>4</v>
      </c>
      <c r="E22" s="301">
        <f>'[2]FLAT Unit Costs W Final Adj'!E14</f>
        <v>0.4184634720832115</v>
      </c>
      <c r="F22" s="241"/>
      <c r="G22" s="41">
        <f t="shared" ref="G22:H25" si="1">IF($M$12=1,$E22*G$83,0)</f>
        <v>0.36320096316559947</v>
      </c>
      <c r="H22" s="41">
        <f t="shared" si="1"/>
        <v>5.4464452169978701E-2</v>
      </c>
      <c r="I22" s="41">
        <f>IF($M$12=1,$E22*I$83,E22)</f>
        <v>7.9805674763334044E-4</v>
      </c>
      <c r="Q22" s="146"/>
      <c r="R22" s="146"/>
      <c r="V22" s="301"/>
      <c r="W22" s="301"/>
      <c r="X22" s="207"/>
      <c r="Y22" s="301"/>
    </row>
    <row r="23" spans="1:25" x14ac:dyDescent="0.25">
      <c r="A23" s="145">
        <v>13</v>
      </c>
      <c r="B23" t="s">
        <v>109</v>
      </c>
      <c r="C23" s="197" t="s">
        <v>112</v>
      </c>
      <c r="D23" s="17">
        <f>IF($M$12=1,4,3)</f>
        <v>4</v>
      </c>
      <c r="E23" s="301">
        <f>'[2]FLAT Unit Costs W Final Adj'!E15</f>
        <v>1.4324583769826512E-3</v>
      </c>
      <c r="F23" s="241"/>
      <c r="G23" s="41">
        <f t="shared" si="1"/>
        <v>1.2432871610625897E-3</v>
      </c>
      <c r="H23" s="41">
        <f t="shared" si="1"/>
        <v>1.8643935722815737E-4</v>
      </c>
      <c r="I23" s="41">
        <f>IF($M$12=1,$E23*I$83,E23)</f>
        <v>2.7318586919041431E-6</v>
      </c>
      <c r="Q23" s="146"/>
      <c r="R23" s="146"/>
      <c r="V23" s="301"/>
      <c r="W23" s="301"/>
      <c r="X23" s="207"/>
      <c r="Y23" s="301"/>
    </row>
    <row r="24" spans="1:25" x14ac:dyDescent="0.25">
      <c r="A24" s="145">
        <v>14</v>
      </c>
      <c r="B24" t="s">
        <v>109</v>
      </c>
      <c r="C24" s="197" t="s">
        <v>113</v>
      </c>
      <c r="D24" s="17">
        <f>IF($M$12=1,4,3)</f>
        <v>4</v>
      </c>
      <c r="E24" s="301">
        <f>'[2]FLAT Unit Costs W Final Adj'!E16</f>
        <v>0.33800046213188134</v>
      </c>
      <c r="F24" s="241"/>
      <c r="G24" s="41">
        <f t="shared" si="1"/>
        <v>0.29336394114778497</v>
      </c>
      <c r="H24" s="41">
        <f t="shared" si="1"/>
        <v>4.3991916215692817E-2</v>
      </c>
      <c r="I24" s="41">
        <f>IF($M$12=1,$E24*I$83,E24)</f>
        <v>6.4460476840352929E-4</v>
      </c>
      <c r="Q24" s="146"/>
      <c r="R24" s="146"/>
      <c r="V24" s="301"/>
      <c r="W24" s="301"/>
      <c r="X24" s="207"/>
      <c r="Y24" s="301"/>
    </row>
    <row r="25" spans="1:25" x14ac:dyDescent="0.25">
      <c r="A25" s="145">
        <v>15</v>
      </c>
      <c r="B25" t="s">
        <v>114</v>
      </c>
      <c r="C25" s="197" t="s">
        <v>115</v>
      </c>
      <c r="D25" s="17">
        <f>IF($M$12=1,4,3)</f>
        <v>4</v>
      </c>
      <c r="E25" s="301">
        <f>'[2]FLAT Unit Costs W Final Adj'!E17</f>
        <v>0.10180842934530844</v>
      </c>
      <c r="F25" s="241"/>
      <c r="G25" s="41">
        <f t="shared" si="1"/>
        <v>8.8363553962100758E-2</v>
      </c>
      <c r="H25" s="41">
        <f t="shared" si="1"/>
        <v>1.3250715296544679E-2</v>
      </c>
      <c r="I25" s="41">
        <f>IF($M$12=1,$E25*I$83,E25)</f>
        <v>1.9416008666299847E-4</v>
      </c>
      <c r="Q25" s="146"/>
      <c r="R25" s="146"/>
      <c r="V25" s="301"/>
      <c r="W25" s="301"/>
      <c r="X25" s="207"/>
      <c r="Y25" s="301"/>
    </row>
    <row r="26" spans="1:25" x14ac:dyDescent="0.25">
      <c r="A26" s="145">
        <v>16</v>
      </c>
      <c r="B26" t="s">
        <v>116</v>
      </c>
      <c r="C26" s="199" t="s">
        <v>117</v>
      </c>
      <c r="D26" s="17">
        <v>2</v>
      </c>
      <c r="E26" s="301">
        <f>'[2]FLAT Unit Costs W Final Adj'!E18</f>
        <v>1.7467164366732553</v>
      </c>
      <c r="F26" s="241"/>
      <c r="G26" s="41"/>
      <c r="H26" s="41">
        <f>E26</f>
        <v>1.7467164366732553</v>
      </c>
      <c r="Q26" s="146"/>
      <c r="R26" s="146"/>
      <c r="V26" s="301"/>
      <c r="W26" s="301"/>
      <c r="X26" s="207"/>
      <c r="Y26" s="301"/>
    </row>
    <row r="27" spans="1:25" x14ac:dyDescent="0.25">
      <c r="A27" s="145">
        <v>17</v>
      </c>
      <c r="B27" t="s">
        <v>116</v>
      </c>
      <c r="C27" s="199" t="s">
        <v>118</v>
      </c>
      <c r="D27" s="17">
        <v>2</v>
      </c>
      <c r="E27" s="301">
        <f>'[2]FLAT Unit Costs W Final Adj'!E19</f>
        <v>0.26912676400414642</v>
      </c>
      <c r="F27" s="241"/>
      <c r="G27" s="41"/>
      <c r="H27" s="41">
        <f>E27</f>
        <v>0.26912676400414642</v>
      </c>
      <c r="Q27" s="146"/>
      <c r="R27" s="146"/>
      <c r="V27" s="301"/>
      <c r="W27" s="301"/>
      <c r="X27" s="207"/>
      <c r="Y27" s="301"/>
    </row>
    <row r="28" spans="1:25" hidden="1" x14ac:dyDescent="0.25">
      <c r="B28"/>
      <c r="C28"/>
      <c r="D28" s="17"/>
      <c r="E28" s="301"/>
      <c r="F28" s="241"/>
      <c r="G28" s="41"/>
      <c r="H28" s="41"/>
      <c r="I28" s="41"/>
      <c r="Q28" s="146"/>
      <c r="R28" s="146"/>
      <c r="V28" s="301"/>
      <c r="W28" s="301"/>
      <c r="X28" s="207"/>
      <c r="Y28" s="301"/>
    </row>
    <row r="29" spans="1:25" x14ac:dyDescent="0.25">
      <c r="A29" s="145">
        <v>19</v>
      </c>
      <c r="B29" t="s">
        <v>116</v>
      </c>
      <c r="C29" s="199" t="s">
        <v>119</v>
      </c>
      <c r="D29" s="17">
        <v>2</v>
      </c>
      <c r="E29" s="301">
        <f>'[2]FLAT Unit Costs W Final Adj'!E20</f>
        <v>0</v>
      </c>
      <c r="F29" s="241"/>
      <c r="G29" s="41"/>
      <c r="H29" s="41">
        <f>E29</f>
        <v>0</v>
      </c>
      <c r="Q29" s="146"/>
      <c r="R29" s="146"/>
      <c r="V29" s="301"/>
      <c r="W29" s="301"/>
      <c r="X29" s="207"/>
      <c r="Y29" s="301"/>
    </row>
    <row r="30" spans="1:25" x14ac:dyDescent="0.25">
      <c r="A30" s="145">
        <v>20</v>
      </c>
      <c r="B30" t="s">
        <v>116</v>
      </c>
      <c r="C30" s="199" t="s">
        <v>120</v>
      </c>
      <c r="D30" s="17">
        <v>2</v>
      </c>
      <c r="E30" s="301">
        <f>'[2]FLAT Unit Costs W Final Adj'!E21</f>
        <v>0.12579918753689256</v>
      </c>
      <c r="F30" s="241"/>
      <c r="G30" s="41"/>
      <c r="H30" s="41">
        <f>E30</f>
        <v>0.12579918753689256</v>
      </c>
      <c r="Q30" s="146"/>
      <c r="R30" s="146"/>
      <c r="V30" s="301"/>
      <c r="W30" s="301"/>
      <c r="X30" s="207"/>
      <c r="Y30" s="301"/>
    </row>
    <row r="31" spans="1:25" x14ac:dyDescent="0.25">
      <c r="A31" s="145">
        <v>21</v>
      </c>
      <c r="B31" t="s">
        <v>116</v>
      </c>
      <c r="C31" s="199" t="s">
        <v>121</v>
      </c>
      <c r="D31" s="17">
        <v>2</v>
      </c>
      <c r="E31" s="301">
        <f>'[2]FLAT Unit Costs W Final Adj'!E22</f>
        <v>1.7180085014214235</v>
      </c>
      <c r="F31" s="241"/>
      <c r="G31" s="41"/>
      <c r="H31" s="41">
        <f>E31</f>
        <v>1.7180085014214235</v>
      </c>
      <c r="Q31" s="146"/>
      <c r="R31" s="146"/>
      <c r="V31" s="301"/>
      <c r="W31" s="301"/>
      <c r="X31" s="207"/>
      <c r="Y31" s="301"/>
    </row>
    <row r="32" spans="1:25" x14ac:dyDescent="0.25">
      <c r="A32" s="145">
        <v>22</v>
      </c>
      <c r="B32" t="s">
        <v>116</v>
      </c>
      <c r="C32" s="201" t="s">
        <v>122</v>
      </c>
      <c r="D32" s="17">
        <v>5</v>
      </c>
      <c r="E32" s="301">
        <f>'[2]FLAT Unit Costs W Final Adj'!E23</f>
        <v>6.528266573299317E-2</v>
      </c>
      <c r="F32" s="241"/>
      <c r="G32" s="41">
        <f t="shared" ref="G32:I33" si="2">$E32*G$83</f>
        <v>5.6661402139124135E-2</v>
      </c>
      <c r="H32" s="41">
        <f t="shared" si="2"/>
        <v>8.4967622326573965E-3</v>
      </c>
      <c r="I32" s="41">
        <f t="shared" si="2"/>
        <v>1.2450136121163548E-4</v>
      </c>
      <c r="Q32" s="146"/>
      <c r="R32" s="146"/>
      <c r="V32" s="301"/>
      <c r="W32" s="301"/>
      <c r="X32" s="207"/>
      <c r="Y32" s="301"/>
    </row>
    <row r="33" spans="1:25" x14ac:dyDescent="0.25">
      <c r="A33" s="145">
        <v>23</v>
      </c>
      <c r="B33" t="s">
        <v>116</v>
      </c>
      <c r="C33" s="201" t="s">
        <v>123</v>
      </c>
      <c r="D33" s="17">
        <v>5</v>
      </c>
      <c r="E33" s="301">
        <f>'[2]FLAT Unit Costs W Final Adj'!E24</f>
        <v>9.6866677664143381</v>
      </c>
      <c r="F33" s="241"/>
      <c r="G33" s="41">
        <f t="shared" si="2"/>
        <v>8.4074412638990328</v>
      </c>
      <c r="H33" s="41">
        <f t="shared" si="2"/>
        <v>1.2607529412876424</v>
      </c>
      <c r="I33" s="41">
        <f t="shared" si="2"/>
        <v>1.8473561227662253E-2</v>
      </c>
      <c r="Q33" s="146"/>
      <c r="R33" s="146"/>
      <c r="V33" s="301"/>
      <c r="W33" s="301"/>
      <c r="X33" s="207"/>
      <c r="Y33" s="301"/>
    </row>
    <row r="34" spans="1:25" x14ac:dyDescent="0.25">
      <c r="A34" s="145">
        <v>24</v>
      </c>
      <c r="B34" t="s">
        <v>116</v>
      </c>
      <c r="C34" s="199" t="s">
        <v>124</v>
      </c>
      <c r="D34" s="17">
        <v>2</v>
      </c>
      <c r="E34" s="301">
        <f>'[2]FLAT Unit Costs W Final Adj'!E25</f>
        <v>8.3184342622548743E-2</v>
      </c>
      <c r="F34" s="241"/>
      <c r="G34" s="41"/>
      <c r="H34" s="41">
        <f>E34</f>
        <v>8.3184342622548743E-2</v>
      </c>
      <c r="Q34" s="146"/>
      <c r="R34" s="146"/>
      <c r="V34" s="301"/>
      <c r="W34" s="301"/>
      <c r="X34" s="207"/>
      <c r="Y34" s="301"/>
    </row>
    <row r="35" spans="1:25" x14ac:dyDescent="0.25">
      <c r="A35" s="145">
        <v>25</v>
      </c>
      <c r="B35" t="s">
        <v>116</v>
      </c>
      <c r="C35" s="201" t="s">
        <v>125</v>
      </c>
      <c r="D35" s="17">
        <v>5</v>
      </c>
      <c r="E35" s="301">
        <f>'[2]FLAT Unit Costs W Final Adj'!E26</f>
        <v>6.3063594684715979E-2</v>
      </c>
      <c r="F35" s="241"/>
      <c r="G35" s="41">
        <f t="shared" ref="G35:I36" si="3">$E35*G$83</f>
        <v>5.4735382794938926E-2</v>
      </c>
      <c r="H35" s="41">
        <f t="shared" si="3"/>
        <v>8.2079425457943951E-3</v>
      </c>
      <c r="I35" s="41">
        <f t="shared" si="3"/>
        <v>1.2026934398265438E-4</v>
      </c>
      <c r="Q35" s="146"/>
      <c r="R35" s="146"/>
      <c r="V35" s="301"/>
      <c r="W35" s="301"/>
      <c r="X35" s="207"/>
      <c r="Y35" s="301"/>
    </row>
    <row r="36" spans="1:25" x14ac:dyDescent="0.25">
      <c r="A36" s="145">
        <v>26</v>
      </c>
      <c r="B36" t="s">
        <v>116</v>
      </c>
      <c r="C36" s="201" t="s">
        <v>126</v>
      </c>
      <c r="D36" s="17">
        <v>5</v>
      </c>
      <c r="E36" s="301">
        <f>'[2]FLAT Unit Costs W Final Adj'!E27</f>
        <v>3.7936789512418891E-2</v>
      </c>
      <c r="F36" s="241"/>
      <c r="G36" s="41">
        <f t="shared" si="3"/>
        <v>3.2926836891467699E-2</v>
      </c>
      <c r="H36" s="41">
        <f t="shared" si="3"/>
        <v>4.9376029109437372E-3</v>
      </c>
      <c r="I36" s="41">
        <f t="shared" si="3"/>
        <v>7.2349710007451522E-5</v>
      </c>
      <c r="Q36" s="146"/>
      <c r="R36" s="146"/>
      <c r="V36" s="301"/>
      <c r="W36" s="301"/>
      <c r="X36" s="207"/>
      <c r="Y36" s="301"/>
    </row>
    <row r="37" spans="1:25" x14ac:dyDescent="0.25">
      <c r="A37" s="145">
        <v>27</v>
      </c>
      <c r="B37" t="s">
        <v>116</v>
      </c>
      <c r="C37" s="199" t="s">
        <v>127</v>
      </c>
      <c r="D37" s="17">
        <v>2</v>
      </c>
      <c r="E37" s="301">
        <f>'[2]FLAT Unit Costs W Final Adj'!E28</f>
        <v>0.35322377773372193</v>
      </c>
      <c r="F37" s="241"/>
      <c r="G37" s="41"/>
      <c r="H37" s="41">
        <f>E37</f>
        <v>0.35322377773372193</v>
      </c>
      <c r="Q37" s="146"/>
      <c r="R37" s="146"/>
      <c r="V37" s="301"/>
      <c r="W37" s="301"/>
      <c r="X37" s="207"/>
      <c r="Y37" s="301"/>
    </row>
    <row r="38" spans="1:25" x14ac:dyDescent="0.25">
      <c r="A38" s="145">
        <v>28</v>
      </c>
      <c r="B38" t="s">
        <v>128</v>
      </c>
      <c r="C38" s="200" t="s">
        <v>129</v>
      </c>
      <c r="D38" s="17">
        <v>3</v>
      </c>
      <c r="E38" s="301">
        <f>'[2]FLAT Unit Costs W Final Adj'!E29</f>
        <v>6.3474976045066578E-2</v>
      </c>
      <c r="F38" s="241"/>
      <c r="G38" s="41"/>
      <c r="I38" s="41">
        <f>E38</f>
        <v>6.3474976045066578E-2</v>
      </c>
      <c r="Q38" s="146"/>
      <c r="R38" s="146"/>
      <c r="V38" s="301"/>
      <c r="W38" s="301"/>
      <c r="X38" s="207"/>
      <c r="Y38" s="301"/>
    </row>
    <row r="39" spans="1:25" x14ac:dyDescent="0.25">
      <c r="A39" s="145">
        <v>29</v>
      </c>
      <c r="B39" t="s">
        <v>128</v>
      </c>
      <c r="C39" s="197" t="s">
        <v>130</v>
      </c>
      <c r="D39" s="17">
        <f>IF($M$12=1,4,3)</f>
        <v>4</v>
      </c>
      <c r="E39" s="301">
        <f>'[2]FLAT Unit Costs W Final Adj'!E30</f>
        <v>0.25146951814129404</v>
      </c>
      <c r="F39" s="241"/>
      <c r="G39" s="41">
        <f>IF($M$12=1,$E39*G$83,0)</f>
        <v>0.21826031969056886</v>
      </c>
      <c r="H39" s="41">
        <f>IF($M$12=1,$E39*H$83,0)</f>
        <v>3.272961789193065E-2</v>
      </c>
      <c r="I39" s="41">
        <f>IF($M$12=1,$E39*I$83,E39)</f>
        <v>4.7958055879452678E-4</v>
      </c>
      <c r="Q39" s="146"/>
      <c r="R39" s="146"/>
      <c r="V39" s="301"/>
      <c r="W39" s="301"/>
      <c r="X39" s="207"/>
      <c r="Y39" s="301"/>
    </row>
    <row r="40" spans="1:25" hidden="1" x14ac:dyDescent="0.25">
      <c r="B40"/>
      <c r="C40"/>
      <c r="D40" s="17"/>
      <c r="E40" s="301"/>
      <c r="F40" s="241"/>
      <c r="G40" s="41"/>
      <c r="I40" s="41"/>
      <c r="V40" s="301"/>
      <c r="W40" s="301"/>
      <c r="X40" s="207"/>
      <c r="Y40" s="301"/>
    </row>
    <row r="41" spans="1:25" x14ac:dyDescent="0.25">
      <c r="A41" s="145">
        <v>31</v>
      </c>
      <c r="B41" t="s">
        <v>128</v>
      </c>
      <c r="C41" s="200" t="s">
        <v>131</v>
      </c>
      <c r="D41" s="17">
        <v>3</v>
      </c>
      <c r="E41" s="301">
        <f>'[2]FLAT Unit Costs W Final Adj'!E31</f>
        <v>2.6764577428580419E-2</v>
      </c>
      <c r="F41" s="241"/>
      <c r="G41" s="41"/>
      <c r="I41" s="41">
        <f>E41</f>
        <v>2.6764577428580419E-2</v>
      </c>
      <c r="Q41" s="146"/>
      <c r="R41" s="146"/>
      <c r="V41" s="301"/>
      <c r="W41" s="301"/>
      <c r="X41" s="207"/>
      <c r="Y41" s="301"/>
    </row>
    <row r="42" spans="1:25" x14ac:dyDescent="0.25">
      <c r="A42" s="145">
        <v>32</v>
      </c>
      <c r="B42" t="s">
        <v>128</v>
      </c>
      <c r="C42" s="199" t="s">
        <v>132</v>
      </c>
      <c r="D42" s="17">
        <v>2</v>
      </c>
      <c r="E42" s="301">
        <f>'[2]FLAT Unit Costs W Final Adj'!E32</f>
        <v>4.5210846496155463E-2</v>
      </c>
      <c r="F42" s="241"/>
      <c r="G42" s="41"/>
      <c r="H42" s="41">
        <f>E42</f>
        <v>4.5210846496155463E-2</v>
      </c>
      <c r="Q42" s="146"/>
      <c r="R42" s="146"/>
      <c r="V42" s="301"/>
      <c r="W42" s="301"/>
      <c r="X42" s="207"/>
      <c r="Y42" s="301"/>
    </row>
    <row r="43" spans="1:25" x14ac:dyDescent="0.25">
      <c r="A43" s="145">
        <v>33</v>
      </c>
      <c r="B43" t="s">
        <v>128</v>
      </c>
      <c r="C43" s="201" t="s">
        <v>133</v>
      </c>
      <c r="D43" s="17">
        <v>5</v>
      </c>
      <c r="E43" s="301">
        <f>'[2]FLAT Unit Costs W Final Adj'!E33</f>
        <v>0.34043531431429142</v>
      </c>
      <c r="F43" s="241"/>
      <c r="G43" s="41">
        <f t="shared" ref="G43:I45" si="4">$E43*G$83</f>
        <v>0.29547724545464538</v>
      </c>
      <c r="H43" s="41">
        <f t="shared" si="4"/>
        <v>4.430882055520341E-2</v>
      </c>
      <c r="I43" s="41">
        <f t="shared" si="4"/>
        <v>6.4924830444262167E-4</v>
      </c>
      <c r="Q43" s="146"/>
      <c r="R43" s="146"/>
      <c r="V43" s="301"/>
      <c r="W43" s="301"/>
      <c r="X43" s="207"/>
      <c r="Y43" s="301"/>
    </row>
    <row r="44" spans="1:25" x14ac:dyDescent="0.25">
      <c r="A44" s="145">
        <v>34</v>
      </c>
      <c r="B44" t="s">
        <v>128</v>
      </c>
      <c r="C44" s="201" t="s">
        <v>134</v>
      </c>
      <c r="D44" s="17">
        <v>5</v>
      </c>
      <c r="E44" s="301">
        <f>'[2]FLAT Unit Costs W Final Adj'!E34</f>
        <v>0.13666159971911046</v>
      </c>
      <c r="F44" s="241"/>
      <c r="G44" s="41">
        <f t="shared" si="4"/>
        <v>0.11861399610014822</v>
      </c>
      <c r="H44" s="41">
        <f t="shared" si="4"/>
        <v>1.7786974629637891E-2</v>
      </c>
      <c r="I44" s="41">
        <f t="shared" si="4"/>
        <v>2.6062898932434272E-4</v>
      </c>
      <c r="Q44" s="146"/>
      <c r="R44" s="146"/>
      <c r="V44" s="301"/>
      <c r="W44" s="301"/>
      <c r="X44" s="207"/>
      <c r="Y44" s="301"/>
    </row>
    <row r="45" spans="1:25" x14ac:dyDescent="0.25">
      <c r="A45" s="145">
        <v>35</v>
      </c>
      <c r="B45" t="s">
        <v>128</v>
      </c>
      <c r="C45" s="201" t="s">
        <v>135</v>
      </c>
      <c r="D45" s="17">
        <v>5</v>
      </c>
      <c r="E45" s="301">
        <f>'[2]FLAT Unit Costs W Final Adj'!E35</f>
        <v>0.15321664192083029</v>
      </c>
      <c r="F45" s="241"/>
      <c r="G45" s="41">
        <f t="shared" si="4"/>
        <v>0.13298277061463235</v>
      </c>
      <c r="H45" s="41">
        <f t="shared" si="4"/>
        <v>1.9941669995708584E-2</v>
      </c>
      <c r="I45" s="41">
        <f t="shared" si="4"/>
        <v>2.9220131048935484E-4</v>
      </c>
      <c r="Q45" s="146"/>
      <c r="R45" s="146"/>
      <c r="V45" s="301"/>
      <c r="W45" s="301"/>
      <c r="X45" s="207"/>
      <c r="Y45" s="301"/>
    </row>
    <row r="46" spans="1:25" x14ac:dyDescent="0.25">
      <c r="A46" s="145">
        <v>36</v>
      </c>
      <c r="B46" t="s">
        <v>136</v>
      </c>
      <c r="C46" s="197" t="s">
        <v>137</v>
      </c>
      <c r="D46" s="17">
        <f>IF($M$12=1,4,3)</f>
        <v>4</v>
      </c>
      <c r="E46" s="301">
        <f>'[2]FLAT Unit Costs W Final Adj'!E36</f>
        <v>0</v>
      </c>
      <c r="F46" s="241"/>
      <c r="G46" s="41">
        <f>IF($M$12=1,$E46*G$83,0)</f>
        <v>0</v>
      </c>
      <c r="H46" s="41">
        <f>IF($M$12=1,$E46*H$83,0)</f>
        <v>0</v>
      </c>
      <c r="I46" s="41">
        <f>IF($M$12=1,$E46*I$83,E46)</f>
        <v>0</v>
      </c>
      <c r="Q46" s="146"/>
      <c r="R46" s="146"/>
      <c r="V46" s="301"/>
      <c r="W46" s="301"/>
      <c r="X46" s="207"/>
      <c r="Y46" s="301"/>
    </row>
    <row r="47" spans="1:25" hidden="1" x14ac:dyDescent="0.25">
      <c r="B47"/>
      <c r="C47"/>
      <c r="D47" s="17"/>
      <c r="E47" s="301"/>
      <c r="F47" s="241"/>
      <c r="G47" s="41"/>
      <c r="H47" s="41"/>
      <c r="I47" s="41"/>
      <c r="V47" s="301"/>
      <c r="W47" s="301"/>
      <c r="X47" s="207"/>
      <c r="Y47" s="301"/>
    </row>
    <row r="48" spans="1:25" hidden="1" x14ac:dyDescent="0.25">
      <c r="B48"/>
      <c r="C48"/>
      <c r="D48" s="17"/>
      <c r="E48" s="301"/>
      <c r="F48" s="241"/>
      <c r="G48" s="41"/>
      <c r="H48" s="41"/>
      <c r="I48" s="41"/>
      <c r="Q48" s="146"/>
      <c r="R48" s="146"/>
      <c r="V48" s="301"/>
      <c r="W48" s="301"/>
      <c r="X48" s="207"/>
      <c r="Y48" s="301"/>
    </row>
    <row r="49" spans="1:25" hidden="1" x14ac:dyDescent="0.25">
      <c r="B49"/>
      <c r="C49"/>
      <c r="D49" s="17"/>
      <c r="E49" s="301"/>
      <c r="F49" s="241"/>
      <c r="G49" s="41"/>
      <c r="H49" s="41"/>
      <c r="Q49" s="146"/>
      <c r="R49" s="146"/>
      <c r="V49" s="301"/>
      <c r="W49" s="301"/>
      <c r="X49" s="207"/>
      <c r="Y49" s="301"/>
    </row>
    <row r="50" spans="1:25" hidden="1" x14ac:dyDescent="0.25">
      <c r="B50"/>
      <c r="C50"/>
      <c r="D50" s="17"/>
      <c r="E50" s="301"/>
      <c r="F50" s="241"/>
      <c r="G50" s="41"/>
      <c r="H50" s="41"/>
      <c r="Q50" s="146"/>
      <c r="R50" s="146"/>
      <c r="V50" s="301"/>
      <c r="W50" s="301"/>
      <c r="X50" s="207"/>
      <c r="Y50" s="301"/>
    </row>
    <row r="51" spans="1:25" hidden="1" x14ac:dyDescent="0.25">
      <c r="B51"/>
      <c r="C51"/>
      <c r="D51" s="17"/>
      <c r="E51" s="301"/>
      <c r="F51" s="241"/>
      <c r="G51"/>
      <c r="H51" s="41"/>
      <c r="Q51" s="146"/>
      <c r="R51" s="146"/>
      <c r="V51" s="301"/>
      <c r="W51" s="301"/>
      <c r="X51" s="207"/>
      <c r="Y51" s="301"/>
    </row>
    <row r="52" spans="1:25" hidden="1" x14ac:dyDescent="0.25">
      <c r="B52"/>
      <c r="C52"/>
      <c r="D52" s="17"/>
      <c r="E52" s="301"/>
      <c r="F52" s="241"/>
      <c r="G52" s="41"/>
      <c r="H52" s="41"/>
      <c r="I52" s="41"/>
      <c r="Q52" s="146"/>
      <c r="R52" s="146"/>
      <c r="V52" s="301"/>
      <c r="W52" s="301"/>
      <c r="X52" s="207"/>
      <c r="Y52" s="301"/>
    </row>
    <row r="53" spans="1:25" hidden="1" x14ac:dyDescent="0.25">
      <c r="B53"/>
      <c r="C53"/>
      <c r="D53" s="17"/>
      <c r="E53" s="301"/>
      <c r="F53" s="241"/>
      <c r="G53" s="41"/>
      <c r="H53" s="41"/>
      <c r="Q53" s="146"/>
      <c r="R53" s="146"/>
      <c r="V53" s="301"/>
      <c r="W53" s="301"/>
      <c r="X53" s="207"/>
      <c r="Y53" s="301"/>
    </row>
    <row r="54" spans="1:25" hidden="1" x14ac:dyDescent="0.25">
      <c r="B54"/>
      <c r="C54"/>
      <c r="D54" s="17"/>
      <c r="E54" s="301"/>
      <c r="F54" s="241"/>
      <c r="G54" s="41"/>
      <c r="H54" s="41"/>
      <c r="Q54" s="146"/>
      <c r="R54" s="146"/>
      <c r="V54" s="301"/>
      <c r="W54" s="301"/>
      <c r="X54" s="207"/>
      <c r="Y54" s="301"/>
    </row>
    <row r="55" spans="1:25" hidden="1" x14ac:dyDescent="0.25">
      <c r="B55"/>
      <c r="C55"/>
      <c r="D55" s="17"/>
      <c r="E55" s="301"/>
      <c r="F55" s="241"/>
      <c r="G55" s="41"/>
      <c r="I55" s="41"/>
      <c r="Q55" s="146"/>
      <c r="R55" s="146"/>
      <c r="V55" s="301"/>
      <c r="W55" s="301"/>
      <c r="X55" s="207"/>
      <c r="Y55" s="301"/>
    </row>
    <row r="56" spans="1:25" hidden="1" x14ac:dyDescent="0.25">
      <c r="B56"/>
      <c r="C56"/>
      <c r="D56" s="17"/>
      <c r="E56" s="301"/>
      <c r="F56" s="241"/>
      <c r="G56" s="41"/>
      <c r="H56" s="41"/>
      <c r="Q56" s="146"/>
      <c r="R56" s="146"/>
      <c r="V56" s="301"/>
      <c r="W56" s="301"/>
      <c r="X56" s="207"/>
      <c r="Y56" s="301"/>
    </row>
    <row r="57" spans="1:25" hidden="1" x14ac:dyDescent="0.25">
      <c r="B57"/>
      <c r="C57"/>
      <c r="D57" s="17"/>
      <c r="E57" s="301"/>
      <c r="F57" s="241"/>
      <c r="G57" s="41"/>
      <c r="H57" s="41"/>
      <c r="Q57" s="146"/>
      <c r="R57" s="146"/>
      <c r="V57" s="301"/>
      <c r="W57" s="301"/>
      <c r="X57" s="207"/>
      <c r="Y57" s="301"/>
    </row>
    <row r="58" spans="1:25" x14ac:dyDescent="0.25">
      <c r="A58" s="145">
        <v>47</v>
      </c>
      <c r="B58" t="s">
        <v>138</v>
      </c>
      <c r="C58" s="198" t="s">
        <v>99</v>
      </c>
      <c r="D58" s="17">
        <v>1</v>
      </c>
      <c r="E58" s="301">
        <v>0</v>
      </c>
      <c r="F58" s="241"/>
      <c r="G58" s="41">
        <f>E58</f>
        <v>0</v>
      </c>
      <c r="H58" s="41"/>
      <c r="I58" s="41"/>
      <c r="Q58" s="146"/>
      <c r="R58" s="146"/>
      <c r="V58" s="301"/>
      <c r="W58" s="301"/>
      <c r="X58" s="207"/>
      <c r="Y58" s="301"/>
    </row>
    <row r="59" spans="1:25" x14ac:dyDescent="0.25">
      <c r="A59" s="145">
        <v>48</v>
      </c>
      <c r="B59" t="s">
        <v>138</v>
      </c>
      <c r="C59" s="197" t="s">
        <v>112</v>
      </c>
      <c r="D59" s="17">
        <f t="shared" ref="D59:D66" si="5">IF($M$12=1,4,3)</f>
        <v>4</v>
      </c>
      <c r="E59" s="301">
        <f>'[2]FLAT Unit Costs W Final Adj'!$E$38</f>
        <v>2.5773454485366183E-4</v>
      </c>
      <c r="G59" s="41">
        <f t="shared" ref="G59:H66" si="6">IF($M$12=1,$E59*G$83,0)</f>
        <v>2.2369798363973601E-4</v>
      </c>
      <c r="H59" s="41">
        <f t="shared" si="6"/>
        <v>3.3545032546931992E-5</v>
      </c>
      <c r="I59" s="41">
        <f t="shared" ref="I59:I66" si="7">IF($M$12=1,$E59*I$83,E59)</f>
        <v>4.9152866699383465E-7</v>
      </c>
      <c r="Q59" s="146"/>
      <c r="R59" s="146"/>
      <c r="V59" s="301"/>
      <c r="W59" s="301"/>
      <c r="X59" s="207"/>
      <c r="Y59" s="301"/>
    </row>
    <row r="60" spans="1:25" hidden="1" x14ac:dyDescent="0.25">
      <c r="B60"/>
      <c r="C60"/>
      <c r="D60" s="17"/>
      <c r="E60" s="301"/>
      <c r="F60" s="241"/>
      <c r="G60" s="41"/>
      <c r="H60" s="41"/>
      <c r="I60" s="41"/>
      <c r="Q60" s="146"/>
      <c r="R60" s="146"/>
      <c r="V60" s="301"/>
      <c r="W60" s="301"/>
      <c r="X60" s="207"/>
      <c r="Y60" s="301"/>
    </row>
    <row r="61" spans="1:25" x14ac:dyDescent="0.25">
      <c r="A61" s="145">
        <v>50</v>
      </c>
      <c r="B61" t="s">
        <v>138</v>
      </c>
      <c r="C61" s="197" t="s">
        <v>139</v>
      </c>
      <c r="D61" s="17">
        <f t="shared" si="5"/>
        <v>4</v>
      </c>
      <c r="E61" s="301">
        <f>'[2]FLAT Unit Costs W Final Adj'!E39</f>
        <v>0.19441349175917827</v>
      </c>
      <c r="F61" s="241"/>
      <c r="G61" s="41">
        <f t="shared" si="6"/>
        <v>0.16873914252969693</v>
      </c>
      <c r="H61" s="41">
        <f t="shared" si="6"/>
        <v>2.5303580908516587E-2</v>
      </c>
      <c r="I61" s="41">
        <f t="shared" si="7"/>
        <v>3.7076832096474805E-4</v>
      </c>
      <c r="Q61" s="146"/>
      <c r="R61" s="146"/>
      <c r="V61" s="301"/>
      <c r="W61" s="301"/>
      <c r="X61" s="207"/>
      <c r="Y61" s="301"/>
    </row>
    <row r="62" spans="1:25" x14ac:dyDescent="0.25">
      <c r="A62" s="145">
        <v>51</v>
      </c>
      <c r="B62" t="s">
        <v>138</v>
      </c>
      <c r="C62" s="197" t="s">
        <v>140</v>
      </c>
      <c r="D62" s="17">
        <f t="shared" si="5"/>
        <v>4</v>
      </c>
      <c r="E62" s="301">
        <f>'[2]FLAT Unit Costs W Final Adj'!E40</f>
        <v>0.41297549804775696</v>
      </c>
      <c r="F62" s="241"/>
      <c r="G62" s="41">
        <f t="shared" si="6"/>
        <v>0.35843773390312145</v>
      </c>
      <c r="H62" s="41">
        <f t="shared" si="6"/>
        <v>5.3750173578645262E-2</v>
      </c>
      <c r="I62" s="41">
        <f t="shared" si="7"/>
        <v>7.8759056599022638E-4</v>
      </c>
      <c r="Q62" s="146"/>
      <c r="R62" s="146"/>
      <c r="V62" s="301"/>
      <c r="W62" s="301"/>
      <c r="X62" s="207"/>
      <c r="Y62" s="301"/>
    </row>
    <row r="63" spans="1:25" s="6" customFormat="1" x14ac:dyDescent="0.25">
      <c r="A63" s="145">
        <v>52</v>
      </c>
      <c r="B63" t="s">
        <v>138</v>
      </c>
      <c r="C63" s="197" t="s">
        <v>141</v>
      </c>
      <c r="D63" s="17">
        <f t="shared" si="5"/>
        <v>4</v>
      </c>
      <c r="E63" s="301">
        <f>'[2]FLAT Unit Costs W Final Adj'!E41</f>
        <v>8.5505057181298555E-2</v>
      </c>
      <c r="F63" s="241"/>
      <c r="G63" s="41">
        <f t="shared" si="6"/>
        <v>7.4213213806154865E-2</v>
      </c>
      <c r="H63" s="41">
        <f t="shared" si="6"/>
        <v>1.1128775646673618E-2</v>
      </c>
      <c r="I63" s="41">
        <f t="shared" si="7"/>
        <v>1.6306772847007495E-4</v>
      </c>
      <c r="J63" s="146"/>
      <c r="K63" s="146"/>
      <c r="L63" s="146"/>
      <c r="M63" s="146"/>
      <c r="N63"/>
      <c r="O63"/>
      <c r="P63"/>
      <c r="Q63" s="146"/>
      <c r="R63" s="146"/>
      <c r="S63"/>
      <c r="T63"/>
      <c r="U63"/>
      <c r="V63" s="301"/>
      <c r="W63" s="301"/>
      <c r="X63" s="207"/>
      <c r="Y63" s="301"/>
    </row>
    <row r="64" spans="1:25" s="147" customFormat="1" x14ac:dyDescent="0.25">
      <c r="A64" s="145">
        <v>53</v>
      </c>
      <c r="B64" t="s">
        <v>138</v>
      </c>
      <c r="C64" s="197" t="s">
        <v>142</v>
      </c>
      <c r="D64" s="17">
        <f t="shared" si="5"/>
        <v>4</v>
      </c>
      <c r="E64" s="301">
        <f>'[2]FLAT Unit Costs W Final Adj'!E42</f>
        <v>0</v>
      </c>
      <c r="F64" s="241"/>
      <c r="G64" s="41">
        <f t="shared" si="6"/>
        <v>0</v>
      </c>
      <c r="H64" s="41">
        <f t="shared" si="6"/>
        <v>0</v>
      </c>
      <c r="I64" s="41">
        <f t="shared" si="7"/>
        <v>0</v>
      </c>
      <c r="J64" s="1"/>
      <c r="K64" s="1"/>
      <c r="L64" s="1"/>
      <c r="M64" s="1"/>
      <c r="N64"/>
      <c r="O64"/>
      <c r="P64"/>
      <c r="Q64" s="146"/>
      <c r="R64" s="146"/>
      <c r="S64"/>
      <c r="T64"/>
      <c r="U64"/>
      <c r="V64" s="301"/>
      <c r="W64" s="301"/>
      <c r="X64" s="207"/>
      <c r="Y64" s="301"/>
    </row>
    <row r="65" spans="1:25" s="1" customFormat="1" x14ac:dyDescent="0.25">
      <c r="A65" s="145">
        <v>54</v>
      </c>
      <c r="B65" t="s">
        <v>138</v>
      </c>
      <c r="C65" s="197" t="s">
        <v>143</v>
      </c>
      <c r="D65" s="17">
        <f t="shared" si="5"/>
        <v>4</v>
      </c>
      <c r="E65" s="301">
        <f>'[2]FLAT Unit Costs W Final Adj'!E43</f>
        <v>7.3235601669543349E-2</v>
      </c>
      <c r="F65" s="241"/>
      <c r="G65" s="41">
        <f t="shared" si="6"/>
        <v>6.3564069121667718E-2</v>
      </c>
      <c r="H65" s="41">
        <f t="shared" si="6"/>
        <v>9.5318640463731927E-3</v>
      </c>
      <c r="I65" s="41">
        <f t="shared" si="7"/>
        <v>1.3966850150243121E-4</v>
      </c>
      <c r="N65"/>
      <c r="O65"/>
      <c r="P65"/>
      <c r="Q65" s="146"/>
      <c r="R65" s="146"/>
      <c r="S65"/>
      <c r="T65"/>
      <c r="U65"/>
      <c r="V65" s="301"/>
      <c r="W65" s="301"/>
      <c r="X65" s="207"/>
      <c r="Y65" s="301"/>
    </row>
    <row r="66" spans="1:25" x14ac:dyDescent="0.25">
      <c r="A66" s="145">
        <v>55</v>
      </c>
      <c r="B66" t="s">
        <v>138</v>
      </c>
      <c r="C66" s="218" t="s">
        <v>144</v>
      </c>
      <c r="D66" s="17">
        <f t="shared" si="5"/>
        <v>4</v>
      </c>
      <c r="E66" s="301">
        <f>'[2]FLAT Unit Costs W Final Adj'!E44</f>
        <v>0.16899802574034006</v>
      </c>
      <c r="G66" s="41">
        <f t="shared" si="6"/>
        <v>0.14668005648476484</v>
      </c>
      <c r="H66" s="41">
        <f t="shared" si="6"/>
        <v>2.1995671077176572E-2</v>
      </c>
      <c r="I66" s="41">
        <f t="shared" si="7"/>
        <v>3.2229817839864508E-4</v>
      </c>
      <c r="Q66" s="146"/>
      <c r="R66" s="146"/>
      <c r="V66" s="301"/>
      <c r="W66" s="301"/>
      <c r="X66" s="207"/>
      <c r="Y66" s="301"/>
    </row>
    <row r="67" spans="1:25" x14ac:dyDescent="0.25">
      <c r="A67" s="145">
        <v>56</v>
      </c>
      <c r="B67" t="s">
        <v>138</v>
      </c>
      <c r="C67" s="201" t="s">
        <v>145</v>
      </c>
      <c r="D67" s="17">
        <v>5</v>
      </c>
      <c r="E67" s="301">
        <f>'[2]FLAT Unit Costs W Final Adj'!E45</f>
        <v>4.5024721835769679</v>
      </c>
      <c r="F67" s="241"/>
      <c r="G67" s="41">
        <f>$E67*G$83</f>
        <v>3.9078733098507925</v>
      </c>
      <c r="H67" s="41">
        <f>$E67*H$83</f>
        <v>0.58601215458137856</v>
      </c>
      <c r="I67" s="41">
        <f>$E67*I$83</f>
        <v>8.5867191447967194E-3</v>
      </c>
      <c r="Q67" s="146"/>
      <c r="R67" s="146"/>
      <c r="V67" s="301"/>
      <c r="W67" s="301"/>
      <c r="X67" s="207"/>
      <c r="Y67" s="301"/>
    </row>
    <row r="68" spans="1:25" x14ac:dyDescent="0.25">
      <c r="A68" s="145">
        <v>57</v>
      </c>
      <c r="B68" t="s">
        <v>138</v>
      </c>
      <c r="C68" s="198" t="s">
        <v>146</v>
      </c>
      <c r="D68" s="17">
        <v>1</v>
      </c>
      <c r="E68" s="301">
        <f>'[2]FLAT Unit Costs W Final Adj'!E46</f>
        <v>6.6876899873786366E-2</v>
      </c>
      <c r="F68" s="241"/>
      <c r="G68" s="41">
        <f>E68</f>
        <v>6.6876899873786366E-2</v>
      </c>
      <c r="H68" s="41"/>
      <c r="Q68" s="146"/>
      <c r="R68" s="146"/>
      <c r="V68" s="301"/>
      <c r="W68" s="301"/>
      <c r="X68" s="207"/>
      <c r="Y68" s="301"/>
    </row>
    <row r="69" spans="1:25" x14ac:dyDescent="0.25">
      <c r="A69" s="145">
        <v>58</v>
      </c>
      <c r="B69" s="354" t="s">
        <v>147</v>
      </c>
      <c r="C69" s="288" t="s">
        <v>148</v>
      </c>
      <c r="D69" s="17">
        <v>2</v>
      </c>
      <c r="E69" s="301">
        <f>'[2]FLAT Unit Costs W Final Adj'!E47</f>
        <v>2.7925734104094295E-3</v>
      </c>
      <c r="H69" s="41">
        <f>E69</f>
        <v>2.7925734104094295E-3</v>
      </c>
      <c r="Q69" s="354"/>
      <c r="R69" s="146"/>
      <c r="V69" s="301"/>
      <c r="W69" s="301"/>
      <c r="X69" s="207"/>
      <c r="Y69" s="301"/>
    </row>
    <row r="70" spans="1:25" x14ac:dyDescent="0.25">
      <c r="A70" s="145">
        <v>59</v>
      </c>
      <c r="B70" s="354" t="s">
        <v>147</v>
      </c>
      <c r="C70" s="357" t="s">
        <v>129</v>
      </c>
      <c r="D70" s="17">
        <v>1</v>
      </c>
      <c r="E70" s="301">
        <f>'[2]FLAT Unit Costs W Final Adj'!E48</f>
        <v>0.33540320625146175</v>
      </c>
      <c r="G70" s="41">
        <f>E70</f>
        <v>0.33540320625146175</v>
      </c>
      <c r="Q70" s="354"/>
      <c r="R70" s="146"/>
      <c r="V70" s="301"/>
      <c r="W70" s="301"/>
      <c r="X70" s="207"/>
      <c r="Y70" s="301"/>
    </row>
    <row r="71" spans="1:25" x14ac:dyDescent="0.25">
      <c r="A71" s="145">
        <v>60</v>
      </c>
      <c r="B71" s="354" t="s">
        <v>147</v>
      </c>
      <c r="C71" s="288" t="s">
        <v>149</v>
      </c>
      <c r="D71" s="17">
        <v>2</v>
      </c>
      <c r="E71" s="301">
        <f>'[2]FLAT Unit Costs W Final Adj'!E49</f>
        <v>2.0821376376855816</v>
      </c>
      <c r="H71" s="41">
        <f>E71</f>
        <v>2.0821376376855816</v>
      </c>
      <c r="Q71" s="354"/>
      <c r="R71" s="146"/>
      <c r="V71" s="301"/>
      <c r="W71" s="301"/>
      <c r="X71" s="207"/>
      <c r="Y71" s="301"/>
    </row>
    <row r="72" spans="1:25" x14ac:dyDescent="0.25">
      <c r="A72" s="145">
        <v>61</v>
      </c>
      <c r="B72" s="354" t="s">
        <v>147</v>
      </c>
      <c r="C72" s="357" t="s">
        <v>150</v>
      </c>
      <c r="D72" s="17">
        <v>1</v>
      </c>
      <c r="E72" s="301">
        <f>'[2]FLAT Unit Costs W Final Adj'!E50</f>
        <v>1.9993932618975407</v>
      </c>
      <c r="G72" s="41">
        <f>E72</f>
        <v>1.9993932618975407</v>
      </c>
      <c r="Q72" s="354"/>
      <c r="R72" s="146"/>
      <c r="V72" s="301"/>
      <c r="W72" s="301"/>
      <c r="X72" s="207"/>
      <c r="Y72" s="301"/>
    </row>
    <row r="73" spans="1:25" x14ac:dyDescent="0.25">
      <c r="A73" s="145">
        <v>62</v>
      </c>
      <c r="B73" s="354" t="s">
        <v>147</v>
      </c>
      <c r="C73" s="197" t="s">
        <v>130</v>
      </c>
      <c r="D73" s="17">
        <f>IF($M$12=1,4,3)</f>
        <v>4</v>
      </c>
      <c r="E73" s="301">
        <f>'[2]FLAT Unit Costs W Final Adj'!E51</f>
        <v>0</v>
      </c>
      <c r="F73" s="241"/>
      <c r="G73" s="41">
        <f>IF($M$12=1,$E73*G$83,0)</f>
        <v>0</v>
      </c>
      <c r="H73" s="41">
        <f>IF($M$12=1,$E73*H$83,0)</f>
        <v>0</v>
      </c>
      <c r="I73" s="41">
        <f>IF($M$12=1,$E73*I$83,E73)</f>
        <v>0</v>
      </c>
      <c r="Q73" s="354"/>
      <c r="R73" s="146"/>
      <c r="V73" s="301"/>
      <c r="W73" s="301"/>
      <c r="X73" s="207"/>
      <c r="Y73" s="301"/>
    </row>
    <row r="74" spans="1:25" x14ac:dyDescent="0.25">
      <c r="A74" s="145">
        <v>63</v>
      </c>
      <c r="B74" s="354" t="s">
        <v>147</v>
      </c>
      <c r="C74" s="198" t="s">
        <v>110</v>
      </c>
      <c r="D74" s="17">
        <v>1</v>
      </c>
      <c r="E74" s="301">
        <f>'[2]FLAT Unit Costs W Final Adj'!E52</f>
        <v>5.5573051118789047</v>
      </c>
      <c r="F74" s="241"/>
      <c r="G74" s="41">
        <f>E74</f>
        <v>5.5573051118789047</v>
      </c>
      <c r="H74" s="41"/>
      <c r="Q74" s="354"/>
      <c r="R74" s="146"/>
      <c r="V74" s="301"/>
      <c r="W74" s="301"/>
      <c r="X74" s="207"/>
      <c r="Y74" s="301"/>
    </row>
    <row r="75" spans="1:25" x14ac:dyDescent="0.25">
      <c r="A75" s="145">
        <v>64</v>
      </c>
      <c r="B75" s="354" t="s">
        <v>147</v>
      </c>
      <c r="C75" s="197" t="s">
        <v>111</v>
      </c>
      <c r="D75" s="17">
        <f>IF($M$12=1,4,3)</f>
        <v>4</v>
      </c>
      <c r="E75" s="301">
        <f>'[2]FLAT Unit Costs W Final Adj'!E53</f>
        <v>0.16617247155509327</v>
      </c>
      <c r="F75" s="241"/>
      <c r="G75" s="41">
        <f>IF($M$12=1,$E75*G$83,0)</f>
        <v>0.14422764648957617</v>
      </c>
      <c r="H75" s="41">
        <f>IF($M$12=1,$E75*H$83,0)</f>
        <v>2.1627915535671491E-2</v>
      </c>
      <c r="I75" s="41">
        <f>IF($M$12=1,$E75*I$83,E75)</f>
        <v>3.1690952984560856E-4</v>
      </c>
      <c r="Q75" s="354"/>
      <c r="R75" s="146"/>
      <c r="V75" s="301"/>
      <c r="W75" s="301"/>
      <c r="X75" s="207"/>
      <c r="Y75" s="301"/>
    </row>
    <row r="76" spans="1:25" x14ac:dyDescent="0.25">
      <c r="A76" s="145">
        <v>65</v>
      </c>
      <c r="B76" s="354" t="s">
        <v>147</v>
      </c>
      <c r="C76" s="197" t="s">
        <v>112</v>
      </c>
      <c r="D76" s="17">
        <f>IF($M$12=1,4,3)</f>
        <v>4</v>
      </c>
      <c r="E76" s="301">
        <f>'[2]FLAT Unit Costs W Final Adj'!E54</f>
        <v>0.39676140483245004</v>
      </c>
      <c r="F76" s="241"/>
      <c r="G76" s="41">
        <f>IF($M$12=1,$E76*G$83,0)</f>
        <v>0.34436488247037977</v>
      </c>
      <c r="H76" s="41">
        <f>IF($M$12=1,$E76*H$83,0)</f>
        <v>5.1639853889310326E-2</v>
      </c>
      <c r="I76" s="41">
        <f>IF($M$12=1,$E76*I$83,E76)</f>
        <v>7.5666847275992751E-4</v>
      </c>
      <c r="Q76" s="354"/>
      <c r="R76" s="146"/>
      <c r="V76" s="301"/>
      <c r="W76" s="301"/>
      <c r="X76" s="207"/>
      <c r="Y76" s="301"/>
    </row>
    <row r="77" spans="1:25" x14ac:dyDescent="0.25">
      <c r="A77" s="145">
        <v>66</v>
      </c>
      <c r="B77" s="354" t="s">
        <v>147</v>
      </c>
      <c r="C77" s="201" t="s">
        <v>151</v>
      </c>
      <c r="D77" s="17">
        <v>5</v>
      </c>
      <c r="E77" s="301">
        <f>'[2]FLAT Unit Costs W Final Adj'!E55</f>
        <v>0.57749623697627284</v>
      </c>
      <c r="F77" s="241"/>
      <c r="G77" s="41">
        <f>$E77*G$83</f>
        <v>0.50123177645618566</v>
      </c>
      <c r="H77" s="41">
        <f>$E77*H$83</f>
        <v>7.5163110463516064E-2</v>
      </c>
      <c r="I77" s="41">
        <f>$E77*I$83</f>
        <v>1.1013500565710838E-3</v>
      </c>
      <c r="Q77" s="354"/>
      <c r="R77" s="146"/>
      <c r="V77" s="301"/>
      <c r="W77" s="301"/>
      <c r="X77" s="207"/>
      <c r="Y77" s="301"/>
    </row>
    <row r="78" spans="1:25" x14ac:dyDescent="0.25">
      <c r="A78" s="145">
        <v>67</v>
      </c>
      <c r="B78" s="354" t="s">
        <v>147</v>
      </c>
      <c r="C78" s="200" t="s">
        <v>152</v>
      </c>
      <c r="D78" s="17">
        <v>3</v>
      </c>
      <c r="E78" s="301">
        <f>'[2]FLAT Unit Costs W Final Adj'!E56</f>
        <v>3.922273575890603E-3</v>
      </c>
      <c r="F78" s="40"/>
      <c r="I78" s="41">
        <f>E78</f>
        <v>3.922273575890603E-3</v>
      </c>
      <c r="Q78" s="354"/>
      <c r="R78" s="146"/>
      <c r="V78" s="301"/>
      <c r="W78" s="301"/>
      <c r="X78" s="207"/>
      <c r="Y78" s="301"/>
    </row>
    <row r="79" spans="1:25" x14ac:dyDescent="0.25">
      <c r="A79" s="145">
        <v>68</v>
      </c>
      <c r="B79" s="354" t="s">
        <v>147</v>
      </c>
      <c r="C79" s="200" t="s">
        <v>131</v>
      </c>
      <c r="D79" s="17">
        <v>3</v>
      </c>
      <c r="E79" s="301">
        <f>'[2]FLAT Unit Costs W Final Adj'!E57</f>
        <v>0</v>
      </c>
      <c r="G79" s="41"/>
      <c r="I79" s="41">
        <f>E79</f>
        <v>0</v>
      </c>
      <c r="Q79" s="354"/>
      <c r="R79" s="146"/>
      <c r="V79" s="301"/>
      <c r="W79" s="301"/>
      <c r="X79" s="207"/>
      <c r="Y79" s="301"/>
    </row>
    <row r="80" spans="1:25" x14ac:dyDescent="0.25">
      <c r="E80" s="427">
        <f>SUM(E10:E79)</f>
        <v>71.74986113738521</v>
      </c>
      <c r="F80" s="40"/>
      <c r="G80" s="40">
        <f>SUM(G10:G79)</f>
        <v>62.274536275210089</v>
      </c>
      <c r="H80" s="40">
        <f>SUM(H10:H79)</f>
        <v>9.3384898344070031</v>
      </c>
      <c r="I80" s="40">
        <f>SUM(I10:I79)</f>
        <v>0.13683502776810874</v>
      </c>
      <c r="K80" s="287"/>
      <c r="Q80" s="289"/>
      <c r="R80" s="289"/>
      <c r="X80" s="146"/>
      <c r="Y80" s="207"/>
    </row>
    <row r="81" spans="1:25" x14ac:dyDescent="0.25">
      <c r="G81" s="13">
        <f>G80/$E$80</f>
        <v>0.86793946758960328</v>
      </c>
      <c r="H81" s="13">
        <f>H80/$E$80</f>
        <v>0.13015342031848462</v>
      </c>
      <c r="I81" s="13">
        <f>I80/$E$80</f>
        <v>1.9071120919119237E-3</v>
      </c>
      <c r="V81" s="302"/>
      <c r="W81" s="302"/>
      <c r="X81" s="358"/>
      <c r="Y81" s="302"/>
    </row>
    <row r="82" spans="1:25" x14ac:dyDescent="0.25">
      <c r="C82" s="132" t="s">
        <v>153</v>
      </c>
      <c r="E82" s="306">
        <f>G82+H82+I82</f>
        <v>49.374039129046785</v>
      </c>
      <c r="G82" s="41">
        <f>SUMIF($D$11:$D$79,1,$E$11:$E$79)</f>
        <v>42.853677234413112</v>
      </c>
      <c r="H82" s="41">
        <f>SUMIF($D$11:$D$79,2,$E$11:$E$79)</f>
        <v>6.4262000675841353</v>
      </c>
      <c r="I82" s="41">
        <f>SUMIF($D$11:$D$79,3,$E$11:$E$79)</f>
        <v>9.41618270495376E-2</v>
      </c>
      <c r="R82" s="303"/>
      <c r="S82" s="207"/>
      <c r="T82" s="207"/>
      <c r="W82" s="1"/>
      <c r="X82" s="1"/>
      <c r="Y82" s="1"/>
    </row>
    <row r="83" spans="1:25" x14ac:dyDescent="0.25">
      <c r="C83" s="132" t="s">
        <v>154</v>
      </c>
      <c r="G83" s="202">
        <f>G82/E82</f>
        <v>0.86793946758960339</v>
      </c>
      <c r="H83" s="202">
        <f>H82/E82</f>
        <v>0.13015342031848467</v>
      </c>
      <c r="I83" s="202">
        <f>I82/E82</f>
        <v>1.9071120919119239E-3</v>
      </c>
      <c r="S83" s="207"/>
      <c r="T83" s="207"/>
    </row>
    <row r="84" spans="1:25" x14ac:dyDescent="0.25">
      <c r="S84" s="207"/>
      <c r="T84" s="207"/>
    </row>
    <row r="85" spans="1:25" x14ac:dyDescent="0.25">
      <c r="A85" s="238" t="s">
        <v>3</v>
      </c>
      <c r="B85" s="33" t="s">
        <v>567</v>
      </c>
      <c r="S85" s="207"/>
      <c r="T85" s="207"/>
    </row>
    <row r="86" spans="1:25" x14ac:dyDescent="0.25">
      <c r="A86" s="31"/>
      <c r="S86" s="207"/>
      <c r="T86" s="207"/>
    </row>
    <row r="87" spans="1:25" x14ac:dyDescent="0.25">
      <c r="S87" s="207"/>
      <c r="T87" s="207"/>
    </row>
    <row r="88" spans="1:25" x14ac:dyDescent="0.25">
      <c r="S88" s="207"/>
      <c r="T88" s="207"/>
    </row>
    <row r="89" spans="1:25" x14ac:dyDescent="0.25">
      <c r="S89" s="207"/>
      <c r="T89" s="207"/>
    </row>
    <row r="90" spans="1:25" x14ac:dyDescent="0.25">
      <c r="S90" s="207"/>
      <c r="T90" s="207"/>
    </row>
    <row r="91" spans="1:25" x14ac:dyDescent="0.25">
      <c r="S91" s="207"/>
      <c r="T91" s="207"/>
    </row>
    <row r="92" spans="1:25" x14ac:dyDescent="0.25">
      <c r="S92" s="207"/>
      <c r="T92" s="207"/>
    </row>
    <row r="93" spans="1:25" x14ac:dyDescent="0.25">
      <c r="S93" s="207"/>
      <c r="T93" s="207"/>
    </row>
    <row r="94" spans="1:25" x14ac:dyDescent="0.25">
      <c r="S94" s="207"/>
      <c r="T94" s="207"/>
    </row>
    <row r="95" spans="1:25" x14ac:dyDescent="0.25">
      <c r="S95" s="207"/>
      <c r="T95" s="207"/>
    </row>
    <row r="96" spans="1:25" x14ac:dyDescent="0.25">
      <c r="S96" s="207"/>
      <c r="T96" s="207"/>
    </row>
    <row r="97" spans="19:20" x14ac:dyDescent="0.25">
      <c r="S97" s="289"/>
      <c r="T97" s="289"/>
    </row>
    <row r="98" spans="19:20" x14ac:dyDescent="0.25">
      <c r="S98" s="231"/>
    </row>
    <row r="99" spans="19:20" x14ac:dyDescent="0.25">
      <c r="S99" s="231"/>
    </row>
    <row r="100" spans="19:20" x14ac:dyDescent="0.25">
      <c r="S100" s="231"/>
    </row>
  </sheetData>
  <phoneticPr fontId="29" type="noConversion"/>
  <printOptions horizontalCentered="1"/>
  <pageMargins left="0.75" right="0.75" top="1" bottom="1" header="0.5" footer="0.5"/>
  <pageSetup scale="61" orientation="portrait" r:id="rId1"/>
  <headerFooter alignWithMargins="0">
    <oddFooter>&amp;CTab '&amp;A'&amp;RPage 3</oddFooter>
  </headerFooter>
  <ignoredErrors>
    <ignoredError sqref="A85 E9" numberStoredAsText="1"/>
    <ignoredError sqref="G74 H34" formula="1"/>
  </ignoredErrors>
</worksheet>
</file>

<file path=xl/worksheets/sheet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P43"/>
  <sheetViews>
    <sheetView zoomScale="115" zoomScaleNormal="115" workbookViewId="0"/>
  </sheetViews>
  <sheetFormatPr defaultRowHeight="13.2" x14ac:dyDescent="0.25"/>
  <cols>
    <col min="1" max="1" width="20.77734375" customWidth="1"/>
    <col min="2" max="2" width="15.77734375" customWidth="1"/>
    <col min="3" max="3" width="12.77734375" style="12" customWidth="1"/>
    <col min="4" max="4" width="2.77734375" customWidth="1"/>
    <col min="5" max="5" width="15.77734375" style="41" customWidth="1"/>
    <col min="6" max="6" width="2.77734375" customWidth="1"/>
    <col min="7" max="7" width="18.77734375" style="41" customWidth="1"/>
    <col min="8" max="8" width="12.77734375" style="41" customWidth="1"/>
    <col min="9" max="9" width="2.77734375" customWidth="1"/>
    <col min="10" max="11" width="18.77734375" style="41" customWidth="1"/>
    <col min="12" max="12" width="12.77734375" style="41" customWidth="1"/>
    <col min="13" max="13" width="2.77734375" customWidth="1"/>
    <col min="14" max="14" width="20.77734375" style="41" customWidth="1"/>
    <col min="15" max="15" width="18.77734375" style="41" customWidth="1"/>
    <col min="16" max="16" width="12.77734375" style="41" customWidth="1"/>
  </cols>
  <sheetData>
    <row r="1" spans="1:16" ht="17.399999999999999" x14ac:dyDescent="0.3">
      <c r="A1" s="4" t="s">
        <v>155</v>
      </c>
    </row>
    <row r="2" spans="1:16" ht="17.399999999999999" x14ac:dyDescent="0.3">
      <c r="A2" s="4"/>
      <c r="G2" s="41" t="s">
        <v>156</v>
      </c>
    </row>
    <row r="3" spans="1:16" x14ac:dyDescent="0.25">
      <c r="A3" s="31"/>
      <c r="B3" s="31" t="str">
        <f>"(1)"</f>
        <v>(1)</v>
      </c>
      <c r="C3" s="13" t="str">
        <f>"(2)"</f>
        <v>(2)</v>
      </c>
      <c r="E3" s="40" t="str">
        <f>"(3)"</f>
        <v>(3)</v>
      </c>
      <c r="G3" s="40" t="str">
        <f>"(4)"</f>
        <v>(4)</v>
      </c>
      <c r="H3" s="40" t="str">
        <f>"(5)"</f>
        <v>(5)</v>
      </c>
      <c r="J3" s="436" t="s">
        <v>157</v>
      </c>
    </row>
    <row r="4" spans="1:16" x14ac:dyDescent="0.25">
      <c r="E4" s="40" t="s">
        <v>158</v>
      </c>
      <c r="G4" s="40" t="s">
        <v>159</v>
      </c>
      <c r="H4" s="40" t="s">
        <v>160</v>
      </c>
      <c r="J4" s="436"/>
      <c r="K4" s="40"/>
      <c r="L4" s="40"/>
      <c r="N4" s="40"/>
      <c r="O4" s="40"/>
      <c r="P4" s="40"/>
    </row>
    <row r="5" spans="1:16" x14ac:dyDescent="0.25">
      <c r="B5" s="31" t="s">
        <v>161</v>
      </c>
      <c r="C5" s="13" t="s">
        <v>14</v>
      </c>
      <c r="D5" s="31"/>
      <c r="E5" s="40" t="s">
        <v>162</v>
      </c>
      <c r="G5" s="40" t="s">
        <v>163</v>
      </c>
      <c r="H5" s="40" t="s">
        <v>44</v>
      </c>
      <c r="J5" s="436"/>
      <c r="K5" s="40"/>
      <c r="L5" s="40"/>
      <c r="N5" s="40"/>
      <c r="O5" s="40"/>
      <c r="P5" s="40"/>
    </row>
    <row r="6" spans="1:16" x14ac:dyDescent="0.25">
      <c r="A6" s="35" t="s">
        <v>43</v>
      </c>
      <c r="B6" s="36" t="s">
        <v>17</v>
      </c>
      <c r="C6" s="55" t="s">
        <v>164</v>
      </c>
      <c r="D6" s="36"/>
      <c r="E6" s="42" t="s">
        <v>165</v>
      </c>
      <c r="G6" s="42" t="s">
        <v>166</v>
      </c>
      <c r="H6" s="42" t="s">
        <v>166</v>
      </c>
      <c r="J6" s="436"/>
      <c r="K6" s="42"/>
      <c r="L6" s="42"/>
      <c r="N6" s="42"/>
      <c r="O6" s="42"/>
      <c r="P6" s="42"/>
    </row>
    <row r="7" spans="1:16" x14ac:dyDescent="0.25">
      <c r="J7" s="436"/>
    </row>
    <row r="8" spans="1:16" x14ac:dyDescent="0.25">
      <c r="A8" t="s">
        <v>167</v>
      </c>
      <c r="B8" s="2">
        <f>'FY VOLUME NONAUTO'!E35</f>
        <v>7939549.9999999972</v>
      </c>
      <c r="C8" s="12">
        <f>B8/$B$18</f>
        <v>1.8344708216943815E-2</v>
      </c>
      <c r="D8" s="2"/>
      <c r="E8" s="41">
        <f ca="1">'CRA ADJ UNIT COSTS'!$G$34</f>
        <v>113.78242362263697</v>
      </c>
      <c r="G8" s="194">
        <f ca="1">(((SUM('FY VOLUME NONAUTO'!E7:E11)+SUM('FY VOLUME NONAUTO'!E21:E25))*'OP BUNDLE OPS'!K33+(SUM('FY VOLUME NONAUTO'!E12:E15)+SUM('FY VOLUME NONAUTO'!E26:E29))*'MMP BUNDLE OPS'!K33+(SUM('FY VOLUME NONAUTO'!E16:E18)+SUM('FY VOLUME NONAUTO'!E30:E32))*'3D BUNDLE OPS'!K33+(SUM('FY VOLUME NONAUTO'!E19:E20)+SUM('FY VOLUME NONAUTO'!E33:E34))*'5D BUNDLE OPS'!K33)/'FY VOLUME NONAUTO'!E35)*'CRA ADJ UNIT COSTS'!F25+'CRA ADJ UNIT COSTS'!F8</f>
        <v>661.48613777559626</v>
      </c>
      <c r="H8" s="41">
        <f ca="1">G8-E8</f>
        <v>547.70371415295926</v>
      </c>
      <c r="J8" s="436"/>
    </row>
    <row r="9" spans="1:16" x14ac:dyDescent="0.25">
      <c r="G9" s="195"/>
      <c r="J9" s="436"/>
    </row>
    <row r="10" spans="1:16" x14ac:dyDescent="0.25">
      <c r="A10" t="s">
        <v>168</v>
      </c>
      <c r="B10" s="2">
        <f>'FY VOLUME AUTO'!E12</f>
        <v>42124579.999999851</v>
      </c>
      <c r="C10" s="12">
        <f>B10/$B$18</f>
        <v>9.7330847322745564E-2</v>
      </c>
      <c r="D10" s="2"/>
      <c r="E10" s="41">
        <f ca="1">'CRA ADJ UNIT COSTS'!G36</f>
        <v>117.05058257190593</v>
      </c>
      <c r="G10" s="195">
        <f ca="1">'OP BUNDLE OPS'!K33*'CRA ADJ UNIT COSTS'!F25+'CRA ADJ UNIT COSTS'!F8</f>
        <v>739.40159498379978</v>
      </c>
      <c r="H10" s="41">
        <f ca="1">G10-E10</f>
        <v>622.35101241189386</v>
      </c>
      <c r="J10" s="436"/>
    </row>
    <row r="11" spans="1:16" x14ac:dyDescent="0.25">
      <c r="G11" s="359"/>
      <c r="J11" s="436"/>
    </row>
    <row r="12" spans="1:16" x14ac:dyDescent="0.25">
      <c r="A12" t="s">
        <v>169</v>
      </c>
      <c r="B12" s="2">
        <f>'FY VOLUME AUTO'!E23</f>
        <v>35262553.999999993</v>
      </c>
      <c r="C12" s="12">
        <f>B12/$B$18</f>
        <v>8.1475809600572449E-2</v>
      </c>
      <c r="D12" s="2"/>
      <c r="E12" s="41">
        <f ca="1">'CRA ADJ UNIT COSTS'!G38</f>
        <v>92.872882339992287</v>
      </c>
      <c r="G12" s="195">
        <f ca="1">'MMP BUNDLE OPS'!K33*'CRA ADJ UNIT COSTS'!F25+'CRA ADJ UNIT COSTS'!F8</f>
        <v>515.96646208194352</v>
      </c>
      <c r="H12" s="41">
        <f ca="1">G12-E12</f>
        <v>423.0935797419512</v>
      </c>
      <c r="J12" s="436"/>
    </row>
    <row r="13" spans="1:16" x14ac:dyDescent="0.25">
      <c r="B13" s="2"/>
      <c r="D13" s="2"/>
      <c r="G13" s="359"/>
      <c r="J13" s="436"/>
    </row>
    <row r="14" spans="1:16" x14ac:dyDescent="0.25">
      <c r="A14" t="s">
        <v>170</v>
      </c>
      <c r="B14" s="2">
        <f>'FY VOLUME AUTO'!E36</f>
        <v>172200862.0000003</v>
      </c>
      <c r="C14" s="12">
        <f>B14/$B$18</f>
        <v>0.3978782888320137</v>
      </c>
      <c r="D14" s="2"/>
      <c r="E14" s="41">
        <f ca="1">'CRA ADJ UNIT COSTS'!G40</f>
        <v>75.051563295345446</v>
      </c>
      <c r="G14" s="195">
        <f ca="1">'3D BUNDLE OPS'!K33*'CRA ADJ UNIT COSTS'!F25+'CRA ADJ UNIT COSTS'!F8</f>
        <v>381.91494109497268</v>
      </c>
      <c r="H14" s="41">
        <f ca="1">G14-E14</f>
        <v>306.86337779962724</v>
      </c>
      <c r="J14" s="436"/>
    </row>
    <row r="15" spans="1:16" x14ac:dyDescent="0.25">
      <c r="G15" s="359"/>
      <c r="J15" s="436"/>
    </row>
    <row r="16" spans="1:16" x14ac:dyDescent="0.25">
      <c r="A16" t="s">
        <v>171</v>
      </c>
      <c r="B16" s="2">
        <f>'FY VOLUME AUTO'!E51</f>
        <v>175270289.00000009</v>
      </c>
      <c r="C16" s="12">
        <f>B16/$B$18</f>
        <v>0.40497034602772447</v>
      </c>
      <c r="D16" s="2"/>
      <c r="E16" s="41">
        <f ca="1">'CRA ADJ UNIT COSTS'!G42</f>
        <v>51.126724988826396</v>
      </c>
      <c r="G16" s="195">
        <f ca="1">'5D BUNDLE OPS'!K33*'CRA ADJ UNIT COSTS'!F25+'CRA ADJ UNIT COSTS'!F8</f>
        <v>269.54384312258577</v>
      </c>
      <c r="H16" s="41">
        <f ca="1">G16-E16</f>
        <v>218.41711813375937</v>
      </c>
      <c r="J16" s="436"/>
    </row>
    <row r="17" spans="1:16" x14ac:dyDescent="0.25">
      <c r="G17" s="195"/>
      <c r="J17" s="436"/>
    </row>
    <row r="18" spans="1:16" x14ac:dyDescent="0.25">
      <c r="A18" s="1" t="s">
        <v>172</v>
      </c>
      <c r="B18" s="3">
        <f>SUM(B8:B16)</f>
        <v>432797835.00000024</v>
      </c>
      <c r="C18" s="13">
        <f>SUM(C8:C16)</f>
        <v>1</v>
      </c>
      <c r="D18" s="3"/>
      <c r="E18" s="40">
        <f ca="1">SUMPRODUCT(C8:C16,E8:E16)</f>
        <v>71.613026109617095</v>
      </c>
      <c r="G18" s="196">
        <f ca="1">SUMPRODUCT(C8:C16,G8:G16)</f>
        <v>387.25306582472189</v>
      </c>
      <c r="H18" s="193">
        <f ca="1">G18-E18</f>
        <v>315.64003971510476</v>
      </c>
      <c r="J18" s="436"/>
      <c r="K18" s="40"/>
      <c r="L18" s="40"/>
      <c r="N18" s="40"/>
      <c r="O18" s="40"/>
      <c r="P18" s="40"/>
    </row>
    <row r="21" spans="1:16" x14ac:dyDescent="0.25">
      <c r="A21" s="1" t="s">
        <v>173</v>
      </c>
    </row>
    <row r="22" spans="1:16" x14ac:dyDescent="0.25">
      <c r="A22" s="1" t="s">
        <v>174</v>
      </c>
    </row>
    <row r="23" spans="1:16" x14ac:dyDescent="0.25">
      <c r="A23" s="1" t="s">
        <v>175</v>
      </c>
    </row>
    <row r="24" spans="1:16" x14ac:dyDescent="0.25">
      <c r="A24" s="1" t="s">
        <v>176</v>
      </c>
    </row>
    <row r="25" spans="1:16" x14ac:dyDescent="0.25">
      <c r="A25" s="1" t="s">
        <v>177</v>
      </c>
    </row>
    <row r="26" spans="1:16" x14ac:dyDescent="0.25">
      <c r="A26" s="1" t="s">
        <v>178</v>
      </c>
    </row>
    <row r="27" spans="1:16" x14ac:dyDescent="0.25">
      <c r="A27" s="1" t="s">
        <v>179</v>
      </c>
    </row>
    <row r="28" spans="1:16" x14ac:dyDescent="0.25">
      <c r="A28" s="1"/>
    </row>
    <row r="31" spans="1:16" x14ac:dyDescent="0.25">
      <c r="A31" s="240"/>
      <c r="B31" s="146"/>
      <c r="C31" s="217"/>
      <c r="D31" s="146"/>
      <c r="E31" s="241"/>
      <c r="F31" s="360"/>
      <c r="G31" s="219"/>
      <c r="H31" s="219"/>
    </row>
    <row r="32" spans="1:16" x14ac:dyDescent="0.25">
      <c r="A32" s="146"/>
      <c r="B32" s="146"/>
      <c r="C32" s="217"/>
      <c r="D32" s="146"/>
      <c r="E32" s="241"/>
      <c r="F32" s="360"/>
      <c r="G32" s="219"/>
      <c r="H32" s="219"/>
    </row>
    <row r="33" spans="1:16" x14ac:dyDescent="0.25">
      <c r="A33" s="146"/>
      <c r="B33" s="361"/>
      <c r="C33" s="217"/>
      <c r="D33" s="146"/>
      <c r="E33" s="241"/>
      <c r="F33" s="360"/>
      <c r="G33" s="219"/>
      <c r="H33" s="219"/>
    </row>
    <row r="34" spans="1:16" x14ac:dyDescent="0.25">
      <c r="A34" s="146"/>
      <c r="B34" s="361"/>
      <c r="C34" s="217"/>
      <c r="D34" s="146"/>
      <c r="E34" s="241"/>
      <c r="F34" s="360"/>
      <c r="G34" s="219"/>
      <c r="H34" s="219"/>
    </row>
    <row r="35" spans="1:16" x14ac:dyDescent="0.25">
      <c r="A35" s="146"/>
      <c r="B35" s="361"/>
      <c r="C35" s="217"/>
      <c r="D35" s="146"/>
      <c r="E35" s="241"/>
      <c r="F35" s="360"/>
      <c r="G35" s="219"/>
      <c r="H35" s="219"/>
    </row>
    <row r="36" spans="1:16" x14ac:dyDescent="0.25">
      <c r="A36" s="146"/>
      <c r="B36" s="361"/>
      <c r="C36" s="217"/>
      <c r="D36" s="146"/>
      <c r="E36" s="241"/>
      <c r="F36" s="360"/>
      <c r="G36" s="219"/>
      <c r="H36" s="219"/>
    </row>
    <row r="37" spans="1:16" x14ac:dyDescent="0.25">
      <c r="A37" s="146"/>
      <c r="B37" s="361"/>
      <c r="C37" s="217"/>
      <c r="D37" s="146"/>
      <c r="E37" s="241"/>
      <c r="F37" s="360"/>
      <c r="G37" s="219"/>
      <c r="H37" s="219"/>
    </row>
    <row r="38" spans="1:16" x14ac:dyDescent="0.25">
      <c r="A38" s="146"/>
      <c r="B38" s="361"/>
      <c r="C38" s="217"/>
      <c r="D38" s="146"/>
      <c r="E38" s="241"/>
      <c r="F38" s="360"/>
      <c r="G38" s="219"/>
      <c r="H38" s="219"/>
    </row>
    <row r="39" spans="1:16" x14ac:dyDescent="0.25">
      <c r="A39" s="146"/>
      <c r="B39" s="361"/>
      <c r="C39" s="217"/>
      <c r="D39" s="146"/>
      <c r="E39" s="241"/>
      <c r="F39" s="360"/>
      <c r="G39" s="219"/>
      <c r="H39" s="219"/>
    </row>
    <row r="40" spans="1:16" x14ac:dyDescent="0.25">
      <c r="A40" s="146"/>
      <c r="B40" s="146"/>
      <c r="C40" s="217"/>
      <c r="D40" s="146"/>
      <c r="E40" s="241"/>
      <c r="F40" s="360"/>
      <c r="G40" s="219"/>
      <c r="H40" s="219"/>
    </row>
    <row r="41" spans="1:16" s="192" customFormat="1" x14ac:dyDescent="0.25">
      <c r="A41" s="146"/>
      <c r="B41" s="362"/>
      <c r="C41" s="217"/>
      <c r="D41" s="146"/>
      <c r="E41" s="241"/>
      <c r="F41" s="360"/>
      <c r="G41" s="219"/>
      <c r="H41" s="219"/>
      <c r="I41" s="360"/>
      <c r="J41" s="219"/>
      <c r="K41" s="219"/>
      <c r="L41" s="219"/>
      <c r="M41" s="360"/>
      <c r="N41" s="219"/>
      <c r="O41" s="219"/>
      <c r="P41" s="219"/>
    </row>
    <row r="42" spans="1:16" x14ac:dyDescent="0.25">
      <c r="A42" s="146"/>
      <c r="B42" s="146"/>
      <c r="C42" s="217"/>
      <c r="D42" s="146"/>
      <c r="E42" s="241"/>
    </row>
    <row r="43" spans="1:16" s="192" customFormat="1" x14ac:dyDescent="0.25">
      <c r="A43" s="146"/>
      <c r="B43" s="146"/>
      <c r="C43" s="217"/>
      <c r="D43" s="146"/>
      <c r="E43" s="241"/>
      <c r="F43" s="360"/>
      <c r="G43" s="219"/>
      <c r="H43" s="219"/>
      <c r="I43" s="360"/>
      <c r="J43" s="219"/>
      <c r="K43" s="219"/>
      <c r="L43" s="219"/>
      <c r="M43" s="360"/>
      <c r="N43" s="219"/>
      <c r="O43" s="219"/>
      <c r="P43" s="219"/>
    </row>
  </sheetData>
  <mergeCells count="1">
    <mergeCell ref="J3:J18"/>
  </mergeCells>
  <phoneticPr fontId="29" type="noConversion"/>
  <printOptions horizontalCentered="1"/>
  <pageMargins left="0.75" right="0.75" top="1" bottom="1" header="0.5" footer="0.5"/>
  <pageSetup scale="64" orientation="portrait" r:id="rId1"/>
  <headerFooter alignWithMargins="0">
    <oddFooter>&amp;CTab '&amp;A'&amp;RPage 4</oddFooter>
  </headerFooter>
</worksheet>
</file>

<file path=xl/worksheets/sheet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K41"/>
  <sheetViews>
    <sheetView zoomScaleNormal="100" workbookViewId="0"/>
  </sheetViews>
  <sheetFormatPr defaultRowHeight="13.2" x14ac:dyDescent="0.25"/>
  <cols>
    <col min="1" max="1" width="7.77734375" customWidth="1"/>
    <col min="2" max="2" width="25.77734375" customWidth="1"/>
    <col min="3" max="4" width="10.77734375" style="2" customWidth="1"/>
    <col min="5" max="5" width="10.77734375" style="37" customWidth="1"/>
    <col min="6" max="6" width="10.77734375" style="132" customWidth="1"/>
    <col min="7" max="7" width="10.77734375" style="41" customWidth="1"/>
    <col min="8" max="9" width="10.77734375" style="30" customWidth="1"/>
    <col min="10" max="11" width="10.77734375" style="132" customWidth="1"/>
    <col min="12" max="27" width="9.77734375" customWidth="1"/>
  </cols>
  <sheetData>
    <row r="1" spans="1:11" ht="22.8" x14ac:dyDescent="0.4">
      <c r="A1" s="125" t="s">
        <v>180</v>
      </c>
    </row>
    <row r="2" spans="1:11" ht="17.399999999999999" x14ac:dyDescent="0.3">
      <c r="A2" s="4" t="s">
        <v>181</v>
      </c>
    </row>
    <row r="3" spans="1:11" s="6" customFormat="1" ht="12.75" customHeight="1" x14ac:dyDescent="0.25">
      <c r="A3" s="1"/>
      <c r="B3" s="146"/>
      <c r="C3" s="268"/>
      <c r="D3" s="268"/>
      <c r="E3" s="269"/>
      <c r="F3" s="270"/>
      <c r="G3" s="241"/>
      <c r="H3" s="145"/>
      <c r="I3" s="145"/>
      <c r="J3" s="270"/>
      <c r="K3" s="270"/>
    </row>
    <row r="4" spans="1:11" s="6" customFormat="1" ht="12.75" customHeight="1" x14ac:dyDescent="0.25">
      <c r="A4" s="1"/>
      <c r="B4" s="146"/>
      <c r="C4" s="16" t="str">
        <f>"(1)"</f>
        <v>(1)</v>
      </c>
      <c r="D4" s="16" t="str">
        <f>"(2)"</f>
        <v>(2)</v>
      </c>
      <c r="E4" s="38" t="str">
        <f>"(3)"</f>
        <v>(3)</v>
      </c>
      <c r="F4" s="16" t="str">
        <f>"(4)"</f>
        <v>(4)</v>
      </c>
      <c r="G4" s="40" t="str">
        <f>"(5)"</f>
        <v>(5)</v>
      </c>
      <c r="H4" s="16" t="str">
        <f>"(6)"</f>
        <v>(6)</v>
      </c>
      <c r="I4" s="16" t="str">
        <f>"(7)"</f>
        <v>(7)</v>
      </c>
      <c r="J4" s="16" t="str">
        <f>"(8)"</f>
        <v>(8)</v>
      </c>
      <c r="K4" s="16" t="str">
        <f>"(9)"</f>
        <v>(9)</v>
      </c>
    </row>
    <row r="5" spans="1:11" s="6" customFormat="1" ht="12.75" customHeight="1" x14ac:dyDescent="0.25">
      <c r="A5" s="1"/>
      <c r="B5" s="146"/>
      <c r="C5" s="268"/>
      <c r="D5" s="268"/>
      <c r="E5" s="269"/>
      <c r="F5" s="270"/>
      <c r="G5" s="241"/>
      <c r="H5" s="145"/>
      <c r="I5" s="145"/>
      <c r="J5" s="270"/>
      <c r="K5" s="270"/>
    </row>
    <row r="6" spans="1:11" x14ac:dyDescent="0.25">
      <c r="D6" s="16" t="s">
        <v>182</v>
      </c>
      <c r="F6" s="133" t="s">
        <v>183</v>
      </c>
      <c r="H6" s="31" t="s">
        <v>184</v>
      </c>
      <c r="I6" s="31" t="s">
        <v>184</v>
      </c>
      <c r="J6" s="133" t="s">
        <v>8</v>
      </c>
      <c r="K6" s="133" t="s">
        <v>185</v>
      </c>
    </row>
    <row r="7" spans="1:11" x14ac:dyDescent="0.25">
      <c r="D7" s="16" t="s">
        <v>186</v>
      </c>
      <c r="E7" s="38" t="s">
        <v>187</v>
      </c>
      <c r="F7" s="133" t="s">
        <v>188</v>
      </c>
      <c r="G7" s="40" t="s">
        <v>189</v>
      </c>
      <c r="H7" s="31" t="s">
        <v>190</v>
      </c>
      <c r="I7" s="31" t="s">
        <v>190</v>
      </c>
      <c r="J7" s="133" t="s">
        <v>188</v>
      </c>
      <c r="K7" s="133" t="s">
        <v>188</v>
      </c>
    </row>
    <row r="8" spans="1:11" x14ac:dyDescent="0.25">
      <c r="A8" s="35" t="s">
        <v>191</v>
      </c>
      <c r="C8" s="134" t="s">
        <v>17</v>
      </c>
      <c r="D8" s="134" t="s">
        <v>192</v>
      </c>
      <c r="E8" s="39" t="s">
        <v>193</v>
      </c>
      <c r="F8" s="135" t="s">
        <v>194</v>
      </c>
      <c r="G8" s="42" t="s">
        <v>195</v>
      </c>
      <c r="H8" s="36" t="s">
        <v>195</v>
      </c>
      <c r="I8" s="36" t="s">
        <v>196</v>
      </c>
      <c r="J8" s="135" t="s">
        <v>194</v>
      </c>
      <c r="K8" s="135" t="s">
        <v>194</v>
      </c>
    </row>
    <row r="9" spans="1:11" x14ac:dyDescent="0.25">
      <c r="A9" s="35"/>
      <c r="C9" s="134"/>
      <c r="D9" s="134"/>
      <c r="E9" s="39"/>
      <c r="F9" s="135"/>
      <c r="G9" s="42"/>
      <c r="H9" s="36"/>
      <c r="I9" s="36"/>
      <c r="J9" s="135"/>
      <c r="K9" s="135"/>
    </row>
    <row r="10" spans="1:11" x14ac:dyDescent="0.25">
      <c r="A10" s="1" t="s">
        <v>197</v>
      </c>
      <c r="C10" s="134"/>
      <c r="D10" s="134"/>
      <c r="E10" s="39"/>
      <c r="F10" s="135"/>
      <c r="G10" s="42"/>
      <c r="H10" s="36"/>
      <c r="I10" s="36"/>
      <c r="J10" s="135"/>
      <c r="K10" s="135"/>
    </row>
    <row r="11" spans="1:11" x14ac:dyDescent="0.25">
      <c r="A11" s="35"/>
      <c r="B11" t="s">
        <v>198</v>
      </c>
      <c r="C11" s="326">
        <f>10000*'COVERAGE FACTORS'!C7</f>
        <v>4132.2614567088494</v>
      </c>
      <c r="D11" s="326">
        <f>PRODUCTIVITIES!$E$8</f>
        <v>175.66894168226426</v>
      </c>
      <c r="E11" s="269">
        <f>'WAGE RATES'!$D$6</f>
        <v>50.10717457546064</v>
      </c>
      <c r="F11" s="41">
        <f>E11*100/D11</f>
        <v>28.523638894626252</v>
      </c>
      <c r="G11" s="241">
        <f>PIGGYBACKS!$B$5</f>
        <v>1.8052502472456198</v>
      </c>
      <c r="H11" s="241">
        <f>'WAGE RATES'!$D$10</f>
        <v>1.0285306172213804</v>
      </c>
      <c r="I11" s="41">
        <f>(H11-1)*F11</f>
        <v>0.81379702306345936</v>
      </c>
      <c r="J11" s="41">
        <f>F11*G11+I11</f>
        <v>52.30610318993228</v>
      </c>
      <c r="K11" s="41">
        <f>C11*J11/10000</f>
        <v>21.614249416239296</v>
      </c>
    </row>
    <row r="12" spans="1:11" x14ac:dyDescent="0.25">
      <c r="A12" s="35"/>
      <c r="B12" t="s">
        <v>199</v>
      </c>
      <c r="C12" s="326">
        <f>10000*'COVERAGE FACTORS'!C9</f>
        <v>5795.3240690519606</v>
      </c>
      <c r="D12" s="326">
        <f>PRODUCTIVITIES!$E$10</f>
        <v>194.60202715898563</v>
      </c>
      <c r="E12" s="269">
        <f>'WAGE RATES'!$D$6</f>
        <v>50.10717457546064</v>
      </c>
      <c r="F12" s="41">
        <f>E12*100/D12</f>
        <v>25.748536799426127</v>
      </c>
      <c r="G12" s="241">
        <f>PIGGYBACKS!$B$6</f>
        <v>1.6056412614911089</v>
      </c>
      <c r="H12" s="241">
        <f>'WAGE RATES'!$D$10</f>
        <v>1.0285306172213804</v>
      </c>
      <c r="I12" s="41">
        <f>(H12-1)*F12</f>
        <v>0.73462164743505387</v>
      </c>
      <c r="J12" s="41">
        <f>F12*G12+I12</f>
        <v>42.077534755615858</v>
      </c>
      <c r="K12" s="41">
        <f>C12*J12/10000</f>
        <v>24.3852949935591</v>
      </c>
    </row>
    <row r="13" spans="1:11" x14ac:dyDescent="0.25">
      <c r="A13" s="35"/>
      <c r="B13" t="s">
        <v>200</v>
      </c>
      <c r="C13" s="326">
        <f>10000*'COVERAGE FACTORS'!C11</f>
        <v>72.414474239187072</v>
      </c>
      <c r="D13" s="326">
        <f>PRODUCTIVITIES!$E$12</f>
        <v>388.77898659935892</v>
      </c>
      <c r="E13" s="269">
        <f>'WAGE RATES'!$D$6</f>
        <v>50.10717457546064</v>
      </c>
      <c r="F13" s="41">
        <f>E13*100/D13</f>
        <v>12.888344355683154</v>
      </c>
      <c r="G13" s="241">
        <f>PIGGYBACKS!$B$7</f>
        <v>1.5985378657336238</v>
      </c>
      <c r="H13" s="241">
        <f>'WAGE RATES'!$D$10</f>
        <v>1.0285306172213804</v>
      </c>
      <c r="I13" s="41">
        <f>(H13-1)*F13</f>
        <v>0.36771241942933458</v>
      </c>
      <c r="J13" s="41">
        <f>F13*G13+I13</f>
        <v>20.970218898603079</v>
      </c>
      <c r="K13" s="41">
        <f>C13*J13/10000</f>
        <v>0.15185473762230065</v>
      </c>
    </row>
    <row r="14" spans="1:11" x14ac:dyDescent="0.25">
      <c r="A14" s="35"/>
      <c r="C14" s="326"/>
      <c r="D14" s="326"/>
      <c r="E14" s="269"/>
      <c r="F14" s="270"/>
      <c r="G14" s="241"/>
      <c r="H14" s="241"/>
      <c r="I14" s="145"/>
      <c r="J14" s="270"/>
      <c r="K14" s="270"/>
    </row>
    <row r="15" spans="1:11" x14ac:dyDescent="0.25">
      <c r="A15" s="1" t="s">
        <v>201</v>
      </c>
      <c r="C15" s="326"/>
      <c r="D15" s="326"/>
      <c r="E15" s="269"/>
      <c r="F15" s="270"/>
      <c r="G15" s="241"/>
      <c r="H15" s="241"/>
      <c r="I15" s="145"/>
      <c r="J15" s="270"/>
      <c r="K15" s="270"/>
    </row>
    <row r="16" spans="1:11" s="6" customFormat="1" x14ac:dyDescent="0.25">
      <c r="A16" s="146"/>
      <c r="B16" s="146" t="s">
        <v>198</v>
      </c>
      <c r="C16" s="326">
        <f>SUM($C$11:$C$13)*'BUNDLE DENSITIES'!$K$8*'COVERAGE FACTORS'!C31</f>
        <v>4161.3204695198137</v>
      </c>
      <c r="D16" s="326">
        <f>PRODUCTIVITIES!$E$9</f>
        <v>204.15275198997298</v>
      </c>
      <c r="E16" s="269">
        <f>'WAGE RATES'!$D$6</f>
        <v>50.10717457546064</v>
      </c>
      <c r="F16" s="41">
        <f>E16*100/D16</f>
        <v>24.543962345372481</v>
      </c>
      <c r="G16" s="241">
        <f>PIGGYBACKS!$B$5</f>
        <v>1.8052502472456198</v>
      </c>
      <c r="H16" s="241">
        <f>'WAGE RATES'!$D$10</f>
        <v>1.0285306172213804</v>
      </c>
      <c r="I16" s="41">
        <f>(H16-1)*F16</f>
        <v>0.70025439477179607</v>
      </c>
      <c r="J16" s="41">
        <f>F16*G16+I16</f>
        <v>45.008248487142652</v>
      </c>
      <c r="K16" s="41">
        <f>C16*J16/10000</f>
        <v>18.72937457267809</v>
      </c>
    </row>
    <row r="17" spans="1:11" x14ac:dyDescent="0.25">
      <c r="A17" s="1"/>
      <c r="B17" t="s">
        <v>199</v>
      </c>
      <c r="C17" s="326">
        <f>SUM($C$11:$C$13)*'BUNDLE DENSITIES'!$K$8*'COVERAGE FACTORS'!C33</f>
        <v>5049.041967619326</v>
      </c>
      <c r="D17" s="326">
        <f>PRODUCTIVITIES!$E$11</f>
        <v>163.71090696460584</v>
      </c>
      <c r="E17" s="269">
        <f>'WAGE RATES'!$D$6</f>
        <v>50.10717457546064</v>
      </c>
      <c r="F17" s="41">
        <f>E17*100/D17</f>
        <v>30.607108288938726</v>
      </c>
      <c r="G17" s="241">
        <f>PIGGYBACKS!$B$6</f>
        <v>1.6056412614911089</v>
      </c>
      <c r="H17" s="241">
        <f>'WAGE RATES'!$D$10</f>
        <v>1.0285306172213804</v>
      </c>
      <c r="I17" s="41">
        <f>(H17-1)*F17</f>
        <v>0.87323969084504982</v>
      </c>
      <c r="J17" s="41">
        <f>F17*G17+I17</f>
        <v>50.017275654491598</v>
      </c>
      <c r="K17" s="41">
        <f>C17*J17/10000</f>
        <v>25.253932388551249</v>
      </c>
    </row>
    <row r="18" spans="1:11" x14ac:dyDescent="0.25">
      <c r="A18" s="1"/>
      <c r="B18" t="s">
        <v>200</v>
      </c>
      <c r="C18" s="326">
        <f>SUM($C$11:$C$13)*'BUNDLE DENSITIES'!$K$8*'COVERAGE FACTORS'!C35</f>
        <v>292.55904409657973</v>
      </c>
      <c r="D18" s="326">
        <f>PRODUCTIVITIES!$E$13</f>
        <v>388.77898659935892</v>
      </c>
      <c r="E18" s="269">
        <f>'WAGE RATES'!$D$6</f>
        <v>50.10717457546064</v>
      </c>
      <c r="F18" s="41">
        <f>E18*100/D18</f>
        <v>12.888344355683154</v>
      </c>
      <c r="G18" s="241">
        <f>PIGGYBACKS!$B$7</f>
        <v>1.5985378657336238</v>
      </c>
      <c r="H18" s="241">
        <f>'WAGE RATES'!$D$10</f>
        <v>1.0285306172213804</v>
      </c>
      <c r="I18" s="41">
        <f>(H18-1)*F18</f>
        <v>0.36771241942933458</v>
      </c>
      <c r="J18" s="41">
        <f>F18*G18+I18</f>
        <v>20.970218898603079</v>
      </c>
      <c r="K18" s="41">
        <f>C18*J18/10000</f>
        <v>0.61350271954713476</v>
      </c>
    </row>
    <row r="19" spans="1:11" x14ac:dyDescent="0.25">
      <c r="A19" s="1"/>
      <c r="C19" s="326"/>
      <c r="D19" s="326"/>
      <c r="E19" s="269"/>
      <c r="F19" s="270"/>
      <c r="G19" s="241"/>
      <c r="H19" s="241"/>
      <c r="I19" s="145"/>
      <c r="J19" s="270"/>
      <c r="K19" s="270"/>
    </row>
    <row r="20" spans="1:11" x14ac:dyDescent="0.25">
      <c r="A20" s="1" t="s">
        <v>202</v>
      </c>
      <c r="C20" s="326"/>
      <c r="D20" s="326"/>
      <c r="E20" s="269"/>
      <c r="F20" s="270"/>
      <c r="G20" s="241"/>
      <c r="H20" s="241"/>
      <c r="I20" s="145"/>
      <c r="J20" s="270"/>
      <c r="K20" s="270"/>
    </row>
    <row r="21" spans="1:11" x14ac:dyDescent="0.25">
      <c r="A21" s="1"/>
      <c r="B21" t="s">
        <v>198</v>
      </c>
      <c r="C21" s="326">
        <f>(SUM($C$11:$C$13)*'BUNDLE DENSITIES'!$K$9+SUM($C$16:$C$18)*'BUNDLE DENSITIES'!$K$16)*'COVERAGE FACTORS'!C31</f>
        <v>331.62639349247729</v>
      </c>
      <c r="D21" s="326">
        <f>PRODUCTIVITIES!$E$9</f>
        <v>204.15275198997298</v>
      </c>
      <c r="E21" s="269">
        <f>'WAGE RATES'!$D$6</f>
        <v>50.10717457546064</v>
      </c>
      <c r="F21" s="41">
        <f>E21*100/D21</f>
        <v>24.543962345372481</v>
      </c>
      <c r="G21" s="241">
        <f>PIGGYBACKS!$B$5</f>
        <v>1.8052502472456198</v>
      </c>
      <c r="H21" s="241">
        <f>'WAGE RATES'!$D$10</f>
        <v>1.0285306172213804</v>
      </c>
      <c r="I21" s="41">
        <f>(H21-1)*F21</f>
        <v>0.70025439477179607</v>
      </c>
      <c r="J21" s="41">
        <f>F21*G21+I21</f>
        <v>45.008248487142652</v>
      </c>
      <c r="K21" s="41">
        <f>C21*J21/10000</f>
        <v>1.4925923123204363</v>
      </c>
    </row>
    <row r="22" spans="1:11" x14ac:dyDescent="0.25">
      <c r="A22" s="1"/>
      <c r="B22" t="s">
        <v>199</v>
      </c>
      <c r="C22" s="326">
        <f>(SUM($C$11:$C$13)*'BUNDLE DENSITIES'!$K$9+SUM($C$16:$C$18)*'BUNDLE DENSITIES'!$K$16)*'COVERAGE FACTORS'!C33</f>
        <v>402.37121619882629</v>
      </c>
      <c r="D22" s="326">
        <f>PRODUCTIVITIES!$E$11</f>
        <v>163.71090696460584</v>
      </c>
      <c r="E22" s="269">
        <f>'WAGE RATES'!$D$6</f>
        <v>50.10717457546064</v>
      </c>
      <c r="F22" s="41">
        <f>E22*100/D22</f>
        <v>30.607108288938726</v>
      </c>
      <c r="G22" s="241">
        <f>PIGGYBACKS!$B$6</f>
        <v>1.6056412614911089</v>
      </c>
      <c r="H22" s="241">
        <f>'WAGE RATES'!$D$10</f>
        <v>1.0285306172213804</v>
      </c>
      <c r="I22" s="41">
        <f>(H22-1)*F22</f>
        <v>0.87323969084504982</v>
      </c>
      <c r="J22" s="41">
        <f>F22*G22+I22</f>
        <v>50.017275654491598</v>
      </c>
      <c r="K22" s="41">
        <f>C22*J22/10000</f>
        <v>2.0125512036049731</v>
      </c>
    </row>
    <row r="23" spans="1:11" x14ac:dyDescent="0.25">
      <c r="A23" s="1"/>
      <c r="B23" t="s">
        <v>200</v>
      </c>
      <c r="C23" s="326">
        <f>(SUM($C$11:$C$13)*'BUNDLE DENSITIES'!$K$9+SUM($C$16:$C$18)*'BUNDLE DENSITIES'!$K$16)*'COVERAGE FACTORS'!C35</f>
        <v>23.31478707011258</v>
      </c>
      <c r="D23" s="326">
        <f>PRODUCTIVITIES!$E$14</f>
        <v>388.77898659935892</v>
      </c>
      <c r="E23" s="269">
        <f>'WAGE RATES'!$D$6</f>
        <v>50.10717457546064</v>
      </c>
      <c r="F23" s="41">
        <f>E23*100/D23</f>
        <v>12.888344355683154</v>
      </c>
      <c r="G23" s="241">
        <f>PIGGYBACKS!$B$7</f>
        <v>1.5985378657336238</v>
      </c>
      <c r="H23" s="241">
        <f>'WAGE RATES'!$D$10</f>
        <v>1.0285306172213804</v>
      </c>
      <c r="I23" s="41">
        <f>(H23-1)*F23</f>
        <v>0.36771241942933458</v>
      </c>
      <c r="J23" s="41">
        <f>F23*G23+I23</f>
        <v>20.970218898603079</v>
      </c>
      <c r="K23" s="41">
        <f>C23*J23/10000</f>
        <v>4.8891618843458155E-2</v>
      </c>
    </row>
    <row r="24" spans="1:11" x14ac:dyDescent="0.25">
      <c r="A24" s="1"/>
      <c r="C24" s="326"/>
      <c r="D24" s="326"/>
      <c r="E24" s="269"/>
      <c r="F24" s="270"/>
      <c r="G24" s="241"/>
      <c r="H24" s="241"/>
      <c r="I24" s="145"/>
      <c r="J24" s="270"/>
      <c r="K24" s="270"/>
    </row>
    <row r="25" spans="1:11" x14ac:dyDescent="0.25">
      <c r="A25" s="1" t="s">
        <v>203</v>
      </c>
      <c r="C25" s="326"/>
      <c r="D25" s="326"/>
      <c r="E25" s="269"/>
      <c r="F25" s="270"/>
      <c r="G25" s="241"/>
      <c r="H25" s="241"/>
      <c r="I25" s="145"/>
      <c r="J25" s="270"/>
      <c r="K25" s="270"/>
    </row>
    <row r="26" spans="1:11" x14ac:dyDescent="0.25">
      <c r="A26" s="1"/>
      <c r="B26" t="s">
        <v>198</v>
      </c>
      <c r="C26" s="326">
        <f>(SUM($C$11:$C$13)*'BUNDLE DENSITIES'!$K$10+SUM($C$16:$C$18)*'BUNDLE DENSITIES'!$K$17+SUM($C$21:$C$23)*'BUNDLE DENSITIES'!$K$23)*'BUNDLE DATA'!$D$44*'COVERAGE FACTORS'!$C$31/('COVERAGE FACTORS'!$C$31+'COVERAGE FACTORS'!$C$33)</f>
        <v>0</v>
      </c>
      <c r="D26" s="326">
        <f>PRODUCTIVITIES!$E$9</f>
        <v>204.15275198997298</v>
      </c>
      <c r="E26" s="269">
        <f>'WAGE RATES'!$D$6</f>
        <v>50.10717457546064</v>
      </c>
      <c r="F26" s="41">
        <f>E26*100/D26</f>
        <v>24.543962345372481</v>
      </c>
      <c r="G26" s="241">
        <f>PIGGYBACKS!$B$5</f>
        <v>1.8052502472456198</v>
      </c>
      <c r="H26" s="241">
        <f>'WAGE RATES'!$D$10</f>
        <v>1.0285306172213804</v>
      </c>
      <c r="I26" s="41">
        <f>(H26-1)*F26</f>
        <v>0.70025439477179607</v>
      </c>
      <c r="J26" s="41">
        <f>F26*G26+I26</f>
        <v>45.008248487142652</v>
      </c>
      <c r="K26" s="41">
        <f>C26*J26/10000</f>
        <v>0</v>
      </c>
    </row>
    <row r="27" spans="1:11" x14ac:dyDescent="0.25">
      <c r="A27" s="1"/>
      <c r="B27" t="s">
        <v>199</v>
      </c>
      <c r="C27" s="326">
        <f>(SUM($C$11:$C$13)*'BUNDLE DENSITIES'!$K$10+SUM($C$16:$C$18)*'BUNDLE DENSITIES'!$K$17+SUM($C$21:$C$23)*'BUNDLE DENSITIES'!$K$23)*'BUNDLE DATA'!$D$44*'COVERAGE FACTORS'!$C$33/('COVERAGE FACTORS'!$C$31+'COVERAGE FACTORS'!$C$33)</f>
        <v>0</v>
      </c>
      <c r="D27" s="326">
        <f>PRODUCTIVITIES!$E$11</f>
        <v>163.71090696460584</v>
      </c>
      <c r="E27" s="269">
        <f>'WAGE RATES'!$D$6</f>
        <v>50.10717457546064</v>
      </c>
      <c r="F27" s="41">
        <f>E27*100/D27</f>
        <v>30.607108288938726</v>
      </c>
      <c r="G27" s="241">
        <f>PIGGYBACKS!$B$6</f>
        <v>1.6056412614911089</v>
      </c>
      <c r="H27" s="241">
        <f>'WAGE RATES'!$D$10</f>
        <v>1.0285306172213804</v>
      </c>
      <c r="I27" s="41">
        <f>(H27-1)*F27</f>
        <v>0.87323969084504982</v>
      </c>
      <c r="J27" s="41">
        <f>F27*G27+I27</f>
        <v>50.017275654491598</v>
      </c>
      <c r="K27" s="41">
        <f>C27*J27/10000</f>
        <v>0</v>
      </c>
    </row>
    <row r="28" spans="1:11" x14ac:dyDescent="0.25">
      <c r="A28" s="1"/>
      <c r="B28" t="s">
        <v>200</v>
      </c>
      <c r="C28" s="326">
        <f>(SUM($C$11:$C$13)*'BUNDLE DENSITIES'!$K$10+SUM($C$16:$C$18)*'BUNDLE DENSITIES'!$K$17+SUM($C$21:$C$23)*'BUNDLE DENSITIES'!$K$23)*(1-'BUNDLE DATA'!$D$44)</f>
        <v>9356.2844627527847</v>
      </c>
      <c r="D28" s="326">
        <f>PRODUCTIVITIES!E15</f>
        <v>279.13830142253454</v>
      </c>
      <c r="E28" s="269">
        <f>'WAGE RATES'!$D$6</f>
        <v>50.10717457546064</v>
      </c>
      <c r="F28" s="41">
        <f>E28*100/D28</f>
        <v>17.950662564078904</v>
      </c>
      <c r="G28" s="241">
        <f>PIGGYBACKS!$B$7</f>
        <v>1.5985378657336238</v>
      </c>
      <c r="H28" s="241">
        <f>'WAGE RATES'!$D$10</f>
        <v>1.0285306172213804</v>
      </c>
      <c r="I28" s="41">
        <f>(H28-1)*F28</f>
        <v>0.51214348248589792</v>
      </c>
      <c r="J28" s="41">
        <f>F28*G28+I28</f>
        <v>29.206957306173045</v>
      </c>
      <c r="K28" s="41">
        <f>C28*J28/10000</f>
        <v>27.326860084803076</v>
      </c>
    </row>
    <row r="29" spans="1:11" x14ac:dyDescent="0.25">
      <c r="A29" s="1"/>
      <c r="C29" s="326"/>
      <c r="D29" s="326"/>
      <c r="E29" s="269"/>
      <c r="F29" s="41"/>
      <c r="G29" s="241"/>
      <c r="H29" s="241"/>
      <c r="I29" s="41"/>
      <c r="J29" s="41"/>
      <c r="K29" s="41"/>
    </row>
    <row r="30" spans="1:11" x14ac:dyDescent="0.25">
      <c r="A30" s="1" t="s">
        <v>204</v>
      </c>
      <c r="C30" s="326">
        <v>10000</v>
      </c>
      <c r="D30" s="326">
        <f>PRODUCTIVITIES!E48</f>
        <v>307.67541406134484</v>
      </c>
      <c r="E30" s="269">
        <f>'WAGE RATES'!D6</f>
        <v>50.10717457546064</v>
      </c>
      <c r="F30" s="41">
        <f>E30*100/D30</f>
        <v>16.285725893415126</v>
      </c>
      <c r="G30" s="241">
        <f>PIGGYBACKS!B13</f>
        <v>1.3208756008457678</v>
      </c>
      <c r="H30" s="241">
        <f>'WAGE RATES'!$D$10</f>
        <v>1.0285306172213804</v>
      </c>
      <c r="I30" s="41">
        <f>(H30-1)*F30</f>
        <v>0.46464181163735019</v>
      </c>
      <c r="J30" s="41">
        <f>F30*G30+I30</f>
        <v>21.976059786311534</v>
      </c>
      <c r="K30" s="41">
        <f>C30*J30/10000</f>
        <v>21.976059786311534</v>
      </c>
    </row>
    <row r="31" spans="1:11" x14ac:dyDescent="0.25">
      <c r="A31" s="1"/>
      <c r="C31" s="326"/>
      <c r="D31" s="326"/>
      <c r="E31" s="269"/>
      <c r="F31" s="41"/>
      <c r="G31" s="241"/>
      <c r="H31" s="241"/>
      <c r="I31" s="41"/>
      <c r="J31" s="41"/>
      <c r="K31" s="41"/>
    </row>
    <row r="32" spans="1:11" ht="13.8" thickBot="1" x14ac:dyDescent="0.3">
      <c r="F32" s="41"/>
      <c r="H32" s="41"/>
      <c r="I32" s="41"/>
      <c r="J32" s="41"/>
      <c r="K32" s="40" t="str">
        <f>"(10)"</f>
        <v>(10)</v>
      </c>
    </row>
    <row r="33" spans="1:11" ht="13.8" thickBot="1" x14ac:dyDescent="0.3">
      <c r="F33" s="41"/>
      <c r="H33" s="41"/>
      <c r="I33" s="41"/>
      <c r="J33" s="136" t="s">
        <v>205</v>
      </c>
      <c r="K33" s="137">
        <f>SUM(K11:K30)</f>
        <v>143.60516383408063</v>
      </c>
    </row>
    <row r="35" spans="1:11" x14ac:dyDescent="0.25">
      <c r="A35" s="139" t="str">
        <f>"(1)"</f>
        <v>(1)</v>
      </c>
      <c r="B35" s="216" t="s">
        <v>206</v>
      </c>
      <c r="F35" s="139" t="str">
        <f>"(6)"</f>
        <v>(6)</v>
      </c>
      <c r="G35" s="1" t="s">
        <v>207</v>
      </c>
      <c r="H35" s="33"/>
    </row>
    <row r="36" spans="1:11" x14ac:dyDescent="0.25">
      <c r="A36" s="139"/>
      <c r="B36" s="1" t="s">
        <v>208</v>
      </c>
      <c r="F36" s="138" t="str">
        <f>"(7)"</f>
        <v>(7)</v>
      </c>
      <c r="G36" s="140" t="s">
        <v>209</v>
      </c>
      <c r="H36" s="33"/>
    </row>
    <row r="37" spans="1:11" x14ac:dyDescent="0.25">
      <c r="A37" s="139" t="str">
        <f>"(2)"</f>
        <v>(2)</v>
      </c>
      <c r="B37" s="1" t="s">
        <v>210</v>
      </c>
      <c r="F37" s="138" t="str">
        <f>"(8)"</f>
        <v>(8)</v>
      </c>
      <c r="G37" s="140" t="s">
        <v>211</v>
      </c>
      <c r="H37" s="33"/>
    </row>
    <row r="38" spans="1:11" x14ac:dyDescent="0.25">
      <c r="A38" s="139" t="str">
        <f>"(3)"</f>
        <v>(3)</v>
      </c>
      <c r="B38" s="1" t="s">
        <v>207</v>
      </c>
      <c r="F38" s="138" t="str">
        <f>"(9)"</f>
        <v>(9)</v>
      </c>
      <c r="G38" s="140" t="s">
        <v>212</v>
      </c>
      <c r="H38" s="33"/>
    </row>
    <row r="39" spans="1:11" x14ac:dyDescent="0.25">
      <c r="A39" s="139" t="str">
        <f>"(4)"</f>
        <v>(4)</v>
      </c>
      <c r="B39" s="1" t="s">
        <v>213</v>
      </c>
      <c r="F39" s="138" t="str">
        <f>"(10)"</f>
        <v>(10)</v>
      </c>
      <c r="G39" s="140" t="s">
        <v>214</v>
      </c>
      <c r="H39" s="33"/>
    </row>
    <row r="40" spans="1:11" x14ac:dyDescent="0.25">
      <c r="A40" s="139" t="str">
        <f>"(5)"</f>
        <v>(5)</v>
      </c>
      <c r="B40" s="1" t="s">
        <v>215</v>
      </c>
      <c r="H40" s="33"/>
    </row>
    <row r="41" spans="1:11" x14ac:dyDescent="0.25">
      <c r="G41" s="140"/>
      <c r="H41" s="33"/>
    </row>
  </sheetData>
  <phoneticPr fontId="29" type="noConversion"/>
  <printOptions horizontalCentered="1"/>
  <pageMargins left="0.75" right="0.75" top="1" bottom="1" header="0.5" footer="0.5"/>
  <pageSetup scale="70" orientation="portrait" r:id="rId1"/>
  <headerFooter alignWithMargins="0">
    <oddFooter>&amp;CTab '&amp;A'&amp;RPage 5</oddFooter>
  </headerFooter>
  <ignoredErrors>
    <ignoredError sqref="C27" formula="1"/>
  </ignoredErrors>
</worksheet>
</file>

<file path=xl/worksheets/sheet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K40"/>
  <sheetViews>
    <sheetView zoomScaleNormal="100" workbookViewId="0"/>
  </sheetViews>
  <sheetFormatPr defaultRowHeight="13.2" x14ac:dyDescent="0.25"/>
  <cols>
    <col min="1" max="1" width="7.77734375" customWidth="1"/>
    <col min="2" max="2" width="25.77734375" customWidth="1"/>
    <col min="3" max="4" width="10.77734375" style="2" customWidth="1"/>
    <col min="5" max="5" width="10.77734375" style="37" customWidth="1"/>
    <col min="6" max="6" width="10.77734375" style="132" customWidth="1"/>
    <col min="7" max="7" width="10.77734375" style="41" customWidth="1"/>
    <col min="8" max="9" width="10.77734375" style="30" customWidth="1"/>
    <col min="10" max="11" width="10.77734375" style="132" customWidth="1"/>
    <col min="12" max="27" width="9.77734375" customWidth="1"/>
  </cols>
  <sheetData>
    <row r="1" spans="1:11" ht="22.8" x14ac:dyDescent="0.4">
      <c r="A1" s="125" t="s">
        <v>216</v>
      </c>
    </row>
    <row r="2" spans="1:11" ht="17.399999999999999" x14ac:dyDescent="0.3">
      <c r="A2" s="4" t="s">
        <v>181</v>
      </c>
    </row>
    <row r="3" spans="1:11" s="6" customFormat="1" ht="12.75" customHeight="1" x14ac:dyDescent="0.25">
      <c r="A3" s="1"/>
      <c r="B3" s="146"/>
      <c r="C3" s="268"/>
      <c r="D3" s="268"/>
      <c r="E3" s="269"/>
      <c r="F3" s="270"/>
      <c r="G3" s="241"/>
      <c r="H3" s="145"/>
      <c r="I3" s="145"/>
      <c r="J3" s="270"/>
      <c r="K3" s="270"/>
    </row>
    <row r="4" spans="1:11" s="6" customFormat="1" ht="12.75" customHeight="1" x14ac:dyDescent="0.25">
      <c r="A4" s="1"/>
      <c r="B4" s="146"/>
      <c r="C4" s="16" t="str">
        <f>"(1)"</f>
        <v>(1)</v>
      </c>
      <c r="D4" s="16" t="str">
        <f>"(2)"</f>
        <v>(2)</v>
      </c>
      <c r="E4" s="38" t="str">
        <f>"(3)"</f>
        <v>(3)</v>
      </c>
      <c r="F4" s="16" t="str">
        <f>"(4)"</f>
        <v>(4)</v>
      </c>
      <c r="G4" s="40" t="str">
        <f>"(5)"</f>
        <v>(5)</v>
      </c>
      <c r="H4" s="16" t="str">
        <f>"(6)"</f>
        <v>(6)</v>
      </c>
      <c r="I4" s="16" t="str">
        <f>"(7)"</f>
        <v>(7)</v>
      </c>
      <c r="J4" s="16" t="str">
        <f>"(8)"</f>
        <v>(8)</v>
      </c>
      <c r="K4" s="16" t="str">
        <f>"(9)"</f>
        <v>(9)</v>
      </c>
    </row>
    <row r="5" spans="1:11" s="6" customFormat="1" ht="12.75" customHeight="1" x14ac:dyDescent="0.25">
      <c r="A5" s="1"/>
      <c r="B5" s="146"/>
      <c r="C5" s="268"/>
      <c r="D5" s="268"/>
      <c r="E5" s="269"/>
      <c r="F5" s="270"/>
      <c r="G5" s="241"/>
      <c r="H5" s="145"/>
      <c r="I5" s="145"/>
      <c r="J5" s="270"/>
      <c r="K5" s="270"/>
    </row>
    <row r="6" spans="1:11" x14ac:dyDescent="0.25">
      <c r="D6" s="16" t="s">
        <v>182</v>
      </c>
      <c r="F6" s="133" t="s">
        <v>183</v>
      </c>
      <c r="H6" s="31" t="s">
        <v>184</v>
      </c>
      <c r="I6" s="31" t="s">
        <v>184</v>
      </c>
      <c r="J6" s="133" t="s">
        <v>8</v>
      </c>
      <c r="K6" s="133" t="s">
        <v>185</v>
      </c>
    </row>
    <row r="7" spans="1:11" x14ac:dyDescent="0.25">
      <c r="D7" s="16" t="s">
        <v>186</v>
      </c>
      <c r="E7" s="38" t="s">
        <v>187</v>
      </c>
      <c r="F7" s="133" t="s">
        <v>188</v>
      </c>
      <c r="G7" s="40" t="s">
        <v>189</v>
      </c>
      <c r="H7" s="31" t="s">
        <v>190</v>
      </c>
      <c r="I7" s="31" t="s">
        <v>190</v>
      </c>
      <c r="J7" s="133" t="s">
        <v>188</v>
      </c>
      <c r="K7" s="133" t="s">
        <v>188</v>
      </c>
    </row>
    <row r="8" spans="1:11" x14ac:dyDescent="0.25">
      <c r="A8" s="35" t="s">
        <v>191</v>
      </c>
      <c r="C8" s="134" t="s">
        <v>17</v>
      </c>
      <c r="D8" s="134" t="s">
        <v>192</v>
      </c>
      <c r="E8" s="39" t="s">
        <v>193</v>
      </c>
      <c r="F8" s="135" t="s">
        <v>194</v>
      </c>
      <c r="G8" s="42" t="s">
        <v>195</v>
      </c>
      <c r="H8" s="36" t="s">
        <v>195</v>
      </c>
      <c r="I8" s="36" t="s">
        <v>196</v>
      </c>
      <c r="J8" s="135" t="s">
        <v>194</v>
      </c>
      <c r="K8" s="135" t="s">
        <v>194</v>
      </c>
    </row>
    <row r="9" spans="1:11" x14ac:dyDescent="0.25">
      <c r="A9" s="35"/>
      <c r="C9" s="134"/>
      <c r="D9" s="134"/>
      <c r="E9" s="39"/>
      <c r="F9" s="135"/>
      <c r="G9" s="42"/>
      <c r="H9" s="36"/>
      <c r="I9" s="36"/>
      <c r="J9" s="135"/>
      <c r="K9" s="135"/>
    </row>
    <row r="10" spans="1:11" x14ac:dyDescent="0.25">
      <c r="A10" s="1" t="s">
        <v>197</v>
      </c>
      <c r="C10" s="134"/>
      <c r="D10" s="134"/>
      <c r="E10" s="39"/>
      <c r="F10" s="135"/>
      <c r="G10" s="42"/>
      <c r="H10" s="36"/>
      <c r="I10" s="36"/>
      <c r="J10" s="135"/>
      <c r="K10" s="135"/>
    </row>
    <row r="11" spans="1:11" x14ac:dyDescent="0.25">
      <c r="A11" s="35"/>
      <c r="B11" t="s">
        <v>198</v>
      </c>
      <c r="C11" s="326">
        <v>0</v>
      </c>
      <c r="D11" s="326">
        <f>PRODUCTIVITIES!$E$8</f>
        <v>175.66894168226426</v>
      </c>
      <c r="E11" s="269">
        <f>'WAGE RATES'!$D$6</f>
        <v>50.10717457546064</v>
      </c>
      <c r="F11" s="41">
        <f>E11*100/D11</f>
        <v>28.523638894626252</v>
      </c>
      <c r="G11" s="241">
        <f>PIGGYBACKS!$B$5</f>
        <v>1.8052502472456198</v>
      </c>
      <c r="H11" s="241">
        <f>'WAGE RATES'!$D$10</f>
        <v>1.0285306172213804</v>
      </c>
      <c r="I11" s="41">
        <f>(H11-1)*F11</f>
        <v>0.81379702306345936</v>
      </c>
      <c r="J11" s="41">
        <f>F11*G11+I11</f>
        <v>52.30610318993228</v>
      </c>
      <c r="K11" s="41">
        <f>C11*J11/10000</f>
        <v>0</v>
      </c>
    </row>
    <row r="12" spans="1:11" x14ac:dyDescent="0.25">
      <c r="A12" s="35"/>
      <c r="B12" t="s">
        <v>199</v>
      </c>
      <c r="C12" s="326">
        <v>0</v>
      </c>
      <c r="D12" s="326">
        <f>PRODUCTIVITIES!$E$10</f>
        <v>194.60202715898563</v>
      </c>
      <c r="E12" s="269">
        <f>'WAGE RATES'!$D$6</f>
        <v>50.10717457546064</v>
      </c>
      <c r="F12" s="41">
        <f>E12*100/D12</f>
        <v>25.748536799426127</v>
      </c>
      <c r="G12" s="241">
        <f>PIGGYBACKS!$B$6</f>
        <v>1.6056412614911089</v>
      </c>
      <c r="H12" s="241">
        <f>'WAGE RATES'!$D$10</f>
        <v>1.0285306172213804</v>
      </c>
      <c r="I12" s="41">
        <f>(H12-1)*F12</f>
        <v>0.73462164743505387</v>
      </c>
      <c r="J12" s="41">
        <f>F12*G12+I12</f>
        <v>42.077534755615858</v>
      </c>
      <c r="K12" s="41">
        <f>C12*J12/10000</f>
        <v>0</v>
      </c>
    </row>
    <row r="13" spans="1:11" x14ac:dyDescent="0.25">
      <c r="A13" s="35"/>
      <c r="B13" t="s">
        <v>200</v>
      </c>
      <c r="C13" s="326">
        <v>0</v>
      </c>
      <c r="D13" s="326">
        <f>PRODUCTIVITIES!$E$12</f>
        <v>388.77898659935892</v>
      </c>
      <c r="E13" s="269">
        <f>'WAGE RATES'!$D$6</f>
        <v>50.10717457546064</v>
      </c>
      <c r="F13" s="41">
        <f>E13*100/D13</f>
        <v>12.888344355683154</v>
      </c>
      <c r="G13" s="241">
        <f>PIGGYBACKS!$B$7</f>
        <v>1.5985378657336238</v>
      </c>
      <c r="H13" s="241">
        <f>'WAGE RATES'!$D$10</f>
        <v>1.0285306172213804</v>
      </c>
      <c r="I13" s="41">
        <f>(H13-1)*F13</f>
        <v>0.36771241942933458</v>
      </c>
      <c r="J13" s="41">
        <f>F13*G13+I13</f>
        <v>20.970218898603079</v>
      </c>
      <c r="K13" s="41">
        <f>C13*J13/10000</f>
        <v>0</v>
      </c>
    </row>
    <row r="14" spans="1:11" x14ac:dyDescent="0.25">
      <c r="A14" s="35"/>
      <c r="C14" s="326"/>
      <c r="D14" s="326"/>
      <c r="E14" s="269"/>
      <c r="F14" s="270"/>
      <c r="G14" s="241"/>
      <c r="H14" s="241"/>
      <c r="I14" s="145"/>
      <c r="J14" s="270"/>
      <c r="K14" s="270"/>
    </row>
    <row r="15" spans="1:11" x14ac:dyDescent="0.25">
      <c r="A15" s="1" t="s">
        <v>201</v>
      </c>
      <c r="C15" s="326"/>
      <c r="D15" s="326"/>
      <c r="E15" s="269"/>
      <c r="F15" s="270"/>
      <c r="G15" s="241"/>
      <c r="H15" s="241"/>
      <c r="I15" s="145"/>
      <c r="J15" s="270"/>
      <c r="K15" s="270"/>
    </row>
    <row r="16" spans="1:11" s="6" customFormat="1" x14ac:dyDescent="0.25">
      <c r="A16" s="146"/>
      <c r="B16" s="146" t="s">
        <v>198</v>
      </c>
      <c r="C16" s="326">
        <f>10000*'COVERAGE FACTORS'!$C$31</f>
        <v>4378.9906901121631</v>
      </c>
      <c r="D16" s="326">
        <f>PRODUCTIVITIES!$E$9</f>
        <v>204.15275198997298</v>
      </c>
      <c r="E16" s="269">
        <f>'WAGE RATES'!$D$6</f>
        <v>50.10717457546064</v>
      </c>
      <c r="F16" s="41">
        <f>E16*100/D16</f>
        <v>24.543962345372481</v>
      </c>
      <c r="G16" s="241">
        <f>PIGGYBACKS!$B$5</f>
        <v>1.8052502472456198</v>
      </c>
      <c r="H16" s="241">
        <f>'WAGE RATES'!$D$10</f>
        <v>1.0285306172213804</v>
      </c>
      <c r="I16" s="41">
        <f>(H16-1)*F16</f>
        <v>0.70025439477179607</v>
      </c>
      <c r="J16" s="41">
        <f>F16*G16+I16</f>
        <v>45.008248487142652</v>
      </c>
      <c r="K16" s="41">
        <f>C16*J16/10000</f>
        <v>19.709070110345252</v>
      </c>
    </row>
    <row r="17" spans="1:11" x14ac:dyDescent="0.25">
      <c r="A17" s="1"/>
      <c r="B17" t="s">
        <v>199</v>
      </c>
      <c r="C17" s="326">
        <f>10000*'COVERAGE FACTORS'!$C$33</f>
        <v>5313.1470964892842</v>
      </c>
      <c r="D17" s="326">
        <f>PRODUCTIVITIES!$E$11</f>
        <v>163.71090696460584</v>
      </c>
      <c r="E17" s="269">
        <f>'WAGE RATES'!$D$6</f>
        <v>50.10717457546064</v>
      </c>
      <c r="F17" s="41">
        <f>E17*100/D17</f>
        <v>30.607108288938726</v>
      </c>
      <c r="G17" s="241">
        <f>PIGGYBACKS!$B$6</f>
        <v>1.6056412614911089</v>
      </c>
      <c r="H17" s="241">
        <f>'WAGE RATES'!$D$10</f>
        <v>1.0285306172213804</v>
      </c>
      <c r="I17" s="41">
        <f>(H17-1)*F17</f>
        <v>0.87323969084504982</v>
      </c>
      <c r="J17" s="41">
        <f>F17*G17+I17</f>
        <v>50.017275654491598</v>
      </c>
      <c r="K17" s="41">
        <f>C17*J17/10000</f>
        <v>26.574914291796617</v>
      </c>
    </row>
    <row r="18" spans="1:11" x14ac:dyDescent="0.25">
      <c r="A18" s="1"/>
      <c r="B18" t="s">
        <v>200</v>
      </c>
      <c r="C18" s="326">
        <f>10000*'COVERAGE FACTORS'!$C$35</f>
        <v>307.86221339854353</v>
      </c>
      <c r="D18" s="326">
        <f>PRODUCTIVITIES!$E$13</f>
        <v>388.77898659935892</v>
      </c>
      <c r="E18" s="269">
        <f>'WAGE RATES'!$D$6</f>
        <v>50.10717457546064</v>
      </c>
      <c r="F18" s="41">
        <f>E18*100/D18</f>
        <v>12.888344355683154</v>
      </c>
      <c r="G18" s="241">
        <f>PIGGYBACKS!$B$7</f>
        <v>1.5985378657336238</v>
      </c>
      <c r="H18" s="241">
        <f>'WAGE RATES'!$D$10</f>
        <v>1.0285306172213804</v>
      </c>
      <c r="I18" s="41">
        <f>(H18-1)*F18</f>
        <v>0.36771241942933458</v>
      </c>
      <c r="J18" s="41">
        <f>F18*G18+I18</f>
        <v>20.970218898603079</v>
      </c>
      <c r="K18" s="41">
        <f>C18*J18/10000</f>
        <v>0.64559380055759119</v>
      </c>
    </row>
    <row r="19" spans="1:11" x14ac:dyDescent="0.25">
      <c r="A19" s="1"/>
      <c r="C19" s="326"/>
      <c r="D19" s="326"/>
      <c r="E19" s="269"/>
      <c r="F19" s="270"/>
      <c r="G19" s="241"/>
      <c r="H19" s="241"/>
      <c r="I19" s="145"/>
      <c r="J19" s="270"/>
      <c r="K19" s="270"/>
    </row>
    <row r="20" spans="1:11" x14ac:dyDescent="0.25">
      <c r="A20" s="1" t="s">
        <v>202</v>
      </c>
      <c r="C20" s="326"/>
      <c r="D20" s="326"/>
      <c r="E20" s="269"/>
      <c r="F20" s="270"/>
      <c r="G20" s="241"/>
      <c r="H20" s="241"/>
      <c r="I20" s="145"/>
      <c r="J20" s="270"/>
      <c r="K20" s="270"/>
    </row>
    <row r="21" spans="1:11" x14ac:dyDescent="0.25">
      <c r="A21" s="1"/>
      <c r="B21" t="s">
        <v>198</v>
      </c>
      <c r="C21" s="326">
        <f>SUM($C$16:$C$18)*'BUNDLE DENSITIES'!$K$16*'COVERAGE FACTORS'!$C$31</f>
        <v>305.55572427199093</v>
      </c>
      <c r="D21" s="326">
        <f>PRODUCTIVITIES!$E$9</f>
        <v>204.15275198997298</v>
      </c>
      <c r="E21" s="269">
        <f>'WAGE RATES'!$D$6</f>
        <v>50.10717457546064</v>
      </c>
      <c r="F21" s="41">
        <f>E21*100/D21</f>
        <v>24.543962345372481</v>
      </c>
      <c r="G21" s="241">
        <f>PIGGYBACKS!$B$5</f>
        <v>1.8052502472456198</v>
      </c>
      <c r="H21" s="241">
        <f>'WAGE RATES'!$D$10</f>
        <v>1.0285306172213804</v>
      </c>
      <c r="I21" s="41">
        <f>(H21-1)*F21</f>
        <v>0.70025439477179607</v>
      </c>
      <c r="J21" s="41">
        <f>F21*G21+I21</f>
        <v>45.008248487142652</v>
      </c>
      <c r="K21" s="41">
        <f>C21*J21/10000</f>
        <v>1.3752527964702612</v>
      </c>
    </row>
    <row r="22" spans="1:11" x14ac:dyDescent="0.25">
      <c r="A22" s="1"/>
      <c r="B22" t="s">
        <v>199</v>
      </c>
      <c r="C22" s="326">
        <f>SUM($C$16:$C$18)*'BUNDLE DENSITIES'!$K$16*'COVERAGE FACTORS'!$C$33</f>
        <v>370.7389725438822</v>
      </c>
      <c r="D22" s="326">
        <f>PRODUCTIVITIES!$E$11</f>
        <v>163.71090696460584</v>
      </c>
      <c r="E22" s="269">
        <f>'WAGE RATES'!$D$6</f>
        <v>50.10717457546064</v>
      </c>
      <c r="F22" s="41">
        <f>E22*100/D22</f>
        <v>30.607108288938726</v>
      </c>
      <c r="G22" s="241">
        <f>PIGGYBACKS!$B$6</f>
        <v>1.6056412614911089</v>
      </c>
      <c r="H22" s="241">
        <f>'WAGE RATES'!$D$10</f>
        <v>1.0285306172213804</v>
      </c>
      <c r="I22" s="41">
        <f>(H22-1)*F22</f>
        <v>0.87323969084504982</v>
      </c>
      <c r="J22" s="41">
        <f>F22*G22+I22</f>
        <v>50.017275654491598</v>
      </c>
      <c r="K22" s="41">
        <f>C22*J22/10000</f>
        <v>1.8543353385590349</v>
      </c>
    </row>
    <row r="23" spans="1:11" x14ac:dyDescent="0.25">
      <c r="A23" s="1"/>
      <c r="B23" t="s">
        <v>200</v>
      </c>
      <c r="C23" s="326">
        <f>SUM($C$16:$C$18)*'BUNDLE DENSITIES'!$K$16*'COVERAGE FACTORS'!$C$35</f>
        <v>21.481904906393105</v>
      </c>
      <c r="D23" s="326">
        <f>PRODUCTIVITIES!$E$14</f>
        <v>388.77898659935892</v>
      </c>
      <c r="E23" s="269">
        <f>'WAGE RATES'!$D$6</f>
        <v>50.10717457546064</v>
      </c>
      <c r="F23" s="41">
        <f>E23*100/D23</f>
        <v>12.888344355683154</v>
      </c>
      <c r="G23" s="241">
        <f>PIGGYBACKS!$B$7</f>
        <v>1.5985378657336238</v>
      </c>
      <c r="H23" s="241">
        <f>'WAGE RATES'!$D$10</f>
        <v>1.0285306172213804</v>
      </c>
      <c r="I23" s="41">
        <f>(H23-1)*F23</f>
        <v>0.36771241942933458</v>
      </c>
      <c r="J23" s="41">
        <f>F23*G23+I23</f>
        <v>20.970218898603079</v>
      </c>
      <c r="K23" s="41">
        <f>C23*J23/10000</f>
        <v>4.5048024824603891E-2</v>
      </c>
    </row>
    <row r="24" spans="1:11" x14ac:dyDescent="0.25">
      <c r="A24" s="1"/>
      <c r="C24" s="326"/>
      <c r="D24" s="326"/>
      <c r="E24" s="269"/>
      <c r="F24" s="270"/>
      <c r="G24" s="241"/>
      <c r="H24" s="241"/>
      <c r="I24" s="145"/>
      <c r="J24" s="270"/>
      <c r="K24" s="270"/>
    </row>
    <row r="25" spans="1:11" x14ac:dyDescent="0.25">
      <c r="A25" s="1" t="s">
        <v>203</v>
      </c>
      <c r="C25" s="326"/>
      <c r="D25" s="326"/>
      <c r="E25" s="269"/>
      <c r="F25" s="270"/>
      <c r="G25" s="241"/>
      <c r="H25" s="241"/>
      <c r="I25" s="145"/>
      <c r="J25" s="270"/>
      <c r="K25" s="270"/>
    </row>
    <row r="26" spans="1:11" x14ac:dyDescent="0.25">
      <c r="A26" s="1"/>
      <c r="B26" t="s">
        <v>198</v>
      </c>
      <c r="C26" s="326">
        <f>(SUM($C$16:$C$18)*'BUNDLE DENSITIES'!$K$17+SUM($C$21:$C$23)*'BUNDLE DENSITIES'!$K$23)*'BUNDLE DATA'!$D$44*'COVERAGE FACTORS'!$C$31/('COVERAGE FACTORS'!$C$31+'COVERAGE FACTORS'!$C$33)</f>
        <v>0</v>
      </c>
      <c r="D26" s="326">
        <f>PRODUCTIVITIES!$E$9</f>
        <v>204.15275198997298</v>
      </c>
      <c r="E26" s="269">
        <f>'WAGE RATES'!$D$6</f>
        <v>50.10717457546064</v>
      </c>
      <c r="F26" s="41">
        <f>E26*100/D26</f>
        <v>24.543962345372481</v>
      </c>
      <c r="G26" s="241">
        <f>PIGGYBACKS!$B$5</f>
        <v>1.8052502472456198</v>
      </c>
      <c r="H26" s="241">
        <f>'WAGE RATES'!$D$10</f>
        <v>1.0285306172213804</v>
      </c>
      <c r="I26" s="41">
        <f>(H26-1)*F26</f>
        <v>0.70025439477179607</v>
      </c>
      <c r="J26" s="41">
        <f>F26*G26+I26</f>
        <v>45.008248487142652</v>
      </c>
      <c r="K26" s="41">
        <f>C26*J26/10000</f>
        <v>0</v>
      </c>
    </row>
    <row r="27" spans="1:11" x14ac:dyDescent="0.25">
      <c r="A27" s="1"/>
      <c r="B27" t="s">
        <v>199</v>
      </c>
      <c r="C27" s="326">
        <f>(SUM($C$16:$C$18)*'BUNDLE DENSITIES'!$K$17+SUM($C$21:$C$23)*'BUNDLE DENSITIES'!$K$23)*'BUNDLE DATA'!$D$44*'COVERAGE FACTORS'!$C$33/('COVERAGE FACTORS'!$C$31+'COVERAGE FACTORS'!$C$33)</f>
        <v>0</v>
      </c>
      <c r="D27" s="326">
        <f>PRODUCTIVITIES!$E$11</f>
        <v>163.71090696460584</v>
      </c>
      <c r="E27" s="269">
        <f>'WAGE RATES'!$D$6</f>
        <v>50.10717457546064</v>
      </c>
      <c r="F27" s="41">
        <f>E27*100/D27</f>
        <v>30.607108288938726</v>
      </c>
      <c r="G27" s="241">
        <f>PIGGYBACKS!$B$6</f>
        <v>1.6056412614911089</v>
      </c>
      <c r="H27" s="241">
        <f>'WAGE RATES'!$D$10</f>
        <v>1.0285306172213804</v>
      </c>
      <c r="I27" s="41">
        <f>(H27-1)*F27</f>
        <v>0.87323969084504982</v>
      </c>
      <c r="J27" s="41">
        <f>F27*G27+I27</f>
        <v>50.017275654491598</v>
      </c>
      <c r="K27" s="41">
        <f>C27*J27/10000</f>
        <v>0</v>
      </c>
    </row>
    <row r="28" spans="1:11" x14ac:dyDescent="0.25">
      <c r="A28" s="1"/>
      <c r="B28" t="s">
        <v>200</v>
      </c>
      <c r="C28" s="326">
        <f>(SUM($C$16:$C$18)*'BUNDLE DENSITIES'!$K$17+SUM($C$21:$C$23)*'BUNDLE DENSITIES'!$K$23)*(1-'BUNDLE DATA'!$D$44)</f>
        <v>9406.8898885360632</v>
      </c>
      <c r="D28" s="326">
        <f>PRODUCTIVITIES!E15</f>
        <v>279.13830142253454</v>
      </c>
      <c r="E28" s="269">
        <f>'WAGE RATES'!$D$6</f>
        <v>50.10717457546064</v>
      </c>
      <c r="F28" s="41">
        <f>E28*100/D28</f>
        <v>17.950662564078904</v>
      </c>
      <c r="G28" s="241">
        <f>PIGGYBACKS!$B$7</f>
        <v>1.5985378657336238</v>
      </c>
      <c r="H28" s="241">
        <f>'WAGE RATES'!$D$10</f>
        <v>1.0285306172213804</v>
      </c>
      <c r="I28" s="41">
        <f>(H28-1)*F28</f>
        <v>0.51214348248589792</v>
      </c>
      <c r="J28" s="41">
        <f>F28*G28+I28</f>
        <v>29.206957306173045</v>
      </c>
      <c r="K28" s="41">
        <f>C28*J28/10000</f>
        <v>27.474663135834369</v>
      </c>
    </row>
    <row r="29" spans="1:11" x14ac:dyDescent="0.25">
      <c r="A29" s="1"/>
      <c r="C29" s="326"/>
      <c r="D29" s="326"/>
      <c r="E29" s="269"/>
      <c r="F29" s="41"/>
      <c r="G29" s="241"/>
      <c r="H29" s="241"/>
      <c r="I29" s="41"/>
      <c r="J29" s="41"/>
      <c r="K29" s="41"/>
    </row>
    <row r="30" spans="1:11" x14ac:dyDescent="0.25">
      <c r="A30" s="1" t="s">
        <v>204</v>
      </c>
      <c r="C30" s="326">
        <v>10000</v>
      </c>
      <c r="D30" s="326">
        <f>PRODUCTIVITIES!E48</f>
        <v>307.67541406134484</v>
      </c>
      <c r="E30" s="269">
        <f>'WAGE RATES'!D6</f>
        <v>50.10717457546064</v>
      </c>
      <c r="F30" s="41">
        <f>E30*100/D30</f>
        <v>16.285725893415126</v>
      </c>
      <c r="G30" s="241">
        <f>PIGGYBACKS!B13</f>
        <v>1.3208756008457678</v>
      </c>
      <c r="H30" s="241">
        <f>'WAGE RATES'!$D$10</f>
        <v>1.0285306172213804</v>
      </c>
      <c r="I30" s="41">
        <f>(H30-1)*F30</f>
        <v>0.46464181163735019</v>
      </c>
      <c r="J30" s="41">
        <f>F30*G30+I30</f>
        <v>21.976059786311534</v>
      </c>
      <c r="K30" s="41">
        <f>C30*J30/10000</f>
        <v>21.976059786311534</v>
      </c>
    </row>
    <row r="31" spans="1:11" x14ac:dyDescent="0.25">
      <c r="A31" s="1"/>
      <c r="C31" s="326"/>
      <c r="D31" s="326"/>
      <c r="E31" s="269"/>
      <c r="F31" s="41"/>
      <c r="G31" s="241"/>
      <c r="H31" s="241"/>
      <c r="I31" s="41"/>
      <c r="J31" s="41"/>
      <c r="K31" s="41"/>
    </row>
    <row r="32" spans="1:11" ht="13.8" thickBot="1" x14ac:dyDescent="0.3">
      <c r="F32" s="41"/>
      <c r="H32" s="41"/>
      <c r="I32" s="41"/>
      <c r="J32" s="41"/>
      <c r="K32" s="40" t="str">
        <f>"(10)"</f>
        <v>(10)</v>
      </c>
    </row>
    <row r="33" spans="1:11" ht="13.8" thickBot="1" x14ac:dyDescent="0.3">
      <c r="F33" s="41"/>
      <c r="H33" s="41"/>
      <c r="I33" s="41"/>
      <c r="J33" s="136" t="s">
        <v>205</v>
      </c>
      <c r="K33" s="137">
        <f>SUM(K11:K30)</f>
        <v>99.654937284699258</v>
      </c>
    </row>
    <row r="35" spans="1:11" x14ac:dyDescent="0.25">
      <c r="A35" s="139" t="str">
        <f>"(1)"</f>
        <v>(1)</v>
      </c>
      <c r="B35" s="216" t="s">
        <v>206</v>
      </c>
      <c r="F35" s="139" t="str">
        <f>"(6)"</f>
        <v>(6)</v>
      </c>
      <c r="G35" s="1" t="s">
        <v>207</v>
      </c>
      <c r="H35" s="33"/>
    </row>
    <row r="36" spans="1:11" x14ac:dyDescent="0.25">
      <c r="A36" s="139"/>
      <c r="B36" s="1" t="s">
        <v>208</v>
      </c>
      <c r="F36" s="138" t="str">
        <f>"(7)"</f>
        <v>(7)</v>
      </c>
      <c r="G36" s="140" t="s">
        <v>209</v>
      </c>
      <c r="H36" s="33"/>
    </row>
    <row r="37" spans="1:11" x14ac:dyDescent="0.25">
      <c r="A37" s="139" t="str">
        <f>"(2)"</f>
        <v>(2)</v>
      </c>
      <c r="B37" s="1" t="s">
        <v>210</v>
      </c>
      <c r="F37" s="138" t="str">
        <f>"(8)"</f>
        <v>(8)</v>
      </c>
      <c r="G37" s="140" t="s">
        <v>211</v>
      </c>
      <c r="H37" s="33"/>
    </row>
    <row r="38" spans="1:11" x14ac:dyDescent="0.25">
      <c r="A38" s="139" t="str">
        <f>"(3)"</f>
        <v>(3)</v>
      </c>
      <c r="B38" s="1" t="s">
        <v>207</v>
      </c>
      <c r="F38" s="138" t="str">
        <f>"(9)"</f>
        <v>(9)</v>
      </c>
      <c r="G38" s="140" t="s">
        <v>212</v>
      </c>
      <c r="H38" s="33"/>
    </row>
    <row r="39" spans="1:11" x14ac:dyDescent="0.25">
      <c r="A39" s="139" t="str">
        <f>"(4)"</f>
        <v>(4)</v>
      </c>
      <c r="B39" s="1" t="s">
        <v>213</v>
      </c>
      <c r="F39" s="138" t="str">
        <f>"(10)"</f>
        <v>(10)</v>
      </c>
      <c r="G39" s="140" t="s">
        <v>214</v>
      </c>
      <c r="H39" s="33"/>
    </row>
    <row r="40" spans="1:11" x14ac:dyDescent="0.25">
      <c r="A40" s="139" t="str">
        <f>"(5)"</f>
        <v>(5)</v>
      </c>
      <c r="B40" s="1" t="s">
        <v>215</v>
      </c>
      <c r="H40" s="33"/>
    </row>
  </sheetData>
  <phoneticPr fontId="29" type="noConversion"/>
  <printOptions horizontalCentered="1"/>
  <pageMargins left="0.75" right="0.75" top="1" bottom="1" header="0.5" footer="0.5"/>
  <pageSetup scale="70" orientation="portrait" r:id="rId1"/>
  <headerFooter alignWithMargins="0">
    <oddFooter>&amp;CTab '&amp;A'&amp;RPage 6</oddFooter>
  </headerFooter>
</worksheet>
</file>

<file path=xl/worksheets/sheet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K40"/>
  <sheetViews>
    <sheetView zoomScaleNormal="100" workbookViewId="0"/>
  </sheetViews>
  <sheetFormatPr defaultRowHeight="13.2" x14ac:dyDescent="0.25"/>
  <cols>
    <col min="1" max="1" width="7.77734375" customWidth="1"/>
    <col min="2" max="2" width="25.77734375" customWidth="1"/>
    <col min="3" max="4" width="10.77734375" style="2" customWidth="1"/>
    <col min="5" max="5" width="10.77734375" style="37" customWidth="1"/>
    <col min="6" max="6" width="10.77734375" style="132" customWidth="1"/>
    <col min="7" max="7" width="10.77734375" style="41" customWidth="1"/>
    <col min="8" max="9" width="10.77734375" style="30" customWidth="1"/>
    <col min="10" max="11" width="10.77734375" style="132" customWidth="1"/>
    <col min="12" max="27" width="9.77734375" customWidth="1"/>
  </cols>
  <sheetData>
    <row r="1" spans="1:11" ht="22.8" x14ac:dyDescent="0.4">
      <c r="A1" s="125" t="s">
        <v>217</v>
      </c>
    </row>
    <row r="2" spans="1:11" ht="17.399999999999999" x14ac:dyDescent="0.3">
      <c r="A2" s="4" t="s">
        <v>181</v>
      </c>
    </row>
    <row r="3" spans="1:11" s="6" customFormat="1" ht="12.75" customHeight="1" x14ac:dyDescent="0.25">
      <c r="A3" s="1"/>
      <c r="B3" s="146"/>
      <c r="C3" s="268"/>
      <c r="D3" s="268"/>
      <c r="E3" s="269"/>
      <c r="F3" s="270"/>
      <c r="G3" s="241"/>
      <c r="H3" s="145"/>
      <c r="I3" s="145"/>
      <c r="J3" s="270"/>
      <c r="K3" s="270"/>
    </row>
    <row r="4" spans="1:11" s="6" customFormat="1" ht="12.75" customHeight="1" x14ac:dyDescent="0.25">
      <c r="A4" s="1"/>
      <c r="B4" s="146"/>
      <c r="C4" s="16" t="str">
        <f>"(1)"</f>
        <v>(1)</v>
      </c>
      <c r="D4" s="16" t="str">
        <f>"(2)"</f>
        <v>(2)</v>
      </c>
      <c r="E4" s="38" t="str">
        <f>"(3)"</f>
        <v>(3)</v>
      </c>
      <c r="F4" s="16" t="str">
        <f>"(4)"</f>
        <v>(4)</v>
      </c>
      <c r="G4" s="40" t="str">
        <f>"(5)"</f>
        <v>(5)</v>
      </c>
      <c r="H4" s="16" t="str">
        <f>"(6)"</f>
        <v>(6)</v>
      </c>
      <c r="I4" s="16" t="str">
        <f>"(7)"</f>
        <v>(7)</v>
      </c>
      <c r="J4" s="16" t="str">
        <f>"(8)"</f>
        <v>(8)</v>
      </c>
      <c r="K4" s="16" t="str">
        <f>"(9)"</f>
        <v>(9)</v>
      </c>
    </row>
    <row r="5" spans="1:11" s="6" customFormat="1" ht="12.75" customHeight="1" x14ac:dyDescent="0.25">
      <c r="A5" s="1"/>
      <c r="B5" s="146"/>
      <c r="C5" s="268"/>
      <c r="D5" s="268"/>
      <c r="E5" s="269"/>
      <c r="F5" s="270"/>
      <c r="G5" s="241"/>
      <c r="H5" s="145"/>
      <c r="I5" s="145"/>
      <c r="J5" s="270"/>
      <c r="K5" s="270"/>
    </row>
    <row r="6" spans="1:11" x14ac:dyDescent="0.25">
      <c r="D6" s="16" t="s">
        <v>182</v>
      </c>
      <c r="F6" s="133" t="s">
        <v>183</v>
      </c>
      <c r="H6" s="31" t="s">
        <v>184</v>
      </c>
      <c r="I6" s="31" t="s">
        <v>184</v>
      </c>
      <c r="J6" s="133" t="s">
        <v>8</v>
      </c>
      <c r="K6" s="133" t="s">
        <v>185</v>
      </c>
    </row>
    <row r="7" spans="1:11" x14ac:dyDescent="0.25">
      <c r="D7" s="16" t="s">
        <v>186</v>
      </c>
      <c r="E7" s="38" t="s">
        <v>187</v>
      </c>
      <c r="F7" s="133" t="s">
        <v>188</v>
      </c>
      <c r="G7" s="40" t="s">
        <v>189</v>
      </c>
      <c r="H7" s="31" t="s">
        <v>190</v>
      </c>
      <c r="I7" s="31" t="s">
        <v>190</v>
      </c>
      <c r="J7" s="133" t="s">
        <v>188</v>
      </c>
      <c r="K7" s="133" t="s">
        <v>188</v>
      </c>
    </row>
    <row r="8" spans="1:11" x14ac:dyDescent="0.25">
      <c r="A8" s="35" t="s">
        <v>191</v>
      </c>
      <c r="C8" s="134" t="s">
        <v>17</v>
      </c>
      <c r="D8" s="134" t="s">
        <v>192</v>
      </c>
      <c r="E8" s="39" t="s">
        <v>193</v>
      </c>
      <c r="F8" s="135" t="s">
        <v>194</v>
      </c>
      <c r="G8" s="42" t="s">
        <v>195</v>
      </c>
      <c r="H8" s="36" t="s">
        <v>195</v>
      </c>
      <c r="I8" s="36" t="s">
        <v>196</v>
      </c>
      <c r="J8" s="135" t="s">
        <v>194</v>
      </c>
      <c r="K8" s="135" t="s">
        <v>194</v>
      </c>
    </row>
    <row r="9" spans="1:11" x14ac:dyDescent="0.25">
      <c r="A9" s="35"/>
      <c r="C9" s="134"/>
      <c r="D9" s="134"/>
      <c r="E9" s="39"/>
      <c r="F9" s="135"/>
      <c r="G9" s="42"/>
      <c r="H9" s="36"/>
      <c r="I9" s="36"/>
      <c r="J9" s="135"/>
      <c r="K9" s="135"/>
    </row>
    <row r="10" spans="1:11" x14ac:dyDescent="0.25">
      <c r="A10" s="1" t="s">
        <v>197</v>
      </c>
      <c r="C10" s="134"/>
      <c r="D10" s="134"/>
      <c r="E10" s="39"/>
      <c r="F10" s="135"/>
      <c r="G10" s="42"/>
      <c r="H10" s="36"/>
      <c r="I10" s="36"/>
      <c r="J10" s="135"/>
      <c r="K10" s="135"/>
    </row>
    <row r="11" spans="1:11" x14ac:dyDescent="0.25">
      <c r="A11" s="35"/>
      <c r="B11" t="s">
        <v>198</v>
      </c>
      <c r="C11" s="326">
        <v>0</v>
      </c>
      <c r="D11" s="326">
        <f>PRODUCTIVITIES!$E$8</f>
        <v>175.66894168226426</v>
      </c>
      <c r="E11" s="269">
        <f>'WAGE RATES'!$D$6</f>
        <v>50.10717457546064</v>
      </c>
      <c r="F11" s="41">
        <f>E11*100/D11</f>
        <v>28.523638894626252</v>
      </c>
      <c r="G11" s="241">
        <f>PIGGYBACKS!$B$5</f>
        <v>1.8052502472456198</v>
      </c>
      <c r="H11" s="241">
        <f>'WAGE RATES'!$D$10</f>
        <v>1.0285306172213804</v>
      </c>
      <c r="I11" s="41">
        <f>(H11-1)*F11</f>
        <v>0.81379702306345936</v>
      </c>
      <c r="J11" s="41">
        <f>F11*G11+I11</f>
        <v>52.30610318993228</v>
      </c>
      <c r="K11" s="41">
        <f>C11*J11/10000</f>
        <v>0</v>
      </c>
    </row>
    <row r="12" spans="1:11" x14ac:dyDescent="0.25">
      <c r="A12" s="35"/>
      <c r="B12" t="s">
        <v>199</v>
      </c>
      <c r="C12" s="326">
        <v>0</v>
      </c>
      <c r="D12" s="326">
        <f>PRODUCTIVITIES!$E$10</f>
        <v>194.60202715898563</v>
      </c>
      <c r="E12" s="269">
        <f>'WAGE RATES'!$D$6</f>
        <v>50.10717457546064</v>
      </c>
      <c r="F12" s="41">
        <f>E12*100/D12</f>
        <v>25.748536799426127</v>
      </c>
      <c r="G12" s="241">
        <f>PIGGYBACKS!$B$6</f>
        <v>1.6056412614911089</v>
      </c>
      <c r="H12" s="241">
        <f>'WAGE RATES'!$D$10</f>
        <v>1.0285306172213804</v>
      </c>
      <c r="I12" s="41">
        <f>(H12-1)*F12</f>
        <v>0.73462164743505387</v>
      </c>
      <c r="J12" s="41">
        <f>F12*G12+I12</f>
        <v>42.077534755615858</v>
      </c>
      <c r="K12" s="41">
        <f>C12*J12/10000</f>
        <v>0</v>
      </c>
    </row>
    <row r="13" spans="1:11" x14ac:dyDescent="0.25">
      <c r="A13" s="35"/>
      <c r="B13" t="s">
        <v>200</v>
      </c>
      <c r="C13" s="326">
        <v>0</v>
      </c>
      <c r="D13" s="326">
        <f>PRODUCTIVITIES!$E$12</f>
        <v>388.77898659935892</v>
      </c>
      <c r="E13" s="269">
        <f>'WAGE RATES'!$D$6</f>
        <v>50.10717457546064</v>
      </c>
      <c r="F13" s="41">
        <f>E13*100/D13</f>
        <v>12.888344355683154</v>
      </c>
      <c r="G13" s="241">
        <f>PIGGYBACKS!$B$7</f>
        <v>1.5985378657336238</v>
      </c>
      <c r="H13" s="241">
        <f>'WAGE RATES'!$D$10</f>
        <v>1.0285306172213804</v>
      </c>
      <c r="I13" s="41">
        <f>(H13-1)*F13</f>
        <v>0.36771241942933458</v>
      </c>
      <c r="J13" s="41">
        <f>F13*G13+I13</f>
        <v>20.970218898603079</v>
      </c>
      <c r="K13" s="41">
        <f>C13*J13/10000</f>
        <v>0</v>
      </c>
    </row>
    <row r="14" spans="1:11" x14ac:dyDescent="0.25">
      <c r="A14" s="35"/>
      <c r="C14" s="326"/>
      <c r="D14" s="326"/>
      <c r="E14" s="269"/>
      <c r="F14" s="270"/>
      <c r="G14" s="241"/>
      <c r="H14" s="241"/>
      <c r="I14" s="145"/>
      <c r="J14" s="270"/>
      <c r="K14" s="270"/>
    </row>
    <row r="15" spans="1:11" x14ac:dyDescent="0.25">
      <c r="A15" s="1" t="s">
        <v>201</v>
      </c>
      <c r="C15" s="326"/>
      <c r="D15" s="326"/>
      <c r="E15" s="269"/>
      <c r="F15" s="270"/>
      <c r="G15" s="241"/>
      <c r="H15" s="241"/>
      <c r="I15" s="145"/>
      <c r="J15" s="270"/>
      <c r="K15" s="270"/>
    </row>
    <row r="16" spans="1:11" s="6" customFormat="1" x14ac:dyDescent="0.25">
      <c r="A16" s="146"/>
      <c r="B16" s="146" t="s">
        <v>198</v>
      </c>
      <c r="C16" s="326">
        <v>0</v>
      </c>
      <c r="D16" s="326">
        <f>PRODUCTIVITIES!$E$9</f>
        <v>204.15275198997298</v>
      </c>
      <c r="E16" s="269">
        <f>'WAGE RATES'!$D$6</f>
        <v>50.10717457546064</v>
      </c>
      <c r="F16" s="41">
        <f>E16*100/D16</f>
        <v>24.543962345372481</v>
      </c>
      <c r="G16" s="241">
        <f>PIGGYBACKS!$B$5</f>
        <v>1.8052502472456198</v>
      </c>
      <c r="H16" s="241">
        <f>'WAGE RATES'!$D$10</f>
        <v>1.0285306172213804</v>
      </c>
      <c r="I16" s="41">
        <f>(H16-1)*F16</f>
        <v>0.70025439477179607</v>
      </c>
      <c r="J16" s="41">
        <f>F16*G16+I16</f>
        <v>45.008248487142652</v>
      </c>
      <c r="K16" s="41">
        <f>C16*J16/10000</f>
        <v>0</v>
      </c>
    </row>
    <row r="17" spans="1:11" x14ac:dyDescent="0.25">
      <c r="A17" s="1"/>
      <c r="B17" t="s">
        <v>199</v>
      </c>
      <c r="C17" s="326">
        <v>0</v>
      </c>
      <c r="D17" s="326">
        <f>PRODUCTIVITIES!$E$11</f>
        <v>163.71090696460584</v>
      </c>
      <c r="E17" s="269">
        <f>'WAGE RATES'!$D$6</f>
        <v>50.10717457546064</v>
      </c>
      <c r="F17" s="41">
        <f>E17*100/D17</f>
        <v>30.607108288938726</v>
      </c>
      <c r="G17" s="241">
        <f>PIGGYBACKS!$B$6</f>
        <v>1.6056412614911089</v>
      </c>
      <c r="H17" s="241">
        <f>'WAGE RATES'!$D$10</f>
        <v>1.0285306172213804</v>
      </c>
      <c r="I17" s="41">
        <f>(H17-1)*F17</f>
        <v>0.87323969084504982</v>
      </c>
      <c r="J17" s="41">
        <f>F17*G17+I17</f>
        <v>50.017275654491598</v>
      </c>
      <c r="K17" s="41">
        <f>C17*J17/10000</f>
        <v>0</v>
      </c>
    </row>
    <row r="18" spans="1:11" x14ac:dyDescent="0.25">
      <c r="A18" s="1"/>
      <c r="B18" t="s">
        <v>200</v>
      </c>
      <c r="C18" s="326">
        <v>0</v>
      </c>
      <c r="D18" s="326">
        <f>PRODUCTIVITIES!$E$13</f>
        <v>388.77898659935892</v>
      </c>
      <c r="E18" s="269">
        <f>'WAGE RATES'!$D$6</f>
        <v>50.10717457546064</v>
      </c>
      <c r="F18" s="41">
        <f>E18*100/D18</f>
        <v>12.888344355683154</v>
      </c>
      <c r="G18" s="241">
        <f>PIGGYBACKS!$B$7</f>
        <v>1.5985378657336238</v>
      </c>
      <c r="H18" s="241">
        <f>'WAGE RATES'!$D$10</f>
        <v>1.0285306172213804</v>
      </c>
      <c r="I18" s="41">
        <f>(H18-1)*F18</f>
        <v>0.36771241942933458</v>
      </c>
      <c r="J18" s="41">
        <f>F18*G18+I18</f>
        <v>20.970218898603079</v>
      </c>
      <c r="K18" s="41">
        <f>C18*J18/10000</f>
        <v>0</v>
      </c>
    </row>
    <row r="19" spans="1:11" x14ac:dyDescent="0.25">
      <c r="A19" s="1"/>
      <c r="C19" s="326"/>
      <c r="D19" s="326"/>
      <c r="E19" s="269"/>
      <c r="F19" s="270"/>
      <c r="G19" s="241"/>
      <c r="H19" s="241"/>
      <c r="I19" s="145"/>
      <c r="J19" s="270"/>
      <c r="K19" s="270"/>
    </row>
    <row r="20" spans="1:11" x14ac:dyDescent="0.25">
      <c r="A20" s="1" t="s">
        <v>202</v>
      </c>
      <c r="C20" s="326"/>
      <c r="D20" s="326"/>
      <c r="E20" s="269"/>
      <c r="F20" s="270"/>
      <c r="G20" s="241"/>
      <c r="H20" s="241"/>
      <c r="I20" s="145"/>
      <c r="J20" s="270"/>
      <c r="K20" s="270"/>
    </row>
    <row r="21" spans="1:11" x14ac:dyDescent="0.25">
      <c r="A21" s="1"/>
      <c r="B21" t="s">
        <v>198</v>
      </c>
      <c r="C21" s="326">
        <f>10000*'COVERAGE FACTORS'!$C$31</f>
        <v>4378.9906901121631</v>
      </c>
      <c r="D21" s="326">
        <f>PRODUCTIVITIES!$E$9</f>
        <v>204.15275198997298</v>
      </c>
      <c r="E21" s="269">
        <f>'WAGE RATES'!$D$6</f>
        <v>50.10717457546064</v>
      </c>
      <c r="F21" s="41">
        <f>E21*100/D21</f>
        <v>24.543962345372481</v>
      </c>
      <c r="G21" s="241">
        <f>PIGGYBACKS!$B$5</f>
        <v>1.8052502472456198</v>
      </c>
      <c r="H21" s="241">
        <f>'WAGE RATES'!$D$10</f>
        <v>1.0285306172213804</v>
      </c>
      <c r="I21" s="41">
        <f>(H21-1)*F21</f>
        <v>0.70025439477179607</v>
      </c>
      <c r="J21" s="41">
        <f>F21*G21+I21</f>
        <v>45.008248487142652</v>
      </c>
      <c r="K21" s="41">
        <f>C21*J21/10000</f>
        <v>19.709070110345252</v>
      </c>
    </row>
    <row r="22" spans="1:11" x14ac:dyDescent="0.25">
      <c r="A22" s="1"/>
      <c r="B22" t="s">
        <v>199</v>
      </c>
      <c r="C22" s="326">
        <f>10000*'COVERAGE FACTORS'!$C$33</f>
        <v>5313.1470964892842</v>
      </c>
      <c r="D22" s="326">
        <f>PRODUCTIVITIES!$E$11</f>
        <v>163.71090696460584</v>
      </c>
      <c r="E22" s="269">
        <f>'WAGE RATES'!$D$6</f>
        <v>50.10717457546064</v>
      </c>
      <c r="F22" s="41">
        <f>E22*100/D22</f>
        <v>30.607108288938726</v>
      </c>
      <c r="G22" s="241">
        <f>PIGGYBACKS!$B$6</f>
        <v>1.6056412614911089</v>
      </c>
      <c r="H22" s="241">
        <f>'WAGE RATES'!$D$10</f>
        <v>1.0285306172213804</v>
      </c>
      <c r="I22" s="41">
        <f>(H22-1)*F22</f>
        <v>0.87323969084504982</v>
      </c>
      <c r="J22" s="41">
        <f>F22*G22+I22</f>
        <v>50.017275654491598</v>
      </c>
      <c r="K22" s="41">
        <f>C22*J22/10000</f>
        <v>26.574914291796617</v>
      </c>
    </row>
    <row r="23" spans="1:11" x14ac:dyDescent="0.25">
      <c r="A23" s="1"/>
      <c r="B23" t="s">
        <v>200</v>
      </c>
      <c r="C23" s="326">
        <f>10000*'COVERAGE FACTORS'!$C$35</f>
        <v>307.86221339854353</v>
      </c>
      <c r="D23" s="326">
        <f>PRODUCTIVITIES!$E$14</f>
        <v>388.77898659935892</v>
      </c>
      <c r="E23" s="269">
        <f>'WAGE RATES'!$D$6</f>
        <v>50.10717457546064</v>
      </c>
      <c r="F23" s="41">
        <f>E23*100/D23</f>
        <v>12.888344355683154</v>
      </c>
      <c r="G23" s="241">
        <f>PIGGYBACKS!$B$7</f>
        <v>1.5985378657336238</v>
      </c>
      <c r="H23" s="241">
        <f>'WAGE RATES'!$D$10</f>
        <v>1.0285306172213804</v>
      </c>
      <c r="I23" s="41">
        <f>(H23-1)*F23</f>
        <v>0.36771241942933458</v>
      </c>
      <c r="J23" s="41">
        <f>F23*G23+I23</f>
        <v>20.970218898603079</v>
      </c>
      <c r="K23" s="41">
        <f>C23*J23/10000</f>
        <v>0.64559380055759119</v>
      </c>
    </row>
    <row r="24" spans="1:11" x14ac:dyDescent="0.25">
      <c r="A24" s="1"/>
      <c r="C24" s="326"/>
      <c r="D24" s="326"/>
      <c r="E24" s="269"/>
      <c r="F24" s="270"/>
      <c r="G24" s="241"/>
      <c r="H24" s="241"/>
      <c r="I24" s="145"/>
      <c r="J24" s="270"/>
      <c r="K24" s="270"/>
    </row>
    <row r="25" spans="1:11" x14ac:dyDescent="0.25">
      <c r="A25" s="1" t="s">
        <v>203</v>
      </c>
      <c r="C25" s="326"/>
      <c r="D25" s="326"/>
      <c r="E25" s="269"/>
      <c r="F25" s="270"/>
      <c r="G25" s="241"/>
      <c r="H25" s="241"/>
      <c r="I25" s="145"/>
      <c r="J25" s="270"/>
      <c r="K25" s="270"/>
    </row>
    <row r="26" spans="1:11" x14ac:dyDescent="0.25">
      <c r="A26" s="1"/>
      <c r="B26" t="s">
        <v>198</v>
      </c>
      <c r="C26" s="326">
        <f>SUM($C$21:$C$23)*'BUNDLE DENSITIES'!$K$23*'BUNDLE DATA'!$D$44*'COVERAGE FACTORS'!$C$31/('COVERAGE FACTORS'!$C$31+'COVERAGE FACTORS'!$C$33)</f>
        <v>0</v>
      </c>
      <c r="D26" s="326">
        <f>PRODUCTIVITIES!$E$9</f>
        <v>204.15275198997298</v>
      </c>
      <c r="E26" s="269">
        <f>'WAGE RATES'!$D$6</f>
        <v>50.10717457546064</v>
      </c>
      <c r="F26" s="41">
        <f>E26*100/D26</f>
        <v>24.543962345372481</v>
      </c>
      <c r="G26" s="241">
        <f>PIGGYBACKS!$B$5</f>
        <v>1.8052502472456198</v>
      </c>
      <c r="H26" s="241">
        <f>'WAGE RATES'!$D$10</f>
        <v>1.0285306172213804</v>
      </c>
      <c r="I26" s="41">
        <f>(H26-1)*F26</f>
        <v>0.70025439477179607</v>
      </c>
      <c r="J26" s="41">
        <f>F26*G26+I26</f>
        <v>45.008248487142652</v>
      </c>
      <c r="K26" s="41">
        <f>C26*J26/10000</f>
        <v>0</v>
      </c>
    </row>
    <row r="27" spans="1:11" x14ac:dyDescent="0.25">
      <c r="A27" s="1"/>
      <c r="B27" t="s">
        <v>199</v>
      </c>
      <c r="C27" s="326">
        <f>SUM($C$21:$C$23)*'BUNDLE DENSITIES'!$K$23*'BUNDLE DATA'!$D$44*'COVERAGE FACTORS'!$C$33/('COVERAGE FACTORS'!$C$31+'COVERAGE FACTORS'!$C$33)</f>
        <v>0</v>
      </c>
      <c r="D27" s="326">
        <f>PRODUCTIVITIES!$E$11</f>
        <v>163.71090696460584</v>
      </c>
      <c r="E27" s="269">
        <f>'WAGE RATES'!$D$6</f>
        <v>50.10717457546064</v>
      </c>
      <c r="F27" s="41">
        <f>E27*100/D27</f>
        <v>30.607108288938726</v>
      </c>
      <c r="G27" s="241">
        <f>PIGGYBACKS!$B$6</f>
        <v>1.6056412614911089</v>
      </c>
      <c r="H27" s="241">
        <f>'WAGE RATES'!$D$10</f>
        <v>1.0285306172213804</v>
      </c>
      <c r="I27" s="41">
        <f>(H27-1)*F27</f>
        <v>0.87323969084504982</v>
      </c>
      <c r="J27" s="41">
        <f>F27*G27+I27</f>
        <v>50.017275654491598</v>
      </c>
      <c r="K27" s="41">
        <f>C27*J27/10000</f>
        <v>0</v>
      </c>
    </row>
    <row r="28" spans="1:11" x14ac:dyDescent="0.25">
      <c r="A28" s="1"/>
      <c r="B28" t="s">
        <v>200</v>
      </c>
      <c r="C28" s="326">
        <f>SUM($C$21:$C$23)*'BUNDLE DENSITIES'!$K$23*(1-'BUNDLE DATA'!$D$44)</f>
        <v>1499.9999999999986</v>
      </c>
      <c r="D28" s="326">
        <f>PRODUCTIVITIES!E15</f>
        <v>279.13830142253454</v>
      </c>
      <c r="E28" s="269">
        <f>'WAGE RATES'!$D$6</f>
        <v>50.10717457546064</v>
      </c>
      <c r="F28" s="41">
        <f>E28*100/D28</f>
        <v>17.950662564078904</v>
      </c>
      <c r="G28" s="241">
        <f>PIGGYBACKS!$B$7</f>
        <v>1.5985378657336238</v>
      </c>
      <c r="H28" s="241">
        <f>'WAGE RATES'!$D$10</f>
        <v>1.0285306172213804</v>
      </c>
      <c r="I28" s="41">
        <f>(H28-1)*F28</f>
        <v>0.51214348248589792</v>
      </c>
      <c r="J28" s="41">
        <f>F28*G28+I28</f>
        <v>29.206957306173045</v>
      </c>
      <c r="K28" s="41">
        <f>C28*J28/10000</f>
        <v>4.381043595925953</v>
      </c>
    </row>
    <row r="29" spans="1:11" x14ac:dyDescent="0.25">
      <c r="A29" s="1"/>
      <c r="C29" s="326"/>
      <c r="D29" s="326"/>
      <c r="E29" s="269"/>
      <c r="F29" s="41"/>
      <c r="G29" s="241"/>
      <c r="H29" s="241"/>
      <c r="I29" s="41"/>
      <c r="J29" s="41"/>
      <c r="K29" s="41"/>
    </row>
    <row r="30" spans="1:11" x14ac:dyDescent="0.25">
      <c r="A30" s="1" t="s">
        <v>204</v>
      </c>
      <c r="C30" s="326">
        <v>10000</v>
      </c>
      <c r="D30" s="326">
        <f>PRODUCTIVITIES!E48</f>
        <v>307.67541406134484</v>
      </c>
      <c r="E30" s="269">
        <f>'WAGE RATES'!D6</f>
        <v>50.10717457546064</v>
      </c>
      <c r="F30" s="41">
        <f>E30*100/D30</f>
        <v>16.285725893415126</v>
      </c>
      <c r="G30" s="241">
        <f>PIGGYBACKS!B13</f>
        <v>1.3208756008457678</v>
      </c>
      <c r="H30" s="241">
        <f>'WAGE RATES'!$D$10</f>
        <v>1.0285306172213804</v>
      </c>
      <c r="I30" s="41">
        <f>(H30-1)*F30</f>
        <v>0.46464181163735019</v>
      </c>
      <c r="J30" s="41">
        <f>F30*G30+I30</f>
        <v>21.976059786311534</v>
      </c>
      <c r="K30" s="41">
        <f>C30*J30/10000</f>
        <v>21.976059786311534</v>
      </c>
    </row>
    <row r="31" spans="1:11" x14ac:dyDescent="0.25">
      <c r="A31" s="1"/>
      <c r="C31" s="326"/>
      <c r="D31" s="326"/>
      <c r="E31" s="269"/>
      <c r="F31" s="41"/>
      <c r="G31" s="241"/>
      <c r="H31" s="241"/>
      <c r="I31" s="41"/>
      <c r="J31" s="41"/>
      <c r="K31" s="41"/>
    </row>
    <row r="32" spans="1:11" ht="13.8" thickBot="1" x14ac:dyDescent="0.3">
      <c r="F32" s="41"/>
      <c r="H32" s="41"/>
      <c r="I32" s="41"/>
      <c r="J32" s="41"/>
      <c r="K32" s="40" t="str">
        <f>"(10)"</f>
        <v>(10)</v>
      </c>
    </row>
    <row r="33" spans="1:11" ht="13.8" thickBot="1" x14ac:dyDescent="0.3">
      <c r="F33" s="41"/>
      <c r="H33" s="41"/>
      <c r="I33" s="41"/>
      <c r="J33" s="136" t="s">
        <v>205</v>
      </c>
      <c r="K33" s="137">
        <f>SUM(K11:K30)</f>
        <v>73.286681584936943</v>
      </c>
    </row>
    <row r="35" spans="1:11" x14ac:dyDescent="0.25">
      <c r="A35" s="139" t="str">
        <f>"(1)"</f>
        <v>(1)</v>
      </c>
      <c r="B35" s="216" t="s">
        <v>206</v>
      </c>
      <c r="F35" s="139" t="str">
        <f>"(6)"</f>
        <v>(6)</v>
      </c>
      <c r="G35" s="1" t="s">
        <v>207</v>
      </c>
      <c r="H35" s="33"/>
    </row>
    <row r="36" spans="1:11" x14ac:dyDescent="0.25">
      <c r="A36" s="139"/>
      <c r="B36" s="1" t="s">
        <v>208</v>
      </c>
      <c r="F36" s="138" t="str">
        <f>"(7)"</f>
        <v>(7)</v>
      </c>
      <c r="G36" s="140" t="s">
        <v>209</v>
      </c>
      <c r="H36" s="33"/>
    </row>
    <row r="37" spans="1:11" x14ac:dyDescent="0.25">
      <c r="A37" s="139" t="str">
        <f>"(2)"</f>
        <v>(2)</v>
      </c>
      <c r="B37" s="1" t="s">
        <v>210</v>
      </c>
      <c r="F37" s="138" t="str">
        <f>"(8)"</f>
        <v>(8)</v>
      </c>
      <c r="G37" s="140" t="s">
        <v>211</v>
      </c>
      <c r="H37" s="33"/>
    </row>
    <row r="38" spans="1:11" x14ac:dyDescent="0.25">
      <c r="A38" s="139" t="str">
        <f>"(3)"</f>
        <v>(3)</v>
      </c>
      <c r="B38" s="1" t="s">
        <v>207</v>
      </c>
      <c r="F38" s="138" t="str">
        <f>"(9)"</f>
        <v>(9)</v>
      </c>
      <c r="G38" s="140" t="s">
        <v>212</v>
      </c>
      <c r="H38" s="33"/>
    </row>
    <row r="39" spans="1:11" x14ac:dyDescent="0.25">
      <c r="A39" s="139" t="str">
        <f>"(4)"</f>
        <v>(4)</v>
      </c>
      <c r="B39" s="1" t="s">
        <v>213</v>
      </c>
      <c r="F39" s="138" t="str">
        <f>"(10)"</f>
        <v>(10)</v>
      </c>
      <c r="G39" s="140" t="s">
        <v>214</v>
      </c>
      <c r="H39" s="33"/>
    </row>
    <row r="40" spans="1:11" x14ac:dyDescent="0.25">
      <c r="A40" s="139" t="str">
        <f>"(5)"</f>
        <v>(5)</v>
      </c>
      <c r="B40" s="1" t="s">
        <v>215</v>
      </c>
      <c r="H40" s="33"/>
    </row>
  </sheetData>
  <phoneticPr fontId="29" type="noConversion"/>
  <printOptions horizontalCentered="1"/>
  <pageMargins left="0.75" right="0.75" top="1" bottom="1" header="0.5" footer="0.5"/>
  <pageSetup scale="70" orientation="portrait" r:id="rId1"/>
  <headerFooter alignWithMargins="0">
    <oddFooter>&amp;CTab '&amp;A'&amp;RPage 7</oddFooter>
  </headerFooter>
</worksheet>
</file>

<file path=xl/worksheets/sheet1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K40"/>
  <sheetViews>
    <sheetView zoomScale="75" workbookViewId="0"/>
  </sheetViews>
  <sheetFormatPr defaultRowHeight="13.2" x14ac:dyDescent="0.25"/>
  <cols>
    <col min="1" max="1" width="7.77734375" customWidth="1"/>
    <col min="2" max="2" width="25.77734375" customWidth="1"/>
    <col min="3" max="4" width="10.77734375" style="2" customWidth="1"/>
    <col min="5" max="5" width="10.77734375" style="37" customWidth="1"/>
    <col min="6" max="6" width="10.77734375" style="132" customWidth="1"/>
    <col min="7" max="7" width="10.77734375" style="41" customWidth="1"/>
    <col min="8" max="9" width="10.77734375" style="30" customWidth="1"/>
    <col min="10" max="11" width="10.77734375" style="132" customWidth="1"/>
    <col min="12" max="27" width="9.77734375" customWidth="1"/>
  </cols>
  <sheetData>
    <row r="1" spans="1:11" ht="22.8" x14ac:dyDescent="0.4">
      <c r="A1" s="125" t="s">
        <v>218</v>
      </c>
    </row>
    <row r="2" spans="1:11" ht="17.399999999999999" x14ac:dyDescent="0.3">
      <c r="A2" s="4" t="s">
        <v>181</v>
      </c>
    </row>
    <row r="3" spans="1:11" s="6" customFormat="1" ht="12.75" customHeight="1" x14ac:dyDescent="0.25">
      <c r="A3" s="1"/>
      <c r="B3" s="146"/>
      <c r="C3" s="268"/>
      <c r="D3" s="268"/>
      <c r="E3" s="269"/>
      <c r="F3" s="270"/>
      <c r="G3" s="241"/>
      <c r="H3" s="145"/>
      <c r="I3" s="145"/>
      <c r="J3" s="270"/>
      <c r="K3" s="270"/>
    </row>
    <row r="4" spans="1:11" s="6" customFormat="1" ht="12.75" customHeight="1" x14ac:dyDescent="0.25">
      <c r="A4" s="1"/>
      <c r="B4" s="146"/>
      <c r="C4" s="16" t="str">
        <f>"(1)"</f>
        <v>(1)</v>
      </c>
      <c r="D4" s="16" t="str">
        <f>"(2)"</f>
        <v>(2)</v>
      </c>
      <c r="E4" s="38" t="str">
        <f>"(3)"</f>
        <v>(3)</v>
      </c>
      <c r="F4" s="16" t="str">
        <f>"(4)"</f>
        <v>(4)</v>
      </c>
      <c r="G4" s="40" t="str">
        <f>"(5)"</f>
        <v>(5)</v>
      </c>
      <c r="H4" s="16" t="str">
        <f>"(6)"</f>
        <v>(6)</v>
      </c>
      <c r="I4" s="16" t="str">
        <f>"(7)"</f>
        <v>(7)</v>
      </c>
      <c r="J4" s="16" t="str">
        <f>"(8)"</f>
        <v>(8)</v>
      </c>
      <c r="K4" s="16" t="str">
        <f>"(9)"</f>
        <v>(9)</v>
      </c>
    </row>
    <row r="5" spans="1:11" s="6" customFormat="1" ht="12.75" customHeight="1" x14ac:dyDescent="0.25">
      <c r="A5" s="1"/>
      <c r="B5" s="146"/>
      <c r="C5" s="268"/>
      <c r="D5" s="268"/>
      <c r="E5" s="269"/>
      <c r="F5" s="270"/>
      <c r="G5" s="241"/>
      <c r="H5" s="145"/>
      <c r="I5" s="145"/>
      <c r="J5" s="270"/>
      <c r="K5" s="270"/>
    </row>
    <row r="6" spans="1:11" x14ac:dyDescent="0.25">
      <c r="D6" s="16" t="s">
        <v>182</v>
      </c>
      <c r="F6" s="133" t="s">
        <v>183</v>
      </c>
      <c r="H6" s="31" t="s">
        <v>184</v>
      </c>
      <c r="I6" s="31" t="s">
        <v>184</v>
      </c>
      <c r="J6" s="133" t="s">
        <v>8</v>
      </c>
      <c r="K6" s="133" t="s">
        <v>185</v>
      </c>
    </row>
    <row r="7" spans="1:11" x14ac:dyDescent="0.25">
      <c r="D7" s="16" t="s">
        <v>186</v>
      </c>
      <c r="E7" s="38" t="s">
        <v>187</v>
      </c>
      <c r="F7" s="133" t="s">
        <v>188</v>
      </c>
      <c r="G7" s="40" t="s">
        <v>189</v>
      </c>
      <c r="H7" s="31" t="s">
        <v>190</v>
      </c>
      <c r="I7" s="31" t="s">
        <v>190</v>
      </c>
      <c r="J7" s="133" t="s">
        <v>188</v>
      </c>
      <c r="K7" s="133" t="s">
        <v>188</v>
      </c>
    </row>
    <row r="8" spans="1:11" x14ac:dyDescent="0.25">
      <c r="A8" s="35" t="s">
        <v>191</v>
      </c>
      <c r="C8" s="134" t="s">
        <v>17</v>
      </c>
      <c r="D8" s="134" t="s">
        <v>192</v>
      </c>
      <c r="E8" s="39" t="s">
        <v>193</v>
      </c>
      <c r="F8" s="135" t="s">
        <v>194</v>
      </c>
      <c r="G8" s="42" t="s">
        <v>195</v>
      </c>
      <c r="H8" s="36" t="s">
        <v>195</v>
      </c>
      <c r="I8" s="36" t="s">
        <v>196</v>
      </c>
      <c r="J8" s="135" t="s">
        <v>194</v>
      </c>
      <c r="K8" s="135" t="s">
        <v>194</v>
      </c>
    </row>
    <row r="9" spans="1:11" x14ac:dyDescent="0.25">
      <c r="A9" s="35"/>
      <c r="C9" s="134"/>
      <c r="D9" s="134"/>
      <c r="E9" s="39"/>
      <c r="F9" s="135"/>
      <c r="G9" s="42"/>
      <c r="H9" s="36"/>
      <c r="I9" s="36"/>
      <c r="J9" s="135"/>
      <c r="K9" s="135"/>
    </row>
    <row r="10" spans="1:11" x14ac:dyDescent="0.25">
      <c r="A10" s="1" t="s">
        <v>197</v>
      </c>
      <c r="C10" s="134"/>
      <c r="D10" s="134"/>
      <c r="E10" s="39"/>
      <c r="F10" s="135"/>
      <c r="G10" s="42"/>
      <c r="H10" s="36"/>
      <c r="I10" s="36"/>
      <c r="J10" s="135"/>
      <c r="K10" s="135"/>
    </row>
    <row r="11" spans="1:11" x14ac:dyDescent="0.25">
      <c r="A11" s="35"/>
      <c r="B11" t="s">
        <v>198</v>
      </c>
      <c r="C11" s="326">
        <v>0</v>
      </c>
      <c r="D11" s="326">
        <f>PRODUCTIVITIES!$E$8</f>
        <v>175.66894168226426</v>
      </c>
      <c r="E11" s="269">
        <f>'WAGE RATES'!$D$6</f>
        <v>50.10717457546064</v>
      </c>
      <c r="F11" s="41">
        <f>E11*100/D11</f>
        <v>28.523638894626252</v>
      </c>
      <c r="G11" s="241">
        <f>PIGGYBACKS!$B$5</f>
        <v>1.8052502472456198</v>
      </c>
      <c r="H11" s="241">
        <f>'WAGE RATES'!$D$10</f>
        <v>1.0285306172213804</v>
      </c>
      <c r="I11" s="41">
        <f>(H11-1)*F11</f>
        <v>0.81379702306345936</v>
      </c>
      <c r="J11" s="41">
        <f>F11*G11+I11</f>
        <v>52.30610318993228</v>
      </c>
      <c r="K11" s="41">
        <f>C11*J11/10000</f>
        <v>0</v>
      </c>
    </row>
    <row r="12" spans="1:11" x14ac:dyDescent="0.25">
      <c r="A12" s="35"/>
      <c r="B12" t="s">
        <v>199</v>
      </c>
      <c r="C12" s="326">
        <v>0</v>
      </c>
      <c r="D12" s="326">
        <f>PRODUCTIVITIES!$E$10</f>
        <v>194.60202715898563</v>
      </c>
      <c r="E12" s="269">
        <f>'WAGE RATES'!$D$6</f>
        <v>50.10717457546064</v>
      </c>
      <c r="F12" s="41">
        <f>E12*100/D12</f>
        <v>25.748536799426127</v>
      </c>
      <c r="G12" s="241">
        <f>PIGGYBACKS!$B$6</f>
        <v>1.6056412614911089</v>
      </c>
      <c r="H12" s="241">
        <f>'WAGE RATES'!$D$10</f>
        <v>1.0285306172213804</v>
      </c>
      <c r="I12" s="41">
        <f>(H12-1)*F12</f>
        <v>0.73462164743505387</v>
      </c>
      <c r="J12" s="41">
        <f>F12*G12+I12</f>
        <v>42.077534755615858</v>
      </c>
      <c r="K12" s="41">
        <f>C12*J12/10000</f>
        <v>0</v>
      </c>
    </row>
    <row r="13" spans="1:11" x14ac:dyDescent="0.25">
      <c r="A13" s="35"/>
      <c r="B13" t="s">
        <v>200</v>
      </c>
      <c r="C13" s="326">
        <v>0</v>
      </c>
      <c r="D13" s="326">
        <f>PRODUCTIVITIES!$E$12</f>
        <v>388.77898659935892</v>
      </c>
      <c r="E13" s="269">
        <f>'WAGE RATES'!$D$6</f>
        <v>50.10717457546064</v>
      </c>
      <c r="F13" s="41">
        <f>E13*100/D13</f>
        <v>12.888344355683154</v>
      </c>
      <c r="G13" s="241">
        <f>PIGGYBACKS!$B$7</f>
        <v>1.5985378657336238</v>
      </c>
      <c r="H13" s="241">
        <f>'WAGE RATES'!$D$10</f>
        <v>1.0285306172213804</v>
      </c>
      <c r="I13" s="41">
        <f>(H13-1)*F13</f>
        <v>0.36771241942933458</v>
      </c>
      <c r="J13" s="41">
        <f>F13*G13+I13</f>
        <v>20.970218898603079</v>
      </c>
      <c r="K13" s="41">
        <f>C13*J13/10000</f>
        <v>0</v>
      </c>
    </row>
    <row r="14" spans="1:11" x14ac:dyDescent="0.25">
      <c r="A14" s="35"/>
      <c r="C14" s="326"/>
      <c r="D14" s="326"/>
      <c r="E14" s="269"/>
      <c r="F14" s="270"/>
      <c r="G14" s="241"/>
      <c r="H14" s="241"/>
      <c r="I14" s="145"/>
      <c r="J14" s="270"/>
      <c r="K14" s="270"/>
    </row>
    <row r="15" spans="1:11" x14ac:dyDescent="0.25">
      <c r="A15" s="1" t="s">
        <v>201</v>
      </c>
      <c r="C15" s="326"/>
      <c r="D15" s="326"/>
      <c r="E15" s="269"/>
      <c r="F15" s="270"/>
      <c r="G15" s="241"/>
      <c r="H15" s="241"/>
      <c r="I15" s="145"/>
      <c r="J15" s="270"/>
      <c r="K15" s="270"/>
    </row>
    <row r="16" spans="1:11" s="6" customFormat="1" x14ac:dyDescent="0.25">
      <c r="A16" s="146"/>
      <c r="B16" s="146" t="s">
        <v>198</v>
      </c>
      <c r="C16" s="326">
        <v>0</v>
      </c>
      <c r="D16" s="326">
        <f>PRODUCTIVITIES!$E$9</f>
        <v>204.15275198997298</v>
      </c>
      <c r="E16" s="269">
        <f>'WAGE RATES'!$D$6</f>
        <v>50.10717457546064</v>
      </c>
      <c r="F16" s="41">
        <f>E16*100/D16</f>
        <v>24.543962345372481</v>
      </c>
      <c r="G16" s="241">
        <f>PIGGYBACKS!$B$5</f>
        <v>1.8052502472456198</v>
      </c>
      <c r="H16" s="241">
        <f>'WAGE RATES'!$D$10</f>
        <v>1.0285306172213804</v>
      </c>
      <c r="I16" s="41">
        <f>(H16-1)*F16</f>
        <v>0.70025439477179607</v>
      </c>
      <c r="J16" s="41">
        <f>F16*G16+I16</f>
        <v>45.008248487142652</v>
      </c>
      <c r="K16" s="41">
        <f>C16*J16/10000</f>
        <v>0</v>
      </c>
    </row>
    <row r="17" spans="1:11" x14ac:dyDescent="0.25">
      <c r="A17" s="1"/>
      <c r="B17" t="s">
        <v>199</v>
      </c>
      <c r="C17" s="326">
        <v>0</v>
      </c>
      <c r="D17" s="326">
        <f>PRODUCTIVITIES!$E$11</f>
        <v>163.71090696460584</v>
      </c>
      <c r="E17" s="269">
        <f>'WAGE RATES'!$D$6</f>
        <v>50.10717457546064</v>
      </c>
      <c r="F17" s="41">
        <f>E17*100/D17</f>
        <v>30.607108288938726</v>
      </c>
      <c r="G17" s="241">
        <f>PIGGYBACKS!$B$6</f>
        <v>1.6056412614911089</v>
      </c>
      <c r="H17" s="241">
        <f>'WAGE RATES'!$D$10</f>
        <v>1.0285306172213804</v>
      </c>
      <c r="I17" s="41">
        <f>(H17-1)*F17</f>
        <v>0.87323969084504982</v>
      </c>
      <c r="J17" s="41">
        <f>F17*G17+I17</f>
        <v>50.017275654491598</v>
      </c>
      <c r="K17" s="41">
        <f>C17*J17/10000</f>
        <v>0</v>
      </c>
    </row>
    <row r="18" spans="1:11" x14ac:dyDescent="0.25">
      <c r="A18" s="1"/>
      <c r="B18" t="s">
        <v>200</v>
      </c>
      <c r="C18" s="326">
        <v>0</v>
      </c>
      <c r="D18" s="326">
        <f>PRODUCTIVITIES!$E$13</f>
        <v>388.77898659935892</v>
      </c>
      <c r="E18" s="269">
        <f>'WAGE RATES'!$D$6</f>
        <v>50.10717457546064</v>
      </c>
      <c r="F18" s="41">
        <f>E18*100/D18</f>
        <v>12.888344355683154</v>
      </c>
      <c r="G18" s="241">
        <f>PIGGYBACKS!$B$7</f>
        <v>1.5985378657336238</v>
      </c>
      <c r="H18" s="241">
        <f>'WAGE RATES'!$D$10</f>
        <v>1.0285306172213804</v>
      </c>
      <c r="I18" s="41">
        <f>(H18-1)*F18</f>
        <v>0.36771241942933458</v>
      </c>
      <c r="J18" s="41">
        <f>F18*G18+I18</f>
        <v>20.970218898603079</v>
      </c>
      <c r="K18" s="41">
        <f>C18*J18/10000</f>
        <v>0</v>
      </c>
    </row>
    <row r="19" spans="1:11" x14ac:dyDescent="0.25">
      <c r="A19" s="1"/>
      <c r="C19" s="326"/>
      <c r="D19" s="326"/>
      <c r="E19" s="269"/>
      <c r="F19" s="270"/>
      <c r="G19" s="241"/>
      <c r="H19" s="241"/>
      <c r="I19" s="145"/>
      <c r="J19" s="270"/>
      <c r="K19" s="270"/>
    </row>
    <row r="20" spans="1:11" x14ac:dyDescent="0.25">
      <c r="A20" s="1" t="s">
        <v>202</v>
      </c>
      <c r="C20" s="326"/>
      <c r="D20" s="326"/>
      <c r="E20" s="269"/>
      <c r="F20" s="270"/>
      <c r="G20" s="241"/>
      <c r="H20" s="241"/>
      <c r="I20" s="145"/>
      <c r="J20" s="270"/>
      <c r="K20" s="270"/>
    </row>
    <row r="21" spans="1:11" x14ac:dyDescent="0.25">
      <c r="A21" s="1"/>
      <c r="B21" t="s">
        <v>198</v>
      </c>
      <c r="C21" s="326">
        <v>0</v>
      </c>
      <c r="D21" s="326">
        <f>PRODUCTIVITIES!$E$9</f>
        <v>204.15275198997298</v>
      </c>
      <c r="E21" s="269">
        <f>'WAGE RATES'!$D$6</f>
        <v>50.10717457546064</v>
      </c>
      <c r="F21" s="41">
        <f>E21*100/D21</f>
        <v>24.543962345372481</v>
      </c>
      <c r="G21" s="241">
        <f>PIGGYBACKS!$B$5</f>
        <v>1.8052502472456198</v>
      </c>
      <c r="H21" s="241">
        <f>'WAGE RATES'!$D$10</f>
        <v>1.0285306172213804</v>
      </c>
      <c r="I21" s="41">
        <f>(H21-1)*F21</f>
        <v>0.70025439477179607</v>
      </c>
      <c r="J21" s="41">
        <f>F21*G21+I21</f>
        <v>45.008248487142652</v>
      </c>
      <c r="K21" s="41">
        <f>C21*J21/10000</f>
        <v>0</v>
      </c>
    </row>
    <row r="22" spans="1:11" x14ac:dyDescent="0.25">
      <c r="A22" s="1"/>
      <c r="B22" t="s">
        <v>199</v>
      </c>
      <c r="C22" s="326">
        <v>0</v>
      </c>
      <c r="D22" s="326">
        <f>PRODUCTIVITIES!$E$11</f>
        <v>163.71090696460584</v>
      </c>
      <c r="E22" s="269">
        <f>'WAGE RATES'!$D$6</f>
        <v>50.10717457546064</v>
      </c>
      <c r="F22" s="41">
        <f>E22*100/D22</f>
        <v>30.607108288938726</v>
      </c>
      <c r="G22" s="241">
        <f>PIGGYBACKS!$B$6</f>
        <v>1.6056412614911089</v>
      </c>
      <c r="H22" s="241">
        <f>'WAGE RATES'!$D$10</f>
        <v>1.0285306172213804</v>
      </c>
      <c r="I22" s="41">
        <f>(H22-1)*F22</f>
        <v>0.87323969084504982</v>
      </c>
      <c r="J22" s="41">
        <f>F22*G22+I22</f>
        <v>50.017275654491598</v>
      </c>
      <c r="K22" s="41">
        <f>C22*J22/10000</f>
        <v>0</v>
      </c>
    </row>
    <row r="23" spans="1:11" x14ac:dyDescent="0.25">
      <c r="A23" s="1"/>
      <c r="B23" t="s">
        <v>200</v>
      </c>
      <c r="C23" s="326">
        <v>0</v>
      </c>
      <c r="D23" s="326">
        <f>PRODUCTIVITIES!$E$14</f>
        <v>388.77898659935892</v>
      </c>
      <c r="E23" s="269">
        <f>'WAGE RATES'!$D$6</f>
        <v>50.10717457546064</v>
      </c>
      <c r="F23" s="41">
        <f>E23*100/D23</f>
        <v>12.888344355683154</v>
      </c>
      <c r="G23" s="241">
        <f>PIGGYBACKS!$B$7</f>
        <v>1.5985378657336238</v>
      </c>
      <c r="H23" s="241">
        <f>'WAGE RATES'!$D$10</f>
        <v>1.0285306172213804</v>
      </c>
      <c r="I23" s="41">
        <f>(H23-1)*F23</f>
        <v>0.36771241942933458</v>
      </c>
      <c r="J23" s="41">
        <f>F23*G23+I23</f>
        <v>20.970218898603079</v>
      </c>
      <c r="K23" s="41">
        <f>C23*J23/10000</f>
        <v>0</v>
      </c>
    </row>
    <row r="24" spans="1:11" x14ac:dyDescent="0.25">
      <c r="A24" s="1"/>
      <c r="C24" s="326"/>
      <c r="D24" s="326"/>
      <c r="E24" s="269"/>
      <c r="F24" s="270"/>
      <c r="G24" s="241"/>
      <c r="H24" s="241"/>
      <c r="I24" s="145"/>
      <c r="J24" s="270"/>
      <c r="K24" s="270"/>
    </row>
    <row r="25" spans="1:11" x14ac:dyDescent="0.25">
      <c r="A25" s="1" t="s">
        <v>203</v>
      </c>
      <c r="C25" s="326"/>
      <c r="D25" s="326"/>
      <c r="E25" s="269"/>
      <c r="F25" s="270"/>
      <c r="G25" s="241"/>
      <c r="H25" s="241"/>
      <c r="I25" s="145"/>
      <c r="J25" s="270"/>
      <c r="K25" s="270"/>
    </row>
    <row r="26" spans="1:11" x14ac:dyDescent="0.25">
      <c r="A26" s="1"/>
      <c r="B26" t="s">
        <v>198</v>
      </c>
      <c r="C26" s="326">
        <f>10000*'BUNDLE DATA'!$D$44*'COVERAGE FACTORS'!$C$31/('COVERAGE FACTORS'!$C$31+'COVERAGE FACTORS'!$C$33)</f>
        <v>0</v>
      </c>
      <c r="D26" s="326">
        <f>PRODUCTIVITIES!$E$9</f>
        <v>204.15275198997298</v>
      </c>
      <c r="E26" s="269">
        <f>'WAGE RATES'!$D$6</f>
        <v>50.10717457546064</v>
      </c>
      <c r="F26" s="41">
        <f>E26*100/D26</f>
        <v>24.543962345372481</v>
      </c>
      <c r="G26" s="241">
        <f>PIGGYBACKS!$B$5</f>
        <v>1.8052502472456198</v>
      </c>
      <c r="H26" s="241">
        <f>'WAGE RATES'!$D$10</f>
        <v>1.0285306172213804</v>
      </c>
      <c r="I26" s="41">
        <f>(H26-1)*F26</f>
        <v>0.70025439477179607</v>
      </c>
      <c r="J26" s="41">
        <f>F26*G26+I26</f>
        <v>45.008248487142652</v>
      </c>
      <c r="K26" s="41">
        <f>C26*J26/10000</f>
        <v>0</v>
      </c>
    </row>
    <row r="27" spans="1:11" x14ac:dyDescent="0.25">
      <c r="A27" s="1"/>
      <c r="B27" t="s">
        <v>199</v>
      </c>
      <c r="C27" s="326">
        <f>10000*'BUNDLE DATA'!$D$44*'COVERAGE FACTORS'!$C$33/('COVERAGE FACTORS'!$C$31+'COVERAGE FACTORS'!$C$33)</f>
        <v>0</v>
      </c>
      <c r="D27" s="326">
        <f>PRODUCTIVITIES!$E$11</f>
        <v>163.71090696460584</v>
      </c>
      <c r="E27" s="269">
        <f>'WAGE RATES'!$D$6</f>
        <v>50.10717457546064</v>
      </c>
      <c r="F27" s="41">
        <f>E27*100/D27</f>
        <v>30.607108288938726</v>
      </c>
      <c r="G27" s="241">
        <f>PIGGYBACKS!$B$6</f>
        <v>1.6056412614911089</v>
      </c>
      <c r="H27" s="241">
        <f>'WAGE RATES'!$D$10</f>
        <v>1.0285306172213804</v>
      </c>
      <c r="I27" s="41">
        <f>(H27-1)*F27</f>
        <v>0.87323969084504982</v>
      </c>
      <c r="J27" s="41">
        <f>F27*G27+I27</f>
        <v>50.017275654491598</v>
      </c>
      <c r="K27" s="41">
        <f>C27*J27/10000</f>
        <v>0</v>
      </c>
    </row>
    <row r="28" spans="1:11" x14ac:dyDescent="0.25">
      <c r="A28" s="1"/>
      <c r="B28" t="s">
        <v>200</v>
      </c>
      <c r="C28" s="326">
        <f>10000*(1-'BUNDLE DATA'!$D$44)</f>
        <v>10000</v>
      </c>
      <c r="D28" s="326">
        <f>PRODUCTIVITIES!E15</f>
        <v>279.13830142253454</v>
      </c>
      <c r="E28" s="269">
        <f>'WAGE RATES'!$D$6</f>
        <v>50.10717457546064</v>
      </c>
      <c r="F28" s="41">
        <f>E28*100/D28</f>
        <v>17.950662564078904</v>
      </c>
      <c r="G28" s="241">
        <f>PIGGYBACKS!$B$7</f>
        <v>1.5985378657336238</v>
      </c>
      <c r="H28" s="241">
        <f>'WAGE RATES'!$D$10</f>
        <v>1.0285306172213804</v>
      </c>
      <c r="I28" s="41">
        <f>(H28-1)*F28</f>
        <v>0.51214348248589792</v>
      </c>
      <c r="J28" s="41">
        <f>F28*G28+I28</f>
        <v>29.206957306173045</v>
      </c>
      <c r="K28" s="41">
        <f>C28*J28/10000</f>
        <v>29.206957306173049</v>
      </c>
    </row>
    <row r="29" spans="1:11" x14ac:dyDescent="0.25">
      <c r="A29" s="1"/>
      <c r="C29" s="326"/>
      <c r="D29" s="326"/>
      <c r="E29" s="269"/>
      <c r="F29" s="41"/>
      <c r="G29" s="241"/>
      <c r="H29" s="241"/>
      <c r="I29" s="41"/>
      <c r="J29" s="41"/>
      <c r="K29" s="41"/>
    </row>
    <row r="30" spans="1:11" x14ac:dyDescent="0.25">
      <c r="A30" s="1" t="s">
        <v>204</v>
      </c>
      <c r="C30" s="326">
        <v>10000</v>
      </c>
      <c r="D30" s="326">
        <f>PRODUCTIVITIES!E48</f>
        <v>307.67541406134484</v>
      </c>
      <c r="E30" s="269">
        <f>'WAGE RATES'!D6</f>
        <v>50.10717457546064</v>
      </c>
      <c r="F30" s="41">
        <f>E30*100/D30</f>
        <v>16.285725893415126</v>
      </c>
      <c r="G30" s="241">
        <f>PIGGYBACKS!B13</f>
        <v>1.3208756008457678</v>
      </c>
      <c r="H30" s="241">
        <f>'WAGE RATES'!$D$10</f>
        <v>1.0285306172213804</v>
      </c>
      <c r="I30" s="41">
        <f>(H30-1)*F30</f>
        <v>0.46464181163735019</v>
      </c>
      <c r="J30" s="41">
        <f>F30*G30+I30</f>
        <v>21.976059786311534</v>
      </c>
      <c r="K30" s="41">
        <f>C30*J30/10000</f>
        <v>21.976059786311534</v>
      </c>
    </row>
    <row r="31" spans="1:11" x14ac:dyDescent="0.25">
      <c r="A31" s="1"/>
      <c r="C31" s="326"/>
      <c r="D31" s="326"/>
      <c r="E31" s="269"/>
      <c r="F31" s="41"/>
      <c r="G31" s="241"/>
      <c r="H31" s="241"/>
      <c r="I31" s="41"/>
      <c r="J31" s="41"/>
      <c r="K31" s="41"/>
    </row>
    <row r="32" spans="1:11" ht="13.8" thickBot="1" x14ac:dyDescent="0.3">
      <c r="F32" s="41"/>
      <c r="H32" s="41"/>
      <c r="I32" s="41"/>
      <c r="J32" s="41"/>
      <c r="K32" s="40" t="str">
        <f>"(10)"</f>
        <v>(10)</v>
      </c>
    </row>
    <row r="33" spans="1:11" ht="13.8" thickBot="1" x14ac:dyDescent="0.3">
      <c r="F33" s="41"/>
      <c r="H33" s="41"/>
      <c r="I33" s="41"/>
      <c r="J33" s="136" t="s">
        <v>205</v>
      </c>
      <c r="K33" s="137">
        <f>SUM(K11:K30)</f>
        <v>51.183017092484583</v>
      </c>
    </row>
    <row r="35" spans="1:11" x14ac:dyDescent="0.25">
      <c r="A35" s="139" t="str">
        <f>"(1)"</f>
        <v>(1)</v>
      </c>
      <c r="B35" s="216" t="s">
        <v>206</v>
      </c>
      <c r="F35" s="139" t="str">
        <f>"(6)"</f>
        <v>(6)</v>
      </c>
      <c r="G35" s="1" t="s">
        <v>207</v>
      </c>
      <c r="H35" s="33"/>
    </row>
    <row r="36" spans="1:11" x14ac:dyDescent="0.25">
      <c r="A36" s="139"/>
      <c r="B36" s="1" t="s">
        <v>208</v>
      </c>
      <c r="F36" s="138" t="str">
        <f>"(7)"</f>
        <v>(7)</v>
      </c>
      <c r="G36" s="140" t="s">
        <v>209</v>
      </c>
      <c r="H36" s="33"/>
    </row>
    <row r="37" spans="1:11" x14ac:dyDescent="0.25">
      <c r="A37" s="139" t="str">
        <f>"(2)"</f>
        <v>(2)</v>
      </c>
      <c r="B37" s="1" t="s">
        <v>210</v>
      </c>
      <c r="F37" s="138" t="str">
        <f>"(8)"</f>
        <v>(8)</v>
      </c>
      <c r="G37" s="140" t="s">
        <v>211</v>
      </c>
      <c r="H37" s="33"/>
    </row>
    <row r="38" spans="1:11" x14ac:dyDescent="0.25">
      <c r="A38" s="139" t="str">
        <f>"(3)"</f>
        <v>(3)</v>
      </c>
      <c r="B38" s="1" t="s">
        <v>207</v>
      </c>
      <c r="F38" s="138" t="str">
        <f>"(9)"</f>
        <v>(9)</v>
      </c>
      <c r="G38" s="140" t="s">
        <v>212</v>
      </c>
      <c r="H38" s="33"/>
    </row>
    <row r="39" spans="1:11" x14ac:dyDescent="0.25">
      <c r="A39" s="139" t="str">
        <f>"(4)"</f>
        <v>(4)</v>
      </c>
      <c r="B39" s="1" t="s">
        <v>213</v>
      </c>
      <c r="F39" s="138" t="str">
        <f>"(10)"</f>
        <v>(10)</v>
      </c>
      <c r="G39" s="140" t="s">
        <v>214</v>
      </c>
      <c r="H39" s="33"/>
    </row>
    <row r="40" spans="1:11" x14ac:dyDescent="0.25">
      <c r="A40" s="139" t="str">
        <f>"(5)"</f>
        <v>(5)</v>
      </c>
      <c r="B40" s="1" t="s">
        <v>215</v>
      </c>
      <c r="H40" s="33"/>
    </row>
  </sheetData>
  <phoneticPr fontId="29" type="noConversion"/>
  <printOptions horizontalCentered="1"/>
  <pageMargins left="0.75" right="0.75" top="1" bottom="1" header="0.5" footer="0.5"/>
  <pageSetup scale="70" orientation="portrait" r:id="rId1"/>
  <headerFooter alignWithMargins="0">
    <oddFooter>&amp;CTab '&amp;A'&amp;RPage 8</oddFooter>
  </headerFooter>
</worksheet>
</file>

<file path=xl/worksheets/sheet1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O86"/>
  <sheetViews>
    <sheetView zoomScale="70" zoomScaleNormal="70" workbookViewId="0"/>
  </sheetViews>
  <sheetFormatPr defaultRowHeight="13.2" x14ac:dyDescent="0.25"/>
  <cols>
    <col min="1" max="1" width="5.77734375" customWidth="1"/>
    <col min="2" max="2" width="25.77734375" customWidth="1"/>
    <col min="3" max="4" width="10.77734375" style="2" customWidth="1"/>
    <col min="5" max="5" width="10.77734375" style="37" customWidth="1"/>
    <col min="6" max="6" width="10.77734375" style="132" customWidth="1"/>
    <col min="7" max="7" width="10.77734375" style="41" customWidth="1"/>
    <col min="8" max="9" width="10.77734375" style="30" customWidth="1"/>
    <col min="10" max="10" width="10.77734375" style="132" customWidth="1"/>
    <col min="11" max="26" width="9.77734375" customWidth="1"/>
  </cols>
  <sheetData>
    <row r="1" spans="1:11" ht="22.8" x14ac:dyDescent="0.4">
      <c r="A1" s="125" t="s">
        <v>219</v>
      </c>
    </row>
    <row r="2" spans="1:11" ht="17.399999999999999" x14ac:dyDescent="0.3">
      <c r="A2" s="4" t="s">
        <v>181</v>
      </c>
    </row>
    <row r="3" spans="1:11" s="6" customFormat="1" ht="12.75" customHeight="1" x14ac:dyDescent="0.25">
      <c r="A3" s="1"/>
      <c r="B3" s="146"/>
      <c r="C3" s="268"/>
      <c r="D3" s="268"/>
      <c r="E3" s="269"/>
      <c r="F3" s="270"/>
      <c r="G3" s="241"/>
      <c r="H3" s="145"/>
      <c r="I3" s="145"/>
      <c r="J3" s="270"/>
      <c r="K3" s="146"/>
    </row>
    <row r="4" spans="1:11" s="6" customFormat="1" ht="12.75" customHeight="1" x14ac:dyDescent="0.25">
      <c r="A4" s="1"/>
      <c r="B4" s="146"/>
      <c r="C4" s="16" t="str">
        <f>"(1)"</f>
        <v>(1)</v>
      </c>
      <c r="D4" s="16" t="str">
        <f>"(2)"</f>
        <v>(2)</v>
      </c>
      <c r="E4" s="38" t="str">
        <f>"(3)"</f>
        <v>(3)</v>
      </c>
      <c r="F4" s="16" t="str">
        <f>"(4)"</f>
        <v>(4)</v>
      </c>
      <c r="G4" s="40" t="str">
        <f>"(5)"</f>
        <v>(5)</v>
      </c>
      <c r="H4" s="16" t="str">
        <f>"(6)"</f>
        <v>(6)</v>
      </c>
      <c r="I4" s="16" t="str">
        <f>"(7)"</f>
        <v>(7)</v>
      </c>
      <c r="J4" s="16" t="str">
        <f>"(8)"</f>
        <v>(8)</v>
      </c>
      <c r="K4" s="16" t="str">
        <f>"(9)"</f>
        <v>(9)</v>
      </c>
    </row>
    <row r="5" spans="1:11" s="6" customFormat="1" ht="12.75" customHeight="1" x14ac:dyDescent="0.25">
      <c r="A5" s="1"/>
      <c r="B5" s="146"/>
      <c r="C5" s="268"/>
      <c r="D5" s="268"/>
      <c r="E5" s="269"/>
      <c r="F5" s="270"/>
      <c r="G5" s="241"/>
      <c r="H5" s="145"/>
      <c r="I5" s="145"/>
      <c r="J5" s="270"/>
      <c r="K5"/>
    </row>
    <row r="6" spans="1:11" x14ac:dyDescent="0.25">
      <c r="D6" s="16" t="s">
        <v>182</v>
      </c>
      <c r="F6" s="133" t="s">
        <v>183</v>
      </c>
      <c r="H6" s="31" t="s">
        <v>184</v>
      </c>
      <c r="I6" s="31" t="s">
        <v>184</v>
      </c>
      <c r="J6" s="133" t="s">
        <v>8</v>
      </c>
      <c r="K6" s="133" t="s">
        <v>185</v>
      </c>
    </row>
    <row r="7" spans="1:11" x14ac:dyDescent="0.25">
      <c r="C7"/>
      <c r="D7" s="16" t="s">
        <v>186</v>
      </c>
      <c r="E7" s="38" t="s">
        <v>187</v>
      </c>
      <c r="F7" s="133" t="s">
        <v>188</v>
      </c>
      <c r="G7" s="40" t="s">
        <v>189</v>
      </c>
      <c r="H7" s="31" t="s">
        <v>190</v>
      </c>
      <c r="I7" s="31" t="s">
        <v>190</v>
      </c>
      <c r="J7" s="133" t="s">
        <v>188</v>
      </c>
      <c r="K7" s="133" t="s">
        <v>188</v>
      </c>
    </row>
    <row r="8" spans="1:11" x14ac:dyDescent="0.25">
      <c r="A8" s="35" t="s">
        <v>191</v>
      </c>
      <c r="C8" s="134" t="s">
        <v>17</v>
      </c>
      <c r="D8" s="134" t="s">
        <v>192</v>
      </c>
      <c r="E8" s="39" t="s">
        <v>193</v>
      </c>
      <c r="F8" s="135" t="s">
        <v>194</v>
      </c>
      <c r="G8" s="42" t="s">
        <v>195</v>
      </c>
      <c r="H8" s="36" t="s">
        <v>195</v>
      </c>
      <c r="I8" s="36" t="s">
        <v>196</v>
      </c>
      <c r="J8" s="135" t="s">
        <v>194</v>
      </c>
      <c r="K8" s="135" t="s">
        <v>194</v>
      </c>
    </row>
    <row r="9" spans="1:11" x14ac:dyDescent="0.25">
      <c r="A9" s="35"/>
      <c r="C9" s="134"/>
      <c r="D9" s="134"/>
      <c r="E9" s="39"/>
      <c r="F9" s="135"/>
      <c r="G9" s="42"/>
      <c r="H9" s="36"/>
      <c r="I9" s="36"/>
      <c r="J9" s="135"/>
    </row>
    <row r="10" spans="1:11" x14ac:dyDescent="0.25">
      <c r="A10" s="1" t="s">
        <v>220</v>
      </c>
      <c r="C10" s="134"/>
      <c r="D10" s="134"/>
      <c r="E10" s="39"/>
      <c r="F10" s="135"/>
      <c r="G10" s="42"/>
      <c r="H10" s="36"/>
      <c r="I10" s="36"/>
      <c r="J10" s="135"/>
    </row>
    <row r="11" spans="1:11" x14ac:dyDescent="0.25">
      <c r="A11" s="35"/>
      <c r="B11" t="s">
        <v>198</v>
      </c>
      <c r="C11" s="326">
        <f>'BUNDLE SORT'!$F$34*('COVERAGE FACTORS'!$C$7/('COVERAGE FACTORS'!$C$7+'COVERAGE FACTORS'!$C$9))</f>
        <v>0</v>
      </c>
      <c r="D11" s="326">
        <f>PRODUCTIVITIES!$E$8</f>
        <v>175.66894168226426</v>
      </c>
      <c r="E11" s="269">
        <f>'WAGE RATES'!$D$6</f>
        <v>50.10717457546064</v>
      </c>
      <c r="F11" s="41">
        <f>E11*100/D11</f>
        <v>28.523638894626252</v>
      </c>
      <c r="G11" s="241">
        <f>PIGGYBACKS!$B$5</f>
        <v>1.8052502472456198</v>
      </c>
      <c r="H11" s="241">
        <f>'WAGE RATES'!$D$10</f>
        <v>1.0285306172213804</v>
      </c>
      <c r="I11" s="41">
        <f>(H11-1)*F11</f>
        <v>0.81379702306345936</v>
      </c>
      <c r="J11" s="41">
        <f>F11*G11+I11</f>
        <v>52.30610318993228</v>
      </c>
      <c r="K11" s="41">
        <f ca="1">C11*$J11/'NONAUTO MODEL'!$G$6</f>
        <v>0</v>
      </c>
    </row>
    <row r="12" spans="1:11" x14ac:dyDescent="0.25">
      <c r="A12" s="35"/>
      <c r="B12" t="s">
        <v>199</v>
      </c>
      <c r="C12" s="326">
        <f>'BUNDLE SORT'!$F$34*('COVERAGE FACTORS'!$C$9/('COVERAGE FACTORS'!$C$7+'COVERAGE FACTORS'!$C$9))</f>
        <v>0</v>
      </c>
      <c r="D12" s="326">
        <f>PRODUCTIVITIES!$E$10</f>
        <v>194.60202715898563</v>
      </c>
      <c r="E12" s="269">
        <f>'WAGE RATES'!$D$6</f>
        <v>50.10717457546064</v>
      </c>
      <c r="F12" s="41">
        <f>E12*100/D12</f>
        <v>25.748536799426127</v>
      </c>
      <c r="G12" s="241">
        <f>PIGGYBACKS!$B$6</f>
        <v>1.6056412614911089</v>
      </c>
      <c r="H12" s="241">
        <f>'WAGE RATES'!$D$10</f>
        <v>1.0285306172213804</v>
      </c>
      <c r="I12" s="41">
        <f>(H12-1)*F12</f>
        <v>0.73462164743505387</v>
      </c>
      <c r="J12" s="41">
        <f>F12*G12+I12</f>
        <v>42.077534755615858</v>
      </c>
      <c r="K12" s="41">
        <f ca="1">C12*$J12/'NONAUTO MODEL'!$G$6</f>
        <v>0</v>
      </c>
    </row>
    <row r="13" spans="1:11" x14ac:dyDescent="0.25">
      <c r="A13" s="35"/>
      <c r="B13" t="s">
        <v>200</v>
      </c>
      <c r="C13" s="326">
        <f>'BUNDLE SORT'!$G$34</f>
        <v>64.731692505774646</v>
      </c>
      <c r="D13" s="326">
        <f>PRODUCTIVITIES!$E$12</f>
        <v>388.77898659935892</v>
      </c>
      <c r="E13" s="269">
        <f>'WAGE RATES'!$D$6</f>
        <v>50.10717457546064</v>
      </c>
      <c r="F13" s="41">
        <f>E13*100/D13</f>
        <v>12.888344355683154</v>
      </c>
      <c r="G13" s="241">
        <f>PIGGYBACKS!$B$7</f>
        <v>1.5985378657336238</v>
      </c>
      <c r="H13" s="241">
        <f>'WAGE RATES'!$D$10</f>
        <v>1.0285306172213804</v>
      </c>
      <c r="I13" s="41">
        <f>(H13-1)*F13</f>
        <v>0.36771241942933458</v>
      </c>
      <c r="J13" s="41">
        <f>F13*G13+I13</f>
        <v>20.970218898603079</v>
      </c>
      <c r="K13" s="41">
        <f ca="1">C13*$J13/'NONAUTO MODEL'!$G$6</f>
        <v>0.13574377615231603</v>
      </c>
    </row>
    <row r="14" spans="1:11" x14ac:dyDescent="0.25">
      <c r="A14" s="35"/>
      <c r="C14" s="326"/>
      <c r="D14" s="326"/>
      <c r="E14" s="269"/>
      <c r="F14" s="270"/>
      <c r="G14" s="241"/>
      <c r="H14" s="241"/>
      <c r="I14" s="145"/>
      <c r="J14" s="270"/>
      <c r="K14" s="41"/>
    </row>
    <row r="15" spans="1:11" x14ac:dyDescent="0.25">
      <c r="A15" s="1" t="s">
        <v>221</v>
      </c>
      <c r="C15" s="326"/>
      <c r="D15" s="326"/>
      <c r="E15" s="269"/>
      <c r="F15" s="270"/>
      <c r="G15" s="241"/>
      <c r="H15" s="241"/>
      <c r="I15" s="145"/>
      <c r="J15" s="270"/>
      <c r="K15" s="41"/>
    </row>
    <row r="16" spans="1:11" s="6" customFormat="1" x14ac:dyDescent="0.25">
      <c r="A16" s="146"/>
      <c r="B16" s="146" t="s">
        <v>198</v>
      </c>
      <c r="C16" s="326">
        <f>'BUNDLE SORT'!$J$34*('COVERAGE FACTORS'!$C$31/('COVERAGE FACTORS'!$C$31+'COVERAGE FACTORS'!$C$33))</f>
        <v>27.865705703609237</v>
      </c>
      <c r="D16" s="326">
        <f>PRODUCTIVITIES!$E$9</f>
        <v>204.15275198997298</v>
      </c>
      <c r="E16" s="269">
        <f>'WAGE RATES'!$D$6</f>
        <v>50.10717457546064</v>
      </c>
      <c r="F16" s="41">
        <f>E16*100/D16</f>
        <v>24.543962345372481</v>
      </c>
      <c r="G16" s="241">
        <f>PIGGYBACKS!$B$5</f>
        <v>1.8052502472456198</v>
      </c>
      <c r="H16" s="241">
        <f>'WAGE RATES'!$D$10</f>
        <v>1.0285306172213804</v>
      </c>
      <c r="I16" s="41">
        <f>(H16-1)*F16</f>
        <v>0.70025439477179607</v>
      </c>
      <c r="J16" s="41">
        <f>F16*G16+I16</f>
        <v>45.008248487142652</v>
      </c>
      <c r="K16" s="41">
        <f ca="1">C16*$J16/'NONAUTO MODEL'!$G$6</f>
        <v>0.12541866065776341</v>
      </c>
    </row>
    <row r="17" spans="1:11" x14ac:dyDescent="0.25">
      <c r="A17" s="1"/>
      <c r="B17" t="s">
        <v>199</v>
      </c>
      <c r="C17" s="326">
        <f>'BUNDLE SORT'!$J$34*('COVERAGE FACTORS'!$C$33/('COVERAGE FACTORS'!$C$31+'COVERAGE FACTORS'!$C$33))</f>
        <v>33.810209664310584</v>
      </c>
      <c r="D17" s="326">
        <f>PRODUCTIVITIES!$E$11</f>
        <v>163.71090696460584</v>
      </c>
      <c r="E17" s="269">
        <f>'WAGE RATES'!$D$6</f>
        <v>50.10717457546064</v>
      </c>
      <c r="F17" s="41">
        <f>E17*100/D17</f>
        <v>30.607108288938726</v>
      </c>
      <c r="G17" s="241">
        <f>PIGGYBACKS!$B$6</f>
        <v>1.6056412614911089</v>
      </c>
      <c r="H17" s="241">
        <f>'WAGE RATES'!$D$10</f>
        <v>1.0285306172213804</v>
      </c>
      <c r="I17" s="41">
        <f>(H17-1)*F17</f>
        <v>0.87323969084504982</v>
      </c>
      <c r="J17" s="41">
        <f>F17*G17+I17</f>
        <v>50.017275654491598</v>
      </c>
      <c r="K17" s="41">
        <f ca="1">C17*$J17/'NONAUTO MODEL'!$G$6</f>
        <v>0.16910945767159802</v>
      </c>
    </row>
    <row r="18" spans="1:11" x14ac:dyDescent="0.25">
      <c r="A18" s="1"/>
      <c r="B18" t="s">
        <v>200</v>
      </c>
      <c r="C18" s="326">
        <f>'BUNDLE SORT'!$K$34</f>
        <v>0</v>
      </c>
      <c r="D18" s="326">
        <f>PRODUCTIVITIES!$E$13</f>
        <v>388.77898659935892</v>
      </c>
      <c r="E18" s="269">
        <f>'WAGE RATES'!$D$6</f>
        <v>50.10717457546064</v>
      </c>
      <c r="F18" s="41">
        <f>E18*100/D18</f>
        <v>12.888344355683154</v>
      </c>
      <c r="G18" s="241">
        <f>PIGGYBACKS!$B$7</f>
        <v>1.5985378657336238</v>
      </c>
      <c r="H18" s="241">
        <f>'WAGE RATES'!$D$10</f>
        <v>1.0285306172213804</v>
      </c>
      <c r="I18" s="41">
        <f>(H18-1)*F18</f>
        <v>0.36771241942933458</v>
      </c>
      <c r="J18" s="41">
        <f>F18*G18+I18</f>
        <v>20.970218898603079</v>
      </c>
      <c r="K18" s="41">
        <f ca="1">C18*$J18/'NONAUTO MODEL'!$G$6</f>
        <v>0</v>
      </c>
    </row>
    <row r="19" spans="1:11" x14ac:dyDescent="0.25">
      <c r="A19" s="1"/>
      <c r="C19" s="326"/>
      <c r="D19" s="326"/>
      <c r="E19" s="269"/>
      <c r="F19" s="270"/>
      <c r="G19" s="241"/>
      <c r="H19" s="241"/>
      <c r="I19" s="145"/>
      <c r="J19" s="270"/>
      <c r="K19" s="41"/>
    </row>
    <row r="20" spans="1:11" x14ac:dyDescent="0.25">
      <c r="A20" s="1" t="s">
        <v>222</v>
      </c>
      <c r="C20" s="326"/>
      <c r="D20" s="326"/>
      <c r="E20" s="269"/>
      <c r="F20" s="270"/>
      <c r="G20" s="241"/>
      <c r="H20" s="241"/>
      <c r="I20" s="145"/>
      <c r="J20" s="270"/>
      <c r="K20" s="41"/>
    </row>
    <row r="21" spans="1:11" x14ac:dyDescent="0.25">
      <c r="A21" s="1"/>
      <c r="B21" t="s">
        <v>198</v>
      </c>
      <c r="C21" s="326">
        <f>'BUNDLE SORT'!$N$34*('COVERAGE FACTORS'!$C$31/('COVERAGE FACTORS'!$C$31+'COVERAGE FACTORS'!$C$33))</f>
        <v>20.212886327348446</v>
      </c>
      <c r="D21" s="326">
        <f>PRODUCTIVITIES!$E$9</f>
        <v>204.15275198997298</v>
      </c>
      <c r="E21" s="269">
        <f>'WAGE RATES'!$D$6</f>
        <v>50.10717457546064</v>
      </c>
      <c r="F21" s="41">
        <f>E21*100/D21</f>
        <v>24.543962345372481</v>
      </c>
      <c r="G21" s="241">
        <f>PIGGYBACKS!$B$5</f>
        <v>1.8052502472456198</v>
      </c>
      <c r="H21" s="241">
        <f>'WAGE RATES'!$D$10</f>
        <v>1.0285306172213804</v>
      </c>
      <c r="I21" s="41">
        <f>(H21-1)*F21</f>
        <v>0.70025439477179607</v>
      </c>
      <c r="J21" s="41">
        <f>F21*G21+I21</f>
        <v>45.008248487142652</v>
      </c>
      <c r="K21" s="41">
        <f ca="1">C21*$J21/'NONAUTO MODEL'!$G$6</f>
        <v>9.0974661046366812E-2</v>
      </c>
    </row>
    <row r="22" spans="1:11" x14ac:dyDescent="0.25">
      <c r="A22" s="1"/>
      <c r="B22" t="s">
        <v>199</v>
      </c>
      <c r="C22" s="326">
        <f>'BUNDLE SORT'!$N$34*('COVERAGE FACTORS'!$C$33/('COVERAGE FACTORS'!$C$31+'COVERAGE FACTORS'!$C$33))</f>
        <v>24.524838233686353</v>
      </c>
      <c r="D22" s="326">
        <f>PRODUCTIVITIES!$E$11</f>
        <v>163.71090696460584</v>
      </c>
      <c r="E22" s="269">
        <f>'WAGE RATES'!$D$6</f>
        <v>50.10717457546064</v>
      </c>
      <c r="F22" s="41">
        <f>E22*100/D22</f>
        <v>30.607108288938726</v>
      </c>
      <c r="G22" s="241">
        <f>PIGGYBACKS!$B$6</f>
        <v>1.6056412614911089</v>
      </c>
      <c r="H22" s="241">
        <f>'WAGE RATES'!$D$10</f>
        <v>1.0285306172213804</v>
      </c>
      <c r="I22" s="41">
        <f>(H22-1)*F22</f>
        <v>0.87323969084504982</v>
      </c>
      <c r="J22" s="41">
        <f>F22*G22+I22</f>
        <v>50.017275654491598</v>
      </c>
      <c r="K22" s="41">
        <f ca="1">C22*$J22/'NONAUTO MODEL'!$G$6</f>
        <v>0.12266655943161064</v>
      </c>
    </row>
    <row r="23" spans="1:11" x14ac:dyDescent="0.25">
      <c r="A23" s="1"/>
      <c r="B23" t="s">
        <v>200</v>
      </c>
      <c r="C23" s="326">
        <f>'BUNDLE SORT'!$O$34</f>
        <v>1.4210543854231008</v>
      </c>
      <c r="D23" s="326">
        <f>PRODUCTIVITIES!$E$14</f>
        <v>388.77898659935892</v>
      </c>
      <c r="E23" s="269">
        <f>'WAGE RATES'!$D$6</f>
        <v>50.10717457546064</v>
      </c>
      <c r="F23" s="41">
        <f>E23*100/D23</f>
        <v>12.888344355683154</v>
      </c>
      <c r="G23" s="241">
        <f>PIGGYBACKS!$B$7</f>
        <v>1.5985378657336238</v>
      </c>
      <c r="H23" s="241">
        <f>'WAGE RATES'!$D$10</f>
        <v>1.0285306172213804</v>
      </c>
      <c r="I23" s="41">
        <f>(H23-1)*F23</f>
        <v>0.36771241942933458</v>
      </c>
      <c r="J23" s="41">
        <f>F23*G23+I23</f>
        <v>20.970218898603079</v>
      </c>
      <c r="K23" s="41">
        <f ca="1">C23*$J23/'NONAUTO MODEL'!$G$6</f>
        <v>2.9799821529142324E-3</v>
      </c>
    </row>
    <row r="24" spans="1:11" x14ac:dyDescent="0.25">
      <c r="A24" s="1"/>
      <c r="C24" s="326"/>
      <c r="D24" s="326"/>
      <c r="E24" s="269"/>
      <c r="F24" s="270"/>
      <c r="G24" s="241"/>
      <c r="H24" s="241"/>
      <c r="I24" s="145"/>
      <c r="J24" s="270"/>
      <c r="K24" s="41"/>
    </row>
    <row r="25" spans="1:11" x14ac:dyDescent="0.25">
      <c r="A25" s="1" t="s">
        <v>223</v>
      </c>
      <c r="C25" s="326"/>
      <c r="D25" s="326"/>
      <c r="E25" s="269"/>
      <c r="F25" s="270"/>
      <c r="G25" s="241"/>
      <c r="H25" s="241"/>
      <c r="I25" s="145"/>
      <c r="J25" s="270"/>
      <c r="K25" s="41"/>
    </row>
    <row r="26" spans="1:11" x14ac:dyDescent="0.25">
      <c r="A26" s="1"/>
      <c r="B26" t="s">
        <v>198</v>
      </c>
      <c r="C26" s="326">
        <f>'BUNDLE SORT'!$R$34*('COVERAGE FACTORS'!$C$31/('COVERAGE FACTORS'!$C$31+'COVERAGE FACTORS'!$C$33))</f>
        <v>0</v>
      </c>
      <c r="D26" s="326">
        <f>PRODUCTIVITIES!$E$9</f>
        <v>204.15275198997298</v>
      </c>
      <c r="E26" s="269">
        <f>'WAGE RATES'!$D$6</f>
        <v>50.10717457546064</v>
      </c>
      <c r="F26" s="41">
        <f>E26*100/D26</f>
        <v>24.543962345372481</v>
      </c>
      <c r="G26" s="241">
        <f>PIGGYBACKS!$B$5</f>
        <v>1.8052502472456198</v>
      </c>
      <c r="H26" s="241">
        <f>'WAGE RATES'!$D$10</f>
        <v>1.0285306172213804</v>
      </c>
      <c r="I26" s="41">
        <f>(H26-1)*F26</f>
        <v>0.70025439477179607</v>
      </c>
      <c r="J26" s="41">
        <f>F26*G26+I26</f>
        <v>45.008248487142652</v>
      </c>
      <c r="K26" s="41">
        <f ca="1">C26*$J26/'NONAUTO MODEL'!$G$6</f>
        <v>0</v>
      </c>
    </row>
    <row r="27" spans="1:11" x14ac:dyDescent="0.25">
      <c r="A27" s="1"/>
      <c r="B27" t="s">
        <v>199</v>
      </c>
      <c r="C27" s="326">
        <f>'BUNDLE SORT'!$R$34*('COVERAGE FACTORS'!$C$33/('COVERAGE FACTORS'!$C$31+'COVERAGE FACTORS'!$C$33))</f>
        <v>0</v>
      </c>
      <c r="D27" s="326">
        <f>PRODUCTIVITIES!$E$11</f>
        <v>163.71090696460584</v>
      </c>
      <c r="E27" s="269">
        <f>'WAGE RATES'!$D$6</f>
        <v>50.10717457546064</v>
      </c>
      <c r="F27" s="41">
        <f>E27*100/D27</f>
        <v>30.607108288938726</v>
      </c>
      <c r="G27" s="241">
        <f>PIGGYBACKS!$B$6</f>
        <v>1.6056412614911089</v>
      </c>
      <c r="H27" s="241">
        <f>'WAGE RATES'!$D$10</f>
        <v>1.0285306172213804</v>
      </c>
      <c r="I27" s="41">
        <f>(H27-1)*F27</f>
        <v>0.87323969084504982</v>
      </c>
      <c r="J27" s="41">
        <f>F27*G27+I27</f>
        <v>50.017275654491598</v>
      </c>
      <c r="K27" s="41">
        <f ca="1">C27*$J27/'NONAUTO MODEL'!$G$6</f>
        <v>0</v>
      </c>
    </row>
    <row r="28" spans="1:11" x14ac:dyDescent="0.25">
      <c r="A28" s="1"/>
      <c r="B28" t="s">
        <v>200</v>
      </c>
      <c r="C28" s="326">
        <f>'BUNDLE SORT'!$S$34</f>
        <v>0</v>
      </c>
      <c r="D28" s="326">
        <f>PRODUCTIVITIES!E15</f>
        <v>279.13830142253454</v>
      </c>
      <c r="E28" s="269">
        <f>'WAGE RATES'!$D$6</f>
        <v>50.10717457546064</v>
      </c>
      <c r="F28" s="41">
        <f>E28*100/D28</f>
        <v>17.950662564078904</v>
      </c>
      <c r="G28" s="241">
        <f>PIGGYBACKS!$B$7</f>
        <v>1.5985378657336238</v>
      </c>
      <c r="H28" s="241">
        <f>'WAGE RATES'!$D$10</f>
        <v>1.0285306172213804</v>
      </c>
      <c r="I28" s="41">
        <f>(H28-1)*F28</f>
        <v>0.51214348248589792</v>
      </c>
      <c r="J28" s="41">
        <f>F28*G28+I28</f>
        <v>29.206957306173045</v>
      </c>
      <c r="K28" s="41">
        <f ca="1">C28*$J28/'NONAUTO MODEL'!$G$6</f>
        <v>0</v>
      </c>
    </row>
    <row r="29" spans="1:11" x14ac:dyDescent="0.25">
      <c r="A29" s="1"/>
      <c r="C29" s="363"/>
      <c r="D29" s="363"/>
      <c r="E29" s="269"/>
      <c r="F29" s="270"/>
      <c r="G29" s="241"/>
      <c r="H29" s="145"/>
      <c r="I29" s="145"/>
      <c r="J29" s="270"/>
      <c r="K29" s="41"/>
    </row>
    <row r="30" spans="1:11" x14ac:dyDescent="0.25">
      <c r="A30" s="1" t="s">
        <v>224</v>
      </c>
      <c r="F30" s="41"/>
      <c r="H30" s="41"/>
      <c r="I30" s="41"/>
      <c r="J30" s="41"/>
      <c r="K30" s="41"/>
    </row>
    <row r="31" spans="1:11" x14ac:dyDescent="0.25">
      <c r="A31" s="35"/>
      <c r="B31" t="s">
        <v>225</v>
      </c>
      <c r="C31" s="2">
        <f>SUM('NONAUTO MODEL'!$B$25:$B$29)</f>
        <v>7613.0475271278774</v>
      </c>
      <c r="D31" s="2">
        <f>PRODUCTIVITIES!$E$23*'COVERAGE FACTORS'!$C$25+PRODUCTIVITIES!$E$17*(1-'COVERAGE FACTORS'!$C$25)</f>
        <v>1572.5270916832678</v>
      </c>
      <c r="E31" s="37">
        <f>'WAGE RATES'!$D$6</f>
        <v>50.10717457546064</v>
      </c>
      <c r="F31" s="41">
        <f>E31*100/D31</f>
        <v>3.1864108949515657</v>
      </c>
      <c r="G31" s="41">
        <f>PIGGYBACKS!$B$8</f>
        <v>1.6305774272183733</v>
      </c>
      <c r="H31" s="41">
        <f>'WAGE RATES'!$D$10</f>
        <v>1.0285306172213804</v>
      </c>
      <c r="I31" s="41">
        <f>(H31-1)*F31</f>
        <v>9.0910269553899262E-2</v>
      </c>
      <c r="J31" s="41">
        <f>F31*G31+I31</f>
        <v>5.2865999487046178</v>
      </c>
      <c r="K31" s="41">
        <f ca="1">C31*$J31/'NONAUTO MODEL'!$G$6</f>
        <v>4.0247136666400101</v>
      </c>
    </row>
    <row r="32" spans="1:11" x14ac:dyDescent="0.25">
      <c r="A32" s="35"/>
      <c r="B32" t="s">
        <v>226</v>
      </c>
      <c r="C32" s="2">
        <f>SUM('NONAUTO MODEL'!$A$25:$A$29)</f>
        <v>2007.4405786710543</v>
      </c>
      <c r="D32" s="2">
        <f>PRODUCTIVITIES!$E$16</f>
        <v>888.0117100682927</v>
      </c>
      <c r="E32" s="37">
        <f>'WAGE RATES'!$D$5</f>
        <v>54.142360316355024</v>
      </c>
      <c r="F32" s="41">
        <f>E32*100/D32</f>
        <v>6.0970322465895403</v>
      </c>
      <c r="G32" s="41">
        <f>PIGGYBACKS!$B$9</f>
        <v>1.2615773174013249</v>
      </c>
      <c r="H32" s="41">
        <f>'WAGE RATES'!$D$10</f>
        <v>1.0285306172213804</v>
      </c>
      <c r="I32" s="41">
        <f>(H32-1)*F32</f>
        <v>0.17395209321385913</v>
      </c>
      <c r="J32" s="41">
        <f>F32*G32+I32</f>
        <v>7.8658296789756648</v>
      </c>
      <c r="K32" s="41">
        <f ca="1">C32*$J32/'NONAUTO MODEL'!$G$6</f>
        <v>1.5790185682490878</v>
      </c>
    </row>
    <row r="33" spans="1:11" x14ac:dyDescent="0.25">
      <c r="A33" s="35"/>
      <c r="B33" t="s">
        <v>227</v>
      </c>
      <c r="C33" s="2">
        <f>SUM('NONAUTO MODEL'!$H$25:$H$29)</f>
        <v>0</v>
      </c>
      <c r="D33" s="2">
        <f>PRODUCTIVITIES!$E$30</f>
        <v>1.0273268954181221</v>
      </c>
      <c r="E33" s="37">
        <f>'WAGE RATES'!$D$6</f>
        <v>50.10717457546064</v>
      </c>
      <c r="F33" s="41">
        <f>E33*100/D33</f>
        <v>4877.4323731753384</v>
      </c>
      <c r="G33" s="41">
        <f>PIGGYBACKS!$B$10</f>
        <v>1.6305774272183733</v>
      </c>
      <c r="H33" s="41">
        <f>'WAGE RATES'!$D$10</f>
        <v>1.0285306172213804</v>
      </c>
      <c r="I33" s="41">
        <f>(H33-1)*F33</f>
        <v>139.15615606223454</v>
      </c>
      <c r="J33" s="41">
        <f>F33*G33+I33</f>
        <v>8092.1872865460828</v>
      </c>
      <c r="K33" s="41">
        <f ca="1">C33*$J33/'NONAUTO MODEL'!$G$6</f>
        <v>0</v>
      </c>
    </row>
    <row r="34" spans="1:11" x14ac:dyDescent="0.25">
      <c r="B34" t="s">
        <v>228</v>
      </c>
      <c r="C34" s="2">
        <f>SUM('NONAUTO MODEL'!$G$25:$G$29)</f>
        <v>0</v>
      </c>
      <c r="D34" s="2">
        <f>PRODUCTIVITIES!$E$36</f>
        <v>1.0273268954181221</v>
      </c>
      <c r="E34" s="37">
        <f>'WAGE RATES'!$D$6</f>
        <v>50.10717457546064</v>
      </c>
      <c r="F34" s="41">
        <f>E34*100/D34</f>
        <v>4877.4323731753384</v>
      </c>
      <c r="G34" s="41">
        <f>PIGGYBACKS!$B$10</f>
        <v>1.6305774272183733</v>
      </c>
      <c r="H34" s="41">
        <f>'WAGE RATES'!$D$10</f>
        <v>1.0285306172213804</v>
      </c>
      <c r="I34" s="41">
        <f>(H34-1)*F34</f>
        <v>139.15615606223454</v>
      </c>
      <c r="J34" s="41">
        <f>F34*G34+I34</f>
        <v>8092.1872865460828</v>
      </c>
      <c r="K34" s="41">
        <f ca="1">C34*$J34/'NONAUTO MODEL'!$G$6</f>
        <v>0</v>
      </c>
    </row>
    <row r="35" spans="1:11" x14ac:dyDescent="0.25">
      <c r="B35" t="s">
        <v>200</v>
      </c>
      <c r="C35" s="2">
        <f>SUM('NONAUTO MODEL'!$M$25:$M$29)</f>
        <v>462.91872531995017</v>
      </c>
      <c r="D35" s="2">
        <f>PRODUCTIVITIES!$E$42</f>
        <v>620.26371981497391</v>
      </c>
      <c r="E35" s="37">
        <f>'WAGE RATES'!$D$6</f>
        <v>50.10717457546064</v>
      </c>
      <c r="F35" s="41">
        <f>E35*100/D35</f>
        <v>8.0783661811475493</v>
      </c>
      <c r="G35" s="41">
        <f>PIGGYBACKS!$B$12</f>
        <v>1.3622907328394676</v>
      </c>
      <c r="H35" s="41">
        <f>'WAGE RATES'!$D$10</f>
        <v>1.0285306172213804</v>
      </c>
      <c r="I35" s="41">
        <f>(H35-1)*F35</f>
        <v>0.23048077328846525</v>
      </c>
      <c r="J35" s="41">
        <f>F35*G35+I35</f>
        <v>11.235564158349531</v>
      </c>
      <c r="K35" s="41">
        <f ca="1">C35*$J35/'NONAUTO MODEL'!$G$6</f>
        <v>0.5201153038433689</v>
      </c>
    </row>
    <row r="36" spans="1:11" x14ac:dyDescent="0.25">
      <c r="F36" s="41"/>
      <c r="H36" s="41"/>
      <c r="I36" s="41"/>
      <c r="J36" s="41"/>
      <c r="K36" s="41"/>
    </row>
    <row r="37" spans="1:11" x14ac:dyDescent="0.25">
      <c r="A37" s="1" t="s">
        <v>229</v>
      </c>
      <c r="F37" s="41"/>
      <c r="H37" s="41"/>
      <c r="I37" s="41"/>
      <c r="J37" s="41"/>
      <c r="K37" s="41"/>
    </row>
    <row r="38" spans="1:11" x14ac:dyDescent="0.25">
      <c r="A38" s="35"/>
      <c r="B38" t="s">
        <v>225</v>
      </c>
      <c r="C38" s="2">
        <f>SUM('NONAUTO MODEL'!$B$38:$B$42)</f>
        <v>925.12848751705803</v>
      </c>
      <c r="D38" s="2">
        <f>PRODUCTIVITIES!$E$24*'COVERAGE FACTORS'!$C$25+PRODUCTIVITIES!$E$18*(1-'COVERAGE FACTORS'!$C$25)</f>
        <v>2267.7698382210328</v>
      </c>
      <c r="E38" s="37">
        <f>'WAGE RATES'!$D$6</f>
        <v>50.10717457546064</v>
      </c>
      <c r="F38" s="41">
        <f>E38*100/D38</f>
        <v>2.2095352769471326</v>
      </c>
      <c r="G38" s="41">
        <f>PIGGYBACKS!$B$8</f>
        <v>1.6305774272183733</v>
      </c>
      <c r="H38" s="41">
        <f>'WAGE RATES'!$D$10</f>
        <v>1.0285306172213804</v>
      </c>
      <c r="I38" s="41">
        <f>(H38-1)*F38</f>
        <v>6.3039405223715358E-2</v>
      </c>
      <c r="J38" s="41">
        <f>F38*G38+I38</f>
        <v>3.6658577524564069</v>
      </c>
      <c r="K38" s="41">
        <f ca="1">C38*$J38/'NONAUTO MODEL'!$G$6</f>
        <v>0.33913894379826809</v>
      </c>
    </row>
    <row r="39" spans="1:11" x14ac:dyDescent="0.25">
      <c r="A39" s="35"/>
      <c r="B39" t="s">
        <v>226</v>
      </c>
      <c r="C39" s="2">
        <f>SUM('NONAUTO MODEL'!$A$38:$A$42)</f>
        <v>56.710059876736302</v>
      </c>
      <c r="D39" s="2">
        <f>PRODUCTIVITIES!$E$16</f>
        <v>888.0117100682927</v>
      </c>
      <c r="E39" s="37">
        <f>'WAGE RATES'!$D$5</f>
        <v>54.142360316355024</v>
      </c>
      <c r="F39" s="41">
        <f>E39*100/D39</f>
        <v>6.0970322465895403</v>
      </c>
      <c r="G39" s="41">
        <f>PIGGYBACKS!$B$9</f>
        <v>1.2615773174013249</v>
      </c>
      <c r="H39" s="41">
        <f>'WAGE RATES'!$D$10</f>
        <v>1.0285306172213804</v>
      </c>
      <c r="I39" s="41">
        <f>(H39-1)*F39</f>
        <v>0.17395209321385913</v>
      </c>
      <c r="J39" s="41">
        <f>F39*G39+I39</f>
        <v>7.8658296789756648</v>
      </c>
      <c r="K39" s="41">
        <f ca="1">C39*$J39/'NONAUTO MODEL'!$G$6</f>
        <v>4.4607167207491992E-2</v>
      </c>
    </row>
    <row r="40" spans="1:11" x14ac:dyDescent="0.25">
      <c r="B40" t="s">
        <v>227</v>
      </c>
      <c r="C40" s="2">
        <f>SUM('NONAUTO MODEL'!$H$38:$H$42)</f>
        <v>0</v>
      </c>
      <c r="D40" s="2">
        <f>PRODUCTIVITIES!$E$31</f>
        <v>1.0273268954181221</v>
      </c>
      <c r="E40" s="37">
        <f>'WAGE RATES'!$D$6</f>
        <v>50.10717457546064</v>
      </c>
      <c r="F40" s="41">
        <f>E40*100/D40</f>
        <v>4877.4323731753384</v>
      </c>
      <c r="G40" s="41">
        <f>PIGGYBACKS!$B$10</f>
        <v>1.6305774272183733</v>
      </c>
      <c r="H40" s="41">
        <f>'WAGE RATES'!$D$10</f>
        <v>1.0285306172213804</v>
      </c>
      <c r="I40" s="41">
        <f>(H40-1)*F40</f>
        <v>139.15615606223454</v>
      </c>
      <c r="J40" s="41">
        <f>F40*G40+I40</f>
        <v>8092.1872865460828</v>
      </c>
      <c r="K40" s="41">
        <f ca="1">C40*$J40/'NONAUTO MODEL'!$G$6</f>
        <v>0</v>
      </c>
    </row>
    <row r="41" spans="1:11" x14ac:dyDescent="0.25">
      <c r="B41" t="s">
        <v>228</v>
      </c>
      <c r="C41" s="2">
        <f>SUM('NONAUTO MODEL'!$G$38:$G$42)</f>
        <v>0</v>
      </c>
      <c r="D41" s="2">
        <f>PRODUCTIVITIES!$E$37</f>
        <v>1.0273268954181221</v>
      </c>
      <c r="E41" s="37">
        <f>'WAGE RATES'!$D$6</f>
        <v>50.10717457546064</v>
      </c>
      <c r="F41" s="41">
        <f>E41*100/D41</f>
        <v>4877.4323731753384</v>
      </c>
      <c r="G41" s="41">
        <f>PIGGYBACKS!$B$10</f>
        <v>1.6305774272183733</v>
      </c>
      <c r="H41" s="41">
        <f>'WAGE RATES'!$D$10</f>
        <v>1.0285306172213804</v>
      </c>
      <c r="I41" s="41">
        <f>(H41-1)*F41</f>
        <v>139.15615606223454</v>
      </c>
      <c r="J41" s="41">
        <f>F41*G41+I41</f>
        <v>8092.1872865460828</v>
      </c>
      <c r="K41" s="41">
        <f ca="1">C41*$J41/'NONAUTO MODEL'!$G$6</f>
        <v>0</v>
      </c>
    </row>
    <row r="42" spans="1:11" x14ac:dyDescent="0.25">
      <c r="B42" t="s">
        <v>200</v>
      </c>
      <c r="C42" s="2">
        <f>SUM('NONAUTO MODEL'!$M$38:$M$42)</f>
        <v>125.25090852496291</v>
      </c>
      <c r="D42" s="2">
        <f>PRODUCTIVITIES!$E$43</f>
        <v>490.6212884367572</v>
      </c>
      <c r="E42" s="37">
        <f>'WAGE RATES'!$D$6</f>
        <v>50.10717457546064</v>
      </c>
      <c r="F42" s="41">
        <f>E42*100/D42</f>
        <v>10.213004563074444</v>
      </c>
      <c r="G42" s="41">
        <f>PIGGYBACKS!$B$12</f>
        <v>1.3622907328394676</v>
      </c>
      <c r="H42" s="41">
        <f>'WAGE RATES'!$D$10</f>
        <v>1.0285306172213804</v>
      </c>
      <c r="I42" s="41">
        <f>(H42-1)*F42</f>
        <v>0.29138332386928828</v>
      </c>
      <c r="J42" s="41">
        <f>F42*G42+I42</f>
        <v>14.204464794592798</v>
      </c>
      <c r="K42" s="41">
        <f ca="1">C42*$J42/'NONAUTO MODEL'!$G$6</f>
        <v>0.17791221206336005</v>
      </c>
    </row>
    <row r="43" spans="1:11" x14ac:dyDescent="0.25">
      <c r="F43" s="41"/>
      <c r="H43" s="41"/>
      <c r="I43" s="41"/>
      <c r="J43" s="41"/>
      <c r="K43" s="41"/>
    </row>
    <row r="44" spans="1:11" x14ac:dyDescent="0.25">
      <c r="A44" s="1" t="s">
        <v>230</v>
      </c>
      <c r="F44" s="41"/>
      <c r="H44" s="41"/>
      <c r="I44" s="41"/>
      <c r="J44" s="41"/>
      <c r="K44" s="41"/>
    </row>
    <row r="45" spans="1:11" x14ac:dyDescent="0.25">
      <c r="A45" s="35"/>
      <c r="B45" t="s">
        <v>225</v>
      </c>
      <c r="C45" s="2">
        <f>SUM('NONAUTO MODEL'!$B$53:$B$57)</f>
        <v>4927.0829259697311</v>
      </c>
      <c r="D45" s="2">
        <f>PRODUCTIVITIES!$E$25*'COVERAGE FACTORS'!$C$25+PRODUCTIVITIES!$E$19*(1-'COVERAGE FACTORS'!$C$25)</f>
        <v>1572.97537151239</v>
      </c>
      <c r="E45" s="37">
        <f>'WAGE RATES'!$D$6</f>
        <v>50.10717457546064</v>
      </c>
      <c r="F45" s="41">
        <f>E45*100/D45</f>
        <v>3.1855028046169225</v>
      </c>
      <c r="G45" s="41">
        <f>PIGGYBACKS!$B$8</f>
        <v>1.6305774272183733</v>
      </c>
      <c r="H45" s="41">
        <f>'WAGE RATES'!$D$10</f>
        <v>1.0285306172213804</v>
      </c>
      <c r="I45" s="41">
        <f>(H45-1)*F45</f>
        <v>9.0884361176159112E-2</v>
      </c>
      <c r="J45" s="41">
        <f>F45*G45+I45</f>
        <v>5.285093328725333</v>
      </c>
      <c r="K45" s="41">
        <f ca="1">C45*$J45/'NONAUTO MODEL'!$G$6</f>
        <v>2.6040093102119148</v>
      </c>
    </row>
    <row r="46" spans="1:11" x14ac:dyDescent="0.25">
      <c r="A46" s="35"/>
      <c r="B46" t="s">
        <v>226</v>
      </c>
      <c r="C46" s="2">
        <f>SUM('NONAUTO MODEL'!$A$53:$A$57)</f>
        <v>418.053385372192</v>
      </c>
      <c r="D46" s="2">
        <f>PRODUCTIVITIES!$E$16</f>
        <v>888.0117100682927</v>
      </c>
      <c r="E46" s="37">
        <f>'WAGE RATES'!$D$5</f>
        <v>54.142360316355024</v>
      </c>
      <c r="F46" s="41">
        <f>E46*100/D46</f>
        <v>6.0970322465895403</v>
      </c>
      <c r="G46" s="41">
        <f>PIGGYBACKS!$B$9</f>
        <v>1.2615773174013249</v>
      </c>
      <c r="H46" s="41">
        <f>'WAGE RATES'!$D$10</f>
        <v>1.0285306172213804</v>
      </c>
      <c r="I46" s="41">
        <f>(H46-1)*F46</f>
        <v>0.17395209321385913</v>
      </c>
      <c r="J46" s="41">
        <f>F46*G46+I46</f>
        <v>7.8658296789756648</v>
      </c>
      <c r="K46" s="41">
        <f ca="1">C46*$J46/'NONAUTO MODEL'!$G$6</f>
        <v>0.32883367260568425</v>
      </c>
    </row>
    <row r="47" spans="1:11" x14ac:dyDescent="0.25">
      <c r="B47" t="s">
        <v>227</v>
      </c>
      <c r="C47" s="2">
        <f>SUM('NONAUTO MODEL'!$H$53:$H$57)</f>
        <v>0</v>
      </c>
      <c r="D47" s="2">
        <f>PRODUCTIVITIES!$E$32</f>
        <v>1.0273268954181221</v>
      </c>
      <c r="E47" s="37">
        <f>'WAGE RATES'!$D$6</f>
        <v>50.10717457546064</v>
      </c>
      <c r="F47" s="41">
        <f>E47*100/D47</f>
        <v>4877.4323731753384</v>
      </c>
      <c r="G47" s="41">
        <f>PIGGYBACKS!$B$10</f>
        <v>1.6305774272183733</v>
      </c>
      <c r="H47" s="41">
        <f>'WAGE RATES'!$D$10</f>
        <v>1.0285306172213804</v>
      </c>
      <c r="I47" s="41">
        <f>(H47-1)*F47</f>
        <v>139.15615606223454</v>
      </c>
      <c r="J47" s="41">
        <f>F47*G47+I47</f>
        <v>8092.1872865460828</v>
      </c>
      <c r="K47" s="41">
        <f ca="1">C47*$J47/'NONAUTO MODEL'!$G$6</f>
        <v>0</v>
      </c>
    </row>
    <row r="48" spans="1:11" x14ac:dyDescent="0.25">
      <c r="B48" t="s">
        <v>228</v>
      </c>
      <c r="C48" s="2">
        <f>SUM('NONAUTO MODEL'!$G$53:$G$57)</f>
        <v>0</v>
      </c>
      <c r="D48" s="2">
        <f>PRODUCTIVITIES!$E$38</f>
        <v>1.0273268954181221</v>
      </c>
      <c r="E48" s="37">
        <f>'WAGE RATES'!$D$6</f>
        <v>50.10717457546064</v>
      </c>
      <c r="F48" s="41">
        <f>E48*100/D48</f>
        <v>4877.4323731753384</v>
      </c>
      <c r="G48" s="41">
        <f>PIGGYBACKS!$B$10</f>
        <v>1.6305774272183733</v>
      </c>
      <c r="H48" s="41">
        <f>'WAGE RATES'!$D$10</f>
        <v>1.0285306172213804</v>
      </c>
      <c r="I48" s="41">
        <f>(H48-1)*F48</f>
        <v>139.15615606223454</v>
      </c>
      <c r="J48" s="41">
        <f>F48*G48+I48</f>
        <v>8092.1872865460828</v>
      </c>
      <c r="K48" s="41">
        <f ca="1">C48*$J48/'NONAUTO MODEL'!$G$6</f>
        <v>0</v>
      </c>
    </row>
    <row r="49" spans="1:11" x14ac:dyDescent="0.25">
      <c r="B49" t="s">
        <v>200</v>
      </c>
      <c r="C49" s="2">
        <f>SUM('NONAUTO MODEL'!$M$53:$M$57)</f>
        <v>749.05993594952884</v>
      </c>
      <c r="D49" s="2">
        <f>PRODUCTIVITIES!$E$44</f>
        <v>692.96374405746178</v>
      </c>
      <c r="E49" s="37">
        <f>'WAGE RATES'!$D$6</f>
        <v>50.10717457546064</v>
      </c>
      <c r="F49" s="41">
        <f>E49*100/D49</f>
        <v>7.2308508208628108</v>
      </c>
      <c r="G49" s="41">
        <f>PIGGYBACKS!$B$12</f>
        <v>1.3622907328394676</v>
      </c>
      <c r="H49" s="41">
        <f>'WAGE RATES'!$D$10</f>
        <v>1.0285306172213804</v>
      </c>
      <c r="I49" s="41">
        <f>(H49-1)*F49</f>
        <v>0.20630063695494108</v>
      </c>
      <c r="J49" s="41">
        <f>F49*G49+I49</f>
        <v>10.056821700761006</v>
      </c>
      <c r="K49" s="41">
        <f ca="1">C49*$J49/'NONAUTO MODEL'!$G$6</f>
        <v>0.75331622190278791</v>
      </c>
    </row>
    <row r="50" spans="1:11" x14ac:dyDescent="0.25">
      <c r="F50" s="41"/>
      <c r="H50" s="41"/>
      <c r="I50" s="41"/>
      <c r="J50" s="41"/>
      <c r="K50" s="41"/>
    </row>
    <row r="51" spans="1:11" x14ac:dyDescent="0.25">
      <c r="A51" s="1" t="s">
        <v>231</v>
      </c>
      <c r="F51" s="41"/>
      <c r="H51" s="41"/>
      <c r="I51" s="41"/>
      <c r="J51" s="41"/>
      <c r="K51" s="41"/>
    </row>
    <row r="52" spans="1:11" x14ac:dyDescent="0.25">
      <c r="A52" s="35"/>
      <c r="B52" t="s">
        <v>225</v>
      </c>
      <c r="C52" s="2">
        <f>SUM('NONAUTO MODEL'!$B$64:$B$68)</f>
        <v>3681.0593753777152</v>
      </c>
      <c r="D52" s="2">
        <f>PRODUCTIVITIES!$E$26*'COVERAGE FACTORS'!$C$25+PRODUCTIVITIES!$E$20*(1-'COVERAGE FACTORS'!$C$25)</f>
        <v>2073.5491608992547</v>
      </c>
      <c r="E52" s="37">
        <f>'WAGE RATES'!$D$6</f>
        <v>50.10717457546064</v>
      </c>
      <c r="F52" s="41">
        <f>E52*100/D52</f>
        <v>2.4164932049997896</v>
      </c>
      <c r="G52" s="41">
        <f>PIGGYBACKS!$B$8</f>
        <v>1.6305774272183733</v>
      </c>
      <c r="H52" s="41">
        <f>'WAGE RATES'!$D$10</f>
        <v>1.0285306172213804</v>
      </c>
      <c r="I52" s="41">
        <f>(H52-1)*F52</f>
        <v>6.8944042649915702E-2</v>
      </c>
      <c r="J52" s="41">
        <f>F52*G52+I52</f>
        <v>4.0092233157491535</v>
      </c>
      <c r="K52" s="41">
        <f ca="1">C52*$J52/'NONAUTO MODEL'!$G$6</f>
        <v>1.4758189074421366</v>
      </c>
    </row>
    <row r="53" spans="1:11" x14ac:dyDescent="0.25">
      <c r="A53" s="35"/>
      <c r="B53" t="s">
        <v>226</v>
      </c>
      <c r="C53" s="2">
        <f>SUM('NONAUTO MODEL'!$A$64:$A$68)</f>
        <v>344.85475945849623</v>
      </c>
      <c r="D53" s="2">
        <f>PRODUCTIVITIES!$E$16</f>
        <v>888.0117100682927</v>
      </c>
      <c r="E53" s="37">
        <f>'WAGE RATES'!$D$5</f>
        <v>54.142360316355024</v>
      </c>
      <c r="F53" s="41">
        <f>E53*100/D53</f>
        <v>6.0970322465895403</v>
      </c>
      <c r="G53" s="41">
        <f>PIGGYBACKS!$B$9</f>
        <v>1.2615773174013249</v>
      </c>
      <c r="H53" s="41">
        <f>'WAGE RATES'!$D$10</f>
        <v>1.0285306172213804</v>
      </c>
      <c r="I53" s="41">
        <f>(H53-1)*F53</f>
        <v>0.17395209321385913</v>
      </c>
      <c r="J53" s="41">
        <f>F53*G53+I53</f>
        <v>7.8658296789756648</v>
      </c>
      <c r="K53" s="41">
        <f ca="1">C53*$J53/'NONAUTO MODEL'!$G$6</f>
        <v>0.27125688018846567</v>
      </c>
    </row>
    <row r="54" spans="1:11" x14ac:dyDescent="0.25">
      <c r="B54" t="s">
        <v>227</v>
      </c>
      <c r="C54" s="2">
        <f>SUM('NONAUTO MODEL'!$H$64:$H$68)</f>
        <v>0</v>
      </c>
      <c r="D54" s="2">
        <f>PRODUCTIVITIES!$E$33</f>
        <v>1.0273268954181221</v>
      </c>
      <c r="E54" s="37">
        <f>'WAGE RATES'!$D$6</f>
        <v>50.10717457546064</v>
      </c>
      <c r="F54" s="41">
        <f>E54*100/D54</f>
        <v>4877.4323731753384</v>
      </c>
      <c r="G54" s="41">
        <f>PIGGYBACKS!$B$10</f>
        <v>1.6305774272183733</v>
      </c>
      <c r="H54" s="41">
        <f>'WAGE RATES'!$D$10</f>
        <v>1.0285306172213804</v>
      </c>
      <c r="I54" s="41">
        <f>(H54-1)*F54</f>
        <v>139.15615606223454</v>
      </c>
      <c r="J54" s="41">
        <f>F54*G54+I54</f>
        <v>8092.1872865460828</v>
      </c>
      <c r="K54" s="41">
        <f ca="1">C54*$J54/'NONAUTO MODEL'!$G$6</f>
        <v>0</v>
      </c>
    </row>
    <row r="55" spans="1:11" x14ac:dyDescent="0.25">
      <c r="B55" t="s">
        <v>228</v>
      </c>
      <c r="C55" s="2">
        <f>SUM('NONAUTO MODEL'!$G$64:$G$68)</f>
        <v>0</v>
      </c>
      <c r="D55" s="2">
        <f>PRODUCTIVITIES!$E$39</f>
        <v>1.0273268954181221</v>
      </c>
      <c r="E55" s="37">
        <f>'WAGE RATES'!$D$6</f>
        <v>50.10717457546064</v>
      </c>
      <c r="F55" s="41">
        <f>E55*100/D55</f>
        <v>4877.4323731753384</v>
      </c>
      <c r="G55" s="41">
        <f>PIGGYBACKS!$B$10</f>
        <v>1.6305774272183733</v>
      </c>
      <c r="H55" s="41">
        <f>'WAGE RATES'!$D$10</f>
        <v>1.0285306172213804</v>
      </c>
      <c r="I55" s="41">
        <f>(H55-1)*F55</f>
        <v>139.15615606223454</v>
      </c>
      <c r="J55" s="41">
        <f>F55*G55+I55</f>
        <v>8092.1872865460828</v>
      </c>
      <c r="K55" s="41">
        <f ca="1">C55*$J55/'NONAUTO MODEL'!$G$6</f>
        <v>0</v>
      </c>
    </row>
    <row r="56" spans="1:11" x14ac:dyDescent="0.25">
      <c r="B56" t="s">
        <v>200</v>
      </c>
      <c r="C56" s="2">
        <f>SUM('NONAUTO MODEL'!$M$64:$M$68)</f>
        <v>518.84314216192729</v>
      </c>
      <c r="D56" s="2">
        <f>PRODUCTIVITIES!$E$45</f>
        <v>600.65917211803048</v>
      </c>
      <c r="E56" s="37">
        <f>'WAGE RATES'!$D$6</f>
        <v>50.10717457546064</v>
      </c>
      <c r="F56" s="41">
        <f>E56*100/D56</f>
        <v>8.3420310387959073</v>
      </c>
      <c r="G56" s="41">
        <f>PIGGYBACKS!$B$12</f>
        <v>1.3622907328394676</v>
      </c>
      <c r="H56" s="41">
        <f>'WAGE RATES'!$D$10</f>
        <v>1.0285306172213804</v>
      </c>
      <c r="I56" s="41">
        <f>(H56-1)*F56</f>
        <v>0.2380032944167603</v>
      </c>
      <c r="J56" s="41">
        <f>F56*G56+I56</f>
        <v>11.602274871627621</v>
      </c>
      <c r="K56" s="41">
        <f ca="1">C56*$J56/'NONAUTO MODEL'!$G$6</f>
        <v>0.60197607506216533</v>
      </c>
    </row>
    <row r="57" spans="1:11" x14ac:dyDescent="0.25">
      <c r="F57" s="41"/>
      <c r="H57" s="41"/>
      <c r="I57" s="41"/>
      <c r="J57" s="41"/>
      <c r="K57" s="41"/>
    </row>
    <row r="58" spans="1:11" x14ac:dyDescent="0.25">
      <c r="A58" s="1" t="s">
        <v>232</v>
      </c>
      <c r="F58" s="41"/>
      <c r="H58" s="41"/>
      <c r="I58" s="41"/>
      <c r="J58" s="41"/>
      <c r="K58" s="41"/>
    </row>
    <row r="59" spans="1:11" x14ac:dyDescent="0.25">
      <c r="A59" s="35"/>
      <c r="B59" t="s">
        <v>225</v>
      </c>
      <c r="C59" s="2">
        <f ca="1">SUM('NONAUTO MODEL'!$B$74:$B$78)+SUM('NONAUTO MODEL'!$B$108:$B$112)</f>
        <v>894.24695085510439</v>
      </c>
      <c r="D59" s="2">
        <f>PRODUCTIVITIES!$E$27*'COVERAGE FACTORS'!$C$25+PRODUCTIVITIES!$E$21*(1-'COVERAGE FACTORS'!$C$25)</f>
        <v>1117.4154005483335</v>
      </c>
      <c r="E59" s="37">
        <f>'WAGE RATES'!$D$6</f>
        <v>50.10717457546064</v>
      </c>
      <c r="F59" s="41">
        <f>E59*100/D59</f>
        <v>4.4842029697167458</v>
      </c>
      <c r="G59" s="41">
        <f>PIGGYBACKS!$B$8</f>
        <v>1.6305774272183733</v>
      </c>
      <c r="H59" s="41">
        <f>'WAGE RATES'!$D$10</f>
        <v>1.0285306172213804</v>
      </c>
      <c r="I59" s="41">
        <f>(H59-1)*F59</f>
        <v>0.1279370784719657</v>
      </c>
      <c r="J59" s="41">
        <f>F59*G59+I59</f>
        <v>7.4397772199576861</v>
      </c>
      <c r="K59" s="41">
        <f ca="1">C59*$J59/'NONAUTO MODEL'!$G$6</f>
        <v>0.66529980939884337</v>
      </c>
    </row>
    <row r="60" spans="1:11" x14ac:dyDescent="0.25">
      <c r="A60" s="35"/>
      <c r="B60" t="s">
        <v>226</v>
      </c>
      <c r="C60" s="2">
        <f ca="1">SUM('NONAUTO MODEL'!$A$74:$A$78)+SUM('NONAUTO MODEL'!$A$108:$A$112)</f>
        <v>54.81703224131531</v>
      </c>
      <c r="D60" s="2">
        <f>PRODUCTIVITIES!$E$16</f>
        <v>888.0117100682927</v>
      </c>
      <c r="E60" s="37">
        <f>'WAGE RATES'!$D$5</f>
        <v>54.142360316355024</v>
      </c>
      <c r="F60" s="41">
        <f>E60*100/D60</f>
        <v>6.0970322465895403</v>
      </c>
      <c r="G60" s="41">
        <f>PIGGYBACKS!$B$9</f>
        <v>1.2615773174013249</v>
      </c>
      <c r="H60" s="41">
        <f>'WAGE RATES'!$D$10</f>
        <v>1.0285306172213804</v>
      </c>
      <c r="I60" s="41">
        <f>(H60-1)*F60</f>
        <v>0.17395209321385913</v>
      </c>
      <c r="J60" s="41">
        <f>F60*G60+I60</f>
        <v>7.8658296789756648</v>
      </c>
      <c r="K60" s="41">
        <f ca="1">C60*$J60/'NONAUTO MODEL'!$G$6</f>
        <v>4.3118143911710434E-2</v>
      </c>
    </row>
    <row r="61" spans="1:11" x14ac:dyDescent="0.25">
      <c r="B61" t="s">
        <v>227</v>
      </c>
      <c r="C61" s="2">
        <f>SUM('NONAUTO MODEL'!$H$74:$H$78)</f>
        <v>0</v>
      </c>
      <c r="D61" s="2">
        <f>PRODUCTIVITIES!$E$34</f>
        <v>1.0273268954181221</v>
      </c>
      <c r="E61" s="37">
        <f>'WAGE RATES'!$D$6</f>
        <v>50.10717457546064</v>
      </c>
      <c r="F61" s="41">
        <f>E61*100/D61</f>
        <v>4877.4323731753384</v>
      </c>
      <c r="G61" s="41">
        <f>PIGGYBACKS!$B$10</f>
        <v>1.6305774272183733</v>
      </c>
      <c r="H61" s="41">
        <f>'WAGE RATES'!$D$10</f>
        <v>1.0285306172213804</v>
      </c>
      <c r="I61" s="41">
        <f>(H61-1)*F61</f>
        <v>139.15615606223454</v>
      </c>
      <c r="J61" s="41">
        <f>F61*G61+I61</f>
        <v>8092.1872865460828</v>
      </c>
      <c r="K61" s="41">
        <f ca="1">C61*$J61/'NONAUTO MODEL'!$G$6</f>
        <v>0</v>
      </c>
    </row>
    <row r="62" spans="1:11" x14ac:dyDescent="0.25">
      <c r="B62" t="s">
        <v>228</v>
      </c>
      <c r="C62" s="2">
        <f>SUM('NONAUTO MODEL'!$G$74:$G$78)</f>
        <v>0</v>
      </c>
      <c r="D62" s="2">
        <f>PRODUCTIVITIES!$E$40</f>
        <v>1.0273268954181221</v>
      </c>
      <c r="E62" s="37">
        <f>'WAGE RATES'!$D$6</f>
        <v>50.10717457546064</v>
      </c>
      <c r="F62" s="41">
        <f>E62*100/D62</f>
        <v>4877.4323731753384</v>
      </c>
      <c r="G62" s="41">
        <f>PIGGYBACKS!$B$10</f>
        <v>1.6305774272183733</v>
      </c>
      <c r="H62" s="41">
        <f>'WAGE RATES'!$D$10</f>
        <v>1.0285306172213804</v>
      </c>
      <c r="I62" s="41">
        <f>(H62-1)*F62</f>
        <v>139.15615606223454</v>
      </c>
      <c r="J62" s="41">
        <f>F62*G62+I62</f>
        <v>8092.1872865460828</v>
      </c>
      <c r="K62" s="41">
        <f ca="1">C62*$J62/'NONAUTO MODEL'!$G$6</f>
        <v>0</v>
      </c>
    </row>
    <row r="63" spans="1:11" x14ac:dyDescent="0.25">
      <c r="B63" t="s">
        <v>200</v>
      </c>
      <c r="C63" s="2">
        <f ca="1">SUM('NONAUTO MODEL'!$M$74:$M$78)</f>
        <v>130.49865783865363</v>
      </c>
      <c r="D63" s="2">
        <f>PRODUCTIVITIES!$E$46</f>
        <v>753.4091755495233</v>
      </c>
      <c r="E63" s="37">
        <f>'WAGE RATES'!$D$6</f>
        <v>50.10717457546064</v>
      </c>
      <c r="F63" s="41">
        <f>E63*100/D63</f>
        <v>6.6507252900010618</v>
      </c>
      <c r="G63" s="41">
        <f>PIGGYBACKS!$B$12</f>
        <v>1.3622907328394676</v>
      </c>
      <c r="H63" s="41">
        <f>'WAGE RATES'!$D$10</f>
        <v>1.0285306172213804</v>
      </c>
      <c r="I63" s="41">
        <f>(H63-1)*F63</f>
        <v>0.18974929749357441</v>
      </c>
      <c r="J63" s="41">
        <f>F63*G63+I63</f>
        <v>9.2499707267231006</v>
      </c>
      <c r="K63" s="41">
        <f ca="1">C63*$J63/'NONAUTO MODEL'!$G$6</f>
        <v>0.12071087648842015</v>
      </c>
    </row>
    <row r="64" spans="1:11" x14ac:dyDescent="0.25">
      <c r="A64" s="35"/>
      <c r="F64" s="41"/>
      <c r="H64" s="41"/>
      <c r="I64" s="41"/>
      <c r="J64" s="41"/>
      <c r="K64" s="41"/>
    </row>
    <row r="65" spans="1:11" x14ac:dyDescent="0.25">
      <c r="A65" s="1" t="s">
        <v>233</v>
      </c>
      <c r="F65" s="41"/>
      <c r="H65" s="41"/>
      <c r="I65" s="41"/>
      <c r="J65" s="41"/>
      <c r="K65" s="41"/>
    </row>
    <row r="66" spans="1:11" x14ac:dyDescent="0.25">
      <c r="A66" s="35"/>
      <c r="B66" t="s">
        <v>225</v>
      </c>
      <c r="C66" s="2">
        <f ca="1">SUM('NONAUTO MODEL'!$B$83:$B$87)+SUM('NONAUTO MODEL'!$B$122:$B$126)</f>
        <v>8842.4455615398401</v>
      </c>
      <c r="D66" s="2">
        <f>PRODUCTIVITIES!$E$28*'COVERAGE FACTORS'!$C$25+PRODUCTIVITIES!$E$22*(1-'COVERAGE FACTORS'!$C$25)</f>
        <v>1858.2572281195687</v>
      </c>
      <c r="E66" s="37">
        <f>'WAGE RATES'!$D$6</f>
        <v>50.10717457546064</v>
      </c>
      <c r="F66" s="41">
        <f>E66*100/D66</f>
        <v>2.6964606308118992</v>
      </c>
      <c r="G66" s="41">
        <f>PIGGYBACKS!$B$8</f>
        <v>1.6305774272183733</v>
      </c>
      <c r="H66" s="41">
        <f>'WAGE RATES'!$D$10</f>
        <v>1.0285306172213804</v>
      </c>
      <c r="I66" s="41">
        <f>(H66-1)*F66</f>
        <v>7.693168611021621E-2</v>
      </c>
      <c r="J66" s="41">
        <f>F66*G66+I66</f>
        <v>4.473719524095114</v>
      </c>
      <c r="K66" s="41">
        <f ca="1">C66*$J66/'NONAUTO MODEL'!$G$6</f>
        <v>3.9558621349409013</v>
      </c>
    </row>
    <row r="67" spans="1:11" x14ac:dyDescent="0.25">
      <c r="A67" s="35"/>
      <c r="B67" t="s">
        <v>226</v>
      </c>
      <c r="C67" s="2">
        <f ca="1">SUM('NONAUTO MODEL'!$A$83:$A$87)+SUM('NONAUTO MODEL'!$A$122:$A$126)</f>
        <v>817.04870971704213</v>
      </c>
      <c r="D67" s="2">
        <f>PRODUCTIVITIES!$E$16</f>
        <v>888.0117100682927</v>
      </c>
      <c r="E67" s="37">
        <f>'WAGE RATES'!$D$5</f>
        <v>54.142360316355024</v>
      </c>
      <c r="F67" s="41">
        <f>E67*100/D67</f>
        <v>6.0970322465895403</v>
      </c>
      <c r="G67" s="41">
        <f>PIGGYBACKS!$B$9</f>
        <v>1.2615773174013249</v>
      </c>
      <c r="H67" s="41">
        <f>'WAGE RATES'!$D$10</f>
        <v>1.0285306172213804</v>
      </c>
      <c r="I67" s="41">
        <f>(H67-1)*F67</f>
        <v>0.17395209321385913</v>
      </c>
      <c r="J67" s="41">
        <f>F67*G67+I67</f>
        <v>7.8658296789756648</v>
      </c>
      <c r="K67" s="41">
        <f ca="1">C67*$J67/'NONAUTO MODEL'!$G$6</f>
        <v>0.64267659900610896</v>
      </c>
    </row>
    <row r="68" spans="1:11" x14ac:dyDescent="0.25">
      <c r="B68" t="s">
        <v>227</v>
      </c>
      <c r="C68" s="2">
        <f>SUM('NONAUTO MODEL'!$H$83:$H$87)</f>
        <v>0</v>
      </c>
      <c r="D68" s="2">
        <f>PRODUCTIVITIES!$E$35</f>
        <v>1.0273268954181221</v>
      </c>
      <c r="E68" s="37">
        <f>'WAGE RATES'!$D$6</f>
        <v>50.10717457546064</v>
      </c>
      <c r="F68" s="41">
        <f>E68*100/D68</f>
        <v>4877.4323731753384</v>
      </c>
      <c r="G68" s="41">
        <f>PIGGYBACKS!$B$10</f>
        <v>1.6305774272183733</v>
      </c>
      <c r="H68" s="41">
        <f>'WAGE RATES'!$D$10</f>
        <v>1.0285306172213804</v>
      </c>
      <c r="I68" s="41">
        <f>(H68-1)*F68</f>
        <v>139.15615606223454</v>
      </c>
      <c r="J68" s="41">
        <f>F68*G68+I68</f>
        <v>8092.1872865460828</v>
      </c>
      <c r="K68" s="41">
        <f ca="1">C68*$J68/'NONAUTO MODEL'!$G$6</f>
        <v>0</v>
      </c>
    </row>
    <row r="69" spans="1:11" x14ac:dyDescent="0.25">
      <c r="B69" t="s">
        <v>228</v>
      </c>
      <c r="C69" s="2">
        <f>SUM('NONAUTO MODEL'!$G$83:$G$87)</f>
        <v>0</v>
      </c>
      <c r="D69" s="2">
        <f>PRODUCTIVITIES!$E$41</f>
        <v>1.0273268954181221</v>
      </c>
      <c r="E69" s="37">
        <f>'WAGE RATES'!$D$6</f>
        <v>50.10717457546064</v>
      </c>
      <c r="F69" s="41">
        <f>E69*100/D69</f>
        <v>4877.4323731753384</v>
      </c>
      <c r="G69" s="41">
        <f>PIGGYBACKS!$B$10</f>
        <v>1.6305774272183733</v>
      </c>
      <c r="H69" s="41">
        <f>'WAGE RATES'!$D$10</f>
        <v>1.0285306172213804</v>
      </c>
      <c r="I69" s="41">
        <f>(H69-1)*F69</f>
        <v>139.15615606223454</v>
      </c>
      <c r="J69" s="41">
        <f>F69*G69+I69</f>
        <v>8092.1872865460828</v>
      </c>
      <c r="K69" s="41">
        <f ca="1">C69*$J69/'NONAUTO MODEL'!$G$6</f>
        <v>0</v>
      </c>
    </row>
    <row r="70" spans="1:11" x14ac:dyDescent="0.25">
      <c r="B70" t="s">
        <v>200</v>
      </c>
      <c r="C70" s="2">
        <f ca="1">SUM('NONAUTO MODEL'!$M$83:$M$87)</f>
        <v>1696.3681462291463</v>
      </c>
      <c r="D70" s="2">
        <f>PRODUCTIVITIES!$E$47</f>
        <v>675.89315757280178</v>
      </c>
      <c r="E70" s="37">
        <f>'WAGE RATES'!$D$6</f>
        <v>50.10717457546064</v>
      </c>
      <c r="F70" s="41">
        <f>E70*100/D70</f>
        <v>7.4134756379840256</v>
      </c>
      <c r="G70" s="41">
        <f>PIGGYBACKS!$B$12</f>
        <v>1.3622907328394676</v>
      </c>
      <c r="H70" s="41">
        <f>'WAGE RATES'!$D$10</f>
        <v>1.0285306172213804</v>
      </c>
      <c r="I70" s="41">
        <f>(H70-1)*F70</f>
        <v>0.21151103570735105</v>
      </c>
      <c r="J70" s="41">
        <f>F70*G70+I70</f>
        <v>10.310820195464149</v>
      </c>
      <c r="K70" s="41">
        <f ca="1">C70*$J70/'NONAUTO MODEL'!$G$6</f>
        <v>1.749094694108158</v>
      </c>
    </row>
    <row r="71" spans="1:11" x14ac:dyDescent="0.25">
      <c r="F71" s="41"/>
      <c r="H71" s="41"/>
      <c r="I71" s="41"/>
      <c r="J71" s="41"/>
      <c r="K71" s="41"/>
    </row>
    <row r="72" spans="1:11" x14ac:dyDescent="0.25">
      <c r="A72" s="1" t="s">
        <v>234</v>
      </c>
      <c r="F72" s="41"/>
      <c r="H72" s="41"/>
      <c r="I72" s="41"/>
      <c r="J72" s="41"/>
      <c r="K72" s="41"/>
    </row>
    <row r="73" spans="1:11" x14ac:dyDescent="0.25">
      <c r="B73" t="s">
        <v>99</v>
      </c>
      <c r="C73" s="2">
        <v>0</v>
      </c>
      <c r="D73" s="2">
        <v>0</v>
      </c>
      <c r="E73" s="37">
        <v>0</v>
      </c>
      <c r="F73" s="41">
        <v>0</v>
      </c>
      <c r="G73" s="41">
        <v>0</v>
      </c>
      <c r="H73" s="41">
        <v>0</v>
      </c>
      <c r="I73" s="41">
        <v>0</v>
      </c>
      <c r="J73" s="41">
        <v>0</v>
      </c>
      <c r="K73" s="41">
        <f ca="1">C73*$J73/'MADC NONAUTO MODEL'!$G$6</f>
        <v>0</v>
      </c>
    </row>
    <row r="74" spans="1:11" x14ac:dyDescent="0.25">
      <c r="B74" t="s">
        <v>226</v>
      </c>
      <c r="C74" s="2">
        <f ca="1">SUM('NONAUTO MODEL'!$A$95:$A$99)</f>
        <v>0</v>
      </c>
      <c r="D74" s="2">
        <f>PRODUCTIVITIES!E16</f>
        <v>888.0117100682927</v>
      </c>
      <c r="E74" s="37">
        <f>'WAGE RATES'!D5</f>
        <v>54.142360316355024</v>
      </c>
      <c r="F74" s="41">
        <f>E74*100/D74</f>
        <v>6.0970322465895403</v>
      </c>
      <c r="G74" s="41">
        <f>PIGGYBACKS!B9</f>
        <v>1.2615773174013249</v>
      </c>
      <c r="H74" s="41">
        <f>'WAGE RATES'!$D$10</f>
        <v>1.0285306172213804</v>
      </c>
      <c r="I74" s="41">
        <f>(H74-1)*F74</f>
        <v>0.17395209321385913</v>
      </c>
      <c r="J74" s="41">
        <f>F74*G74+I74</f>
        <v>7.8658296789756648</v>
      </c>
      <c r="K74" s="41">
        <f ca="1">C74*$J74/'NONAUTO MODEL'!$G$6</f>
        <v>0</v>
      </c>
    </row>
    <row r="75" spans="1:11" x14ac:dyDescent="0.25">
      <c r="F75" s="41"/>
      <c r="H75" s="41"/>
      <c r="I75" s="41"/>
      <c r="J75" s="41"/>
    </row>
    <row r="76" spans="1:11" ht="13.8" thickBot="1" x14ac:dyDescent="0.3">
      <c r="F76" s="41"/>
      <c r="H76" s="41"/>
      <c r="I76" s="41"/>
      <c r="J76" s="41"/>
      <c r="K76" s="40" t="str">
        <f>"(10)"</f>
        <v>(10)</v>
      </c>
    </row>
    <row r="77" spans="1:11" ht="13.8" thickBot="1" x14ac:dyDescent="0.3">
      <c r="F77" s="41"/>
      <c r="H77" s="41"/>
      <c r="I77" s="41"/>
      <c r="J77" s="136" t="s">
        <v>205</v>
      </c>
      <c r="K77" s="137">
        <f ca="1">SUM(K11:K74)</f>
        <v>20.544372284181453</v>
      </c>
    </row>
    <row r="81" spans="1:15" x14ac:dyDescent="0.25">
      <c r="A81" s="139" t="str">
        <f>"(1)"</f>
        <v>(1)</v>
      </c>
      <c r="B81" s="1" t="s">
        <v>235</v>
      </c>
      <c r="F81" s="139" t="str">
        <f>"(6)"</f>
        <v>(6)</v>
      </c>
      <c r="G81" s="1" t="s">
        <v>236</v>
      </c>
      <c r="H81" s="33"/>
      <c r="J81" s="139"/>
      <c r="K81" s="2"/>
      <c r="L81" s="2"/>
      <c r="M81" s="37"/>
      <c r="N81" s="139"/>
      <c r="O81" s="1"/>
    </row>
    <row r="82" spans="1:15" x14ac:dyDescent="0.25">
      <c r="A82" s="139" t="str">
        <f>"(2)"</f>
        <v>(2)</v>
      </c>
      <c r="B82" s="1" t="s">
        <v>237</v>
      </c>
      <c r="F82" s="138" t="str">
        <f>"(7)"</f>
        <v>(7)</v>
      </c>
      <c r="G82" s="140" t="s">
        <v>209</v>
      </c>
      <c r="H82" s="33"/>
      <c r="J82" s="139"/>
      <c r="K82" s="2"/>
      <c r="L82" s="2"/>
      <c r="M82" s="37"/>
      <c r="N82" s="138"/>
      <c r="O82" s="140"/>
    </row>
    <row r="83" spans="1:15" x14ac:dyDescent="0.25">
      <c r="A83" s="139" t="str">
        <f>"(3)"</f>
        <v>(3)</v>
      </c>
      <c r="B83" s="1" t="s">
        <v>236</v>
      </c>
      <c r="F83" s="138" t="str">
        <f>"(8)"</f>
        <v>(8)</v>
      </c>
      <c r="G83" s="140" t="s">
        <v>211</v>
      </c>
      <c r="H83" s="33"/>
      <c r="J83" s="139"/>
      <c r="K83" s="2"/>
      <c r="L83" s="2"/>
      <c r="M83" s="37"/>
      <c r="N83" s="138"/>
      <c r="O83" s="140"/>
    </row>
    <row r="84" spans="1:15" x14ac:dyDescent="0.25">
      <c r="A84" s="139" t="str">
        <f>"(4)"</f>
        <v>(4)</v>
      </c>
      <c r="B84" s="1" t="s">
        <v>213</v>
      </c>
      <c r="F84" s="138" t="str">
        <f>"(9)"</f>
        <v>(9)</v>
      </c>
      <c r="G84" s="140" t="s">
        <v>212</v>
      </c>
      <c r="H84" s="33"/>
      <c r="J84" s="139"/>
      <c r="K84" s="2"/>
      <c r="L84" s="2"/>
      <c r="M84" s="37"/>
      <c r="N84" s="138"/>
      <c r="O84" s="140"/>
    </row>
    <row r="85" spans="1:15" x14ac:dyDescent="0.25">
      <c r="A85" s="139" t="str">
        <f>"(5)"</f>
        <v>(5)</v>
      </c>
      <c r="B85" s="1" t="s">
        <v>238</v>
      </c>
      <c r="F85" s="138" t="str">
        <f>"(10)"</f>
        <v>(10)</v>
      </c>
      <c r="G85" s="140" t="s">
        <v>214</v>
      </c>
      <c r="H85" s="33"/>
      <c r="J85" s="139"/>
      <c r="K85" s="2"/>
      <c r="L85" s="2"/>
      <c r="M85" s="37"/>
      <c r="N85" s="138"/>
      <c r="O85" s="140"/>
    </row>
    <row r="86" spans="1:15" x14ac:dyDescent="0.25">
      <c r="G86" s="140"/>
      <c r="H86" s="33"/>
      <c r="J86" s="139"/>
      <c r="K86" s="2"/>
      <c r="L86" s="2"/>
      <c r="M86" s="37"/>
      <c r="N86" s="132"/>
      <c r="O86" s="41"/>
    </row>
  </sheetData>
  <phoneticPr fontId="29" type="noConversion"/>
  <printOptions horizontalCentered="1"/>
  <pageMargins left="0.75" right="0.75" top="1" bottom="1" header="0.5" footer="0.5"/>
  <pageSetup scale="60" orientation="portrait" r:id="rId1"/>
  <headerFooter alignWithMargins="0">
    <oddFooter>&amp;CTab '&amp;A'&amp;RPage 9</oddFooter>
  </headerFooter>
  <ignoredErrors>
    <ignoredError sqref="E32 E39 E46 E53 E60 E67" formula="1"/>
  </ignoredErrors>
</worksheet>
</file>

<file path=xl/worksheets/sheet1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AD128"/>
  <sheetViews>
    <sheetView zoomScale="75" zoomScaleNormal="75" workbookViewId="0"/>
  </sheetViews>
  <sheetFormatPr defaultRowHeight="13.2" x14ac:dyDescent="0.25"/>
  <cols>
    <col min="1" max="3" width="10.77734375" style="19" customWidth="1"/>
    <col min="4" max="4" width="10.77734375" style="58" customWidth="1"/>
    <col min="5" max="6" width="10.77734375" style="19" customWidth="1"/>
    <col min="7" max="7" width="15.77734375" style="19" customWidth="1"/>
    <col min="8" max="8" width="10.77734375" style="19" customWidth="1"/>
    <col min="9" max="9" width="10.77734375" style="58" customWidth="1"/>
    <col min="10" max="12" width="10.77734375" style="19" customWidth="1"/>
    <col min="13" max="13" width="10.77734375" customWidth="1"/>
    <col min="14" max="14" width="10.77734375" style="19" customWidth="1"/>
    <col min="15" max="16" width="10.77734375" style="58" customWidth="1"/>
    <col min="17" max="18" width="10.77734375" style="19" customWidth="1"/>
    <col min="19" max="19" width="10.77734375" customWidth="1"/>
    <col min="20" max="20" width="10.77734375" style="19" customWidth="1"/>
    <col min="21" max="21" width="10.77734375" style="58" customWidth="1"/>
    <col min="22" max="30" width="10.77734375" style="19" customWidth="1"/>
    <col min="31" max="34" width="10.77734375" customWidth="1"/>
  </cols>
  <sheetData>
    <row r="1" spans="1:30" ht="28.2" x14ac:dyDescent="0.5">
      <c r="A1" s="56" t="str">
        <f>'NONAUTO COST'!A1</f>
        <v>NONAUTO PRESORT</v>
      </c>
    </row>
    <row r="2" spans="1:30" ht="22.8" x14ac:dyDescent="0.4">
      <c r="A2" s="57" t="s">
        <v>239</v>
      </c>
    </row>
    <row r="6" spans="1:30" ht="17.399999999999999" x14ac:dyDescent="0.3">
      <c r="A6" s="47" t="s">
        <v>240</v>
      </c>
      <c r="B6" s="17"/>
      <c r="C6" s="48">
        <f>SUM(C11:C16)+SUM(G11:G16)+SUM(K11:K16)+SUM(O11:O16)</f>
        <v>10000.000000000002</v>
      </c>
      <c r="E6" s="47" t="s">
        <v>241</v>
      </c>
      <c r="F6" s="17"/>
      <c r="G6" s="48">
        <f ca="1">D88+J88+O88+D100+D127</f>
        <v>9999.9999999999891</v>
      </c>
      <c r="H6" s="17"/>
      <c r="J6" s="17"/>
      <c r="K6" s="17"/>
      <c r="O6" s="47"/>
      <c r="P6" s="47"/>
      <c r="Q6" s="17"/>
      <c r="R6" s="17"/>
      <c r="V6" s="17"/>
      <c r="W6" s="17"/>
      <c r="X6" s="17"/>
      <c r="Y6" s="17"/>
      <c r="AA6" s="17"/>
      <c r="AC6" s="17"/>
      <c r="AD6" s="17"/>
    </row>
    <row r="9" spans="1:30" x14ac:dyDescent="0.25">
      <c r="E9" s="17"/>
      <c r="H9" s="17"/>
      <c r="J9" s="17"/>
      <c r="K9" s="17"/>
      <c r="N9" s="17"/>
      <c r="Q9" s="17"/>
      <c r="R9" s="17"/>
      <c r="V9" s="17"/>
      <c r="W9" s="17"/>
      <c r="X9" s="17"/>
      <c r="Y9" s="17"/>
      <c r="AA9" s="17"/>
      <c r="AC9" s="17"/>
      <c r="AD9" s="17"/>
    </row>
    <row r="10" spans="1:30" ht="17.399999999999999" x14ac:dyDescent="0.3">
      <c r="A10" s="49" t="s">
        <v>242</v>
      </c>
      <c r="E10" s="17"/>
      <c r="G10" s="18"/>
      <c r="H10" s="26"/>
      <c r="J10" s="17"/>
      <c r="K10" s="17"/>
      <c r="N10" s="17"/>
      <c r="O10" s="60"/>
      <c r="Q10" s="17"/>
      <c r="R10" s="17"/>
      <c r="V10" s="17"/>
      <c r="W10" s="17"/>
      <c r="X10" s="17"/>
      <c r="Y10" s="17"/>
      <c r="AA10" s="17"/>
      <c r="AC10" s="17"/>
      <c r="AD10" s="17"/>
    </row>
    <row r="11" spans="1:30" x14ac:dyDescent="0.25">
      <c r="A11" s="25"/>
      <c r="B11" s="66" t="s">
        <v>243</v>
      </c>
      <c r="C11" s="67">
        <v>0</v>
      </c>
      <c r="D11" s="59"/>
      <c r="E11" s="28"/>
      <c r="F11" s="61" t="s">
        <v>244</v>
      </c>
      <c r="G11" s="63">
        <f>'ENTRY PROFILE'!H6+'ENTRY PROFILE'!H7+'ENTRY PROFILE'!H8+'ENTRY PROFILE'!H9+'ENTRY PROFILE'!I6+'ENTRY PROFILE'!X10</f>
        <v>7517.5564530798347</v>
      </c>
      <c r="I11" s="27"/>
      <c r="J11" s="72" t="s">
        <v>245</v>
      </c>
      <c r="K11" s="73">
        <v>0</v>
      </c>
      <c r="L11" s="59"/>
      <c r="M11" s="28"/>
      <c r="N11" s="78" t="s">
        <v>246</v>
      </c>
      <c r="O11" s="79">
        <f>'ENTRY PROFILE'!H20+'ENTRY PROFILE'!H21+'ENTRY PROFILE'!H22+'ENTRY PROFILE'!H23+'ENTRY PROFILE'!I20+'ENTRY PROFILE'!X24</f>
        <v>0</v>
      </c>
      <c r="P11" s="141"/>
      <c r="Q11" s="17"/>
      <c r="R11" s="17"/>
      <c r="V11" s="17"/>
      <c r="W11" s="17"/>
      <c r="X11" s="17"/>
      <c r="Y11" s="17"/>
      <c r="AA11" s="17"/>
      <c r="AC11" s="17"/>
      <c r="AD11" s="17"/>
    </row>
    <row r="12" spans="1:30" x14ac:dyDescent="0.25">
      <c r="A12" s="21"/>
      <c r="B12" s="68" t="s">
        <v>247</v>
      </c>
      <c r="C12" s="69">
        <v>0</v>
      </c>
      <c r="E12" s="17"/>
      <c r="F12" s="62" t="s">
        <v>248</v>
      </c>
      <c r="G12" s="63">
        <v>0</v>
      </c>
      <c r="I12" s="19"/>
      <c r="J12" s="74" t="s">
        <v>249</v>
      </c>
      <c r="K12" s="75">
        <v>0</v>
      </c>
      <c r="L12" s="58"/>
      <c r="M12" s="17"/>
      <c r="N12" s="80" t="s">
        <v>250</v>
      </c>
      <c r="O12" s="81">
        <v>0</v>
      </c>
      <c r="P12" s="141"/>
      <c r="Q12" s="17"/>
      <c r="R12" s="17"/>
      <c r="V12" s="17"/>
      <c r="W12" s="17"/>
      <c r="X12" s="17"/>
      <c r="Y12" s="17"/>
      <c r="AA12" s="17"/>
      <c r="AC12" s="17"/>
      <c r="AD12" s="17"/>
    </row>
    <row r="13" spans="1:30" x14ac:dyDescent="0.25">
      <c r="A13" s="21"/>
      <c r="B13" s="68" t="s">
        <v>251</v>
      </c>
      <c r="C13" s="69">
        <v>0</v>
      </c>
      <c r="E13" s="17"/>
      <c r="F13" s="62" t="s">
        <v>252</v>
      </c>
      <c r="G13" s="63">
        <f>'ENTRY PROFILE'!I7+'ENTRY PROFILE'!L7+'ENTRY PROFILE'!L8+'ENTRY PROFILE'!L9+'ENTRY PROFILE'!L11+'ENTRY PROFILE'!L12+'ENTRY PROFILE'!L13+'ENTRY PROFILE'!M7+'ENTRY PROFILE'!M11+'ENTRY PROFILE'!X14</f>
        <v>570.5822379479672</v>
      </c>
      <c r="I13" s="19"/>
      <c r="J13" s="74" t="s">
        <v>253</v>
      </c>
      <c r="K13" s="75">
        <v>0</v>
      </c>
      <c r="L13" s="58"/>
      <c r="M13" s="17"/>
      <c r="N13" s="80" t="s">
        <v>254</v>
      </c>
      <c r="O13" s="81">
        <f>'ENTRY PROFILE'!I21+'ENTRY PROFILE'!L21+'ENTRY PROFILE'!L22+'ENTRY PROFILE'!L23+'ENTRY PROFILE'!L25+'ENTRY PROFILE'!L26+'ENTRY PROFILE'!L27+'ENTRY PROFILE'!M21+'ENTRY PROFILE'!M25+'ENTRY PROFILE'!X28</f>
        <v>0</v>
      </c>
      <c r="P13" s="141"/>
      <c r="Q13" s="17"/>
      <c r="R13" s="17"/>
      <c r="V13" s="17"/>
      <c r="W13" s="17"/>
      <c r="X13" s="17"/>
      <c r="Y13" s="17"/>
      <c r="AA13" s="17"/>
      <c r="AC13" s="17"/>
      <c r="AD13" s="17"/>
    </row>
    <row r="14" spans="1:30" x14ac:dyDescent="0.25">
      <c r="A14" s="21"/>
      <c r="B14" s="68" t="s">
        <v>255</v>
      </c>
      <c r="C14" s="69">
        <v>0</v>
      </c>
      <c r="E14" s="17"/>
      <c r="F14" s="62" t="s">
        <v>256</v>
      </c>
      <c r="G14" s="63">
        <f>'ENTRY PROFILE'!I8+'ENTRY PROFILE'!M8+'ENTRY PROFILE'!M12+'ENTRY PROFILE'!P8+'ENTRY PROFILE'!P9+'ENTRY PROFILE'!P12+'ENTRY PROFILE'!P13+'ENTRY PROFILE'!P15+'ENTRY PROFILE'!P16+'ENTRY PROFILE'!Q8+'ENTRY PROFILE'!Q12+'ENTRY PROFILE'!Q15+'ENTRY PROFILE'!X17</f>
        <v>557.95014312853777</v>
      </c>
      <c r="I14" s="19"/>
      <c r="J14" s="74" t="s">
        <v>257</v>
      </c>
      <c r="K14" s="75">
        <v>0</v>
      </c>
      <c r="L14" s="58"/>
      <c r="M14" s="17"/>
      <c r="N14" s="80" t="s">
        <v>258</v>
      </c>
      <c r="O14" s="81">
        <f>'ENTRY PROFILE'!I22+'ENTRY PROFILE'!M22+'ENTRY PROFILE'!M26+'ENTRY PROFILE'!P22+'ENTRY PROFILE'!P23+'ENTRY PROFILE'!P26+'ENTRY PROFILE'!P27+'ENTRY PROFILE'!P29+'ENTRY PROFILE'!P30+'ENTRY PROFILE'!Q22+'ENTRY PROFILE'!Q26+'ENTRY PROFILE'!Q29+'ENTRY PROFILE'!X31</f>
        <v>0</v>
      </c>
      <c r="P14" s="141"/>
      <c r="Q14" s="17"/>
      <c r="R14" s="17"/>
      <c r="V14" s="17"/>
      <c r="W14" s="17"/>
      <c r="X14" s="17"/>
      <c r="Y14" s="17"/>
      <c r="AA14" s="17"/>
      <c r="AC14" s="17"/>
      <c r="AD14" s="17"/>
    </row>
    <row r="15" spans="1:30" x14ac:dyDescent="0.25">
      <c r="A15" s="21"/>
      <c r="B15" s="68" t="s">
        <v>259</v>
      </c>
      <c r="C15" s="69">
        <v>0</v>
      </c>
      <c r="E15" s="17"/>
      <c r="F15" s="62" t="s">
        <v>260</v>
      </c>
      <c r="G15" s="63">
        <v>0</v>
      </c>
      <c r="I15" s="19"/>
      <c r="J15" s="74" t="s">
        <v>261</v>
      </c>
      <c r="K15" s="75">
        <v>0</v>
      </c>
      <c r="L15" s="58"/>
      <c r="M15" s="17"/>
      <c r="N15" s="80" t="s">
        <v>262</v>
      </c>
      <c r="O15" s="81">
        <v>0</v>
      </c>
      <c r="P15" s="141"/>
      <c r="Q15" s="17"/>
      <c r="R15" s="17"/>
      <c r="V15" s="17"/>
      <c r="W15" s="17"/>
      <c r="X15" s="17"/>
      <c r="Y15" s="17"/>
      <c r="AA15" s="17"/>
      <c r="AC15" s="17"/>
      <c r="AD15" s="17"/>
    </row>
    <row r="16" spans="1:30" x14ac:dyDescent="0.25">
      <c r="A16" s="20"/>
      <c r="B16" s="70" t="s">
        <v>263</v>
      </c>
      <c r="C16" s="71">
        <v>0</v>
      </c>
      <c r="D16" s="60"/>
      <c r="E16" s="26"/>
      <c r="F16" s="64" t="s">
        <v>264</v>
      </c>
      <c r="G16" s="65">
        <f>'ENTRY PROFILE'!I9+'ENTRY PROFILE'!M9+'ENTRY PROFILE'!M13+'ENTRY PROFILE'!Q9+'ENTRY PROFILE'!Q13+'ENTRY PROFILE'!Q16+'ENTRY PROFILE'!X19+'ENTRY PROFILE'!X18</f>
        <v>1353.9111658436625</v>
      </c>
      <c r="H16" s="18"/>
      <c r="I16" s="18"/>
      <c r="J16" s="76" t="s">
        <v>265</v>
      </c>
      <c r="K16" s="77">
        <v>0</v>
      </c>
      <c r="L16" s="60"/>
      <c r="M16" s="26"/>
      <c r="N16" s="82" t="s">
        <v>266</v>
      </c>
      <c r="O16" s="83">
        <f>'ENTRY PROFILE'!I23+'ENTRY PROFILE'!M23+'ENTRY PROFILE'!M27+'ENTRY PROFILE'!Q23+'ENTRY PROFILE'!Q27+'ENTRY PROFILE'!Q30+'ENTRY PROFILE'!X33+'ENTRY PROFILE'!X32</f>
        <v>0</v>
      </c>
      <c r="P16" s="141"/>
      <c r="Q16" s="17"/>
      <c r="R16" s="17"/>
      <c r="V16" s="17"/>
      <c r="W16" s="17"/>
      <c r="X16" s="17"/>
      <c r="Y16" s="17"/>
      <c r="AA16" s="17"/>
      <c r="AC16" s="17"/>
      <c r="AD16" s="17"/>
    </row>
    <row r="20" spans="1:30" x14ac:dyDescent="0.25">
      <c r="A20" s="103"/>
      <c r="B20" s="105"/>
      <c r="C20" s="105"/>
      <c r="D20" s="106"/>
      <c r="E20" s="105"/>
      <c r="F20" s="105"/>
      <c r="G20" s="103"/>
      <c r="H20" s="104"/>
      <c r="I20" s="105"/>
      <c r="J20" s="106"/>
      <c r="K20" s="105"/>
      <c r="L20" s="105"/>
      <c r="M20" s="104"/>
      <c r="N20" s="105"/>
      <c r="O20" s="106"/>
      <c r="P20" s="105"/>
      <c r="Q20" s="107"/>
      <c r="S20" s="19"/>
      <c r="U20" s="19"/>
      <c r="Y20"/>
      <c r="Z20"/>
      <c r="AA20"/>
      <c r="AB20"/>
      <c r="AC20"/>
      <c r="AD20"/>
    </row>
    <row r="21" spans="1:30" s="125" customFormat="1" ht="22.8" x14ac:dyDescent="0.4">
      <c r="A21" s="177"/>
      <c r="B21" s="123"/>
      <c r="C21" s="127" t="s">
        <v>267</v>
      </c>
      <c r="D21" s="123"/>
      <c r="E21" s="57"/>
      <c r="F21" s="127"/>
      <c r="G21" s="122"/>
      <c r="H21" s="57"/>
      <c r="I21" s="123"/>
      <c r="J21" s="57"/>
      <c r="K21" s="57"/>
      <c r="L21" s="127" t="s">
        <v>268</v>
      </c>
      <c r="M21" s="57"/>
      <c r="N21" s="123"/>
      <c r="O21" s="57"/>
      <c r="P21" s="57"/>
      <c r="Q21" s="124"/>
      <c r="R21" s="57"/>
      <c r="S21" s="57"/>
      <c r="T21" s="57"/>
      <c r="U21" s="57"/>
      <c r="V21" s="57"/>
      <c r="W21" s="57"/>
      <c r="X21" s="57"/>
    </row>
    <row r="22" spans="1:30" s="125" customFormat="1" ht="22.8" x14ac:dyDescent="0.4">
      <c r="A22" s="122"/>
      <c r="B22" s="57"/>
      <c r="C22" s="57"/>
      <c r="D22" s="123"/>
      <c r="E22" s="57"/>
      <c r="F22" s="127"/>
      <c r="G22" s="122"/>
      <c r="H22" s="57"/>
      <c r="I22" s="123"/>
      <c r="J22" s="57"/>
      <c r="K22" s="57"/>
      <c r="M22" s="57"/>
      <c r="N22" s="123"/>
      <c r="O22" s="57"/>
      <c r="P22" s="57"/>
      <c r="Q22" s="124"/>
      <c r="R22" s="57"/>
      <c r="S22" s="57"/>
      <c r="T22" s="57"/>
      <c r="U22" s="57"/>
      <c r="V22" s="57"/>
      <c r="W22" s="57"/>
      <c r="X22" s="57"/>
    </row>
    <row r="23" spans="1:30" x14ac:dyDescent="0.25">
      <c r="A23" s="113"/>
      <c r="D23" s="96">
        <f>SUM(A25:A29)*(1-'ACCEPT RATES'!G14)+SUM(C25:C29)*SUM('ACCEPT RATES'!I14:J14)</f>
        <v>462.88410428032716</v>
      </c>
      <c r="E23" s="23" t="s">
        <v>269</v>
      </c>
      <c r="G23" s="121"/>
      <c r="I23" s="23"/>
      <c r="J23" s="96">
        <f>SUM(G25:G29)*(1-'ACCEPT RATES'!E19)</f>
        <v>0</v>
      </c>
      <c r="K23" s="23" t="s">
        <v>269</v>
      </c>
      <c r="L23"/>
      <c r="M23" s="19"/>
      <c r="P23" s="23"/>
      <c r="Q23" s="108"/>
      <c r="S23" s="19"/>
      <c r="U23" s="19"/>
      <c r="Y23"/>
      <c r="Z23"/>
      <c r="AA23"/>
      <c r="AB23"/>
      <c r="AC23"/>
      <c r="AD23"/>
    </row>
    <row r="24" spans="1:30" x14ac:dyDescent="0.25">
      <c r="A24" s="126" t="s">
        <v>270</v>
      </c>
      <c r="B24" s="86" t="s">
        <v>271</v>
      </c>
      <c r="C24" s="87"/>
      <c r="D24" s="119"/>
      <c r="E24" s="23" t="s">
        <v>272</v>
      </c>
      <c r="G24" s="126" t="s">
        <v>273</v>
      </c>
      <c r="H24" s="86" t="s">
        <v>274</v>
      </c>
      <c r="I24" s="87"/>
      <c r="J24" s="99"/>
      <c r="K24" s="22" t="s">
        <v>272</v>
      </c>
      <c r="L24"/>
      <c r="M24" s="86" t="s">
        <v>275</v>
      </c>
      <c r="N24" s="87"/>
      <c r="P24" s="19"/>
      <c r="Q24" s="108"/>
      <c r="S24" s="19"/>
      <c r="U24" s="19"/>
      <c r="Y24"/>
      <c r="Z24"/>
      <c r="AA24"/>
      <c r="AB24"/>
      <c r="AC24"/>
      <c r="AD24"/>
    </row>
    <row r="25" spans="1:30" x14ac:dyDescent="0.25">
      <c r="A25" s="120">
        <f>B25*(1-'ACCEPT RATES'!C14)</f>
        <v>0</v>
      </c>
      <c r="B25" s="29">
        <f>C25*(1+'ACCEPT RATES'!F14)</f>
        <v>0</v>
      </c>
      <c r="C25" s="50">
        <f>C11*('COVERAGE FACTORS'!C15+'COVERAGE FACTORS'!C19)</f>
        <v>0</v>
      </c>
      <c r="E25" s="23" t="s">
        <v>200</v>
      </c>
      <c r="G25" s="178">
        <f>H25*(1-'ACCEPT RATES'!C19)</f>
        <v>0</v>
      </c>
      <c r="H25" s="29">
        <f>I25</f>
        <v>0</v>
      </c>
      <c r="I25" s="50">
        <f>C11*'COVERAGE FACTORS'!C17</f>
        <v>0</v>
      </c>
      <c r="J25" s="22"/>
      <c r="K25" s="22" t="s">
        <v>200</v>
      </c>
      <c r="L25"/>
      <c r="M25" s="29">
        <f>N25</f>
        <v>0</v>
      </c>
      <c r="N25" s="50">
        <f>C11*'COVERAGE FACTORS'!C21</f>
        <v>0</v>
      </c>
      <c r="P25" s="19"/>
      <c r="Q25" s="108"/>
      <c r="S25" s="19"/>
      <c r="U25" s="19"/>
      <c r="Y25"/>
      <c r="Z25"/>
      <c r="AA25"/>
      <c r="AB25"/>
      <c r="AC25"/>
      <c r="AD25"/>
    </row>
    <row r="26" spans="1:30" x14ac:dyDescent="0.25">
      <c r="A26" s="179">
        <f>B26*(1-'ACCEPT RATES'!D14)</f>
        <v>2007.4405786710543</v>
      </c>
      <c r="B26" s="85">
        <f>C26*(1+'ACCEPT RATES'!F14)</f>
        <v>7613.0475271278774</v>
      </c>
      <c r="C26" s="84">
        <f>G11*('COVERAGE FACTORS'!C15+'COVERAGE FACTORS'!C19)</f>
        <v>7517.5218320402146</v>
      </c>
      <c r="G26" s="179">
        <f>H26*(1-'ACCEPT RATES'!D19)</f>
        <v>0</v>
      </c>
      <c r="H26" s="85">
        <f>I26</f>
        <v>0</v>
      </c>
      <c r="I26" s="84">
        <f>G11*'COVERAGE FACTORS'!C17</f>
        <v>0</v>
      </c>
      <c r="J26" s="58"/>
      <c r="L26"/>
      <c r="M26" s="85">
        <f>N26</f>
        <v>3.4621039622987758E-2</v>
      </c>
      <c r="N26" s="84">
        <f>G11*'COVERAGE FACTORS'!C21</f>
        <v>3.4621039622987758E-2</v>
      </c>
      <c r="P26" s="19"/>
      <c r="Q26" s="108"/>
      <c r="S26" s="19"/>
      <c r="U26" s="19"/>
      <c r="Y26"/>
      <c r="Z26"/>
      <c r="AA26"/>
      <c r="AB26"/>
      <c r="AC26"/>
      <c r="AD26"/>
    </row>
    <row r="27" spans="1:30" x14ac:dyDescent="0.25">
      <c r="A27" s="121"/>
      <c r="B27" s="85"/>
      <c r="C27" s="84"/>
      <c r="G27" s="109">
        <f>H27*(1-'ACCEPT RATES'!C19)</f>
        <v>0</v>
      </c>
      <c r="H27" s="89">
        <f>I27</f>
        <v>0</v>
      </c>
      <c r="I27" s="90">
        <f>K11*('COVERAGE FACTORS'!C17+'COVERAGE FACTORS'!C19)</f>
        <v>0</v>
      </c>
      <c r="J27" s="58"/>
      <c r="L27"/>
      <c r="M27" s="89">
        <f>N27</f>
        <v>0</v>
      </c>
      <c r="N27" s="90">
        <f>K11*(1-('COVERAGE FACTORS'!C17+'COVERAGE FACTORS'!C19))</f>
        <v>0</v>
      </c>
      <c r="P27" s="19"/>
      <c r="Q27" s="108"/>
      <c r="S27" s="19"/>
      <c r="U27" s="19"/>
      <c r="Y27"/>
      <c r="Z27"/>
      <c r="AA27"/>
      <c r="AB27"/>
      <c r="AC27"/>
      <c r="AD27"/>
    </row>
    <row r="28" spans="1:30" x14ac:dyDescent="0.25">
      <c r="A28" s="121"/>
      <c r="B28" s="85"/>
      <c r="C28" s="84"/>
      <c r="G28" s="110">
        <f>H28*(1-'ACCEPT RATES'!D19)</f>
        <v>0</v>
      </c>
      <c r="H28" s="94">
        <f>I28</f>
        <v>0</v>
      </c>
      <c r="I28" s="92">
        <f>O11*('COVERAGE FACTORS'!C17+'COVERAGE FACTORS'!C19)</f>
        <v>0</v>
      </c>
      <c r="J28" s="58"/>
      <c r="L28"/>
      <c r="M28" s="94">
        <f>N28</f>
        <v>0</v>
      </c>
      <c r="N28" s="92">
        <f>O11*(1-('COVERAGE FACTORS'!C17+'COVERAGE FACTORS'!C19))</f>
        <v>0</v>
      </c>
      <c r="P28" s="19"/>
      <c r="Q28" s="108"/>
      <c r="S28" s="19"/>
      <c r="U28" s="19"/>
      <c r="Y28"/>
      <c r="Z28"/>
      <c r="AA28"/>
      <c r="AB28"/>
      <c r="AC28"/>
      <c r="AD28"/>
    </row>
    <row r="29" spans="1:30" x14ac:dyDescent="0.25">
      <c r="A29" s="180"/>
      <c r="B29" s="20"/>
      <c r="C29" s="34"/>
      <c r="G29" s="111"/>
      <c r="H29" s="44"/>
      <c r="I29" s="34"/>
      <c r="J29" s="58"/>
      <c r="L29"/>
      <c r="M29" s="101">
        <f>N29</f>
        <v>462.88410428032716</v>
      </c>
      <c r="N29" s="100">
        <f>D23+J23</f>
        <v>462.88410428032716</v>
      </c>
      <c r="P29" s="19"/>
      <c r="Q29" s="108"/>
      <c r="S29" s="19"/>
      <c r="U29" s="19"/>
      <c r="Y29"/>
      <c r="Z29"/>
      <c r="AA29"/>
      <c r="AB29"/>
      <c r="AC29"/>
      <c r="AD29"/>
    </row>
    <row r="30" spans="1:30" x14ac:dyDescent="0.25">
      <c r="A30" s="113"/>
      <c r="C30" s="97"/>
      <c r="D30" s="364">
        <f>(SUM(C25:C29)-D23)*'PIECE DENSITIES'!C6</f>
        <v>903.34813644470887</v>
      </c>
      <c r="E30" s="23" t="s">
        <v>276</v>
      </c>
      <c r="G30" s="113"/>
      <c r="I30" s="98"/>
      <c r="J30" s="181">
        <f>(SUM(I25:I29)-J23)*'PIECE DENSITIES'!C11</f>
        <v>0</v>
      </c>
      <c r="K30" s="23" t="s">
        <v>277</v>
      </c>
      <c r="L30"/>
      <c r="M30" s="19"/>
      <c r="O30" s="95">
        <f>SUM(N25:N29)*'PIECE DENSITIES'!C16</f>
        <v>41.420916548816294</v>
      </c>
      <c r="P30" s="23" t="s">
        <v>278</v>
      </c>
      <c r="Q30" s="108"/>
      <c r="S30" s="19"/>
      <c r="U30" s="19"/>
      <c r="Y30"/>
      <c r="Z30"/>
      <c r="AA30"/>
      <c r="AB30"/>
      <c r="AC30"/>
      <c r="AD30"/>
    </row>
    <row r="31" spans="1:30" x14ac:dyDescent="0.25">
      <c r="A31" s="113"/>
      <c r="C31" s="97"/>
      <c r="D31" s="364">
        <f>(SUM(C25:C29)-D23)*'PIECE DENSITIES'!D6</f>
        <v>3656.483145231648</v>
      </c>
      <c r="E31" s="23" t="s">
        <v>279</v>
      </c>
      <c r="G31" s="113"/>
      <c r="I31" s="98"/>
      <c r="J31" s="181">
        <f>(SUM(I25:I29)-J23)*'PIECE DENSITIES'!D11</f>
        <v>0</v>
      </c>
      <c r="K31" s="23" t="s">
        <v>280</v>
      </c>
      <c r="L31"/>
      <c r="M31" s="19"/>
      <c r="O31" s="95">
        <f>SUM(N25:N29)*'PIECE DENSITIES'!D16</f>
        <v>268.79457604417331</v>
      </c>
      <c r="P31" s="23" t="s">
        <v>281</v>
      </c>
      <c r="Q31" s="108"/>
      <c r="S31" s="19"/>
      <c r="U31" s="19"/>
      <c r="Y31"/>
      <c r="Z31"/>
      <c r="AA31"/>
      <c r="AB31"/>
      <c r="AC31"/>
      <c r="AD31"/>
    </row>
    <row r="32" spans="1:30" x14ac:dyDescent="0.25">
      <c r="A32" s="113"/>
      <c r="C32" s="88"/>
      <c r="D32" s="365">
        <f>(SUM(C25:C29)-D23)*'PIECE DENSITIES'!E6</f>
        <v>1974.7606506459729</v>
      </c>
      <c r="E32" s="23" t="s">
        <v>282</v>
      </c>
      <c r="G32" s="113"/>
      <c r="I32" s="93"/>
      <c r="J32" s="182">
        <f>(SUM(I25:I29)-J23)*'PIECE DENSITIES'!E11</f>
        <v>0</v>
      </c>
      <c r="K32" s="23" t="s">
        <v>283</v>
      </c>
      <c r="L32"/>
      <c r="M32" s="19"/>
      <c r="N32" s="45"/>
      <c r="O32" s="96">
        <f>SUM(N25:N29)*'PIECE DENSITIES'!E16</f>
        <v>118.41788153630966</v>
      </c>
      <c r="P32" s="23" t="s">
        <v>284</v>
      </c>
      <c r="Q32" s="108"/>
      <c r="S32" s="19"/>
      <c r="U32" s="19"/>
      <c r="Y32"/>
      <c r="Z32"/>
      <c r="AA32"/>
      <c r="AB32"/>
      <c r="AC32"/>
      <c r="AD32"/>
    </row>
    <row r="33" spans="1:30" x14ac:dyDescent="0.25">
      <c r="A33" s="113"/>
      <c r="C33" s="88"/>
      <c r="D33" s="365">
        <f>(SUM(C25:C29)-D23)*'PIECE DENSITIES'!F6</f>
        <v>520.04579543755801</v>
      </c>
      <c r="E33" s="23" t="s">
        <v>285</v>
      </c>
      <c r="G33" s="113"/>
      <c r="I33" s="93"/>
      <c r="J33" s="182">
        <f>(SUM(I25:I29)-J23)*'PIECE DENSITIES'!F11</f>
        <v>0</v>
      </c>
      <c r="K33" s="23" t="s">
        <v>286</v>
      </c>
      <c r="L33"/>
      <c r="M33" s="19"/>
      <c r="N33" s="45"/>
      <c r="O33" s="96">
        <f>SUM(N25:N29)*'PIECE DENSITIES'!F16</f>
        <v>34.285351190650964</v>
      </c>
      <c r="P33" s="23" t="s">
        <v>287</v>
      </c>
      <c r="Q33" s="108"/>
      <c r="S33" s="19"/>
      <c r="U33" s="19"/>
      <c r="Y33"/>
      <c r="Z33"/>
      <c r="AA33"/>
      <c r="AB33"/>
      <c r="AC33"/>
      <c r="AD33"/>
    </row>
    <row r="34" spans="1:30" x14ac:dyDescent="0.25">
      <c r="A34" s="113"/>
      <c r="C34" s="88"/>
      <c r="D34" s="365">
        <f>(SUM(C25:C29)-D23)*'PIECE DENSITIES'!G6</f>
        <v>0</v>
      </c>
      <c r="E34" s="23" t="s">
        <v>288</v>
      </c>
      <c r="G34" s="113"/>
      <c r="I34" s="93"/>
      <c r="J34" s="182">
        <f>(SUM(I25:I29)-J23)*'PIECE DENSITIES'!G11</f>
        <v>0</v>
      </c>
      <c r="K34" s="23" t="s">
        <v>289</v>
      </c>
      <c r="L34"/>
      <c r="M34" s="19"/>
      <c r="N34" s="45"/>
      <c r="O34" s="96">
        <f>SUM(N25:N29)*'PIECE DENSITIES'!G16</f>
        <v>0</v>
      </c>
      <c r="P34" s="23" t="s">
        <v>290</v>
      </c>
      <c r="Q34" s="108"/>
      <c r="S34" s="19"/>
      <c r="U34" s="19"/>
      <c r="Y34"/>
      <c r="Z34"/>
      <c r="AA34"/>
      <c r="AB34"/>
      <c r="AC34"/>
      <c r="AD34"/>
    </row>
    <row r="35" spans="1:30" x14ac:dyDescent="0.25">
      <c r="A35" s="113"/>
      <c r="G35" s="113"/>
      <c r="I35" s="19"/>
      <c r="J35" s="58"/>
      <c r="L35"/>
      <c r="M35" s="19"/>
      <c r="P35" s="19"/>
      <c r="Q35" s="108"/>
      <c r="S35" s="19"/>
      <c r="U35" s="19"/>
      <c r="Y35"/>
      <c r="Z35"/>
      <c r="AA35"/>
      <c r="AB35"/>
      <c r="AC35"/>
      <c r="AD35"/>
    </row>
    <row r="36" spans="1:30" x14ac:dyDescent="0.25">
      <c r="A36" s="113"/>
      <c r="D36" s="96">
        <f>SUM(A38:A42)*(1-'ACCEPT RATES'!G15)+SUM(C38:C42)*SUM('ACCEPT RATES'!I15:J15)</f>
        <v>83.829991976146616</v>
      </c>
      <c r="E36" s="23" t="s">
        <v>269</v>
      </c>
      <c r="G36" s="121"/>
      <c r="I36" s="23"/>
      <c r="J36" s="96">
        <f>SUM(G38:G42)*(1-'ACCEPT RATES'!E20)</f>
        <v>0</v>
      </c>
      <c r="K36" s="23" t="s">
        <v>269</v>
      </c>
      <c r="L36"/>
      <c r="M36" s="19"/>
      <c r="P36" s="23"/>
      <c r="Q36" s="108"/>
      <c r="S36" s="19"/>
      <c r="U36" s="19"/>
      <c r="Y36"/>
      <c r="Z36"/>
      <c r="AA36"/>
      <c r="AB36"/>
      <c r="AC36"/>
      <c r="AD36"/>
    </row>
    <row r="37" spans="1:30" x14ac:dyDescent="0.25">
      <c r="A37" s="126" t="s">
        <v>270</v>
      </c>
      <c r="B37" s="86" t="s">
        <v>291</v>
      </c>
      <c r="C37" s="87"/>
      <c r="D37" s="119"/>
      <c r="E37" s="23" t="s">
        <v>292</v>
      </c>
      <c r="G37" s="126" t="s">
        <v>273</v>
      </c>
      <c r="H37" s="86" t="s">
        <v>293</v>
      </c>
      <c r="I37" s="87"/>
      <c r="J37" s="99"/>
      <c r="K37" s="22" t="s">
        <v>292</v>
      </c>
      <c r="L37"/>
      <c r="M37" s="86" t="s">
        <v>278</v>
      </c>
      <c r="N37" s="87"/>
      <c r="P37" s="19"/>
      <c r="Q37" s="108"/>
      <c r="S37" s="19"/>
      <c r="U37" s="19"/>
      <c r="Y37"/>
      <c r="Z37"/>
      <c r="AA37"/>
      <c r="AB37"/>
      <c r="AC37"/>
      <c r="AD37"/>
    </row>
    <row r="38" spans="1:30" x14ac:dyDescent="0.25">
      <c r="A38" s="120">
        <f>B38*(1-'ACCEPT RATES'!C15)</f>
        <v>0</v>
      </c>
      <c r="B38" s="29">
        <f>C38*(1+'ACCEPT RATES'!F15+'PIECE DENSITIES'!C7)</f>
        <v>0</v>
      </c>
      <c r="C38" s="50">
        <f>C12*('COVERAGE FACTORS'!C15+'COVERAGE FACTORS'!C19)</f>
        <v>0</v>
      </c>
      <c r="E38" s="23" t="s">
        <v>200</v>
      </c>
      <c r="G38" s="178">
        <f>H38*(1-'ACCEPT RATES'!C20)</f>
        <v>0</v>
      </c>
      <c r="H38" s="29">
        <f>I38*(1+'PIECE DENSITIES'!C12)</f>
        <v>0</v>
      </c>
      <c r="I38" s="50">
        <f>C12*'COVERAGE FACTORS'!C17</f>
        <v>0</v>
      </c>
      <c r="J38" s="22"/>
      <c r="K38" s="22" t="s">
        <v>200</v>
      </c>
      <c r="L38"/>
      <c r="M38" s="29">
        <f>N38</f>
        <v>0</v>
      </c>
      <c r="N38" s="50">
        <f>C12*'COVERAGE FACTORS'!C21</f>
        <v>0</v>
      </c>
      <c r="P38" s="19"/>
      <c r="Q38" s="108"/>
      <c r="S38" s="19"/>
      <c r="U38" s="19"/>
      <c r="Y38"/>
      <c r="Z38"/>
      <c r="AA38"/>
      <c r="AB38"/>
      <c r="AC38"/>
      <c r="AD38"/>
    </row>
    <row r="39" spans="1:30" x14ac:dyDescent="0.25">
      <c r="A39" s="179">
        <f>B39*(1-'ACCEPT RATES'!D15)</f>
        <v>0</v>
      </c>
      <c r="B39" s="85">
        <f>C39*(1+'ACCEPT RATES'!F15+'PIECE DENSITIES'!C7)</f>
        <v>0</v>
      </c>
      <c r="C39" s="84">
        <f>G12*('COVERAGE FACTORS'!C15+'COVERAGE FACTORS'!C19)</f>
        <v>0</v>
      </c>
      <c r="G39" s="179">
        <f>H39*(1-'ACCEPT RATES'!D20)</f>
        <v>0</v>
      </c>
      <c r="H39" s="85">
        <f>I39*(1+'PIECE DENSITIES'!C12)</f>
        <v>0</v>
      </c>
      <c r="I39" s="84">
        <f>G12*'COVERAGE FACTORS'!C17</f>
        <v>0</v>
      </c>
      <c r="J39" s="58"/>
      <c r="L39"/>
      <c r="M39" s="85">
        <f>N39</f>
        <v>0</v>
      </c>
      <c r="N39" s="84">
        <f>G12*'COVERAGE FACTORS'!C21</f>
        <v>0</v>
      </c>
      <c r="P39" s="19"/>
      <c r="Q39" s="108"/>
      <c r="S39" s="19"/>
      <c r="U39" s="19"/>
      <c r="Y39"/>
      <c r="Z39"/>
      <c r="AA39"/>
      <c r="AB39"/>
      <c r="AC39"/>
      <c r="AD39"/>
    </row>
    <row r="40" spans="1:30" x14ac:dyDescent="0.25">
      <c r="A40" s="121"/>
      <c r="B40" s="85"/>
      <c r="C40" s="84"/>
      <c r="G40" s="109">
        <f>H40*(1-'ACCEPT RATES'!C20)</f>
        <v>0</v>
      </c>
      <c r="H40" s="89">
        <f>I40*(1+'PIECE DENSITIES'!C12)</f>
        <v>0</v>
      </c>
      <c r="I40" s="90">
        <f>K12*('COVERAGE FACTORS'!C17+'COVERAGE FACTORS'!C19)</f>
        <v>0</v>
      </c>
      <c r="J40" s="58"/>
      <c r="L40"/>
      <c r="M40" s="89">
        <f>N40</f>
        <v>0</v>
      </c>
      <c r="N40" s="90">
        <f>K12*(1-('COVERAGE FACTORS'!C17+'COVERAGE FACTORS'!C19))</f>
        <v>0</v>
      </c>
      <c r="P40" s="19"/>
      <c r="Q40" s="108"/>
      <c r="S40" s="19"/>
      <c r="U40" s="19"/>
      <c r="Y40"/>
      <c r="Z40"/>
      <c r="AA40"/>
      <c r="AB40"/>
      <c r="AC40"/>
      <c r="AD40"/>
    </row>
    <row r="41" spans="1:30" x14ac:dyDescent="0.25">
      <c r="A41" s="121"/>
      <c r="B41" s="85"/>
      <c r="C41" s="84"/>
      <c r="G41" s="110">
        <f>H41*(1-'ACCEPT RATES'!D20)</f>
        <v>0</v>
      </c>
      <c r="H41" s="94">
        <f>I41*(1+'PIECE DENSITIES'!C12)</f>
        <v>0</v>
      </c>
      <c r="I41" s="92">
        <f>O12*('COVERAGE FACTORS'!C17+'COVERAGE FACTORS'!C19)</f>
        <v>0</v>
      </c>
      <c r="J41" s="58"/>
      <c r="L41"/>
      <c r="M41" s="94">
        <f>N41</f>
        <v>0</v>
      </c>
      <c r="N41" s="92">
        <f>O12*(1-('COVERAGE FACTORS'!C17+'COVERAGE FACTORS'!C19))</f>
        <v>0</v>
      </c>
      <c r="P41" s="19"/>
      <c r="Q41" s="108"/>
      <c r="S41" s="19"/>
      <c r="U41" s="19"/>
      <c r="Y41"/>
      <c r="Z41"/>
      <c r="AA41"/>
      <c r="AB41"/>
      <c r="AC41"/>
      <c r="AD41"/>
    </row>
    <row r="42" spans="1:30" x14ac:dyDescent="0.25">
      <c r="A42" s="183">
        <f>B42*(1-'ACCEPT RATES'!C15)</f>
        <v>56.710059876736302</v>
      </c>
      <c r="B42" s="187">
        <f>C42*(1+'ACCEPT RATES'!F15+'PIECE DENSITIES'!C7)</f>
        <v>925.12848751705803</v>
      </c>
      <c r="C42" s="188">
        <f>D30</f>
        <v>903.34813644470887</v>
      </c>
      <c r="G42" s="184">
        <f>IF(SUM(C11:C16)&gt;0,H42*(1-'ACCEPT RATES'!C20),H42*(1-'ACCEPT RATES'!D20))</f>
        <v>0</v>
      </c>
      <c r="H42" s="185">
        <f>I42*(1+'PIECE DENSITIES'!C12)</f>
        <v>0</v>
      </c>
      <c r="I42" s="186">
        <f>J30</f>
        <v>0</v>
      </c>
      <c r="J42" s="58"/>
      <c r="L42"/>
      <c r="M42" s="101">
        <f>N42</f>
        <v>125.25090852496291</v>
      </c>
      <c r="N42" s="100">
        <f>D36+J36+O30</f>
        <v>125.25090852496291</v>
      </c>
      <c r="P42" s="19"/>
      <c r="Q42" s="108"/>
      <c r="S42" s="19"/>
      <c r="U42" s="19"/>
      <c r="Y42"/>
      <c r="Z42"/>
      <c r="AA42"/>
      <c r="AB42"/>
      <c r="AC42"/>
      <c r="AD42"/>
    </row>
    <row r="43" spans="1:30" x14ac:dyDescent="0.25">
      <c r="A43" s="113"/>
      <c r="C43" s="97"/>
      <c r="D43" s="364">
        <f>(SUM(C38:C42)-D36)*'PIECE DENSITIES'!D7</f>
        <v>676.75290443015933</v>
      </c>
      <c r="E43" s="23" t="s">
        <v>279</v>
      </c>
      <c r="G43" s="113"/>
      <c r="I43" s="98"/>
      <c r="J43" s="181">
        <f>(SUM(I38:I42)-J36)*'PIECE DENSITIES'!D12</f>
        <v>0</v>
      </c>
      <c r="K43" s="23" t="s">
        <v>280</v>
      </c>
      <c r="L43"/>
      <c r="M43" s="19"/>
      <c r="O43" s="95">
        <f>SUM(N38:N42)*'PIECE DENSITIES'!D17</f>
        <v>88.658056044114559</v>
      </c>
      <c r="P43" s="23" t="s">
        <v>281</v>
      </c>
      <c r="Q43" s="108"/>
      <c r="S43" s="19"/>
      <c r="U43" s="19"/>
      <c r="Y43"/>
      <c r="Z43"/>
      <c r="AA43"/>
      <c r="AB43"/>
      <c r="AC43"/>
      <c r="AD43"/>
    </row>
    <row r="44" spans="1:30" x14ac:dyDescent="0.25">
      <c r="A44" s="113"/>
      <c r="C44" s="97"/>
      <c r="D44" s="364">
        <f>(SUM(C38:C42)-D36)*'PIECE DENSITIES'!E7</f>
        <v>56.559354206804983</v>
      </c>
      <c r="E44" s="23" t="s">
        <v>282</v>
      </c>
      <c r="G44" s="113"/>
      <c r="I44" s="98"/>
      <c r="J44" s="181">
        <f>(SUM(I38:I42)-J36)*'PIECE DENSITIES'!E12</f>
        <v>0</v>
      </c>
      <c r="K44" s="23" t="s">
        <v>283</v>
      </c>
      <c r="L44"/>
      <c r="M44" s="19"/>
      <c r="O44" s="95">
        <f>SUM(N38:N42)*'PIECE DENSITIES'!E17</f>
        <v>0.38868333250263382</v>
      </c>
      <c r="P44" s="23" t="s">
        <v>284</v>
      </c>
      <c r="Q44" s="108"/>
      <c r="S44" s="19"/>
      <c r="U44" s="19"/>
      <c r="Y44"/>
      <c r="Z44"/>
      <c r="AA44"/>
      <c r="AB44"/>
      <c r="AC44"/>
      <c r="AD44"/>
    </row>
    <row r="45" spans="1:30" x14ac:dyDescent="0.25">
      <c r="A45" s="113"/>
      <c r="C45" s="88"/>
      <c r="D45" s="365">
        <f>(SUM(C38:C42)-D36)*'PIECE DENSITIES'!F7</f>
        <v>6.0246034103223032</v>
      </c>
      <c r="E45" s="23" t="s">
        <v>285</v>
      </c>
      <c r="G45" s="113"/>
      <c r="I45" s="93"/>
      <c r="J45" s="182">
        <f>(SUM(I38:I42)-J36)*'PIECE DENSITIES'!F12</f>
        <v>0</v>
      </c>
      <c r="K45" s="23" t="s">
        <v>286</v>
      </c>
      <c r="L45"/>
      <c r="M45" s="19"/>
      <c r="N45" s="45"/>
      <c r="O45" s="96">
        <f>SUM(N38:N42)*'PIECE DENSITIES'!F17</f>
        <v>2.488185427753081</v>
      </c>
      <c r="P45" s="23" t="s">
        <v>287</v>
      </c>
      <c r="Q45" s="108"/>
      <c r="S45" s="19"/>
      <c r="U45" s="19"/>
      <c r="Y45"/>
      <c r="Z45"/>
      <c r="AA45"/>
      <c r="AB45"/>
      <c r="AC45"/>
      <c r="AD45"/>
    </row>
    <row r="46" spans="1:30" x14ac:dyDescent="0.25">
      <c r="A46" s="113"/>
      <c r="C46" s="88"/>
      <c r="D46" s="365">
        <f>(SUM(C38:C42)-D36)*'PIECE DENSITIES'!G7</f>
        <v>80.18128242127564</v>
      </c>
      <c r="E46" s="23" t="s">
        <v>288</v>
      </c>
      <c r="G46" s="113"/>
      <c r="I46" s="93"/>
      <c r="J46" s="182">
        <f>(SUM(I38:I42)-J36)*'PIECE DENSITIES'!G12</f>
        <v>0</v>
      </c>
      <c r="K46" s="23" t="s">
        <v>289</v>
      </c>
      <c r="L46"/>
      <c r="M46" s="19"/>
      <c r="N46" s="45"/>
      <c r="O46" s="96">
        <f>SUM(N38:N42)*'PIECE DENSITIES'!G17</f>
        <v>33.715983720592646</v>
      </c>
      <c r="P46" s="23" t="s">
        <v>290</v>
      </c>
      <c r="Q46" s="108"/>
      <c r="S46" s="19"/>
      <c r="U46" s="19"/>
      <c r="Y46"/>
      <c r="Z46"/>
      <c r="AA46"/>
      <c r="AB46"/>
      <c r="AC46"/>
      <c r="AD46"/>
    </row>
    <row r="47" spans="1:30" x14ac:dyDescent="0.25">
      <c r="A47" s="113"/>
      <c r="C47" s="97"/>
      <c r="G47" s="113"/>
      <c r="I47" s="98"/>
      <c r="J47" s="91"/>
      <c r="L47"/>
      <c r="M47" s="19"/>
      <c r="O47" s="96"/>
      <c r="P47" s="19"/>
      <c r="Q47" s="108"/>
      <c r="S47" s="19"/>
      <c r="U47" s="19"/>
      <c r="Y47"/>
      <c r="Z47"/>
      <c r="AA47"/>
      <c r="AB47"/>
      <c r="AC47"/>
      <c r="AD47"/>
    </row>
    <row r="48" spans="1:30" x14ac:dyDescent="0.25">
      <c r="A48" s="103"/>
      <c r="B48" s="105"/>
      <c r="C48" s="128"/>
      <c r="D48" s="106"/>
      <c r="E48" s="105"/>
      <c r="F48" s="105"/>
      <c r="G48" s="103"/>
      <c r="H48" s="105"/>
      <c r="I48" s="129"/>
      <c r="J48" s="130"/>
      <c r="K48" s="105"/>
      <c r="L48" s="104"/>
      <c r="M48" s="105"/>
      <c r="N48" s="105"/>
      <c r="O48" s="131"/>
      <c r="P48" s="105"/>
      <c r="Q48" s="107"/>
      <c r="S48" s="19"/>
      <c r="U48" s="19"/>
      <c r="Y48"/>
      <c r="Z48"/>
      <c r="AA48"/>
      <c r="AB48"/>
      <c r="AC48"/>
      <c r="AD48"/>
    </row>
    <row r="49" spans="1:30" s="125" customFormat="1" ht="22.8" x14ac:dyDescent="0.4">
      <c r="A49" s="177"/>
      <c r="B49" s="57"/>
      <c r="C49" s="127" t="s">
        <v>294</v>
      </c>
      <c r="D49" s="123"/>
      <c r="E49" s="57"/>
      <c r="F49" s="127"/>
      <c r="G49" s="122"/>
      <c r="H49" s="57"/>
      <c r="I49" s="123"/>
      <c r="J49" s="57"/>
      <c r="K49" s="57"/>
      <c r="L49" s="127" t="s">
        <v>295</v>
      </c>
      <c r="M49" s="57"/>
      <c r="N49" s="123"/>
      <c r="O49" s="57"/>
      <c r="P49" s="57"/>
      <c r="Q49" s="124"/>
      <c r="R49" s="57"/>
      <c r="S49" s="57"/>
      <c r="T49" s="57"/>
      <c r="U49" s="57"/>
      <c r="V49" s="57"/>
      <c r="W49" s="57"/>
      <c r="X49" s="57"/>
    </row>
    <row r="50" spans="1:30" x14ac:dyDescent="0.25">
      <c r="A50" s="113"/>
      <c r="C50" s="97"/>
      <c r="G50" s="113"/>
      <c r="I50" s="98"/>
      <c r="J50" s="91"/>
      <c r="L50"/>
      <c r="M50" s="19"/>
      <c r="O50" s="96"/>
      <c r="P50" s="19"/>
      <c r="Q50" s="108"/>
      <c r="S50" s="19"/>
      <c r="U50" s="19"/>
      <c r="Y50"/>
      <c r="Z50"/>
      <c r="AA50"/>
      <c r="AB50"/>
      <c r="AC50"/>
      <c r="AD50"/>
    </row>
    <row r="51" spans="1:30" x14ac:dyDescent="0.25">
      <c r="A51" s="113"/>
      <c r="D51" s="96">
        <f>SUM(A53:A57)*(1-'ACCEPT RATES'!G16)+SUM(C53:C57)*SUM('ACCEPT RATES'!I16:J16)</f>
        <v>362.07353980313951</v>
      </c>
      <c r="E51" s="23" t="s">
        <v>269</v>
      </c>
      <c r="G51" s="121"/>
      <c r="I51" s="23"/>
      <c r="J51" s="96">
        <f>SUM(G53:G57)*(1-'ACCEPT RATES'!E21)</f>
        <v>0</v>
      </c>
      <c r="K51" s="23" t="s">
        <v>269</v>
      </c>
      <c r="L51"/>
      <c r="M51" s="19"/>
      <c r="P51" s="23"/>
      <c r="Q51" s="108"/>
      <c r="S51" s="19"/>
      <c r="U51" s="19"/>
      <c r="Y51"/>
      <c r="Z51"/>
      <c r="AA51"/>
      <c r="AB51"/>
      <c r="AC51"/>
      <c r="AD51"/>
    </row>
    <row r="52" spans="1:30" x14ac:dyDescent="0.25">
      <c r="A52" s="126" t="s">
        <v>270</v>
      </c>
      <c r="B52" s="86" t="s">
        <v>296</v>
      </c>
      <c r="C52" s="87"/>
      <c r="D52" s="119"/>
      <c r="E52" s="23" t="s">
        <v>297</v>
      </c>
      <c r="G52" s="126" t="s">
        <v>273</v>
      </c>
      <c r="H52" s="86" t="s">
        <v>298</v>
      </c>
      <c r="I52" s="87"/>
      <c r="J52" s="99"/>
      <c r="K52" s="22" t="s">
        <v>297</v>
      </c>
      <c r="L52"/>
      <c r="M52" s="86" t="s">
        <v>281</v>
      </c>
      <c r="N52" s="87"/>
      <c r="P52" s="19"/>
      <c r="Q52" s="108"/>
      <c r="S52" s="19"/>
      <c r="U52" s="19"/>
      <c r="Y52"/>
      <c r="Z52"/>
      <c r="AA52"/>
      <c r="AB52"/>
      <c r="AC52"/>
      <c r="AD52"/>
    </row>
    <row r="53" spans="1:30" x14ac:dyDescent="0.25">
      <c r="A53" s="120">
        <f>B53*(1-'ACCEPT RATES'!C16)</f>
        <v>0</v>
      </c>
      <c r="B53" s="29">
        <f>C53*(1+'ACCEPT RATES'!F16+'PIECE DENSITIES'!D8)</f>
        <v>0</v>
      </c>
      <c r="C53" s="50">
        <f>C13*('COVERAGE FACTORS'!C39+'COVERAGE FACTORS'!C43)</f>
        <v>0</v>
      </c>
      <c r="E53" s="23" t="s">
        <v>200</v>
      </c>
      <c r="G53" s="178">
        <f>H53*(1-'ACCEPT RATES'!C21)</f>
        <v>0</v>
      </c>
      <c r="H53" s="29">
        <f>I53*(1+'PIECE DENSITIES'!D13)</f>
        <v>0</v>
      </c>
      <c r="I53" s="50">
        <f>C13*'COVERAGE FACTORS'!C41</f>
        <v>0</v>
      </c>
      <c r="J53" s="112"/>
      <c r="K53" s="22" t="s">
        <v>200</v>
      </c>
      <c r="L53"/>
      <c r="M53" s="29">
        <f>N53</f>
        <v>0</v>
      </c>
      <c r="N53" s="50">
        <f>C13*'COVERAGE FACTORS'!C45</f>
        <v>0</v>
      </c>
      <c r="P53" s="19"/>
      <c r="Q53" s="108"/>
      <c r="S53" s="19"/>
      <c r="U53" s="19"/>
      <c r="Y53"/>
      <c r="Z53"/>
      <c r="AA53"/>
      <c r="AB53"/>
      <c r="AC53"/>
      <c r="AD53"/>
    </row>
    <row r="54" spans="1:30" x14ac:dyDescent="0.25">
      <c r="A54" s="179">
        <f>B54*(1-'ACCEPT RATES'!D16)</f>
        <v>151.16731827668599</v>
      </c>
      <c r="B54" s="85">
        <f>C54*(1+'ACCEPT RATES'!F16+'PIECE DENSITIES'!D8)</f>
        <v>573.28918764347554</v>
      </c>
      <c r="C54" s="84">
        <f>G13*('COVERAGE FACTORS'!C39+'COVERAGE FACTORS'!C43)</f>
        <v>567.14584609921553</v>
      </c>
      <c r="G54" s="179">
        <f>H54*(1-'ACCEPT RATES'!D21)</f>
        <v>0</v>
      </c>
      <c r="H54" s="85">
        <f>I54*(1+'PIECE DENSITIES'!D13)</f>
        <v>0</v>
      </c>
      <c r="I54" s="84">
        <f>G13*'COVERAGE FACTORS'!C41</f>
        <v>0</v>
      </c>
      <c r="J54" s="58"/>
      <c r="L54"/>
      <c r="M54" s="85">
        <f>N54</f>
        <v>3.4363918487510983</v>
      </c>
      <c r="N54" s="84">
        <f>G13*'COVERAGE FACTORS'!C45</f>
        <v>3.4363918487510983</v>
      </c>
      <c r="P54" s="19"/>
      <c r="Q54" s="108"/>
      <c r="S54" s="19"/>
      <c r="U54" s="19"/>
      <c r="Y54"/>
      <c r="Z54"/>
      <c r="AA54"/>
      <c r="AB54"/>
      <c r="AC54"/>
      <c r="AD54"/>
    </row>
    <row r="55" spans="1:30" x14ac:dyDescent="0.25">
      <c r="A55" s="121"/>
      <c r="B55" s="85"/>
      <c r="C55" s="84"/>
      <c r="G55" s="109">
        <f>H55*(1-'ACCEPT RATES'!C21)</f>
        <v>0</v>
      </c>
      <c r="H55" s="89">
        <f>I55*(1+'PIECE DENSITIES'!D13)</f>
        <v>0</v>
      </c>
      <c r="I55" s="90">
        <f>K13*('COVERAGE FACTORS'!C41+'COVERAGE FACTORS'!C43)</f>
        <v>0</v>
      </c>
      <c r="J55" s="58"/>
      <c r="L55"/>
      <c r="M55" s="89">
        <f>N55</f>
        <v>0</v>
      </c>
      <c r="N55" s="90">
        <f>K13*(1-('COVERAGE FACTORS'!C41+'COVERAGE FACTORS'!C43))</f>
        <v>0</v>
      </c>
      <c r="P55" s="19"/>
      <c r="Q55" s="108"/>
      <c r="S55" s="19"/>
      <c r="U55" s="19"/>
      <c r="Y55"/>
      <c r="Z55"/>
      <c r="AA55"/>
      <c r="AB55"/>
      <c r="AC55"/>
      <c r="AD55"/>
    </row>
    <row r="56" spans="1:30" x14ac:dyDescent="0.25">
      <c r="A56" s="121"/>
      <c r="B56" s="85"/>
      <c r="C56" s="84"/>
      <c r="G56" s="110">
        <f>H56*(1-'ACCEPT RATES'!D21)</f>
        <v>0</v>
      </c>
      <c r="H56" s="94">
        <f>I56*(1+'PIECE DENSITIES'!D13)</f>
        <v>0</v>
      </c>
      <c r="I56" s="92">
        <f>O13*('COVERAGE FACTORS'!C41+'COVERAGE FACTORS'!C43)</f>
        <v>0</v>
      </c>
      <c r="J56" s="58"/>
      <c r="L56"/>
      <c r="M56" s="94">
        <f>N56</f>
        <v>0</v>
      </c>
      <c r="N56" s="92">
        <f>O13*(1-('COVERAGE FACTORS'!C41+'COVERAGE FACTORS'!C43))</f>
        <v>0</v>
      </c>
      <c r="P56" s="19"/>
      <c r="Q56" s="108"/>
      <c r="S56" s="19"/>
      <c r="U56" s="19"/>
      <c r="Y56"/>
      <c r="Z56"/>
      <c r="AA56"/>
      <c r="AB56"/>
      <c r="AC56"/>
      <c r="AD56"/>
    </row>
    <row r="57" spans="1:30" x14ac:dyDescent="0.25">
      <c r="A57" s="183">
        <f>B57*(1-'ACCEPT RATES'!C16)</f>
        <v>266.88606709550601</v>
      </c>
      <c r="B57" s="187">
        <f>C57*(1+'ACCEPT RATES'!F16+'PIECE DENSITIES'!D8)</f>
        <v>4353.7937383262552</v>
      </c>
      <c r="C57" s="188">
        <f>(D31+D43)*('COVERAGE FACTORS'!C39+'COVERAGE FACTORS'!C43)</f>
        <v>4307.1386774524535</v>
      </c>
      <c r="G57" s="184">
        <f>IF(SUM(C11:C16)&gt;0,H57*(1-'ACCEPT RATES'!C21),H57*(1-'ACCEPT RATES'!D21))</f>
        <v>0</v>
      </c>
      <c r="H57" s="185">
        <f>I57*(1+'PIECE DENSITIES'!D13)</f>
        <v>0</v>
      </c>
      <c r="I57" s="186">
        <f>(D31+D43)*'COVERAGE FACTORS'!C41+(J31+J43)*('COVERAGE FACTORS'!C41+'COVERAGE FACTORS'!C43)</f>
        <v>0</v>
      </c>
      <c r="J57" s="58"/>
      <c r="L57"/>
      <c r="M57" s="101">
        <f>N57</f>
        <v>745.62354410077774</v>
      </c>
      <c r="N57" s="100">
        <f>D51+J51+O31+O43+(D31+D43)*'COVERAGE FACTORS'!C45+(J31+J43)*(1-('COVERAGE FACTORS'!C41+'COVERAGE FACTORS'!C43))</f>
        <v>745.62354410077774</v>
      </c>
      <c r="P57" s="19"/>
      <c r="Q57" s="108"/>
      <c r="S57" s="19"/>
      <c r="U57" s="19"/>
      <c r="Y57"/>
      <c r="Z57"/>
      <c r="AA57"/>
      <c r="AB57"/>
      <c r="AC57"/>
      <c r="AD57"/>
    </row>
    <row r="58" spans="1:30" x14ac:dyDescent="0.25">
      <c r="A58" s="113"/>
      <c r="C58" s="97"/>
      <c r="D58" s="364">
        <f>(SUM(C53:C57)-D51)*'PIECE DENSITIES'!E8</f>
        <v>897.66262469802246</v>
      </c>
      <c r="E58" s="23" t="s">
        <v>282</v>
      </c>
      <c r="G58" s="113"/>
      <c r="I58" s="98"/>
      <c r="J58" s="181">
        <f>(SUM(I53:I57)-J51)*'PIECE DENSITIES'!E13</f>
        <v>0</v>
      </c>
      <c r="K58" s="23" t="s">
        <v>283</v>
      </c>
      <c r="L58"/>
      <c r="M58" s="19"/>
      <c r="O58" s="95">
        <f>SUM(N53:N57)*'PIECE DENSITIES'!E18</f>
        <v>197.94947652428212</v>
      </c>
      <c r="P58" s="23" t="s">
        <v>284</v>
      </c>
      <c r="Q58" s="108"/>
      <c r="S58" s="19"/>
      <c r="U58" s="19"/>
      <c r="Y58"/>
      <c r="Z58"/>
      <c r="AA58"/>
      <c r="AB58"/>
      <c r="AC58"/>
      <c r="AD58"/>
    </row>
    <row r="59" spans="1:30" x14ac:dyDescent="0.25">
      <c r="A59" s="113"/>
      <c r="C59" s="97"/>
      <c r="D59" s="364">
        <f>(SUM(C53:C57)-D51)*'PIECE DENSITIES'!F8</f>
        <v>291.43935171419878</v>
      </c>
      <c r="E59" s="23" t="s">
        <v>285</v>
      </c>
      <c r="G59" s="113"/>
      <c r="I59" s="98"/>
      <c r="J59" s="181">
        <f>(SUM(I53:I57)-J51)*'PIECE DENSITIES'!F13</f>
        <v>0</v>
      </c>
      <c r="K59" s="23" t="s">
        <v>286</v>
      </c>
      <c r="L59"/>
      <c r="M59" s="19"/>
      <c r="O59" s="95">
        <f>SUM(N53:N57)*'PIECE DENSITIES'!F18</f>
        <v>31.068565595735549</v>
      </c>
      <c r="P59" s="23" t="s">
        <v>287</v>
      </c>
      <c r="Q59" s="108"/>
      <c r="S59" s="19"/>
      <c r="U59" s="19"/>
      <c r="Y59"/>
      <c r="Z59"/>
      <c r="AA59"/>
      <c r="AB59"/>
      <c r="AC59"/>
      <c r="AD59"/>
    </row>
    <row r="60" spans="1:30" x14ac:dyDescent="0.25">
      <c r="A60" s="113"/>
      <c r="C60" s="88"/>
      <c r="D60" s="365">
        <f>(SUM(C53:C57)-D51)*'PIECE DENSITIES'!G8</f>
        <v>3323.1090073363084</v>
      </c>
      <c r="E60" s="23" t="s">
        <v>288</v>
      </c>
      <c r="G60" s="113"/>
      <c r="I60" s="93"/>
      <c r="J60" s="182">
        <f>(SUM(I53:I57)-J51)*'PIECE DENSITIES'!G13</f>
        <v>0</v>
      </c>
      <c r="K60" s="23" t="s">
        <v>289</v>
      </c>
      <c r="L60"/>
      <c r="M60" s="19"/>
      <c r="N60" s="45"/>
      <c r="O60" s="96">
        <f>SUM(N53:N57)*'PIECE DENSITIES'!G18</f>
        <v>520.0418938295112</v>
      </c>
      <c r="P60" s="23" t="s">
        <v>290</v>
      </c>
      <c r="Q60" s="108"/>
      <c r="S60" s="19"/>
      <c r="U60" s="19"/>
      <c r="Y60"/>
      <c r="Z60"/>
      <c r="AA60"/>
      <c r="AB60"/>
      <c r="AC60"/>
      <c r="AD60"/>
    </row>
    <row r="61" spans="1:30" x14ac:dyDescent="0.25">
      <c r="A61" s="113"/>
      <c r="C61" s="97"/>
      <c r="G61" s="113"/>
      <c r="I61" s="98"/>
      <c r="J61" s="91"/>
      <c r="L61"/>
      <c r="M61" s="19"/>
      <c r="O61" s="96"/>
      <c r="P61" s="19"/>
      <c r="Q61" s="108"/>
      <c r="S61" s="19"/>
      <c r="U61" s="19"/>
      <c r="Y61"/>
      <c r="Z61"/>
      <c r="AA61"/>
      <c r="AB61"/>
      <c r="AC61"/>
      <c r="AD61"/>
    </row>
    <row r="62" spans="1:30" x14ac:dyDescent="0.25">
      <c r="A62" s="113"/>
      <c r="D62" s="96">
        <f>SUM(A64:A68)*(1-'ACCEPT RATES'!G17)+SUM(C64:C68)*SUM('ACCEPT RATES'!I17:J17)</f>
        <v>181.08667951444571</v>
      </c>
      <c r="E62" s="23" t="s">
        <v>269</v>
      </c>
      <c r="G62" s="121"/>
      <c r="I62" s="23"/>
      <c r="J62" s="96">
        <f>SUM(G64:G68)*(1-'ACCEPT RATES'!E22)</f>
        <v>0</v>
      </c>
      <c r="K62" s="23" t="s">
        <v>269</v>
      </c>
      <c r="L62"/>
      <c r="M62" s="19"/>
      <c r="P62" s="23"/>
      <c r="Q62" s="108"/>
      <c r="S62" s="19"/>
      <c r="U62" s="19"/>
      <c r="Y62"/>
      <c r="Z62"/>
      <c r="AA62"/>
      <c r="AB62"/>
      <c r="AC62"/>
      <c r="AD62"/>
    </row>
    <row r="63" spans="1:30" x14ac:dyDescent="0.25">
      <c r="A63" s="126" t="s">
        <v>270</v>
      </c>
      <c r="B63" s="86" t="s">
        <v>299</v>
      </c>
      <c r="C63" s="87"/>
      <c r="D63" s="119"/>
      <c r="E63" s="23" t="s">
        <v>300</v>
      </c>
      <c r="G63" s="126" t="s">
        <v>273</v>
      </c>
      <c r="H63" s="86" t="s">
        <v>301</v>
      </c>
      <c r="I63" s="87"/>
      <c r="J63" s="99"/>
      <c r="K63" s="22" t="s">
        <v>300</v>
      </c>
      <c r="L63"/>
      <c r="M63" s="86" t="s">
        <v>284</v>
      </c>
      <c r="N63" s="87"/>
      <c r="P63" s="19"/>
      <c r="Q63" s="108"/>
      <c r="S63" s="19"/>
      <c r="U63" s="19"/>
      <c r="Y63"/>
      <c r="Z63"/>
      <c r="AA63"/>
      <c r="AB63"/>
      <c r="AC63"/>
      <c r="AD63"/>
    </row>
    <row r="64" spans="1:30" x14ac:dyDescent="0.25">
      <c r="A64" s="120">
        <f>B64*(1-'ACCEPT RATES'!C17)</f>
        <v>0</v>
      </c>
      <c r="B64" s="29">
        <f>C64*(1+'ACCEPT RATES'!F17+'PIECE DENSITIES'!E9)</f>
        <v>0</v>
      </c>
      <c r="C64" s="50">
        <f>C14*('COVERAGE FACTORS'!C39+'COVERAGE FACTORS'!C43)</f>
        <v>0</v>
      </c>
      <c r="E64" s="23" t="s">
        <v>200</v>
      </c>
      <c r="G64" s="178">
        <f>H64*(1-'ACCEPT RATES'!C22)</f>
        <v>0</v>
      </c>
      <c r="H64" s="29">
        <f>I64*(1+'PIECE DENSITIES'!E14)</f>
        <v>0</v>
      </c>
      <c r="I64" s="50">
        <f>C14*'COVERAGE FACTORS'!C41</f>
        <v>0</v>
      </c>
      <c r="J64" s="112"/>
      <c r="K64" s="22" t="s">
        <v>200</v>
      </c>
      <c r="L64"/>
      <c r="M64" s="29">
        <f>N64</f>
        <v>0</v>
      </c>
      <c r="N64" s="50">
        <f>C14*'COVERAGE FACTORS'!C45</f>
        <v>0</v>
      </c>
      <c r="P64" s="19"/>
      <c r="Q64" s="108"/>
      <c r="S64" s="19"/>
      <c r="U64" s="19"/>
      <c r="Y64"/>
      <c r="Z64"/>
      <c r="AA64"/>
      <c r="AB64"/>
      <c r="AC64"/>
      <c r="AD64"/>
    </row>
    <row r="65" spans="1:30" x14ac:dyDescent="0.25">
      <c r="A65" s="179">
        <f>B65*(1-'ACCEPT RATES'!D17)</f>
        <v>155.3133543469981</v>
      </c>
      <c r="B65" s="85">
        <f>C65*(1+'ACCEPT RATES'!F17+'PIECE DENSITIES'!E9)</f>
        <v>589.01267654164667</v>
      </c>
      <c r="C65" s="84">
        <f>G14*('COVERAGE FACTORS'!C39+'COVERAGE FACTORS'!C43)</f>
        <v>554.58982940627368</v>
      </c>
      <c r="G65" s="179">
        <f>H65*(1-'ACCEPT RATES'!D22)</f>
        <v>0</v>
      </c>
      <c r="H65" s="85">
        <f>I65*(1+'PIECE DENSITIES'!E14)</f>
        <v>0</v>
      </c>
      <c r="I65" s="84">
        <f>G14*'COVERAGE FACTORS'!C41</f>
        <v>0</v>
      </c>
      <c r="J65" s="58"/>
      <c r="L65"/>
      <c r="M65" s="85">
        <f>N65</f>
        <v>3.3603137222635775</v>
      </c>
      <c r="N65" s="84">
        <f>G14*'COVERAGE FACTORS'!C45</f>
        <v>3.3603137222635775</v>
      </c>
      <c r="P65" s="19"/>
      <c r="Q65" s="108"/>
      <c r="S65" s="19"/>
      <c r="U65" s="19"/>
      <c r="Y65"/>
      <c r="Z65"/>
      <c r="AA65"/>
      <c r="AB65"/>
      <c r="AC65"/>
      <c r="AD65"/>
    </row>
    <row r="66" spans="1:30" x14ac:dyDescent="0.25">
      <c r="A66" s="121"/>
      <c r="B66" s="85"/>
      <c r="C66" s="84"/>
      <c r="G66" s="109">
        <f>H66*(1-'ACCEPT RATES'!C22)</f>
        <v>0</v>
      </c>
      <c r="H66" s="89">
        <f>I66*(1+'PIECE DENSITIES'!E14)</f>
        <v>0</v>
      </c>
      <c r="I66" s="90">
        <f>K14*('COVERAGE FACTORS'!C41+'COVERAGE FACTORS'!C43)</f>
        <v>0</v>
      </c>
      <c r="J66" s="58"/>
      <c r="L66"/>
      <c r="M66" s="89">
        <f>N66</f>
        <v>0</v>
      </c>
      <c r="N66" s="90">
        <f>K14*(1-('COVERAGE FACTORS'!C41+'COVERAGE FACTORS'!C43))</f>
        <v>0</v>
      </c>
      <c r="P66" s="19"/>
      <c r="Q66" s="108"/>
      <c r="S66" s="19"/>
      <c r="U66" s="19"/>
      <c r="Y66"/>
      <c r="Z66"/>
      <c r="AA66"/>
      <c r="AB66"/>
      <c r="AC66"/>
      <c r="AD66"/>
    </row>
    <row r="67" spans="1:30" x14ac:dyDescent="0.25">
      <c r="A67" s="121"/>
      <c r="B67" s="85"/>
      <c r="C67" s="84"/>
      <c r="G67" s="110">
        <f>H67*(1-'ACCEPT RATES'!D22)</f>
        <v>0</v>
      </c>
      <c r="H67" s="94">
        <f>I67*(1+'PIECE DENSITIES'!E14)</f>
        <v>0</v>
      </c>
      <c r="I67" s="92">
        <f>O14*('COVERAGE FACTORS'!C41+'COVERAGE FACTORS'!C43)</f>
        <v>0</v>
      </c>
      <c r="J67" s="58"/>
      <c r="L67"/>
      <c r="M67" s="94">
        <f>N67</f>
        <v>0</v>
      </c>
      <c r="N67" s="92">
        <f>O14*(1-('COVERAGE FACTORS'!C41+'COVERAGE FACTORS'!C43))</f>
        <v>0</v>
      </c>
      <c r="P67" s="19"/>
      <c r="Q67" s="108"/>
      <c r="S67" s="19"/>
      <c r="U67" s="19"/>
      <c r="Y67"/>
      <c r="Z67"/>
      <c r="AA67"/>
      <c r="AB67"/>
      <c r="AC67"/>
      <c r="AD67"/>
    </row>
    <row r="68" spans="1:30" x14ac:dyDescent="0.25">
      <c r="A68" s="183">
        <f>B68*(1-'ACCEPT RATES'!C17)</f>
        <v>189.54140511149816</v>
      </c>
      <c r="B68" s="187">
        <f>C68*(1+'ACCEPT RATES'!F17+'PIECE DENSITIES'!E9)</f>
        <v>3092.0466988360686</v>
      </c>
      <c r="C68" s="188">
        <f>(D32+D44+D58)*('COVERAGE FACTORS'!C39+'COVERAGE FACTORS'!C43)</f>
        <v>2911.3425220186737</v>
      </c>
      <c r="G68" s="184">
        <f>IF(SUM(C11:C16)&gt;0, H68*(1-'ACCEPT RATES'!C22),H68*(1-'ACCEPT RATES'!D22))</f>
        <v>0</v>
      </c>
      <c r="H68" s="185">
        <f>I68*(1+'PIECE DENSITIES'!E14)</f>
        <v>0</v>
      </c>
      <c r="I68" s="186">
        <f>(D32+D44+D58)*'COVERAGE FACTORS'!C41+(J32+J44+J58)*('COVERAGE FACTORS'!C41+'COVERAGE FACTORS'!C43)</f>
        <v>0</v>
      </c>
      <c r="J68" s="58"/>
      <c r="L68"/>
      <c r="M68" s="101">
        <f>N68</f>
        <v>515.48282843966376</v>
      </c>
      <c r="N68" s="100">
        <f>D62+J62+O32+O44+O58+(D32+D44+D58)*'COVERAGE FACTORS'!C45+(J32+J44+J58)*(1-('COVERAGE FACTORS'!C41+'COVERAGE FACTORS'!C43))</f>
        <v>515.48282843966376</v>
      </c>
      <c r="P68" s="19"/>
      <c r="Q68" s="108"/>
      <c r="S68" s="19"/>
      <c r="U68" s="19"/>
      <c r="Y68"/>
      <c r="Z68"/>
      <c r="AA68"/>
      <c r="AB68"/>
      <c r="AC68"/>
      <c r="AD68"/>
    </row>
    <row r="69" spans="1:30" x14ac:dyDescent="0.25">
      <c r="A69" s="113"/>
      <c r="C69" s="97"/>
      <c r="D69" s="364">
        <f>(SUM(C64:C68)-D62)*'PIECE DENSITIES'!F9</f>
        <v>73.488473005973177</v>
      </c>
      <c r="E69" s="23" t="s">
        <v>285</v>
      </c>
      <c r="G69" s="113"/>
      <c r="I69" s="98"/>
      <c r="J69" s="181">
        <f>(SUM(I64:I68)-J62)*'PIECE DENSITIES'!F14</f>
        <v>0</v>
      </c>
      <c r="K69" s="23" t="s">
        <v>286</v>
      </c>
      <c r="L69"/>
      <c r="M69" s="19"/>
      <c r="O69" s="95">
        <f>SUM(N64:N68)*'PIECE DENSITIES'!F19</f>
        <v>13.421345178920548</v>
      </c>
      <c r="P69" s="23" t="s">
        <v>287</v>
      </c>
      <c r="Q69" s="108"/>
      <c r="S69" s="19"/>
      <c r="U69" s="19"/>
      <c r="Y69"/>
      <c r="Z69"/>
      <c r="AA69"/>
      <c r="AB69"/>
      <c r="AC69"/>
      <c r="AD69"/>
    </row>
    <row r="70" spans="1:30" x14ac:dyDescent="0.25">
      <c r="A70" s="113"/>
      <c r="C70" s="97"/>
      <c r="D70" s="364">
        <f>(SUM(C64:C68)-D62)*'PIECE DENSITIES'!G9</f>
        <v>3211.3571989045286</v>
      </c>
      <c r="E70" s="23" t="s">
        <v>288</v>
      </c>
      <c r="G70" s="113"/>
      <c r="I70" s="98"/>
      <c r="J70" s="181">
        <f>(SUM(I64:I68)-J62)*'PIECE DENSITIES'!G14</f>
        <v>0</v>
      </c>
      <c r="K70" s="23" t="s">
        <v>289</v>
      </c>
      <c r="L70"/>
      <c r="M70" s="19"/>
      <c r="O70" s="95">
        <f>SUM(N64:N68)*'PIECE DENSITIES'!G19</f>
        <v>505.42179698300674</v>
      </c>
      <c r="P70" s="23" t="s">
        <v>290</v>
      </c>
      <c r="Q70" s="108"/>
      <c r="S70" s="19"/>
      <c r="U70" s="19"/>
      <c r="Y70"/>
      <c r="Z70"/>
      <c r="AA70"/>
      <c r="AB70"/>
      <c r="AC70"/>
      <c r="AD70"/>
    </row>
    <row r="71" spans="1:30" x14ac:dyDescent="0.25">
      <c r="A71" s="113"/>
      <c r="C71" s="97"/>
      <c r="G71" s="113"/>
      <c r="I71" s="98"/>
      <c r="J71" s="91"/>
      <c r="L71"/>
      <c r="M71" s="19"/>
      <c r="O71" s="96"/>
      <c r="P71" s="19"/>
      <c r="Q71" s="108"/>
      <c r="S71" s="19"/>
      <c r="U71" s="19"/>
      <c r="Y71"/>
      <c r="Z71"/>
      <c r="AA71"/>
      <c r="AB71"/>
      <c r="AC71"/>
      <c r="AD71"/>
    </row>
    <row r="72" spans="1:30" x14ac:dyDescent="0.25">
      <c r="A72" s="113"/>
      <c r="D72" s="96">
        <f>SUM(A74:A78)*(1-'ACCEPT RATES'!G17)+SUM(C74:C78)*SUM('ACCEPT RATES'!I17:J17)</f>
        <v>43.869079449766424</v>
      </c>
      <c r="E72" s="23" t="s">
        <v>269</v>
      </c>
      <c r="G72" s="121"/>
      <c r="I72" s="23"/>
      <c r="J72" s="96">
        <f>SUM(G74:G78)*(1-'ACCEPT RATES'!E22)</f>
        <v>0</v>
      </c>
      <c r="K72" s="23" t="s">
        <v>269</v>
      </c>
      <c r="L72"/>
      <c r="M72" s="19"/>
      <c r="P72" s="23"/>
      <c r="Q72" s="108"/>
      <c r="S72" s="19"/>
      <c r="U72" s="19"/>
      <c r="Y72"/>
      <c r="Z72"/>
      <c r="AA72"/>
      <c r="AB72"/>
      <c r="AC72"/>
      <c r="AD72"/>
    </row>
    <row r="73" spans="1:30" x14ac:dyDescent="0.25">
      <c r="A73" s="126" t="s">
        <v>270</v>
      </c>
      <c r="B73" s="86" t="s">
        <v>302</v>
      </c>
      <c r="C73" s="87"/>
      <c r="D73" s="119"/>
      <c r="E73" s="23" t="s">
        <v>303</v>
      </c>
      <c r="G73" s="126" t="s">
        <v>273</v>
      </c>
      <c r="H73" s="86" t="s">
        <v>304</v>
      </c>
      <c r="I73" s="87"/>
      <c r="J73" s="99"/>
      <c r="K73" s="22" t="s">
        <v>303</v>
      </c>
      <c r="L73"/>
      <c r="M73" s="86" t="s">
        <v>287</v>
      </c>
      <c r="N73" s="87"/>
      <c r="P73" s="19"/>
      <c r="Q73" s="108"/>
      <c r="S73" s="19"/>
      <c r="U73" s="19"/>
      <c r="Y73"/>
      <c r="Z73"/>
      <c r="AA73"/>
      <c r="AB73"/>
      <c r="AC73"/>
      <c r="AD73"/>
    </row>
    <row r="74" spans="1:30" x14ac:dyDescent="0.25">
      <c r="A74" s="120">
        <f>B74*(1-'ACCEPT RATES'!C17)</f>
        <v>0</v>
      </c>
      <c r="B74" s="29">
        <f>C74*(1+'ACCEPT RATES'!F17)</f>
        <v>0</v>
      </c>
      <c r="C74" s="50">
        <f>C15*('COVERAGE FACTORS'!C39+'COVERAGE FACTORS'!C43)</f>
        <v>0</v>
      </c>
      <c r="E74" s="23" t="s">
        <v>200</v>
      </c>
      <c r="G74" s="178">
        <f>H74*(1-'ACCEPT RATES'!C22)</f>
        <v>0</v>
      </c>
      <c r="H74" s="29">
        <f>I74</f>
        <v>0</v>
      </c>
      <c r="I74" s="50">
        <f>C15*'COVERAGE FACTORS'!C41</f>
        <v>0</v>
      </c>
      <c r="J74" s="112"/>
      <c r="K74" s="22" t="s">
        <v>200</v>
      </c>
      <c r="L74"/>
      <c r="M74" s="29">
        <f>N74</f>
        <v>0</v>
      </c>
      <c r="N74" s="50">
        <f>C15*'COVERAGE FACTORS'!C45</f>
        <v>0</v>
      </c>
      <c r="P74" s="19"/>
      <c r="Q74" s="108"/>
      <c r="S74" s="19"/>
      <c r="U74" s="19"/>
      <c r="Y74"/>
      <c r="Z74"/>
      <c r="AA74"/>
      <c r="AB74"/>
      <c r="AC74"/>
      <c r="AD74"/>
    </row>
    <row r="75" spans="1:30" x14ac:dyDescent="0.25">
      <c r="A75" s="179">
        <f>B75*(1-'ACCEPT RATES'!D17)</f>
        <v>0</v>
      </c>
      <c r="B75" s="85">
        <f>C75*(1+'ACCEPT RATES'!F17)</f>
        <v>0</v>
      </c>
      <c r="C75" s="84">
        <f>G15*('COVERAGE FACTORS'!C39+'COVERAGE FACTORS'!C43)</f>
        <v>0</v>
      </c>
      <c r="G75" s="179">
        <f>H75*(1-'ACCEPT RATES'!D22)</f>
        <v>0</v>
      </c>
      <c r="H75" s="85">
        <f>I75</f>
        <v>0</v>
      </c>
      <c r="I75" s="84">
        <f>G15*'COVERAGE FACTORS'!C41</f>
        <v>0</v>
      </c>
      <c r="J75" s="58"/>
      <c r="L75"/>
      <c r="M75" s="85">
        <f>N75</f>
        <v>0</v>
      </c>
      <c r="N75" s="84">
        <f>G15*'COVERAGE FACTORS'!C45</f>
        <v>0</v>
      </c>
      <c r="P75" s="19"/>
      <c r="Q75" s="108"/>
      <c r="S75" s="19"/>
      <c r="U75" s="19"/>
      <c r="Y75"/>
      <c r="Z75"/>
      <c r="AA75"/>
      <c r="AB75"/>
      <c r="AC75"/>
      <c r="AD75"/>
    </row>
    <row r="76" spans="1:30" x14ac:dyDescent="0.25">
      <c r="A76" s="121"/>
      <c r="B76" s="85"/>
      <c r="C76" s="84"/>
      <c r="G76" s="109">
        <f>H76*(1-'ACCEPT RATES'!C22)</f>
        <v>0</v>
      </c>
      <c r="H76" s="89">
        <f>I76</f>
        <v>0</v>
      </c>
      <c r="I76" s="90">
        <f>K15*('COVERAGE FACTORS'!C41+'COVERAGE FACTORS'!C43)</f>
        <v>0</v>
      </c>
      <c r="J76" s="58"/>
      <c r="L76"/>
      <c r="M76" s="89">
        <f>N76</f>
        <v>0</v>
      </c>
      <c r="N76" s="90">
        <f>K15*(1-('COVERAGE FACTORS'!C41+'COVERAGE FACTORS'!C43))</f>
        <v>0</v>
      </c>
      <c r="P76" s="19"/>
      <c r="Q76" s="108"/>
      <c r="S76" s="19"/>
      <c r="U76" s="19"/>
      <c r="Y76"/>
      <c r="Z76"/>
      <c r="AA76"/>
      <c r="AB76"/>
      <c r="AC76"/>
      <c r="AD76"/>
    </row>
    <row r="77" spans="1:30" x14ac:dyDescent="0.25">
      <c r="A77" s="121"/>
      <c r="B77" s="85"/>
      <c r="C77" s="84"/>
      <c r="G77" s="110">
        <f>H77*(1-'ACCEPT RATES'!D22)</f>
        <v>0</v>
      </c>
      <c r="H77" s="94">
        <f>I77</f>
        <v>0</v>
      </c>
      <c r="I77" s="92">
        <f>O15*('COVERAGE FACTORS'!C41+'COVERAGE FACTORS'!C43)</f>
        <v>0</v>
      </c>
      <c r="J77" s="58"/>
      <c r="L77"/>
      <c r="M77" s="94">
        <f>N77</f>
        <v>0</v>
      </c>
      <c r="N77" s="92">
        <f>O15*(1-('COVERAGE FACTORS'!C41+'COVERAGE FACTORS'!C43))</f>
        <v>0</v>
      </c>
      <c r="P77" s="19"/>
      <c r="Q77" s="108"/>
      <c r="S77" s="19"/>
      <c r="U77" s="19"/>
      <c r="Y77"/>
      <c r="Z77"/>
      <c r="AA77"/>
      <c r="AB77"/>
      <c r="AC77"/>
      <c r="AD77"/>
    </row>
    <row r="78" spans="1:30" x14ac:dyDescent="0.25">
      <c r="A78" s="183">
        <f>B78*(1-'ACCEPT RATES'!C17)</f>
        <v>54.81703224131531</v>
      </c>
      <c r="B78" s="187">
        <f>C78*(1+'ACCEPT RATES'!F17)</f>
        <v>894.24695085510439</v>
      </c>
      <c r="C78" s="188">
        <f>(D33+D45+D59+D69)*('COVERAGE FACTORS'!C39+'COVERAGE FACTORS'!C43)</f>
        <v>885.63209257222445</v>
      </c>
      <c r="G78" s="184">
        <f>IF(SUM(C11:C16)&gt;0,H78*(1-'ACCEPT RATES'!C22),H78*(1-'ACCEPT RATES'!D22))</f>
        <v>0</v>
      </c>
      <c r="H78" s="185">
        <f>I78</f>
        <v>0</v>
      </c>
      <c r="I78" s="186">
        <f>(D33+D45+D59+D69)*'COVERAGE FACTORS'!C41+(J33+J45+J59+J69)*('COVERAGE FACTORS'!C41+'COVERAGE FACTORS'!C43)</f>
        <v>0</v>
      </c>
      <c r="J78" s="58"/>
      <c r="L78"/>
      <c r="M78" s="101">
        <f ca="1">N78</f>
        <v>130.49865783865363</v>
      </c>
      <c r="N78" s="100">
        <f ca="1">D72+J72+O33+O45+O59+O69+(D33+D45+D59+D69)*'COVERAGE FACTORS'!C45+(J33+J45+J59+J69)*(1-('COVERAGE FACTORS'!C41+'COVERAGE FACTORS'!C43))+D106</f>
        <v>130.49865783865363</v>
      </c>
      <c r="P78" s="19"/>
      <c r="Q78" s="108"/>
      <c r="S78" s="19"/>
      <c r="U78" s="19"/>
      <c r="Y78"/>
      <c r="Z78"/>
      <c r="AA78"/>
      <c r="AB78"/>
      <c r="AC78"/>
      <c r="AD78"/>
    </row>
    <row r="79" spans="1:30" x14ac:dyDescent="0.25">
      <c r="A79" s="113"/>
      <c r="C79" s="97"/>
      <c r="D79" s="364">
        <f>SUM(C74:C78)-D72</f>
        <v>841.76301312245801</v>
      </c>
      <c r="E79" s="23" t="s">
        <v>288</v>
      </c>
      <c r="G79" s="113"/>
      <c r="I79" s="98"/>
      <c r="J79" s="181">
        <f>SUM(I74:I78)-J72</f>
        <v>0</v>
      </c>
      <c r="K79" s="23" t="s">
        <v>289</v>
      </c>
      <c r="L79"/>
      <c r="M79" s="19"/>
      <c r="O79" s="95">
        <f ca="1">SUM(N74:N78)</f>
        <v>130.49865783865363</v>
      </c>
      <c r="P79" s="23" t="s">
        <v>290</v>
      </c>
      <c r="Q79" s="108"/>
      <c r="S79" s="19"/>
      <c r="U79" s="19"/>
      <c r="Y79"/>
      <c r="Z79"/>
      <c r="AA79"/>
      <c r="AB79"/>
      <c r="AC79"/>
      <c r="AD79"/>
    </row>
    <row r="80" spans="1:30" x14ac:dyDescent="0.25">
      <c r="A80" s="113"/>
      <c r="C80" s="97"/>
      <c r="E80" s="23"/>
      <c r="G80" s="113"/>
      <c r="I80" s="98"/>
      <c r="J80" s="91"/>
      <c r="K80" s="23"/>
      <c r="L80"/>
      <c r="M80" s="19"/>
      <c r="O80" s="96"/>
      <c r="P80" s="23"/>
      <c r="Q80" s="108"/>
      <c r="S80" s="19"/>
      <c r="U80" s="19"/>
      <c r="Y80"/>
      <c r="Z80"/>
      <c r="AA80"/>
      <c r="AB80"/>
      <c r="AC80"/>
      <c r="AD80"/>
    </row>
    <row r="81" spans="1:30" x14ac:dyDescent="0.25">
      <c r="A81" s="113"/>
      <c r="D81" s="96">
        <f>SUM(A83:A87)*(1-'ACCEPT RATES'!G17)+SUM(C83:C87)*SUM('ACCEPT RATES'!I17:J17)</f>
        <v>453.62872020610439</v>
      </c>
      <c r="E81" s="23" t="s">
        <v>269</v>
      </c>
      <c r="G81" s="121"/>
      <c r="I81" s="23"/>
      <c r="J81" s="96">
        <f>I85*(1-'ACCEPT RATES'!C22)</f>
        <v>0</v>
      </c>
      <c r="K81" s="23" t="s">
        <v>269</v>
      </c>
      <c r="L81"/>
      <c r="M81" s="19"/>
      <c r="P81" s="23"/>
      <c r="Q81" s="108"/>
      <c r="S81" s="19"/>
      <c r="U81" s="19"/>
      <c r="Y81"/>
      <c r="Z81"/>
      <c r="AA81"/>
      <c r="AB81"/>
      <c r="AC81"/>
      <c r="AD81"/>
    </row>
    <row r="82" spans="1:30" x14ac:dyDescent="0.25">
      <c r="A82" s="126" t="s">
        <v>270</v>
      </c>
      <c r="B82" s="86" t="s">
        <v>305</v>
      </c>
      <c r="C82" s="87"/>
      <c r="D82" s="119"/>
      <c r="E82" s="23" t="s">
        <v>306</v>
      </c>
      <c r="G82" s="126" t="s">
        <v>273</v>
      </c>
      <c r="H82" s="86" t="s">
        <v>307</v>
      </c>
      <c r="I82" s="87"/>
      <c r="J82" s="99"/>
      <c r="K82" s="22" t="s">
        <v>306</v>
      </c>
      <c r="L82"/>
      <c r="M82" s="86" t="s">
        <v>290</v>
      </c>
      <c r="N82" s="87"/>
      <c r="P82" s="19"/>
      <c r="Q82" s="108"/>
      <c r="S82" s="19"/>
      <c r="U82" s="19"/>
      <c r="Y82"/>
      <c r="Z82"/>
      <c r="AA82"/>
      <c r="AB82"/>
      <c r="AC82"/>
      <c r="AD82"/>
    </row>
    <row r="83" spans="1:30" x14ac:dyDescent="0.25">
      <c r="A83" s="120">
        <f>B83*(1-'ACCEPT RATES'!C17)</f>
        <v>0</v>
      </c>
      <c r="B83" s="29">
        <f>C83*(1+'ACCEPT RATES'!F17)</f>
        <v>0</v>
      </c>
      <c r="C83" s="50">
        <f>C16*('COVERAGE FACTORS'!C55+'COVERAGE FACTORS'!C59)</f>
        <v>0</v>
      </c>
      <c r="E83" s="23" t="s">
        <v>200</v>
      </c>
      <c r="G83" s="178">
        <v>0</v>
      </c>
      <c r="H83" s="29">
        <f>I83</f>
        <v>0</v>
      </c>
      <c r="I83" s="50">
        <f>C16*'COVERAGE FACTORS'!C57</f>
        <v>0</v>
      </c>
      <c r="J83" s="112"/>
      <c r="K83" s="22" t="s">
        <v>200</v>
      </c>
      <c r="L83"/>
      <c r="M83" s="29">
        <f>N83</f>
        <v>0</v>
      </c>
      <c r="N83" s="50">
        <f>C16*'COVERAGE FACTORS'!C61</f>
        <v>0</v>
      </c>
      <c r="P83" s="19"/>
      <c r="Q83" s="108"/>
      <c r="S83" s="19"/>
      <c r="U83" s="19"/>
      <c r="Y83"/>
      <c r="Z83"/>
      <c r="AA83"/>
      <c r="AB83"/>
      <c r="AC83"/>
      <c r="AD83"/>
    </row>
    <row r="84" spans="1:30" x14ac:dyDescent="0.25">
      <c r="A84" s="179">
        <f>B84*(1-'ACCEPT RATES'!D17)</f>
        <v>358.30672340421717</v>
      </c>
      <c r="B84" s="85">
        <f>C84*(1+'ACCEPT RATES'!F17)</f>
        <v>1358.8477504881378</v>
      </c>
      <c r="C84" s="84">
        <f>G16*('COVERAGE FACTORS'!C55+'COVERAGE FACTORS'!C59)</f>
        <v>1345.7570927148329</v>
      </c>
      <c r="G84" s="179">
        <v>0</v>
      </c>
      <c r="H84" s="85">
        <f>I84</f>
        <v>0</v>
      </c>
      <c r="I84" s="84">
        <f>G16*'COVERAGE FACTORS'!C57</f>
        <v>0</v>
      </c>
      <c r="J84" s="58"/>
      <c r="L84"/>
      <c r="M84" s="85">
        <f>N84</f>
        <v>8.1540731288283421</v>
      </c>
      <c r="N84" s="84">
        <f>G16*'COVERAGE FACTORS'!C61</f>
        <v>8.1540731288283421</v>
      </c>
      <c r="P84" s="19"/>
      <c r="Q84" s="108"/>
      <c r="S84" s="19"/>
      <c r="U84" s="19"/>
      <c r="Y84"/>
      <c r="Z84"/>
      <c r="AA84"/>
      <c r="AB84"/>
      <c r="AC84"/>
      <c r="AD84"/>
    </row>
    <row r="85" spans="1:30" x14ac:dyDescent="0.25">
      <c r="A85" s="121"/>
      <c r="B85" s="85"/>
      <c r="C85" s="84"/>
      <c r="G85" s="109">
        <v>0</v>
      </c>
      <c r="H85" s="89">
        <f>I85</f>
        <v>0</v>
      </c>
      <c r="I85" s="90">
        <f>K16*('COVERAGE FACTORS'!C57+'COVERAGE FACTORS'!C59)</f>
        <v>0</v>
      </c>
      <c r="J85" s="58"/>
      <c r="L85"/>
      <c r="M85" s="89">
        <f>N85</f>
        <v>0</v>
      </c>
      <c r="N85" s="90">
        <f>K16*(1-('COVERAGE FACTORS'!C57+'COVERAGE FACTORS'!C59+'COVERAGE FACTORS'!C53))</f>
        <v>0</v>
      </c>
      <c r="P85" s="19"/>
      <c r="Q85" s="108"/>
      <c r="S85" s="19"/>
      <c r="U85" s="19"/>
      <c r="Y85"/>
      <c r="Z85"/>
      <c r="AA85"/>
      <c r="AB85"/>
      <c r="AC85"/>
      <c r="AD85"/>
    </row>
    <row r="86" spans="1:30" x14ac:dyDescent="0.25">
      <c r="A86" s="121"/>
      <c r="B86" s="85"/>
      <c r="C86" s="84"/>
      <c r="G86" s="110">
        <v>0</v>
      </c>
      <c r="H86" s="94">
        <f>I86</f>
        <v>0</v>
      </c>
      <c r="I86" s="92">
        <f>O16*('COVERAGE FACTORS'!C57+'COVERAGE FACTORS'!C59)</f>
        <v>0</v>
      </c>
      <c r="J86" s="58"/>
      <c r="L86"/>
      <c r="M86" s="94">
        <f>N86</f>
        <v>0</v>
      </c>
      <c r="N86" s="92">
        <f>O16*(1-('COVERAGE FACTORS'!C57+'COVERAGE FACTORS'!C59+'COVERAGE FACTORS'!C53))</f>
        <v>0</v>
      </c>
      <c r="P86" s="19"/>
      <c r="Q86" s="108"/>
      <c r="S86" s="19"/>
      <c r="U86" s="19"/>
      <c r="Y86"/>
      <c r="Z86"/>
      <c r="AA86"/>
      <c r="AB86"/>
      <c r="AC86"/>
      <c r="AD86"/>
    </row>
    <row r="87" spans="1:30" x14ac:dyDescent="0.25">
      <c r="A87" s="183">
        <f>B87*(1-'ACCEPT RATES'!C17)</f>
        <v>458.74198631282502</v>
      </c>
      <c r="B87" s="187">
        <f>C87*(1+'ACCEPT RATES'!F17)</f>
        <v>7483.5978110517017</v>
      </c>
      <c r="C87" s="188">
        <f>(D34+D46+D60+D70+D79)*('COVERAGE FACTORS'!C55+'COVERAGE FACTORS'!C59)</f>
        <v>7411.5034812621143</v>
      </c>
      <c r="G87" s="184">
        <v>0</v>
      </c>
      <c r="H87" s="185">
        <f>I87</f>
        <v>0</v>
      </c>
      <c r="I87" s="186">
        <f>(D34+D46+D60+D70+D79)*'COVERAGE FACTORS'!C57+(J34+J46+J60+J70+J79)*('COVERAGE FACTORS'!C57+'COVERAGE FACTORS'!C59)</f>
        <v>0</v>
      </c>
      <c r="J87" s="182"/>
      <c r="L87"/>
      <c r="M87" s="101">
        <f ca="1">N87</f>
        <v>1688.214073100318</v>
      </c>
      <c r="N87" s="100">
        <f ca="1">D81+J81+(O34+O46+O60+O70+O79)+(D34+D46+D60+D70+D79)*'COVERAGE FACTORS'!C61+(J34+J46+J60+J70+J79)*(1-('COVERAGE FACTORS'!C57+'COVERAGE FACTORS'!C59))+D120</f>
        <v>1688.214073100318</v>
      </c>
      <c r="P87" s="19"/>
      <c r="Q87" s="108"/>
      <c r="S87" s="19"/>
      <c r="U87" s="19"/>
      <c r="Y87"/>
      <c r="Z87"/>
      <c r="AA87"/>
      <c r="AB87"/>
      <c r="AC87"/>
      <c r="AD87"/>
    </row>
    <row r="88" spans="1:30" x14ac:dyDescent="0.25">
      <c r="A88" s="113"/>
      <c r="C88" s="97"/>
      <c r="D88" s="102">
        <f>SUM(C83:C87)-D81</f>
        <v>8303.631853770843</v>
      </c>
      <c r="E88" s="23"/>
      <c r="G88" s="366"/>
      <c r="H88" s="367"/>
      <c r="I88" s="367"/>
      <c r="J88" s="368">
        <f>SUM(I83:I87)-J81</f>
        <v>0</v>
      </c>
      <c r="K88" s="23"/>
      <c r="L88"/>
      <c r="M88" s="19"/>
      <c r="O88" s="189">
        <f ca="1">SUM(N83:N87)</f>
        <v>1696.3681462291463</v>
      </c>
      <c r="P88" s="23"/>
      <c r="Q88" s="108"/>
      <c r="S88" s="19"/>
      <c r="U88" s="19"/>
      <c r="Y88"/>
      <c r="Z88"/>
      <c r="AA88"/>
      <c r="AB88"/>
      <c r="AC88"/>
      <c r="AD88"/>
    </row>
    <row r="89" spans="1:30" x14ac:dyDescent="0.25">
      <c r="A89" s="113"/>
      <c r="C89" s="97"/>
      <c r="D89" s="22" t="s">
        <v>308</v>
      </c>
      <c r="E89" s="23"/>
      <c r="G89" s="113"/>
      <c r="I89" s="98"/>
      <c r="J89" s="22" t="s">
        <v>308</v>
      </c>
      <c r="K89" s="23"/>
      <c r="L89"/>
      <c r="M89" s="19"/>
      <c r="O89" s="22" t="s">
        <v>308</v>
      </c>
      <c r="P89" s="23"/>
      <c r="Q89" s="108"/>
      <c r="S89" s="19"/>
      <c r="U89" s="19"/>
      <c r="Y89"/>
      <c r="Z89"/>
      <c r="AA89"/>
      <c r="AB89"/>
      <c r="AC89"/>
      <c r="AD89"/>
    </row>
    <row r="90" spans="1:30" x14ac:dyDescent="0.25">
      <c r="A90" s="113"/>
      <c r="G90" s="113"/>
      <c r="H90"/>
      <c r="I90" s="19"/>
      <c r="J90" s="58"/>
      <c r="P90" s="19"/>
      <c r="Q90" s="108"/>
      <c r="S90" s="19"/>
      <c r="U90" s="19"/>
      <c r="Y90"/>
      <c r="Z90"/>
      <c r="AA90"/>
      <c r="AB90"/>
      <c r="AC90"/>
      <c r="AD90"/>
    </row>
    <row r="91" spans="1:30" x14ac:dyDescent="0.25">
      <c r="A91" s="113"/>
      <c r="D91" s="437" t="s">
        <v>269</v>
      </c>
      <c r="E91" s="437"/>
      <c r="G91" s="113"/>
      <c r="H91"/>
      <c r="I91" s="19"/>
      <c r="J91" s="58"/>
      <c r="P91" s="19"/>
      <c r="Q91" s="108"/>
      <c r="S91" s="19"/>
      <c r="U91" s="19"/>
      <c r="Y91"/>
      <c r="Z91"/>
      <c r="AA91"/>
      <c r="AB91"/>
      <c r="AC91"/>
      <c r="AD91"/>
    </row>
    <row r="92" spans="1:30" x14ac:dyDescent="0.25">
      <c r="A92" s="114"/>
      <c r="B92" s="116"/>
      <c r="C92" s="116"/>
      <c r="D92" s="22" t="s">
        <v>309</v>
      </c>
      <c r="E92" s="23" t="s">
        <v>310</v>
      </c>
      <c r="F92" s="116"/>
      <c r="G92" s="114"/>
      <c r="H92" s="115"/>
      <c r="I92" s="116"/>
      <c r="J92" s="117"/>
      <c r="K92" s="116"/>
      <c r="L92" s="116"/>
      <c r="M92" s="115"/>
      <c r="N92" s="116"/>
      <c r="O92" s="117"/>
      <c r="P92" s="116"/>
      <c r="Q92" s="118"/>
      <c r="S92" s="19"/>
      <c r="U92" s="19"/>
      <c r="Y92"/>
      <c r="Z92"/>
      <c r="AA92"/>
      <c r="AB92"/>
      <c r="AC92"/>
      <c r="AD92"/>
    </row>
    <row r="93" spans="1:30" x14ac:dyDescent="0.25">
      <c r="D93" s="266">
        <f ca="1">SUM(A95:A99)*(1-'ACCEPT RATES'!G24)+SUM(B95:B99)*'ACCEPT RATES'!J24</f>
        <v>0</v>
      </c>
      <c r="E93" s="267">
        <f ca="1">SUM(B95:B99)*'ACCEPT RATES'!I24</f>
        <v>0</v>
      </c>
    </row>
    <row r="94" spans="1:30" x14ac:dyDescent="0.25">
      <c r="A94" s="23" t="s">
        <v>270</v>
      </c>
      <c r="B94" s="213" t="s">
        <v>99</v>
      </c>
      <c r="C94" s="212"/>
      <c r="E94" s="23" t="s">
        <v>306</v>
      </c>
    </row>
    <row r="95" spans="1:30" x14ac:dyDescent="0.25">
      <c r="A95" s="50">
        <f>B95*(1-'ACCEPT RATES'!C24)</f>
        <v>0</v>
      </c>
      <c r="B95" s="29">
        <f>C95*(1+'ACCEPT RATES'!F17)</f>
        <v>0</v>
      </c>
      <c r="C95" s="50">
        <f>C16*'COVERAGE FACTORS'!C53</f>
        <v>0</v>
      </c>
      <c r="E95" s="23" t="s">
        <v>200</v>
      </c>
    </row>
    <row r="96" spans="1:30" x14ac:dyDescent="0.25">
      <c r="A96" s="84">
        <f>B96*(1-'ACCEPT RATES'!D24)</f>
        <v>0</v>
      </c>
      <c r="B96" s="85">
        <f>C96*(1+'ACCEPT RATES'!F17)</f>
        <v>0</v>
      </c>
      <c r="C96" s="84">
        <f>G16*'COVERAGE FACTORS'!C53</f>
        <v>0</v>
      </c>
    </row>
    <row r="97" spans="1:11" x14ac:dyDescent="0.25">
      <c r="A97" s="90">
        <f>B97*(1-'ACCEPT RATES'!C24)</f>
        <v>0</v>
      </c>
      <c r="B97" s="89">
        <f>C97*(1+'ACCEPT RATES'!F17)</f>
        <v>0</v>
      </c>
      <c r="C97" s="90">
        <f>K16*'COVERAGE FACTORS'!C53</f>
        <v>0</v>
      </c>
    </row>
    <row r="98" spans="1:11" x14ac:dyDescent="0.25">
      <c r="A98" s="92">
        <f>B98*(1-'ACCEPT RATES'!D24)</f>
        <v>0</v>
      </c>
      <c r="B98" s="94">
        <f>C98*(1+'ACCEPT RATES'!F17)</f>
        <v>0</v>
      </c>
      <c r="C98" s="92">
        <f>O16*'COVERAGE FACTORS'!C53</f>
        <v>0</v>
      </c>
    </row>
    <row r="99" spans="1:11" x14ac:dyDescent="0.25">
      <c r="A99" s="214">
        <f ca="1">B99*(1-'ACCEPT RATES'!C24)</f>
        <v>0</v>
      </c>
      <c r="B99" s="215">
        <f ca="1">C99*(1+'ACCEPT RATES'!F17)</f>
        <v>0</v>
      </c>
      <c r="C99" s="214">
        <f ca="1">(D16+D34+D46+D60+D70+D79)*'COVERAGE FACTORS'!C53+D114</f>
        <v>0</v>
      </c>
    </row>
    <row r="100" spans="1:11" x14ac:dyDescent="0.25">
      <c r="D100" s="369">
        <f ca="1">SUM(C95:C99)-D93-E93</f>
        <v>0</v>
      </c>
    </row>
    <row r="101" spans="1:11" x14ac:dyDescent="0.25">
      <c r="D101" s="22" t="s">
        <v>311</v>
      </c>
    </row>
    <row r="105" spans="1:11" x14ac:dyDescent="0.25">
      <c r="D105" s="22"/>
    </row>
    <row r="106" spans="1:11" ht="12.75" customHeight="1" x14ac:dyDescent="0.25">
      <c r="A106" s="113"/>
      <c r="D106" s="258">
        <f ca="1">A112*(1-'ACCEPT RATES'!G17)+B112*('ACCEPT RATES'!I17+'ACCEPT RATES'!J17)</f>
        <v>0</v>
      </c>
      <c r="E106" s="23" t="s">
        <v>269</v>
      </c>
      <c r="G106" s="438" t="s">
        <v>312</v>
      </c>
      <c r="H106" s="438"/>
      <c r="I106" s="438"/>
      <c r="J106" s="438"/>
      <c r="K106" s="438"/>
    </row>
    <row r="107" spans="1:11" x14ac:dyDescent="0.25">
      <c r="A107" s="126" t="s">
        <v>270</v>
      </c>
      <c r="B107" s="86" t="s">
        <v>313</v>
      </c>
      <c r="C107" s="87"/>
      <c r="D107"/>
      <c r="E107" s="23" t="s">
        <v>303</v>
      </c>
      <c r="G107" s="438"/>
      <c r="H107" s="438"/>
      <c r="I107" s="438"/>
      <c r="J107" s="438"/>
      <c r="K107" s="438"/>
    </row>
    <row r="108" spans="1:11" x14ac:dyDescent="0.25">
      <c r="A108" s="50"/>
      <c r="B108" s="29"/>
      <c r="C108" s="50"/>
      <c r="E108" s="23" t="s">
        <v>200</v>
      </c>
      <c r="G108" s="438"/>
      <c r="H108" s="438"/>
      <c r="I108" s="438"/>
      <c r="J108" s="438"/>
      <c r="K108" s="438"/>
    </row>
    <row r="109" spans="1:11" x14ac:dyDescent="0.25">
      <c r="A109" s="179"/>
      <c r="B109" s="85"/>
      <c r="C109" s="84"/>
      <c r="G109" s="438"/>
      <c r="H109" s="438"/>
      <c r="I109" s="438"/>
      <c r="J109" s="438"/>
      <c r="K109" s="438"/>
    </row>
    <row r="110" spans="1:11" x14ac:dyDescent="0.25">
      <c r="A110" s="121"/>
      <c r="B110" s="85"/>
      <c r="C110" s="84"/>
      <c r="G110" s="438"/>
      <c r="H110" s="438"/>
      <c r="I110" s="438"/>
      <c r="J110" s="438"/>
      <c r="K110" s="438"/>
    </row>
    <row r="111" spans="1:11" x14ac:dyDescent="0.25">
      <c r="A111" s="121"/>
      <c r="B111" s="85"/>
      <c r="C111" s="84"/>
      <c r="G111" s="438"/>
      <c r="H111" s="438"/>
      <c r="I111" s="438"/>
      <c r="J111" s="438"/>
      <c r="K111" s="438"/>
    </row>
    <row r="112" spans="1:11" x14ac:dyDescent="0.25">
      <c r="A112" s="259">
        <f ca="1">B112*(1-'ACCEPT RATES'!$C$17)</f>
        <v>0</v>
      </c>
      <c r="B112" s="260">
        <f ca="1">C112*(1+'ACCEPT RATES'!$F$17)</f>
        <v>0</v>
      </c>
      <c r="C112" s="261">
        <f ca="1">E93</f>
        <v>0</v>
      </c>
      <c r="G112" s="438"/>
      <c r="H112" s="438"/>
      <c r="I112" s="438"/>
      <c r="J112" s="438"/>
      <c r="K112" s="438"/>
    </row>
    <row r="113" spans="1:11" x14ac:dyDescent="0.25">
      <c r="A113" s="113"/>
      <c r="C113" s="119"/>
      <c r="D113" s="370">
        <f ca="1">($C$112-$D$106)*(1-'COVERAGE FACTORS'!$C$66)</f>
        <v>0</v>
      </c>
      <c r="E113" s="23" t="s">
        <v>288</v>
      </c>
      <c r="G113" s="438"/>
      <c r="H113" s="438"/>
      <c r="I113" s="438"/>
      <c r="J113" s="438"/>
      <c r="K113" s="438"/>
    </row>
    <row r="114" spans="1:11" x14ac:dyDescent="0.25">
      <c r="A114" s="113"/>
      <c r="C114" s="119"/>
      <c r="D114" s="370">
        <f ca="1">($C$112-$D$106)*'COVERAGE FACTORS'!$C$66</f>
        <v>0</v>
      </c>
      <c r="E114" s="23" t="s">
        <v>99</v>
      </c>
    </row>
    <row r="115" spans="1:11" x14ac:dyDescent="0.25">
      <c r="A115" s="113"/>
      <c r="C115" s="97"/>
      <c r="E115" s="23"/>
    </row>
    <row r="116" spans="1:11" x14ac:dyDescent="0.25">
      <c r="A116" s="113"/>
      <c r="C116" s="97"/>
      <c r="E116" s="23"/>
    </row>
    <row r="117" spans="1:11" x14ac:dyDescent="0.25">
      <c r="A117" s="113"/>
      <c r="C117" s="97"/>
      <c r="E117" s="23"/>
    </row>
    <row r="118" spans="1:11" x14ac:dyDescent="0.25">
      <c r="A118" s="113"/>
      <c r="C118" s="97"/>
      <c r="E118" s="23"/>
    </row>
    <row r="119" spans="1:11" x14ac:dyDescent="0.25">
      <c r="A119" s="113"/>
      <c r="C119" s="97"/>
      <c r="E119" s="23"/>
    </row>
    <row r="120" spans="1:11" x14ac:dyDescent="0.25">
      <c r="A120" s="121"/>
      <c r="D120" s="262">
        <f ca="1">A126*'ACCEPT RATES'!H17+B126*('ACCEPT RATES'!I17+'ACCEPT RATES'!J17)</f>
        <v>0</v>
      </c>
      <c r="E120" s="23" t="s">
        <v>269</v>
      </c>
    </row>
    <row r="121" spans="1:11" x14ac:dyDescent="0.25">
      <c r="A121" s="126" t="s">
        <v>270</v>
      </c>
      <c r="B121" s="86" t="s">
        <v>314</v>
      </c>
      <c r="C121" s="87"/>
      <c r="D121" s="119"/>
      <c r="E121" s="23" t="s">
        <v>306</v>
      </c>
    </row>
    <row r="122" spans="1:11" x14ac:dyDescent="0.25">
      <c r="A122" s="263"/>
      <c r="B122" s="29"/>
      <c r="C122" s="50"/>
      <c r="E122" s="23" t="s">
        <v>200</v>
      </c>
    </row>
    <row r="123" spans="1:11" x14ac:dyDescent="0.25">
      <c r="A123" s="179"/>
      <c r="B123" s="85"/>
      <c r="C123" s="84"/>
    </row>
    <row r="124" spans="1:11" x14ac:dyDescent="0.25">
      <c r="A124" s="121"/>
      <c r="B124" s="85"/>
      <c r="C124" s="84"/>
    </row>
    <row r="125" spans="1:11" x14ac:dyDescent="0.25">
      <c r="A125" s="121"/>
      <c r="B125" s="85"/>
      <c r="C125" s="84"/>
    </row>
    <row r="126" spans="1:11" x14ac:dyDescent="0.25">
      <c r="A126" s="264">
        <f ca="1">B126*(1-'ACCEPT RATES'!$C$17)</f>
        <v>0</v>
      </c>
      <c r="B126" s="260">
        <f ca="1">C126*(1+'ACCEPT RATES'!$F$17)</f>
        <v>0</v>
      </c>
      <c r="C126" s="261">
        <f ca="1">$D$93+$D$113</f>
        <v>0</v>
      </c>
    </row>
    <row r="127" spans="1:11" x14ac:dyDescent="0.25">
      <c r="A127" s="121"/>
      <c r="C127" s="119"/>
      <c r="D127" s="265">
        <f ca="1">C126-D120</f>
        <v>0</v>
      </c>
      <c r="E127" s="23"/>
    </row>
    <row r="128" spans="1:11" x14ac:dyDescent="0.25">
      <c r="A128" s="121"/>
      <c r="D128" s="22" t="s">
        <v>308</v>
      </c>
      <c r="E128" s="23"/>
    </row>
  </sheetData>
  <mergeCells count="2">
    <mergeCell ref="D91:E91"/>
    <mergeCell ref="G106:K113"/>
  </mergeCells>
  <phoneticPr fontId="42" type="noConversion"/>
  <pageMargins left="0.75" right="0.75" top="1" bottom="1" header="0.5" footer="0.5"/>
  <pageSetup orientation="portrait" r:id="rId1"/>
  <headerFooter alignWithMargins="0"/>
  <drawing r:id="rId2"/>
</worksheet>
</file>

<file path=xl/worksheets/sheet1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K86"/>
  <sheetViews>
    <sheetView zoomScale="75" workbookViewId="0"/>
  </sheetViews>
  <sheetFormatPr defaultRowHeight="13.2" x14ac:dyDescent="0.25"/>
  <cols>
    <col min="1" max="1" width="5.77734375" customWidth="1"/>
    <col min="2" max="2" width="25.77734375" customWidth="1"/>
    <col min="3" max="4" width="10.77734375" style="2" customWidth="1"/>
    <col min="5" max="5" width="10.77734375" style="37" customWidth="1"/>
    <col min="6" max="6" width="10.77734375" style="132" customWidth="1"/>
    <col min="7" max="7" width="10.77734375" style="41" customWidth="1"/>
    <col min="8" max="9" width="10.77734375" style="30" customWidth="1"/>
    <col min="10" max="10" width="10.77734375" style="132" customWidth="1"/>
    <col min="11" max="26" width="9.77734375" customWidth="1"/>
  </cols>
  <sheetData>
    <row r="1" spans="1:11" ht="22.8" x14ac:dyDescent="0.4">
      <c r="A1" s="125" t="s">
        <v>315</v>
      </c>
    </row>
    <row r="2" spans="1:11" ht="17.399999999999999" x14ac:dyDescent="0.3">
      <c r="A2" s="4" t="s">
        <v>181</v>
      </c>
    </row>
    <row r="3" spans="1:11" s="6" customFormat="1" ht="12.75" customHeight="1" x14ac:dyDescent="0.25">
      <c r="A3" s="1"/>
      <c r="B3" s="146"/>
      <c r="C3" s="268"/>
      <c r="D3" s="268"/>
      <c r="E3" s="269"/>
      <c r="F3" s="270"/>
      <c r="G3" s="241"/>
      <c r="H3" s="145"/>
      <c r="I3" s="145"/>
      <c r="J3" s="270"/>
      <c r="K3" s="146"/>
    </row>
    <row r="4" spans="1:11" s="6" customFormat="1" ht="12.75" customHeight="1" x14ac:dyDescent="0.25">
      <c r="A4" s="1"/>
      <c r="B4" s="146"/>
      <c r="C4" s="16" t="str">
        <f>"(1)"</f>
        <v>(1)</v>
      </c>
      <c r="D4" s="16" t="str">
        <f>"(2)"</f>
        <v>(2)</v>
      </c>
      <c r="E4" s="38" t="str">
        <f>"(3)"</f>
        <v>(3)</v>
      </c>
      <c r="F4" s="16" t="str">
        <f>"(4)"</f>
        <v>(4)</v>
      </c>
      <c r="G4" s="40" t="str">
        <f>"(5)"</f>
        <v>(5)</v>
      </c>
      <c r="H4" s="16" t="str">
        <f>"(6)"</f>
        <v>(6)</v>
      </c>
      <c r="I4" s="16" t="str">
        <f>"(7)"</f>
        <v>(7)</v>
      </c>
      <c r="J4" s="16" t="str">
        <f>"(8)"</f>
        <v>(8)</v>
      </c>
      <c r="K4" s="16" t="str">
        <f>"(9)"</f>
        <v>(9)</v>
      </c>
    </row>
    <row r="5" spans="1:11" s="6" customFormat="1" ht="12.75" customHeight="1" x14ac:dyDescent="0.25">
      <c r="A5" s="1"/>
      <c r="B5" s="146"/>
      <c r="C5" s="268"/>
      <c r="D5" s="268"/>
      <c r="E5" s="269"/>
      <c r="F5" s="270"/>
      <c r="G5" s="241"/>
      <c r="H5" s="145"/>
      <c r="I5" s="145"/>
      <c r="J5" s="270"/>
      <c r="K5"/>
    </row>
    <row r="6" spans="1:11" x14ac:dyDescent="0.25">
      <c r="D6" s="16" t="s">
        <v>182</v>
      </c>
      <c r="F6" s="133" t="s">
        <v>183</v>
      </c>
      <c r="H6" s="31" t="s">
        <v>184</v>
      </c>
      <c r="I6" s="31" t="s">
        <v>184</v>
      </c>
      <c r="J6" s="133" t="s">
        <v>8</v>
      </c>
      <c r="K6" s="133" t="s">
        <v>185</v>
      </c>
    </row>
    <row r="7" spans="1:11" x14ac:dyDescent="0.25">
      <c r="C7"/>
      <c r="D7" s="16" t="s">
        <v>186</v>
      </c>
      <c r="E7" s="38" t="s">
        <v>187</v>
      </c>
      <c r="F7" s="133" t="s">
        <v>188</v>
      </c>
      <c r="G7" s="40" t="s">
        <v>189</v>
      </c>
      <c r="H7" s="31" t="s">
        <v>190</v>
      </c>
      <c r="I7" s="31" t="s">
        <v>190</v>
      </c>
      <c r="J7" s="133" t="s">
        <v>188</v>
      </c>
      <c r="K7" s="133" t="s">
        <v>188</v>
      </c>
    </row>
    <row r="8" spans="1:11" x14ac:dyDescent="0.25">
      <c r="A8" s="35" t="s">
        <v>191</v>
      </c>
      <c r="C8" s="134" t="s">
        <v>17</v>
      </c>
      <c r="D8" s="134" t="s">
        <v>192</v>
      </c>
      <c r="E8" s="39" t="s">
        <v>193</v>
      </c>
      <c r="F8" s="135" t="s">
        <v>194</v>
      </c>
      <c r="G8" s="42" t="s">
        <v>195</v>
      </c>
      <c r="H8" s="36" t="s">
        <v>195</v>
      </c>
      <c r="I8" s="36" t="s">
        <v>196</v>
      </c>
      <c r="J8" s="135" t="s">
        <v>194</v>
      </c>
      <c r="K8" s="135" t="s">
        <v>194</v>
      </c>
    </row>
    <row r="9" spans="1:11" x14ac:dyDescent="0.25">
      <c r="A9" s="35"/>
      <c r="C9" s="134"/>
      <c r="D9" s="134"/>
      <c r="E9" s="39"/>
      <c r="F9" s="135"/>
      <c r="G9" s="42"/>
      <c r="H9" s="36"/>
      <c r="I9" s="36"/>
      <c r="J9" s="135"/>
    </row>
    <row r="10" spans="1:11" x14ac:dyDescent="0.25">
      <c r="A10" s="1" t="s">
        <v>220</v>
      </c>
      <c r="C10" s="134"/>
      <c r="D10" s="134"/>
      <c r="E10" s="39"/>
      <c r="F10" s="135"/>
      <c r="G10" s="42"/>
      <c r="H10" s="36"/>
      <c r="I10" s="36"/>
      <c r="J10" s="135"/>
    </row>
    <row r="11" spans="1:11" x14ac:dyDescent="0.25">
      <c r="A11" s="35"/>
      <c r="B11" t="s">
        <v>198</v>
      </c>
      <c r="C11" s="326">
        <f>'MADC AUTO COST'!C11</f>
        <v>0</v>
      </c>
      <c r="D11" s="326">
        <f>PRODUCTIVITIES!$E$8</f>
        <v>175.66894168226426</v>
      </c>
      <c r="E11" s="269">
        <f>'WAGE RATES'!$D$6</f>
        <v>50.10717457546064</v>
      </c>
      <c r="F11" s="41">
        <f>E11*100/D11</f>
        <v>28.523638894626252</v>
      </c>
      <c r="G11" s="241">
        <f>PIGGYBACKS!$B$5</f>
        <v>1.8052502472456198</v>
      </c>
      <c r="H11" s="241">
        <f>'WAGE RATES'!$D$10</f>
        <v>1.0285306172213804</v>
      </c>
      <c r="I11" s="41">
        <f>(H11-1)*F11</f>
        <v>0.81379702306345936</v>
      </c>
      <c r="J11" s="41">
        <f>F11*G11+I11</f>
        <v>52.30610318993228</v>
      </c>
      <c r="K11" s="41">
        <f ca="1">C11*$J11/'MADC NONAUTO MODEL'!$G$6</f>
        <v>0</v>
      </c>
    </row>
    <row r="12" spans="1:11" x14ac:dyDescent="0.25">
      <c r="A12" s="35"/>
      <c r="B12" t="s">
        <v>199</v>
      </c>
      <c r="C12" s="326">
        <f>'MADC AUTO COST'!C12</f>
        <v>0</v>
      </c>
      <c r="D12" s="326">
        <f>PRODUCTIVITIES!$E$10</f>
        <v>194.60202715898563</v>
      </c>
      <c r="E12" s="269">
        <f>'WAGE RATES'!$D$6</f>
        <v>50.10717457546064</v>
      </c>
      <c r="F12" s="41">
        <f>E12*100/D12</f>
        <v>25.748536799426127</v>
      </c>
      <c r="G12" s="241">
        <f>PIGGYBACKS!$B$6</f>
        <v>1.6056412614911089</v>
      </c>
      <c r="H12" s="241">
        <f>'WAGE RATES'!$D$10</f>
        <v>1.0285306172213804</v>
      </c>
      <c r="I12" s="41">
        <f>(H12-1)*F12</f>
        <v>0.73462164743505387</v>
      </c>
      <c r="J12" s="41">
        <f>F12*G12+I12</f>
        <v>42.077534755615858</v>
      </c>
      <c r="K12" s="41">
        <f ca="1">C12*$J12/'MADC NONAUTO MODEL'!$G$6</f>
        <v>0</v>
      </c>
    </row>
    <row r="13" spans="1:11" x14ac:dyDescent="0.25">
      <c r="A13" s="35"/>
      <c r="B13" t="s">
        <v>200</v>
      </c>
      <c r="C13" s="326">
        <f>'MADC AUTO COST'!C13</f>
        <v>83.911618250944343</v>
      </c>
      <c r="D13" s="326">
        <f>PRODUCTIVITIES!$E$12</f>
        <v>388.77898659935892</v>
      </c>
      <c r="E13" s="269">
        <f>'WAGE RATES'!$D$6</f>
        <v>50.10717457546064</v>
      </c>
      <c r="F13" s="41">
        <f>E13*100/D13</f>
        <v>12.888344355683154</v>
      </c>
      <c r="G13" s="241">
        <f>PIGGYBACKS!$B$7</f>
        <v>1.5985378657336238</v>
      </c>
      <c r="H13" s="241">
        <f>'WAGE RATES'!$D$10</f>
        <v>1.0285306172213804</v>
      </c>
      <c r="I13" s="41">
        <f>(H13-1)*F13</f>
        <v>0.36771241942933458</v>
      </c>
      <c r="J13" s="41">
        <f>F13*G13+I13</f>
        <v>20.970218898603079</v>
      </c>
      <c r="K13" s="41">
        <f ca="1">C13*$J13/'MADC NONAUTO MODEL'!$G$6</f>
        <v>0.17596450028583227</v>
      </c>
    </row>
    <row r="14" spans="1:11" x14ac:dyDescent="0.25">
      <c r="A14" s="35"/>
      <c r="C14" s="326"/>
      <c r="D14" s="326"/>
      <c r="E14" s="269"/>
      <c r="F14" s="270"/>
      <c r="G14" s="241"/>
      <c r="H14" s="241"/>
      <c r="I14" s="145"/>
      <c r="J14" s="270"/>
      <c r="K14" s="41"/>
    </row>
    <row r="15" spans="1:11" x14ac:dyDescent="0.25">
      <c r="A15" s="1" t="s">
        <v>221</v>
      </c>
      <c r="C15" s="326"/>
      <c r="D15" s="326"/>
      <c r="E15" s="269"/>
      <c r="F15" s="270"/>
      <c r="G15" s="241"/>
      <c r="H15" s="241"/>
      <c r="I15" s="145"/>
      <c r="J15" s="270"/>
      <c r="K15" s="41"/>
    </row>
    <row r="16" spans="1:11" s="6" customFormat="1" x14ac:dyDescent="0.25">
      <c r="A16" s="146"/>
      <c r="B16" s="146" t="s">
        <v>198</v>
      </c>
      <c r="C16" s="326">
        <f>'MADC AUTO COST'!C16</f>
        <v>0</v>
      </c>
      <c r="D16" s="326">
        <f>PRODUCTIVITIES!$E$9</f>
        <v>204.15275198997298</v>
      </c>
      <c r="E16" s="269">
        <f>'WAGE RATES'!$D$6</f>
        <v>50.10717457546064</v>
      </c>
      <c r="F16" s="41">
        <f>E16*100/D16</f>
        <v>24.543962345372481</v>
      </c>
      <c r="G16" s="241">
        <f>PIGGYBACKS!$B$5</f>
        <v>1.8052502472456198</v>
      </c>
      <c r="H16" s="241">
        <f>'WAGE RATES'!$D$10</f>
        <v>1.0285306172213804</v>
      </c>
      <c r="I16" s="41">
        <f>(H16-1)*F16</f>
        <v>0.70025439477179607</v>
      </c>
      <c r="J16" s="41">
        <f>F16*G16+I16</f>
        <v>45.008248487142652</v>
      </c>
      <c r="K16" s="41">
        <f ca="1">C16*$J16/'MADC NONAUTO MODEL'!$G$6</f>
        <v>0</v>
      </c>
    </row>
    <row r="17" spans="1:11" x14ac:dyDescent="0.25">
      <c r="A17" s="1"/>
      <c r="B17" t="s">
        <v>199</v>
      </c>
      <c r="C17" s="326">
        <f>'MADC AUTO COST'!C17</f>
        <v>0</v>
      </c>
      <c r="D17" s="326">
        <f>PRODUCTIVITIES!$E$11</f>
        <v>163.71090696460584</v>
      </c>
      <c r="E17" s="269">
        <f>'WAGE RATES'!$D$6</f>
        <v>50.10717457546064</v>
      </c>
      <c r="F17" s="41">
        <f>E17*100/D17</f>
        <v>30.607108288938726</v>
      </c>
      <c r="G17" s="241">
        <f>PIGGYBACKS!$B$6</f>
        <v>1.6056412614911089</v>
      </c>
      <c r="H17" s="241">
        <f>'WAGE RATES'!$D$10</f>
        <v>1.0285306172213804</v>
      </c>
      <c r="I17" s="41">
        <f>(H17-1)*F17</f>
        <v>0.87323969084504982</v>
      </c>
      <c r="J17" s="41">
        <f>F17*G17+I17</f>
        <v>50.017275654491598</v>
      </c>
      <c r="K17" s="41">
        <f ca="1">C17*$J17/'MADC NONAUTO MODEL'!$G$6</f>
        <v>0</v>
      </c>
    </row>
    <row r="18" spans="1:11" x14ac:dyDescent="0.25">
      <c r="A18" s="1"/>
      <c r="B18" t="s">
        <v>200</v>
      </c>
      <c r="C18" s="326">
        <f>'MADC AUTO COST'!C18</f>
        <v>0</v>
      </c>
      <c r="D18" s="326">
        <f>PRODUCTIVITIES!$E$13</f>
        <v>388.77898659935892</v>
      </c>
      <c r="E18" s="269">
        <f>'WAGE RATES'!$D$6</f>
        <v>50.10717457546064</v>
      </c>
      <c r="F18" s="41">
        <f>E18*100/D18</f>
        <v>12.888344355683154</v>
      </c>
      <c r="G18" s="241">
        <f>PIGGYBACKS!$B$7</f>
        <v>1.5985378657336238</v>
      </c>
      <c r="H18" s="241">
        <f>'WAGE RATES'!$D$10</f>
        <v>1.0285306172213804</v>
      </c>
      <c r="I18" s="41">
        <f>(H18-1)*F18</f>
        <v>0.36771241942933458</v>
      </c>
      <c r="J18" s="41">
        <f>F18*G18+I18</f>
        <v>20.970218898603079</v>
      </c>
      <c r="K18" s="41">
        <f ca="1">C18*$J18/'MADC NONAUTO MODEL'!$G$6</f>
        <v>0</v>
      </c>
    </row>
    <row r="19" spans="1:11" x14ac:dyDescent="0.25">
      <c r="A19" s="1"/>
      <c r="C19" s="326"/>
      <c r="D19" s="326"/>
      <c r="E19" s="269"/>
      <c r="F19" s="270"/>
      <c r="G19" s="241"/>
      <c r="H19" s="241"/>
      <c r="I19" s="145"/>
      <c r="J19" s="270"/>
      <c r="K19" s="41"/>
    </row>
    <row r="20" spans="1:11" x14ac:dyDescent="0.25">
      <c r="A20" s="1" t="s">
        <v>222</v>
      </c>
      <c r="C20" s="326"/>
      <c r="D20" s="326"/>
      <c r="E20" s="269"/>
      <c r="F20" s="270"/>
      <c r="G20" s="241"/>
      <c r="H20" s="241"/>
      <c r="I20" s="145"/>
      <c r="J20" s="270"/>
      <c r="K20" s="41"/>
    </row>
    <row r="21" spans="1:11" x14ac:dyDescent="0.25">
      <c r="A21" s="1"/>
      <c r="B21" t="s">
        <v>198</v>
      </c>
      <c r="C21" s="326">
        <f>'MADC AUTO COST'!C21</f>
        <v>0</v>
      </c>
      <c r="D21" s="326">
        <f>PRODUCTIVITIES!$E$9</f>
        <v>204.15275198997298</v>
      </c>
      <c r="E21" s="269">
        <f>'WAGE RATES'!$D$6</f>
        <v>50.10717457546064</v>
      </c>
      <c r="F21" s="41">
        <f>E21*100/D21</f>
        <v>24.543962345372481</v>
      </c>
      <c r="G21" s="241">
        <f>PIGGYBACKS!$B$5</f>
        <v>1.8052502472456198</v>
      </c>
      <c r="H21" s="241">
        <f>'WAGE RATES'!$D$10</f>
        <v>1.0285306172213804</v>
      </c>
      <c r="I21" s="41">
        <f>(H21-1)*F21</f>
        <v>0.70025439477179607</v>
      </c>
      <c r="J21" s="41">
        <f>F21*G21+I21</f>
        <v>45.008248487142652</v>
      </c>
      <c r="K21" s="41">
        <f ca="1">C21*$J21/'MADC NONAUTO MODEL'!$G$6</f>
        <v>0</v>
      </c>
    </row>
    <row r="22" spans="1:11" x14ac:dyDescent="0.25">
      <c r="A22" s="1"/>
      <c r="B22" t="s">
        <v>199</v>
      </c>
      <c r="C22" s="326">
        <f>'MADC AUTO COST'!C22</f>
        <v>0</v>
      </c>
      <c r="D22" s="326">
        <f>PRODUCTIVITIES!$E$11</f>
        <v>163.71090696460584</v>
      </c>
      <c r="E22" s="269">
        <f>'WAGE RATES'!$D$6</f>
        <v>50.10717457546064</v>
      </c>
      <c r="F22" s="41">
        <f>E22*100/D22</f>
        <v>30.607108288938726</v>
      </c>
      <c r="G22" s="241">
        <f>PIGGYBACKS!$B$6</f>
        <v>1.6056412614911089</v>
      </c>
      <c r="H22" s="241">
        <f>'WAGE RATES'!$D$10</f>
        <v>1.0285306172213804</v>
      </c>
      <c r="I22" s="41">
        <f>(H22-1)*F22</f>
        <v>0.87323969084504982</v>
      </c>
      <c r="J22" s="41">
        <f>F22*G22+I22</f>
        <v>50.017275654491598</v>
      </c>
      <c r="K22" s="41">
        <f ca="1">C22*$J22/'MADC NONAUTO MODEL'!$G$6</f>
        <v>0</v>
      </c>
    </row>
    <row r="23" spans="1:11" x14ac:dyDescent="0.25">
      <c r="A23" s="1"/>
      <c r="B23" t="s">
        <v>200</v>
      </c>
      <c r="C23" s="326">
        <f>'MADC AUTO COST'!C23</f>
        <v>0</v>
      </c>
      <c r="D23" s="326">
        <f>PRODUCTIVITIES!$E$14</f>
        <v>388.77898659935892</v>
      </c>
      <c r="E23" s="269">
        <f>'WAGE RATES'!$D$6</f>
        <v>50.10717457546064</v>
      </c>
      <c r="F23" s="41">
        <f>E23*100/D23</f>
        <v>12.888344355683154</v>
      </c>
      <c r="G23" s="241">
        <f>PIGGYBACKS!$B$7</f>
        <v>1.5985378657336238</v>
      </c>
      <c r="H23" s="241">
        <f>'WAGE RATES'!$D$10</f>
        <v>1.0285306172213804</v>
      </c>
      <c r="I23" s="41">
        <f>(H23-1)*F23</f>
        <v>0.36771241942933458</v>
      </c>
      <c r="J23" s="41">
        <f>F23*G23+I23</f>
        <v>20.970218898603079</v>
      </c>
      <c r="K23" s="41">
        <f ca="1">C23*$J23/'MADC NONAUTO MODEL'!$G$6</f>
        <v>0</v>
      </c>
    </row>
    <row r="24" spans="1:11" x14ac:dyDescent="0.25">
      <c r="A24" s="1"/>
      <c r="C24" s="326"/>
      <c r="D24" s="326"/>
      <c r="E24" s="269"/>
      <c r="F24" s="270"/>
      <c r="G24" s="241"/>
      <c r="H24" s="241"/>
      <c r="I24" s="145"/>
      <c r="J24" s="270"/>
      <c r="K24" s="41"/>
    </row>
    <row r="25" spans="1:11" x14ac:dyDescent="0.25">
      <c r="A25" s="1" t="s">
        <v>223</v>
      </c>
      <c r="C25" s="326"/>
      <c r="D25" s="326"/>
      <c r="E25" s="269"/>
      <c r="F25" s="270"/>
      <c r="G25" s="241"/>
      <c r="H25" s="241"/>
      <c r="I25" s="145"/>
      <c r="J25" s="270"/>
      <c r="K25" s="41"/>
    </row>
    <row r="26" spans="1:11" x14ac:dyDescent="0.25">
      <c r="A26" s="1"/>
      <c r="B26" t="s">
        <v>198</v>
      </c>
      <c r="C26" s="326">
        <f>'MADC AUTO COST'!C26</f>
        <v>0</v>
      </c>
      <c r="D26" s="326">
        <f>PRODUCTIVITIES!$E$9</f>
        <v>204.15275198997298</v>
      </c>
      <c r="E26" s="269">
        <f>'WAGE RATES'!$D$6</f>
        <v>50.10717457546064</v>
      </c>
      <c r="F26" s="41">
        <f>E26*100/D26</f>
        <v>24.543962345372481</v>
      </c>
      <c r="G26" s="241">
        <f>PIGGYBACKS!$B$5</f>
        <v>1.8052502472456198</v>
      </c>
      <c r="H26" s="241">
        <f>'WAGE RATES'!$D$10</f>
        <v>1.0285306172213804</v>
      </c>
      <c r="I26" s="41">
        <f>(H26-1)*F26</f>
        <v>0.70025439477179607</v>
      </c>
      <c r="J26" s="41">
        <f>F26*G26+I26</f>
        <v>45.008248487142652</v>
      </c>
      <c r="K26" s="41">
        <f ca="1">C26*$J26/'MADC NONAUTO MODEL'!$G$6</f>
        <v>0</v>
      </c>
    </row>
    <row r="27" spans="1:11" x14ac:dyDescent="0.25">
      <c r="A27" s="1"/>
      <c r="B27" t="s">
        <v>199</v>
      </c>
      <c r="C27" s="326">
        <f>'MADC AUTO COST'!C27</f>
        <v>0</v>
      </c>
      <c r="D27" s="326">
        <f>PRODUCTIVITIES!$E$11</f>
        <v>163.71090696460584</v>
      </c>
      <c r="E27" s="269">
        <f>'WAGE RATES'!$D$6</f>
        <v>50.10717457546064</v>
      </c>
      <c r="F27" s="41">
        <f>E27*100/D27</f>
        <v>30.607108288938726</v>
      </c>
      <c r="G27" s="241">
        <f>PIGGYBACKS!$B$6</f>
        <v>1.6056412614911089</v>
      </c>
      <c r="H27" s="241">
        <f>'WAGE RATES'!$D$10</f>
        <v>1.0285306172213804</v>
      </c>
      <c r="I27" s="41">
        <f>(H27-1)*F27</f>
        <v>0.87323969084504982</v>
      </c>
      <c r="J27" s="41">
        <f>F27*G27+I27</f>
        <v>50.017275654491598</v>
      </c>
      <c r="K27" s="41">
        <f ca="1">C27*$J27/'MADC NONAUTO MODEL'!$G$6</f>
        <v>0</v>
      </c>
    </row>
    <row r="28" spans="1:11" x14ac:dyDescent="0.25">
      <c r="A28" s="1"/>
      <c r="B28" t="s">
        <v>200</v>
      </c>
      <c r="C28" s="326">
        <f>'MADC AUTO COST'!C28</f>
        <v>0</v>
      </c>
      <c r="D28" s="326">
        <f>PRODUCTIVITIES!E15</f>
        <v>279.13830142253454</v>
      </c>
      <c r="E28" s="269">
        <f>'WAGE RATES'!$D$6</f>
        <v>50.10717457546064</v>
      </c>
      <c r="F28" s="41">
        <f>E28*100/D28</f>
        <v>17.950662564078904</v>
      </c>
      <c r="G28" s="241">
        <f>PIGGYBACKS!$B$7</f>
        <v>1.5985378657336238</v>
      </c>
      <c r="H28" s="241">
        <f>'WAGE RATES'!$D$10</f>
        <v>1.0285306172213804</v>
      </c>
      <c r="I28" s="41">
        <f>(H28-1)*F28</f>
        <v>0.51214348248589792</v>
      </c>
      <c r="J28" s="41">
        <f>F28*G28+I28</f>
        <v>29.206957306173045</v>
      </c>
      <c r="K28" s="41">
        <f ca="1">C28*$J28/'MADC NONAUTO MODEL'!$G$6</f>
        <v>0</v>
      </c>
    </row>
    <row r="29" spans="1:11" x14ac:dyDescent="0.25">
      <c r="A29" s="1"/>
      <c r="C29" s="363"/>
      <c r="D29" s="363"/>
      <c r="E29" s="269"/>
      <c r="F29" s="270"/>
      <c r="G29" s="241"/>
      <c r="H29" s="145"/>
      <c r="I29" s="145"/>
      <c r="J29" s="270"/>
      <c r="K29" s="41"/>
    </row>
    <row r="30" spans="1:11" x14ac:dyDescent="0.25">
      <c r="A30" s="1" t="s">
        <v>224</v>
      </c>
      <c r="F30" s="41"/>
      <c r="H30" s="41"/>
      <c r="I30" s="41"/>
      <c r="J30" s="41"/>
      <c r="K30" s="41"/>
    </row>
    <row r="31" spans="1:11" x14ac:dyDescent="0.25">
      <c r="A31" s="35"/>
      <c r="B31" t="s">
        <v>225</v>
      </c>
      <c r="C31" s="2">
        <f>SUM('MADC NONAUTO MODEL'!$B$25:$B$29)</f>
        <v>10127.024086408985</v>
      </c>
      <c r="D31" s="2">
        <f>PRODUCTIVITIES!$E$23*'COVERAGE FACTORS'!$C$25+PRODUCTIVITIES!$E$17*(1-'COVERAGE FACTORS'!$C$25)</f>
        <v>1572.5270916832678</v>
      </c>
      <c r="E31" s="37">
        <f>'WAGE RATES'!$D$6</f>
        <v>50.10717457546064</v>
      </c>
      <c r="F31" s="41">
        <f>E31*100/D31</f>
        <v>3.1864108949515657</v>
      </c>
      <c r="G31" s="41">
        <f>PIGGYBACKS!$B8</f>
        <v>1.6305774272183733</v>
      </c>
      <c r="H31" s="41">
        <f>'WAGE RATES'!$D$10</f>
        <v>1.0285306172213804</v>
      </c>
      <c r="I31" s="41">
        <f>(H31-1)*F31</f>
        <v>9.0910269553899262E-2</v>
      </c>
      <c r="J31" s="41">
        <f>F31*G31+I31</f>
        <v>5.2865999487046178</v>
      </c>
      <c r="K31" s="41">
        <f ca="1">C31*$J31/'MADC NONAUTO MODEL'!$G$6</f>
        <v>5.3537525015740242</v>
      </c>
    </row>
    <row r="32" spans="1:11" x14ac:dyDescent="0.25">
      <c r="A32" s="35"/>
      <c r="B32" t="s">
        <v>226</v>
      </c>
      <c r="C32" s="2">
        <f>SUM('MADC NONAUTO MODEL'!$A$25:$A$29)</f>
        <v>2670.3365531078052</v>
      </c>
      <c r="D32" s="2">
        <f>PRODUCTIVITIES!$E$16</f>
        <v>888.0117100682927</v>
      </c>
      <c r="E32" s="37">
        <f>'WAGE RATES'!$D$5</f>
        <v>54.142360316355024</v>
      </c>
      <c r="F32" s="41">
        <f>E32*100/D32</f>
        <v>6.0970322465895403</v>
      </c>
      <c r="G32" s="41">
        <f>PIGGYBACKS!$B$9</f>
        <v>1.2615773174013249</v>
      </c>
      <c r="H32" s="41">
        <f>'WAGE RATES'!$D$10</f>
        <v>1.0285306172213804</v>
      </c>
      <c r="I32" s="41">
        <f>(H32-1)*F32</f>
        <v>0.17395209321385913</v>
      </c>
      <c r="J32" s="41">
        <f>F32*G32+I32</f>
        <v>7.8658296789756648</v>
      </c>
      <c r="K32" s="41">
        <f ca="1">C32*$J32/'MADC NONAUTO MODEL'!$G$6</f>
        <v>2.1004412512288981</v>
      </c>
    </row>
    <row r="33" spans="1:11" x14ac:dyDescent="0.25">
      <c r="A33" s="35"/>
      <c r="B33" t="s">
        <v>227</v>
      </c>
      <c r="C33" s="2">
        <f>SUM('MADC NONAUTO MODEL'!$H$25:$H$29)</f>
        <v>0</v>
      </c>
      <c r="D33" s="2">
        <f>PRODUCTIVITIES!$E$30</f>
        <v>1.0273268954181221</v>
      </c>
      <c r="E33" s="37">
        <f>'WAGE RATES'!$D$6</f>
        <v>50.10717457546064</v>
      </c>
      <c r="F33" s="41">
        <f>E33*100/D33</f>
        <v>4877.4323731753384</v>
      </c>
      <c r="G33" s="41">
        <f>PIGGYBACKS!$B$10</f>
        <v>1.6305774272183733</v>
      </c>
      <c r="H33" s="41">
        <f>'WAGE RATES'!$D$10</f>
        <v>1.0285306172213804</v>
      </c>
      <c r="I33" s="41">
        <f>(H33-1)*F33</f>
        <v>139.15615606223454</v>
      </c>
      <c r="J33" s="41">
        <f>F33*G33+I33</f>
        <v>8092.1872865460828</v>
      </c>
      <c r="K33" s="41">
        <f ca="1">C33*$J33/'MADC NONAUTO MODEL'!$G$6</f>
        <v>0</v>
      </c>
    </row>
    <row r="34" spans="1:11" x14ac:dyDescent="0.25">
      <c r="B34" t="s">
        <v>228</v>
      </c>
      <c r="C34" s="2">
        <f>SUM('MADC NONAUTO MODEL'!$G$25:$G$29)</f>
        <v>0</v>
      </c>
      <c r="D34" s="2">
        <f>PRODUCTIVITIES!$E$36</f>
        <v>1.0273268954181221</v>
      </c>
      <c r="E34" s="37">
        <f>'WAGE RATES'!$D$6</f>
        <v>50.10717457546064</v>
      </c>
      <c r="F34" s="41">
        <f>E34*100/D34</f>
        <v>4877.4323731753384</v>
      </c>
      <c r="G34" s="41">
        <f>PIGGYBACKS!$B$10</f>
        <v>1.6305774272183733</v>
      </c>
      <c r="H34" s="41">
        <f>'WAGE RATES'!$D$10</f>
        <v>1.0285306172213804</v>
      </c>
      <c r="I34" s="41">
        <f>(H34-1)*F34</f>
        <v>139.15615606223454</v>
      </c>
      <c r="J34" s="41">
        <f>F34*G34+I34</f>
        <v>8092.1872865460828</v>
      </c>
      <c r="K34" s="41">
        <f ca="1">C34*$J34/'MADC NONAUTO MODEL'!$G$6</f>
        <v>0</v>
      </c>
    </row>
    <row r="35" spans="1:11" x14ac:dyDescent="0.25">
      <c r="B35" t="s">
        <v>200</v>
      </c>
      <c r="C35" s="2">
        <f>SUM('MADC NONAUTO MODEL'!$M$25:$M$29)</f>
        <v>615.78350386753539</v>
      </c>
      <c r="D35" s="2">
        <f>PRODUCTIVITIES!$E$42</f>
        <v>620.26371981497391</v>
      </c>
      <c r="E35" s="37">
        <f>'WAGE RATES'!$D$6</f>
        <v>50.10717457546064</v>
      </c>
      <c r="F35" s="41">
        <f>E35*100/D35</f>
        <v>8.0783661811475493</v>
      </c>
      <c r="G35" s="41">
        <f>PIGGYBACKS!$B$12</f>
        <v>1.3622907328394676</v>
      </c>
      <c r="H35" s="41">
        <f>'WAGE RATES'!$D$10</f>
        <v>1.0285306172213804</v>
      </c>
      <c r="I35" s="41">
        <f>(H35-1)*F35</f>
        <v>0.23048077328846525</v>
      </c>
      <c r="J35" s="41">
        <f>F35*G35+I35</f>
        <v>11.235564158349531</v>
      </c>
      <c r="K35" s="41">
        <f ca="1">C35*$J35/'MADC NONAUTO MODEL'!$G$6</f>
        <v>0.69186750653569806</v>
      </c>
    </row>
    <row r="36" spans="1:11" x14ac:dyDescent="0.25">
      <c r="F36" s="41"/>
      <c r="H36" s="41"/>
      <c r="I36" s="41"/>
      <c r="J36" s="41"/>
      <c r="K36" s="41"/>
    </row>
    <row r="37" spans="1:11" x14ac:dyDescent="0.25">
      <c r="A37" s="1" t="s">
        <v>229</v>
      </c>
      <c r="F37" s="41"/>
      <c r="H37" s="41"/>
      <c r="I37" s="41"/>
      <c r="J37" s="41"/>
      <c r="K37" s="41"/>
    </row>
    <row r="38" spans="1:11" x14ac:dyDescent="0.25">
      <c r="A38" s="35"/>
      <c r="B38" t="s">
        <v>225</v>
      </c>
      <c r="C38" s="2">
        <f>SUM('MADC NONAUTO MODEL'!$B$38:$B$42)</f>
        <v>1230.6239311818488</v>
      </c>
      <c r="D38" s="2">
        <f>PRODUCTIVITIES!$E$24*'COVERAGE FACTORS'!$C$25+PRODUCTIVITIES!$E$18*(1-'COVERAGE FACTORS'!$C$25)</f>
        <v>2267.7698382210328</v>
      </c>
      <c r="E38" s="37">
        <f>'WAGE RATES'!$D$6</f>
        <v>50.10717457546064</v>
      </c>
      <c r="F38" s="41">
        <f>E38*100/D38</f>
        <v>2.2095352769471326</v>
      </c>
      <c r="G38" s="41">
        <f>PIGGYBACKS!$B$8</f>
        <v>1.6305774272183733</v>
      </c>
      <c r="H38" s="41">
        <f>'WAGE RATES'!$D$10</f>
        <v>1.0285306172213804</v>
      </c>
      <c r="I38" s="41">
        <f>(H38-1)*F38</f>
        <v>6.3039405223715358E-2</v>
      </c>
      <c r="J38" s="41">
        <f>F38*G38+I38</f>
        <v>3.6658577524564069</v>
      </c>
      <c r="K38" s="41">
        <f ca="1">C38*$J38/'MADC NONAUTO MODEL'!$G$6</f>
        <v>0.45112922784813664</v>
      </c>
    </row>
    <row r="39" spans="1:11" x14ac:dyDescent="0.25">
      <c r="A39" s="35"/>
      <c r="B39" t="s">
        <v>226</v>
      </c>
      <c r="C39" s="2">
        <f>SUM('MADC NONAUTO MODEL'!$A$38:$A$42)</f>
        <v>75.436826089284665</v>
      </c>
      <c r="D39" s="2">
        <f>PRODUCTIVITIES!$E$16</f>
        <v>888.0117100682927</v>
      </c>
      <c r="E39" s="37">
        <f>'WAGE RATES'!$D$5</f>
        <v>54.142360316355024</v>
      </c>
      <c r="F39" s="41">
        <f>E39*100/D39</f>
        <v>6.0970322465895403</v>
      </c>
      <c r="G39" s="41">
        <f>PIGGYBACKS!$B$9</f>
        <v>1.2615773174013249</v>
      </c>
      <c r="H39" s="41">
        <f>'WAGE RATES'!$D$10</f>
        <v>1.0285306172213804</v>
      </c>
      <c r="I39" s="41">
        <f>(H39-1)*F39</f>
        <v>0.17395209321385913</v>
      </c>
      <c r="J39" s="41">
        <f>F39*G39+I39</f>
        <v>7.8658296789756648</v>
      </c>
      <c r="K39" s="41">
        <f ca="1">C39*$J39/'MADC NONAUTO MODEL'!$G$6</f>
        <v>5.9337322554082195E-2</v>
      </c>
    </row>
    <row r="40" spans="1:11" x14ac:dyDescent="0.25">
      <c r="B40" t="s">
        <v>227</v>
      </c>
      <c r="C40" s="2">
        <f>SUM('MADC NONAUTO MODEL'!$H$38:$H$42)</f>
        <v>0</v>
      </c>
      <c r="D40" s="2">
        <f>PRODUCTIVITIES!$E$31</f>
        <v>1.0273268954181221</v>
      </c>
      <c r="E40" s="37">
        <f>'WAGE RATES'!$D$6</f>
        <v>50.10717457546064</v>
      </c>
      <c r="F40" s="41">
        <f>E40*100/D40</f>
        <v>4877.4323731753384</v>
      </c>
      <c r="G40" s="41">
        <f>PIGGYBACKS!$B$10</f>
        <v>1.6305774272183733</v>
      </c>
      <c r="H40" s="41">
        <f>'WAGE RATES'!$D$10</f>
        <v>1.0285306172213804</v>
      </c>
      <c r="I40" s="41">
        <f>(H40-1)*F40</f>
        <v>139.15615606223454</v>
      </c>
      <c r="J40" s="41">
        <f>F40*G40+I40</f>
        <v>8092.1872865460828</v>
      </c>
      <c r="K40" s="41">
        <f ca="1">C40*$J40/'MADC NONAUTO MODEL'!$G$6</f>
        <v>0</v>
      </c>
    </row>
    <row r="41" spans="1:11" x14ac:dyDescent="0.25">
      <c r="B41" t="s">
        <v>228</v>
      </c>
      <c r="C41" s="2">
        <f>SUM('MADC NONAUTO MODEL'!$G$38:$G$42)</f>
        <v>0</v>
      </c>
      <c r="D41" s="2">
        <f>PRODUCTIVITIES!$E$37</f>
        <v>1.0273268954181221</v>
      </c>
      <c r="E41" s="37">
        <f>'WAGE RATES'!$D$6</f>
        <v>50.10717457546064</v>
      </c>
      <c r="F41" s="41">
        <f>E41*100/D41</f>
        <v>4877.4323731753384</v>
      </c>
      <c r="G41" s="41">
        <f>PIGGYBACKS!$B$10</f>
        <v>1.6305774272183733</v>
      </c>
      <c r="H41" s="41">
        <f>'WAGE RATES'!$D$10</f>
        <v>1.0285306172213804</v>
      </c>
      <c r="I41" s="41">
        <f>(H41-1)*F41</f>
        <v>139.15615606223454</v>
      </c>
      <c r="J41" s="41">
        <f>F41*G41+I41</f>
        <v>8092.1872865460828</v>
      </c>
      <c r="K41" s="41">
        <f ca="1">C41*$J41/'MADC NONAUTO MODEL'!$G$6</f>
        <v>0</v>
      </c>
    </row>
    <row r="42" spans="1:11" x14ac:dyDescent="0.25">
      <c r="B42" t="s">
        <v>200</v>
      </c>
      <c r="C42" s="2">
        <f>SUM('MADC NONAUTO MODEL'!$M$38:$M$42)</f>
        <v>166.61119780969446</v>
      </c>
      <c r="D42" s="2">
        <f>PRODUCTIVITIES!$E$43</f>
        <v>490.6212884367572</v>
      </c>
      <c r="E42" s="37">
        <f>'WAGE RATES'!$D$6</f>
        <v>50.10717457546064</v>
      </c>
      <c r="F42" s="41">
        <f>E42*100/D42</f>
        <v>10.213004563074444</v>
      </c>
      <c r="G42" s="41">
        <f>PIGGYBACKS!$B$12</f>
        <v>1.3622907328394676</v>
      </c>
      <c r="H42" s="41">
        <f>'WAGE RATES'!$D$10</f>
        <v>1.0285306172213804</v>
      </c>
      <c r="I42" s="41">
        <f>(H42-1)*F42</f>
        <v>0.29138332386928828</v>
      </c>
      <c r="J42" s="41">
        <f>F42*G42+I42</f>
        <v>14.204464794592798</v>
      </c>
      <c r="K42" s="41">
        <f ca="1">C42*$J42/'MADC NONAUTO MODEL'!$G$6</f>
        <v>0.23666228936727451</v>
      </c>
    </row>
    <row r="43" spans="1:11" x14ac:dyDescent="0.25">
      <c r="F43" s="41"/>
      <c r="H43" s="41"/>
      <c r="I43" s="41"/>
      <c r="J43" s="41"/>
      <c r="K43" s="41"/>
    </row>
    <row r="44" spans="1:11" x14ac:dyDescent="0.25">
      <c r="A44" s="1" t="s">
        <v>230</v>
      </c>
      <c r="F44" s="41"/>
      <c r="H44" s="41"/>
      <c r="I44" s="41"/>
      <c r="J44" s="41"/>
      <c r="K44" s="41"/>
    </row>
    <row r="45" spans="1:11" x14ac:dyDescent="0.25">
      <c r="A45" s="35"/>
      <c r="B45" t="s">
        <v>225</v>
      </c>
      <c r="C45" s="2">
        <f>SUM('MADC NONAUTO MODEL'!$B$53:$B$57)</f>
        <v>5791.5012218399343</v>
      </c>
      <c r="D45" s="2">
        <f>PRODUCTIVITIES!$E$25*'COVERAGE FACTORS'!$C$25+PRODUCTIVITIES!$E$19*(1-'COVERAGE FACTORS'!$C$25)</f>
        <v>1572.97537151239</v>
      </c>
      <c r="E45" s="37">
        <f>'WAGE RATES'!$D$6</f>
        <v>50.10717457546064</v>
      </c>
      <c r="F45" s="41">
        <f>E45*100/D45</f>
        <v>3.1855028046169225</v>
      </c>
      <c r="G45" s="41">
        <f>PIGGYBACKS!$B$8</f>
        <v>1.6305774272183733</v>
      </c>
      <c r="H45" s="41">
        <f>'WAGE RATES'!$D$10</f>
        <v>1.0285306172213804</v>
      </c>
      <c r="I45" s="41">
        <f>(H45-1)*F45</f>
        <v>9.0884361176159112E-2</v>
      </c>
      <c r="J45" s="41">
        <f>F45*G45+I45</f>
        <v>5.285093328725333</v>
      </c>
      <c r="K45" s="41">
        <f ca="1">C45*$J45/'MADC NONAUTO MODEL'!$G$6</f>
        <v>3.0608624470850896</v>
      </c>
    </row>
    <row r="46" spans="1:11" x14ac:dyDescent="0.25">
      <c r="A46" s="35"/>
      <c r="B46" t="s">
        <v>226</v>
      </c>
      <c r="C46" s="2">
        <f>SUM('MADC NONAUTO MODEL'!$A$53:$A$57)</f>
        <v>355.01704411699706</v>
      </c>
      <c r="D46" s="2">
        <f>PRODUCTIVITIES!$E$16</f>
        <v>888.0117100682927</v>
      </c>
      <c r="E46" s="37">
        <f>'WAGE RATES'!$D$5</f>
        <v>54.142360316355024</v>
      </c>
      <c r="F46" s="41">
        <f>E46*100/D46</f>
        <v>6.0970322465895403</v>
      </c>
      <c r="G46" s="41">
        <f>PIGGYBACKS!$B$9</f>
        <v>1.2615773174013249</v>
      </c>
      <c r="H46" s="41">
        <f>'WAGE RATES'!$D$10</f>
        <v>1.0285306172213804</v>
      </c>
      <c r="I46" s="41">
        <f>(H46-1)*F46</f>
        <v>0.17395209321385913</v>
      </c>
      <c r="J46" s="41">
        <f>F46*G46+I46</f>
        <v>7.8658296789756648</v>
      </c>
      <c r="K46" s="41">
        <f ca="1">C46*$J46/'MADC NONAUTO MODEL'!$G$6</f>
        <v>0.27925036021576927</v>
      </c>
    </row>
    <row r="47" spans="1:11" x14ac:dyDescent="0.25">
      <c r="B47" t="s">
        <v>227</v>
      </c>
      <c r="C47" s="2">
        <f>SUM('MADC NONAUTO MODEL'!$H$53:$H$57)</f>
        <v>0</v>
      </c>
      <c r="D47" s="2">
        <f>PRODUCTIVITIES!$E$32</f>
        <v>1.0273268954181221</v>
      </c>
      <c r="E47" s="37">
        <f>'WAGE RATES'!$D$6</f>
        <v>50.10717457546064</v>
      </c>
      <c r="F47" s="41">
        <f>E47*100/D47</f>
        <v>4877.4323731753384</v>
      </c>
      <c r="G47" s="41">
        <f>PIGGYBACKS!$B$10</f>
        <v>1.6305774272183733</v>
      </c>
      <c r="H47" s="41">
        <f>'WAGE RATES'!$D$10</f>
        <v>1.0285306172213804</v>
      </c>
      <c r="I47" s="41">
        <f>(H47-1)*F47</f>
        <v>139.15615606223454</v>
      </c>
      <c r="J47" s="41">
        <f>F47*G47+I47</f>
        <v>8092.1872865460828</v>
      </c>
      <c r="K47" s="41">
        <f ca="1">C47*$J47/'MADC NONAUTO MODEL'!$G$6</f>
        <v>0</v>
      </c>
    </row>
    <row r="48" spans="1:11" x14ac:dyDescent="0.25">
      <c r="B48" t="s">
        <v>228</v>
      </c>
      <c r="C48" s="2">
        <f>SUM('MADC NONAUTO MODEL'!$G$53:$G$57)</f>
        <v>0</v>
      </c>
      <c r="D48" s="2">
        <f>PRODUCTIVITIES!$E$38</f>
        <v>1.0273268954181221</v>
      </c>
      <c r="E48" s="37">
        <f>'WAGE RATES'!$D$6</f>
        <v>50.10717457546064</v>
      </c>
      <c r="F48" s="41">
        <f>E48*100/D48</f>
        <v>4877.4323731753384</v>
      </c>
      <c r="G48" s="41">
        <f>PIGGYBACKS!$B$10</f>
        <v>1.6305774272183733</v>
      </c>
      <c r="H48" s="41">
        <f>'WAGE RATES'!$D$10</f>
        <v>1.0285306172213804</v>
      </c>
      <c r="I48" s="41">
        <f>(H48-1)*F48</f>
        <v>139.15615606223454</v>
      </c>
      <c r="J48" s="41">
        <f>F48*G48+I48</f>
        <v>8092.1872865460828</v>
      </c>
      <c r="K48" s="41">
        <f ca="1">C48*$J48/'MADC NONAUTO MODEL'!$G$6</f>
        <v>0</v>
      </c>
    </row>
    <row r="49" spans="1:11" x14ac:dyDescent="0.25">
      <c r="B49" t="s">
        <v>200</v>
      </c>
      <c r="C49" s="2">
        <f>SUM('MADC NONAUTO MODEL'!$M$53:$M$57)</f>
        <v>925.96093933705367</v>
      </c>
      <c r="D49" s="2">
        <f>PRODUCTIVITIES!$E$44</f>
        <v>692.96374405746178</v>
      </c>
      <c r="E49" s="37">
        <f>'WAGE RATES'!$D$6</f>
        <v>50.10717457546064</v>
      </c>
      <c r="F49" s="41">
        <f>E49*100/D49</f>
        <v>7.2308508208628108</v>
      </c>
      <c r="G49" s="41">
        <f>PIGGYBACKS!$B$12</f>
        <v>1.3622907328394676</v>
      </c>
      <c r="H49" s="41">
        <f>'WAGE RATES'!$D$10</f>
        <v>1.0285306172213804</v>
      </c>
      <c r="I49" s="41">
        <f>(H49-1)*F49</f>
        <v>0.20630063695494108</v>
      </c>
      <c r="J49" s="41">
        <f>F49*G49+I49</f>
        <v>10.056821700761006</v>
      </c>
      <c r="K49" s="41">
        <f ca="1">C49*$J49/'MADC NONAUTO MODEL'!$G$6</f>
        <v>0.93122240687819402</v>
      </c>
    </row>
    <row r="50" spans="1:11" x14ac:dyDescent="0.25">
      <c r="F50" s="41"/>
      <c r="H50" s="41"/>
      <c r="I50" s="41"/>
      <c r="J50" s="41"/>
      <c r="K50" s="41"/>
    </row>
    <row r="51" spans="1:11" x14ac:dyDescent="0.25">
      <c r="A51" s="1" t="s">
        <v>231</v>
      </c>
      <c r="F51" s="41"/>
      <c r="H51" s="41"/>
      <c r="I51" s="41"/>
      <c r="J51" s="41"/>
      <c r="K51" s="41"/>
    </row>
    <row r="52" spans="1:11" x14ac:dyDescent="0.25">
      <c r="A52" s="35"/>
      <c r="B52" t="s">
        <v>225</v>
      </c>
      <c r="C52" s="2">
        <f>SUM('MADC NONAUTO MODEL'!$B$64:$B$68)</f>
        <v>3968.4947668615082</v>
      </c>
      <c r="D52" s="2">
        <f>PRODUCTIVITIES!$E$26*'COVERAGE FACTORS'!$C$25+PRODUCTIVITIES!$E$20*(1-'COVERAGE FACTORS'!$C$25)</f>
        <v>2073.5491608992547</v>
      </c>
      <c r="E52" s="37">
        <f>'WAGE RATES'!$D$6</f>
        <v>50.10717457546064</v>
      </c>
      <c r="F52" s="41">
        <f>E52*100/D52</f>
        <v>2.4164932049997896</v>
      </c>
      <c r="G52" s="41">
        <f>PIGGYBACKS!$B$8</f>
        <v>1.6305774272183733</v>
      </c>
      <c r="H52" s="41">
        <f>'WAGE RATES'!$D$10</f>
        <v>1.0285306172213804</v>
      </c>
      <c r="I52" s="41">
        <f>(H52-1)*F52</f>
        <v>6.8944042649915702E-2</v>
      </c>
      <c r="J52" s="41">
        <f>F52*G52+I52</f>
        <v>4.0092233157491535</v>
      </c>
      <c r="K52" s="41">
        <f ca="1">C52*$J52/'MADC NONAUTO MODEL'!$G$6</f>
        <v>1.5910581747729684</v>
      </c>
    </row>
    <row r="53" spans="1:11" x14ac:dyDescent="0.25">
      <c r="A53" s="35"/>
      <c r="B53" t="s">
        <v>226</v>
      </c>
      <c r="C53" s="2">
        <f>SUM('MADC NONAUTO MODEL'!$A$64:$A$68)</f>
        <v>243.26737192284455</v>
      </c>
      <c r="D53" s="2">
        <f>PRODUCTIVITIES!$E$16</f>
        <v>888.0117100682927</v>
      </c>
      <c r="E53" s="37">
        <f>'WAGE RATES'!$D$5</f>
        <v>54.142360316355024</v>
      </c>
      <c r="F53" s="41">
        <f>E53*100/D53</f>
        <v>6.0970322465895403</v>
      </c>
      <c r="G53" s="41">
        <f>PIGGYBACKS!$B$9</f>
        <v>1.2615773174013249</v>
      </c>
      <c r="H53" s="41">
        <f>'WAGE RATES'!$D$10</f>
        <v>1.0285306172213804</v>
      </c>
      <c r="I53" s="41">
        <f>(H53-1)*F53</f>
        <v>0.17395209321385913</v>
      </c>
      <c r="J53" s="41">
        <f>F53*G53+I53</f>
        <v>7.8658296789756648</v>
      </c>
      <c r="K53" s="41">
        <f ca="1">C53*$J53/'MADC NONAUTO MODEL'!$G$6</f>
        <v>0.19134997139971247</v>
      </c>
    </row>
    <row r="54" spans="1:11" x14ac:dyDescent="0.25">
      <c r="B54" t="s">
        <v>227</v>
      </c>
      <c r="C54" s="2">
        <f>SUM('MADC NONAUTO MODEL'!$H$64:$H$68)</f>
        <v>0</v>
      </c>
      <c r="D54" s="2">
        <f>PRODUCTIVITIES!$E$33</f>
        <v>1.0273268954181221</v>
      </c>
      <c r="E54" s="37">
        <f>'WAGE RATES'!$D$6</f>
        <v>50.10717457546064</v>
      </c>
      <c r="F54" s="41">
        <f>E54*100/D54</f>
        <v>4877.4323731753384</v>
      </c>
      <c r="G54" s="41">
        <f>PIGGYBACKS!$B$10</f>
        <v>1.6305774272183733</v>
      </c>
      <c r="H54" s="41">
        <f>'WAGE RATES'!$D$10</f>
        <v>1.0285306172213804</v>
      </c>
      <c r="I54" s="41">
        <f>(H54-1)*F54</f>
        <v>139.15615606223454</v>
      </c>
      <c r="J54" s="41">
        <f>F54*G54+I54</f>
        <v>8092.1872865460828</v>
      </c>
      <c r="K54" s="41">
        <f ca="1">C54*$J54/'MADC NONAUTO MODEL'!$G$6</f>
        <v>0</v>
      </c>
    </row>
    <row r="55" spans="1:11" x14ac:dyDescent="0.25">
      <c r="B55" t="s">
        <v>228</v>
      </c>
      <c r="C55" s="2">
        <f>SUM('MADC NONAUTO MODEL'!$G$64:$G$68)</f>
        <v>0</v>
      </c>
      <c r="D55" s="2">
        <f>PRODUCTIVITIES!$E$39</f>
        <v>1.0273268954181221</v>
      </c>
      <c r="E55" s="37">
        <f>'WAGE RATES'!$D$6</f>
        <v>50.10717457546064</v>
      </c>
      <c r="F55" s="41">
        <f>E55*100/D55</f>
        <v>4877.4323731753384</v>
      </c>
      <c r="G55" s="41">
        <f>PIGGYBACKS!$B$10</f>
        <v>1.6305774272183733</v>
      </c>
      <c r="H55" s="41">
        <f>'WAGE RATES'!$D$10</f>
        <v>1.0285306172213804</v>
      </c>
      <c r="I55" s="41">
        <f>(H55-1)*F55</f>
        <v>139.15615606223454</v>
      </c>
      <c r="J55" s="41">
        <f>F55*G55+I55</f>
        <v>8092.1872865460828</v>
      </c>
      <c r="K55" s="41">
        <f ca="1">C55*$J55/'MADC NONAUTO MODEL'!$G$6</f>
        <v>0</v>
      </c>
    </row>
    <row r="56" spans="1:11" x14ac:dyDescent="0.25">
      <c r="B56" t="s">
        <v>200</v>
      </c>
      <c r="C56" s="2">
        <f>SUM('MADC NONAUTO MODEL'!$M$64:$M$68)</f>
        <v>611.33017975112364</v>
      </c>
      <c r="D56" s="2">
        <f>PRODUCTIVITIES!$E$45</f>
        <v>600.65917211803048</v>
      </c>
      <c r="E56" s="37">
        <f>'WAGE RATES'!$D$6</f>
        <v>50.10717457546064</v>
      </c>
      <c r="F56" s="41">
        <f>E56*100/D56</f>
        <v>8.3420310387959073</v>
      </c>
      <c r="G56" s="41">
        <f>PIGGYBACKS!$B$12</f>
        <v>1.3622907328394676</v>
      </c>
      <c r="H56" s="41">
        <f>'WAGE RATES'!$D$10</f>
        <v>1.0285306172213804</v>
      </c>
      <c r="I56" s="41">
        <f>(H56-1)*F56</f>
        <v>0.2380032944167603</v>
      </c>
      <c r="J56" s="41">
        <f>F56*G56+I56</f>
        <v>11.602274871627621</v>
      </c>
      <c r="K56" s="41">
        <f ca="1">C56*$J56/'MADC NONAUTO MODEL'!$G$6</f>
        <v>0.70928207827940692</v>
      </c>
    </row>
    <row r="57" spans="1:11" x14ac:dyDescent="0.25">
      <c r="F57" s="41"/>
      <c r="H57" s="41"/>
      <c r="I57" s="41"/>
      <c r="J57" s="41"/>
      <c r="K57" s="41"/>
    </row>
    <row r="58" spans="1:11" x14ac:dyDescent="0.25">
      <c r="A58" s="1" t="s">
        <v>232</v>
      </c>
      <c r="F58" s="41"/>
      <c r="H58" s="41"/>
      <c r="I58" s="41"/>
      <c r="J58" s="41"/>
      <c r="K58" s="41"/>
    </row>
    <row r="59" spans="1:11" x14ac:dyDescent="0.25">
      <c r="A59" s="35"/>
      <c r="B59" t="s">
        <v>225</v>
      </c>
      <c r="C59" s="2">
        <f ca="1">SUM('MADC NONAUTO MODEL'!$B$74:$B$78)+SUM('MADC NONAUTO MODEL'!$B$108:$B$112)</f>
        <v>1126.5216939614943</v>
      </c>
      <c r="D59" s="2">
        <f>PRODUCTIVITIES!$E$27*'COVERAGE FACTORS'!$C$25+PRODUCTIVITIES!$E$21*(1-'COVERAGE FACTORS'!$C$25)</f>
        <v>1117.4154005483335</v>
      </c>
      <c r="E59" s="37">
        <f>'WAGE RATES'!$D$6</f>
        <v>50.10717457546064</v>
      </c>
      <c r="F59" s="41">
        <f>E59*100/D59</f>
        <v>4.4842029697167458</v>
      </c>
      <c r="G59" s="41">
        <f>PIGGYBACKS!$B$8</f>
        <v>1.6305774272183733</v>
      </c>
      <c r="H59" s="41">
        <f>'WAGE RATES'!$D$10</f>
        <v>1.0285306172213804</v>
      </c>
      <c r="I59" s="41">
        <f>(H59-1)*F59</f>
        <v>0.1279370784719657</v>
      </c>
      <c r="J59" s="41">
        <f>F59*G59+I59</f>
        <v>7.4397772199576861</v>
      </c>
      <c r="K59" s="41">
        <f ca="1">C59*$J59/'MADC NONAUTO MODEL'!$G$6</f>
        <v>0.83810704365228805</v>
      </c>
    </row>
    <row r="60" spans="1:11" x14ac:dyDescent="0.25">
      <c r="A60" s="35"/>
      <c r="B60" t="s">
        <v>226</v>
      </c>
      <c r="C60" s="2">
        <f ca="1">SUM('MADC NONAUTO MODEL'!$A$74:$A$78)+SUM('MADC NONAUTO MODEL'!$A$108:$A$112)</f>
        <v>69.055394552230567</v>
      </c>
      <c r="D60" s="2">
        <f>PRODUCTIVITIES!$E$16</f>
        <v>888.0117100682927</v>
      </c>
      <c r="E60" s="37">
        <f>'WAGE RATES'!$D$5</f>
        <v>54.142360316355024</v>
      </c>
      <c r="F60" s="41">
        <f>E60*100/D60</f>
        <v>6.0970322465895403</v>
      </c>
      <c r="G60" s="41">
        <f>PIGGYBACKS!$B$9</f>
        <v>1.2615773174013249</v>
      </c>
      <c r="H60" s="41">
        <f>'WAGE RATES'!$D$10</f>
        <v>1.0285306172213804</v>
      </c>
      <c r="I60" s="41">
        <f>(H60-1)*F60</f>
        <v>0.17395209321385913</v>
      </c>
      <c r="J60" s="41">
        <f>F60*G60+I60</f>
        <v>7.8658296789756648</v>
      </c>
      <c r="K60" s="41">
        <f ca="1">C60*$J60/'MADC NONAUTO MODEL'!$G$6</f>
        <v>5.4317797196231039E-2</v>
      </c>
    </row>
    <row r="61" spans="1:11" x14ac:dyDescent="0.25">
      <c r="B61" t="s">
        <v>227</v>
      </c>
      <c r="C61" s="2">
        <f>SUM('MADC NONAUTO MODEL'!$H$74:$H$78)</f>
        <v>0</v>
      </c>
      <c r="D61" s="2">
        <f>PRODUCTIVITIES!$E$34</f>
        <v>1.0273268954181221</v>
      </c>
      <c r="E61" s="37">
        <f>'WAGE RATES'!$D$6</f>
        <v>50.10717457546064</v>
      </c>
      <c r="F61" s="41">
        <f>E61*100/D61</f>
        <v>4877.4323731753384</v>
      </c>
      <c r="G61" s="41">
        <f>PIGGYBACKS!$B$10</f>
        <v>1.6305774272183733</v>
      </c>
      <c r="H61" s="41">
        <f>'WAGE RATES'!$D$10</f>
        <v>1.0285306172213804</v>
      </c>
      <c r="I61" s="41">
        <f>(H61-1)*F61</f>
        <v>139.15615606223454</v>
      </c>
      <c r="J61" s="41">
        <f>F61*G61+I61</f>
        <v>8092.1872865460828</v>
      </c>
      <c r="K61" s="41">
        <f ca="1">C61*$J61/'MADC NONAUTO MODEL'!$G$6</f>
        <v>0</v>
      </c>
    </row>
    <row r="62" spans="1:11" x14ac:dyDescent="0.25">
      <c r="B62" t="s">
        <v>228</v>
      </c>
      <c r="C62" s="2">
        <f>SUM('MADC NONAUTO MODEL'!$G$74:$G$78)</f>
        <v>0</v>
      </c>
      <c r="D62" s="2">
        <f>PRODUCTIVITIES!$E$40</f>
        <v>1.0273268954181221</v>
      </c>
      <c r="E62" s="37">
        <f>'WAGE RATES'!$D$6</f>
        <v>50.10717457546064</v>
      </c>
      <c r="F62" s="41">
        <f>E62*100/D62</f>
        <v>4877.4323731753384</v>
      </c>
      <c r="G62" s="41">
        <f>PIGGYBACKS!$B$10</f>
        <v>1.6305774272183733</v>
      </c>
      <c r="H62" s="41">
        <f>'WAGE RATES'!$D$10</f>
        <v>1.0285306172213804</v>
      </c>
      <c r="I62" s="41">
        <f>(H62-1)*F62</f>
        <v>139.15615606223454</v>
      </c>
      <c r="J62" s="41">
        <f>F62*G62+I62</f>
        <v>8092.1872865460828</v>
      </c>
      <c r="K62" s="41">
        <f ca="1">C62*$J62/'MADC NONAUTO MODEL'!$G$6</f>
        <v>0</v>
      </c>
    </row>
    <row r="63" spans="1:11" x14ac:dyDescent="0.25">
      <c r="B63" t="s">
        <v>200</v>
      </c>
      <c r="C63" s="2">
        <f ca="1">SUM('MADC NONAUTO MODEL'!$M$74:$M$78)</f>
        <v>165.16023277958212</v>
      </c>
      <c r="D63" s="2">
        <f>PRODUCTIVITIES!$E$46</f>
        <v>753.4091755495233</v>
      </c>
      <c r="E63" s="37">
        <f>'WAGE RATES'!$D$6</f>
        <v>50.10717457546064</v>
      </c>
      <c r="F63" s="41">
        <f>E63*100/D63</f>
        <v>6.6507252900010618</v>
      </c>
      <c r="G63" s="41">
        <f>PIGGYBACKS!$B$12</f>
        <v>1.3622907328394676</v>
      </c>
      <c r="H63" s="41">
        <f>'WAGE RATES'!$D$10</f>
        <v>1.0285306172213804</v>
      </c>
      <c r="I63" s="41">
        <f>(H63-1)*F63</f>
        <v>0.18974929749357441</v>
      </c>
      <c r="J63" s="41">
        <f>F63*G63+I63</f>
        <v>9.2499707267231006</v>
      </c>
      <c r="K63" s="41">
        <f ca="1">C63*$J63/'MADC NONAUTO MODEL'!$G$6</f>
        <v>0.15277273184299098</v>
      </c>
    </row>
    <row r="64" spans="1:11" x14ac:dyDescent="0.25">
      <c r="A64" s="35"/>
      <c r="F64" s="41"/>
      <c r="H64" s="41"/>
      <c r="I64" s="41"/>
      <c r="J64" s="41"/>
      <c r="K64" s="41"/>
    </row>
    <row r="65" spans="1:11" x14ac:dyDescent="0.25">
      <c r="A65" s="1" t="s">
        <v>233</v>
      </c>
      <c r="F65" s="41"/>
      <c r="H65" s="41"/>
      <c r="I65" s="41"/>
      <c r="J65" s="41"/>
      <c r="K65" s="41"/>
    </row>
    <row r="66" spans="1:11" x14ac:dyDescent="0.25">
      <c r="A66" s="35"/>
      <c r="B66" t="s">
        <v>225</v>
      </c>
      <c r="C66" s="2">
        <f ca="1">SUM('MADC NONAUTO MODEL'!$B$83:$B$87)+SUM('MADC NONAUTO MODEL'!$B$122:$B$126)</f>
        <v>8582.797249283085</v>
      </c>
      <c r="D66" s="2">
        <f>PRODUCTIVITIES!$E$28*'COVERAGE FACTORS'!$C$25+PRODUCTIVITIES!$E$22*(1-'COVERAGE FACTORS'!$C$25)</f>
        <v>1858.2572281195687</v>
      </c>
      <c r="E66" s="37">
        <f>'WAGE RATES'!$D$6</f>
        <v>50.10717457546064</v>
      </c>
      <c r="F66" s="41">
        <f>E66*100/D66</f>
        <v>2.6964606308118992</v>
      </c>
      <c r="G66" s="41">
        <f>PIGGYBACKS!$B$8</f>
        <v>1.6305774272183733</v>
      </c>
      <c r="H66" s="41">
        <f>'WAGE RATES'!$D$10</f>
        <v>1.0285306172213804</v>
      </c>
      <c r="I66" s="41">
        <f>(H66-1)*F66</f>
        <v>7.693168611021621E-2</v>
      </c>
      <c r="J66" s="41">
        <f>F66*G66+I66</f>
        <v>4.473719524095114</v>
      </c>
      <c r="K66" s="41">
        <f ca="1">C66*$J66/'MADC NONAUTO MODEL'!$G$6</f>
        <v>3.8397027625467635</v>
      </c>
    </row>
    <row r="67" spans="1:11" x14ac:dyDescent="0.25">
      <c r="A67" s="35"/>
      <c r="B67" t="s">
        <v>226</v>
      </c>
      <c r="C67" s="2">
        <f ca="1">SUM('MADC NONAUTO MODEL'!$A$83:$A$87)+SUM('MADC NONAUTO MODEL'!$A$122:$A$126)</f>
        <v>526.12253593342814</v>
      </c>
      <c r="D67" s="2">
        <f>PRODUCTIVITIES!$E$16</f>
        <v>888.0117100682927</v>
      </c>
      <c r="E67" s="37">
        <f>'WAGE RATES'!$D$5</f>
        <v>54.142360316355024</v>
      </c>
      <c r="F67" s="41">
        <f>E67*100/D67</f>
        <v>6.0970322465895403</v>
      </c>
      <c r="G67" s="41">
        <f>PIGGYBACKS!$B$9</f>
        <v>1.2615773174013249</v>
      </c>
      <c r="H67" s="41">
        <f>'WAGE RATES'!$D$10</f>
        <v>1.0285306172213804</v>
      </c>
      <c r="I67" s="41">
        <f>(H67-1)*F67</f>
        <v>0.17395209321385913</v>
      </c>
      <c r="J67" s="41">
        <f>F67*G67+I67</f>
        <v>7.8658296789756648</v>
      </c>
      <c r="K67" s="41">
        <f ca="1">C67*$J67/'MADC NONAUTO MODEL'!$G$6</f>
        <v>0.41383902579231058</v>
      </c>
    </row>
    <row r="68" spans="1:11" x14ac:dyDescent="0.25">
      <c r="B68" t="s">
        <v>227</v>
      </c>
      <c r="C68" s="2">
        <f>SUM('MADC NONAUTO MODEL'!$H$83:$H$87)</f>
        <v>0</v>
      </c>
      <c r="D68" s="2">
        <f>PRODUCTIVITIES!$E$35</f>
        <v>1.0273268954181221</v>
      </c>
      <c r="E68" s="37">
        <f>'WAGE RATES'!$D$6</f>
        <v>50.10717457546064</v>
      </c>
      <c r="F68" s="41">
        <f>E68*100/D68</f>
        <v>4877.4323731753384</v>
      </c>
      <c r="G68" s="41">
        <f>PIGGYBACKS!$B$10</f>
        <v>1.6305774272183733</v>
      </c>
      <c r="H68" s="41">
        <f>'WAGE RATES'!$D$10</f>
        <v>1.0285306172213804</v>
      </c>
      <c r="I68" s="41">
        <f>(H68-1)*F68</f>
        <v>139.15615606223454</v>
      </c>
      <c r="J68" s="41">
        <f>F68*G68+I68</f>
        <v>8092.1872865460828</v>
      </c>
      <c r="K68" s="41">
        <f ca="1">C68*$J68/'MADC NONAUTO MODEL'!$G$6</f>
        <v>0</v>
      </c>
    </row>
    <row r="69" spans="1:11" x14ac:dyDescent="0.25">
      <c r="B69" t="s">
        <v>228</v>
      </c>
      <c r="C69" s="2">
        <f>SUM('MADC NONAUTO MODEL'!$G$83:$G$87)</f>
        <v>0</v>
      </c>
      <c r="D69" s="2">
        <f>PRODUCTIVITIES!$E$41</f>
        <v>1.0273268954181221</v>
      </c>
      <c r="E69" s="37">
        <f>'WAGE RATES'!$D$6</f>
        <v>50.10717457546064</v>
      </c>
      <c r="F69" s="41">
        <f>E69*100/D69</f>
        <v>4877.4323731753384</v>
      </c>
      <c r="G69" s="41">
        <f>PIGGYBACKS!$B$10</f>
        <v>1.6305774272183733</v>
      </c>
      <c r="H69" s="41">
        <f>'WAGE RATES'!$D$10</f>
        <v>1.0285306172213804</v>
      </c>
      <c r="I69" s="41">
        <f>(H69-1)*F69</f>
        <v>139.15615606223454</v>
      </c>
      <c r="J69" s="41">
        <f>F69*G69+I69</f>
        <v>8092.1872865460828</v>
      </c>
      <c r="K69" s="41">
        <f ca="1">C69*$J69/'MADC NONAUTO MODEL'!$G$6</f>
        <v>0</v>
      </c>
    </row>
    <row r="70" spans="1:11" x14ac:dyDescent="0.25">
      <c r="B70" t="s">
        <v>200</v>
      </c>
      <c r="C70" s="2">
        <f ca="1">SUM('MADC NONAUTO MODEL'!$M$83:$M$87)</f>
        <v>1920.9327281829253</v>
      </c>
      <c r="D70" s="2">
        <f>PRODUCTIVITIES!$E$47</f>
        <v>675.89315757280178</v>
      </c>
      <c r="E70" s="37">
        <f>'WAGE RATES'!$D$6</f>
        <v>50.10717457546064</v>
      </c>
      <c r="F70" s="41">
        <f>E70*100/D70</f>
        <v>7.4134756379840256</v>
      </c>
      <c r="G70" s="41">
        <f>PIGGYBACKS!$B$12</f>
        <v>1.3622907328394676</v>
      </c>
      <c r="H70" s="41">
        <f>'WAGE RATES'!$D$10</f>
        <v>1.0285306172213804</v>
      </c>
      <c r="I70" s="41">
        <f>(H70-1)*F70</f>
        <v>0.21151103570735105</v>
      </c>
      <c r="J70" s="41">
        <f>F70*G70+I70</f>
        <v>10.310820195464149</v>
      </c>
      <c r="K70" s="41">
        <f ca="1">C70*$J70/'MADC NONAUTO MODEL'!$G$6</f>
        <v>1.9806391967876582</v>
      </c>
    </row>
    <row r="71" spans="1:11" x14ac:dyDescent="0.25">
      <c r="F71" s="41"/>
      <c r="H71" s="41"/>
      <c r="I71" s="41"/>
      <c r="J71" s="41"/>
      <c r="K71" s="41"/>
    </row>
    <row r="72" spans="1:11" x14ac:dyDescent="0.25">
      <c r="A72" s="1" t="s">
        <v>234</v>
      </c>
      <c r="F72" s="41"/>
      <c r="H72" s="41"/>
      <c r="I72" s="41"/>
      <c r="J72" s="41"/>
      <c r="K72" s="41"/>
    </row>
    <row r="73" spans="1:11" x14ac:dyDescent="0.25">
      <c r="B73" t="s">
        <v>99</v>
      </c>
      <c r="C73" s="2">
        <v>0</v>
      </c>
      <c r="D73" s="2">
        <v>0</v>
      </c>
      <c r="E73" s="37">
        <v>0</v>
      </c>
      <c r="F73" s="41">
        <v>0</v>
      </c>
      <c r="G73" s="41">
        <v>0</v>
      </c>
      <c r="H73" s="41">
        <v>0</v>
      </c>
      <c r="I73" s="41">
        <v>0</v>
      </c>
      <c r="J73" s="41">
        <v>0</v>
      </c>
      <c r="K73" s="41">
        <f ca="1">C73*$J73/'MADC NONAUTO MODEL'!$G$6</f>
        <v>0</v>
      </c>
    </row>
    <row r="74" spans="1:11" x14ac:dyDescent="0.25">
      <c r="B74" t="s">
        <v>226</v>
      </c>
      <c r="C74" s="2">
        <f ca="1">SUM('MADC NONAUTO MODEL'!$A$95:$A$99)</f>
        <v>0</v>
      </c>
      <c r="D74" s="2">
        <f>PRODUCTIVITIES!E16</f>
        <v>888.0117100682927</v>
      </c>
      <c r="E74" s="37">
        <f>'WAGE RATES'!D5</f>
        <v>54.142360316355024</v>
      </c>
      <c r="F74" s="41">
        <f>E74*100/D74</f>
        <v>6.0970322465895403</v>
      </c>
      <c r="G74" s="41">
        <f>PIGGYBACKS!B9</f>
        <v>1.2615773174013249</v>
      </c>
      <c r="H74" s="41">
        <f>'WAGE RATES'!$D$10</f>
        <v>1.0285306172213804</v>
      </c>
      <c r="I74" s="41">
        <f>(H74-1)*F74</f>
        <v>0.17395209321385913</v>
      </c>
      <c r="J74" s="41">
        <f>F74*G74+I74</f>
        <v>7.8658296789756648</v>
      </c>
      <c r="K74" s="41">
        <f ca="1">C74*$J74/'MADC NONAUTO MODEL'!$G$6</f>
        <v>0</v>
      </c>
    </row>
    <row r="75" spans="1:11" x14ac:dyDescent="0.25">
      <c r="F75" s="41"/>
      <c r="H75" s="41"/>
      <c r="I75" s="41"/>
      <c r="J75" s="41"/>
    </row>
    <row r="76" spans="1:11" ht="13.8" thickBot="1" x14ac:dyDescent="0.3">
      <c r="F76" s="41"/>
      <c r="H76" s="41"/>
      <c r="I76" s="41"/>
      <c r="J76" s="41"/>
      <c r="K76" s="40" t="str">
        <f>"(10)"</f>
        <v>(10)</v>
      </c>
    </row>
    <row r="77" spans="1:11" ht="13.8" thickBot="1" x14ac:dyDescent="0.3">
      <c r="F77" s="41"/>
      <c r="H77" s="41"/>
      <c r="I77" s="41"/>
      <c r="J77" s="136" t="s">
        <v>205</v>
      </c>
      <c r="K77" s="137">
        <f ca="1">SUM(K11:K74)</f>
        <v>23.111558595843327</v>
      </c>
    </row>
    <row r="81" spans="1:8" x14ac:dyDescent="0.25">
      <c r="A81" s="139" t="str">
        <f>"(1)"</f>
        <v>(1)</v>
      </c>
      <c r="B81" s="1" t="s">
        <v>316</v>
      </c>
      <c r="F81" s="139" t="str">
        <f>"(6)"</f>
        <v>(6)</v>
      </c>
      <c r="G81" s="1" t="s">
        <v>236</v>
      </c>
      <c r="H81" s="33"/>
    </row>
    <row r="82" spans="1:8" x14ac:dyDescent="0.25">
      <c r="A82" s="139" t="str">
        <f>"(2)"</f>
        <v>(2)</v>
      </c>
      <c r="B82" s="1" t="s">
        <v>237</v>
      </c>
      <c r="F82" s="138" t="str">
        <f>"(7)"</f>
        <v>(7)</v>
      </c>
      <c r="G82" s="140" t="s">
        <v>209</v>
      </c>
      <c r="H82" s="33"/>
    </row>
    <row r="83" spans="1:8" x14ac:dyDescent="0.25">
      <c r="A83" s="139" t="str">
        <f>"(3)"</f>
        <v>(3)</v>
      </c>
      <c r="B83" s="1" t="s">
        <v>236</v>
      </c>
      <c r="F83" s="138" t="str">
        <f>"(8)"</f>
        <v>(8)</v>
      </c>
      <c r="G83" s="140" t="s">
        <v>211</v>
      </c>
      <c r="H83" s="33"/>
    </row>
    <row r="84" spans="1:8" x14ac:dyDescent="0.25">
      <c r="A84" s="139" t="str">
        <f>"(4)"</f>
        <v>(4)</v>
      </c>
      <c r="B84" s="1" t="s">
        <v>213</v>
      </c>
      <c r="F84" s="138" t="str">
        <f>"(9)"</f>
        <v>(9)</v>
      </c>
      <c r="G84" s="140" t="s">
        <v>212</v>
      </c>
      <c r="H84" s="33"/>
    </row>
    <row r="85" spans="1:8" x14ac:dyDescent="0.25">
      <c r="A85" s="139" t="str">
        <f>"(5)"</f>
        <v>(5)</v>
      </c>
      <c r="B85" s="1" t="s">
        <v>238</v>
      </c>
      <c r="F85" s="138" t="str">
        <f>"(10)"</f>
        <v>(10)</v>
      </c>
      <c r="G85" s="140" t="s">
        <v>214</v>
      </c>
      <c r="H85" s="33"/>
    </row>
    <row r="86" spans="1:8" x14ac:dyDescent="0.25">
      <c r="G86" s="140"/>
      <c r="H86" s="33"/>
    </row>
  </sheetData>
  <phoneticPr fontId="29" type="noConversion"/>
  <printOptions horizontalCentered="1"/>
  <pageMargins left="0.75" right="0.75" top="1" bottom="1" header="0.5" footer="0.5"/>
  <pageSetup scale="60" orientation="portrait" r:id="rId1"/>
  <headerFooter alignWithMargins="0">
    <oddFooter>&amp;CTab '&amp;A'&amp;RPage 11</oddFooter>
  </headerFooter>
  <ignoredErrors>
    <ignoredError sqref="E32 E39 E46 E53 E60 E67" formula="1"/>
  </ignoredErrors>
</worksheet>
</file>

<file path=xl/worksheets/sheet1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AD128"/>
  <sheetViews>
    <sheetView zoomScale="75" zoomScaleNormal="75" workbookViewId="0"/>
  </sheetViews>
  <sheetFormatPr defaultRowHeight="13.2" x14ac:dyDescent="0.25"/>
  <cols>
    <col min="1" max="3" width="10.77734375" style="19" customWidth="1"/>
    <col min="4" max="4" width="10.77734375" style="58" customWidth="1"/>
    <col min="5" max="6" width="10.77734375" style="19" customWidth="1"/>
    <col min="7" max="7" width="15.77734375" style="19" customWidth="1"/>
    <col min="8" max="8" width="10.77734375" style="19" customWidth="1"/>
    <col min="9" max="9" width="10.77734375" style="58" customWidth="1"/>
    <col min="10" max="12" width="10.77734375" style="19" customWidth="1"/>
    <col min="13" max="13" width="10.77734375" customWidth="1"/>
    <col min="14" max="14" width="10.77734375" style="19" customWidth="1"/>
    <col min="15" max="16" width="10.77734375" style="58" customWidth="1"/>
    <col min="17" max="18" width="10.77734375" style="19" customWidth="1"/>
    <col min="19" max="19" width="10.77734375" customWidth="1"/>
    <col min="20" max="20" width="10.77734375" style="19" customWidth="1"/>
    <col min="21" max="21" width="10.77734375" style="58" customWidth="1"/>
    <col min="22" max="30" width="10.77734375" style="19" customWidth="1"/>
    <col min="31" max="34" width="10.77734375" customWidth="1"/>
  </cols>
  <sheetData>
    <row r="1" spans="1:30" ht="28.2" x14ac:dyDescent="0.5">
      <c r="A1" s="56" t="str">
        <f>'MADC NONAUTO COST'!A1</f>
        <v>MADC NONAUTO PRESORT</v>
      </c>
    </row>
    <row r="2" spans="1:30" ht="22.8" x14ac:dyDescent="0.4">
      <c r="A2" s="57" t="s">
        <v>239</v>
      </c>
    </row>
    <row r="6" spans="1:30" ht="17.399999999999999" x14ac:dyDescent="0.3">
      <c r="A6" s="47" t="s">
        <v>240</v>
      </c>
      <c r="B6" s="17"/>
      <c r="C6" s="48">
        <f>SUM(C11:C16)+SUM(G11:G16)+SUM(K11:K16)+SUM(O11:O16)</f>
        <v>10000</v>
      </c>
      <c r="E6" s="47" t="s">
        <v>241</v>
      </c>
      <c r="F6" s="17"/>
      <c r="G6" s="48">
        <f ca="1">D88+J88+O88+D100+D127</f>
        <v>9999.9999999999854</v>
      </c>
      <c r="H6" s="17"/>
      <c r="J6" s="17"/>
      <c r="K6" s="17"/>
      <c r="O6" s="47"/>
      <c r="P6" s="47"/>
      <c r="Q6" s="17"/>
      <c r="R6" s="17"/>
      <c r="V6" s="17"/>
      <c r="W6" s="17"/>
      <c r="X6" s="17"/>
      <c r="Y6" s="17"/>
      <c r="AA6" s="17"/>
      <c r="AC6" s="17"/>
      <c r="AD6" s="17"/>
    </row>
    <row r="9" spans="1:30" x14ac:dyDescent="0.25">
      <c r="E9" s="17"/>
      <c r="H9" s="17"/>
      <c r="J9" s="17"/>
      <c r="K9" s="17"/>
      <c r="N9" s="17"/>
      <c r="Q9" s="17"/>
      <c r="R9" s="17"/>
      <c r="V9" s="17"/>
      <c r="W9" s="17"/>
      <c r="X9" s="17"/>
      <c r="Y9" s="17"/>
      <c r="AA9" s="17"/>
      <c r="AC9" s="17"/>
      <c r="AD9" s="17"/>
    </row>
    <row r="10" spans="1:30" ht="17.399999999999999" x14ac:dyDescent="0.3">
      <c r="A10" s="49" t="s">
        <v>242</v>
      </c>
      <c r="E10" s="17"/>
      <c r="G10" s="18"/>
      <c r="H10" s="26"/>
      <c r="J10" s="17"/>
      <c r="K10" s="17"/>
      <c r="N10" s="17"/>
      <c r="O10" s="60"/>
      <c r="Q10" s="17"/>
      <c r="R10" s="17"/>
      <c r="V10" s="17"/>
      <c r="W10" s="17"/>
      <c r="X10" s="17"/>
      <c r="Y10" s="17"/>
      <c r="AA10" s="17"/>
      <c r="AC10" s="17"/>
      <c r="AD10" s="17"/>
    </row>
    <row r="11" spans="1:30" x14ac:dyDescent="0.25">
      <c r="A11" s="25"/>
      <c r="B11" s="66" t="s">
        <v>243</v>
      </c>
      <c r="C11" s="67">
        <v>0</v>
      </c>
      <c r="D11" s="59"/>
      <c r="E11" s="28"/>
      <c r="F11" s="61" t="s">
        <v>244</v>
      </c>
      <c r="G11" s="63">
        <f>'MADC AUTO MODEL'!C11</f>
        <v>10000</v>
      </c>
      <c r="I11" s="27"/>
      <c r="J11" s="72" t="s">
        <v>245</v>
      </c>
      <c r="K11" s="73">
        <v>0</v>
      </c>
      <c r="L11" s="59"/>
      <c r="M11" s="28"/>
      <c r="N11" s="78" t="s">
        <v>246</v>
      </c>
      <c r="O11" s="79">
        <f>'MADC AUTO MODEL'!K11</f>
        <v>0</v>
      </c>
      <c r="P11" s="141"/>
      <c r="Q11" s="17"/>
      <c r="R11" s="17"/>
      <c r="V11" s="17"/>
      <c r="W11" s="17"/>
      <c r="X11" s="17"/>
      <c r="Y11" s="17"/>
      <c r="AA11" s="17"/>
      <c r="AC11" s="17"/>
      <c r="AD11" s="17"/>
    </row>
    <row r="12" spans="1:30" x14ac:dyDescent="0.25">
      <c r="A12" s="21"/>
      <c r="B12" s="68" t="s">
        <v>247</v>
      </c>
      <c r="C12" s="69">
        <v>0</v>
      </c>
      <c r="E12" s="17"/>
      <c r="F12" s="62" t="s">
        <v>248</v>
      </c>
      <c r="G12" s="63">
        <f>'MADC AUTO MODEL'!C12</f>
        <v>0</v>
      </c>
      <c r="I12" s="19"/>
      <c r="J12" s="74" t="s">
        <v>249</v>
      </c>
      <c r="K12" s="75">
        <v>0</v>
      </c>
      <c r="L12" s="58"/>
      <c r="M12" s="17"/>
      <c r="N12" s="80" t="s">
        <v>250</v>
      </c>
      <c r="O12" s="81">
        <f>'MADC AUTO MODEL'!K12</f>
        <v>0</v>
      </c>
      <c r="P12" s="141"/>
      <c r="Q12" s="17"/>
      <c r="R12" s="17"/>
      <c r="V12" s="17"/>
      <c r="W12" s="17"/>
      <c r="X12" s="17"/>
      <c r="Y12" s="17"/>
      <c r="AA12" s="17"/>
      <c r="AC12" s="17"/>
      <c r="AD12" s="17"/>
    </row>
    <row r="13" spans="1:30" x14ac:dyDescent="0.25">
      <c r="A13" s="21"/>
      <c r="B13" s="68" t="s">
        <v>251</v>
      </c>
      <c r="C13" s="69">
        <v>0</v>
      </c>
      <c r="E13" s="17"/>
      <c r="F13" s="62" t="s">
        <v>252</v>
      </c>
      <c r="G13" s="63">
        <f>'MADC AUTO MODEL'!C13</f>
        <v>0</v>
      </c>
      <c r="I13" s="19"/>
      <c r="J13" s="74" t="s">
        <v>253</v>
      </c>
      <c r="K13" s="75">
        <v>0</v>
      </c>
      <c r="L13" s="58"/>
      <c r="M13" s="17"/>
      <c r="N13" s="80" t="s">
        <v>254</v>
      </c>
      <c r="O13" s="81">
        <f>'MADC AUTO MODEL'!K13</f>
        <v>0</v>
      </c>
      <c r="P13" s="141"/>
      <c r="Q13" s="17"/>
      <c r="R13" s="17"/>
      <c r="V13" s="17"/>
      <c r="W13" s="17"/>
      <c r="X13" s="17"/>
      <c r="Y13" s="17"/>
      <c r="AA13" s="17"/>
      <c r="AC13" s="17"/>
      <c r="AD13" s="17"/>
    </row>
    <row r="14" spans="1:30" x14ac:dyDescent="0.25">
      <c r="A14" s="21"/>
      <c r="B14" s="68" t="s">
        <v>255</v>
      </c>
      <c r="C14" s="69">
        <v>0</v>
      </c>
      <c r="E14" s="17"/>
      <c r="F14" s="62" t="s">
        <v>256</v>
      </c>
      <c r="G14" s="63">
        <f>'MADC AUTO MODEL'!C14</f>
        <v>0</v>
      </c>
      <c r="I14" s="19"/>
      <c r="J14" s="74" t="s">
        <v>257</v>
      </c>
      <c r="K14" s="75">
        <v>0</v>
      </c>
      <c r="L14" s="58"/>
      <c r="M14" s="17"/>
      <c r="N14" s="80" t="s">
        <v>258</v>
      </c>
      <c r="O14" s="81">
        <f>'MADC AUTO MODEL'!K14</f>
        <v>0</v>
      </c>
      <c r="P14" s="141"/>
      <c r="Q14" s="17"/>
      <c r="R14" s="17"/>
      <c r="V14" s="17"/>
      <c r="W14" s="17"/>
      <c r="X14" s="17"/>
      <c r="Y14" s="17"/>
      <c r="AA14" s="17"/>
      <c r="AC14" s="17"/>
      <c r="AD14" s="17"/>
    </row>
    <row r="15" spans="1:30" x14ac:dyDescent="0.25">
      <c r="A15" s="21"/>
      <c r="B15" s="68" t="s">
        <v>259</v>
      </c>
      <c r="C15" s="69">
        <v>0</v>
      </c>
      <c r="E15" s="17"/>
      <c r="F15" s="62" t="s">
        <v>260</v>
      </c>
      <c r="G15" s="63">
        <f>'MADC AUTO MODEL'!C15</f>
        <v>0</v>
      </c>
      <c r="I15" s="19"/>
      <c r="J15" s="74" t="s">
        <v>261</v>
      </c>
      <c r="K15" s="75">
        <v>0</v>
      </c>
      <c r="L15" s="58"/>
      <c r="M15" s="17"/>
      <c r="N15" s="80" t="s">
        <v>262</v>
      </c>
      <c r="O15" s="81">
        <f>'MADC AUTO MODEL'!K15</f>
        <v>0</v>
      </c>
      <c r="P15" s="141"/>
      <c r="Q15" s="17"/>
      <c r="R15" s="17"/>
      <c r="V15" s="17"/>
      <c r="W15" s="17"/>
      <c r="X15" s="17"/>
      <c r="Y15" s="17"/>
      <c r="AA15" s="17"/>
      <c r="AC15" s="17"/>
      <c r="AD15" s="17"/>
    </row>
    <row r="16" spans="1:30" x14ac:dyDescent="0.25">
      <c r="A16" s="20"/>
      <c r="B16" s="70" t="s">
        <v>263</v>
      </c>
      <c r="C16" s="71">
        <v>0</v>
      </c>
      <c r="D16" s="60"/>
      <c r="E16" s="26"/>
      <c r="F16" s="64" t="s">
        <v>264</v>
      </c>
      <c r="G16" s="65">
        <f>'MADC AUTO MODEL'!C16</f>
        <v>0</v>
      </c>
      <c r="H16" s="18"/>
      <c r="I16" s="18"/>
      <c r="J16" s="76" t="s">
        <v>265</v>
      </c>
      <c r="K16" s="77">
        <v>0</v>
      </c>
      <c r="L16" s="60"/>
      <c r="M16" s="26"/>
      <c r="N16" s="82" t="s">
        <v>266</v>
      </c>
      <c r="O16" s="83">
        <f>'MADC AUTO MODEL'!K16</f>
        <v>0</v>
      </c>
      <c r="P16" s="141"/>
      <c r="Q16" s="17"/>
      <c r="R16" s="17"/>
      <c r="V16" s="17"/>
      <c r="W16" s="17"/>
      <c r="X16" s="17"/>
      <c r="Y16" s="17"/>
      <c r="AA16" s="17"/>
      <c r="AC16" s="17"/>
      <c r="AD16" s="17"/>
    </row>
    <row r="20" spans="1:30" x14ac:dyDescent="0.25">
      <c r="A20" s="103"/>
      <c r="B20" s="105"/>
      <c r="C20" s="105"/>
      <c r="D20" s="106"/>
      <c r="E20" s="105"/>
      <c r="F20" s="105"/>
      <c r="G20" s="103"/>
      <c r="H20" s="104"/>
      <c r="I20" s="105"/>
      <c r="J20" s="106"/>
      <c r="K20" s="105"/>
      <c r="L20" s="105"/>
      <c r="M20" s="104"/>
      <c r="N20" s="105"/>
      <c r="O20" s="106"/>
      <c r="P20" s="105"/>
      <c r="Q20" s="107"/>
      <c r="S20" s="19"/>
      <c r="U20" s="19"/>
      <c r="Y20"/>
      <c r="Z20"/>
      <c r="AA20"/>
      <c r="AB20"/>
      <c r="AC20"/>
      <c r="AD20"/>
    </row>
    <row r="21" spans="1:30" s="125" customFormat="1" ht="22.8" x14ac:dyDescent="0.4">
      <c r="A21" s="177"/>
      <c r="B21" s="123"/>
      <c r="C21" s="127" t="s">
        <v>267</v>
      </c>
      <c r="D21" s="123"/>
      <c r="E21" s="57"/>
      <c r="F21" s="127"/>
      <c r="G21" s="122"/>
      <c r="H21" s="57"/>
      <c r="I21" s="123"/>
      <c r="J21" s="57"/>
      <c r="K21" s="57"/>
      <c r="L21" s="127" t="s">
        <v>268</v>
      </c>
      <c r="M21" s="57"/>
      <c r="N21" s="123"/>
      <c r="O21" s="57"/>
      <c r="P21" s="57"/>
      <c r="Q21" s="124"/>
      <c r="R21" s="57"/>
      <c r="S21" s="57"/>
      <c r="T21" s="57"/>
      <c r="U21" s="57"/>
      <c r="V21" s="57"/>
      <c r="W21" s="57"/>
      <c r="X21" s="57"/>
    </row>
    <row r="22" spans="1:30" s="125" customFormat="1" ht="22.8" x14ac:dyDescent="0.4">
      <c r="A22" s="122"/>
      <c r="B22" s="57"/>
      <c r="C22" s="57"/>
      <c r="D22" s="123"/>
      <c r="E22" s="57"/>
      <c r="F22" s="127"/>
      <c r="G22" s="122"/>
      <c r="H22" s="57"/>
      <c r="I22" s="123"/>
      <c r="J22" s="57"/>
      <c r="K22" s="57"/>
      <c r="M22" s="57"/>
      <c r="N22" s="123"/>
      <c r="O22" s="57"/>
      <c r="P22" s="57"/>
      <c r="Q22" s="124"/>
      <c r="R22" s="57"/>
      <c r="S22" s="57"/>
      <c r="T22" s="57"/>
      <c r="U22" s="57"/>
      <c r="V22" s="57"/>
      <c r="W22" s="57"/>
      <c r="X22" s="57"/>
    </row>
    <row r="23" spans="1:30" x14ac:dyDescent="0.25">
      <c r="A23" s="113"/>
      <c r="D23" s="96">
        <f>SUM(A25:A29)*(1-'ACCEPT RATES'!G14)+SUM(C25:C29)*SUM('ACCEPT RATES'!I14:J14)</f>
        <v>615.73745028637632</v>
      </c>
      <c r="E23" s="23" t="s">
        <v>269</v>
      </c>
      <c r="G23" s="121"/>
      <c r="I23" s="23"/>
      <c r="J23" s="96">
        <f>SUM(G25:G29)*(1-'ACCEPT RATES'!E19)</f>
        <v>0</v>
      </c>
      <c r="K23" s="23" t="s">
        <v>269</v>
      </c>
      <c r="L23"/>
      <c r="M23" s="19"/>
      <c r="P23" s="23"/>
      <c r="Q23" s="108"/>
      <c r="S23" s="19"/>
      <c r="U23" s="19"/>
      <c r="Y23"/>
      <c r="Z23"/>
      <c r="AA23"/>
      <c r="AB23"/>
      <c r="AC23"/>
      <c r="AD23"/>
    </row>
    <row r="24" spans="1:30" x14ac:dyDescent="0.25">
      <c r="A24" s="126" t="s">
        <v>270</v>
      </c>
      <c r="B24" s="86" t="s">
        <v>271</v>
      </c>
      <c r="C24" s="87"/>
      <c r="D24" s="119"/>
      <c r="E24" s="23" t="s">
        <v>272</v>
      </c>
      <c r="G24" s="126" t="s">
        <v>273</v>
      </c>
      <c r="H24" s="86" t="s">
        <v>274</v>
      </c>
      <c r="I24" s="87"/>
      <c r="J24" s="99"/>
      <c r="K24" s="22" t="s">
        <v>272</v>
      </c>
      <c r="L24"/>
      <c r="M24" s="86" t="s">
        <v>275</v>
      </c>
      <c r="N24" s="87"/>
      <c r="P24" s="19"/>
      <c r="Q24" s="108"/>
      <c r="S24" s="19"/>
      <c r="U24" s="19"/>
      <c r="Y24"/>
      <c r="Z24"/>
      <c r="AA24"/>
      <c r="AB24"/>
      <c r="AC24"/>
      <c r="AD24"/>
    </row>
    <row r="25" spans="1:30" x14ac:dyDescent="0.25">
      <c r="A25" s="120">
        <f>B25*(1-'ACCEPT RATES'!C14)</f>
        <v>0</v>
      </c>
      <c r="B25" s="29">
        <f>C25*(1+'ACCEPT RATES'!F14)</f>
        <v>0</v>
      </c>
      <c r="C25" s="50">
        <f>C11*('COVERAGE FACTORS'!C15+'COVERAGE FACTORS'!C19)</f>
        <v>0</v>
      </c>
      <c r="E25" s="23" t="s">
        <v>200</v>
      </c>
      <c r="G25" s="178">
        <f>H25*(1-'ACCEPT RATES'!C19)</f>
        <v>0</v>
      </c>
      <c r="H25" s="29">
        <f>I25</f>
        <v>0</v>
      </c>
      <c r="I25" s="50">
        <f>C11*'COVERAGE FACTORS'!C17</f>
        <v>0</v>
      </c>
      <c r="J25" s="22"/>
      <c r="K25" s="22" t="s">
        <v>200</v>
      </c>
      <c r="L25"/>
      <c r="M25" s="29">
        <f>N25</f>
        <v>0</v>
      </c>
      <c r="N25" s="50">
        <f>C11*'COVERAGE FACTORS'!C21</f>
        <v>0</v>
      </c>
      <c r="P25" s="19"/>
      <c r="Q25" s="108"/>
      <c r="S25" s="19"/>
      <c r="U25" s="19"/>
      <c r="Y25"/>
      <c r="Z25"/>
      <c r="AA25"/>
      <c r="AB25"/>
      <c r="AC25"/>
      <c r="AD25"/>
    </row>
    <row r="26" spans="1:30" x14ac:dyDescent="0.25">
      <c r="A26" s="179">
        <f>B26*(1-'ACCEPT RATES'!D14)</f>
        <v>2670.3365531078052</v>
      </c>
      <c r="B26" s="85">
        <f>C26*(1+'ACCEPT RATES'!F14)</f>
        <v>10127.024086408985</v>
      </c>
      <c r="C26" s="84">
        <f>G11*('COVERAGE FACTORS'!C15+'COVERAGE FACTORS'!C19)</f>
        <v>9999.9539464188456</v>
      </c>
      <c r="G26" s="179">
        <f>H26*(1-'ACCEPT RATES'!D19)</f>
        <v>0</v>
      </c>
      <c r="H26" s="85">
        <f>I26</f>
        <v>0</v>
      </c>
      <c r="I26" s="84">
        <f>G11*'COVERAGE FACTORS'!C17</f>
        <v>0</v>
      </c>
      <c r="J26" s="58"/>
      <c r="L26"/>
      <c r="M26" s="85">
        <f>N26</f>
        <v>4.6053581159079982E-2</v>
      </c>
      <c r="N26" s="84">
        <f>G11*'COVERAGE FACTORS'!C21</f>
        <v>4.6053581159079982E-2</v>
      </c>
      <c r="P26" s="19"/>
      <c r="Q26" s="108"/>
      <c r="S26" s="19"/>
      <c r="U26" s="19"/>
      <c r="Y26"/>
      <c r="Z26"/>
      <c r="AA26"/>
      <c r="AB26"/>
      <c r="AC26"/>
      <c r="AD26"/>
    </row>
    <row r="27" spans="1:30" x14ac:dyDescent="0.25">
      <c r="A27" s="121"/>
      <c r="B27" s="85"/>
      <c r="C27" s="84"/>
      <c r="G27" s="109">
        <f>H27*(1-'ACCEPT RATES'!C19)</f>
        <v>0</v>
      </c>
      <c r="H27" s="89">
        <f>I27</f>
        <v>0</v>
      </c>
      <c r="I27" s="90">
        <f>K11*('COVERAGE FACTORS'!C17+'COVERAGE FACTORS'!C19)</f>
        <v>0</v>
      </c>
      <c r="J27" s="58"/>
      <c r="L27"/>
      <c r="M27" s="89">
        <f>N27</f>
        <v>0</v>
      </c>
      <c r="N27" s="90">
        <f>K11*(1-('COVERAGE FACTORS'!C17+'COVERAGE FACTORS'!C19))</f>
        <v>0</v>
      </c>
      <c r="P27" s="19"/>
      <c r="Q27" s="108"/>
      <c r="S27" s="19"/>
      <c r="U27" s="19"/>
      <c r="Y27"/>
      <c r="Z27"/>
      <c r="AA27"/>
      <c r="AB27"/>
      <c r="AC27"/>
      <c r="AD27"/>
    </row>
    <row r="28" spans="1:30" x14ac:dyDescent="0.25">
      <c r="A28" s="121"/>
      <c r="B28" s="85"/>
      <c r="C28" s="84"/>
      <c r="G28" s="110">
        <f>H28*(1-'ACCEPT RATES'!D19)</f>
        <v>0</v>
      </c>
      <c r="H28" s="94">
        <f>I28</f>
        <v>0</v>
      </c>
      <c r="I28" s="92">
        <f>O11*('COVERAGE FACTORS'!C17+'COVERAGE FACTORS'!C19)</f>
        <v>0</v>
      </c>
      <c r="J28" s="58"/>
      <c r="L28"/>
      <c r="M28" s="94">
        <f>N28</f>
        <v>0</v>
      </c>
      <c r="N28" s="92">
        <f>O11*(1-('COVERAGE FACTORS'!C17+'COVERAGE FACTORS'!C19))</f>
        <v>0</v>
      </c>
      <c r="P28" s="19"/>
      <c r="Q28" s="108"/>
      <c r="S28" s="19"/>
      <c r="U28" s="19"/>
      <c r="Y28"/>
      <c r="Z28"/>
      <c r="AA28"/>
      <c r="AB28"/>
      <c r="AC28"/>
      <c r="AD28"/>
    </row>
    <row r="29" spans="1:30" x14ac:dyDescent="0.25">
      <c r="A29" s="180"/>
      <c r="B29" s="20"/>
      <c r="C29" s="34"/>
      <c r="G29" s="111"/>
      <c r="H29" s="44"/>
      <c r="I29" s="34"/>
      <c r="J29" s="58"/>
      <c r="L29"/>
      <c r="M29" s="101">
        <f>N29</f>
        <v>615.73745028637632</v>
      </c>
      <c r="N29" s="100">
        <f>D23+J23</f>
        <v>615.73745028637632</v>
      </c>
      <c r="P29" s="19"/>
      <c r="Q29" s="108"/>
      <c r="S29" s="19"/>
      <c r="U29" s="19"/>
      <c r="Y29"/>
      <c r="Z29"/>
      <c r="AA29"/>
      <c r="AB29"/>
      <c r="AC29"/>
      <c r="AD29"/>
    </row>
    <row r="30" spans="1:30" x14ac:dyDescent="0.25">
      <c r="A30" s="113"/>
      <c r="C30" s="97"/>
      <c r="D30" s="364">
        <f>(SUM(C25:C29)-D23)*'PIECE DENSITIES'!C6</f>
        <v>1201.6512840081436</v>
      </c>
      <c r="E30" s="23" t="s">
        <v>276</v>
      </c>
      <c r="G30" s="113"/>
      <c r="I30" s="98"/>
      <c r="J30" s="181">
        <f>(SUM(I25:I29)-J23)*'PIECE DENSITIES'!C11</f>
        <v>0</v>
      </c>
      <c r="K30" s="23" t="s">
        <v>277</v>
      </c>
      <c r="L30"/>
      <c r="M30" s="19"/>
      <c r="O30" s="95">
        <f>SUM(N25:N29)*'PIECE DENSITIES'!C16</f>
        <v>55.098909874959098</v>
      </c>
      <c r="P30" s="23" t="s">
        <v>278</v>
      </c>
      <c r="Q30" s="108"/>
      <c r="S30" s="19"/>
      <c r="U30" s="19"/>
      <c r="Y30"/>
      <c r="Z30"/>
      <c r="AA30"/>
      <c r="AB30"/>
      <c r="AC30"/>
      <c r="AD30"/>
    </row>
    <row r="31" spans="1:30" x14ac:dyDescent="0.25">
      <c r="A31" s="113"/>
      <c r="C31" s="97"/>
      <c r="D31" s="364">
        <f>(SUM(C25:C29)-D23)*'PIECE DENSITIES'!D6</f>
        <v>4863.9250906238813</v>
      </c>
      <c r="E31" s="23" t="s">
        <v>279</v>
      </c>
      <c r="G31" s="113"/>
      <c r="I31" s="98"/>
      <c r="J31" s="181">
        <f>(SUM(I25:I29)-J23)*'PIECE DENSITIES'!D11</f>
        <v>0</v>
      </c>
      <c r="K31" s="23" t="s">
        <v>280</v>
      </c>
      <c r="L31"/>
      <c r="M31" s="19"/>
      <c r="O31" s="95">
        <f>SUM(N25:N29)*'PIECE DENSITIES'!D16</f>
        <v>357.55577988915803</v>
      </c>
      <c r="P31" s="23" t="s">
        <v>281</v>
      </c>
      <c r="Q31" s="108"/>
      <c r="S31" s="19"/>
      <c r="U31" s="19"/>
      <c r="Y31"/>
      <c r="Z31"/>
      <c r="AA31"/>
      <c r="AB31"/>
      <c r="AC31"/>
      <c r="AD31"/>
    </row>
    <row r="32" spans="1:30" x14ac:dyDescent="0.25">
      <c r="A32" s="113"/>
      <c r="C32" s="88"/>
      <c r="D32" s="365">
        <f>(SUM(C25:C29)-D23)*'PIECE DENSITIES'!E6</f>
        <v>2626.865076399848</v>
      </c>
      <c r="E32" s="23" t="s">
        <v>282</v>
      </c>
      <c r="G32" s="113"/>
      <c r="I32" s="93"/>
      <c r="J32" s="182">
        <f>(SUM(I25:I29)-J23)*'PIECE DENSITIES'!E11</f>
        <v>0</v>
      </c>
      <c r="K32" s="23" t="s">
        <v>283</v>
      </c>
      <c r="L32"/>
      <c r="M32" s="19"/>
      <c r="N32" s="45"/>
      <c r="O32" s="96">
        <f>SUM(N25:N29)*'PIECE DENSITIES'!E16</f>
        <v>157.52177223464091</v>
      </c>
      <c r="P32" s="23" t="s">
        <v>284</v>
      </c>
      <c r="Q32" s="108"/>
      <c r="S32" s="19"/>
      <c r="U32" s="19"/>
      <c r="Y32"/>
      <c r="Z32"/>
      <c r="AA32"/>
      <c r="AB32"/>
      <c r="AC32"/>
      <c r="AD32"/>
    </row>
    <row r="33" spans="1:30" x14ac:dyDescent="0.25">
      <c r="A33" s="113"/>
      <c r="C33" s="88"/>
      <c r="D33" s="365">
        <f>(SUM(C25:C29)-D23)*'PIECE DENSITIES'!F6</f>
        <v>691.77504510059623</v>
      </c>
      <c r="E33" s="23" t="s">
        <v>285</v>
      </c>
      <c r="G33" s="113"/>
      <c r="I33" s="93"/>
      <c r="J33" s="182">
        <f>(SUM(I25:I29)-J23)*'PIECE DENSITIES'!F11</f>
        <v>0</v>
      </c>
      <c r="K33" s="23" t="s">
        <v>286</v>
      </c>
      <c r="L33"/>
      <c r="M33" s="19"/>
      <c r="N33" s="45"/>
      <c r="O33" s="96">
        <f>SUM(N25:N29)*'PIECE DENSITIES'!F16</f>
        <v>45.607041868777387</v>
      </c>
      <c r="P33" s="23" t="s">
        <v>287</v>
      </c>
      <c r="Q33" s="108"/>
      <c r="S33" s="19"/>
      <c r="U33" s="19"/>
      <c r="Y33"/>
      <c r="Z33"/>
      <c r="AA33"/>
      <c r="AB33"/>
      <c r="AC33"/>
      <c r="AD33"/>
    </row>
    <row r="34" spans="1:30" x14ac:dyDescent="0.25">
      <c r="A34" s="113"/>
      <c r="C34" s="88"/>
      <c r="D34" s="365">
        <f>(SUM(C25:C29)-D23)*'PIECE DENSITIES'!G6</f>
        <v>0</v>
      </c>
      <c r="E34" s="23" t="s">
        <v>288</v>
      </c>
      <c r="G34" s="113"/>
      <c r="I34" s="93"/>
      <c r="J34" s="182">
        <f>(SUM(I25:I29)-J23)*'PIECE DENSITIES'!G11</f>
        <v>0</v>
      </c>
      <c r="K34" s="23" t="s">
        <v>289</v>
      </c>
      <c r="L34"/>
      <c r="M34" s="19"/>
      <c r="N34" s="45"/>
      <c r="O34" s="96">
        <f>SUM(N25:N29)*'PIECE DENSITIES'!G16</f>
        <v>0</v>
      </c>
      <c r="P34" s="23" t="s">
        <v>290</v>
      </c>
      <c r="Q34" s="108"/>
      <c r="S34" s="19"/>
      <c r="U34" s="19"/>
      <c r="Y34"/>
      <c r="Z34"/>
      <c r="AA34"/>
      <c r="AB34"/>
      <c r="AC34"/>
      <c r="AD34"/>
    </row>
    <row r="35" spans="1:30" x14ac:dyDescent="0.25">
      <c r="A35" s="113"/>
      <c r="G35" s="113"/>
      <c r="I35" s="19"/>
      <c r="J35" s="58"/>
      <c r="L35"/>
      <c r="M35" s="19"/>
      <c r="P35" s="19"/>
      <c r="Q35" s="108"/>
      <c r="S35" s="19"/>
      <c r="U35" s="19"/>
      <c r="Y35"/>
      <c r="Z35"/>
      <c r="AA35"/>
      <c r="AB35"/>
      <c r="AC35"/>
      <c r="AD35"/>
    </row>
    <row r="36" spans="1:30" x14ac:dyDescent="0.25">
      <c r="A36" s="113"/>
      <c r="D36" s="96">
        <f>SUM(A38:A42)*(1-'ACCEPT RATES'!G15)+SUM(C38:C42)*SUM('ACCEPT RATES'!I15:J15)</f>
        <v>111.51228793473535</v>
      </c>
      <c r="E36" s="23" t="s">
        <v>269</v>
      </c>
      <c r="G36" s="121"/>
      <c r="I36" s="23"/>
      <c r="J36" s="96">
        <f>SUM(G38:G42)*(1-'ACCEPT RATES'!E20)</f>
        <v>0</v>
      </c>
      <c r="K36" s="23" t="s">
        <v>269</v>
      </c>
      <c r="L36"/>
      <c r="M36" s="19"/>
      <c r="P36" s="23"/>
      <c r="Q36" s="108"/>
      <c r="S36" s="19"/>
      <c r="U36" s="19"/>
      <c r="Y36"/>
      <c r="Z36"/>
      <c r="AA36"/>
      <c r="AB36"/>
      <c r="AC36"/>
      <c r="AD36"/>
    </row>
    <row r="37" spans="1:30" x14ac:dyDescent="0.25">
      <c r="A37" s="126" t="s">
        <v>270</v>
      </c>
      <c r="B37" s="86" t="s">
        <v>291</v>
      </c>
      <c r="C37" s="87"/>
      <c r="D37" s="119"/>
      <c r="E37" s="23" t="s">
        <v>292</v>
      </c>
      <c r="G37" s="126" t="s">
        <v>273</v>
      </c>
      <c r="H37" s="86" t="s">
        <v>293</v>
      </c>
      <c r="I37" s="87"/>
      <c r="J37" s="99"/>
      <c r="K37" s="22" t="s">
        <v>292</v>
      </c>
      <c r="L37"/>
      <c r="M37" s="86" t="s">
        <v>278</v>
      </c>
      <c r="N37" s="87"/>
      <c r="P37" s="19"/>
      <c r="Q37" s="108"/>
      <c r="S37" s="19"/>
      <c r="U37" s="19"/>
      <c r="Y37"/>
      <c r="Z37"/>
      <c r="AA37"/>
      <c r="AB37"/>
      <c r="AC37"/>
      <c r="AD37"/>
    </row>
    <row r="38" spans="1:30" x14ac:dyDescent="0.25">
      <c r="A38" s="120">
        <f>B38*(1-'ACCEPT RATES'!C15)</f>
        <v>0</v>
      </c>
      <c r="B38" s="29">
        <f>C38*(1+'ACCEPT RATES'!F15+'PIECE DENSITIES'!C7)</f>
        <v>0</v>
      </c>
      <c r="C38" s="50">
        <f>C12*('COVERAGE FACTORS'!C15+'COVERAGE FACTORS'!C19)</f>
        <v>0</v>
      </c>
      <c r="E38" s="23" t="s">
        <v>200</v>
      </c>
      <c r="G38" s="178">
        <f>H38*(1-'ACCEPT RATES'!C20)</f>
        <v>0</v>
      </c>
      <c r="H38" s="29">
        <f>I38*(1+'PIECE DENSITIES'!C12)</f>
        <v>0</v>
      </c>
      <c r="I38" s="50">
        <f>C12*'COVERAGE FACTORS'!C17</f>
        <v>0</v>
      </c>
      <c r="J38" s="22"/>
      <c r="K38" s="22" t="s">
        <v>200</v>
      </c>
      <c r="L38"/>
      <c r="M38" s="29">
        <f>N38</f>
        <v>0</v>
      </c>
      <c r="N38" s="50">
        <f>C12*'COVERAGE FACTORS'!C21</f>
        <v>0</v>
      </c>
      <c r="P38" s="19"/>
      <c r="Q38" s="108"/>
      <c r="S38" s="19"/>
      <c r="U38" s="19"/>
      <c r="Y38"/>
      <c r="Z38"/>
      <c r="AA38"/>
      <c r="AB38"/>
      <c r="AC38"/>
      <c r="AD38"/>
    </row>
    <row r="39" spans="1:30" x14ac:dyDescent="0.25">
      <c r="A39" s="179">
        <f>B39*(1-'ACCEPT RATES'!D15)</f>
        <v>0</v>
      </c>
      <c r="B39" s="85">
        <f>C39*(1+'ACCEPT RATES'!F15+'PIECE DENSITIES'!C7)</f>
        <v>0</v>
      </c>
      <c r="C39" s="84">
        <f>G12*('COVERAGE FACTORS'!C15+'COVERAGE FACTORS'!C19)</f>
        <v>0</v>
      </c>
      <c r="G39" s="179">
        <f>H39*(1-'ACCEPT RATES'!D20)</f>
        <v>0</v>
      </c>
      <c r="H39" s="85">
        <f>I39*(1+'PIECE DENSITIES'!C12)</f>
        <v>0</v>
      </c>
      <c r="I39" s="84">
        <f>G12*'COVERAGE FACTORS'!C17</f>
        <v>0</v>
      </c>
      <c r="J39" s="58"/>
      <c r="L39"/>
      <c r="M39" s="85">
        <f>N39</f>
        <v>0</v>
      </c>
      <c r="N39" s="84">
        <f>G12*'COVERAGE FACTORS'!C21</f>
        <v>0</v>
      </c>
      <c r="P39" s="19"/>
      <c r="Q39" s="108"/>
      <c r="S39" s="19"/>
      <c r="U39" s="19"/>
      <c r="Y39"/>
      <c r="Z39"/>
      <c r="AA39"/>
      <c r="AB39"/>
      <c r="AC39"/>
      <c r="AD39"/>
    </row>
    <row r="40" spans="1:30" x14ac:dyDescent="0.25">
      <c r="A40" s="121"/>
      <c r="B40" s="85"/>
      <c r="C40" s="84"/>
      <c r="G40" s="109">
        <f>H40*(1-'ACCEPT RATES'!C20)</f>
        <v>0</v>
      </c>
      <c r="H40" s="89">
        <f>I40*(1+'PIECE DENSITIES'!C12)</f>
        <v>0</v>
      </c>
      <c r="I40" s="90">
        <f>K12*('COVERAGE FACTORS'!C17+'COVERAGE FACTORS'!C19)</f>
        <v>0</v>
      </c>
      <c r="J40" s="58"/>
      <c r="L40"/>
      <c r="M40" s="89">
        <f>N40</f>
        <v>0</v>
      </c>
      <c r="N40" s="90">
        <f>K12*(1-('COVERAGE FACTORS'!C17+'COVERAGE FACTORS'!C19))</f>
        <v>0</v>
      </c>
      <c r="P40" s="19"/>
      <c r="Q40" s="108"/>
      <c r="S40" s="19"/>
      <c r="U40" s="19"/>
      <c r="Y40"/>
      <c r="Z40"/>
      <c r="AA40"/>
      <c r="AB40"/>
      <c r="AC40"/>
      <c r="AD40"/>
    </row>
    <row r="41" spans="1:30" x14ac:dyDescent="0.25">
      <c r="A41" s="121"/>
      <c r="B41" s="85"/>
      <c r="C41" s="84"/>
      <c r="G41" s="110">
        <f>H41*(1-'ACCEPT RATES'!D20)</f>
        <v>0</v>
      </c>
      <c r="H41" s="94">
        <f>I41*(1+'PIECE DENSITIES'!C12)</f>
        <v>0</v>
      </c>
      <c r="I41" s="92">
        <f>O12*('COVERAGE FACTORS'!C17+'COVERAGE FACTORS'!C19)</f>
        <v>0</v>
      </c>
      <c r="J41" s="58"/>
      <c r="L41"/>
      <c r="M41" s="94">
        <f>N41</f>
        <v>0</v>
      </c>
      <c r="N41" s="92">
        <f>O12*(1-('COVERAGE FACTORS'!C17+'COVERAGE FACTORS'!C19))</f>
        <v>0</v>
      </c>
      <c r="P41" s="19"/>
      <c r="Q41" s="108"/>
      <c r="S41" s="19"/>
      <c r="U41" s="19"/>
      <c r="Y41"/>
      <c r="Z41"/>
      <c r="AA41"/>
      <c r="AB41"/>
      <c r="AC41"/>
      <c r="AD41"/>
    </row>
    <row r="42" spans="1:30" x14ac:dyDescent="0.25">
      <c r="A42" s="183">
        <f>B42*(1-'ACCEPT RATES'!C15)</f>
        <v>75.436826089284665</v>
      </c>
      <c r="B42" s="187">
        <f>C42*(1+'ACCEPT RATES'!F15+'PIECE DENSITIES'!C7)</f>
        <v>1230.6239311818488</v>
      </c>
      <c r="C42" s="188">
        <f>D30</f>
        <v>1201.6512840081436</v>
      </c>
      <c r="G42" s="184">
        <f>IF(SUM(C11:C16)&gt;0,H42*(1-'ACCEPT RATES'!C20),H42*(1-'ACCEPT RATES'!D20))</f>
        <v>0</v>
      </c>
      <c r="H42" s="185">
        <f>I42*(1+'PIECE DENSITIES'!C12)</f>
        <v>0</v>
      </c>
      <c r="I42" s="186">
        <f>J30</f>
        <v>0</v>
      </c>
      <c r="J42" s="58"/>
      <c r="L42"/>
      <c r="M42" s="101">
        <f>N42</f>
        <v>166.61119780969446</v>
      </c>
      <c r="N42" s="100">
        <f>D36+J36+O30</f>
        <v>166.61119780969446</v>
      </c>
      <c r="P42" s="19"/>
      <c r="Q42" s="108"/>
      <c r="S42" s="19"/>
      <c r="U42" s="19"/>
      <c r="Y42"/>
      <c r="Z42"/>
      <c r="AA42"/>
      <c r="AB42"/>
      <c r="AC42"/>
      <c r="AD42"/>
    </row>
    <row r="43" spans="1:30" x14ac:dyDescent="0.25">
      <c r="A43" s="113"/>
      <c r="C43" s="97"/>
      <c r="D43" s="364">
        <f>(SUM(C38:C42)-D36)*'PIECE DENSITIES'!D7</f>
        <v>900.22989338896605</v>
      </c>
      <c r="E43" s="23" t="s">
        <v>279</v>
      </c>
      <c r="G43" s="113"/>
      <c r="I43" s="98"/>
      <c r="J43" s="181">
        <f>(SUM(I38:I42)-J36)*'PIECE DENSITIES'!D12</f>
        <v>0</v>
      </c>
      <c r="K43" s="23" t="s">
        <v>280</v>
      </c>
      <c r="L43"/>
      <c r="M43" s="19"/>
      <c r="O43" s="95">
        <f>SUM(N38:N42)*'PIECE DENSITIES'!D17</f>
        <v>117.93467278558666</v>
      </c>
      <c r="P43" s="23" t="s">
        <v>281</v>
      </c>
      <c r="Q43" s="108"/>
      <c r="S43" s="19"/>
      <c r="U43" s="19"/>
      <c r="Y43"/>
      <c r="Z43"/>
      <c r="AA43"/>
      <c r="AB43"/>
      <c r="AC43"/>
      <c r="AD43"/>
    </row>
    <row r="44" spans="1:30" x14ac:dyDescent="0.25">
      <c r="A44" s="113"/>
      <c r="C44" s="97"/>
      <c r="D44" s="364">
        <f>(SUM(C38:C42)-D36)*'PIECE DENSITIES'!E7</f>
        <v>75.236354472114968</v>
      </c>
      <c r="E44" s="23" t="s">
        <v>282</v>
      </c>
      <c r="G44" s="113"/>
      <c r="I44" s="98"/>
      <c r="J44" s="181">
        <f>(SUM(I38:I42)-J36)*'PIECE DENSITIES'!E12</f>
        <v>0</v>
      </c>
      <c r="K44" s="23" t="s">
        <v>283</v>
      </c>
      <c r="L44"/>
      <c r="M44" s="19"/>
      <c r="O44" s="95">
        <f>SUM(N38:N42)*'PIECE DENSITIES'!E17</f>
        <v>0.51703413859086611</v>
      </c>
      <c r="P44" s="23" t="s">
        <v>284</v>
      </c>
      <c r="Q44" s="108"/>
      <c r="S44" s="19"/>
      <c r="U44" s="19"/>
      <c r="Y44"/>
      <c r="Z44"/>
      <c r="AA44"/>
      <c r="AB44"/>
      <c r="AC44"/>
      <c r="AD44"/>
    </row>
    <row r="45" spans="1:30" x14ac:dyDescent="0.25">
      <c r="A45" s="113"/>
      <c r="C45" s="88"/>
      <c r="D45" s="365">
        <f>(SUM(C38:C42)-D36)*'PIECE DENSITIES'!F7</f>
        <v>8.0140447869255578</v>
      </c>
      <c r="E45" s="23" t="s">
        <v>285</v>
      </c>
      <c r="G45" s="113"/>
      <c r="I45" s="93"/>
      <c r="J45" s="182">
        <f>(SUM(I38:I42)-J36)*'PIECE DENSITIES'!F12</f>
        <v>0</v>
      </c>
      <c r="K45" s="23" t="s">
        <v>286</v>
      </c>
      <c r="L45"/>
      <c r="M45" s="19"/>
      <c r="N45" s="45"/>
      <c r="O45" s="96">
        <f>SUM(N38:N42)*'PIECE DENSITIES'!F17</f>
        <v>3.3098327139714501</v>
      </c>
      <c r="P45" s="23" t="s">
        <v>287</v>
      </c>
      <c r="Q45" s="108"/>
      <c r="S45" s="19"/>
      <c r="U45" s="19"/>
      <c r="Y45"/>
      <c r="Z45"/>
      <c r="AA45"/>
      <c r="AB45"/>
      <c r="AC45"/>
      <c r="AD45"/>
    </row>
    <row r="46" spans="1:30" x14ac:dyDescent="0.25">
      <c r="A46" s="113"/>
      <c r="C46" s="88"/>
      <c r="D46" s="365">
        <f>(SUM(C38:C42)-D36)*'PIECE DENSITIES'!G7</f>
        <v>106.65870342540163</v>
      </c>
      <c r="E46" s="23" t="s">
        <v>288</v>
      </c>
      <c r="G46" s="113"/>
      <c r="I46" s="93"/>
      <c r="J46" s="182">
        <f>(SUM(I38:I42)-J36)*'PIECE DENSITIES'!G12</f>
        <v>0</v>
      </c>
      <c r="K46" s="23" t="s">
        <v>289</v>
      </c>
      <c r="L46"/>
      <c r="M46" s="19"/>
      <c r="N46" s="45"/>
      <c r="O46" s="96">
        <f>SUM(N38:N42)*'PIECE DENSITIES'!G17</f>
        <v>44.849658171545492</v>
      </c>
      <c r="P46" s="23" t="s">
        <v>290</v>
      </c>
      <c r="Q46" s="108"/>
      <c r="S46" s="19"/>
      <c r="U46" s="19"/>
      <c r="Y46"/>
      <c r="Z46"/>
      <c r="AA46"/>
      <c r="AB46"/>
      <c r="AC46"/>
      <c r="AD46"/>
    </row>
    <row r="47" spans="1:30" x14ac:dyDescent="0.25">
      <c r="A47" s="113"/>
      <c r="C47" s="97"/>
      <c r="G47" s="113"/>
      <c r="I47" s="98"/>
      <c r="J47" s="91"/>
      <c r="L47"/>
      <c r="M47" s="19"/>
      <c r="O47" s="96"/>
      <c r="P47" s="19"/>
      <c r="Q47" s="108"/>
      <c r="S47" s="19"/>
      <c r="U47" s="19"/>
      <c r="Y47"/>
      <c r="Z47"/>
      <c r="AA47"/>
      <c r="AB47"/>
      <c r="AC47"/>
      <c r="AD47"/>
    </row>
    <row r="48" spans="1:30" x14ac:dyDescent="0.25">
      <c r="A48" s="103"/>
      <c r="B48" s="105"/>
      <c r="C48" s="128"/>
      <c r="D48" s="106"/>
      <c r="E48" s="105"/>
      <c r="F48" s="105"/>
      <c r="G48" s="103"/>
      <c r="H48" s="105"/>
      <c r="I48" s="129"/>
      <c r="J48" s="130"/>
      <c r="K48" s="105"/>
      <c r="L48" s="104"/>
      <c r="M48" s="105"/>
      <c r="N48" s="105"/>
      <c r="O48" s="131"/>
      <c r="P48" s="105"/>
      <c r="Q48" s="107"/>
      <c r="S48" s="19"/>
      <c r="U48" s="19"/>
      <c r="Y48"/>
      <c r="Z48"/>
      <c r="AA48"/>
      <c r="AB48"/>
      <c r="AC48"/>
      <c r="AD48"/>
    </row>
    <row r="49" spans="1:30" s="125" customFormat="1" ht="22.8" x14ac:dyDescent="0.4">
      <c r="A49" s="177"/>
      <c r="B49" s="57"/>
      <c r="C49" s="127" t="s">
        <v>294</v>
      </c>
      <c r="D49" s="123"/>
      <c r="E49" s="57"/>
      <c r="F49" s="127"/>
      <c r="G49" s="122"/>
      <c r="H49" s="57"/>
      <c r="I49" s="123"/>
      <c r="J49" s="57"/>
      <c r="K49" s="57"/>
      <c r="L49" s="127" t="s">
        <v>295</v>
      </c>
      <c r="M49" s="57"/>
      <c r="N49" s="123"/>
      <c r="O49" s="57"/>
      <c r="P49" s="57"/>
      <c r="Q49" s="124"/>
      <c r="R49" s="57"/>
      <c r="S49" s="57"/>
      <c r="T49" s="57"/>
      <c r="U49" s="57"/>
      <c r="V49" s="57"/>
      <c r="W49" s="57"/>
      <c r="X49" s="57"/>
    </row>
    <row r="50" spans="1:30" x14ac:dyDescent="0.25">
      <c r="A50" s="113"/>
      <c r="C50" s="97"/>
      <c r="G50" s="113"/>
      <c r="I50" s="98"/>
      <c r="J50" s="91"/>
      <c r="L50"/>
      <c r="M50" s="19"/>
      <c r="O50" s="96"/>
      <c r="P50" s="19"/>
      <c r="Q50" s="108"/>
      <c r="S50" s="19"/>
      <c r="U50" s="19"/>
      <c r="Y50"/>
      <c r="Z50"/>
      <c r="AA50"/>
      <c r="AB50"/>
      <c r="AC50"/>
      <c r="AD50"/>
    </row>
    <row r="51" spans="1:30" x14ac:dyDescent="0.25">
      <c r="A51" s="113"/>
      <c r="D51" s="96">
        <f>SUM(A53:A57)*(1-'ACCEPT RATES'!G16)+SUM(C53:C57)*SUM('ACCEPT RATES'!I16:J16)</f>
        <v>415.75525389720121</v>
      </c>
      <c r="E51" s="23" t="s">
        <v>269</v>
      </c>
      <c r="G51" s="121"/>
      <c r="I51" s="23"/>
      <c r="J51" s="96">
        <f>SUM(G53:G57)*(1-'ACCEPT RATES'!E21)</f>
        <v>0</v>
      </c>
      <c r="K51" s="23" t="s">
        <v>269</v>
      </c>
      <c r="L51"/>
      <c r="M51" s="19"/>
      <c r="P51" s="23"/>
      <c r="Q51" s="108"/>
      <c r="S51" s="19"/>
      <c r="U51" s="19"/>
      <c r="Y51"/>
      <c r="Z51"/>
      <c r="AA51"/>
      <c r="AB51"/>
      <c r="AC51"/>
      <c r="AD51"/>
    </row>
    <row r="52" spans="1:30" x14ac:dyDescent="0.25">
      <c r="A52" s="126" t="s">
        <v>270</v>
      </c>
      <c r="B52" s="86" t="s">
        <v>296</v>
      </c>
      <c r="C52" s="87"/>
      <c r="D52" s="119"/>
      <c r="E52" s="23" t="s">
        <v>297</v>
      </c>
      <c r="G52" s="126" t="s">
        <v>273</v>
      </c>
      <c r="H52" s="86" t="s">
        <v>298</v>
      </c>
      <c r="I52" s="87"/>
      <c r="J52" s="99"/>
      <c r="K52" s="22" t="s">
        <v>297</v>
      </c>
      <c r="L52"/>
      <c r="M52" s="86" t="s">
        <v>281</v>
      </c>
      <c r="N52" s="87"/>
      <c r="P52" s="19"/>
      <c r="Q52" s="108"/>
      <c r="S52" s="19"/>
      <c r="U52" s="19"/>
      <c r="Y52"/>
      <c r="Z52"/>
      <c r="AA52"/>
      <c r="AB52"/>
      <c r="AC52"/>
      <c r="AD52"/>
    </row>
    <row r="53" spans="1:30" x14ac:dyDescent="0.25">
      <c r="A53" s="120">
        <f>B53*(1-'ACCEPT RATES'!C16)</f>
        <v>0</v>
      </c>
      <c r="B53" s="29">
        <f>C53*(1+'ACCEPT RATES'!F16+'PIECE DENSITIES'!D8)</f>
        <v>0</v>
      </c>
      <c r="C53" s="50">
        <f>C13*('COVERAGE FACTORS'!C39+'COVERAGE FACTORS'!C43)</f>
        <v>0</v>
      </c>
      <c r="E53" s="23" t="s">
        <v>200</v>
      </c>
      <c r="G53" s="178">
        <f>H53*(1-'ACCEPT RATES'!C21)</f>
        <v>0</v>
      </c>
      <c r="H53" s="29">
        <f>I53*(1+'PIECE DENSITIES'!D13)</f>
        <v>0</v>
      </c>
      <c r="I53" s="50">
        <f>C13*'COVERAGE FACTORS'!C41</f>
        <v>0</v>
      </c>
      <c r="J53" s="112"/>
      <c r="K53" s="22" t="s">
        <v>200</v>
      </c>
      <c r="L53"/>
      <c r="M53" s="29">
        <f>N53</f>
        <v>0</v>
      </c>
      <c r="N53" s="50">
        <f>C13*'COVERAGE FACTORS'!C45</f>
        <v>0</v>
      </c>
      <c r="P53" s="19"/>
      <c r="Q53" s="108"/>
      <c r="S53" s="19"/>
      <c r="U53" s="19"/>
      <c r="Y53"/>
      <c r="Z53"/>
      <c r="AA53"/>
      <c r="AB53"/>
      <c r="AC53"/>
      <c r="AD53"/>
    </row>
    <row r="54" spans="1:30" x14ac:dyDescent="0.25">
      <c r="A54" s="179">
        <f>B54*(1-'ACCEPT RATES'!D16)</f>
        <v>0</v>
      </c>
      <c r="B54" s="85">
        <f>C54*(1+'ACCEPT RATES'!F16+'PIECE DENSITIES'!D8)</f>
        <v>0</v>
      </c>
      <c r="C54" s="84">
        <f>G13*('COVERAGE FACTORS'!C39+'COVERAGE FACTORS'!C43)</f>
        <v>0</v>
      </c>
      <c r="G54" s="179">
        <f>H54*(1-'ACCEPT RATES'!D21)</f>
        <v>0</v>
      </c>
      <c r="H54" s="85">
        <f>I54*(1+'PIECE DENSITIES'!D13)</f>
        <v>0</v>
      </c>
      <c r="I54" s="84">
        <f>G13*'COVERAGE FACTORS'!C41</f>
        <v>0</v>
      </c>
      <c r="J54" s="58"/>
      <c r="L54"/>
      <c r="M54" s="85">
        <f>N54</f>
        <v>0</v>
      </c>
      <c r="N54" s="84">
        <f>G13*'COVERAGE FACTORS'!C45</f>
        <v>0</v>
      </c>
      <c r="P54" s="19"/>
      <c r="Q54" s="108"/>
      <c r="S54" s="19"/>
      <c r="U54" s="19"/>
      <c r="Y54"/>
      <c r="Z54"/>
      <c r="AA54"/>
      <c r="AB54"/>
      <c r="AC54"/>
      <c r="AD54"/>
    </row>
    <row r="55" spans="1:30" x14ac:dyDescent="0.25">
      <c r="A55" s="121"/>
      <c r="B55" s="85"/>
      <c r="C55" s="84"/>
      <c r="G55" s="109">
        <f>H55*(1-'ACCEPT RATES'!C21)</f>
        <v>0</v>
      </c>
      <c r="H55" s="89">
        <f>I55*(1+'PIECE DENSITIES'!D13)</f>
        <v>0</v>
      </c>
      <c r="I55" s="90">
        <f>K13*('COVERAGE FACTORS'!C41+'COVERAGE FACTORS'!C43)</f>
        <v>0</v>
      </c>
      <c r="J55" s="58"/>
      <c r="L55"/>
      <c r="M55" s="89">
        <f>N55</f>
        <v>0</v>
      </c>
      <c r="N55" s="90">
        <f>K13*(1-('COVERAGE FACTORS'!C41+'COVERAGE FACTORS'!C43))</f>
        <v>0</v>
      </c>
      <c r="P55" s="19"/>
      <c r="Q55" s="108"/>
      <c r="S55" s="19"/>
      <c r="U55" s="19"/>
      <c r="Y55"/>
      <c r="Z55"/>
      <c r="AA55"/>
      <c r="AB55"/>
      <c r="AC55"/>
      <c r="AD55"/>
    </row>
    <row r="56" spans="1:30" x14ac:dyDescent="0.25">
      <c r="A56" s="121"/>
      <c r="B56" s="85"/>
      <c r="C56" s="84"/>
      <c r="G56" s="110">
        <f>H56*(1-'ACCEPT RATES'!D21)</f>
        <v>0</v>
      </c>
      <c r="H56" s="94">
        <f>I56*(1+'PIECE DENSITIES'!D13)</f>
        <v>0</v>
      </c>
      <c r="I56" s="92">
        <f>O13*('COVERAGE FACTORS'!C41+'COVERAGE FACTORS'!C43)</f>
        <v>0</v>
      </c>
      <c r="J56" s="58"/>
      <c r="L56"/>
      <c r="M56" s="94">
        <f>N56</f>
        <v>0</v>
      </c>
      <c r="N56" s="92">
        <f>O13*(1-('COVERAGE FACTORS'!C41+'COVERAGE FACTORS'!C43))</f>
        <v>0</v>
      </c>
      <c r="P56" s="19"/>
      <c r="Q56" s="108"/>
      <c r="S56" s="19"/>
      <c r="U56" s="19"/>
      <c r="Y56"/>
      <c r="Z56"/>
      <c r="AA56"/>
      <c r="AB56"/>
      <c r="AC56"/>
      <c r="AD56"/>
    </row>
    <row r="57" spans="1:30" x14ac:dyDescent="0.25">
      <c r="A57" s="183">
        <f>B57*(1-'ACCEPT RATES'!C16)</f>
        <v>355.01704411699706</v>
      </c>
      <c r="B57" s="187">
        <f>C57*(1+'ACCEPT RATES'!F16+'PIECE DENSITIES'!D8)</f>
        <v>5791.5012218399343</v>
      </c>
      <c r="C57" s="188">
        <f>(D31+D43)*('COVERAGE FACTORS'!C39+'COVERAGE FACTORS'!C43)</f>
        <v>5729.4397512477344</v>
      </c>
      <c r="G57" s="184">
        <f>IF(SUM(C11:C16)&gt;0,H57*(1-'ACCEPT RATES'!C21),H57*(1-'ACCEPT RATES'!D21))</f>
        <v>0</v>
      </c>
      <c r="H57" s="185">
        <f>I57*(1+'PIECE DENSITIES'!D13)</f>
        <v>0</v>
      </c>
      <c r="I57" s="186">
        <f>(D31+D43)*'COVERAGE FACTORS'!C41+(J31+J43)*('COVERAGE FACTORS'!C41+'COVERAGE FACTORS'!C43)</f>
        <v>0</v>
      </c>
      <c r="J57" s="58"/>
      <c r="L57"/>
      <c r="M57" s="101">
        <f>N57</f>
        <v>925.96093933705367</v>
      </c>
      <c r="N57" s="100">
        <f>D51+J51+O31+O43+(D31+D43)*'COVERAGE FACTORS'!C45+(J31+J43)*(1-('COVERAGE FACTORS'!C41+'COVERAGE FACTORS'!C43))</f>
        <v>925.96093933705367</v>
      </c>
      <c r="P57" s="19"/>
      <c r="Q57" s="108"/>
      <c r="S57" s="19"/>
      <c r="U57" s="19"/>
      <c r="Y57"/>
      <c r="Z57"/>
      <c r="AA57"/>
      <c r="AB57"/>
      <c r="AC57"/>
      <c r="AD57"/>
    </row>
    <row r="58" spans="1:30" x14ac:dyDescent="0.25">
      <c r="A58" s="113"/>
      <c r="C58" s="97"/>
      <c r="D58" s="364">
        <f>(SUM(C53:C57)-D51)*'PIECE DENSITIES'!E8</f>
        <v>1057.1083643669228</v>
      </c>
      <c r="E58" s="23" t="s">
        <v>282</v>
      </c>
      <c r="G58" s="113"/>
      <c r="I58" s="98"/>
      <c r="J58" s="181">
        <f>(SUM(I53:I57)-J51)*'PIECE DENSITIES'!E13</f>
        <v>0</v>
      </c>
      <c r="K58" s="23" t="s">
        <v>283</v>
      </c>
      <c r="L58"/>
      <c r="M58" s="19"/>
      <c r="O58" s="95">
        <f>SUM(N53:N57)*'PIECE DENSITIES'!E18</f>
        <v>244.69802004742718</v>
      </c>
      <c r="P58" s="23" t="s">
        <v>284</v>
      </c>
      <c r="Q58" s="108"/>
      <c r="S58" s="19"/>
      <c r="U58" s="19"/>
      <c r="Y58"/>
      <c r="Z58"/>
      <c r="AA58"/>
      <c r="AB58"/>
      <c r="AC58"/>
      <c r="AD58"/>
    </row>
    <row r="59" spans="1:30" x14ac:dyDescent="0.25">
      <c r="A59" s="113"/>
      <c r="C59" s="97"/>
      <c r="D59" s="364">
        <f>(SUM(C53:C57)-D51)*'PIECE DENSITIES'!F8</f>
        <v>343.20575227958659</v>
      </c>
      <c r="E59" s="23" t="s">
        <v>285</v>
      </c>
      <c r="G59" s="113"/>
      <c r="I59" s="98"/>
      <c r="J59" s="181">
        <f>(SUM(I53:I57)-J51)*'PIECE DENSITIES'!F13</f>
        <v>0</v>
      </c>
      <c r="K59" s="23" t="s">
        <v>286</v>
      </c>
      <c r="L59"/>
      <c r="M59" s="19"/>
      <c r="O59" s="95">
        <f>SUM(N53:N57)*'PIECE DENSITIES'!F18</f>
        <v>38.405842846760592</v>
      </c>
      <c r="P59" s="23" t="s">
        <v>287</v>
      </c>
      <c r="Q59" s="108"/>
      <c r="S59" s="19"/>
      <c r="U59" s="19"/>
      <c r="Y59"/>
      <c r="Z59"/>
      <c r="AA59"/>
      <c r="AB59"/>
      <c r="AC59"/>
      <c r="AD59"/>
    </row>
    <row r="60" spans="1:30" x14ac:dyDescent="0.25">
      <c r="A60" s="113"/>
      <c r="C60" s="88"/>
      <c r="D60" s="365">
        <f>(SUM(C53:C57)-D51)*'PIECE DENSITIES'!G8</f>
        <v>3913.3703807040238</v>
      </c>
      <c r="E60" s="23" t="s">
        <v>288</v>
      </c>
      <c r="G60" s="113"/>
      <c r="I60" s="93"/>
      <c r="J60" s="182">
        <f>(SUM(I53:I57)-J51)*'PIECE DENSITIES'!G13</f>
        <v>0</v>
      </c>
      <c r="K60" s="23" t="s">
        <v>289</v>
      </c>
      <c r="L60"/>
      <c r="M60" s="19"/>
      <c r="N60" s="45"/>
      <c r="O60" s="96">
        <f>SUM(N53:N57)*'PIECE DENSITIES'!G18</f>
        <v>642.85707644286595</v>
      </c>
      <c r="P60" s="23" t="s">
        <v>290</v>
      </c>
      <c r="Q60" s="108"/>
      <c r="S60" s="19"/>
      <c r="U60" s="19"/>
      <c r="Y60"/>
      <c r="Z60"/>
      <c r="AA60"/>
      <c r="AB60"/>
      <c r="AC60"/>
      <c r="AD60"/>
    </row>
    <row r="61" spans="1:30" x14ac:dyDescent="0.25">
      <c r="A61" s="113"/>
      <c r="C61" s="97"/>
      <c r="G61" s="113"/>
      <c r="I61" s="98"/>
      <c r="J61" s="91"/>
      <c r="L61"/>
      <c r="M61" s="19"/>
      <c r="O61" s="96"/>
      <c r="P61" s="19"/>
      <c r="Q61" s="108"/>
      <c r="S61" s="19"/>
      <c r="U61" s="19"/>
      <c r="Y61"/>
      <c r="Z61"/>
      <c r="AA61"/>
      <c r="AB61"/>
      <c r="AC61"/>
      <c r="AD61"/>
    </row>
    <row r="62" spans="1:30" x14ac:dyDescent="0.25">
      <c r="A62" s="113"/>
      <c r="D62" s="96">
        <f>SUM(A64:A68)*(1-'ACCEPT RATES'!G17)+SUM(C64:C68)*SUM('ACCEPT RATES'!I17:J17)</f>
        <v>185.95311492317967</v>
      </c>
      <c r="E62" s="23" t="s">
        <v>269</v>
      </c>
      <c r="G62" s="121"/>
      <c r="I62" s="23"/>
      <c r="J62" s="96">
        <f>SUM(G64:G68)*(1-'ACCEPT RATES'!E22)</f>
        <v>0</v>
      </c>
      <c r="K62" s="23" t="s">
        <v>269</v>
      </c>
      <c r="L62"/>
      <c r="M62" s="19"/>
      <c r="P62" s="23"/>
      <c r="Q62" s="108"/>
      <c r="S62" s="19"/>
      <c r="U62" s="19"/>
      <c r="Y62"/>
      <c r="Z62"/>
      <c r="AA62"/>
      <c r="AB62"/>
      <c r="AC62"/>
      <c r="AD62"/>
    </row>
    <row r="63" spans="1:30" x14ac:dyDescent="0.25">
      <c r="A63" s="126" t="s">
        <v>270</v>
      </c>
      <c r="B63" s="86" t="s">
        <v>299</v>
      </c>
      <c r="C63" s="87"/>
      <c r="D63" s="119"/>
      <c r="E63" s="23" t="s">
        <v>300</v>
      </c>
      <c r="G63" s="126" t="s">
        <v>273</v>
      </c>
      <c r="H63" s="86" t="s">
        <v>301</v>
      </c>
      <c r="I63" s="87"/>
      <c r="J63" s="99"/>
      <c r="K63" s="22" t="s">
        <v>300</v>
      </c>
      <c r="L63"/>
      <c r="M63" s="86" t="s">
        <v>284</v>
      </c>
      <c r="N63" s="87"/>
      <c r="P63" s="19"/>
      <c r="Q63" s="108"/>
      <c r="S63" s="19"/>
      <c r="U63" s="19"/>
      <c r="Y63"/>
      <c r="Z63"/>
      <c r="AA63"/>
      <c r="AB63"/>
      <c r="AC63"/>
      <c r="AD63"/>
    </row>
    <row r="64" spans="1:30" x14ac:dyDescent="0.25">
      <c r="A64" s="120">
        <f>B64*(1-'ACCEPT RATES'!C17)</f>
        <v>0</v>
      </c>
      <c r="B64" s="29">
        <f>C64*(1+'ACCEPT RATES'!F17+'PIECE DENSITIES'!E9)</f>
        <v>0</v>
      </c>
      <c r="C64" s="50">
        <f>C14*('COVERAGE FACTORS'!C39+'COVERAGE FACTORS'!C43)</f>
        <v>0</v>
      </c>
      <c r="E64" s="23" t="s">
        <v>200</v>
      </c>
      <c r="G64" s="178">
        <f>H64*(1-'ACCEPT RATES'!C22)</f>
        <v>0</v>
      </c>
      <c r="H64" s="29">
        <f>I64*(1+'PIECE DENSITIES'!E14)</f>
        <v>0</v>
      </c>
      <c r="I64" s="50">
        <f>C14*'COVERAGE FACTORS'!C41</f>
        <v>0</v>
      </c>
      <c r="J64" s="112"/>
      <c r="K64" s="22" t="s">
        <v>200</v>
      </c>
      <c r="L64"/>
      <c r="M64" s="29">
        <f>N64</f>
        <v>0</v>
      </c>
      <c r="N64" s="50">
        <f>C14*'COVERAGE FACTORS'!C45</f>
        <v>0</v>
      </c>
      <c r="P64" s="19"/>
      <c r="Q64" s="108"/>
      <c r="S64" s="19"/>
      <c r="U64" s="19"/>
      <c r="Y64"/>
      <c r="Z64"/>
      <c r="AA64"/>
      <c r="AB64"/>
      <c r="AC64"/>
      <c r="AD64"/>
    </row>
    <row r="65" spans="1:30" x14ac:dyDescent="0.25">
      <c r="A65" s="179">
        <f>B65*(1-'ACCEPT RATES'!D17)</f>
        <v>0</v>
      </c>
      <c r="B65" s="85">
        <f>C65*(1+'ACCEPT RATES'!F17+'PIECE DENSITIES'!E9)</f>
        <v>0</v>
      </c>
      <c r="C65" s="84">
        <f>G14*('COVERAGE FACTORS'!C39+'COVERAGE FACTORS'!C43)</f>
        <v>0</v>
      </c>
      <c r="G65" s="179">
        <f>H65*(1-'ACCEPT RATES'!D22)</f>
        <v>0</v>
      </c>
      <c r="H65" s="85">
        <f>I65*(1+'PIECE DENSITIES'!E14)</f>
        <v>0</v>
      </c>
      <c r="I65" s="84">
        <f>G14*'COVERAGE FACTORS'!C41</f>
        <v>0</v>
      </c>
      <c r="J65" s="58"/>
      <c r="L65"/>
      <c r="M65" s="85">
        <f>N65</f>
        <v>0</v>
      </c>
      <c r="N65" s="84">
        <f>G14*'COVERAGE FACTORS'!C45</f>
        <v>0</v>
      </c>
      <c r="P65" s="19"/>
      <c r="Q65" s="108"/>
      <c r="S65" s="19"/>
      <c r="U65" s="19"/>
      <c r="Y65"/>
      <c r="Z65"/>
      <c r="AA65"/>
      <c r="AB65"/>
      <c r="AC65"/>
      <c r="AD65"/>
    </row>
    <row r="66" spans="1:30" x14ac:dyDescent="0.25">
      <c r="A66" s="121"/>
      <c r="B66" s="85"/>
      <c r="C66" s="84"/>
      <c r="G66" s="109">
        <f>H66*(1-'ACCEPT RATES'!C22)</f>
        <v>0</v>
      </c>
      <c r="H66" s="89">
        <f>I66*(1+'PIECE DENSITIES'!E14)</f>
        <v>0</v>
      </c>
      <c r="I66" s="90">
        <f>K14*('COVERAGE FACTORS'!C41+'COVERAGE FACTORS'!C43)</f>
        <v>0</v>
      </c>
      <c r="J66" s="58"/>
      <c r="L66"/>
      <c r="M66" s="89">
        <f>N66</f>
        <v>0</v>
      </c>
      <c r="N66" s="90">
        <f>K14*(1-('COVERAGE FACTORS'!C41+'COVERAGE FACTORS'!C43))</f>
        <v>0</v>
      </c>
      <c r="P66" s="19"/>
      <c r="Q66" s="108"/>
      <c r="S66" s="19"/>
      <c r="U66" s="19"/>
      <c r="Y66"/>
      <c r="Z66"/>
      <c r="AA66"/>
      <c r="AB66"/>
      <c r="AC66"/>
      <c r="AD66"/>
    </row>
    <row r="67" spans="1:30" x14ac:dyDescent="0.25">
      <c r="A67" s="121"/>
      <c r="B67" s="85"/>
      <c r="C67" s="84"/>
      <c r="G67" s="110">
        <f>H67*(1-'ACCEPT RATES'!D22)</f>
        <v>0</v>
      </c>
      <c r="H67" s="94">
        <f>I67*(1+'PIECE DENSITIES'!E14)</f>
        <v>0</v>
      </c>
      <c r="I67" s="92">
        <f>O14*('COVERAGE FACTORS'!C41+'COVERAGE FACTORS'!C43)</f>
        <v>0</v>
      </c>
      <c r="J67" s="58"/>
      <c r="L67"/>
      <c r="M67" s="94">
        <f>N67</f>
        <v>0</v>
      </c>
      <c r="N67" s="92">
        <f>O14*(1-('COVERAGE FACTORS'!C41+'COVERAGE FACTORS'!C43))</f>
        <v>0</v>
      </c>
      <c r="P67" s="19"/>
      <c r="Q67" s="108"/>
      <c r="S67" s="19"/>
      <c r="U67" s="19"/>
      <c r="Y67"/>
      <c r="Z67"/>
      <c r="AA67"/>
      <c r="AB67"/>
      <c r="AC67"/>
      <c r="AD67"/>
    </row>
    <row r="68" spans="1:30" x14ac:dyDescent="0.25">
      <c r="A68" s="183">
        <f>B68*(1-'ACCEPT RATES'!C17)</f>
        <v>243.26737192284455</v>
      </c>
      <c r="B68" s="187">
        <f>C68*(1+'ACCEPT RATES'!F17+'PIECE DENSITIES'!E9)</f>
        <v>3968.4947668615082</v>
      </c>
      <c r="C68" s="188">
        <f>(D32+D44+D58)*('COVERAGE FACTORS'!C39+'COVERAGE FACTORS'!C43)</f>
        <v>3736.5695568315973</v>
      </c>
      <c r="G68" s="184">
        <f>IF(SUM(C11:C16)&gt;0, H68*(1-'ACCEPT RATES'!C22),H68*(1-'ACCEPT RATES'!D22))</f>
        <v>0</v>
      </c>
      <c r="H68" s="185">
        <f>I68*(1+'PIECE DENSITIES'!E14)</f>
        <v>0</v>
      </c>
      <c r="I68" s="186">
        <f>(D32+D44+D58)*'COVERAGE FACTORS'!C41+(J32+J44+J58)*('COVERAGE FACTORS'!C41+'COVERAGE FACTORS'!C43)</f>
        <v>0</v>
      </c>
      <c r="J68" s="58"/>
      <c r="L68"/>
      <c r="M68" s="101">
        <f>N68</f>
        <v>611.33017975112364</v>
      </c>
      <c r="N68" s="100">
        <f>D62+J62+O32+O44+O58+(D32+D44+D58)*'COVERAGE FACTORS'!C45+(J32+J44+J58)*(1-('COVERAGE FACTORS'!C41+'COVERAGE FACTORS'!C43))</f>
        <v>611.33017975112364</v>
      </c>
      <c r="P68" s="19"/>
      <c r="Q68" s="108"/>
      <c r="S68" s="19"/>
      <c r="U68" s="19"/>
      <c r="Y68"/>
      <c r="Z68"/>
      <c r="AA68"/>
      <c r="AB68"/>
      <c r="AC68"/>
      <c r="AD68"/>
    </row>
    <row r="69" spans="1:30" x14ac:dyDescent="0.25">
      <c r="A69" s="113"/>
      <c r="C69" s="97"/>
      <c r="D69" s="364">
        <f>(SUM(C64:C68)-D62)*'PIECE DENSITIES'!F9</f>
        <v>79.434289037387842</v>
      </c>
      <c r="E69" s="23" t="s">
        <v>285</v>
      </c>
      <c r="G69" s="113"/>
      <c r="I69" s="98"/>
      <c r="J69" s="181">
        <f>(SUM(I64:I68)-J62)*'PIECE DENSITIES'!F14</f>
        <v>0</v>
      </c>
      <c r="K69" s="23" t="s">
        <v>286</v>
      </c>
      <c r="L69"/>
      <c r="M69" s="19"/>
      <c r="O69" s="95">
        <f>SUM(N64:N68)*'PIECE DENSITIES'!F19</f>
        <v>15.813783962804488</v>
      </c>
      <c r="P69" s="23" t="s">
        <v>287</v>
      </c>
      <c r="Q69" s="108"/>
      <c r="S69" s="19"/>
      <c r="U69" s="19"/>
      <c r="Y69"/>
      <c r="Z69"/>
      <c r="AA69"/>
      <c r="AB69"/>
      <c r="AC69"/>
      <c r="AD69"/>
    </row>
    <row r="70" spans="1:30" x14ac:dyDescent="0.25">
      <c r="A70" s="113"/>
      <c r="C70" s="97"/>
      <c r="D70" s="364">
        <f>(SUM(C64:C68)-D62)*'PIECE DENSITIES'!G9</f>
        <v>3471.1821528710298</v>
      </c>
      <c r="E70" s="23" t="s">
        <v>288</v>
      </c>
      <c r="G70" s="113"/>
      <c r="I70" s="98"/>
      <c r="J70" s="181">
        <f>(SUM(I64:I68)-J62)*'PIECE DENSITIES'!G14</f>
        <v>0</v>
      </c>
      <c r="K70" s="23" t="s">
        <v>289</v>
      </c>
      <c r="L70"/>
      <c r="M70" s="19"/>
      <c r="O70" s="95">
        <f>SUM(N64:N68)*'PIECE DENSITIES'!G19</f>
        <v>595.51639578831919</v>
      </c>
      <c r="P70" s="23" t="s">
        <v>290</v>
      </c>
      <c r="Q70" s="108"/>
      <c r="S70" s="19"/>
      <c r="U70" s="19"/>
      <c r="Y70"/>
      <c r="Z70"/>
      <c r="AA70"/>
      <c r="AB70"/>
      <c r="AC70"/>
      <c r="AD70"/>
    </row>
    <row r="71" spans="1:30" x14ac:dyDescent="0.25">
      <c r="A71" s="113"/>
      <c r="C71" s="97"/>
      <c r="G71" s="113"/>
      <c r="I71" s="98"/>
      <c r="J71" s="91"/>
      <c r="L71"/>
      <c r="M71" s="19"/>
      <c r="O71" s="96"/>
      <c r="P71" s="19"/>
      <c r="Q71" s="108"/>
      <c r="S71" s="19"/>
      <c r="U71" s="19"/>
      <c r="Y71"/>
      <c r="Z71"/>
      <c r="AA71"/>
      <c r="AB71"/>
      <c r="AC71"/>
      <c r="AD71"/>
    </row>
    <row r="72" spans="1:30" x14ac:dyDescent="0.25">
      <c r="A72" s="113"/>
      <c r="D72" s="96">
        <f>SUM(A74:A78)*(1-'ACCEPT RATES'!G17)+SUM(C74:C78)*SUM('ACCEPT RATES'!I17:J17)</f>
        <v>55.26378328382998</v>
      </c>
      <c r="E72" s="23" t="s">
        <v>269</v>
      </c>
      <c r="G72" s="121"/>
      <c r="I72" s="23"/>
      <c r="J72" s="96">
        <f>SUM(G74:G78)*(1-'ACCEPT RATES'!E22)</f>
        <v>0</v>
      </c>
      <c r="K72" s="23" t="s">
        <v>269</v>
      </c>
      <c r="L72"/>
      <c r="M72" s="19"/>
      <c r="P72" s="23"/>
      <c r="Q72" s="108"/>
      <c r="S72" s="19"/>
      <c r="U72" s="19"/>
      <c r="Y72"/>
      <c r="Z72"/>
      <c r="AA72"/>
      <c r="AB72"/>
      <c r="AC72"/>
      <c r="AD72"/>
    </row>
    <row r="73" spans="1:30" x14ac:dyDescent="0.25">
      <c r="A73" s="126" t="s">
        <v>270</v>
      </c>
      <c r="B73" s="86" t="s">
        <v>302</v>
      </c>
      <c r="C73" s="87"/>
      <c r="D73" s="119"/>
      <c r="E73" s="23" t="s">
        <v>303</v>
      </c>
      <c r="G73" s="126" t="s">
        <v>273</v>
      </c>
      <c r="H73" s="86" t="s">
        <v>304</v>
      </c>
      <c r="I73" s="87"/>
      <c r="J73" s="99"/>
      <c r="K73" s="22" t="s">
        <v>303</v>
      </c>
      <c r="L73"/>
      <c r="M73" s="86" t="s">
        <v>287</v>
      </c>
      <c r="N73" s="87"/>
      <c r="P73" s="19"/>
      <c r="Q73" s="108"/>
      <c r="S73" s="19"/>
      <c r="U73" s="19"/>
      <c r="Y73"/>
      <c r="Z73"/>
      <c r="AA73"/>
      <c r="AB73"/>
      <c r="AC73"/>
      <c r="AD73"/>
    </row>
    <row r="74" spans="1:30" x14ac:dyDescent="0.25">
      <c r="A74" s="120">
        <f>B74*(1-'ACCEPT RATES'!C17)</f>
        <v>0</v>
      </c>
      <c r="B74" s="29">
        <f>C74*(1+'ACCEPT RATES'!F17)</f>
        <v>0</v>
      </c>
      <c r="C74" s="50">
        <f>C15*('COVERAGE FACTORS'!C39+'COVERAGE FACTORS'!C43)</f>
        <v>0</v>
      </c>
      <c r="E74" s="23" t="s">
        <v>200</v>
      </c>
      <c r="G74" s="178">
        <f>H74*(1-'ACCEPT RATES'!C22)</f>
        <v>0</v>
      </c>
      <c r="H74" s="29">
        <f>I74</f>
        <v>0</v>
      </c>
      <c r="I74" s="50">
        <f>C15*'COVERAGE FACTORS'!C41</f>
        <v>0</v>
      </c>
      <c r="J74" s="112"/>
      <c r="K74" s="22" t="s">
        <v>200</v>
      </c>
      <c r="L74"/>
      <c r="M74" s="29">
        <f>N74</f>
        <v>0</v>
      </c>
      <c r="N74" s="50">
        <f>C15*'COVERAGE FACTORS'!C45</f>
        <v>0</v>
      </c>
      <c r="P74" s="19"/>
      <c r="Q74" s="108"/>
      <c r="S74" s="19"/>
      <c r="U74" s="19"/>
      <c r="Y74"/>
      <c r="Z74"/>
      <c r="AA74"/>
      <c r="AB74"/>
      <c r="AC74"/>
      <c r="AD74"/>
    </row>
    <row r="75" spans="1:30" x14ac:dyDescent="0.25">
      <c r="A75" s="179">
        <f>B75*(1-'ACCEPT RATES'!D17)</f>
        <v>0</v>
      </c>
      <c r="B75" s="85">
        <f>C75*(1+'ACCEPT RATES'!F17)</f>
        <v>0</v>
      </c>
      <c r="C75" s="84">
        <f>G15*('COVERAGE FACTORS'!C39+'COVERAGE FACTORS'!C43)</f>
        <v>0</v>
      </c>
      <c r="G75" s="179">
        <f>H75*(1-'ACCEPT RATES'!D22)</f>
        <v>0</v>
      </c>
      <c r="H75" s="85">
        <f>I75</f>
        <v>0</v>
      </c>
      <c r="I75" s="84">
        <f>G15*'COVERAGE FACTORS'!C41</f>
        <v>0</v>
      </c>
      <c r="J75" s="58"/>
      <c r="L75"/>
      <c r="M75" s="85">
        <f>N75</f>
        <v>0</v>
      </c>
      <c r="N75" s="84">
        <f>G15*'COVERAGE FACTORS'!C45</f>
        <v>0</v>
      </c>
      <c r="P75" s="19"/>
      <c r="Q75" s="108"/>
      <c r="S75" s="19"/>
      <c r="U75" s="19"/>
      <c r="Y75"/>
      <c r="Z75"/>
      <c r="AA75"/>
      <c r="AB75"/>
      <c r="AC75"/>
      <c r="AD75"/>
    </row>
    <row r="76" spans="1:30" x14ac:dyDescent="0.25">
      <c r="A76" s="121"/>
      <c r="B76" s="85"/>
      <c r="C76" s="84"/>
      <c r="G76" s="109">
        <f>H76*(1-'ACCEPT RATES'!C22)</f>
        <v>0</v>
      </c>
      <c r="H76" s="89">
        <f>I76</f>
        <v>0</v>
      </c>
      <c r="I76" s="90">
        <f>K15*('COVERAGE FACTORS'!C41+'COVERAGE FACTORS'!C43)</f>
        <v>0</v>
      </c>
      <c r="J76" s="58"/>
      <c r="L76"/>
      <c r="M76" s="89">
        <f>N76</f>
        <v>0</v>
      </c>
      <c r="N76" s="90">
        <f>K15*(1-('COVERAGE FACTORS'!C41+'COVERAGE FACTORS'!C43))</f>
        <v>0</v>
      </c>
      <c r="P76" s="19"/>
      <c r="Q76" s="108"/>
      <c r="S76" s="19"/>
      <c r="U76" s="19"/>
      <c r="Y76"/>
      <c r="Z76"/>
      <c r="AA76"/>
      <c r="AB76"/>
      <c r="AC76"/>
      <c r="AD76"/>
    </row>
    <row r="77" spans="1:30" x14ac:dyDescent="0.25">
      <c r="A77" s="121"/>
      <c r="B77" s="85"/>
      <c r="C77" s="84"/>
      <c r="G77" s="110">
        <f>H77*(1-'ACCEPT RATES'!D22)</f>
        <v>0</v>
      </c>
      <c r="H77" s="94">
        <f>I77</f>
        <v>0</v>
      </c>
      <c r="I77" s="92">
        <f>O15*('COVERAGE FACTORS'!C41+'COVERAGE FACTORS'!C43)</f>
        <v>0</v>
      </c>
      <c r="J77" s="58"/>
      <c r="L77"/>
      <c r="M77" s="94">
        <f>N77</f>
        <v>0</v>
      </c>
      <c r="N77" s="92">
        <f>O15*(1-('COVERAGE FACTORS'!C41+'COVERAGE FACTORS'!C43))</f>
        <v>0</v>
      </c>
      <c r="P77" s="19"/>
      <c r="Q77" s="108"/>
      <c r="S77" s="19"/>
      <c r="U77" s="19"/>
      <c r="Y77"/>
      <c r="Z77"/>
      <c r="AA77"/>
      <c r="AB77"/>
      <c r="AC77"/>
      <c r="AD77"/>
    </row>
    <row r="78" spans="1:30" x14ac:dyDescent="0.25">
      <c r="A78" s="183">
        <f>B78*(1-'ACCEPT RATES'!C17)</f>
        <v>69.055394552230567</v>
      </c>
      <c r="B78" s="187">
        <f>C78*(1+'ACCEPT RATES'!F17)</f>
        <v>1126.5216939614943</v>
      </c>
      <c r="C78" s="188">
        <f>(D33+D45+D59+D69)*('COVERAGE FACTORS'!C39+'COVERAGE FACTORS'!C43)</f>
        <v>1115.6691831010569</v>
      </c>
      <c r="G78" s="184">
        <f>IF(SUM(C11:C16)&gt;0,H78*(1-'ACCEPT RATES'!C22),H78*(1-'ACCEPT RATES'!D22))</f>
        <v>0</v>
      </c>
      <c r="H78" s="185">
        <f>I78</f>
        <v>0</v>
      </c>
      <c r="I78" s="186">
        <f>(D33+D45+D59+D69)*'COVERAGE FACTORS'!C41+(J33+J45+J59+J69)*('COVERAGE FACTORS'!C41+'COVERAGE FACTORS'!C43)</f>
        <v>0</v>
      </c>
      <c r="J78" s="58"/>
      <c r="L78"/>
      <c r="M78" s="101">
        <f ca="1">N78</f>
        <v>165.16023277958212</v>
      </c>
      <c r="N78" s="100">
        <f ca="1">D72+J72+O33+O45+O59+O69+(D33+D45+D59+D69)*'COVERAGE FACTORS'!C45+(J33+J45+J59+J69)*(1-('COVERAGE FACTORS'!C41+'COVERAGE FACTORS'!C43))+D106</f>
        <v>165.16023277958212</v>
      </c>
      <c r="P78" s="19"/>
      <c r="Q78" s="108"/>
      <c r="S78" s="19"/>
      <c r="U78" s="19"/>
      <c r="Y78"/>
      <c r="Z78"/>
      <c r="AA78"/>
      <c r="AB78"/>
      <c r="AC78"/>
      <c r="AD78"/>
    </row>
    <row r="79" spans="1:30" x14ac:dyDescent="0.25">
      <c r="A79" s="113"/>
      <c r="C79" s="97"/>
      <c r="D79" s="364">
        <f>SUM(C74:C78)-D72</f>
        <v>1060.4053998172269</v>
      </c>
      <c r="E79" s="23" t="s">
        <v>288</v>
      </c>
      <c r="G79" s="113"/>
      <c r="I79" s="98"/>
      <c r="J79" s="181">
        <f>SUM(I74:I78)-J72</f>
        <v>0</v>
      </c>
      <c r="K79" s="23" t="s">
        <v>289</v>
      </c>
      <c r="L79"/>
      <c r="M79" s="19"/>
      <c r="O79" s="95">
        <f ca="1">SUM(N74:N78)</f>
        <v>165.16023277958212</v>
      </c>
      <c r="P79" s="23" t="s">
        <v>290</v>
      </c>
      <c r="Q79" s="108"/>
      <c r="S79" s="19"/>
      <c r="U79" s="19"/>
      <c r="Y79"/>
      <c r="Z79"/>
      <c r="AA79"/>
      <c r="AB79"/>
      <c r="AC79"/>
      <c r="AD79"/>
    </row>
    <row r="80" spans="1:30" x14ac:dyDescent="0.25">
      <c r="A80" s="113"/>
      <c r="C80" s="97"/>
      <c r="E80" s="23"/>
      <c r="G80" s="113"/>
      <c r="I80" s="98"/>
      <c r="J80" s="91"/>
      <c r="K80" s="23"/>
      <c r="L80"/>
      <c r="M80" s="19"/>
      <c r="O80" s="96"/>
      <c r="P80" s="23"/>
      <c r="Q80" s="108"/>
      <c r="S80" s="19"/>
      <c r="U80" s="19"/>
      <c r="Y80"/>
      <c r="Z80"/>
      <c r="AA80"/>
      <c r="AB80"/>
      <c r="AC80"/>
      <c r="AD80"/>
    </row>
    <row r="81" spans="1:30" x14ac:dyDescent="0.25">
      <c r="A81" s="113"/>
      <c r="D81" s="96">
        <f>SUM(A83:A87)*(1-'ACCEPT RATES'!G17)+SUM(C83:C87)*SUM('ACCEPT RATES'!I17:J17)</f>
        <v>421.04634974712269</v>
      </c>
      <c r="E81" s="23" t="s">
        <v>269</v>
      </c>
      <c r="G81" s="121"/>
      <c r="I81" s="23"/>
      <c r="J81" s="96">
        <f>I85*(1-'ACCEPT RATES'!C22)</f>
        <v>0</v>
      </c>
      <c r="K81" s="23" t="s">
        <v>269</v>
      </c>
      <c r="L81"/>
      <c r="M81" s="19"/>
      <c r="P81" s="23"/>
      <c r="Q81" s="108"/>
      <c r="S81" s="19"/>
      <c r="U81" s="19"/>
      <c r="Y81"/>
      <c r="Z81"/>
      <c r="AA81"/>
      <c r="AB81"/>
      <c r="AC81"/>
      <c r="AD81"/>
    </row>
    <row r="82" spans="1:30" x14ac:dyDescent="0.25">
      <c r="A82" s="126" t="s">
        <v>270</v>
      </c>
      <c r="B82" s="86" t="s">
        <v>305</v>
      </c>
      <c r="C82" s="87"/>
      <c r="D82" s="119"/>
      <c r="E82" s="23" t="s">
        <v>306</v>
      </c>
      <c r="G82" s="126" t="s">
        <v>273</v>
      </c>
      <c r="H82" s="86" t="s">
        <v>307</v>
      </c>
      <c r="I82" s="87"/>
      <c r="J82" s="99"/>
      <c r="K82" s="22" t="s">
        <v>306</v>
      </c>
      <c r="L82"/>
      <c r="M82" s="86" t="s">
        <v>290</v>
      </c>
      <c r="N82" s="87"/>
      <c r="P82" s="19"/>
      <c r="Q82" s="108"/>
      <c r="S82" s="19"/>
      <c r="U82" s="19"/>
      <c r="Y82"/>
      <c r="Z82"/>
      <c r="AA82"/>
      <c r="AB82"/>
      <c r="AC82"/>
      <c r="AD82"/>
    </row>
    <row r="83" spans="1:30" x14ac:dyDescent="0.25">
      <c r="A83" s="120">
        <f>B83*(1-'ACCEPT RATES'!C17)</f>
        <v>0</v>
      </c>
      <c r="B83" s="29">
        <f>C83*(1+'ACCEPT RATES'!F17)</f>
        <v>0</v>
      </c>
      <c r="C83" s="50">
        <f>C16*('COVERAGE FACTORS'!C55+'COVERAGE FACTORS'!C59)</f>
        <v>0</v>
      </c>
      <c r="E83" s="23" t="s">
        <v>200</v>
      </c>
      <c r="G83" s="178">
        <v>0</v>
      </c>
      <c r="H83" s="29">
        <f>I83</f>
        <v>0</v>
      </c>
      <c r="I83" s="50">
        <f>C16*'COVERAGE FACTORS'!C57</f>
        <v>0</v>
      </c>
      <c r="J83" s="112"/>
      <c r="K83" s="22" t="s">
        <v>200</v>
      </c>
      <c r="L83"/>
      <c r="M83" s="29">
        <f>N83</f>
        <v>0</v>
      </c>
      <c r="N83" s="50">
        <f>C16*'COVERAGE FACTORS'!C61</f>
        <v>0</v>
      </c>
      <c r="P83" s="19"/>
      <c r="Q83" s="108"/>
      <c r="S83" s="19"/>
      <c r="U83" s="19"/>
      <c r="Y83"/>
      <c r="Z83"/>
      <c r="AA83"/>
      <c r="AB83"/>
      <c r="AC83"/>
      <c r="AD83"/>
    </row>
    <row r="84" spans="1:30" x14ac:dyDescent="0.25">
      <c r="A84" s="179">
        <f>B84*(1-'ACCEPT RATES'!D17)</f>
        <v>0</v>
      </c>
      <c r="B84" s="85">
        <f>C84*(1+'ACCEPT RATES'!F17)</f>
        <v>0</v>
      </c>
      <c r="C84" s="84">
        <f>G16*('COVERAGE FACTORS'!C55+'COVERAGE FACTORS'!C59)</f>
        <v>0</v>
      </c>
      <c r="G84" s="179">
        <v>0</v>
      </c>
      <c r="H84" s="85">
        <f>I84</f>
        <v>0</v>
      </c>
      <c r="I84" s="84">
        <f>G16*'COVERAGE FACTORS'!C57</f>
        <v>0</v>
      </c>
      <c r="J84" s="58"/>
      <c r="L84"/>
      <c r="M84" s="85">
        <f>N84</f>
        <v>0</v>
      </c>
      <c r="N84" s="84">
        <f>G16*'COVERAGE FACTORS'!C61</f>
        <v>0</v>
      </c>
      <c r="P84" s="19"/>
      <c r="Q84" s="108"/>
      <c r="S84" s="19"/>
      <c r="U84" s="19"/>
      <c r="Y84"/>
      <c r="Z84"/>
      <c r="AA84"/>
      <c r="AB84"/>
      <c r="AC84"/>
      <c r="AD84"/>
    </row>
    <row r="85" spans="1:30" x14ac:dyDescent="0.25">
      <c r="A85" s="121"/>
      <c r="B85" s="85"/>
      <c r="C85" s="84"/>
      <c r="G85" s="109">
        <v>0</v>
      </c>
      <c r="H85" s="89">
        <f>I85</f>
        <v>0</v>
      </c>
      <c r="I85" s="90">
        <f>K16*('COVERAGE FACTORS'!C57+'COVERAGE FACTORS'!C59)</f>
        <v>0</v>
      </c>
      <c r="J85" s="58"/>
      <c r="L85"/>
      <c r="M85" s="89">
        <f>N85</f>
        <v>0</v>
      </c>
      <c r="N85" s="90">
        <f>K16*(1-('COVERAGE FACTORS'!C57+'COVERAGE FACTORS'!C59+'COVERAGE FACTORS'!C53))</f>
        <v>0</v>
      </c>
      <c r="P85" s="19"/>
      <c r="Q85" s="108"/>
      <c r="S85" s="19"/>
      <c r="U85" s="19"/>
      <c r="Y85"/>
      <c r="Z85"/>
      <c r="AA85"/>
      <c r="AB85"/>
      <c r="AC85"/>
      <c r="AD85"/>
    </row>
    <row r="86" spans="1:30" x14ac:dyDescent="0.25">
      <c r="A86" s="121"/>
      <c r="B86" s="85"/>
      <c r="C86" s="84"/>
      <c r="G86" s="110">
        <v>0</v>
      </c>
      <c r="H86" s="94">
        <f>I86</f>
        <v>0</v>
      </c>
      <c r="I86" s="92">
        <f>O16*('COVERAGE FACTORS'!C57+'COVERAGE FACTORS'!C59)</f>
        <v>0</v>
      </c>
      <c r="J86" s="58"/>
      <c r="L86"/>
      <c r="M86" s="94">
        <f>N86</f>
        <v>0</v>
      </c>
      <c r="N86" s="92">
        <f>O16*(1-('COVERAGE FACTORS'!C57+'COVERAGE FACTORS'!C59+'COVERAGE FACTORS'!C53))</f>
        <v>0</v>
      </c>
      <c r="P86" s="19"/>
      <c r="Q86" s="108"/>
      <c r="S86" s="19"/>
      <c r="U86" s="19"/>
      <c r="Y86"/>
      <c r="Z86"/>
      <c r="AA86"/>
      <c r="AB86"/>
      <c r="AC86"/>
      <c r="AD86"/>
    </row>
    <row r="87" spans="1:30" x14ac:dyDescent="0.25">
      <c r="A87" s="183">
        <f>B87*(1-'ACCEPT RATES'!C17)</f>
        <v>526.12253593342814</v>
      </c>
      <c r="B87" s="187">
        <f>C87*(1+'ACCEPT RATES'!F17)</f>
        <v>8582.797249283085</v>
      </c>
      <c r="C87" s="188">
        <f>(D34+D46+D60+D70+D79)*('COVERAGE FACTORS'!C55+'COVERAGE FACTORS'!C59)</f>
        <v>8500.1136215641836</v>
      </c>
      <c r="G87" s="184">
        <v>0</v>
      </c>
      <c r="H87" s="185">
        <f>I87</f>
        <v>0</v>
      </c>
      <c r="I87" s="186">
        <f>(D34+D46+D60+D70+D79)*'COVERAGE FACTORS'!C57+(J34+J46+J60+J70+J79)*('COVERAGE FACTORS'!C57+'COVERAGE FACTORS'!C59)</f>
        <v>0</v>
      </c>
      <c r="J87" s="182"/>
      <c r="L87"/>
      <c r="M87" s="101">
        <f ca="1">N87</f>
        <v>1920.9327281829253</v>
      </c>
      <c r="N87" s="100">
        <f ca="1">D81+J81+(O34+O46+O60+O70+O79)+(D34+D46+D60+D70+D79)*'COVERAGE FACTORS'!C61+(J34+J46+J60+J70+J79)*(1-('COVERAGE FACTORS'!C57+'COVERAGE FACTORS'!C59))+D120</f>
        <v>1920.9327281829253</v>
      </c>
      <c r="P87" s="19"/>
      <c r="Q87" s="108"/>
      <c r="S87" s="19"/>
      <c r="U87" s="19"/>
      <c r="Y87"/>
      <c r="Z87"/>
      <c r="AA87"/>
      <c r="AB87"/>
      <c r="AC87"/>
      <c r="AD87"/>
    </row>
    <row r="88" spans="1:30" x14ac:dyDescent="0.25">
      <c r="A88" s="113"/>
      <c r="C88" s="97"/>
      <c r="D88" s="102">
        <f>SUM(C83:C87)-D81</f>
        <v>8079.0672718170608</v>
      </c>
      <c r="E88" s="23"/>
      <c r="G88" s="366"/>
      <c r="H88" s="367"/>
      <c r="I88" s="367"/>
      <c r="J88" s="368">
        <f>SUM(I83:I87)-J81</f>
        <v>0</v>
      </c>
      <c r="K88" s="23"/>
      <c r="L88"/>
      <c r="M88" s="19"/>
      <c r="O88" s="189">
        <f ca="1">SUM(N83:N87)</f>
        <v>1920.9327281829253</v>
      </c>
      <c r="P88" s="23"/>
      <c r="Q88" s="108"/>
      <c r="S88" s="19"/>
      <c r="U88" s="19"/>
      <c r="Y88"/>
      <c r="Z88"/>
      <c r="AA88"/>
      <c r="AB88"/>
      <c r="AC88"/>
      <c r="AD88"/>
    </row>
    <row r="89" spans="1:30" x14ac:dyDescent="0.25">
      <c r="A89" s="113"/>
      <c r="C89" s="97"/>
      <c r="D89" s="22" t="s">
        <v>308</v>
      </c>
      <c r="E89" s="23"/>
      <c r="G89" s="113"/>
      <c r="I89" s="98"/>
      <c r="J89" s="22" t="s">
        <v>308</v>
      </c>
      <c r="K89" s="23"/>
      <c r="L89"/>
      <c r="M89" s="19"/>
      <c r="O89" s="22" t="s">
        <v>308</v>
      </c>
      <c r="P89" s="23"/>
      <c r="Q89" s="108"/>
      <c r="S89" s="19"/>
      <c r="U89" s="19"/>
      <c r="Y89"/>
      <c r="Z89"/>
      <c r="AA89"/>
      <c r="AB89"/>
      <c r="AC89"/>
      <c r="AD89"/>
    </row>
    <row r="90" spans="1:30" x14ac:dyDescent="0.25">
      <c r="A90" s="113"/>
      <c r="G90" s="113"/>
      <c r="H90"/>
      <c r="I90" s="19"/>
      <c r="J90" s="58"/>
      <c r="P90" s="19"/>
      <c r="Q90" s="108"/>
      <c r="S90" s="19"/>
      <c r="U90" s="19"/>
      <c r="Y90"/>
      <c r="Z90"/>
      <c r="AA90"/>
      <c r="AB90"/>
      <c r="AC90"/>
      <c r="AD90"/>
    </row>
    <row r="91" spans="1:30" x14ac:dyDescent="0.25">
      <c r="A91" s="113"/>
      <c r="D91" s="437" t="s">
        <v>269</v>
      </c>
      <c r="E91" s="437"/>
      <c r="G91" s="113"/>
      <c r="H91"/>
      <c r="I91" s="19"/>
      <c r="J91" s="58"/>
      <c r="P91" s="19"/>
      <c r="Q91" s="108"/>
      <c r="S91" s="19"/>
      <c r="U91" s="19"/>
      <c r="Y91"/>
      <c r="Z91"/>
      <c r="AA91"/>
      <c r="AB91"/>
      <c r="AC91"/>
      <c r="AD91"/>
    </row>
    <row r="92" spans="1:30" x14ac:dyDescent="0.25">
      <c r="A92" s="114"/>
      <c r="B92" s="116"/>
      <c r="C92" s="116"/>
      <c r="D92" s="22" t="s">
        <v>309</v>
      </c>
      <c r="E92" s="23" t="s">
        <v>310</v>
      </c>
      <c r="F92" s="116"/>
      <c r="G92" s="114"/>
      <c r="H92" s="115"/>
      <c r="I92" s="116"/>
      <c r="J92" s="117"/>
      <c r="K92" s="116"/>
      <c r="L92" s="116"/>
      <c r="M92" s="115"/>
      <c r="N92" s="116"/>
      <c r="O92" s="117"/>
      <c r="P92" s="116"/>
      <c r="Q92" s="118"/>
      <c r="S92" s="19"/>
      <c r="U92" s="19"/>
      <c r="Y92"/>
      <c r="Z92"/>
      <c r="AA92"/>
      <c r="AB92"/>
      <c r="AC92"/>
      <c r="AD92"/>
    </row>
    <row r="93" spans="1:30" x14ac:dyDescent="0.25">
      <c r="D93" s="266">
        <f ca="1">SUM(A95:A99)*(1-'ACCEPT RATES'!G24)+SUM(B95:B99)*'ACCEPT RATES'!J24</f>
        <v>0</v>
      </c>
      <c r="E93" s="267">
        <f ca="1">SUM(B95:B99)*'ACCEPT RATES'!I24</f>
        <v>0</v>
      </c>
    </row>
    <row r="94" spans="1:30" x14ac:dyDescent="0.25">
      <c r="A94" s="23" t="s">
        <v>270</v>
      </c>
      <c r="B94" s="213" t="s">
        <v>99</v>
      </c>
      <c r="C94" s="212"/>
      <c r="E94" s="23" t="s">
        <v>306</v>
      </c>
    </row>
    <row r="95" spans="1:30" x14ac:dyDescent="0.25">
      <c r="A95" s="50">
        <f>B95*(1-'ACCEPT RATES'!C24)</f>
        <v>0</v>
      </c>
      <c r="B95" s="29">
        <f>C95*(1+'ACCEPT RATES'!F17)</f>
        <v>0</v>
      </c>
      <c r="C95" s="50">
        <f>C16*'COVERAGE FACTORS'!C53</f>
        <v>0</v>
      </c>
      <c r="E95" s="23" t="s">
        <v>200</v>
      </c>
    </row>
    <row r="96" spans="1:30" x14ac:dyDescent="0.25">
      <c r="A96" s="84">
        <f>B96*(1-'ACCEPT RATES'!D24)</f>
        <v>0</v>
      </c>
      <c r="B96" s="85">
        <f>C96*(1+'ACCEPT RATES'!F17)</f>
        <v>0</v>
      </c>
      <c r="C96" s="84">
        <f>G16*'COVERAGE FACTORS'!C53</f>
        <v>0</v>
      </c>
    </row>
    <row r="97" spans="1:11" x14ac:dyDescent="0.25">
      <c r="A97" s="90">
        <f>B97*(1-'ACCEPT RATES'!C24)</f>
        <v>0</v>
      </c>
      <c r="B97" s="89">
        <f>C97*(1+'ACCEPT RATES'!F17)</f>
        <v>0</v>
      </c>
      <c r="C97" s="90">
        <f>K16*'COVERAGE FACTORS'!C53</f>
        <v>0</v>
      </c>
    </row>
    <row r="98" spans="1:11" x14ac:dyDescent="0.25">
      <c r="A98" s="92">
        <f>B98*(1-'ACCEPT RATES'!D24)</f>
        <v>0</v>
      </c>
      <c r="B98" s="94">
        <f>C98*(1+'ACCEPT RATES'!F17)</f>
        <v>0</v>
      </c>
      <c r="C98" s="92">
        <f>O16*'COVERAGE FACTORS'!C53</f>
        <v>0</v>
      </c>
    </row>
    <row r="99" spans="1:11" x14ac:dyDescent="0.25">
      <c r="A99" s="214">
        <f ca="1">B99*(1-'ACCEPT RATES'!C24)</f>
        <v>0</v>
      </c>
      <c r="B99" s="215">
        <f ca="1">C99*(1+'ACCEPT RATES'!F17)</f>
        <v>0</v>
      </c>
      <c r="C99" s="214">
        <f ca="1">(D16+D34+D46+D60+D70+D79)*'COVERAGE FACTORS'!C53+D114</f>
        <v>0</v>
      </c>
    </row>
    <row r="100" spans="1:11" x14ac:dyDescent="0.25">
      <c r="D100" s="369">
        <f ca="1">SUM(C95:C99)-D93-E93</f>
        <v>0</v>
      </c>
    </row>
    <row r="101" spans="1:11" x14ac:dyDescent="0.25">
      <c r="D101" s="22" t="s">
        <v>311</v>
      </c>
    </row>
    <row r="105" spans="1:11" x14ac:dyDescent="0.25">
      <c r="D105" s="22"/>
    </row>
    <row r="106" spans="1:11" x14ac:dyDescent="0.25">
      <c r="A106" s="113"/>
      <c r="D106" s="258">
        <f ca="1">A112*(1-'ACCEPT RATES'!G17)+B112*('ACCEPT RATES'!I17+'ACCEPT RATES'!J17)</f>
        <v>0</v>
      </c>
      <c r="E106" s="23" t="s">
        <v>269</v>
      </c>
      <c r="G106" s="438" t="s">
        <v>312</v>
      </c>
      <c r="H106" s="438"/>
      <c r="I106" s="438"/>
      <c r="J106" s="438"/>
      <c r="K106" s="438"/>
    </row>
    <row r="107" spans="1:11" x14ac:dyDescent="0.25">
      <c r="A107" s="126" t="s">
        <v>270</v>
      </c>
      <c r="B107" s="86" t="s">
        <v>313</v>
      </c>
      <c r="C107" s="87"/>
      <c r="D107"/>
      <c r="E107" s="23" t="s">
        <v>303</v>
      </c>
      <c r="G107" s="438"/>
      <c r="H107" s="438"/>
      <c r="I107" s="438"/>
      <c r="J107" s="438"/>
      <c r="K107" s="438"/>
    </row>
    <row r="108" spans="1:11" x14ac:dyDescent="0.25">
      <c r="A108" s="50"/>
      <c r="B108" s="29"/>
      <c r="C108" s="50"/>
      <c r="E108" s="23" t="s">
        <v>200</v>
      </c>
      <c r="G108" s="438"/>
      <c r="H108" s="438"/>
      <c r="I108" s="438"/>
      <c r="J108" s="438"/>
      <c r="K108" s="438"/>
    </row>
    <row r="109" spans="1:11" x14ac:dyDescent="0.25">
      <c r="A109" s="179"/>
      <c r="B109" s="85"/>
      <c r="C109" s="84"/>
      <c r="G109" s="438"/>
      <c r="H109" s="438"/>
      <c r="I109" s="438"/>
      <c r="J109" s="438"/>
      <c r="K109" s="438"/>
    </row>
    <row r="110" spans="1:11" x14ac:dyDescent="0.25">
      <c r="A110" s="121"/>
      <c r="B110" s="85"/>
      <c r="C110" s="84"/>
      <c r="G110" s="438"/>
      <c r="H110" s="438"/>
      <c r="I110" s="438"/>
      <c r="J110" s="438"/>
      <c r="K110" s="438"/>
    </row>
    <row r="111" spans="1:11" x14ac:dyDescent="0.25">
      <c r="A111" s="121"/>
      <c r="B111" s="85"/>
      <c r="C111" s="84"/>
      <c r="G111" s="438"/>
      <c r="H111" s="438"/>
      <c r="I111" s="438"/>
      <c r="J111" s="438"/>
      <c r="K111" s="438"/>
    </row>
    <row r="112" spans="1:11" x14ac:dyDescent="0.25">
      <c r="A112" s="259">
        <f ca="1">B112*(1-'ACCEPT RATES'!$C$17)</f>
        <v>0</v>
      </c>
      <c r="B112" s="260">
        <f ca="1">C112*(1+'ACCEPT RATES'!$F$17)</f>
        <v>0</v>
      </c>
      <c r="C112" s="261">
        <f ca="1">E93</f>
        <v>0</v>
      </c>
      <c r="G112" s="438"/>
      <c r="H112" s="438"/>
      <c r="I112" s="438"/>
      <c r="J112" s="438"/>
      <c r="K112" s="438"/>
    </row>
    <row r="113" spans="1:11" x14ac:dyDescent="0.25">
      <c r="A113" s="113"/>
      <c r="C113" s="119"/>
      <c r="D113" s="370">
        <f ca="1">($C$112-$D$106)*(1-'COVERAGE FACTORS'!$C$66)</f>
        <v>0</v>
      </c>
      <c r="E113" s="23" t="s">
        <v>288</v>
      </c>
      <c r="G113" s="438"/>
      <c r="H113" s="438"/>
      <c r="I113" s="438"/>
      <c r="J113" s="438"/>
      <c r="K113" s="438"/>
    </row>
    <row r="114" spans="1:11" x14ac:dyDescent="0.25">
      <c r="A114" s="113"/>
      <c r="C114" s="119"/>
      <c r="D114" s="370">
        <f ca="1">($C$112-$D$106)*'COVERAGE FACTORS'!$C$66</f>
        <v>0</v>
      </c>
      <c r="E114" s="23" t="s">
        <v>99</v>
      </c>
    </row>
    <row r="115" spans="1:11" x14ac:dyDescent="0.25">
      <c r="A115" s="113"/>
      <c r="C115" s="97"/>
      <c r="E115" s="23"/>
    </row>
    <row r="116" spans="1:11" x14ac:dyDescent="0.25">
      <c r="A116" s="113"/>
      <c r="C116" s="97"/>
      <c r="E116" s="23"/>
    </row>
    <row r="117" spans="1:11" x14ac:dyDescent="0.25">
      <c r="A117" s="113"/>
      <c r="C117" s="97"/>
      <c r="E117" s="23"/>
    </row>
    <row r="118" spans="1:11" x14ac:dyDescent="0.25">
      <c r="A118" s="113"/>
      <c r="C118" s="97"/>
      <c r="E118" s="23"/>
    </row>
    <row r="119" spans="1:11" x14ac:dyDescent="0.25">
      <c r="A119" s="113"/>
      <c r="C119" s="97"/>
      <c r="E119" s="23"/>
    </row>
    <row r="120" spans="1:11" x14ac:dyDescent="0.25">
      <c r="A120" s="121"/>
      <c r="D120" s="262">
        <f ca="1">A126*'ACCEPT RATES'!H17+B126*('ACCEPT RATES'!I17+'ACCEPT RATES'!J17)</f>
        <v>0</v>
      </c>
      <c r="E120" s="23" t="s">
        <v>269</v>
      </c>
    </row>
    <row r="121" spans="1:11" x14ac:dyDescent="0.25">
      <c r="A121" s="126" t="s">
        <v>270</v>
      </c>
      <c r="B121" s="86" t="s">
        <v>314</v>
      </c>
      <c r="C121" s="87"/>
      <c r="D121" s="119"/>
      <c r="E121" s="23" t="s">
        <v>306</v>
      </c>
    </row>
    <row r="122" spans="1:11" x14ac:dyDescent="0.25">
      <c r="A122" s="263"/>
      <c r="B122" s="29"/>
      <c r="C122" s="50"/>
      <c r="E122" s="23" t="s">
        <v>200</v>
      </c>
    </row>
    <row r="123" spans="1:11" x14ac:dyDescent="0.25">
      <c r="A123" s="179"/>
      <c r="B123" s="85"/>
      <c r="C123" s="84"/>
    </row>
    <row r="124" spans="1:11" x14ac:dyDescent="0.25">
      <c r="A124" s="121"/>
      <c r="B124" s="85"/>
      <c r="C124" s="84"/>
    </row>
    <row r="125" spans="1:11" x14ac:dyDescent="0.25">
      <c r="A125" s="121"/>
      <c r="B125" s="85"/>
      <c r="C125" s="84"/>
    </row>
    <row r="126" spans="1:11" x14ac:dyDescent="0.25">
      <c r="A126" s="264">
        <f ca="1">B126*(1-'ACCEPT RATES'!$C$17)</f>
        <v>0</v>
      </c>
      <c r="B126" s="260">
        <f ca="1">C126*(1+'ACCEPT RATES'!$F$17)</f>
        <v>0</v>
      </c>
      <c r="C126" s="261">
        <f ca="1">$D$93+$D$113</f>
        <v>0</v>
      </c>
    </row>
    <row r="127" spans="1:11" x14ac:dyDescent="0.25">
      <c r="A127" s="121"/>
      <c r="C127" s="119"/>
      <c r="D127" s="265">
        <f ca="1">C126-D120</f>
        <v>0</v>
      </c>
      <c r="E127" s="23"/>
    </row>
    <row r="128" spans="1:11" x14ac:dyDescent="0.25">
      <c r="A128" s="121"/>
      <c r="D128" s="22" t="s">
        <v>308</v>
      </c>
      <c r="E128" s="23"/>
    </row>
  </sheetData>
  <mergeCells count="2">
    <mergeCell ref="D91:E91"/>
    <mergeCell ref="G106:K113"/>
  </mergeCells>
  <phoneticPr fontId="42" type="noConversion"/>
  <pageMargins left="0.75" right="0.75" top="1" bottom="1" header="0.5" footer="0.5"/>
  <pageSetup orientation="portrait" horizontalDpi="300" verticalDpi="0" copies="0" r:id="rId1"/>
  <headerFooter alignWithMargins="0"/>
  <drawing r:id="rId2"/>
</worksheet>
</file>

<file path=xl/worksheets/sheet1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6">
    <pageSetUpPr fitToPage="1"/>
  </sheetPr>
  <dimension ref="A1:K86"/>
  <sheetViews>
    <sheetView zoomScale="75" workbookViewId="0"/>
  </sheetViews>
  <sheetFormatPr defaultRowHeight="13.2" x14ac:dyDescent="0.25"/>
  <cols>
    <col min="1" max="1" width="5.77734375" customWidth="1"/>
    <col min="2" max="2" width="25.77734375" customWidth="1"/>
    <col min="3" max="4" width="10.77734375" style="2" customWidth="1"/>
    <col min="5" max="5" width="10.77734375" style="37" customWidth="1"/>
    <col min="6" max="6" width="10.77734375" style="132" customWidth="1"/>
    <col min="7" max="7" width="10.77734375" style="41" customWidth="1"/>
    <col min="8" max="9" width="10.77734375" style="30" customWidth="1"/>
    <col min="10" max="10" width="10.77734375" style="132" customWidth="1"/>
    <col min="11" max="11" width="10.44140625" customWidth="1"/>
    <col min="12" max="26" width="9.77734375" customWidth="1"/>
  </cols>
  <sheetData>
    <row r="1" spans="1:11" ht="22.8" x14ac:dyDescent="0.4">
      <c r="A1" s="125" t="s">
        <v>317</v>
      </c>
    </row>
    <row r="2" spans="1:11" ht="17.399999999999999" x14ac:dyDescent="0.3">
      <c r="A2" s="4" t="s">
        <v>181</v>
      </c>
    </row>
    <row r="3" spans="1:11" s="6" customFormat="1" ht="12.75" customHeight="1" x14ac:dyDescent="0.25">
      <c r="A3" s="1"/>
      <c r="B3" s="146"/>
      <c r="C3" s="268"/>
      <c r="D3" s="268"/>
      <c r="E3" s="269"/>
      <c r="F3" s="270"/>
      <c r="G3" s="241"/>
      <c r="H3" s="145"/>
      <c r="I3" s="145"/>
      <c r="J3" s="270"/>
      <c r="K3" s="146"/>
    </row>
    <row r="4" spans="1:11" s="6" customFormat="1" ht="12.75" customHeight="1" x14ac:dyDescent="0.25">
      <c r="A4" s="1"/>
      <c r="B4" s="146"/>
      <c r="C4" s="16" t="str">
        <f>"(1)"</f>
        <v>(1)</v>
      </c>
      <c r="D4" s="16" t="str">
        <f>"(2)"</f>
        <v>(2)</v>
      </c>
      <c r="E4" s="38" t="str">
        <f>"(3)"</f>
        <v>(3)</v>
      </c>
      <c r="F4" s="16" t="str">
        <f>"(4)"</f>
        <v>(4)</v>
      </c>
      <c r="G4" s="40" t="str">
        <f>"(5)"</f>
        <v>(5)</v>
      </c>
      <c r="H4" s="16" t="str">
        <f>"(6)"</f>
        <v>(6)</v>
      </c>
      <c r="I4" s="16" t="str">
        <f>"(7)"</f>
        <v>(7)</v>
      </c>
      <c r="J4" s="16" t="str">
        <f>"(8)"</f>
        <v>(8)</v>
      </c>
      <c r="K4" s="16" t="str">
        <f>"(9)"</f>
        <v>(9)</v>
      </c>
    </row>
    <row r="5" spans="1:11" s="6" customFormat="1" ht="12.75" customHeight="1" x14ac:dyDescent="0.25">
      <c r="A5" s="1"/>
      <c r="B5" s="146"/>
      <c r="C5" s="268"/>
      <c r="D5" s="268"/>
      <c r="E5" s="269"/>
      <c r="F5" s="270"/>
      <c r="G5" s="241"/>
      <c r="H5" s="145"/>
      <c r="I5" s="145"/>
      <c r="J5" s="270"/>
      <c r="K5"/>
    </row>
    <row r="6" spans="1:11" x14ac:dyDescent="0.25">
      <c r="D6" s="16" t="s">
        <v>182</v>
      </c>
      <c r="F6" s="133" t="s">
        <v>183</v>
      </c>
      <c r="H6" s="31" t="s">
        <v>184</v>
      </c>
      <c r="I6" s="31" t="s">
        <v>184</v>
      </c>
      <c r="J6" s="133" t="s">
        <v>8</v>
      </c>
      <c r="K6" s="133" t="s">
        <v>185</v>
      </c>
    </row>
    <row r="7" spans="1:11" x14ac:dyDescent="0.25">
      <c r="C7"/>
      <c r="D7" s="16" t="s">
        <v>186</v>
      </c>
      <c r="E7" s="38" t="s">
        <v>187</v>
      </c>
      <c r="F7" s="133" t="s">
        <v>188</v>
      </c>
      <c r="G7" s="40" t="s">
        <v>189</v>
      </c>
      <c r="H7" s="31" t="s">
        <v>190</v>
      </c>
      <c r="I7" s="31" t="s">
        <v>190</v>
      </c>
      <c r="J7" s="133" t="s">
        <v>188</v>
      </c>
      <c r="K7" s="133" t="s">
        <v>188</v>
      </c>
    </row>
    <row r="8" spans="1:11" x14ac:dyDescent="0.25">
      <c r="A8" s="35" t="s">
        <v>191</v>
      </c>
      <c r="C8" s="134" t="s">
        <v>17</v>
      </c>
      <c r="D8" s="134" t="s">
        <v>192</v>
      </c>
      <c r="E8" s="39" t="s">
        <v>193</v>
      </c>
      <c r="F8" s="135" t="s">
        <v>194</v>
      </c>
      <c r="G8" s="42" t="s">
        <v>195</v>
      </c>
      <c r="H8" s="36" t="s">
        <v>195</v>
      </c>
      <c r="I8" s="36" t="s">
        <v>196</v>
      </c>
      <c r="J8" s="135" t="s">
        <v>194</v>
      </c>
      <c r="K8" s="135" t="s">
        <v>194</v>
      </c>
    </row>
    <row r="9" spans="1:11" x14ac:dyDescent="0.25">
      <c r="A9" s="35"/>
      <c r="C9" s="134"/>
      <c r="D9" s="134"/>
      <c r="E9" s="39"/>
      <c r="F9" s="135"/>
      <c r="G9" s="42"/>
      <c r="H9" s="36"/>
      <c r="I9" s="36"/>
      <c r="J9" s="135"/>
    </row>
    <row r="10" spans="1:11" x14ac:dyDescent="0.25">
      <c r="A10" s="1" t="s">
        <v>220</v>
      </c>
      <c r="C10" s="134"/>
      <c r="D10" s="134"/>
      <c r="E10" s="39"/>
      <c r="F10" s="135"/>
      <c r="G10" s="42"/>
      <c r="H10" s="36"/>
      <c r="I10" s="36"/>
      <c r="J10" s="135"/>
    </row>
    <row r="11" spans="1:11" x14ac:dyDescent="0.25">
      <c r="A11" s="35"/>
      <c r="B11" t="s">
        <v>198</v>
      </c>
      <c r="C11" s="326">
        <f>'ADC AUTO COST'!C11</f>
        <v>0</v>
      </c>
      <c r="D11" s="326">
        <f>PRODUCTIVITIES!$E$8</f>
        <v>175.66894168226426</v>
      </c>
      <c r="E11" s="269">
        <f>'WAGE RATES'!$D$6</f>
        <v>50.10717457546064</v>
      </c>
      <c r="F11" s="41">
        <f>E11*100/D11</f>
        <v>28.523638894626252</v>
      </c>
      <c r="G11" s="241">
        <f>PIGGYBACKS!$B$5</f>
        <v>1.8052502472456198</v>
      </c>
      <c r="H11" s="241">
        <f>'WAGE RATES'!$D$10</f>
        <v>1.0285306172213804</v>
      </c>
      <c r="I11" s="41">
        <f>(H11-1)*F11</f>
        <v>0.81379702306345936</v>
      </c>
      <c r="J11" s="41">
        <f>F11*G11+I11</f>
        <v>52.30610318993228</v>
      </c>
      <c r="K11" s="41">
        <f ca="1">C11*$J11/'ADC NONAUTO MODEL'!$G$6</f>
        <v>0</v>
      </c>
    </row>
    <row r="12" spans="1:11" x14ac:dyDescent="0.25">
      <c r="A12" s="35"/>
      <c r="B12" t="s">
        <v>199</v>
      </c>
      <c r="C12" s="326">
        <f>'ADC AUTO COST'!C12</f>
        <v>0</v>
      </c>
      <c r="D12" s="326">
        <f>PRODUCTIVITIES!$E$10</f>
        <v>194.60202715898563</v>
      </c>
      <c r="E12" s="269">
        <f>'WAGE RATES'!$D$6</f>
        <v>50.10717457546064</v>
      </c>
      <c r="F12" s="41">
        <f>E12*100/D12</f>
        <v>25.748536799426127</v>
      </c>
      <c r="G12" s="241">
        <f>PIGGYBACKS!$B$6</f>
        <v>1.6056412614911089</v>
      </c>
      <c r="H12" s="241">
        <f>'WAGE RATES'!$D$10</f>
        <v>1.0285306172213804</v>
      </c>
      <c r="I12" s="41">
        <f>(H12-1)*F12</f>
        <v>0.73462164743505387</v>
      </c>
      <c r="J12" s="41">
        <f>F12*G12+I12</f>
        <v>42.077534755615858</v>
      </c>
      <c r="K12" s="41">
        <f ca="1">C12*$J12/'ADC NONAUTO MODEL'!$G$6</f>
        <v>0</v>
      </c>
    </row>
    <row r="13" spans="1:11" x14ac:dyDescent="0.25">
      <c r="A13" s="35"/>
      <c r="B13" t="s">
        <v>200</v>
      </c>
      <c r="C13" s="326">
        <f>'ADC AUTO COST'!C13</f>
        <v>282.01526176874671</v>
      </c>
      <c r="D13" s="326">
        <f>PRODUCTIVITIES!$E$12</f>
        <v>388.77898659935892</v>
      </c>
      <c r="E13" s="269">
        <f>'WAGE RATES'!$D$6</f>
        <v>50.10717457546064</v>
      </c>
      <c r="F13" s="41">
        <f>E13*100/D13</f>
        <v>12.888344355683154</v>
      </c>
      <c r="G13" s="241">
        <f>PIGGYBACKS!$B$7</f>
        <v>1.5985378657336238</v>
      </c>
      <c r="H13" s="241">
        <f>'WAGE RATES'!$D$10</f>
        <v>1.0285306172213804</v>
      </c>
      <c r="I13" s="41">
        <f>(H13-1)*F13</f>
        <v>0.36771241942933458</v>
      </c>
      <c r="J13" s="41">
        <f>F13*G13+I13</f>
        <v>20.970218898603079</v>
      </c>
      <c r="K13" s="41">
        <f ca="1">C13*$J13/'ADC NONAUTO MODEL'!$G$6</f>
        <v>0.59139217720374782</v>
      </c>
    </row>
    <row r="14" spans="1:11" x14ac:dyDescent="0.25">
      <c r="A14" s="35"/>
      <c r="C14" s="326"/>
      <c r="D14" s="326"/>
      <c r="E14" s="269"/>
      <c r="F14" s="270"/>
      <c r="G14" s="241"/>
      <c r="H14" s="241"/>
      <c r="I14" s="145"/>
      <c r="J14" s="270"/>
      <c r="K14" s="41"/>
    </row>
    <row r="15" spans="1:11" x14ac:dyDescent="0.25">
      <c r="A15" s="1" t="s">
        <v>221</v>
      </c>
      <c r="C15" s="326"/>
      <c r="D15" s="326"/>
      <c r="E15" s="269"/>
      <c r="F15" s="270"/>
      <c r="G15" s="241"/>
      <c r="H15" s="241"/>
      <c r="I15" s="145"/>
      <c r="J15" s="270"/>
      <c r="K15" s="41"/>
    </row>
    <row r="16" spans="1:11" s="6" customFormat="1" x14ac:dyDescent="0.25">
      <c r="A16" s="146"/>
      <c r="B16" s="146" t="s">
        <v>198</v>
      </c>
      <c r="C16" s="326">
        <f>'ADC AUTO COST'!C16</f>
        <v>132.74642690245949</v>
      </c>
      <c r="D16" s="326">
        <f>PRODUCTIVITIES!$E$9</f>
        <v>204.15275198997298</v>
      </c>
      <c r="E16" s="269">
        <f>'WAGE RATES'!$D$6</f>
        <v>50.10717457546064</v>
      </c>
      <c r="F16" s="41">
        <f>E16*100/D16</f>
        <v>24.543962345372481</v>
      </c>
      <c r="G16" s="241">
        <f>PIGGYBACKS!$B$5</f>
        <v>1.8052502472456198</v>
      </c>
      <c r="H16" s="241">
        <f>'WAGE RATES'!$D$10</f>
        <v>1.0285306172213804</v>
      </c>
      <c r="I16" s="41">
        <f>(H16-1)*F16</f>
        <v>0.70025439477179607</v>
      </c>
      <c r="J16" s="41">
        <f>F16*G16+I16</f>
        <v>45.008248487142652</v>
      </c>
      <c r="K16" s="41">
        <f ca="1">C16*$J16/'ADC NONAUTO MODEL'!$G$6</f>
        <v>0.59746841678062268</v>
      </c>
    </row>
    <row r="17" spans="1:11" x14ac:dyDescent="0.25">
      <c r="A17" s="1"/>
      <c r="B17" t="s">
        <v>199</v>
      </c>
      <c r="C17" s="326">
        <f>'ADC AUTO COST'!C17</f>
        <v>161.0648075271574</v>
      </c>
      <c r="D17" s="326">
        <f>PRODUCTIVITIES!$E$11</f>
        <v>163.71090696460584</v>
      </c>
      <c r="E17" s="269">
        <f>'WAGE RATES'!$D$6</f>
        <v>50.10717457546064</v>
      </c>
      <c r="F17" s="41">
        <f>E17*100/D17</f>
        <v>30.607108288938726</v>
      </c>
      <c r="G17" s="241">
        <f>PIGGYBACKS!$B$6</f>
        <v>1.6056412614911089</v>
      </c>
      <c r="H17" s="241">
        <f>'WAGE RATES'!$D$10</f>
        <v>1.0285306172213804</v>
      </c>
      <c r="I17" s="41">
        <f>(H17-1)*F17</f>
        <v>0.87323969084504982</v>
      </c>
      <c r="J17" s="41">
        <f>F17*G17+I17</f>
        <v>50.017275654491598</v>
      </c>
      <c r="K17" s="41">
        <f ca="1">C17*$J17/'ADC NONAUTO MODEL'!$G$6</f>
        <v>0.80560228763234809</v>
      </c>
    </row>
    <row r="18" spans="1:11" x14ac:dyDescent="0.25">
      <c r="A18" s="1"/>
      <c r="B18" t="s">
        <v>200</v>
      </c>
      <c r="C18" s="326">
        <f>'ADC AUTO COST'!C18</f>
        <v>0</v>
      </c>
      <c r="D18" s="326">
        <f>PRODUCTIVITIES!$E$13</f>
        <v>388.77898659935892</v>
      </c>
      <c r="E18" s="269">
        <f>'WAGE RATES'!$D$6</f>
        <v>50.10717457546064</v>
      </c>
      <c r="F18" s="41">
        <f>E18*100/D18</f>
        <v>12.888344355683154</v>
      </c>
      <c r="G18" s="241">
        <f>PIGGYBACKS!$B$7</f>
        <v>1.5985378657336238</v>
      </c>
      <c r="H18" s="241">
        <f>'WAGE RATES'!$D$10</f>
        <v>1.0285306172213804</v>
      </c>
      <c r="I18" s="41">
        <f>(H18-1)*F18</f>
        <v>0.36771241942933458</v>
      </c>
      <c r="J18" s="41">
        <f>F18*G18+I18</f>
        <v>20.970218898603079</v>
      </c>
      <c r="K18" s="41">
        <f ca="1">C18*$J18/'ADC NONAUTO MODEL'!$G$6</f>
        <v>0</v>
      </c>
    </row>
    <row r="19" spans="1:11" x14ac:dyDescent="0.25">
      <c r="A19" s="1"/>
      <c r="C19" s="326"/>
      <c r="D19" s="326"/>
      <c r="E19" s="269"/>
      <c r="F19" s="270"/>
      <c r="G19" s="241"/>
      <c r="H19" s="241"/>
      <c r="I19" s="145"/>
      <c r="J19" s="270"/>
      <c r="K19" s="41"/>
    </row>
    <row r="20" spans="1:11" x14ac:dyDescent="0.25">
      <c r="A20" s="1" t="s">
        <v>222</v>
      </c>
      <c r="C20" s="326"/>
      <c r="D20" s="326"/>
      <c r="E20" s="269"/>
      <c r="F20" s="270"/>
      <c r="G20" s="241"/>
      <c r="H20" s="241"/>
      <c r="I20" s="145"/>
      <c r="J20" s="270"/>
      <c r="K20" s="41"/>
    </row>
    <row r="21" spans="1:11" x14ac:dyDescent="0.25">
      <c r="A21" s="1"/>
      <c r="B21" t="s">
        <v>198</v>
      </c>
      <c r="C21" s="326">
        <f>'ADC AUTO COST'!C21</f>
        <v>0</v>
      </c>
      <c r="D21" s="326">
        <f>PRODUCTIVITIES!$E$9</f>
        <v>204.15275198997298</v>
      </c>
      <c r="E21" s="269">
        <f>'WAGE RATES'!$D$6</f>
        <v>50.10717457546064</v>
      </c>
      <c r="F21" s="41">
        <f>E21*100/D21</f>
        <v>24.543962345372481</v>
      </c>
      <c r="G21" s="241">
        <f>PIGGYBACKS!$B$5</f>
        <v>1.8052502472456198</v>
      </c>
      <c r="H21" s="241">
        <f>'WAGE RATES'!$D$10</f>
        <v>1.0285306172213804</v>
      </c>
      <c r="I21" s="41">
        <f>(H21-1)*F21</f>
        <v>0.70025439477179607</v>
      </c>
      <c r="J21" s="41">
        <f>F21*G21+I21</f>
        <v>45.008248487142652</v>
      </c>
      <c r="K21" s="41">
        <f ca="1">C21*$J21/'ADC NONAUTO MODEL'!$G$6</f>
        <v>0</v>
      </c>
    </row>
    <row r="22" spans="1:11" x14ac:dyDescent="0.25">
      <c r="A22" s="1"/>
      <c r="B22" t="s">
        <v>199</v>
      </c>
      <c r="C22" s="326">
        <f>'ADC AUTO COST'!C22</f>
        <v>0</v>
      </c>
      <c r="D22" s="326">
        <f>PRODUCTIVITIES!$E$11</f>
        <v>163.71090696460584</v>
      </c>
      <c r="E22" s="269">
        <f>'WAGE RATES'!$D$6</f>
        <v>50.10717457546064</v>
      </c>
      <c r="F22" s="41">
        <f>E22*100/D22</f>
        <v>30.607108288938726</v>
      </c>
      <c r="G22" s="241">
        <f>PIGGYBACKS!$B$6</f>
        <v>1.6056412614911089</v>
      </c>
      <c r="H22" s="241">
        <f>'WAGE RATES'!$D$10</f>
        <v>1.0285306172213804</v>
      </c>
      <c r="I22" s="41">
        <f>(H22-1)*F22</f>
        <v>0.87323969084504982</v>
      </c>
      <c r="J22" s="41">
        <f>F22*G22+I22</f>
        <v>50.017275654491598</v>
      </c>
      <c r="K22" s="41">
        <f ca="1">C22*$J22/'ADC NONAUTO MODEL'!$G$6</f>
        <v>0</v>
      </c>
    </row>
    <row r="23" spans="1:11" x14ac:dyDescent="0.25">
      <c r="A23" s="1"/>
      <c r="B23" t="s">
        <v>200</v>
      </c>
      <c r="C23" s="326">
        <f>'ADC AUTO COST'!C23</f>
        <v>0</v>
      </c>
      <c r="D23" s="326">
        <f>PRODUCTIVITIES!$E$14</f>
        <v>388.77898659935892</v>
      </c>
      <c r="E23" s="269">
        <f>'WAGE RATES'!$D$6</f>
        <v>50.10717457546064</v>
      </c>
      <c r="F23" s="41">
        <f>E23*100/D23</f>
        <v>12.888344355683154</v>
      </c>
      <c r="G23" s="241">
        <f>PIGGYBACKS!$B$7</f>
        <v>1.5985378657336238</v>
      </c>
      <c r="H23" s="241">
        <f>'WAGE RATES'!$D$10</f>
        <v>1.0285306172213804</v>
      </c>
      <c r="I23" s="41">
        <f>(H23-1)*F23</f>
        <v>0.36771241942933458</v>
      </c>
      <c r="J23" s="41">
        <f>F23*G23+I23</f>
        <v>20.970218898603079</v>
      </c>
      <c r="K23" s="41">
        <f ca="1">C23*$J23/'ADC NONAUTO MODEL'!$G$6</f>
        <v>0</v>
      </c>
    </row>
    <row r="24" spans="1:11" x14ac:dyDescent="0.25">
      <c r="A24" s="1"/>
      <c r="C24" s="326"/>
      <c r="D24" s="326"/>
      <c r="E24" s="269"/>
      <c r="F24" s="270"/>
      <c r="G24" s="241"/>
      <c r="H24" s="241"/>
      <c r="I24" s="145"/>
      <c r="J24" s="270"/>
      <c r="K24" s="41"/>
    </row>
    <row r="25" spans="1:11" x14ac:dyDescent="0.25">
      <c r="A25" s="1" t="s">
        <v>223</v>
      </c>
      <c r="C25" s="326"/>
      <c r="D25" s="326"/>
      <c r="E25" s="269"/>
      <c r="F25" s="270"/>
      <c r="G25" s="241"/>
      <c r="H25" s="241"/>
      <c r="I25" s="145"/>
      <c r="J25" s="270"/>
      <c r="K25" s="41"/>
    </row>
    <row r="26" spans="1:11" x14ac:dyDescent="0.25">
      <c r="A26" s="1"/>
      <c r="B26" t="s">
        <v>198</v>
      </c>
      <c r="C26" s="326">
        <f>'ADC AUTO COST'!C26</f>
        <v>0</v>
      </c>
      <c r="D26" s="326">
        <f>PRODUCTIVITIES!$E$9</f>
        <v>204.15275198997298</v>
      </c>
      <c r="E26" s="269">
        <f>'WAGE RATES'!$D$6</f>
        <v>50.10717457546064</v>
      </c>
      <c r="F26" s="41">
        <f>E26*100/D26</f>
        <v>24.543962345372481</v>
      </c>
      <c r="G26" s="241">
        <f>PIGGYBACKS!$B$5</f>
        <v>1.8052502472456198</v>
      </c>
      <c r="H26" s="241">
        <f>'WAGE RATES'!$D$10</f>
        <v>1.0285306172213804</v>
      </c>
      <c r="I26" s="41">
        <f>(H26-1)*F26</f>
        <v>0.70025439477179607</v>
      </c>
      <c r="J26" s="41">
        <f>F26*G26+I26</f>
        <v>45.008248487142652</v>
      </c>
      <c r="K26" s="41">
        <f ca="1">C26*$J26/'ADC NONAUTO MODEL'!$G$6</f>
        <v>0</v>
      </c>
    </row>
    <row r="27" spans="1:11" x14ac:dyDescent="0.25">
      <c r="A27" s="1"/>
      <c r="B27" t="s">
        <v>199</v>
      </c>
      <c r="C27" s="326">
        <f>'ADC AUTO COST'!C27</f>
        <v>0</v>
      </c>
      <c r="D27" s="326">
        <f>PRODUCTIVITIES!$E$11</f>
        <v>163.71090696460584</v>
      </c>
      <c r="E27" s="269">
        <f>'WAGE RATES'!$D$6</f>
        <v>50.10717457546064</v>
      </c>
      <c r="F27" s="41">
        <f>E27*100/D27</f>
        <v>30.607108288938726</v>
      </c>
      <c r="G27" s="241">
        <f>PIGGYBACKS!$B$6</f>
        <v>1.6056412614911089</v>
      </c>
      <c r="H27" s="241">
        <f>'WAGE RATES'!$D$10</f>
        <v>1.0285306172213804</v>
      </c>
      <c r="I27" s="41">
        <f>(H27-1)*F27</f>
        <v>0.87323969084504982</v>
      </c>
      <c r="J27" s="41">
        <f>F27*G27+I27</f>
        <v>50.017275654491598</v>
      </c>
      <c r="K27" s="41">
        <f ca="1">C27*$J27/'ADC NONAUTO MODEL'!$G$6</f>
        <v>0</v>
      </c>
    </row>
    <row r="28" spans="1:11" x14ac:dyDescent="0.25">
      <c r="A28" s="1"/>
      <c r="B28" t="s">
        <v>200</v>
      </c>
      <c r="C28" s="326">
        <f>'ADC AUTO COST'!C28</f>
        <v>0</v>
      </c>
      <c r="D28" s="326">
        <f>PRODUCTIVITIES!E15</f>
        <v>279.13830142253454</v>
      </c>
      <c r="E28" s="269">
        <f>'WAGE RATES'!$D$6</f>
        <v>50.10717457546064</v>
      </c>
      <c r="F28" s="41">
        <f>E28*100/D28</f>
        <v>17.950662564078904</v>
      </c>
      <c r="G28" s="241">
        <f>PIGGYBACKS!$B$7</f>
        <v>1.5985378657336238</v>
      </c>
      <c r="H28" s="241">
        <f>'WAGE RATES'!$D$10</f>
        <v>1.0285306172213804</v>
      </c>
      <c r="I28" s="41">
        <f>(H28-1)*F28</f>
        <v>0.51214348248589792</v>
      </c>
      <c r="J28" s="41">
        <f>F28*G28+I28</f>
        <v>29.206957306173045</v>
      </c>
      <c r="K28" s="41">
        <f ca="1">C28*$J28/'ADC NONAUTO MODEL'!$G$6</f>
        <v>0</v>
      </c>
    </row>
    <row r="29" spans="1:11" x14ac:dyDescent="0.25">
      <c r="A29" s="1"/>
      <c r="C29" s="363"/>
      <c r="D29" s="363"/>
      <c r="E29" s="269"/>
      <c r="F29" s="270"/>
      <c r="G29" s="241"/>
      <c r="H29" s="145"/>
      <c r="I29" s="145"/>
      <c r="J29" s="270"/>
      <c r="K29" s="41"/>
    </row>
    <row r="30" spans="1:11" x14ac:dyDescent="0.25">
      <c r="A30" s="1" t="s">
        <v>224</v>
      </c>
      <c r="F30" s="41"/>
      <c r="H30" s="41"/>
      <c r="I30" s="41"/>
      <c r="J30" s="41"/>
      <c r="K30" s="41"/>
    </row>
    <row r="31" spans="1:11" x14ac:dyDescent="0.25">
      <c r="A31" s="35"/>
      <c r="B31" t="s">
        <v>225</v>
      </c>
      <c r="C31" s="2">
        <f>SUM('ADC NONAUTO MODEL'!$B$25:$B$29)</f>
        <v>112.22673116374736</v>
      </c>
      <c r="D31" s="2">
        <f>PRODUCTIVITIES!$E$23*'COVERAGE FACTORS'!$C$25+PRODUCTIVITIES!$E$17*(1-'COVERAGE FACTORS'!$C$25)</f>
        <v>1572.5270916832678</v>
      </c>
      <c r="E31" s="37">
        <f>'WAGE RATES'!$D$6</f>
        <v>50.10717457546064</v>
      </c>
      <c r="F31" s="41">
        <f>E31*100/D31</f>
        <v>3.1864108949515657</v>
      </c>
      <c r="G31" s="41">
        <f>PIGGYBACKS!$B$8</f>
        <v>1.6305774272183733</v>
      </c>
      <c r="H31" s="41">
        <f>'WAGE RATES'!$D$10</f>
        <v>1.0285306172213804</v>
      </c>
      <c r="I31" s="41">
        <f>(H31-1)*F31</f>
        <v>9.0910269553899262E-2</v>
      </c>
      <c r="J31" s="41">
        <f>F31*G31+I31</f>
        <v>5.2865999487046178</v>
      </c>
      <c r="K31" s="41">
        <f ca="1">C31*$J31/'ADC NONAUTO MODEL'!$G$6</f>
        <v>5.9329783121355492E-2</v>
      </c>
    </row>
    <row r="32" spans="1:11" x14ac:dyDescent="0.25">
      <c r="A32" s="35"/>
      <c r="B32" t="s">
        <v>226</v>
      </c>
      <c r="C32" s="2">
        <f>SUM('ADC NONAUTO MODEL'!$A$25:$A$29)</f>
        <v>29.592419244321583</v>
      </c>
      <c r="D32" s="2">
        <f>PRODUCTIVITIES!$E$16</f>
        <v>888.0117100682927</v>
      </c>
      <c r="E32" s="37">
        <f>'WAGE RATES'!$D$5</f>
        <v>54.142360316355024</v>
      </c>
      <c r="F32" s="41">
        <f>E32*100/D32</f>
        <v>6.0970322465895403</v>
      </c>
      <c r="G32" s="41">
        <f>PIGGYBACKS!$B$9</f>
        <v>1.2615773174013249</v>
      </c>
      <c r="H32" s="41">
        <f>'WAGE RATES'!$D$10</f>
        <v>1.0285306172213804</v>
      </c>
      <c r="I32" s="41">
        <f>(H32-1)*F32</f>
        <v>0.17395209321385913</v>
      </c>
      <c r="J32" s="41">
        <f>F32*G32+I32</f>
        <v>7.8658296789756648</v>
      </c>
      <c r="K32" s="41">
        <f ca="1">C32*$J32/'ADC NONAUTO MODEL'!$G$6</f>
        <v>2.3276892956467579E-2</v>
      </c>
    </row>
    <row r="33" spans="1:11" x14ac:dyDescent="0.25">
      <c r="A33" s="35"/>
      <c r="B33" t="s">
        <v>227</v>
      </c>
      <c r="C33" s="2">
        <f>SUM('ADC NONAUTO MODEL'!$H$25:$H$29)</f>
        <v>0</v>
      </c>
      <c r="D33" s="2">
        <f>PRODUCTIVITIES!$E$30</f>
        <v>1.0273268954181221</v>
      </c>
      <c r="E33" s="37">
        <f>'WAGE RATES'!$D$6</f>
        <v>50.10717457546064</v>
      </c>
      <c r="F33" s="41">
        <f>E33*100/D33</f>
        <v>4877.4323731753384</v>
      </c>
      <c r="G33" s="41">
        <f>PIGGYBACKS!$B$10</f>
        <v>1.6305774272183733</v>
      </c>
      <c r="H33" s="41">
        <f>'WAGE RATES'!$D$10</f>
        <v>1.0285306172213804</v>
      </c>
      <c r="I33" s="41">
        <f>(H33-1)*F33</f>
        <v>139.15615606223454</v>
      </c>
      <c r="J33" s="41">
        <f>F33*G33+I33</f>
        <v>8092.1872865460828</v>
      </c>
      <c r="K33" s="41">
        <f ca="1">C33*$J33/'ADC NONAUTO MODEL'!$G$6</f>
        <v>0</v>
      </c>
    </row>
    <row r="34" spans="1:11" x14ac:dyDescent="0.25">
      <c r="B34" t="s">
        <v>228</v>
      </c>
      <c r="C34" s="2">
        <f>SUM('ADC NONAUTO MODEL'!$G$25:$G$29)</f>
        <v>0</v>
      </c>
      <c r="D34" s="2">
        <f>PRODUCTIVITIES!$E$36</f>
        <v>1.0273268954181221</v>
      </c>
      <c r="E34" s="37">
        <f>'WAGE RATES'!$D$6</f>
        <v>50.10717457546064</v>
      </c>
      <c r="F34" s="41">
        <f>E34*100/D34</f>
        <v>4877.4323731753384</v>
      </c>
      <c r="G34" s="41">
        <f>PIGGYBACKS!$B$10</f>
        <v>1.6305774272183733</v>
      </c>
      <c r="H34" s="41">
        <f>'WAGE RATES'!$D$10</f>
        <v>1.0285306172213804</v>
      </c>
      <c r="I34" s="41">
        <f>(H34-1)*F34</f>
        <v>139.15615606223454</v>
      </c>
      <c r="J34" s="41">
        <f>F34*G34+I34</f>
        <v>8092.1872865460828</v>
      </c>
      <c r="K34" s="41">
        <f ca="1">C34*$J34/'ADC NONAUTO MODEL'!$G$6</f>
        <v>0</v>
      </c>
    </row>
    <row r="35" spans="1:11" x14ac:dyDescent="0.25">
      <c r="B35" t="s">
        <v>200</v>
      </c>
      <c r="C35" s="2">
        <f>SUM('ADC NONAUTO MODEL'!$M$25:$M$29)</f>
        <v>6.8240550386720331</v>
      </c>
      <c r="D35" s="2">
        <f>PRODUCTIVITIES!$E$42</f>
        <v>620.26371981497391</v>
      </c>
      <c r="E35" s="37">
        <f>'WAGE RATES'!$D$6</f>
        <v>50.10717457546064</v>
      </c>
      <c r="F35" s="41">
        <f>E35*100/D35</f>
        <v>8.0783661811475493</v>
      </c>
      <c r="G35" s="41">
        <f>PIGGYBACKS!$B$12</f>
        <v>1.3622907328394676</v>
      </c>
      <c r="H35" s="41">
        <f>'WAGE RATES'!$D$10</f>
        <v>1.0285306172213804</v>
      </c>
      <c r="I35" s="41">
        <f>(H35-1)*F35</f>
        <v>0.23048077328846525</v>
      </c>
      <c r="J35" s="41">
        <f>F35*G35+I35</f>
        <v>11.235564158349531</v>
      </c>
      <c r="K35" s="41">
        <f ca="1">C35*$J35/'ADC NONAUTO MODEL'!$G$6</f>
        <v>7.667210820710816E-3</v>
      </c>
    </row>
    <row r="36" spans="1:11" x14ac:dyDescent="0.25">
      <c r="F36" s="41"/>
      <c r="H36" s="41"/>
      <c r="I36" s="41"/>
      <c r="J36" s="41"/>
      <c r="K36" s="41"/>
    </row>
    <row r="37" spans="1:11" x14ac:dyDescent="0.25">
      <c r="A37" s="1" t="s">
        <v>229</v>
      </c>
      <c r="F37" s="41"/>
      <c r="H37" s="41"/>
      <c r="I37" s="41"/>
      <c r="J37" s="41"/>
      <c r="K37" s="41"/>
    </row>
    <row r="38" spans="1:11" x14ac:dyDescent="0.25">
      <c r="A38" s="35"/>
      <c r="B38" t="s">
        <v>225</v>
      </c>
      <c r="C38" s="2">
        <f>SUM('ADC NONAUTO MODEL'!$B$38:$B$42)</f>
        <v>13.637658991427591</v>
      </c>
      <c r="D38" s="2">
        <f>PRODUCTIVITIES!$E$24*'COVERAGE FACTORS'!$C$25+PRODUCTIVITIES!$E$18*(1-'COVERAGE FACTORS'!$C$25)</f>
        <v>2267.7698382210328</v>
      </c>
      <c r="E38" s="37">
        <f>'WAGE RATES'!$D$6</f>
        <v>50.10717457546064</v>
      </c>
      <c r="F38" s="41">
        <f>E38*100/D38</f>
        <v>2.2095352769471326</v>
      </c>
      <c r="G38" s="41">
        <f>PIGGYBACKS!$B$8</f>
        <v>1.6305774272183733</v>
      </c>
      <c r="H38" s="41">
        <f>'WAGE RATES'!$D$10</f>
        <v>1.0285306172213804</v>
      </c>
      <c r="I38" s="41">
        <f>(H38-1)*F38</f>
        <v>6.3039405223715358E-2</v>
      </c>
      <c r="J38" s="41">
        <f>F38*G38+I38</f>
        <v>3.6658577524564069</v>
      </c>
      <c r="K38" s="41">
        <f ca="1">C38*$J38/'ADC NONAUTO MODEL'!$G$6</f>
        <v>4.9993717939081752E-3</v>
      </c>
    </row>
    <row r="39" spans="1:11" x14ac:dyDescent="0.25">
      <c r="A39" s="35"/>
      <c r="B39" t="s">
        <v>226</v>
      </c>
      <c r="C39" s="2">
        <f>SUM('ADC NONAUTO MODEL'!$A$38:$A$42)</f>
        <v>0.83598383188703795</v>
      </c>
      <c r="D39" s="2">
        <f>PRODUCTIVITIES!$E$16</f>
        <v>888.0117100682927</v>
      </c>
      <c r="E39" s="37">
        <f>'WAGE RATES'!$D$5</f>
        <v>54.142360316355024</v>
      </c>
      <c r="F39" s="41">
        <f>E39*100/D39</f>
        <v>6.0970322465895403</v>
      </c>
      <c r="G39" s="41">
        <f>PIGGYBACKS!$B$9</f>
        <v>1.2615773174013249</v>
      </c>
      <c r="H39" s="41">
        <f>'WAGE RATES'!$D$10</f>
        <v>1.0285306172213804</v>
      </c>
      <c r="I39" s="41">
        <f>(H39-1)*F39</f>
        <v>0.17395209321385913</v>
      </c>
      <c r="J39" s="41">
        <f>F39*G39+I39</f>
        <v>7.8658296789756648</v>
      </c>
      <c r="K39" s="41">
        <f ca="1">C39*$J39/'ADC NONAUTO MODEL'!$G$6</f>
        <v>6.5757064360008795E-4</v>
      </c>
    </row>
    <row r="40" spans="1:11" x14ac:dyDescent="0.25">
      <c r="B40" t="s">
        <v>227</v>
      </c>
      <c r="C40" s="2">
        <f>SUM('ADC NONAUTO MODEL'!$H$38:$H$42)</f>
        <v>0</v>
      </c>
      <c r="D40" s="2">
        <f>PRODUCTIVITIES!$E$31</f>
        <v>1.0273268954181221</v>
      </c>
      <c r="E40" s="37">
        <f>'WAGE RATES'!$D$6</f>
        <v>50.10717457546064</v>
      </c>
      <c r="F40" s="41">
        <f>E40*100/D40</f>
        <v>4877.4323731753384</v>
      </c>
      <c r="G40" s="41">
        <f>PIGGYBACKS!$B$10</f>
        <v>1.6305774272183733</v>
      </c>
      <c r="H40" s="41">
        <f>'WAGE RATES'!$D$10</f>
        <v>1.0285306172213804</v>
      </c>
      <c r="I40" s="41">
        <f>(H40-1)*F40</f>
        <v>139.15615606223454</v>
      </c>
      <c r="J40" s="41">
        <f>F40*G40+I40</f>
        <v>8092.1872865460828</v>
      </c>
      <c r="K40" s="41">
        <f ca="1">C40*$J40/'ADC NONAUTO MODEL'!$G$6</f>
        <v>0</v>
      </c>
    </row>
    <row r="41" spans="1:11" x14ac:dyDescent="0.25">
      <c r="B41" t="s">
        <v>228</v>
      </c>
      <c r="C41" s="2">
        <f>SUM('ADC NONAUTO MODEL'!$G$38:$G$42)</f>
        <v>0</v>
      </c>
      <c r="D41" s="2">
        <f>PRODUCTIVITIES!$E$37</f>
        <v>1.0273268954181221</v>
      </c>
      <c r="E41" s="37">
        <f>'WAGE RATES'!$D$6</f>
        <v>50.10717457546064</v>
      </c>
      <c r="F41" s="41">
        <f>E41*100/D41</f>
        <v>4877.4323731753384</v>
      </c>
      <c r="G41" s="41">
        <f>PIGGYBACKS!$B$10</f>
        <v>1.6305774272183733</v>
      </c>
      <c r="H41" s="41">
        <f>'WAGE RATES'!$D$10</f>
        <v>1.0285306172213804</v>
      </c>
      <c r="I41" s="41">
        <f>(H41-1)*F41</f>
        <v>139.15615606223454</v>
      </c>
      <c r="J41" s="41">
        <f>F41*G41+I41</f>
        <v>8092.1872865460828</v>
      </c>
      <c r="K41" s="41">
        <f ca="1">C41*$J41/'ADC NONAUTO MODEL'!$G$6</f>
        <v>0</v>
      </c>
    </row>
    <row r="42" spans="1:11" x14ac:dyDescent="0.25">
      <c r="B42" t="s">
        <v>200</v>
      </c>
      <c r="C42" s="2">
        <f>SUM('ADC NONAUTO MODEL'!$M$38:$M$42)</f>
        <v>1.8463696685142232</v>
      </c>
      <c r="D42" s="2">
        <f>PRODUCTIVITIES!$E$43</f>
        <v>490.6212884367572</v>
      </c>
      <c r="E42" s="37">
        <f>'WAGE RATES'!$D$6</f>
        <v>50.10717457546064</v>
      </c>
      <c r="F42" s="41">
        <f>E42*100/D42</f>
        <v>10.213004563074444</v>
      </c>
      <c r="G42" s="41">
        <f>PIGGYBACKS!$B$12</f>
        <v>1.3622907328394676</v>
      </c>
      <c r="H42" s="41">
        <f>'WAGE RATES'!$D$10</f>
        <v>1.0285306172213804</v>
      </c>
      <c r="I42" s="41">
        <f>(H42-1)*F42</f>
        <v>0.29138332386928828</v>
      </c>
      <c r="J42" s="41">
        <f>F42*G42+I42</f>
        <v>14.204464794592798</v>
      </c>
      <c r="K42" s="41">
        <f ca="1">C42*$J42/'ADC NONAUTO MODEL'!$G$6</f>
        <v>2.622669295421431E-3</v>
      </c>
    </row>
    <row r="43" spans="1:11" x14ac:dyDescent="0.25">
      <c r="F43" s="41"/>
      <c r="H43" s="41"/>
      <c r="I43" s="41"/>
      <c r="J43" s="41"/>
      <c r="K43" s="41"/>
    </row>
    <row r="44" spans="1:11" x14ac:dyDescent="0.25">
      <c r="A44" s="1" t="s">
        <v>230</v>
      </c>
      <c r="F44" s="41"/>
      <c r="H44" s="41"/>
      <c r="I44" s="41"/>
      <c r="J44" s="41"/>
      <c r="K44" s="41"/>
    </row>
    <row r="45" spans="1:11" x14ac:dyDescent="0.25">
      <c r="A45" s="35"/>
      <c r="B45" t="s">
        <v>225</v>
      </c>
      <c r="C45" s="2">
        <f>SUM('ADC NONAUTO MODEL'!$B$53:$B$57)</f>
        <v>10000.277949781925</v>
      </c>
      <c r="D45" s="2">
        <f>PRODUCTIVITIES!$E$25*'COVERAGE FACTORS'!$C$25+PRODUCTIVITIES!$E$19*(1-'COVERAGE FACTORS'!$C$25)</f>
        <v>1572.97537151239</v>
      </c>
      <c r="E45" s="37">
        <f>'WAGE RATES'!$D$6</f>
        <v>50.10717457546064</v>
      </c>
      <c r="F45" s="41">
        <f>E45*100/D45</f>
        <v>3.1855028046169225</v>
      </c>
      <c r="G45" s="41">
        <f>PIGGYBACKS!$B$8</f>
        <v>1.6305774272183733</v>
      </c>
      <c r="H45" s="41">
        <f>'WAGE RATES'!$D$10</f>
        <v>1.0285306172213804</v>
      </c>
      <c r="I45" s="41">
        <f>(H45-1)*F45</f>
        <v>9.0884361176159112E-2</v>
      </c>
      <c r="J45" s="41">
        <f>F45*G45+I45</f>
        <v>5.285093328725333</v>
      </c>
      <c r="K45" s="41">
        <f ca="1">C45*$J45/'ADC NONAUTO MODEL'!$G$6</f>
        <v>5.2852402277791608</v>
      </c>
    </row>
    <row r="46" spans="1:11" x14ac:dyDescent="0.25">
      <c r="A46" s="35"/>
      <c r="B46" t="s">
        <v>226</v>
      </c>
      <c r="C46" s="2">
        <f>SUM('ADC NONAUTO MODEL'!$A$53:$A$57)</f>
        <v>2623.926376985758</v>
      </c>
      <c r="D46" s="2">
        <f>PRODUCTIVITIES!$E$16</f>
        <v>888.0117100682927</v>
      </c>
      <c r="E46" s="37">
        <f>'WAGE RATES'!$D$5</f>
        <v>54.142360316355024</v>
      </c>
      <c r="F46" s="41">
        <f>E46*100/D46</f>
        <v>6.0970322465895403</v>
      </c>
      <c r="G46" s="41">
        <f>PIGGYBACKS!$B$9</f>
        <v>1.2615773174013249</v>
      </c>
      <c r="H46" s="41">
        <f>'WAGE RATES'!$D$10</f>
        <v>1.0285306172213804</v>
      </c>
      <c r="I46" s="41">
        <f>(H46-1)*F46</f>
        <v>0.17395209321385913</v>
      </c>
      <c r="J46" s="41">
        <f>F46*G46+I46</f>
        <v>7.8658296789756648</v>
      </c>
      <c r="K46" s="41">
        <f ca="1">C46*$J46/'ADC NONAUTO MODEL'!$G$6</f>
        <v>2.0639357971541705</v>
      </c>
    </row>
    <row r="47" spans="1:11" x14ac:dyDescent="0.25">
      <c r="B47" t="s">
        <v>227</v>
      </c>
      <c r="C47" s="2">
        <f>SUM('ADC NONAUTO MODEL'!$H$53:$H$57)</f>
        <v>0</v>
      </c>
      <c r="D47" s="2">
        <f>PRODUCTIVITIES!$E$32</f>
        <v>1.0273268954181221</v>
      </c>
      <c r="E47" s="37">
        <f>'WAGE RATES'!$D$6</f>
        <v>50.10717457546064</v>
      </c>
      <c r="F47" s="41">
        <f>E47*100/D47</f>
        <v>4877.4323731753384</v>
      </c>
      <c r="G47" s="41">
        <f>PIGGYBACKS!$B$10</f>
        <v>1.6305774272183733</v>
      </c>
      <c r="H47" s="41">
        <f>'WAGE RATES'!$D$10</f>
        <v>1.0285306172213804</v>
      </c>
      <c r="I47" s="41">
        <f>(H47-1)*F47</f>
        <v>139.15615606223454</v>
      </c>
      <c r="J47" s="41">
        <f>F47*G47+I47</f>
        <v>8092.1872865460828</v>
      </c>
      <c r="K47" s="41">
        <f ca="1">C47*$J47/'ADC NONAUTO MODEL'!$G$6</f>
        <v>0</v>
      </c>
    </row>
    <row r="48" spans="1:11" x14ac:dyDescent="0.25">
      <c r="B48" t="s">
        <v>228</v>
      </c>
      <c r="C48" s="2">
        <f>SUM('ADC NONAUTO MODEL'!$G$53:$G$57)</f>
        <v>0</v>
      </c>
      <c r="D48" s="2">
        <f>PRODUCTIVITIES!$E$38</f>
        <v>1.0273268954181221</v>
      </c>
      <c r="E48" s="37">
        <f>'WAGE RATES'!$D$6</f>
        <v>50.10717457546064</v>
      </c>
      <c r="F48" s="41">
        <f>E48*100/D48</f>
        <v>4877.4323731753384</v>
      </c>
      <c r="G48" s="41">
        <f>PIGGYBACKS!$B$10</f>
        <v>1.6305774272183733</v>
      </c>
      <c r="H48" s="41">
        <f>'WAGE RATES'!$D$10</f>
        <v>1.0285306172213804</v>
      </c>
      <c r="I48" s="41">
        <f>(H48-1)*F48</f>
        <v>139.15615606223454</v>
      </c>
      <c r="J48" s="41">
        <f>F48*G48+I48</f>
        <v>8092.1872865460828</v>
      </c>
      <c r="K48" s="41">
        <f ca="1">C48*$J48/'ADC NONAUTO MODEL'!$G$6</f>
        <v>0</v>
      </c>
    </row>
    <row r="49" spans="1:11" x14ac:dyDescent="0.25">
      <c r="B49" t="s">
        <v>200</v>
      </c>
      <c r="C49" s="2">
        <f>SUM('ADC NONAUTO MODEL'!$M$53:$M$57)</f>
        <v>928.21208866561869</v>
      </c>
      <c r="D49" s="2">
        <f>PRODUCTIVITIES!$E$44</f>
        <v>692.96374405746178</v>
      </c>
      <c r="E49" s="37">
        <f>'WAGE RATES'!$D$6</f>
        <v>50.10717457546064</v>
      </c>
      <c r="F49" s="41">
        <f>E49*100/D49</f>
        <v>7.2308508208628108</v>
      </c>
      <c r="G49" s="41">
        <f>PIGGYBACKS!$B$12</f>
        <v>1.3622907328394676</v>
      </c>
      <c r="H49" s="41">
        <f>'WAGE RATES'!$D$10</f>
        <v>1.0285306172213804</v>
      </c>
      <c r="I49" s="41">
        <f>(H49-1)*F49</f>
        <v>0.20630063695494108</v>
      </c>
      <c r="J49" s="41">
        <f>F49*G49+I49</f>
        <v>10.056821700761006</v>
      </c>
      <c r="K49" s="41">
        <f ca="1">C49*$J49/'ADC NONAUTO MODEL'!$G$6</f>
        <v>0.93348634762011118</v>
      </c>
    </row>
    <row r="50" spans="1:11" x14ac:dyDescent="0.25">
      <c r="F50" s="41"/>
      <c r="H50" s="41"/>
      <c r="I50" s="41"/>
      <c r="J50" s="41"/>
      <c r="K50" s="41"/>
    </row>
    <row r="51" spans="1:11" x14ac:dyDescent="0.25">
      <c r="A51" s="1" t="s">
        <v>231</v>
      </c>
      <c r="F51" s="41"/>
      <c r="H51" s="41"/>
      <c r="I51" s="41"/>
      <c r="J51" s="41"/>
      <c r="K51" s="41"/>
    </row>
    <row r="52" spans="1:11" x14ac:dyDescent="0.25">
      <c r="A52" s="35"/>
      <c r="B52" t="s">
        <v>225</v>
      </c>
      <c r="C52" s="2">
        <f>SUM('ADC NONAUTO MODEL'!$B$64:$B$68)</f>
        <v>1928.083030108716</v>
      </c>
      <c r="D52" s="2">
        <f>PRODUCTIVITIES!$E$26*'COVERAGE FACTORS'!$C$25+PRODUCTIVITIES!$E$20*(1-'COVERAGE FACTORS'!$C$25)</f>
        <v>2073.5491608992547</v>
      </c>
      <c r="E52" s="37">
        <f>'WAGE RATES'!$D$6</f>
        <v>50.10717457546064</v>
      </c>
      <c r="F52" s="41">
        <f>E52*100/D52</f>
        <v>2.4164932049997896</v>
      </c>
      <c r="G52" s="41">
        <f>PIGGYBACKS!$B$8</f>
        <v>1.6305774272183733</v>
      </c>
      <c r="H52" s="41">
        <f>'WAGE RATES'!$D$10</f>
        <v>1.0285306172213804</v>
      </c>
      <c r="I52" s="41">
        <f>(H52-1)*F52</f>
        <v>6.8944042649915702E-2</v>
      </c>
      <c r="J52" s="41">
        <f>F52*G52+I52</f>
        <v>4.0092233157491535</v>
      </c>
      <c r="K52" s="41">
        <f ca="1">C52*$J52/'ADC NONAUTO MODEL'!$G$6</f>
        <v>0.77301154390121563</v>
      </c>
    </row>
    <row r="53" spans="1:11" x14ac:dyDescent="0.25">
      <c r="A53" s="35"/>
      <c r="B53" t="s">
        <v>226</v>
      </c>
      <c r="C53" s="2">
        <f>SUM('ADC NONAUTO MODEL'!$A$64:$A$68)</f>
        <v>118.19083031184719</v>
      </c>
      <c r="D53" s="2">
        <f>PRODUCTIVITIES!$E$16</f>
        <v>888.0117100682927</v>
      </c>
      <c r="E53" s="37">
        <f>'WAGE RATES'!$D$5</f>
        <v>54.142360316355024</v>
      </c>
      <c r="F53" s="41">
        <f>E53*100/D53</f>
        <v>6.0970322465895403</v>
      </c>
      <c r="G53" s="41">
        <f>PIGGYBACKS!$B$9</f>
        <v>1.2615773174013249</v>
      </c>
      <c r="H53" s="41">
        <f>'WAGE RATES'!$D$10</f>
        <v>1.0285306172213804</v>
      </c>
      <c r="I53" s="41">
        <f>(H53-1)*F53</f>
        <v>0.17395209321385913</v>
      </c>
      <c r="J53" s="41">
        <f>F53*G53+I53</f>
        <v>7.8658296789756648</v>
      </c>
      <c r="K53" s="41">
        <f ca="1">C53*$J53/'ADC NONAUTO MODEL'!$G$6</f>
        <v>9.2966894084970622E-2</v>
      </c>
    </row>
    <row r="54" spans="1:11" x14ac:dyDescent="0.25">
      <c r="B54" t="s">
        <v>227</v>
      </c>
      <c r="C54" s="2">
        <f>SUM('ADC NONAUTO MODEL'!$H$64:$H$68)</f>
        <v>0</v>
      </c>
      <c r="D54" s="2">
        <f>PRODUCTIVITIES!$E$33</f>
        <v>1.0273268954181221</v>
      </c>
      <c r="E54" s="37">
        <f>'WAGE RATES'!$D$6</f>
        <v>50.10717457546064</v>
      </c>
      <c r="F54" s="41">
        <f>E54*100/D54</f>
        <v>4877.4323731753384</v>
      </c>
      <c r="G54" s="41">
        <f>PIGGYBACKS!$B$10</f>
        <v>1.6305774272183733</v>
      </c>
      <c r="H54" s="41">
        <f>'WAGE RATES'!$D$10</f>
        <v>1.0285306172213804</v>
      </c>
      <c r="I54" s="41">
        <f>(H54-1)*F54</f>
        <v>139.15615606223454</v>
      </c>
      <c r="J54" s="41">
        <f>F54*G54+I54</f>
        <v>8092.1872865460828</v>
      </c>
      <c r="K54" s="41">
        <f ca="1">C54*$J54/'ADC NONAUTO MODEL'!$G$6</f>
        <v>0</v>
      </c>
    </row>
    <row r="55" spans="1:11" x14ac:dyDescent="0.25">
      <c r="B55" t="s">
        <v>228</v>
      </c>
      <c r="C55" s="2">
        <f>SUM('ADC NONAUTO MODEL'!$G$64:$G$68)</f>
        <v>0</v>
      </c>
      <c r="D55" s="2">
        <f>PRODUCTIVITIES!$E$39</f>
        <v>1.0273268954181221</v>
      </c>
      <c r="E55" s="37">
        <f>'WAGE RATES'!$D$6</f>
        <v>50.10717457546064</v>
      </c>
      <c r="F55" s="41">
        <f>E55*100/D55</f>
        <v>4877.4323731753384</v>
      </c>
      <c r="G55" s="41">
        <f>PIGGYBACKS!$B$10</f>
        <v>1.6305774272183733</v>
      </c>
      <c r="H55" s="41">
        <f>'WAGE RATES'!$D$10</f>
        <v>1.0285306172213804</v>
      </c>
      <c r="I55" s="41">
        <f>(H55-1)*F55</f>
        <v>139.15615606223454</v>
      </c>
      <c r="J55" s="41">
        <f>F55*G55+I55</f>
        <v>8092.1872865460828</v>
      </c>
      <c r="K55" s="41">
        <f ca="1">C55*$J55/'ADC NONAUTO MODEL'!$G$6</f>
        <v>0</v>
      </c>
    </row>
    <row r="56" spans="1:11" x14ac:dyDescent="0.25">
      <c r="B56" t="s">
        <v>200</v>
      </c>
      <c r="C56" s="2">
        <f>SUM('ADC NONAUTO MODEL'!$M$64:$M$68)</f>
        <v>348.38883579175581</v>
      </c>
      <c r="D56" s="2">
        <f>PRODUCTIVITIES!$E$45</f>
        <v>600.65917211803048</v>
      </c>
      <c r="E56" s="37">
        <f>'WAGE RATES'!$D$6</f>
        <v>50.10717457546064</v>
      </c>
      <c r="F56" s="41">
        <f>E56*100/D56</f>
        <v>8.3420310387959073</v>
      </c>
      <c r="G56" s="41">
        <f>PIGGYBACKS!$B$12</f>
        <v>1.3622907328394676</v>
      </c>
      <c r="H56" s="41">
        <f>'WAGE RATES'!$D$10</f>
        <v>1.0285306172213804</v>
      </c>
      <c r="I56" s="41">
        <f>(H56-1)*F56</f>
        <v>0.2380032944167603</v>
      </c>
      <c r="J56" s="41">
        <f>F56*G56+I56</f>
        <v>11.602274871627621</v>
      </c>
      <c r="K56" s="41">
        <f ca="1">C56*$J56/'ADC NONAUTO MODEL'!$G$6</f>
        <v>0.40421030350622983</v>
      </c>
    </row>
    <row r="57" spans="1:11" x14ac:dyDescent="0.25">
      <c r="F57" s="41"/>
      <c r="H57" s="41"/>
      <c r="I57" s="41"/>
      <c r="J57" s="41"/>
      <c r="K57" s="41"/>
    </row>
    <row r="58" spans="1:11" x14ac:dyDescent="0.25">
      <c r="A58" s="1" t="s">
        <v>232</v>
      </c>
      <c r="F58" s="41"/>
      <c r="H58" s="41"/>
      <c r="I58" s="41"/>
      <c r="J58" s="41"/>
      <c r="K58" s="41"/>
    </row>
    <row r="59" spans="1:11" x14ac:dyDescent="0.25">
      <c r="A59" s="35"/>
      <c r="B59" t="s">
        <v>225</v>
      </c>
      <c r="C59" s="2">
        <f ca="1">SUM('ADC NONAUTO MODEL'!$B$74:$B$78)+SUM('ADC NONAUTO MODEL'!$B$108:$B$112)</f>
        <v>631.89002529006768</v>
      </c>
      <c r="D59" s="2">
        <f>PRODUCTIVITIES!$E$27*'COVERAGE FACTORS'!$C$25+PRODUCTIVITIES!$E$21*(1-'COVERAGE FACTORS'!$C$25)</f>
        <v>1117.4154005483335</v>
      </c>
      <c r="E59" s="37">
        <f>'WAGE RATES'!$D$6</f>
        <v>50.10717457546064</v>
      </c>
      <c r="F59" s="41">
        <f>E59*100/D59</f>
        <v>4.4842029697167458</v>
      </c>
      <c r="G59" s="41">
        <f>PIGGYBACKS!$B$8</f>
        <v>1.6305774272183733</v>
      </c>
      <c r="H59" s="41">
        <f>'WAGE RATES'!$D$10</f>
        <v>1.0285306172213804</v>
      </c>
      <c r="I59" s="41">
        <f>(H59-1)*F59</f>
        <v>0.1279370784719657</v>
      </c>
      <c r="J59" s="41">
        <f>F59*G59+I59</f>
        <v>7.4397772199576861</v>
      </c>
      <c r="K59" s="41">
        <f ca="1">C59*$J59/'ADC NONAUTO MODEL'!$G$6</f>
        <v>0.47011210156715411</v>
      </c>
    </row>
    <row r="60" spans="1:11" x14ac:dyDescent="0.25">
      <c r="A60" s="35"/>
      <c r="B60" t="s">
        <v>226</v>
      </c>
      <c r="C60" s="2">
        <f ca="1">SUM('ADC NONAUTO MODEL'!$A$74:$A$78)+SUM('ADC NONAUTO MODEL'!$A$108:$A$112)</f>
        <v>38.734642434250432</v>
      </c>
      <c r="D60" s="2">
        <f>PRODUCTIVITIES!$E$16</f>
        <v>888.0117100682927</v>
      </c>
      <c r="E60" s="37">
        <f>'WAGE RATES'!$D$5</f>
        <v>54.142360316355024</v>
      </c>
      <c r="F60" s="41">
        <f>E60*100/D60</f>
        <v>6.0970322465895403</v>
      </c>
      <c r="G60" s="41">
        <f>PIGGYBACKS!$B$9</f>
        <v>1.2615773174013249</v>
      </c>
      <c r="H60" s="41">
        <f>'WAGE RATES'!$D$10</f>
        <v>1.0285306172213804</v>
      </c>
      <c r="I60" s="41">
        <f>(H60-1)*F60</f>
        <v>0.17395209321385913</v>
      </c>
      <c r="J60" s="41">
        <f>F60*G60+I60</f>
        <v>7.8658296789756648</v>
      </c>
      <c r="K60" s="41">
        <f ca="1">C60*$J60/'ADC NONAUTO MODEL'!$G$6</f>
        <v>3.0468010006383786E-2</v>
      </c>
    </row>
    <row r="61" spans="1:11" x14ac:dyDescent="0.25">
      <c r="B61" t="s">
        <v>227</v>
      </c>
      <c r="C61" s="2">
        <f>SUM('ADC NONAUTO MODEL'!$H$74:$H$78)</f>
        <v>0</v>
      </c>
      <c r="D61" s="2">
        <f>PRODUCTIVITIES!$E$34</f>
        <v>1.0273268954181221</v>
      </c>
      <c r="E61" s="37">
        <f>'WAGE RATES'!$D$6</f>
        <v>50.10717457546064</v>
      </c>
      <c r="F61" s="41">
        <f>E61*100/D61</f>
        <v>4877.4323731753384</v>
      </c>
      <c r="G61" s="41">
        <f>PIGGYBACKS!$B$10</f>
        <v>1.6305774272183733</v>
      </c>
      <c r="H61" s="41">
        <f>'WAGE RATES'!$D$10</f>
        <v>1.0285306172213804</v>
      </c>
      <c r="I61" s="41">
        <f>(H61-1)*F61</f>
        <v>139.15615606223454</v>
      </c>
      <c r="J61" s="41">
        <f>F61*G61+I61</f>
        <v>8092.1872865460828</v>
      </c>
      <c r="K61" s="41">
        <f ca="1">C61*$J61/'ADC NONAUTO MODEL'!$G$6</f>
        <v>0</v>
      </c>
    </row>
    <row r="62" spans="1:11" x14ac:dyDescent="0.25">
      <c r="B62" t="s">
        <v>228</v>
      </c>
      <c r="C62" s="2">
        <f>SUM('ADC NONAUTO MODEL'!$G$74:$G$78)</f>
        <v>0</v>
      </c>
      <c r="D62" s="2">
        <f>PRODUCTIVITIES!$E$40</f>
        <v>1.0273268954181221</v>
      </c>
      <c r="E62" s="37">
        <f>'WAGE RATES'!$D$6</f>
        <v>50.10717457546064</v>
      </c>
      <c r="F62" s="41">
        <f>E62*100/D62</f>
        <v>4877.4323731753384</v>
      </c>
      <c r="G62" s="41">
        <f>PIGGYBACKS!$B$10</f>
        <v>1.6305774272183733</v>
      </c>
      <c r="H62" s="41">
        <f>'WAGE RATES'!$D$10</f>
        <v>1.0285306172213804</v>
      </c>
      <c r="I62" s="41">
        <f>(H62-1)*F62</f>
        <v>139.15615606223454</v>
      </c>
      <c r="J62" s="41">
        <f>F62*G62+I62</f>
        <v>8092.1872865460828</v>
      </c>
      <c r="K62" s="41">
        <f ca="1">C62*$J62/'ADC NONAUTO MODEL'!$G$6</f>
        <v>0</v>
      </c>
    </row>
    <row r="63" spans="1:11" x14ac:dyDescent="0.25">
      <c r="B63" t="s">
        <v>200</v>
      </c>
      <c r="C63" s="2">
        <f ca="1">SUM('ADC NONAUTO MODEL'!$M$74:$M$78)</f>
        <v>82.84380061082507</v>
      </c>
      <c r="D63" s="2">
        <f>PRODUCTIVITIES!$E$46</f>
        <v>753.4091755495233</v>
      </c>
      <c r="E63" s="37">
        <f>'WAGE RATES'!$D$6</f>
        <v>50.10717457546064</v>
      </c>
      <c r="F63" s="41">
        <f>E63*100/D63</f>
        <v>6.6507252900010618</v>
      </c>
      <c r="G63" s="41">
        <f>PIGGYBACKS!$B$12</f>
        <v>1.3622907328394676</v>
      </c>
      <c r="H63" s="41">
        <f>'WAGE RATES'!$D$10</f>
        <v>1.0285306172213804</v>
      </c>
      <c r="I63" s="41">
        <f>(H63-1)*F63</f>
        <v>0.18974929749357441</v>
      </c>
      <c r="J63" s="41">
        <f>F63*G63+I63</f>
        <v>9.2499707267231006</v>
      </c>
      <c r="K63" s="41">
        <f ca="1">C63*$J63/'ADC NONAUTO MODEL'!$G$6</f>
        <v>7.6630273054061865E-2</v>
      </c>
    </row>
    <row r="64" spans="1:11" x14ac:dyDescent="0.25">
      <c r="A64" s="35"/>
      <c r="F64" s="41"/>
      <c r="H64" s="41"/>
      <c r="I64" s="41"/>
      <c r="J64" s="41"/>
      <c r="K64" s="41"/>
    </row>
    <row r="65" spans="1:11" x14ac:dyDescent="0.25">
      <c r="A65" s="1" t="s">
        <v>233</v>
      </c>
      <c r="F65" s="41"/>
      <c r="H65" s="41"/>
      <c r="I65" s="41"/>
      <c r="J65" s="41"/>
      <c r="K65" s="41"/>
    </row>
    <row r="66" spans="1:11" x14ac:dyDescent="0.25">
      <c r="A66" s="35"/>
      <c r="B66" t="s">
        <v>225</v>
      </c>
      <c r="C66" s="2">
        <f ca="1">SUM('ADC NONAUTO MODEL'!$B$83:$B$87)+SUM('ADC NONAUTO MODEL'!$B$122:$B$126)</f>
        <v>8965.4331463047001</v>
      </c>
      <c r="D66" s="2">
        <f>PRODUCTIVITIES!$E$28*'COVERAGE FACTORS'!$C$25+PRODUCTIVITIES!$E$22*(1-'COVERAGE FACTORS'!$C$25)</f>
        <v>1858.2572281195687</v>
      </c>
      <c r="E66" s="37">
        <f>'WAGE RATES'!$D$6</f>
        <v>50.10717457546064</v>
      </c>
      <c r="F66" s="41">
        <f>E66*100/D66</f>
        <v>2.6964606308118992</v>
      </c>
      <c r="G66" s="41">
        <f>PIGGYBACKS!$B$8</f>
        <v>1.6305774272183733</v>
      </c>
      <c r="H66" s="41">
        <f>'WAGE RATES'!$D$10</f>
        <v>1.0285306172213804</v>
      </c>
      <c r="I66" s="41">
        <f>(H66-1)*F66</f>
        <v>7.693168611021621E-2</v>
      </c>
      <c r="J66" s="41">
        <f>F66*G66+I66</f>
        <v>4.473719524095114</v>
      </c>
      <c r="K66" s="41">
        <f ca="1">C66*$J66/'ADC NONAUTO MODEL'!$G$6</f>
        <v>4.0108833308592908</v>
      </c>
    </row>
    <row r="67" spans="1:11" x14ac:dyDescent="0.25">
      <c r="A67" s="35"/>
      <c r="B67" t="s">
        <v>226</v>
      </c>
      <c r="C67" s="2">
        <f ca="1">SUM('ADC NONAUTO MODEL'!$A$83:$A$87)+SUM('ADC NONAUTO MODEL'!$A$122:$A$126)</f>
        <v>549.5779855535377</v>
      </c>
      <c r="D67" s="2">
        <f>PRODUCTIVITIES!$E$16</f>
        <v>888.0117100682927</v>
      </c>
      <c r="E67" s="37">
        <f>'WAGE RATES'!$D$5</f>
        <v>54.142360316355024</v>
      </c>
      <c r="F67" s="41">
        <f>E67*100/D67</f>
        <v>6.0970322465895403</v>
      </c>
      <c r="G67" s="41">
        <f>PIGGYBACKS!$B$9</f>
        <v>1.2615773174013249</v>
      </c>
      <c r="H67" s="41">
        <f>'WAGE RATES'!$D$10</f>
        <v>1.0285306172213804</v>
      </c>
      <c r="I67" s="41">
        <f>(H67-1)*F67</f>
        <v>0.17395209321385913</v>
      </c>
      <c r="J67" s="41">
        <f>F67*G67+I67</f>
        <v>7.8658296789756648</v>
      </c>
      <c r="K67" s="41">
        <f ca="1">C67*$J67/'ADC NONAUTO MODEL'!$G$6</f>
        <v>0.43228868296786843</v>
      </c>
    </row>
    <row r="68" spans="1:11" x14ac:dyDescent="0.25">
      <c r="B68" t="s">
        <v>227</v>
      </c>
      <c r="C68" s="2">
        <f>SUM('ADC NONAUTO MODEL'!$H$83:$H$87)</f>
        <v>0</v>
      </c>
      <c r="D68" s="2">
        <f>PRODUCTIVITIES!$E$35</f>
        <v>1.0273268954181221</v>
      </c>
      <c r="E68" s="37">
        <f>'WAGE RATES'!$D$6</f>
        <v>50.10717457546064</v>
      </c>
      <c r="F68" s="41">
        <f>E68*100/D68</f>
        <v>4877.4323731753384</v>
      </c>
      <c r="G68" s="41">
        <f>PIGGYBACKS!$B$10</f>
        <v>1.6305774272183733</v>
      </c>
      <c r="H68" s="41">
        <f>'WAGE RATES'!$D$10</f>
        <v>1.0285306172213804</v>
      </c>
      <c r="I68" s="41">
        <f>(H68-1)*F68</f>
        <v>139.15615606223454</v>
      </c>
      <c r="J68" s="41">
        <f>F68*G68+I68</f>
        <v>8092.1872865460828</v>
      </c>
      <c r="K68" s="41">
        <f ca="1">C68*$J68/'ADC NONAUTO MODEL'!$G$6</f>
        <v>0</v>
      </c>
    </row>
    <row r="69" spans="1:11" x14ac:dyDescent="0.25">
      <c r="B69" t="s">
        <v>228</v>
      </c>
      <c r="C69" s="2">
        <f>SUM('ADC NONAUTO MODEL'!$G$83:$G$87)</f>
        <v>0</v>
      </c>
      <c r="D69" s="2">
        <f>PRODUCTIVITIES!$E$41</f>
        <v>1.0273268954181221</v>
      </c>
      <c r="E69" s="37">
        <f>'WAGE RATES'!$D$6</f>
        <v>50.10717457546064</v>
      </c>
      <c r="F69" s="41">
        <f>E69*100/D69</f>
        <v>4877.4323731753384</v>
      </c>
      <c r="G69" s="41">
        <f>PIGGYBACKS!$B$10</f>
        <v>1.6305774272183733</v>
      </c>
      <c r="H69" s="41">
        <f>'WAGE RATES'!$D$10</f>
        <v>1.0285306172213804</v>
      </c>
      <c r="I69" s="41">
        <f>(H69-1)*F69</f>
        <v>139.15615606223454</v>
      </c>
      <c r="J69" s="41">
        <f>F69*G69+I69</f>
        <v>8092.1872865460828</v>
      </c>
      <c r="K69" s="41">
        <f ca="1">C69*$J69/'ADC NONAUTO MODEL'!$G$6</f>
        <v>0</v>
      </c>
    </row>
    <row r="70" spans="1:11" x14ac:dyDescent="0.25">
      <c r="B70" t="s">
        <v>200</v>
      </c>
      <c r="C70" s="2">
        <f ca="1">SUM('ADC NONAUTO MODEL'!$M$83:$M$87)</f>
        <v>1560.7539819230187</v>
      </c>
      <c r="D70" s="2">
        <f>PRODUCTIVITIES!$E$47</f>
        <v>675.89315757280178</v>
      </c>
      <c r="E70" s="37">
        <f>'WAGE RATES'!$D$6</f>
        <v>50.10717457546064</v>
      </c>
      <c r="F70" s="41">
        <f>E70*100/D70</f>
        <v>7.4134756379840256</v>
      </c>
      <c r="G70" s="41">
        <f>PIGGYBACKS!$B$12</f>
        <v>1.3622907328394676</v>
      </c>
      <c r="H70" s="41">
        <f>'WAGE RATES'!$D$10</f>
        <v>1.0285306172213804</v>
      </c>
      <c r="I70" s="41">
        <f>(H70-1)*F70</f>
        <v>0.21151103570735105</v>
      </c>
      <c r="J70" s="41">
        <f>F70*G70+I70</f>
        <v>10.310820195464149</v>
      </c>
      <c r="K70" s="41">
        <f ca="1">C70*$J70/'ADC NONAUTO MODEL'!$G$6</f>
        <v>1.6092653676962982</v>
      </c>
    </row>
    <row r="71" spans="1:11" x14ac:dyDescent="0.25">
      <c r="F71" s="41"/>
      <c r="H71" s="41"/>
      <c r="I71" s="41"/>
      <c r="J71" s="41"/>
      <c r="K71" s="41"/>
    </row>
    <row r="72" spans="1:11" x14ac:dyDescent="0.25">
      <c r="A72" s="1" t="s">
        <v>234</v>
      </c>
      <c r="F72" s="41"/>
      <c r="H72" s="41"/>
      <c r="I72" s="41"/>
      <c r="J72" s="41"/>
      <c r="K72" s="41"/>
    </row>
    <row r="73" spans="1:11" x14ac:dyDescent="0.25">
      <c r="B73" t="s">
        <v>99</v>
      </c>
      <c r="C73" s="2">
        <v>0</v>
      </c>
      <c r="D73" s="2">
        <v>0</v>
      </c>
      <c r="E73" s="37">
        <v>0</v>
      </c>
      <c r="F73" s="41">
        <v>0</v>
      </c>
      <c r="G73" s="41">
        <v>0</v>
      </c>
      <c r="H73" s="41">
        <v>0</v>
      </c>
      <c r="I73" s="41">
        <v>0</v>
      </c>
      <c r="J73" s="41">
        <v>0</v>
      </c>
      <c r="K73" s="41">
        <f ca="1">C73*$J73/'MADC NONAUTO MODEL'!$G$6</f>
        <v>0</v>
      </c>
    </row>
    <row r="74" spans="1:11" x14ac:dyDescent="0.25">
      <c r="B74" t="s">
        <v>226</v>
      </c>
      <c r="C74" s="2">
        <f ca="1">SUM('ADC NONAUTO MODEL'!$A$95:$A$99)</f>
        <v>0</v>
      </c>
      <c r="D74" s="2">
        <f>PRODUCTIVITIES!E16</f>
        <v>888.0117100682927</v>
      </c>
      <c r="E74" s="37">
        <f>'WAGE RATES'!D5</f>
        <v>54.142360316355024</v>
      </c>
      <c r="F74" s="41">
        <f>E74*100/D74</f>
        <v>6.0970322465895403</v>
      </c>
      <c r="G74" s="41">
        <f>PIGGYBACKS!B9</f>
        <v>1.2615773174013249</v>
      </c>
      <c r="H74" s="41">
        <f>'WAGE RATES'!$D$10</f>
        <v>1.0285306172213804</v>
      </c>
      <c r="I74" s="41">
        <f>(H74-1)*F74</f>
        <v>0.17395209321385913</v>
      </c>
      <c r="J74" s="41">
        <f>F74*G74+I74</f>
        <v>7.8658296789756648</v>
      </c>
      <c r="K74" s="41">
        <f ca="1">C74*$J74/'ADC NONAUTO MODEL'!$G$6</f>
        <v>0</v>
      </c>
    </row>
    <row r="75" spans="1:11" x14ac:dyDescent="0.25">
      <c r="F75" s="41"/>
      <c r="H75" s="41"/>
      <c r="I75" s="41"/>
      <c r="J75" s="41"/>
    </row>
    <row r="76" spans="1:11" ht="13.8" thickBot="1" x14ac:dyDescent="0.3">
      <c r="F76" s="41"/>
      <c r="H76" s="41"/>
      <c r="I76" s="41"/>
      <c r="J76" s="41"/>
      <c r="K76" s="40" t="str">
        <f>"(10)"</f>
        <v>(10)</v>
      </c>
    </row>
    <row r="77" spans="1:11" ht="13.8" thickBot="1" x14ac:dyDescent="0.3">
      <c r="F77" s="41"/>
      <c r="H77" s="41"/>
      <c r="I77" s="41"/>
      <c r="J77" s="136" t="s">
        <v>205</v>
      </c>
      <c r="K77" s="137">
        <f ca="1">SUM(K11:K74)</f>
        <v>18.275515260445101</v>
      </c>
    </row>
    <row r="81" spans="1:8" x14ac:dyDescent="0.25">
      <c r="A81" s="139" t="str">
        <f>"(1)"</f>
        <v>(1)</v>
      </c>
      <c r="B81" s="1" t="s">
        <v>318</v>
      </c>
      <c r="F81" s="139" t="str">
        <f>"(6)"</f>
        <v>(6)</v>
      </c>
      <c r="G81" s="1" t="s">
        <v>236</v>
      </c>
      <c r="H81" s="33"/>
    </row>
    <row r="82" spans="1:8" x14ac:dyDescent="0.25">
      <c r="A82" s="139" t="str">
        <f>"(2)"</f>
        <v>(2)</v>
      </c>
      <c r="B82" s="1" t="s">
        <v>237</v>
      </c>
      <c r="F82" s="138" t="str">
        <f>"(7)"</f>
        <v>(7)</v>
      </c>
      <c r="G82" s="140" t="s">
        <v>209</v>
      </c>
      <c r="H82" s="33"/>
    </row>
    <row r="83" spans="1:8" x14ac:dyDescent="0.25">
      <c r="A83" s="139" t="str">
        <f>"(3)"</f>
        <v>(3)</v>
      </c>
      <c r="B83" s="1" t="s">
        <v>236</v>
      </c>
      <c r="F83" s="138" t="str">
        <f>"(8)"</f>
        <v>(8)</v>
      </c>
      <c r="G83" s="140" t="s">
        <v>211</v>
      </c>
      <c r="H83" s="33"/>
    </row>
    <row r="84" spans="1:8" x14ac:dyDescent="0.25">
      <c r="A84" s="139" t="str">
        <f>"(4)"</f>
        <v>(4)</v>
      </c>
      <c r="B84" s="1" t="s">
        <v>213</v>
      </c>
      <c r="F84" s="138" t="str">
        <f>"(9)"</f>
        <v>(9)</v>
      </c>
      <c r="G84" s="140" t="s">
        <v>212</v>
      </c>
      <c r="H84" s="33"/>
    </row>
    <row r="85" spans="1:8" x14ac:dyDescent="0.25">
      <c r="A85" s="139" t="str">
        <f>"(5)"</f>
        <v>(5)</v>
      </c>
      <c r="B85" s="1" t="s">
        <v>238</v>
      </c>
      <c r="F85" s="138" t="str">
        <f>"(10)"</f>
        <v>(10)</v>
      </c>
      <c r="G85" s="140" t="s">
        <v>214</v>
      </c>
      <c r="H85" s="33"/>
    </row>
    <row r="86" spans="1:8" x14ac:dyDescent="0.25">
      <c r="G86" s="140"/>
      <c r="H86" s="33"/>
    </row>
  </sheetData>
  <phoneticPr fontId="29" type="noConversion"/>
  <printOptions horizontalCentered="1"/>
  <pageMargins left="0.75" right="0.75" top="1" bottom="1" header="0.5" footer="0.5"/>
  <pageSetup scale="60" orientation="portrait" r:id="rId1"/>
  <headerFooter alignWithMargins="0">
    <oddFooter>&amp;CTab '&amp;A'&amp;RPage 13</oddFooter>
  </headerFooter>
  <ignoredErrors>
    <ignoredError sqref="E32 E39 E46 E53 E60 E67" formula="1"/>
  </ignoredErrors>
</worksheet>
</file>

<file path=xl/worksheets/sheet1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7"/>
  <dimension ref="A1:AD128"/>
  <sheetViews>
    <sheetView zoomScale="75" workbookViewId="0"/>
  </sheetViews>
  <sheetFormatPr defaultRowHeight="13.2" x14ac:dyDescent="0.25"/>
  <cols>
    <col min="1" max="3" width="10.77734375" style="19" customWidth="1"/>
    <col min="4" max="4" width="10.77734375" style="58" customWidth="1"/>
    <col min="5" max="6" width="10.77734375" style="19" customWidth="1"/>
    <col min="7" max="7" width="15.77734375" style="19" customWidth="1"/>
    <col min="8" max="8" width="10.77734375" style="19" customWidth="1"/>
    <col min="9" max="9" width="10.77734375" style="58" customWidth="1"/>
    <col min="10" max="12" width="10.77734375" style="19" customWidth="1"/>
    <col min="13" max="13" width="10.77734375" customWidth="1"/>
    <col min="14" max="14" width="10.77734375" style="19" customWidth="1"/>
    <col min="15" max="16" width="10.77734375" style="58" customWidth="1"/>
    <col min="17" max="18" width="10.77734375" style="19" customWidth="1"/>
    <col min="19" max="19" width="10.77734375" customWidth="1"/>
    <col min="20" max="20" width="10.77734375" style="19" customWidth="1"/>
    <col min="21" max="21" width="10.77734375" style="58" customWidth="1"/>
    <col min="22" max="30" width="10.77734375" style="19" customWidth="1"/>
    <col min="31" max="34" width="10.77734375" customWidth="1"/>
  </cols>
  <sheetData>
    <row r="1" spans="1:30" ht="28.2" x14ac:dyDescent="0.5">
      <c r="A1" s="56" t="str">
        <f>'ADC NONAUTO COST'!A1</f>
        <v>ADC NONAUTO PRESORT</v>
      </c>
    </row>
    <row r="2" spans="1:30" ht="22.8" x14ac:dyDescent="0.4">
      <c r="A2" s="57" t="s">
        <v>239</v>
      </c>
    </row>
    <row r="6" spans="1:30" ht="17.399999999999999" x14ac:dyDescent="0.3">
      <c r="A6" s="47" t="s">
        <v>240</v>
      </c>
      <c r="B6" s="17"/>
      <c r="C6" s="48">
        <f>SUM(C11:C16)+SUM(G11:G16)+SUM(K11:K16)+SUM(O11:O16)</f>
        <v>10000</v>
      </c>
      <c r="E6" s="47" t="s">
        <v>241</v>
      </c>
      <c r="F6" s="17"/>
      <c r="G6" s="48">
        <f ca="1">D88+J88+O88+D100+D127</f>
        <v>9999.99999999998</v>
      </c>
      <c r="H6" s="17"/>
      <c r="J6" s="17"/>
      <c r="K6" s="17"/>
      <c r="O6" s="47"/>
      <c r="P6" s="47"/>
      <c r="Q6" s="17"/>
      <c r="R6" s="17"/>
      <c r="V6" s="17"/>
      <c r="W6" s="17"/>
      <c r="X6" s="17"/>
      <c r="Y6" s="17"/>
      <c r="AA6" s="17"/>
      <c r="AC6" s="17"/>
      <c r="AD6" s="17"/>
    </row>
    <row r="9" spans="1:30" x14ac:dyDescent="0.25">
      <c r="E9" s="17"/>
      <c r="H9" s="17"/>
      <c r="J9" s="17"/>
      <c r="K9" s="17"/>
      <c r="N9" s="17"/>
      <c r="Q9" s="17"/>
      <c r="R9" s="17"/>
      <c r="V9" s="17"/>
      <c r="W9" s="17"/>
      <c r="X9" s="17"/>
      <c r="Y9" s="17"/>
      <c r="AA9" s="17"/>
      <c r="AC9" s="17"/>
      <c r="AD9" s="17"/>
    </row>
    <row r="10" spans="1:30" ht="17.399999999999999" x14ac:dyDescent="0.3">
      <c r="A10" s="49" t="s">
        <v>242</v>
      </c>
      <c r="E10" s="17"/>
      <c r="G10" s="18"/>
      <c r="H10" s="26"/>
      <c r="J10" s="17"/>
      <c r="K10" s="17"/>
      <c r="N10" s="17"/>
      <c r="O10" s="60"/>
      <c r="Q10" s="17"/>
      <c r="R10" s="17"/>
      <c r="V10" s="17"/>
      <c r="W10" s="17"/>
      <c r="X10" s="17"/>
      <c r="Y10" s="17"/>
      <c r="AA10" s="17"/>
      <c r="AC10" s="17"/>
      <c r="AD10" s="17"/>
    </row>
    <row r="11" spans="1:30" x14ac:dyDescent="0.25">
      <c r="A11" s="25"/>
      <c r="B11" s="66" t="s">
        <v>243</v>
      </c>
      <c r="C11" s="67">
        <v>0</v>
      </c>
      <c r="D11" s="59"/>
      <c r="E11" s="28"/>
      <c r="F11" s="61" t="s">
        <v>244</v>
      </c>
      <c r="G11" s="63">
        <f>'ADC AUTO MODEL'!C11</f>
        <v>110.81906215110294</v>
      </c>
      <c r="I11" s="27"/>
      <c r="J11" s="72" t="s">
        <v>245</v>
      </c>
      <c r="K11" s="73">
        <v>0</v>
      </c>
      <c r="L11" s="59"/>
      <c r="M11" s="28"/>
      <c r="N11" s="78" t="s">
        <v>246</v>
      </c>
      <c r="O11" s="79">
        <f>'ADC AUTO MODEL'!K11</f>
        <v>0</v>
      </c>
      <c r="P11" s="141"/>
      <c r="Q11" s="17"/>
      <c r="R11" s="17"/>
      <c r="V11" s="17"/>
      <c r="W11" s="17"/>
      <c r="X11" s="17"/>
      <c r="Y11" s="17"/>
      <c r="AA11" s="17"/>
      <c r="AC11" s="17"/>
      <c r="AD11" s="17"/>
    </row>
    <row r="12" spans="1:30" x14ac:dyDescent="0.25">
      <c r="A12" s="21"/>
      <c r="B12" s="68" t="s">
        <v>247</v>
      </c>
      <c r="C12" s="69">
        <v>0</v>
      </c>
      <c r="E12" s="17"/>
      <c r="F12" s="62" t="s">
        <v>248</v>
      </c>
      <c r="G12" s="63">
        <f>'ADC AUTO MODEL'!C12</f>
        <v>0</v>
      </c>
      <c r="I12" s="19"/>
      <c r="J12" s="74" t="s">
        <v>249</v>
      </c>
      <c r="K12" s="75">
        <v>0</v>
      </c>
      <c r="L12" s="58"/>
      <c r="M12" s="17"/>
      <c r="N12" s="80" t="s">
        <v>250</v>
      </c>
      <c r="O12" s="81">
        <f>'ADC AUTO MODEL'!K12</f>
        <v>0</v>
      </c>
      <c r="P12" s="141"/>
      <c r="Q12" s="17"/>
      <c r="R12" s="17"/>
      <c r="V12" s="17"/>
      <c r="W12" s="17"/>
      <c r="X12" s="17"/>
      <c r="Y12" s="17"/>
      <c r="AA12" s="17"/>
      <c r="AC12" s="17"/>
      <c r="AD12" s="17"/>
    </row>
    <row r="13" spans="1:30" x14ac:dyDescent="0.25">
      <c r="A13" s="21"/>
      <c r="B13" s="68" t="s">
        <v>251</v>
      </c>
      <c r="C13" s="69">
        <v>0</v>
      </c>
      <c r="E13" s="17"/>
      <c r="F13" s="62" t="s">
        <v>252</v>
      </c>
      <c r="G13" s="63">
        <f>'ADC AUTO MODEL'!C13</f>
        <v>9889.1809378488979</v>
      </c>
      <c r="I13" s="19"/>
      <c r="J13" s="74" t="s">
        <v>253</v>
      </c>
      <c r="K13" s="75">
        <v>0</v>
      </c>
      <c r="L13" s="58"/>
      <c r="M13" s="17"/>
      <c r="N13" s="80" t="s">
        <v>254</v>
      </c>
      <c r="O13" s="81">
        <f>'ADC AUTO MODEL'!K13</f>
        <v>0</v>
      </c>
      <c r="P13" s="141"/>
      <c r="Q13" s="17"/>
      <c r="R13" s="17"/>
      <c r="V13" s="17"/>
      <c r="W13" s="17"/>
      <c r="X13" s="17"/>
      <c r="Y13" s="17"/>
      <c r="AA13" s="17"/>
      <c r="AC13" s="17"/>
      <c r="AD13" s="17"/>
    </row>
    <row r="14" spans="1:30" x14ac:dyDescent="0.25">
      <c r="A14" s="21"/>
      <c r="B14" s="68" t="s">
        <v>255</v>
      </c>
      <c r="C14" s="69">
        <v>0</v>
      </c>
      <c r="E14" s="17"/>
      <c r="F14" s="62" t="s">
        <v>256</v>
      </c>
      <c r="G14" s="63">
        <f>'ADC AUTO MODEL'!C14</f>
        <v>0</v>
      </c>
      <c r="I14" s="19"/>
      <c r="J14" s="74" t="s">
        <v>257</v>
      </c>
      <c r="K14" s="75">
        <v>0</v>
      </c>
      <c r="L14" s="58"/>
      <c r="M14" s="17"/>
      <c r="N14" s="80" t="s">
        <v>258</v>
      </c>
      <c r="O14" s="81">
        <f>'ADC AUTO MODEL'!K14</f>
        <v>0</v>
      </c>
      <c r="P14" s="141"/>
      <c r="Q14" s="17"/>
      <c r="R14" s="17"/>
      <c r="V14" s="17"/>
      <c r="W14" s="17"/>
      <c r="X14" s="17"/>
      <c r="Y14" s="17"/>
      <c r="AA14" s="17"/>
      <c r="AC14" s="17"/>
      <c r="AD14" s="17"/>
    </row>
    <row r="15" spans="1:30" x14ac:dyDescent="0.25">
      <c r="A15" s="21"/>
      <c r="B15" s="68" t="s">
        <v>259</v>
      </c>
      <c r="C15" s="69">
        <v>0</v>
      </c>
      <c r="E15" s="17"/>
      <c r="F15" s="62" t="s">
        <v>260</v>
      </c>
      <c r="G15" s="63">
        <f>'ADC AUTO MODEL'!C15</f>
        <v>0</v>
      </c>
      <c r="I15" s="19"/>
      <c r="J15" s="74" t="s">
        <v>261</v>
      </c>
      <c r="K15" s="75">
        <v>0</v>
      </c>
      <c r="L15" s="58"/>
      <c r="M15" s="17"/>
      <c r="N15" s="80" t="s">
        <v>262</v>
      </c>
      <c r="O15" s="81">
        <f>'ADC AUTO MODEL'!K15</f>
        <v>0</v>
      </c>
      <c r="P15" s="141"/>
      <c r="Q15" s="17"/>
      <c r="R15" s="17"/>
      <c r="V15" s="17"/>
      <c r="W15" s="17"/>
      <c r="X15" s="17"/>
      <c r="Y15" s="17"/>
      <c r="AA15" s="17"/>
      <c r="AC15" s="17"/>
      <c r="AD15" s="17"/>
    </row>
    <row r="16" spans="1:30" x14ac:dyDescent="0.25">
      <c r="A16" s="20"/>
      <c r="B16" s="70" t="s">
        <v>263</v>
      </c>
      <c r="C16" s="71">
        <v>0</v>
      </c>
      <c r="D16" s="60"/>
      <c r="E16" s="26"/>
      <c r="F16" s="64" t="s">
        <v>264</v>
      </c>
      <c r="G16" s="65">
        <f>'ADC AUTO MODEL'!C16</f>
        <v>0</v>
      </c>
      <c r="H16" s="18"/>
      <c r="I16" s="18"/>
      <c r="J16" s="76" t="s">
        <v>265</v>
      </c>
      <c r="K16" s="77">
        <v>0</v>
      </c>
      <c r="L16" s="60"/>
      <c r="M16" s="26"/>
      <c r="N16" s="82" t="s">
        <v>266</v>
      </c>
      <c r="O16" s="83">
        <f>'ADC AUTO MODEL'!K16</f>
        <v>0</v>
      </c>
      <c r="P16" s="141"/>
      <c r="Q16" s="17"/>
      <c r="R16" s="17"/>
      <c r="V16" s="17"/>
      <c r="W16" s="17"/>
      <c r="X16" s="17"/>
      <c r="Y16" s="17"/>
      <c r="AA16" s="17"/>
      <c r="AC16" s="17"/>
      <c r="AD16" s="17"/>
    </row>
    <row r="20" spans="1:30" x14ac:dyDescent="0.25">
      <c r="A20" s="103"/>
      <c r="B20" s="105"/>
      <c r="C20" s="105"/>
      <c r="D20" s="106"/>
      <c r="E20" s="105"/>
      <c r="F20" s="105"/>
      <c r="G20" s="103"/>
      <c r="H20" s="104"/>
      <c r="I20" s="105"/>
      <c r="J20" s="106"/>
      <c r="K20" s="105"/>
      <c r="L20" s="105"/>
      <c r="M20" s="104"/>
      <c r="N20" s="105"/>
      <c r="O20" s="106"/>
      <c r="P20" s="105"/>
      <c r="Q20" s="107"/>
      <c r="S20" s="19"/>
      <c r="U20" s="19"/>
      <c r="Y20"/>
      <c r="Z20"/>
      <c r="AA20"/>
      <c r="AB20"/>
      <c r="AC20"/>
      <c r="AD20"/>
    </row>
    <row r="21" spans="1:30" s="125" customFormat="1" ht="22.8" x14ac:dyDescent="0.4">
      <c r="A21" s="177"/>
      <c r="B21" s="123"/>
      <c r="C21" s="127" t="s">
        <v>267</v>
      </c>
      <c r="D21" s="123"/>
      <c r="E21" s="57"/>
      <c r="F21" s="127"/>
      <c r="G21" s="122"/>
      <c r="H21" s="57"/>
      <c r="I21" s="123"/>
      <c r="J21" s="57"/>
      <c r="K21" s="57"/>
      <c r="L21" s="127" t="s">
        <v>268</v>
      </c>
      <c r="M21" s="57"/>
      <c r="N21" s="123"/>
      <c r="O21" s="57"/>
      <c r="P21" s="57"/>
      <c r="Q21" s="124"/>
      <c r="R21" s="57"/>
      <c r="S21" s="57"/>
      <c r="T21" s="57"/>
      <c r="U21" s="57"/>
      <c r="V21" s="57"/>
      <c r="W21" s="57"/>
      <c r="X21" s="57"/>
    </row>
    <row r="22" spans="1:30" s="125" customFormat="1" ht="22.8" x14ac:dyDescent="0.4">
      <c r="A22" s="122"/>
      <c r="B22" s="57"/>
      <c r="C22" s="57"/>
      <c r="D22" s="123"/>
      <c r="E22" s="57"/>
      <c r="F22" s="127"/>
      <c r="G22" s="122"/>
      <c r="H22" s="57"/>
      <c r="I22" s="123"/>
      <c r="J22" s="57"/>
      <c r="K22" s="57"/>
      <c r="M22" s="57"/>
      <c r="N22" s="123"/>
      <c r="O22" s="57"/>
      <c r="P22" s="57"/>
      <c r="Q22" s="124"/>
      <c r="R22" s="57"/>
      <c r="S22" s="57"/>
      <c r="T22" s="57"/>
      <c r="U22" s="57"/>
      <c r="V22" s="57"/>
      <c r="W22" s="57"/>
      <c r="X22" s="57"/>
    </row>
    <row r="23" spans="1:30" x14ac:dyDescent="0.25">
      <c r="A23" s="113"/>
      <c r="D23" s="96">
        <f>SUM(A25:A29)*(1-'ACCEPT RATES'!G14)+SUM(C25:C29)*SUM('ACCEPT RATES'!I14:J14)</f>
        <v>6.8235446772047581</v>
      </c>
      <c r="E23" s="23" t="s">
        <v>269</v>
      </c>
      <c r="G23" s="121"/>
      <c r="I23" s="23"/>
      <c r="J23" s="96">
        <f>SUM(G25:G29)*(1-'ACCEPT RATES'!E19)</f>
        <v>0</v>
      </c>
      <c r="K23" s="23" t="s">
        <v>269</v>
      </c>
      <c r="L23"/>
      <c r="M23" s="19"/>
      <c r="P23" s="23"/>
      <c r="Q23" s="108"/>
      <c r="S23" s="19"/>
      <c r="U23" s="19"/>
      <c r="Y23"/>
      <c r="Z23"/>
      <c r="AA23"/>
      <c r="AB23"/>
      <c r="AC23"/>
      <c r="AD23"/>
    </row>
    <row r="24" spans="1:30" x14ac:dyDescent="0.25">
      <c r="A24" s="126" t="s">
        <v>270</v>
      </c>
      <c r="B24" s="86" t="s">
        <v>271</v>
      </c>
      <c r="C24" s="87"/>
      <c r="D24" s="119"/>
      <c r="E24" s="23" t="s">
        <v>272</v>
      </c>
      <c r="G24" s="126" t="s">
        <v>273</v>
      </c>
      <c r="H24" s="86" t="s">
        <v>274</v>
      </c>
      <c r="I24" s="87"/>
      <c r="J24" s="99"/>
      <c r="K24" s="22" t="s">
        <v>272</v>
      </c>
      <c r="L24"/>
      <c r="M24" s="86" t="s">
        <v>275</v>
      </c>
      <c r="N24" s="87"/>
      <c r="P24" s="19"/>
      <c r="Q24" s="108"/>
      <c r="S24" s="19"/>
      <c r="U24" s="19"/>
      <c r="Y24"/>
      <c r="Z24"/>
      <c r="AA24"/>
      <c r="AB24"/>
      <c r="AC24"/>
      <c r="AD24"/>
    </row>
    <row r="25" spans="1:30" x14ac:dyDescent="0.25">
      <c r="A25" s="120">
        <f>B25*(1-'ACCEPT RATES'!C14)</f>
        <v>0</v>
      </c>
      <c r="B25" s="29">
        <f>C25*(1+'ACCEPT RATES'!F14)</f>
        <v>0</v>
      </c>
      <c r="C25" s="50">
        <f>C11*('COVERAGE FACTORS'!C15+'COVERAGE FACTORS'!C19)</f>
        <v>0</v>
      </c>
      <c r="E25" s="23" t="s">
        <v>200</v>
      </c>
      <c r="G25" s="178">
        <f>H25*(1-'ACCEPT RATES'!C19)</f>
        <v>0</v>
      </c>
      <c r="H25" s="29">
        <f>I25</f>
        <v>0</v>
      </c>
      <c r="I25" s="50">
        <f>C11*'COVERAGE FACTORS'!C17</f>
        <v>0</v>
      </c>
      <c r="J25" s="22"/>
      <c r="K25" s="22" t="s">
        <v>200</v>
      </c>
      <c r="L25"/>
      <c r="M25" s="29">
        <f>N25</f>
        <v>0</v>
      </c>
      <c r="N25" s="50">
        <f>C11*'COVERAGE FACTORS'!C21</f>
        <v>0</v>
      </c>
      <c r="P25" s="19"/>
      <c r="Q25" s="108"/>
      <c r="S25" s="19"/>
      <c r="U25" s="19"/>
      <c r="Y25"/>
      <c r="Z25"/>
      <c r="AA25"/>
      <c r="AB25"/>
      <c r="AC25"/>
      <c r="AD25"/>
    </row>
    <row r="26" spans="1:30" x14ac:dyDescent="0.25">
      <c r="A26" s="179">
        <f>B26*(1-'ACCEPT RATES'!D14)</f>
        <v>29.592419244321583</v>
      </c>
      <c r="B26" s="85">
        <f>C26*(1+'ACCEPT RATES'!F14)</f>
        <v>112.22673116374736</v>
      </c>
      <c r="C26" s="84">
        <f>G11*('COVERAGE FACTORS'!C15+'COVERAGE FACTORS'!C19)</f>
        <v>110.81855178963571</v>
      </c>
      <c r="G26" s="179">
        <f>H26*(1-'ACCEPT RATES'!D19)</f>
        <v>0</v>
      </c>
      <c r="H26" s="85">
        <f>I26</f>
        <v>0</v>
      </c>
      <c r="I26" s="84">
        <f>G11*'COVERAGE FACTORS'!C17</f>
        <v>0</v>
      </c>
      <c r="J26" s="58"/>
      <c r="L26"/>
      <c r="M26" s="85">
        <f>N26</f>
        <v>5.1036146727489475E-4</v>
      </c>
      <c r="N26" s="84">
        <f>G11*'COVERAGE FACTORS'!C21</f>
        <v>5.1036146727489475E-4</v>
      </c>
      <c r="P26" s="19"/>
      <c r="Q26" s="108"/>
      <c r="S26" s="19"/>
      <c r="U26" s="19"/>
      <c r="Y26"/>
      <c r="Z26"/>
      <c r="AA26"/>
      <c r="AB26"/>
      <c r="AC26"/>
      <c r="AD26"/>
    </row>
    <row r="27" spans="1:30" x14ac:dyDescent="0.25">
      <c r="A27" s="121"/>
      <c r="B27" s="85"/>
      <c r="C27" s="84"/>
      <c r="G27" s="109">
        <f>H27*(1-'ACCEPT RATES'!C19)</f>
        <v>0</v>
      </c>
      <c r="H27" s="89">
        <f>I27</f>
        <v>0</v>
      </c>
      <c r="I27" s="90">
        <f>K11*('COVERAGE FACTORS'!C17+'COVERAGE FACTORS'!C19)</f>
        <v>0</v>
      </c>
      <c r="J27" s="58"/>
      <c r="L27"/>
      <c r="M27" s="89">
        <f>N27</f>
        <v>0</v>
      </c>
      <c r="N27" s="90">
        <f>K11*(1-('COVERAGE FACTORS'!C17+'COVERAGE FACTORS'!C19))</f>
        <v>0</v>
      </c>
      <c r="P27" s="19"/>
      <c r="Q27" s="108"/>
      <c r="S27" s="19"/>
      <c r="U27" s="19"/>
      <c r="Y27"/>
      <c r="Z27"/>
      <c r="AA27"/>
      <c r="AB27"/>
      <c r="AC27"/>
      <c r="AD27"/>
    </row>
    <row r="28" spans="1:30" x14ac:dyDescent="0.25">
      <c r="A28" s="121"/>
      <c r="B28" s="85"/>
      <c r="C28" s="84"/>
      <c r="G28" s="110">
        <f>H28*(1-'ACCEPT RATES'!D19)</f>
        <v>0</v>
      </c>
      <c r="H28" s="94">
        <f>I28</f>
        <v>0</v>
      </c>
      <c r="I28" s="92">
        <f>O11*('COVERAGE FACTORS'!C17+'COVERAGE FACTORS'!C19)</f>
        <v>0</v>
      </c>
      <c r="J28" s="58"/>
      <c r="L28"/>
      <c r="M28" s="94">
        <f>N28</f>
        <v>0</v>
      </c>
      <c r="N28" s="92">
        <f>O11*(1-('COVERAGE FACTORS'!C17+'COVERAGE FACTORS'!C19))</f>
        <v>0</v>
      </c>
      <c r="P28" s="19"/>
      <c r="Q28" s="108"/>
      <c r="S28" s="19"/>
      <c r="U28" s="19"/>
      <c r="Y28"/>
      <c r="Z28"/>
      <c r="AA28"/>
      <c r="AB28"/>
      <c r="AC28"/>
      <c r="AD28"/>
    </row>
    <row r="29" spans="1:30" x14ac:dyDescent="0.25">
      <c r="A29" s="180"/>
      <c r="B29" s="20"/>
      <c r="C29" s="34"/>
      <c r="G29" s="111"/>
      <c r="H29" s="44"/>
      <c r="I29" s="34"/>
      <c r="J29" s="58"/>
      <c r="L29"/>
      <c r="M29" s="101">
        <f>N29</f>
        <v>6.8235446772047581</v>
      </c>
      <c r="N29" s="100">
        <f>D23+J23</f>
        <v>6.8235446772047581</v>
      </c>
      <c r="P29" s="19"/>
      <c r="Q29" s="108"/>
      <c r="S29" s="19"/>
      <c r="U29" s="19"/>
      <c r="Y29"/>
      <c r="Z29"/>
      <c r="AA29"/>
      <c r="AB29"/>
      <c r="AC29"/>
      <c r="AD29"/>
    </row>
    <row r="30" spans="1:30" x14ac:dyDescent="0.25">
      <c r="A30" s="113"/>
      <c r="C30" s="97"/>
      <c r="D30" s="364">
        <f>(SUM(C25:C29)-D23)*'PIECE DENSITIES'!C6</f>
        <v>13.316586832645111</v>
      </c>
      <c r="E30" s="23" t="s">
        <v>276</v>
      </c>
      <c r="G30" s="113"/>
      <c r="I30" s="98"/>
      <c r="J30" s="181">
        <f>(SUM(I25:I29)-J23)*'PIECE DENSITIES'!C11</f>
        <v>0</v>
      </c>
      <c r="K30" s="23" t="s">
        <v>277</v>
      </c>
      <c r="L30"/>
      <c r="M30" s="19"/>
      <c r="O30" s="95">
        <f>SUM(N25:N29)*'PIECE DENSITIES'!C16</f>
        <v>0.610600951789111</v>
      </c>
      <c r="P30" s="23" t="s">
        <v>278</v>
      </c>
      <c r="Q30" s="108"/>
      <c r="S30" s="19"/>
      <c r="U30" s="19"/>
      <c r="Y30"/>
      <c r="Z30"/>
      <c r="AA30"/>
      <c r="AB30"/>
      <c r="AC30"/>
      <c r="AD30"/>
    </row>
    <row r="31" spans="1:30" x14ac:dyDescent="0.25">
      <c r="A31" s="113"/>
      <c r="C31" s="97"/>
      <c r="D31" s="364">
        <f>(SUM(C25:C29)-D23)*'PIECE DENSITIES'!D6</f>
        <v>53.901561691615697</v>
      </c>
      <c r="E31" s="23" t="s">
        <v>279</v>
      </c>
      <c r="G31" s="113"/>
      <c r="I31" s="98"/>
      <c r="J31" s="181">
        <f>(SUM(I25:I29)-J23)*'PIECE DENSITIES'!D11</f>
        <v>0</v>
      </c>
      <c r="K31" s="23" t="s">
        <v>280</v>
      </c>
      <c r="L31"/>
      <c r="M31" s="19"/>
      <c r="O31" s="95">
        <f>SUM(N25:N29)*'PIECE DENSITIES'!D16</f>
        <v>3.9623996194022681</v>
      </c>
      <c r="P31" s="23" t="s">
        <v>281</v>
      </c>
      <c r="Q31" s="108"/>
      <c r="S31" s="19"/>
      <c r="U31" s="19"/>
      <c r="Y31"/>
      <c r="Z31"/>
      <c r="AA31"/>
      <c r="AB31"/>
      <c r="AC31"/>
      <c r="AD31"/>
    </row>
    <row r="32" spans="1:30" x14ac:dyDescent="0.25">
      <c r="A32" s="113"/>
      <c r="C32" s="88"/>
      <c r="D32" s="365">
        <f>(SUM(C25:C29)-D23)*'PIECE DENSITIES'!E6</f>
        <v>29.110672416411653</v>
      </c>
      <c r="E32" s="23" t="s">
        <v>282</v>
      </c>
      <c r="G32" s="113"/>
      <c r="I32" s="93"/>
      <c r="J32" s="182">
        <f>(SUM(I25:I29)-J23)*'PIECE DENSITIES'!E11</f>
        <v>0</v>
      </c>
      <c r="K32" s="23" t="s">
        <v>283</v>
      </c>
      <c r="L32"/>
      <c r="M32" s="19"/>
      <c r="N32" s="45"/>
      <c r="O32" s="96">
        <f>SUM(N25:N29)*'PIECE DENSITIES'!E16</f>
        <v>1.745641506742255</v>
      </c>
      <c r="P32" s="23" t="s">
        <v>284</v>
      </c>
      <c r="Q32" s="108"/>
      <c r="S32" s="19"/>
      <c r="U32" s="19"/>
      <c r="Y32"/>
      <c r="Z32"/>
      <c r="AA32"/>
      <c r="AB32"/>
      <c r="AC32"/>
      <c r="AD32"/>
    </row>
    <row r="33" spans="1:30" x14ac:dyDescent="0.25">
      <c r="A33" s="113"/>
      <c r="C33" s="88"/>
      <c r="D33" s="365">
        <f>(SUM(C25:C29)-D23)*'PIECE DENSITIES'!F6</f>
        <v>7.6661861717585005</v>
      </c>
      <c r="E33" s="23" t="s">
        <v>285</v>
      </c>
      <c r="G33" s="113"/>
      <c r="I33" s="93"/>
      <c r="J33" s="182">
        <f>(SUM(I25:I29)-J23)*'PIECE DENSITIES'!F11</f>
        <v>0</v>
      </c>
      <c r="K33" s="23" t="s">
        <v>286</v>
      </c>
      <c r="L33"/>
      <c r="M33" s="19"/>
      <c r="N33" s="45"/>
      <c r="O33" s="96">
        <f>SUM(N25:N29)*'PIECE DENSITIES'!F16</f>
        <v>0.50541296073839947</v>
      </c>
      <c r="P33" s="23" t="s">
        <v>287</v>
      </c>
      <c r="Q33" s="108"/>
      <c r="S33" s="19"/>
      <c r="U33" s="19"/>
      <c r="Y33"/>
      <c r="Z33"/>
      <c r="AA33"/>
      <c r="AB33"/>
      <c r="AC33"/>
      <c r="AD33"/>
    </row>
    <row r="34" spans="1:30" x14ac:dyDescent="0.25">
      <c r="A34" s="113"/>
      <c r="C34" s="88"/>
      <c r="D34" s="365">
        <f>(SUM(C25:C29)-D23)*'PIECE DENSITIES'!G6</f>
        <v>0</v>
      </c>
      <c r="E34" s="23" t="s">
        <v>288</v>
      </c>
      <c r="G34" s="113"/>
      <c r="I34" s="93"/>
      <c r="J34" s="182">
        <f>(SUM(I25:I29)-J23)*'PIECE DENSITIES'!G11</f>
        <v>0</v>
      </c>
      <c r="K34" s="23" t="s">
        <v>289</v>
      </c>
      <c r="L34"/>
      <c r="M34" s="19"/>
      <c r="N34" s="45"/>
      <c r="O34" s="96">
        <f>SUM(N25:N29)*'PIECE DENSITIES'!G16</f>
        <v>0</v>
      </c>
      <c r="P34" s="23" t="s">
        <v>290</v>
      </c>
      <c r="Q34" s="108"/>
      <c r="S34" s="19"/>
      <c r="U34" s="19"/>
      <c r="Y34"/>
      <c r="Z34"/>
      <c r="AA34"/>
      <c r="AB34"/>
      <c r="AC34"/>
      <c r="AD34"/>
    </row>
    <row r="35" spans="1:30" x14ac:dyDescent="0.25">
      <c r="A35" s="113"/>
      <c r="G35" s="113"/>
      <c r="I35" s="19"/>
      <c r="J35" s="58"/>
      <c r="L35"/>
      <c r="M35" s="19"/>
      <c r="P35" s="19"/>
      <c r="Q35" s="108"/>
      <c r="S35" s="19"/>
      <c r="U35" s="19"/>
      <c r="Y35"/>
      <c r="Z35"/>
      <c r="AA35"/>
      <c r="AB35"/>
      <c r="AC35"/>
      <c r="AD35"/>
    </row>
    <row r="36" spans="1:30" x14ac:dyDescent="0.25">
      <c r="A36" s="113"/>
      <c r="D36" s="96">
        <f>SUM(A38:A42)*(1-'ACCEPT RATES'!G15)+SUM(C38:C42)*SUM('ACCEPT RATES'!I15:J15)</f>
        <v>1.2357687167251123</v>
      </c>
      <c r="E36" s="23" t="s">
        <v>269</v>
      </c>
      <c r="G36" s="121"/>
      <c r="I36" s="23"/>
      <c r="J36" s="96">
        <f>SUM(G38:G42)*(1-'ACCEPT RATES'!E20)</f>
        <v>0</v>
      </c>
      <c r="K36" s="23" t="s">
        <v>269</v>
      </c>
      <c r="L36"/>
      <c r="M36" s="19"/>
      <c r="P36" s="23"/>
      <c r="Q36" s="108"/>
      <c r="S36" s="19"/>
      <c r="U36" s="19"/>
      <c r="Y36"/>
      <c r="Z36"/>
      <c r="AA36"/>
      <c r="AB36"/>
      <c r="AC36"/>
      <c r="AD36"/>
    </row>
    <row r="37" spans="1:30" x14ac:dyDescent="0.25">
      <c r="A37" s="126" t="s">
        <v>270</v>
      </c>
      <c r="B37" s="86" t="s">
        <v>291</v>
      </c>
      <c r="C37" s="87"/>
      <c r="D37" s="119"/>
      <c r="E37" s="23" t="s">
        <v>292</v>
      </c>
      <c r="G37" s="126" t="s">
        <v>273</v>
      </c>
      <c r="H37" s="86" t="s">
        <v>293</v>
      </c>
      <c r="I37" s="87"/>
      <c r="J37" s="99"/>
      <c r="K37" s="22" t="s">
        <v>292</v>
      </c>
      <c r="L37"/>
      <c r="M37" s="86" t="s">
        <v>278</v>
      </c>
      <c r="N37" s="87"/>
      <c r="P37" s="19"/>
      <c r="Q37" s="108"/>
      <c r="S37" s="19"/>
      <c r="U37" s="19"/>
      <c r="Y37"/>
      <c r="Z37"/>
      <c r="AA37"/>
      <c r="AB37"/>
      <c r="AC37"/>
      <c r="AD37"/>
    </row>
    <row r="38" spans="1:30" x14ac:dyDescent="0.25">
      <c r="A38" s="120">
        <f>B38*(1-'ACCEPT RATES'!C15)</f>
        <v>0</v>
      </c>
      <c r="B38" s="29">
        <f>C38*(1+'ACCEPT RATES'!F15+'PIECE DENSITIES'!C7)</f>
        <v>0</v>
      </c>
      <c r="C38" s="50">
        <f>C12*('COVERAGE FACTORS'!C15+'COVERAGE FACTORS'!C19)</f>
        <v>0</v>
      </c>
      <c r="E38" s="23" t="s">
        <v>200</v>
      </c>
      <c r="G38" s="178">
        <f>H38*(1-'ACCEPT RATES'!C20)</f>
        <v>0</v>
      </c>
      <c r="H38" s="29">
        <f>I38*(1+'PIECE DENSITIES'!C12)</f>
        <v>0</v>
      </c>
      <c r="I38" s="50">
        <f>C12*'COVERAGE FACTORS'!C17</f>
        <v>0</v>
      </c>
      <c r="J38" s="22"/>
      <c r="K38" s="22" t="s">
        <v>200</v>
      </c>
      <c r="L38"/>
      <c r="M38" s="29">
        <f>N38</f>
        <v>0</v>
      </c>
      <c r="N38" s="50">
        <f>C12*'COVERAGE FACTORS'!C21</f>
        <v>0</v>
      </c>
      <c r="P38" s="19"/>
      <c r="Q38" s="108"/>
      <c r="S38" s="19"/>
      <c r="U38" s="19"/>
      <c r="Y38"/>
      <c r="Z38"/>
      <c r="AA38"/>
      <c r="AB38"/>
      <c r="AC38"/>
      <c r="AD38"/>
    </row>
    <row r="39" spans="1:30" x14ac:dyDescent="0.25">
      <c r="A39" s="179">
        <f>B39*(1-'ACCEPT RATES'!D15)</f>
        <v>0</v>
      </c>
      <c r="B39" s="85">
        <f>C39*(1+'ACCEPT RATES'!F15+'PIECE DENSITIES'!C7)</f>
        <v>0</v>
      </c>
      <c r="C39" s="84">
        <f>G12*('COVERAGE FACTORS'!C15+'COVERAGE FACTORS'!C19)</f>
        <v>0</v>
      </c>
      <c r="G39" s="179">
        <f>H39*(1-'ACCEPT RATES'!D20)</f>
        <v>0</v>
      </c>
      <c r="H39" s="85">
        <f>I39*(1+'PIECE DENSITIES'!C12)</f>
        <v>0</v>
      </c>
      <c r="I39" s="84">
        <f>G12*'COVERAGE FACTORS'!C17</f>
        <v>0</v>
      </c>
      <c r="J39" s="58"/>
      <c r="L39"/>
      <c r="M39" s="85">
        <f>N39</f>
        <v>0</v>
      </c>
      <c r="N39" s="84">
        <f>G12*'COVERAGE FACTORS'!C21</f>
        <v>0</v>
      </c>
      <c r="P39" s="19"/>
      <c r="Q39" s="108"/>
      <c r="S39" s="19"/>
      <c r="U39" s="19"/>
      <c r="Y39"/>
      <c r="Z39"/>
      <c r="AA39"/>
      <c r="AB39"/>
      <c r="AC39"/>
      <c r="AD39"/>
    </row>
    <row r="40" spans="1:30" x14ac:dyDescent="0.25">
      <c r="A40" s="121"/>
      <c r="B40" s="85"/>
      <c r="C40" s="84"/>
      <c r="G40" s="109">
        <f>H40*(1-'ACCEPT RATES'!C20)</f>
        <v>0</v>
      </c>
      <c r="H40" s="89">
        <f>I40*(1+'PIECE DENSITIES'!C12)</f>
        <v>0</v>
      </c>
      <c r="I40" s="90">
        <f>K12*('COVERAGE FACTORS'!C17+'COVERAGE FACTORS'!C19)</f>
        <v>0</v>
      </c>
      <c r="J40" s="58"/>
      <c r="L40"/>
      <c r="M40" s="89">
        <f>N40</f>
        <v>0</v>
      </c>
      <c r="N40" s="90">
        <f>K12*(1-('COVERAGE FACTORS'!C17+'COVERAGE FACTORS'!C19))</f>
        <v>0</v>
      </c>
      <c r="P40" s="19"/>
      <c r="Q40" s="108"/>
      <c r="S40" s="19"/>
      <c r="U40" s="19"/>
      <c r="Y40"/>
      <c r="Z40"/>
      <c r="AA40"/>
      <c r="AB40"/>
      <c r="AC40"/>
      <c r="AD40"/>
    </row>
    <row r="41" spans="1:30" x14ac:dyDescent="0.25">
      <c r="A41" s="121"/>
      <c r="B41" s="85"/>
      <c r="C41" s="84"/>
      <c r="G41" s="110">
        <f>H41*(1-'ACCEPT RATES'!D20)</f>
        <v>0</v>
      </c>
      <c r="H41" s="94">
        <f>I41*(1+'PIECE DENSITIES'!C12)</f>
        <v>0</v>
      </c>
      <c r="I41" s="92">
        <f>O12*('COVERAGE FACTORS'!C17+'COVERAGE FACTORS'!C19)</f>
        <v>0</v>
      </c>
      <c r="J41" s="58"/>
      <c r="L41"/>
      <c r="M41" s="94">
        <f>N41</f>
        <v>0</v>
      </c>
      <c r="N41" s="92">
        <f>O12*(1-('COVERAGE FACTORS'!C17+'COVERAGE FACTORS'!C19))</f>
        <v>0</v>
      </c>
      <c r="P41" s="19"/>
      <c r="Q41" s="108"/>
      <c r="S41" s="19"/>
      <c r="U41" s="19"/>
      <c r="Y41"/>
      <c r="Z41"/>
      <c r="AA41"/>
      <c r="AB41"/>
      <c r="AC41"/>
      <c r="AD41"/>
    </row>
    <row r="42" spans="1:30" x14ac:dyDescent="0.25">
      <c r="A42" s="183">
        <f>B42*(1-'ACCEPT RATES'!C15)</f>
        <v>0.83598383188703795</v>
      </c>
      <c r="B42" s="187">
        <f>C42*(1+'ACCEPT RATES'!F15+'PIECE DENSITIES'!C7)</f>
        <v>13.637658991427591</v>
      </c>
      <c r="C42" s="188">
        <f>D30</f>
        <v>13.316586832645111</v>
      </c>
      <c r="G42" s="184">
        <f>IF(SUM(C11:C16)&gt;0,H42*(1-'ACCEPT RATES'!C20),H42*(1-'ACCEPT RATES'!D20))</f>
        <v>0</v>
      </c>
      <c r="H42" s="185">
        <f>I42*(1+'PIECE DENSITIES'!C12)</f>
        <v>0</v>
      </c>
      <c r="I42" s="186">
        <f>J30</f>
        <v>0</v>
      </c>
      <c r="J42" s="58"/>
      <c r="L42"/>
      <c r="M42" s="101">
        <f>N42</f>
        <v>1.8463696685142232</v>
      </c>
      <c r="N42" s="100">
        <f>D36+J36+O30</f>
        <v>1.8463696685142232</v>
      </c>
      <c r="P42" s="19"/>
      <c r="Q42" s="108"/>
      <c r="S42" s="19"/>
      <c r="U42" s="19"/>
      <c r="Y42"/>
      <c r="Z42"/>
      <c r="AA42"/>
      <c r="AB42"/>
      <c r="AC42"/>
      <c r="AD42"/>
    </row>
    <row r="43" spans="1:30" x14ac:dyDescent="0.25">
      <c r="A43" s="113"/>
      <c r="C43" s="97"/>
      <c r="D43" s="364">
        <f>(SUM(C38:C42)-D36)*'PIECE DENSITIES'!D7</f>
        <v>9.9762632505752613</v>
      </c>
      <c r="E43" s="23" t="s">
        <v>279</v>
      </c>
      <c r="G43" s="113"/>
      <c r="I43" s="98"/>
      <c r="J43" s="181">
        <f>(SUM(I38:I42)-J36)*'PIECE DENSITIES'!D12</f>
        <v>0</v>
      </c>
      <c r="K43" s="23" t="s">
        <v>280</v>
      </c>
      <c r="L43"/>
      <c r="M43" s="19"/>
      <c r="O43" s="95">
        <f>SUM(N38:N42)*'PIECE DENSITIES'!D17</f>
        <v>1.3069409833195913</v>
      </c>
      <c r="P43" s="23" t="s">
        <v>281</v>
      </c>
      <c r="Q43" s="108"/>
      <c r="S43" s="19"/>
      <c r="U43" s="19"/>
      <c r="Y43"/>
      <c r="Z43"/>
      <c r="AA43"/>
      <c r="AB43"/>
      <c r="AC43"/>
      <c r="AD43"/>
    </row>
    <row r="44" spans="1:30" x14ac:dyDescent="0.25">
      <c r="A44" s="113"/>
      <c r="C44" s="97"/>
      <c r="D44" s="364">
        <f>(SUM(C38:C42)-D36)*'PIECE DENSITIES'!E7</f>
        <v>0.83376222422677215</v>
      </c>
      <c r="E44" s="23" t="s">
        <v>282</v>
      </c>
      <c r="G44" s="113"/>
      <c r="I44" s="98"/>
      <c r="J44" s="181">
        <f>(SUM(I38:I42)-J36)*'PIECE DENSITIES'!E12</f>
        <v>0</v>
      </c>
      <c r="K44" s="23" t="s">
        <v>283</v>
      </c>
      <c r="L44"/>
      <c r="M44" s="19"/>
      <c r="O44" s="95">
        <f>SUM(N38:N42)*'PIECE DENSITIES'!E17</f>
        <v>5.729723833874315E-3</v>
      </c>
      <c r="P44" s="23" t="s">
        <v>284</v>
      </c>
      <c r="Q44" s="108"/>
      <c r="S44" s="19"/>
      <c r="U44" s="19"/>
      <c r="Y44"/>
      <c r="Z44"/>
      <c r="AA44"/>
      <c r="AB44"/>
      <c r="AC44"/>
      <c r="AD44"/>
    </row>
    <row r="45" spans="1:30" x14ac:dyDescent="0.25">
      <c r="A45" s="113"/>
      <c r="C45" s="88"/>
      <c r="D45" s="365">
        <f>(SUM(C38:C42)-D36)*'PIECE DENSITIES'!F7</f>
        <v>8.8810892732402599E-2</v>
      </c>
      <c r="E45" s="23" t="s">
        <v>285</v>
      </c>
      <c r="G45" s="113"/>
      <c r="I45" s="93"/>
      <c r="J45" s="182">
        <f>(SUM(I38:I42)-J36)*'PIECE DENSITIES'!F12</f>
        <v>0</v>
      </c>
      <c r="K45" s="23" t="s">
        <v>286</v>
      </c>
      <c r="L45"/>
      <c r="M45" s="19"/>
      <c r="N45" s="45"/>
      <c r="O45" s="96">
        <f>SUM(N38:N42)*'PIECE DENSITIES'!F17</f>
        <v>3.6679255723935572E-2</v>
      </c>
      <c r="P45" s="23" t="s">
        <v>287</v>
      </c>
      <c r="Q45" s="108"/>
      <c r="S45" s="19"/>
      <c r="U45" s="19"/>
      <c r="Y45"/>
      <c r="Z45"/>
      <c r="AA45"/>
      <c r="AB45"/>
      <c r="AC45"/>
      <c r="AD45"/>
    </row>
    <row r="46" spans="1:30" x14ac:dyDescent="0.25">
      <c r="A46" s="113"/>
      <c r="C46" s="88"/>
      <c r="D46" s="365">
        <f>(SUM(C38:C42)-D36)*'PIECE DENSITIES'!G7</f>
        <v>1.1819817483855641</v>
      </c>
      <c r="E46" s="23" t="s">
        <v>288</v>
      </c>
      <c r="G46" s="113"/>
      <c r="I46" s="93"/>
      <c r="J46" s="182">
        <f>(SUM(I38:I42)-J36)*'PIECE DENSITIES'!G12</f>
        <v>0</v>
      </c>
      <c r="K46" s="23" t="s">
        <v>289</v>
      </c>
      <c r="L46"/>
      <c r="M46" s="19"/>
      <c r="N46" s="45"/>
      <c r="O46" s="96">
        <f>SUM(N38:N42)*'PIECE DENSITIES'!G17</f>
        <v>0.49701970563682202</v>
      </c>
      <c r="P46" s="23" t="s">
        <v>290</v>
      </c>
      <c r="Q46" s="108"/>
      <c r="S46" s="19"/>
      <c r="U46" s="19"/>
      <c r="Y46"/>
      <c r="Z46"/>
      <c r="AA46"/>
      <c r="AB46"/>
      <c r="AC46"/>
      <c r="AD46"/>
    </row>
    <row r="47" spans="1:30" x14ac:dyDescent="0.25">
      <c r="A47" s="113"/>
      <c r="C47" s="97"/>
      <c r="G47" s="113"/>
      <c r="I47" s="98"/>
      <c r="J47" s="91"/>
      <c r="L47"/>
      <c r="M47" s="19"/>
      <c r="O47" s="96"/>
      <c r="P47" s="19"/>
      <c r="Q47" s="108"/>
      <c r="S47" s="19"/>
      <c r="U47" s="19"/>
      <c r="Y47"/>
      <c r="Z47"/>
      <c r="AA47"/>
      <c r="AB47"/>
      <c r="AC47"/>
      <c r="AD47"/>
    </row>
    <row r="48" spans="1:30" x14ac:dyDescent="0.25">
      <c r="A48" s="103"/>
      <c r="B48" s="105"/>
      <c r="C48" s="128"/>
      <c r="D48" s="106"/>
      <c r="E48" s="105"/>
      <c r="F48" s="105"/>
      <c r="G48" s="103"/>
      <c r="H48" s="105"/>
      <c r="I48" s="129"/>
      <c r="J48" s="130"/>
      <c r="K48" s="105"/>
      <c r="L48" s="104"/>
      <c r="M48" s="105"/>
      <c r="N48" s="105"/>
      <c r="O48" s="131"/>
      <c r="P48" s="105"/>
      <c r="Q48" s="107"/>
      <c r="S48" s="19"/>
      <c r="U48" s="19"/>
      <c r="Y48"/>
      <c r="Z48"/>
      <c r="AA48"/>
      <c r="AB48"/>
      <c r="AC48"/>
      <c r="AD48"/>
    </row>
    <row r="49" spans="1:30" s="125" customFormat="1" ht="22.8" x14ac:dyDescent="0.4">
      <c r="A49" s="177"/>
      <c r="B49" s="57"/>
      <c r="C49" s="127" t="s">
        <v>294</v>
      </c>
      <c r="D49" s="123"/>
      <c r="E49" s="57"/>
      <c r="F49" s="127"/>
      <c r="G49" s="122"/>
      <c r="H49" s="57"/>
      <c r="I49" s="123"/>
      <c r="J49" s="57"/>
      <c r="K49" s="57"/>
      <c r="L49" s="127" t="s">
        <v>295</v>
      </c>
      <c r="M49" s="57"/>
      <c r="N49" s="123"/>
      <c r="O49" s="57"/>
      <c r="P49" s="57"/>
      <c r="Q49" s="124"/>
      <c r="R49" s="57"/>
      <c r="S49" s="57"/>
      <c r="T49" s="57"/>
      <c r="U49" s="57"/>
      <c r="V49" s="57"/>
      <c r="W49" s="57"/>
      <c r="X49" s="57"/>
    </row>
    <row r="50" spans="1:30" x14ac:dyDescent="0.25">
      <c r="A50" s="113"/>
      <c r="C50" s="97"/>
      <c r="G50" s="113"/>
      <c r="I50" s="98"/>
      <c r="J50" s="91"/>
      <c r="L50"/>
      <c r="M50" s="19"/>
      <c r="O50" s="96"/>
      <c r="P50" s="19"/>
      <c r="Q50" s="108"/>
      <c r="S50" s="19"/>
      <c r="U50" s="19"/>
      <c r="Y50"/>
      <c r="Z50"/>
      <c r="AA50"/>
      <c r="AB50"/>
      <c r="AC50"/>
      <c r="AD50"/>
    </row>
    <row r="51" spans="1:30" x14ac:dyDescent="0.25">
      <c r="A51" s="113"/>
      <c r="D51" s="96">
        <f>SUM(A53:A57)*(1-'ACCEPT RATES'!G16)+SUM(C53:C57)*SUM('ACCEPT RATES'!I16:J16)</f>
        <v>862.99939944832772</v>
      </c>
      <c r="E51" s="23" t="s">
        <v>269</v>
      </c>
      <c r="G51" s="121"/>
      <c r="I51" s="23"/>
      <c r="J51" s="96">
        <f>SUM(G53:G57)*(1-'ACCEPT RATES'!E21)</f>
        <v>0</v>
      </c>
      <c r="K51" s="23" t="s">
        <v>269</v>
      </c>
      <c r="L51"/>
      <c r="M51" s="19"/>
      <c r="P51" s="23"/>
      <c r="Q51" s="108"/>
      <c r="S51" s="19"/>
      <c r="U51" s="19"/>
      <c r="Y51"/>
      <c r="Z51"/>
      <c r="AA51"/>
      <c r="AB51"/>
      <c r="AC51"/>
      <c r="AD51"/>
    </row>
    <row r="52" spans="1:30" x14ac:dyDescent="0.25">
      <c r="A52" s="126" t="s">
        <v>270</v>
      </c>
      <c r="B52" s="86" t="s">
        <v>296</v>
      </c>
      <c r="C52" s="87"/>
      <c r="D52" s="119"/>
      <c r="E52" s="23" t="s">
        <v>297</v>
      </c>
      <c r="G52" s="126" t="s">
        <v>273</v>
      </c>
      <c r="H52" s="86" t="s">
        <v>298</v>
      </c>
      <c r="I52" s="87"/>
      <c r="J52" s="99"/>
      <c r="K52" s="22" t="s">
        <v>297</v>
      </c>
      <c r="L52"/>
      <c r="M52" s="86" t="s">
        <v>281</v>
      </c>
      <c r="N52" s="87"/>
      <c r="P52" s="19"/>
      <c r="Q52" s="108"/>
      <c r="S52" s="19"/>
      <c r="U52" s="19"/>
      <c r="Y52"/>
      <c r="Z52"/>
      <c r="AA52"/>
      <c r="AB52"/>
      <c r="AC52"/>
      <c r="AD52"/>
    </row>
    <row r="53" spans="1:30" x14ac:dyDescent="0.25">
      <c r="A53" s="120">
        <f>B53*(1-'ACCEPT RATES'!C16)</f>
        <v>0</v>
      </c>
      <c r="B53" s="29">
        <f>C53*(1+'ACCEPT RATES'!F16+'PIECE DENSITIES'!D8)</f>
        <v>0</v>
      </c>
      <c r="C53" s="50">
        <f>C13*('COVERAGE FACTORS'!C39+'COVERAGE FACTORS'!C43)</f>
        <v>0</v>
      </c>
      <c r="E53" s="23" t="s">
        <v>200</v>
      </c>
      <c r="G53" s="178">
        <f>H53*(1-'ACCEPT RATES'!C21)</f>
        <v>0</v>
      </c>
      <c r="H53" s="29">
        <f>I53*(1+'PIECE DENSITIES'!D13)</f>
        <v>0</v>
      </c>
      <c r="I53" s="50">
        <f>C13*'COVERAGE FACTORS'!C41</f>
        <v>0</v>
      </c>
      <c r="J53" s="112"/>
      <c r="K53" s="22" t="s">
        <v>200</v>
      </c>
      <c r="L53"/>
      <c r="M53" s="29">
        <f>N53</f>
        <v>0</v>
      </c>
      <c r="N53" s="50">
        <f>C13*'COVERAGE FACTORS'!C45</f>
        <v>0</v>
      </c>
      <c r="P53" s="19"/>
      <c r="Q53" s="108"/>
      <c r="S53" s="19"/>
      <c r="U53" s="19"/>
      <c r="Y53"/>
      <c r="Z53"/>
      <c r="AA53"/>
      <c r="AB53"/>
      <c r="AC53"/>
      <c r="AD53"/>
    </row>
    <row r="54" spans="1:30" x14ac:dyDescent="0.25">
      <c r="A54" s="179">
        <f>B54*(1-'ACCEPT RATES'!D16)</f>
        <v>2619.9921113980877</v>
      </c>
      <c r="B54" s="85">
        <f>C54*(1+'ACCEPT RATES'!F16+'PIECE DENSITIES'!D8)</f>
        <v>9936.097076396798</v>
      </c>
      <c r="C54" s="84">
        <f>G13*('COVERAGE FACTORS'!C39+'COVERAGE FACTORS'!C43)</f>
        <v>9829.6223001880589</v>
      </c>
      <c r="G54" s="179">
        <f>H54*(1-'ACCEPT RATES'!D21)</f>
        <v>0</v>
      </c>
      <c r="H54" s="85">
        <f>I54*(1+'PIECE DENSITIES'!D13)</f>
        <v>0</v>
      </c>
      <c r="I54" s="84">
        <f>G13*'COVERAGE FACTORS'!C41</f>
        <v>0</v>
      </c>
      <c r="J54" s="58"/>
      <c r="L54"/>
      <c r="M54" s="85">
        <f>N54</f>
        <v>59.558637660830406</v>
      </c>
      <c r="N54" s="84">
        <f>G13*'COVERAGE FACTORS'!C45</f>
        <v>59.558637660830406</v>
      </c>
      <c r="P54" s="19"/>
      <c r="Q54" s="108"/>
      <c r="S54" s="19"/>
      <c r="U54" s="19"/>
      <c r="Y54"/>
      <c r="Z54"/>
      <c r="AA54"/>
      <c r="AB54"/>
      <c r="AC54"/>
      <c r="AD54"/>
    </row>
    <row r="55" spans="1:30" x14ac:dyDescent="0.25">
      <c r="A55" s="121"/>
      <c r="B55" s="85"/>
      <c r="C55" s="84"/>
      <c r="G55" s="109">
        <f>H55*(1-'ACCEPT RATES'!C21)</f>
        <v>0</v>
      </c>
      <c r="H55" s="89">
        <f>I55*(1+'PIECE DENSITIES'!D13)</f>
        <v>0</v>
      </c>
      <c r="I55" s="90">
        <f>K13*('COVERAGE FACTORS'!C41+'COVERAGE FACTORS'!C43)</f>
        <v>0</v>
      </c>
      <c r="J55" s="58"/>
      <c r="L55"/>
      <c r="M55" s="89">
        <f>N55</f>
        <v>0</v>
      </c>
      <c r="N55" s="90">
        <f>K13*(1-('COVERAGE FACTORS'!C41+'COVERAGE FACTORS'!C43))</f>
        <v>0</v>
      </c>
      <c r="P55" s="19"/>
      <c r="Q55" s="108"/>
      <c r="S55" s="19"/>
      <c r="U55" s="19"/>
      <c r="Y55"/>
      <c r="Z55"/>
      <c r="AA55"/>
      <c r="AB55"/>
      <c r="AC55"/>
      <c r="AD55"/>
    </row>
    <row r="56" spans="1:30" x14ac:dyDescent="0.25">
      <c r="A56" s="121"/>
      <c r="B56" s="85"/>
      <c r="C56" s="84"/>
      <c r="G56" s="110">
        <f>H56*(1-'ACCEPT RATES'!D21)</f>
        <v>0</v>
      </c>
      <c r="H56" s="94">
        <f>I56*(1+'PIECE DENSITIES'!D13)</f>
        <v>0</v>
      </c>
      <c r="I56" s="92">
        <f>O13*('COVERAGE FACTORS'!C41+'COVERAGE FACTORS'!C43)</f>
        <v>0</v>
      </c>
      <c r="J56" s="58"/>
      <c r="L56"/>
      <c r="M56" s="94">
        <f>N56</f>
        <v>0</v>
      </c>
      <c r="N56" s="92">
        <f>O13*(1-('COVERAGE FACTORS'!C41+'COVERAGE FACTORS'!C43))</f>
        <v>0</v>
      </c>
      <c r="P56" s="19"/>
      <c r="Q56" s="108"/>
      <c r="S56" s="19"/>
      <c r="U56" s="19"/>
      <c r="Y56"/>
      <c r="Z56"/>
      <c r="AA56"/>
      <c r="AB56"/>
      <c r="AC56"/>
      <c r="AD56"/>
    </row>
    <row r="57" spans="1:30" x14ac:dyDescent="0.25">
      <c r="A57" s="183">
        <f>B57*(1-'ACCEPT RATES'!C16)</f>
        <v>3.934265587670235</v>
      </c>
      <c r="B57" s="187">
        <f>C57*(1+'ACCEPT RATES'!F16+'PIECE DENSITIES'!D8)</f>
        <v>64.18087338512683</v>
      </c>
      <c r="C57" s="188">
        <f>(D31+D43)*('COVERAGE FACTORS'!C39+'COVERAGE FACTORS'!C43)</f>
        <v>63.493113988452244</v>
      </c>
      <c r="G57" s="184">
        <f>IF(SUM(C11:C16)&gt;0,H57*(1-'ACCEPT RATES'!C21),H57*(1-'ACCEPT RATES'!D21))</f>
        <v>0</v>
      </c>
      <c r="H57" s="185">
        <f>I57*(1+'PIECE DENSITIES'!D13)</f>
        <v>0</v>
      </c>
      <c r="I57" s="186">
        <f>(D31+D43)*'COVERAGE FACTORS'!C41+(J31+J43)*('COVERAGE FACTORS'!C41+'COVERAGE FACTORS'!C43)</f>
        <v>0</v>
      </c>
      <c r="J57" s="58"/>
      <c r="L57"/>
      <c r="M57" s="101">
        <f>N57</f>
        <v>868.65345100478828</v>
      </c>
      <c r="N57" s="100">
        <f>D51+J51+O31+O43+(D31+D43)*'COVERAGE FACTORS'!C45+(J31+J43)*(1-('COVERAGE FACTORS'!C41+'COVERAGE FACTORS'!C43))</f>
        <v>868.65345100478828</v>
      </c>
      <c r="P57" s="19"/>
      <c r="Q57" s="108"/>
      <c r="S57" s="19"/>
      <c r="U57" s="19"/>
      <c r="Y57"/>
      <c r="Z57"/>
      <c r="AA57"/>
      <c r="AB57"/>
      <c r="AC57"/>
      <c r="AD57"/>
    </row>
    <row r="58" spans="1:30" x14ac:dyDescent="0.25">
      <c r="A58" s="113"/>
      <c r="C58" s="97"/>
      <c r="D58" s="364">
        <f>(SUM(C53:C57)-D51)*'PIECE DENSITIES'!E8</f>
        <v>1796.4580274068812</v>
      </c>
      <c r="E58" s="23" t="s">
        <v>282</v>
      </c>
      <c r="G58" s="113"/>
      <c r="I58" s="98"/>
      <c r="J58" s="181">
        <f>(SUM(I53:I57)-J51)*'PIECE DENSITIES'!E13</f>
        <v>0</v>
      </c>
      <c r="K58" s="23" t="s">
        <v>283</v>
      </c>
      <c r="L58"/>
      <c r="M58" s="19"/>
      <c r="O58" s="95">
        <f>SUM(N53:N57)*'PIECE DENSITIES'!E18</f>
        <v>245.29291747790123</v>
      </c>
      <c r="P58" s="23" t="s">
        <v>284</v>
      </c>
      <c r="Q58" s="108"/>
      <c r="S58" s="19"/>
      <c r="U58" s="19"/>
      <c r="Y58"/>
      <c r="Z58"/>
      <c r="AA58"/>
      <c r="AB58"/>
      <c r="AC58"/>
      <c r="AD58"/>
    </row>
    <row r="59" spans="1:30" x14ac:dyDescent="0.25">
      <c r="A59" s="113"/>
      <c r="C59" s="97"/>
      <c r="D59" s="364">
        <f>(SUM(C53:C57)-D51)*'PIECE DENSITIES'!F8</f>
        <v>583.24647644247989</v>
      </c>
      <c r="E59" s="23" t="s">
        <v>285</v>
      </c>
      <c r="G59" s="113"/>
      <c r="I59" s="98"/>
      <c r="J59" s="181">
        <f>(SUM(I53:I57)-J51)*'PIECE DENSITIES'!F13</f>
        <v>0</v>
      </c>
      <c r="K59" s="23" t="s">
        <v>286</v>
      </c>
      <c r="L59"/>
      <c r="M59" s="19"/>
      <c r="O59" s="95">
        <f>SUM(N53:N57)*'PIECE DENSITIES'!F18</f>
        <v>38.499213186333833</v>
      </c>
      <c r="P59" s="23" t="s">
        <v>287</v>
      </c>
      <c r="Q59" s="108"/>
      <c r="S59" s="19"/>
      <c r="U59" s="19"/>
      <c r="Y59"/>
      <c r="Z59"/>
      <c r="AA59"/>
      <c r="AB59"/>
      <c r="AC59"/>
      <c r="AD59"/>
    </row>
    <row r="60" spans="1:30" x14ac:dyDescent="0.25">
      <c r="A60" s="113"/>
      <c r="C60" s="88"/>
      <c r="D60" s="365">
        <f>(SUM(C53:C57)-D51)*'PIECE DENSITIES'!G8</f>
        <v>6650.411510878821</v>
      </c>
      <c r="E60" s="23" t="s">
        <v>288</v>
      </c>
      <c r="G60" s="113"/>
      <c r="I60" s="93"/>
      <c r="J60" s="182">
        <f>(SUM(I53:I57)-J51)*'PIECE DENSITIES'!G13</f>
        <v>0</v>
      </c>
      <c r="K60" s="23" t="s">
        <v>289</v>
      </c>
      <c r="L60"/>
      <c r="M60" s="19"/>
      <c r="N60" s="45"/>
      <c r="O60" s="96">
        <f>SUM(N53:N57)*'PIECE DENSITIES'!G18</f>
        <v>644.41995800138363</v>
      </c>
      <c r="P60" s="23" t="s">
        <v>290</v>
      </c>
      <c r="Q60" s="108"/>
      <c r="S60" s="19"/>
      <c r="U60" s="19"/>
      <c r="Y60"/>
      <c r="Z60"/>
      <c r="AA60"/>
      <c r="AB60"/>
      <c r="AC60"/>
      <c r="AD60"/>
    </row>
    <row r="61" spans="1:30" x14ac:dyDescent="0.25">
      <c r="A61" s="113"/>
      <c r="C61" s="97"/>
      <c r="G61" s="113"/>
      <c r="I61" s="98"/>
      <c r="J61" s="91"/>
      <c r="L61"/>
      <c r="M61" s="19"/>
      <c r="O61" s="96"/>
      <c r="P61" s="19"/>
      <c r="Q61" s="108"/>
      <c r="S61" s="19"/>
      <c r="U61" s="19"/>
      <c r="Y61"/>
      <c r="Z61"/>
      <c r="AA61"/>
      <c r="AB61"/>
      <c r="AC61"/>
      <c r="AD61"/>
    </row>
    <row r="62" spans="1:30" x14ac:dyDescent="0.25">
      <c r="A62" s="113"/>
      <c r="D62" s="96">
        <f>SUM(A64:A68)*(1-'ACCEPT RATES'!G17)+SUM(C64:C68)*SUM('ACCEPT RATES'!I17:J17)</f>
        <v>90.344845172313313</v>
      </c>
      <c r="E62" s="23" t="s">
        <v>269</v>
      </c>
      <c r="G62" s="121"/>
      <c r="I62" s="23"/>
      <c r="J62" s="96">
        <f>SUM(G64:G68)*(1-'ACCEPT RATES'!E22)</f>
        <v>0</v>
      </c>
      <c r="K62" s="23" t="s">
        <v>269</v>
      </c>
      <c r="L62"/>
      <c r="M62" s="19"/>
      <c r="P62" s="23"/>
      <c r="Q62" s="108"/>
      <c r="S62" s="19"/>
      <c r="U62" s="19"/>
      <c r="Y62"/>
      <c r="Z62"/>
      <c r="AA62"/>
      <c r="AB62"/>
      <c r="AC62"/>
      <c r="AD62"/>
    </row>
    <row r="63" spans="1:30" x14ac:dyDescent="0.25">
      <c r="A63" s="126" t="s">
        <v>270</v>
      </c>
      <c r="B63" s="86" t="s">
        <v>299</v>
      </c>
      <c r="C63" s="87"/>
      <c r="D63" s="119"/>
      <c r="E63" s="23" t="s">
        <v>300</v>
      </c>
      <c r="G63" s="126" t="s">
        <v>273</v>
      </c>
      <c r="H63" s="86" t="s">
        <v>301</v>
      </c>
      <c r="I63" s="87"/>
      <c r="J63" s="99"/>
      <c r="K63" s="22" t="s">
        <v>300</v>
      </c>
      <c r="L63"/>
      <c r="M63" s="86" t="s">
        <v>284</v>
      </c>
      <c r="N63" s="87"/>
      <c r="P63" s="19"/>
      <c r="Q63" s="108"/>
      <c r="S63" s="19"/>
      <c r="U63" s="19"/>
      <c r="Y63"/>
      <c r="Z63"/>
      <c r="AA63"/>
      <c r="AB63"/>
      <c r="AC63"/>
      <c r="AD63"/>
    </row>
    <row r="64" spans="1:30" x14ac:dyDescent="0.25">
      <c r="A64" s="120">
        <f>B64*(1-'ACCEPT RATES'!C17)</f>
        <v>0</v>
      </c>
      <c r="B64" s="29">
        <f>C64*(1+'ACCEPT RATES'!F17+'PIECE DENSITIES'!E9)</f>
        <v>0</v>
      </c>
      <c r="C64" s="50">
        <f>C14*('COVERAGE FACTORS'!C39+'COVERAGE FACTORS'!C43)</f>
        <v>0</v>
      </c>
      <c r="E64" s="23" t="s">
        <v>200</v>
      </c>
      <c r="G64" s="178">
        <f>H64*(1-'ACCEPT RATES'!C22)</f>
        <v>0</v>
      </c>
      <c r="H64" s="29">
        <f>I64*(1+'PIECE DENSITIES'!E14)</f>
        <v>0</v>
      </c>
      <c r="I64" s="50">
        <f>C14*'COVERAGE FACTORS'!C41</f>
        <v>0</v>
      </c>
      <c r="J64" s="112"/>
      <c r="K64" s="22" t="s">
        <v>200</v>
      </c>
      <c r="L64"/>
      <c r="M64" s="29">
        <f>N64</f>
        <v>0</v>
      </c>
      <c r="N64" s="50">
        <f>C14*'COVERAGE FACTORS'!C45</f>
        <v>0</v>
      </c>
      <c r="P64" s="19"/>
      <c r="Q64" s="108"/>
      <c r="S64" s="19"/>
      <c r="U64" s="19"/>
      <c r="Y64"/>
      <c r="Z64"/>
      <c r="AA64"/>
      <c r="AB64"/>
      <c r="AC64"/>
      <c r="AD64"/>
    </row>
    <row r="65" spans="1:30" x14ac:dyDescent="0.25">
      <c r="A65" s="179">
        <f>B65*(1-'ACCEPT RATES'!D17)</f>
        <v>0</v>
      </c>
      <c r="B65" s="85">
        <f>C65*(1+'ACCEPT RATES'!F17+'PIECE DENSITIES'!E9)</f>
        <v>0</v>
      </c>
      <c r="C65" s="84">
        <f>G14*('COVERAGE FACTORS'!C39+'COVERAGE FACTORS'!C43)</f>
        <v>0</v>
      </c>
      <c r="G65" s="179">
        <f>H65*(1-'ACCEPT RATES'!D22)</f>
        <v>0</v>
      </c>
      <c r="H65" s="85">
        <f>I65*(1+'PIECE DENSITIES'!E14)</f>
        <v>0</v>
      </c>
      <c r="I65" s="84">
        <f>G14*'COVERAGE FACTORS'!C41</f>
        <v>0</v>
      </c>
      <c r="J65" s="58"/>
      <c r="L65"/>
      <c r="M65" s="85">
        <f>N65</f>
        <v>0</v>
      </c>
      <c r="N65" s="84">
        <f>G14*'COVERAGE FACTORS'!C45</f>
        <v>0</v>
      </c>
      <c r="P65" s="19"/>
      <c r="Q65" s="108"/>
      <c r="S65" s="19"/>
      <c r="U65" s="19"/>
      <c r="Y65"/>
      <c r="Z65"/>
      <c r="AA65"/>
      <c r="AB65"/>
      <c r="AC65"/>
      <c r="AD65"/>
    </row>
    <row r="66" spans="1:30" x14ac:dyDescent="0.25">
      <c r="A66" s="121"/>
      <c r="B66" s="85"/>
      <c r="C66" s="84"/>
      <c r="G66" s="109">
        <f>H66*(1-'ACCEPT RATES'!C22)</f>
        <v>0</v>
      </c>
      <c r="H66" s="89">
        <f>I66*(1+'PIECE DENSITIES'!E14)</f>
        <v>0</v>
      </c>
      <c r="I66" s="90">
        <f>K14*('COVERAGE FACTORS'!C41+'COVERAGE FACTORS'!C43)</f>
        <v>0</v>
      </c>
      <c r="J66" s="58"/>
      <c r="L66"/>
      <c r="M66" s="89">
        <f>N66</f>
        <v>0</v>
      </c>
      <c r="N66" s="90">
        <f>K14*(1-('COVERAGE FACTORS'!C41+'COVERAGE FACTORS'!C43))</f>
        <v>0</v>
      </c>
      <c r="P66" s="19"/>
      <c r="Q66" s="108"/>
      <c r="S66" s="19"/>
      <c r="U66" s="19"/>
      <c r="Y66"/>
      <c r="Z66"/>
      <c r="AA66"/>
      <c r="AB66"/>
      <c r="AC66"/>
      <c r="AD66"/>
    </row>
    <row r="67" spans="1:30" x14ac:dyDescent="0.25">
      <c r="A67" s="121"/>
      <c r="B67" s="85"/>
      <c r="C67" s="84"/>
      <c r="G67" s="110">
        <f>H67*(1-'ACCEPT RATES'!D22)</f>
        <v>0</v>
      </c>
      <c r="H67" s="94">
        <f>I67*(1+'PIECE DENSITIES'!E14)</f>
        <v>0</v>
      </c>
      <c r="I67" s="92">
        <f>O14*('COVERAGE FACTORS'!C41+'COVERAGE FACTORS'!C43)</f>
        <v>0</v>
      </c>
      <c r="J67" s="58"/>
      <c r="L67"/>
      <c r="M67" s="94">
        <f>N67</f>
        <v>0</v>
      </c>
      <c r="N67" s="92">
        <f>O14*(1-('COVERAGE FACTORS'!C41+'COVERAGE FACTORS'!C43))</f>
        <v>0</v>
      </c>
      <c r="P67" s="19"/>
      <c r="Q67" s="108"/>
      <c r="S67" s="19"/>
      <c r="U67" s="19"/>
      <c r="Y67"/>
      <c r="Z67"/>
      <c r="AA67"/>
      <c r="AB67"/>
      <c r="AC67"/>
      <c r="AD67"/>
    </row>
    <row r="68" spans="1:30" x14ac:dyDescent="0.25">
      <c r="A68" s="183">
        <f>B68*(1-'ACCEPT RATES'!C17)</f>
        <v>118.19083031184719</v>
      </c>
      <c r="B68" s="187">
        <f>C68*(1+'ACCEPT RATES'!F17+'PIECE DENSITIES'!E9)</f>
        <v>1928.083030108716</v>
      </c>
      <c r="C68" s="188">
        <f>(D32+D44+D58)*('COVERAGE FACTORS'!C39+'COVERAGE FACTORS'!C43)</f>
        <v>1815.4027601365528</v>
      </c>
      <c r="G68" s="184">
        <f>IF(SUM(C11:C16)&gt;0, H68*(1-'ACCEPT RATES'!C22),H68*(1-'ACCEPT RATES'!D22))</f>
        <v>0</v>
      </c>
      <c r="H68" s="185">
        <f>I68*(1+'PIECE DENSITIES'!E14)</f>
        <v>0</v>
      </c>
      <c r="I68" s="186">
        <f>(D32+D44+D58)*'COVERAGE FACTORS'!C41+(J32+J44+J58)*('COVERAGE FACTORS'!C41+'COVERAGE FACTORS'!C43)</f>
        <v>0</v>
      </c>
      <c r="J68" s="58"/>
      <c r="L68"/>
      <c r="M68" s="101">
        <f>N68</f>
        <v>348.38883579175581</v>
      </c>
      <c r="N68" s="100">
        <f>D62+J62+O32+O44+O58+(D32+D44+D58)*'COVERAGE FACTORS'!C45+(J32+J44+J58)*(1-('COVERAGE FACTORS'!C41+'COVERAGE FACTORS'!C43))</f>
        <v>348.38883579175581</v>
      </c>
      <c r="P68" s="19"/>
      <c r="Q68" s="108"/>
      <c r="S68" s="19"/>
      <c r="U68" s="19"/>
      <c r="Y68"/>
      <c r="Z68"/>
      <c r="AA68"/>
      <c r="AB68"/>
      <c r="AC68"/>
      <c r="AD68"/>
    </row>
    <row r="69" spans="1:30" x14ac:dyDescent="0.25">
      <c r="A69" s="113"/>
      <c r="C69" s="97"/>
      <c r="D69" s="364">
        <f>(SUM(C64:C68)-D62)*'PIECE DENSITIES'!F9</f>
        <v>38.592946116661246</v>
      </c>
      <c r="E69" s="23" t="s">
        <v>285</v>
      </c>
      <c r="G69" s="113"/>
      <c r="I69" s="98"/>
      <c r="J69" s="181">
        <f>(SUM(I64:I68)-J62)*'PIECE DENSITIES'!F14</f>
        <v>0</v>
      </c>
      <c r="K69" s="23" t="s">
        <v>286</v>
      </c>
      <c r="L69"/>
      <c r="M69" s="19"/>
      <c r="O69" s="95">
        <f>SUM(N64:N68)*'PIECE DENSITIES'!F19</f>
        <v>9.012062493801114</v>
      </c>
      <c r="P69" s="23" t="s">
        <v>287</v>
      </c>
      <c r="Q69" s="108"/>
      <c r="S69" s="19"/>
      <c r="U69" s="19"/>
      <c r="Y69"/>
      <c r="Z69"/>
      <c r="AA69"/>
      <c r="AB69"/>
      <c r="AC69"/>
      <c r="AD69"/>
    </row>
    <row r="70" spans="1:30" x14ac:dyDescent="0.25">
      <c r="A70" s="113"/>
      <c r="C70" s="97"/>
      <c r="D70" s="364">
        <f>(SUM(C64:C68)-D62)*'PIECE DENSITIES'!G9</f>
        <v>1686.4649688475783</v>
      </c>
      <c r="E70" s="23" t="s">
        <v>288</v>
      </c>
      <c r="G70" s="113"/>
      <c r="I70" s="98"/>
      <c r="J70" s="181">
        <f>(SUM(I64:I68)-J62)*'PIECE DENSITIES'!G14</f>
        <v>0</v>
      </c>
      <c r="K70" s="23" t="s">
        <v>289</v>
      </c>
      <c r="L70"/>
      <c r="M70" s="19"/>
      <c r="O70" s="95">
        <f>SUM(N64:N68)*'PIECE DENSITIES'!G19</f>
        <v>339.37677329795468</v>
      </c>
      <c r="P70" s="23" t="s">
        <v>290</v>
      </c>
      <c r="Q70" s="108"/>
      <c r="S70" s="19"/>
      <c r="U70" s="19"/>
      <c r="Y70"/>
      <c r="Z70"/>
      <c r="AA70"/>
      <c r="AB70"/>
      <c r="AC70"/>
      <c r="AD70"/>
    </row>
    <row r="71" spans="1:30" x14ac:dyDescent="0.25">
      <c r="A71" s="113"/>
      <c r="C71" s="97"/>
      <c r="G71" s="113"/>
      <c r="I71" s="98"/>
      <c r="J71" s="91"/>
      <c r="L71"/>
      <c r="M71" s="19"/>
      <c r="O71" s="96"/>
      <c r="P71" s="19"/>
      <c r="Q71" s="108"/>
      <c r="S71" s="19"/>
      <c r="U71" s="19"/>
      <c r="Y71"/>
      <c r="Z71"/>
      <c r="AA71"/>
      <c r="AB71"/>
      <c r="AC71"/>
      <c r="AD71"/>
    </row>
    <row r="72" spans="1:30" x14ac:dyDescent="0.25">
      <c r="A72" s="113"/>
      <c r="D72" s="96">
        <f>SUM(A74:A78)*(1-'ACCEPT RATES'!G17)+SUM(C74:C78)*SUM('ACCEPT RATES'!I17:J17)</f>
        <v>30.998633762695892</v>
      </c>
      <c r="E72" s="23" t="s">
        <v>269</v>
      </c>
      <c r="G72" s="121"/>
      <c r="I72" s="23"/>
      <c r="J72" s="96">
        <f>SUM(G74:G78)*(1-'ACCEPT RATES'!E22)</f>
        <v>0</v>
      </c>
      <c r="K72" s="23" t="s">
        <v>269</v>
      </c>
      <c r="L72"/>
      <c r="M72" s="19"/>
      <c r="P72" s="23"/>
      <c r="Q72" s="108"/>
      <c r="S72" s="19"/>
      <c r="U72" s="19"/>
      <c r="Y72"/>
      <c r="Z72"/>
      <c r="AA72"/>
      <c r="AB72"/>
      <c r="AC72"/>
      <c r="AD72"/>
    </row>
    <row r="73" spans="1:30" x14ac:dyDescent="0.25">
      <c r="A73" s="126" t="s">
        <v>270</v>
      </c>
      <c r="B73" s="86" t="s">
        <v>302</v>
      </c>
      <c r="C73" s="87"/>
      <c r="D73" s="119"/>
      <c r="E73" s="23" t="s">
        <v>303</v>
      </c>
      <c r="G73" s="126" t="s">
        <v>273</v>
      </c>
      <c r="H73" s="86" t="s">
        <v>304</v>
      </c>
      <c r="I73" s="87"/>
      <c r="J73" s="99"/>
      <c r="K73" s="22" t="s">
        <v>303</v>
      </c>
      <c r="L73"/>
      <c r="M73" s="86" t="s">
        <v>287</v>
      </c>
      <c r="N73" s="87"/>
      <c r="P73" s="19"/>
      <c r="Q73" s="108"/>
      <c r="S73" s="19"/>
      <c r="U73" s="19"/>
      <c r="Y73"/>
      <c r="Z73"/>
      <c r="AA73"/>
      <c r="AB73"/>
      <c r="AC73"/>
      <c r="AD73"/>
    </row>
    <row r="74" spans="1:30" x14ac:dyDescent="0.25">
      <c r="A74" s="120">
        <f>B74*(1-'ACCEPT RATES'!C17)</f>
        <v>0</v>
      </c>
      <c r="B74" s="29">
        <f>C74*(1+'ACCEPT RATES'!F17)</f>
        <v>0</v>
      </c>
      <c r="C74" s="50">
        <f>C15*('COVERAGE FACTORS'!C39+'COVERAGE FACTORS'!C43)</f>
        <v>0</v>
      </c>
      <c r="E74" s="23" t="s">
        <v>200</v>
      </c>
      <c r="G74" s="178">
        <f>H74*(1-'ACCEPT RATES'!C22)</f>
        <v>0</v>
      </c>
      <c r="H74" s="29">
        <f>I74</f>
        <v>0</v>
      </c>
      <c r="I74" s="50">
        <f>C15*'COVERAGE FACTORS'!C41</f>
        <v>0</v>
      </c>
      <c r="J74" s="112"/>
      <c r="K74" s="22" t="s">
        <v>200</v>
      </c>
      <c r="L74"/>
      <c r="M74" s="29">
        <f>N74</f>
        <v>0</v>
      </c>
      <c r="N74" s="50">
        <f>C15*'COVERAGE FACTORS'!C45</f>
        <v>0</v>
      </c>
      <c r="P74" s="19"/>
      <c r="Q74" s="108"/>
      <c r="S74" s="19"/>
      <c r="U74" s="19"/>
      <c r="Y74"/>
      <c r="Z74"/>
      <c r="AA74"/>
      <c r="AB74"/>
      <c r="AC74"/>
      <c r="AD74"/>
    </row>
    <row r="75" spans="1:30" x14ac:dyDescent="0.25">
      <c r="A75" s="179">
        <f>B75*(1-'ACCEPT RATES'!D17)</f>
        <v>0</v>
      </c>
      <c r="B75" s="85">
        <f>C75*(1+'ACCEPT RATES'!F17)</f>
        <v>0</v>
      </c>
      <c r="C75" s="84">
        <f>G15*('COVERAGE FACTORS'!C39+'COVERAGE FACTORS'!C43)</f>
        <v>0</v>
      </c>
      <c r="G75" s="179">
        <f>H75*(1-'ACCEPT RATES'!D22)</f>
        <v>0</v>
      </c>
      <c r="H75" s="85">
        <f>I75</f>
        <v>0</v>
      </c>
      <c r="I75" s="84">
        <f>G15*'COVERAGE FACTORS'!C41</f>
        <v>0</v>
      </c>
      <c r="J75" s="58"/>
      <c r="L75"/>
      <c r="M75" s="85">
        <f>N75</f>
        <v>0</v>
      </c>
      <c r="N75" s="84">
        <f>G15*'COVERAGE FACTORS'!C45</f>
        <v>0</v>
      </c>
      <c r="P75" s="19"/>
      <c r="Q75" s="108"/>
      <c r="S75" s="19"/>
      <c r="U75" s="19"/>
      <c r="Y75"/>
      <c r="Z75"/>
      <c r="AA75"/>
      <c r="AB75"/>
      <c r="AC75"/>
      <c r="AD75"/>
    </row>
    <row r="76" spans="1:30" x14ac:dyDescent="0.25">
      <c r="A76" s="121"/>
      <c r="B76" s="85"/>
      <c r="C76" s="84"/>
      <c r="G76" s="109">
        <f>H76*(1-'ACCEPT RATES'!C22)</f>
        <v>0</v>
      </c>
      <c r="H76" s="89">
        <f>I76</f>
        <v>0</v>
      </c>
      <c r="I76" s="90">
        <f>K15*('COVERAGE FACTORS'!C41+'COVERAGE FACTORS'!C43)</f>
        <v>0</v>
      </c>
      <c r="J76" s="58"/>
      <c r="L76"/>
      <c r="M76" s="89">
        <f>N76</f>
        <v>0</v>
      </c>
      <c r="N76" s="90">
        <f>K15*(1-('COVERAGE FACTORS'!C41+'COVERAGE FACTORS'!C43))</f>
        <v>0</v>
      </c>
      <c r="P76" s="19"/>
      <c r="Q76" s="108"/>
      <c r="S76" s="19"/>
      <c r="U76" s="19"/>
      <c r="Y76"/>
      <c r="Z76"/>
      <c r="AA76"/>
      <c r="AB76"/>
      <c r="AC76"/>
      <c r="AD76"/>
    </row>
    <row r="77" spans="1:30" x14ac:dyDescent="0.25">
      <c r="A77" s="121"/>
      <c r="B77" s="85"/>
      <c r="C77" s="84"/>
      <c r="G77" s="110">
        <f>H77*(1-'ACCEPT RATES'!D22)</f>
        <v>0</v>
      </c>
      <c r="H77" s="94">
        <f>I77</f>
        <v>0</v>
      </c>
      <c r="I77" s="92">
        <f>O15*('COVERAGE FACTORS'!C41+'COVERAGE FACTORS'!C43)</f>
        <v>0</v>
      </c>
      <c r="J77" s="58"/>
      <c r="L77"/>
      <c r="M77" s="94">
        <f>N77</f>
        <v>0</v>
      </c>
      <c r="N77" s="92">
        <f>O15*(1-('COVERAGE FACTORS'!C41+'COVERAGE FACTORS'!C43))</f>
        <v>0</v>
      </c>
      <c r="P77" s="19"/>
      <c r="Q77" s="108"/>
      <c r="S77" s="19"/>
      <c r="U77" s="19"/>
      <c r="Y77"/>
      <c r="Z77"/>
      <c r="AA77"/>
      <c r="AB77"/>
      <c r="AC77"/>
      <c r="AD77"/>
    </row>
    <row r="78" spans="1:30" x14ac:dyDescent="0.25">
      <c r="A78" s="183">
        <f>B78*(1-'ACCEPT RATES'!C17)</f>
        <v>38.734642434250432</v>
      </c>
      <c r="B78" s="187">
        <f>C78*(1+'ACCEPT RATES'!F17)</f>
        <v>631.89002529006768</v>
      </c>
      <c r="C78" s="188">
        <f>(D33+D45+D59+D69)*('COVERAGE FACTORS'!C39+'COVERAGE FACTORS'!C43)</f>
        <v>625.80262067209947</v>
      </c>
      <c r="G78" s="184">
        <f>IF(SUM(C11:C16)&gt;0,H78*(1-'ACCEPT RATES'!C22),H78*(1-'ACCEPT RATES'!D22))</f>
        <v>0</v>
      </c>
      <c r="H78" s="185">
        <f>I78</f>
        <v>0</v>
      </c>
      <c r="I78" s="186">
        <f>(D33+D45+D59+D69)*'COVERAGE FACTORS'!C41+(J33+J45+J59+J69)*('COVERAGE FACTORS'!C41+'COVERAGE FACTORS'!C43)</f>
        <v>0</v>
      </c>
      <c r="J78" s="58"/>
      <c r="L78"/>
      <c r="M78" s="101">
        <f ca="1">N78</f>
        <v>82.84380061082507</v>
      </c>
      <c r="N78" s="100">
        <f ca="1">D72+J72+O33+O45+O59+O69+(D33+D45+D59+D69)*'COVERAGE FACTORS'!C45+(J33+J45+J59+J69)*(1-('COVERAGE FACTORS'!C41+'COVERAGE FACTORS'!C43))+D106</f>
        <v>82.84380061082507</v>
      </c>
      <c r="P78" s="19"/>
      <c r="Q78" s="108"/>
      <c r="S78" s="19"/>
      <c r="U78" s="19"/>
      <c r="Y78"/>
      <c r="Z78"/>
      <c r="AA78"/>
      <c r="AB78"/>
      <c r="AC78"/>
      <c r="AD78"/>
    </row>
    <row r="79" spans="1:30" x14ac:dyDescent="0.25">
      <c r="A79" s="113"/>
      <c r="C79" s="97"/>
      <c r="D79" s="364">
        <f>SUM(C74:C78)-D72</f>
        <v>594.80398690940353</v>
      </c>
      <c r="E79" s="23" t="s">
        <v>288</v>
      </c>
      <c r="G79" s="113"/>
      <c r="I79" s="98"/>
      <c r="J79" s="181">
        <f>SUM(I74:I78)-J72</f>
        <v>0</v>
      </c>
      <c r="K79" s="23" t="s">
        <v>289</v>
      </c>
      <c r="L79"/>
      <c r="M79" s="19"/>
      <c r="O79" s="95">
        <f ca="1">SUM(N74:N78)</f>
        <v>82.84380061082507</v>
      </c>
      <c r="P79" s="23" t="s">
        <v>290</v>
      </c>
      <c r="Q79" s="108"/>
      <c r="S79" s="19"/>
      <c r="U79" s="19"/>
      <c r="Y79"/>
      <c r="Z79"/>
      <c r="AA79"/>
      <c r="AB79"/>
      <c r="AC79"/>
      <c r="AD79"/>
    </row>
    <row r="80" spans="1:30" x14ac:dyDescent="0.25">
      <c r="A80" s="113"/>
      <c r="C80" s="97"/>
      <c r="E80" s="23"/>
      <c r="G80" s="113"/>
      <c r="I80" s="98"/>
      <c r="J80" s="91"/>
      <c r="K80" s="23"/>
      <c r="L80"/>
      <c r="M80" s="19"/>
      <c r="O80" s="96"/>
      <c r="P80" s="23"/>
      <c r="Q80" s="108"/>
      <c r="S80" s="19"/>
      <c r="U80" s="19"/>
      <c r="Y80"/>
      <c r="Z80"/>
      <c r="AA80"/>
      <c r="AB80"/>
      <c r="AC80"/>
      <c r="AD80"/>
    </row>
    <row r="81" spans="1:30" x14ac:dyDescent="0.25">
      <c r="A81" s="113"/>
      <c r="D81" s="96">
        <f>SUM(A83:A87)*(1-'ACCEPT RATES'!G17)+SUM(C83:C87)*SUM('ACCEPT RATES'!I17:J17)</f>
        <v>439.81732184909384</v>
      </c>
      <c r="E81" s="23" t="s">
        <v>269</v>
      </c>
      <c r="G81" s="121"/>
      <c r="I81" s="23"/>
      <c r="J81" s="96">
        <f>I85*(1-'ACCEPT RATES'!C22)</f>
        <v>0</v>
      </c>
      <c r="K81" s="23" t="s">
        <v>269</v>
      </c>
      <c r="L81"/>
      <c r="M81" s="19"/>
      <c r="P81" s="23"/>
      <c r="Q81" s="108"/>
      <c r="S81" s="19"/>
      <c r="U81" s="19"/>
      <c r="Y81"/>
      <c r="Z81"/>
      <c r="AA81"/>
      <c r="AB81"/>
      <c r="AC81"/>
      <c r="AD81"/>
    </row>
    <row r="82" spans="1:30" x14ac:dyDescent="0.25">
      <c r="A82" s="126" t="s">
        <v>270</v>
      </c>
      <c r="B82" s="86" t="s">
        <v>305</v>
      </c>
      <c r="C82" s="87"/>
      <c r="D82" s="119"/>
      <c r="E82" s="23" t="s">
        <v>306</v>
      </c>
      <c r="G82" s="126" t="s">
        <v>273</v>
      </c>
      <c r="H82" s="86" t="s">
        <v>307</v>
      </c>
      <c r="I82" s="87"/>
      <c r="J82" s="99"/>
      <c r="K82" s="22" t="s">
        <v>306</v>
      </c>
      <c r="L82"/>
      <c r="M82" s="86" t="s">
        <v>290</v>
      </c>
      <c r="N82" s="87"/>
      <c r="P82" s="19"/>
      <c r="Q82" s="108"/>
      <c r="S82" s="19"/>
      <c r="U82" s="19"/>
      <c r="Y82"/>
      <c r="Z82"/>
      <c r="AA82"/>
      <c r="AB82"/>
      <c r="AC82"/>
      <c r="AD82"/>
    </row>
    <row r="83" spans="1:30" x14ac:dyDescent="0.25">
      <c r="A83" s="120">
        <f>B83*(1-'ACCEPT RATES'!C17)</f>
        <v>0</v>
      </c>
      <c r="B83" s="29">
        <f>C83*(1+'ACCEPT RATES'!F17)</f>
        <v>0</v>
      </c>
      <c r="C83" s="50">
        <f>C16*('COVERAGE FACTORS'!C55+'COVERAGE FACTORS'!C59)</f>
        <v>0</v>
      </c>
      <c r="E83" s="23" t="s">
        <v>200</v>
      </c>
      <c r="G83" s="178">
        <v>0</v>
      </c>
      <c r="H83" s="29">
        <f>I83</f>
        <v>0</v>
      </c>
      <c r="I83" s="50">
        <f>C16*'COVERAGE FACTORS'!C57</f>
        <v>0</v>
      </c>
      <c r="J83" s="112"/>
      <c r="K83" s="22" t="s">
        <v>200</v>
      </c>
      <c r="L83"/>
      <c r="M83" s="29">
        <f>N83</f>
        <v>0</v>
      </c>
      <c r="N83" s="50">
        <f>C16*'COVERAGE FACTORS'!C61</f>
        <v>0</v>
      </c>
      <c r="P83" s="19"/>
      <c r="Q83" s="108"/>
      <c r="S83" s="19"/>
      <c r="U83" s="19"/>
      <c r="Y83"/>
      <c r="Z83"/>
      <c r="AA83"/>
      <c r="AB83"/>
      <c r="AC83"/>
      <c r="AD83"/>
    </row>
    <row r="84" spans="1:30" x14ac:dyDescent="0.25">
      <c r="A84" s="179">
        <f>B84*(1-'ACCEPT RATES'!D17)</f>
        <v>0</v>
      </c>
      <c r="B84" s="85">
        <f>C84*(1+'ACCEPT RATES'!F17)</f>
        <v>0</v>
      </c>
      <c r="C84" s="84">
        <f>G16*('COVERAGE FACTORS'!C55+'COVERAGE FACTORS'!C59)</f>
        <v>0</v>
      </c>
      <c r="G84" s="179">
        <v>0</v>
      </c>
      <c r="H84" s="85">
        <f>I84</f>
        <v>0</v>
      </c>
      <c r="I84" s="84">
        <f>G16*'COVERAGE FACTORS'!C57</f>
        <v>0</v>
      </c>
      <c r="J84" s="58"/>
      <c r="L84"/>
      <c r="M84" s="85">
        <f>N84</f>
        <v>0</v>
      </c>
      <c r="N84" s="84">
        <f>G16*'COVERAGE FACTORS'!C61</f>
        <v>0</v>
      </c>
      <c r="P84" s="19"/>
      <c r="Q84" s="108"/>
      <c r="S84" s="19"/>
      <c r="U84" s="19"/>
      <c r="Y84"/>
      <c r="Z84"/>
      <c r="AA84"/>
      <c r="AB84"/>
      <c r="AC84"/>
      <c r="AD84"/>
    </row>
    <row r="85" spans="1:30" x14ac:dyDescent="0.25">
      <c r="A85" s="121"/>
      <c r="B85" s="85"/>
      <c r="C85" s="84"/>
      <c r="G85" s="109">
        <v>0</v>
      </c>
      <c r="H85" s="89">
        <f>I85</f>
        <v>0</v>
      </c>
      <c r="I85" s="90">
        <f>K16*('COVERAGE FACTORS'!C57+'COVERAGE FACTORS'!C59)</f>
        <v>0</v>
      </c>
      <c r="J85" s="58"/>
      <c r="L85"/>
      <c r="M85" s="89">
        <f>N85</f>
        <v>0</v>
      </c>
      <c r="N85" s="90">
        <f>K16*(1-('COVERAGE FACTORS'!C57+'COVERAGE FACTORS'!C59+'COVERAGE FACTORS'!C53))</f>
        <v>0</v>
      </c>
      <c r="P85" s="19"/>
      <c r="Q85" s="108"/>
      <c r="S85" s="19"/>
      <c r="U85" s="19"/>
      <c r="Y85"/>
      <c r="Z85"/>
      <c r="AA85"/>
      <c r="AB85"/>
      <c r="AC85"/>
      <c r="AD85"/>
    </row>
    <row r="86" spans="1:30" x14ac:dyDescent="0.25">
      <c r="A86" s="121"/>
      <c r="B86" s="85"/>
      <c r="C86" s="84"/>
      <c r="G86" s="110">
        <v>0</v>
      </c>
      <c r="H86" s="94">
        <f>I86</f>
        <v>0</v>
      </c>
      <c r="I86" s="92">
        <f>O16*('COVERAGE FACTORS'!C57+'COVERAGE FACTORS'!C59)</f>
        <v>0</v>
      </c>
      <c r="J86" s="58"/>
      <c r="L86"/>
      <c r="M86" s="94">
        <f>N86</f>
        <v>0</v>
      </c>
      <c r="N86" s="92">
        <f>O16*(1-('COVERAGE FACTORS'!C57+'COVERAGE FACTORS'!C59+'COVERAGE FACTORS'!C53))</f>
        <v>0</v>
      </c>
      <c r="P86" s="19"/>
      <c r="Q86" s="108"/>
      <c r="S86" s="19"/>
      <c r="U86" s="19"/>
      <c r="Y86"/>
      <c r="Z86"/>
      <c r="AA86"/>
      <c r="AB86"/>
      <c r="AC86"/>
      <c r="AD86"/>
    </row>
    <row r="87" spans="1:30" x14ac:dyDescent="0.25">
      <c r="A87" s="183">
        <f>B87*(1-'ACCEPT RATES'!C17)</f>
        <v>549.5779855535377</v>
      </c>
      <c r="B87" s="187">
        <f>C87*(1+'ACCEPT RATES'!F17)</f>
        <v>8965.4331463047001</v>
      </c>
      <c r="C87" s="188">
        <f>(D34+D46+D60+D70+D79)*('COVERAGE FACTORS'!C55+'COVERAGE FACTORS'!C59)</f>
        <v>8879.0633399260551</v>
      </c>
      <c r="G87" s="184">
        <v>0</v>
      </c>
      <c r="H87" s="185">
        <f>I87</f>
        <v>0</v>
      </c>
      <c r="I87" s="186">
        <f>(D34+D46+D60+D70+D79)*'COVERAGE FACTORS'!C57+(J34+J46+J60+J70+J79)*('COVERAGE FACTORS'!C57+'COVERAGE FACTORS'!C59)</f>
        <v>0</v>
      </c>
      <c r="J87" s="182"/>
      <c r="L87"/>
      <c r="M87" s="101">
        <f ca="1">N87</f>
        <v>1560.7539819230187</v>
      </c>
      <c r="N87" s="100">
        <f ca="1">D81+J81+(O34+O46+O60+O70+O79)+(D34+D46+D60+D70+D79)*'COVERAGE FACTORS'!C61+(J34+J46+J60+J70+J79)*(1-('COVERAGE FACTORS'!C57+'COVERAGE FACTORS'!C59))+D120</f>
        <v>1560.7539819230187</v>
      </c>
      <c r="P87" s="19"/>
      <c r="Q87" s="108"/>
      <c r="S87" s="19"/>
      <c r="U87" s="19"/>
      <c r="Y87"/>
      <c r="Z87"/>
      <c r="AA87"/>
      <c r="AB87"/>
      <c r="AC87"/>
      <c r="AD87"/>
    </row>
    <row r="88" spans="1:30" x14ac:dyDescent="0.25">
      <c r="A88" s="113" t="s">
        <v>319</v>
      </c>
      <c r="C88" s="97"/>
      <c r="D88" s="102">
        <f>SUM(C83:C87)-D81</f>
        <v>8439.2460180769613</v>
      </c>
      <c r="E88" s="23"/>
      <c r="G88" s="366"/>
      <c r="H88" s="367"/>
      <c r="I88" s="367"/>
      <c r="J88" s="368">
        <f>SUM(I83:I87)-J81</f>
        <v>0</v>
      </c>
      <c r="K88" s="23"/>
      <c r="L88"/>
      <c r="M88" s="19"/>
      <c r="O88" s="189">
        <f ca="1">SUM(N83:N87)</f>
        <v>1560.7539819230187</v>
      </c>
      <c r="P88" s="23"/>
      <c r="Q88" s="108"/>
      <c r="S88" s="19"/>
      <c r="U88" s="19"/>
      <c r="Y88"/>
      <c r="Z88"/>
      <c r="AA88"/>
      <c r="AB88"/>
      <c r="AC88"/>
      <c r="AD88"/>
    </row>
    <row r="89" spans="1:30" x14ac:dyDescent="0.25">
      <c r="A89" s="113"/>
      <c r="C89" s="97"/>
      <c r="D89" s="22" t="s">
        <v>308</v>
      </c>
      <c r="E89" s="23"/>
      <c r="G89" s="113"/>
      <c r="I89" s="98"/>
      <c r="J89" s="22" t="s">
        <v>308</v>
      </c>
      <c r="K89" s="23"/>
      <c r="L89"/>
      <c r="M89" s="19"/>
      <c r="O89" s="22" t="s">
        <v>308</v>
      </c>
      <c r="P89" s="23"/>
      <c r="Q89" s="108"/>
      <c r="S89" s="19"/>
      <c r="U89" s="19"/>
      <c r="Y89"/>
      <c r="Z89"/>
      <c r="AA89"/>
      <c r="AB89"/>
      <c r="AC89"/>
      <c r="AD89"/>
    </row>
    <row r="90" spans="1:30" x14ac:dyDescent="0.25">
      <c r="A90" s="113"/>
      <c r="G90" s="113"/>
      <c r="H90"/>
      <c r="I90" s="19"/>
      <c r="J90" s="58"/>
      <c r="P90" s="19"/>
      <c r="Q90" s="108"/>
      <c r="S90" s="19"/>
      <c r="U90" s="19"/>
      <c r="Y90"/>
      <c r="Z90"/>
      <c r="AA90"/>
      <c r="AB90"/>
      <c r="AC90"/>
      <c r="AD90"/>
    </row>
    <row r="91" spans="1:30" x14ac:dyDescent="0.25">
      <c r="A91" s="113"/>
      <c r="D91" s="437" t="s">
        <v>269</v>
      </c>
      <c r="E91" s="437"/>
      <c r="G91" s="113"/>
      <c r="H91"/>
      <c r="I91" s="19"/>
      <c r="J91" s="58"/>
      <c r="P91" s="19"/>
      <c r="Q91" s="108"/>
      <c r="S91" s="19"/>
      <c r="U91" s="19"/>
      <c r="Y91"/>
      <c r="Z91"/>
      <c r="AA91"/>
      <c r="AB91"/>
      <c r="AC91"/>
      <c r="AD91"/>
    </row>
    <row r="92" spans="1:30" x14ac:dyDescent="0.25">
      <c r="A92" s="114"/>
      <c r="B92" s="116"/>
      <c r="C92" s="116"/>
      <c r="D92" s="22" t="s">
        <v>309</v>
      </c>
      <c r="E92" s="23" t="s">
        <v>310</v>
      </c>
      <c r="F92" s="116"/>
      <c r="G92" s="114"/>
      <c r="H92" s="115"/>
      <c r="I92" s="116"/>
      <c r="J92" s="117"/>
      <c r="K92" s="116"/>
      <c r="L92" s="116"/>
      <c r="M92" s="115"/>
      <c r="N92" s="116"/>
      <c r="O92" s="117"/>
      <c r="P92" s="116"/>
      <c r="Q92" s="118"/>
      <c r="S92" s="19"/>
      <c r="U92" s="19"/>
      <c r="Y92"/>
      <c r="Z92"/>
      <c r="AA92"/>
      <c r="AB92"/>
      <c r="AC92"/>
      <c r="AD92"/>
    </row>
    <row r="93" spans="1:30" x14ac:dyDescent="0.25">
      <c r="D93" s="266">
        <f ca="1">SUM(A95:A99)*(1-'ACCEPT RATES'!G24)+SUM(B95:B99)*'ACCEPT RATES'!J24</f>
        <v>0</v>
      </c>
      <c r="E93" s="267">
        <f ca="1">SUM(B95:B99)*'ACCEPT RATES'!I24</f>
        <v>0</v>
      </c>
    </row>
    <row r="94" spans="1:30" x14ac:dyDescent="0.25">
      <c r="A94" s="23" t="s">
        <v>270</v>
      </c>
      <c r="B94" s="213" t="s">
        <v>99</v>
      </c>
      <c r="C94" s="212"/>
      <c r="E94" s="23" t="s">
        <v>306</v>
      </c>
    </row>
    <row r="95" spans="1:30" x14ac:dyDescent="0.25">
      <c r="A95" s="50">
        <f>B95*(1-'ACCEPT RATES'!C24)</f>
        <v>0</v>
      </c>
      <c r="B95" s="29">
        <f>C95*(1+'ACCEPT RATES'!F17)</f>
        <v>0</v>
      </c>
      <c r="C95" s="50">
        <f>C16*'COVERAGE FACTORS'!C53</f>
        <v>0</v>
      </c>
      <c r="E95" s="23" t="s">
        <v>200</v>
      </c>
    </row>
    <row r="96" spans="1:30" x14ac:dyDescent="0.25">
      <c r="A96" s="84">
        <f>B96*(1-'ACCEPT RATES'!D24)</f>
        <v>0</v>
      </c>
      <c r="B96" s="85">
        <f>C96*(1+'ACCEPT RATES'!F17)</f>
        <v>0</v>
      </c>
      <c r="C96" s="84">
        <f>G16*'COVERAGE FACTORS'!C53</f>
        <v>0</v>
      </c>
    </row>
    <row r="97" spans="1:11" x14ac:dyDescent="0.25">
      <c r="A97" s="90">
        <f>B97*(1-'ACCEPT RATES'!C24)</f>
        <v>0</v>
      </c>
      <c r="B97" s="89">
        <f>C97*(1+'ACCEPT RATES'!F17)</f>
        <v>0</v>
      </c>
      <c r="C97" s="90">
        <f>K16*'COVERAGE FACTORS'!C53</f>
        <v>0</v>
      </c>
    </row>
    <row r="98" spans="1:11" x14ac:dyDescent="0.25">
      <c r="A98" s="92">
        <f>B98*(1-'ACCEPT RATES'!D24)</f>
        <v>0</v>
      </c>
      <c r="B98" s="94">
        <f>C98*(1+'ACCEPT RATES'!F17)</f>
        <v>0</v>
      </c>
      <c r="C98" s="92">
        <f>O16*'COVERAGE FACTORS'!C53</f>
        <v>0</v>
      </c>
    </row>
    <row r="99" spans="1:11" x14ac:dyDescent="0.25">
      <c r="A99" s="214">
        <f ca="1">B99*(1-'ACCEPT RATES'!C24)</f>
        <v>0</v>
      </c>
      <c r="B99" s="215">
        <f ca="1">C99*(1+'ACCEPT RATES'!F17)</f>
        <v>0</v>
      </c>
      <c r="C99" s="214">
        <f ca="1">(D16+D34+D46+D60+D70+D79)*'COVERAGE FACTORS'!C53+D114</f>
        <v>0</v>
      </c>
    </row>
    <row r="100" spans="1:11" x14ac:dyDescent="0.25">
      <c r="D100" s="369">
        <f ca="1">SUM(C95:C99)-D93-E93</f>
        <v>0</v>
      </c>
    </row>
    <row r="101" spans="1:11" x14ac:dyDescent="0.25">
      <c r="D101" s="22" t="s">
        <v>311</v>
      </c>
    </row>
    <row r="105" spans="1:11" x14ac:dyDescent="0.25">
      <c r="D105" s="22"/>
    </row>
    <row r="106" spans="1:11" ht="12.75" customHeight="1" x14ac:dyDescent="0.25">
      <c r="A106" s="113"/>
      <c r="D106" s="258">
        <f ca="1">A112*(1-'ACCEPT RATES'!G17)+B112*('ACCEPT RATES'!I17+'ACCEPT RATES'!J17)</f>
        <v>0</v>
      </c>
      <c r="E106" s="23" t="s">
        <v>269</v>
      </c>
      <c r="G106" s="438" t="s">
        <v>312</v>
      </c>
      <c r="H106" s="438"/>
      <c r="I106" s="438"/>
      <c r="J106" s="438"/>
      <c r="K106" s="438"/>
    </row>
    <row r="107" spans="1:11" x14ac:dyDescent="0.25">
      <c r="A107" s="126" t="s">
        <v>270</v>
      </c>
      <c r="B107" s="86" t="s">
        <v>313</v>
      </c>
      <c r="C107" s="87"/>
      <c r="D107"/>
      <c r="E107" s="23" t="s">
        <v>303</v>
      </c>
      <c r="G107" s="438"/>
      <c r="H107" s="438"/>
      <c r="I107" s="438"/>
      <c r="J107" s="438"/>
      <c r="K107" s="438"/>
    </row>
    <row r="108" spans="1:11" x14ac:dyDescent="0.25">
      <c r="A108" s="50"/>
      <c r="B108" s="29"/>
      <c r="C108" s="50"/>
      <c r="E108" s="23" t="s">
        <v>200</v>
      </c>
      <c r="G108" s="438"/>
      <c r="H108" s="438"/>
      <c r="I108" s="438"/>
      <c r="J108" s="438"/>
      <c r="K108" s="438"/>
    </row>
    <row r="109" spans="1:11" x14ac:dyDescent="0.25">
      <c r="A109" s="179"/>
      <c r="B109" s="85"/>
      <c r="C109" s="84"/>
      <c r="G109" s="438"/>
      <c r="H109" s="438"/>
      <c r="I109" s="438"/>
      <c r="J109" s="438"/>
      <c r="K109" s="438"/>
    </row>
    <row r="110" spans="1:11" x14ac:dyDescent="0.25">
      <c r="A110" s="121"/>
      <c r="B110" s="85"/>
      <c r="C110" s="84"/>
      <c r="G110" s="438"/>
      <c r="H110" s="438"/>
      <c r="I110" s="438"/>
      <c r="J110" s="438"/>
      <c r="K110" s="438"/>
    </row>
    <row r="111" spans="1:11" x14ac:dyDescent="0.25">
      <c r="A111" s="121"/>
      <c r="B111" s="85"/>
      <c r="C111" s="84"/>
      <c r="G111" s="438"/>
      <c r="H111" s="438"/>
      <c r="I111" s="438"/>
      <c r="J111" s="438"/>
      <c r="K111" s="438"/>
    </row>
    <row r="112" spans="1:11" x14ac:dyDescent="0.25">
      <c r="A112" s="259">
        <f ca="1">B112*(1-'ACCEPT RATES'!$C$17)</f>
        <v>0</v>
      </c>
      <c r="B112" s="260">
        <f ca="1">C112*(1+'ACCEPT RATES'!$F$17)</f>
        <v>0</v>
      </c>
      <c r="C112" s="261">
        <f ca="1">E93</f>
        <v>0</v>
      </c>
      <c r="G112" s="438"/>
      <c r="H112" s="438"/>
      <c r="I112" s="438"/>
      <c r="J112" s="438"/>
      <c r="K112" s="438"/>
    </row>
    <row r="113" spans="1:11" x14ac:dyDescent="0.25">
      <c r="A113" s="113"/>
      <c r="C113" s="119"/>
      <c r="D113" s="370">
        <f ca="1">($C$112-$D$106)*(1-'COVERAGE FACTORS'!$C$66)</f>
        <v>0</v>
      </c>
      <c r="E113" s="23" t="s">
        <v>288</v>
      </c>
      <c r="G113" s="438"/>
      <c r="H113" s="438"/>
      <c r="I113" s="438"/>
      <c r="J113" s="438"/>
      <c r="K113" s="438"/>
    </row>
    <row r="114" spans="1:11" x14ac:dyDescent="0.25">
      <c r="A114" s="113"/>
      <c r="C114" s="119"/>
      <c r="D114" s="370">
        <f ca="1">($C$112-$D$106)*'COVERAGE FACTORS'!$C$66</f>
        <v>0</v>
      </c>
      <c r="E114" s="23" t="s">
        <v>99</v>
      </c>
    </row>
    <row r="115" spans="1:11" x14ac:dyDescent="0.25">
      <c r="A115" s="113"/>
      <c r="C115" s="97"/>
      <c r="E115" s="23"/>
    </row>
    <row r="116" spans="1:11" x14ac:dyDescent="0.25">
      <c r="A116" s="113"/>
      <c r="C116" s="97"/>
      <c r="E116" s="23"/>
    </row>
    <row r="117" spans="1:11" x14ac:dyDescent="0.25">
      <c r="A117" s="113"/>
      <c r="C117" s="97"/>
      <c r="E117" s="23"/>
    </row>
    <row r="118" spans="1:11" x14ac:dyDescent="0.25">
      <c r="A118" s="113"/>
      <c r="C118" s="97"/>
      <c r="E118" s="23"/>
    </row>
    <row r="119" spans="1:11" x14ac:dyDescent="0.25">
      <c r="A119" s="113"/>
      <c r="C119" s="97"/>
      <c r="E119" s="23"/>
    </row>
    <row r="120" spans="1:11" x14ac:dyDescent="0.25">
      <c r="A120" s="121"/>
      <c r="D120" s="262">
        <f ca="1">A126*'ACCEPT RATES'!H17+B126*('ACCEPT RATES'!I17+'ACCEPT RATES'!J17)</f>
        <v>0</v>
      </c>
      <c r="E120" s="23" t="s">
        <v>269</v>
      </c>
    </row>
    <row r="121" spans="1:11" x14ac:dyDescent="0.25">
      <c r="A121" s="126" t="s">
        <v>270</v>
      </c>
      <c r="B121" s="86" t="s">
        <v>314</v>
      </c>
      <c r="C121" s="87"/>
      <c r="D121" s="119"/>
      <c r="E121" s="23" t="s">
        <v>306</v>
      </c>
    </row>
    <row r="122" spans="1:11" x14ac:dyDescent="0.25">
      <c r="A122" s="263"/>
      <c r="B122" s="29"/>
      <c r="C122" s="50"/>
      <c r="E122" s="23" t="s">
        <v>200</v>
      </c>
    </row>
    <row r="123" spans="1:11" x14ac:dyDescent="0.25">
      <c r="A123" s="179"/>
      <c r="B123" s="85"/>
      <c r="C123" s="84"/>
    </row>
    <row r="124" spans="1:11" x14ac:dyDescent="0.25">
      <c r="A124" s="121"/>
      <c r="B124" s="85"/>
      <c r="C124" s="84"/>
    </row>
    <row r="125" spans="1:11" x14ac:dyDescent="0.25">
      <c r="A125" s="121"/>
      <c r="B125" s="85"/>
      <c r="C125" s="84"/>
    </row>
    <row r="126" spans="1:11" x14ac:dyDescent="0.25">
      <c r="A126" s="264">
        <f ca="1">B126*(1-'ACCEPT RATES'!$C$17)</f>
        <v>0</v>
      </c>
      <c r="B126" s="260">
        <f ca="1">C126*(1+'ACCEPT RATES'!$F$17)</f>
        <v>0</v>
      </c>
      <c r="C126" s="261">
        <f ca="1">$D$93+$D$113</f>
        <v>0</v>
      </c>
    </row>
    <row r="127" spans="1:11" x14ac:dyDescent="0.25">
      <c r="A127" s="121"/>
      <c r="C127" s="119"/>
      <c r="D127" s="265">
        <f ca="1">C126-D120</f>
        <v>0</v>
      </c>
      <c r="E127" s="23"/>
    </row>
    <row r="128" spans="1:11" x14ac:dyDescent="0.25">
      <c r="A128" s="121"/>
      <c r="D128" s="22" t="s">
        <v>308</v>
      </c>
      <c r="E128" s="23"/>
    </row>
  </sheetData>
  <mergeCells count="2">
    <mergeCell ref="D91:E91"/>
    <mergeCell ref="G106:K113"/>
  </mergeCells>
  <phoneticPr fontId="42" type="noConversion"/>
  <pageMargins left="0.75" right="0.75" top="1" bottom="1" header="0.5" footer="0.5"/>
  <pageSetup orientation="portrait" horizontalDpi="300" verticalDpi="0" copies="0" r:id="rId1"/>
  <headerFooter alignWithMargins="0"/>
  <drawing r:id="rId2"/>
</worksheet>
</file>

<file path=xl/worksheets/sheet1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9">
    <pageSetUpPr fitToPage="1"/>
  </sheetPr>
  <dimension ref="A1:K86"/>
  <sheetViews>
    <sheetView zoomScale="75" workbookViewId="0"/>
  </sheetViews>
  <sheetFormatPr defaultRowHeight="13.2" x14ac:dyDescent="0.25"/>
  <cols>
    <col min="1" max="1" width="5.77734375" customWidth="1"/>
    <col min="2" max="2" width="25.77734375" customWidth="1"/>
    <col min="3" max="4" width="10.77734375" style="2" customWidth="1"/>
    <col min="5" max="5" width="10.77734375" style="37" customWidth="1"/>
    <col min="6" max="6" width="10.77734375" style="132" customWidth="1"/>
    <col min="7" max="7" width="10.77734375" style="41" customWidth="1"/>
    <col min="8" max="9" width="10.77734375" style="30" customWidth="1"/>
    <col min="10" max="10" width="10.77734375" style="132" customWidth="1"/>
    <col min="11" max="26" width="9.77734375" customWidth="1"/>
  </cols>
  <sheetData>
    <row r="1" spans="1:11" ht="22.8" x14ac:dyDescent="0.4">
      <c r="A1" s="125" t="s">
        <v>320</v>
      </c>
    </row>
    <row r="2" spans="1:11" ht="17.399999999999999" x14ac:dyDescent="0.3">
      <c r="A2" s="4" t="s">
        <v>181</v>
      </c>
    </row>
    <row r="3" spans="1:11" s="6" customFormat="1" ht="12.75" customHeight="1" x14ac:dyDescent="0.25">
      <c r="A3" s="1"/>
      <c r="B3" s="146"/>
      <c r="C3" s="268"/>
      <c r="D3" s="268"/>
      <c r="E3" s="269"/>
      <c r="F3" s="270"/>
      <c r="G3" s="241"/>
      <c r="H3" s="145"/>
      <c r="I3" s="145"/>
      <c r="J3" s="270"/>
      <c r="K3" s="146"/>
    </row>
    <row r="4" spans="1:11" s="6" customFormat="1" ht="12.75" customHeight="1" x14ac:dyDescent="0.25">
      <c r="A4" s="1"/>
      <c r="B4" s="146"/>
      <c r="C4" s="16" t="str">
        <f>"(1)"</f>
        <v>(1)</v>
      </c>
      <c r="D4" s="16" t="str">
        <f>"(2)"</f>
        <v>(2)</v>
      </c>
      <c r="E4" s="38" t="str">
        <f>"(3)"</f>
        <v>(3)</v>
      </c>
      <c r="F4" s="16" t="str">
        <f>"(4)"</f>
        <v>(4)</v>
      </c>
      <c r="G4" s="40" t="str">
        <f>"(5)"</f>
        <v>(5)</v>
      </c>
      <c r="H4" s="16" t="str">
        <f>"(6)"</f>
        <v>(6)</v>
      </c>
      <c r="I4" s="16" t="str">
        <f>"(7)"</f>
        <v>(7)</v>
      </c>
      <c r="J4" s="16" t="str">
        <f>"(8)"</f>
        <v>(8)</v>
      </c>
      <c r="K4" s="16" t="str">
        <f>"(9)"</f>
        <v>(9)</v>
      </c>
    </row>
    <row r="5" spans="1:11" s="6" customFormat="1" ht="12.75" customHeight="1" x14ac:dyDescent="0.25">
      <c r="A5" s="1"/>
      <c r="B5" s="146"/>
      <c r="C5" s="268"/>
      <c r="D5" s="268"/>
      <c r="E5" s="269"/>
      <c r="F5" s="270"/>
      <c r="G5" s="241"/>
      <c r="H5" s="145"/>
      <c r="I5" s="145"/>
      <c r="J5" s="270"/>
      <c r="K5"/>
    </row>
    <row r="6" spans="1:11" x14ac:dyDescent="0.25">
      <c r="D6" s="16" t="s">
        <v>182</v>
      </c>
      <c r="F6" s="133" t="s">
        <v>183</v>
      </c>
      <c r="H6" s="31" t="s">
        <v>184</v>
      </c>
      <c r="I6" s="31" t="s">
        <v>184</v>
      </c>
      <c r="J6" s="133" t="s">
        <v>8</v>
      </c>
      <c r="K6" s="133" t="s">
        <v>185</v>
      </c>
    </row>
    <row r="7" spans="1:11" x14ac:dyDescent="0.25">
      <c r="C7"/>
      <c r="D7" s="16" t="s">
        <v>186</v>
      </c>
      <c r="E7" s="38" t="s">
        <v>187</v>
      </c>
      <c r="F7" s="133" t="s">
        <v>188</v>
      </c>
      <c r="G7" s="40" t="s">
        <v>189</v>
      </c>
      <c r="H7" s="31" t="s">
        <v>190</v>
      </c>
      <c r="I7" s="31" t="s">
        <v>190</v>
      </c>
      <c r="J7" s="133" t="s">
        <v>188</v>
      </c>
      <c r="K7" s="133" t="s">
        <v>188</v>
      </c>
    </row>
    <row r="8" spans="1:11" x14ac:dyDescent="0.25">
      <c r="A8" s="35" t="s">
        <v>191</v>
      </c>
      <c r="C8" s="134" t="s">
        <v>17</v>
      </c>
      <c r="D8" s="134" t="s">
        <v>192</v>
      </c>
      <c r="E8" s="39" t="s">
        <v>193</v>
      </c>
      <c r="F8" s="135" t="s">
        <v>194</v>
      </c>
      <c r="G8" s="42" t="s">
        <v>195</v>
      </c>
      <c r="H8" s="36" t="s">
        <v>195</v>
      </c>
      <c r="I8" s="36" t="s">
        <v>196</v>
      </c>
      <c r="J8" s="135" t="s">
        <v>194</v>
      </c>
      <c r="K8" s="135" t="s">
        <v>194</v>
      </c>
    </row>
    <row r="9" spans="1:11" x14ac:dyDescent="0.25">
      <c r="A9" s="35"/>
      <c r="C9" s="134"/>
      <c r="D9" s="134"/>
      <c r="E9" s="39"/>
      <c r="F9" s="135"/>
      <c r="G9" s="42"/>
      <c r="H9" s="36"/>
      <c r="I9" s="36"/>
      <c r="J9" s="135"/>
    </row>
    <row r="10" spans="1:11" x14ac:dyDescent="0.25">
      <c r="A10" s="1" t="s">
        <v>220</v>
      </c>
      <c r="C10" s="134"/>
      <c r="D10" s="134"/>
      <c r="E10" s="39"/>
      <c r="F10" s="135"/>
      <c r="G10" s="42"/>
      <c r="H10" s="36"/>
      <c r="I10" s="36"/>
      <c r="J10" s="135"/>
    </row>
    <row r="11" spans="1:11" x14ac:dyDescent="0.25">
      <c r="A11" s="35"/>
      <c r="B11" t="s">
        <v>198</v>
      </c>
      <c r="C11" s="326">
        <f>'3D AUTO COST'!C11</f>
        <v>0</v>
      </c>
      <c r="D11" s="326">
        <f>PRODUCTIVITIES!$E$8</f>
        <v>175.66894168226426</v>
      </c>
      <c r="E11" s="269">
        <f>'WAGE RATES'!$D$6</f>
        <v>50.10717457546064</v>
      </c>
      <c r="F11" s="41">
        <f>E11*100/D11</f>
        <v>28.523638894626252</v>
      </c>
      <c r="G11" s="241">
        <f>PIGGYBACKS!$B$5</f>
        <v>1.8052502472456198</v>
      </c>
      <c r="H11" s="241">
        <f>'WAGE RATES'!$D$10</f>
        <v>1.0285306172213804</v>
      </c>
      <c r="I11" s="41">
        <f>(H11-1)*F11</f>
        <v>0.81379702306345936</v>
      </c>
      <c r="J11" s="41">
        <f>F11*G11+I11</f>
        <v>52.30610318993228</v>
      </c>
      <c r="K11" s="41">
        <f ca="1">C11*J11/'3D NONAUTO MODEL'!$G$6</f>
        <v>0</v>
      </c>
    </row>
    <row r="12" spans="1:11" x14ac:dyDescent="0.25">
      <c r="A12" s="35"/>
      <c r="B12" t="s">
        <v>199</v>
      </c>
      <c r="C12" s="326">
        <f>'3D AUTO COST'!C12</f>
        <v>0</v>
      </c>
      <c r="D12" s="326">
        <f>PRODUCTIVITIES!$E$10</f>
        <v>194.60202715898563</v>
      </c>
      <c r="E12" s="269">
        <f>'WAGE RATES'!$D$6</f>
        <v>50.10717457546064</v>
      </c>
      <c r="F12" s="41">
        <f>E12*100/D12</f>
        <v>25.748536799426127</v>
      </c>
      <c r="G12" s="241">
        <f>PIGGYBACKS!$B$6</f>
        <v>1.6056412614911089</v>
      </c>
      <c r="H12" s="241">
        <f>'WAGE RATES'!$D$10</f>
        <v>1.0285306172213804</v>
      </c>
      <c r="I12" s="41">
        <f>(H12-1)*F12</f>
        <v>0.73462164743505387</v>
      </c>
      <c r="J12" s="41">
        <f>F12*G12+I12</f>
        <v>42.077534755615858</v>
      </c>
      <c r="K12" s="41">
        <f ca="1">C12*J12/'3D NONAUTO MODEL'!$G$6</f>
        <v>0</v>
      </c>
    </row>
    <row r="13" spans="1:11" x14ac:dyDescent="0.25">
      <c r="A13" s="35"/>
      <c r="B13" t="s">
        <v>200</v>
      </c>
      <c r="C13" s="326">
        <f>'3D AUTO COST'!C13</f>
        <v>138.39316889641205</v>
      </c>
      <c r="D13" s="326">
        <f>PRODUCTIVITIES!$E$12</f>
        <v>388.77898659935892</v>
      </c>
      <c r="E13" s="269">
        <f>'WAGE RATES'!$D$6</f>
        <v>50.10717457546064</v>
      </c>
      <c r="F13" s="41">
        <f>E13*100/D13</f>
        <v>12.888344355683154</v>
      </c>
      <c r="G13" s="241">
        <f>PIGGYBACKS!$B$7</f>
        <v>1.5985378657336238</v>
      </c>
      <c r="H13" s="241">
        <f>'WAGE RATES'!$D$10</f>
        <v>1.0285306172213804</v>
      </c>
      <c r="I13" s="41">
        <f>(H13-1)*F13</f>
        <v>0.36771241942933458</v>
      </c>
      <c r="J13" s="41">
        <f>F13*G13+I13</f>
        <v>20.970218898603079</v>
      </c>
      <c r="K13" s="41">
        <f ca="1">C13*J13/'3D NONAUTO MODEL'!$G$6</f>
        <v>0.29021350458291129</v>
      </c>
    </row>
    <row r="14" spans="1:11" x14ac:dyDescent="0.25">
      <c r="A14" s="35"/>
      <c r="C14" s="326"/>
      <c r="D14" s="326"/>
      <c r="E14" s="269"/>
      <c r="F14" s="270"/>
      <c r="G14" s="241"/>
      <c r="H14" s="241"/>
      <c r="I14" s="145"/>
      <c r="J14" s="270"/>
      <c r="K14" s="41"/>
    </row>
    <row r="15" spans="1:11" x14ac:dyDescent="0.25">
      <c r="A15" s="1" t="s">
        <v>221</v>
      </c>
      <c r="C15" s="326"/>
      <c r="D15" s="326"/>
      <c r="E15" s="269"/>
      <c r="F15" s="270"/>
      <c r="G15" s="241"/>
      <c r="H15" s="241"/>
      <c r="I15" s="145"/>
      <c r="J15" s="270"/>
      <c r="K15" s="41"/>
    </row>
    <row r="16" spans="1:11" s="6" customFormat="1" x14ac:dyDescent="0.25">
      <c r="A16" s="146"/>
      <c r="B16" s="146" t="s">
        <v>198</v>
      </c>
      <c r="C16" s="326">
        <f>'3D AUTO COST'!C16</f>
        <v>95.803760088783335</v>
      </c>
      <c r="D16" s="326">
        <f>PRODUCTIVITIES!$E$9</f>
        <v>204.15275198997298</v>
      </c>
      <c r="E16" s="269">
        <f>'WAGE RATES'!$D$6</f>
        <v>50.10717457546064</v>
      </c>
      <c r="F16" s="41">
        <f>E16*100/D16</f>
        <v>24.543962345372481</v>
      </c>
      <c r="G16" s="241">
        <f>PIGGYBACKS!$B$5</f>
        <v>1.8052502472456198</v>
      </c>
      <c r="H16" s="241">
        <f>'WAGE RATES'!$D$10</f>
        <v>1.0285306172213804</v>
      </c>
      <c r="I16" s="41">
        <f>(H16-1)*F16</f>
        <v>0.70025439477179607</v>
      </c>
      <c r="J16" s="41">
        <f>F16*G16+I16</f>
        <v>45.008248487142652</v>
      </c>
      <c r="K16" s="41">
        <f ca="1">C16*J16/'3D NONAUTO MODEL'!$G$6</f>
        <v>0.43119594400785677</v>
      </c>
    </row>
    <row r="17" spans="1:11" x14ac:dyDescent="0.25">
      <c r="A17" s="1"/>
      <c r="B17" t="s">
        <v>199</v>
      </c>
      <c r="C17" s="326">
        <f>'3D AUTO COST'!C17</f>
        <v>116.24127699057456</v>
      </c>
      <c r="D17" s="326">
        <f>PRODUCTIVITIES!$E$11</f>
        <v>163.71090696460584</v>
      </c>
      <c r="E17" s="269">
        <f>'WAGE RATES'!$D$6</f>
        <v>50.10717457546064</v>
      </c>
      <c r="F17" s="41">
        <f>E17*100/D17</f>
        <v>30.607108288938726</v>
      </c>
      <c r="G17" s="241">
        <f>PIGGYBACKS!$B$6</f>
        <v>1.6056412614911089</v>
      </c>
      <c r="H17" s="241">
        <f>'WAGE RATES'!$D$10</f>
        <v>1.0285306172213804</v>
      </c>
      <c r="I17" s="41">
        <f>(H17-1)*F17</f>
        <v>0.87323969084504982</v>
      </c>
      <c r="J17" s="41">
        <f>F17*G17+I17</f>
        <v>50.017275654491598</v>
      </c>
      <c r="K17" s="41">
        <f ca="1">C17*J17/'3D NONAUTO MODEL'!$G$6</f>
        <v>0.58140719936676899</v>
      </c>
    </row>
    <row r="18" spans="1:11" x14ac:dyDescent="0.25">
      <c r="A18" s="1"/>
      <c r="B18" t="s">
        <v>200</v>
      </c>
      <c r="C18" s="326">
        <f>'3D AUTO COST'!C18</f>
        <v>0</v>
      </c>
      <c r="D18" s="326">
        <f>PRODUCTIVITIES!$E$13</f>
        <v>388.77898659935892</v>
      </c>
      <c r="E18" s="269">
        <f>'WAGE RATES'!$D$6</f>
        <v>50.10717457546064</v>
      </c>
      <c r="F18" s="41">
        <f>E18*100/D18</f>
        <v>12.888344355683154</v>
      </c>
      <c r="G18" s="241">
        <f>PIGGYBACKS!$B$7</f>
        <v>1.5985378657336238</v>
      </c>
      <c r="H18" s="241">
        <f>'WAGE RATES'!$D$10</f>
        <v>1.0285306172213804</v>
      </c>
      <c r="I18" s="41">
        <f>(H18-1)*F18</f>
        <v>0.36771241942933458</v>
      </c>
      <c r="J18" s="41">
        <f>F18*G18+I18</f>
        <v>20.970218898603079</v>
      </c>
      <c r="K18" s="41">
        <f ca="1">C18*J18/'3D NONAUTO MODEL'!$G$6</f>
        <v>0</v>
      </c>
    </row>
    <row r="19" spans="1:11" x14ac:dyDescent="0.25">
      <c r="A19" s="1"/>
      <c r="C19" s="326"/>
      <c r="D19" s="326"/>
      <c r="E19" s="269"/>
      <c r="F19" s="270"/>
      <c r="G19" s="241"/>
      <c r="H19" s="241"/>
      <c r="I19" s="145"/>
      <c r="J19" s="270"/>
      <c r="K19" s="41"/>
    </row>
    <row r="20" spans="1:11" x14ac:dyDescent="0.25">
      <c r="A20" s="1" t="s">
        <v>222</v>
      </c>
      <c r="C20" s="326"/>
      <c r="D20" s="326"/>
      <c r="E20" s="269"/>
      <c r="F20" s="270"/>
      <c r="G20" s="241"/>
      <c r="H20" s="241"/>
      <c r="I20" s="145"/>
      <c r="J20" s="270"/>
      <c r="K20" s="41"/>
    </row>
    <row r="21" spans="1:11" x14ac:dyDescent="0.25">
      <c r="A21" s="1"/>
      <c r="B21" t="s">
        <v>198</v>
      </c>
      <c r="C21" s="326">
        <f>'3D AUTO COST'!C21</f>
        <v>18.826557607101584</v>
      </c>
      <c r="D21" s="326">
        <f>PRODUCTIVITIES!$E$9</f>
        <v>204.15275198997298</v>
      </c>
      <c r="E21" s="269">
        <f>'WAGE RATES'!$D$6</f>
        <v>50.10717457546064</v>
      </c>
      <c r="F21" s="41">
        <f>E21*100/D21</f>
        <v>24.543962345372481</v>
      </c>
      <c r="G21" s="241">
        <f>PIGGYBACKS!$B$5</f>
        <v>1.8052502472456198</v>
      </c>
      <c r="H21" s="241">
        <f>'WAGE RATES'!$D$10</f>
        <v>1.0285306172213804</v>
      </c>
      <c r="I21" s="41">
        <f>(H21-1)*F21</f>
        <v>0.70025439477179607</v>
      </c>
      <c r="J21" s="41">
        <f>F21*G21+I21</f>
        <v>45.008248487142652</v>
      </c>
      <c r="K21" s="41">
        <f ca="1">C21*J21/'3D NONAUTO MODEL'!$G$6</f>
        <v>8.4735038293793544E-2</v>
      </c>
    </row>
    <row r="22" spans="1:11" x14ac:dyDescent="0.25">
      <c r="A22" s="1"/>
      <c r="B22" t="s">
        <v>199</v>
      </c>
      <c r="C22" s="326">
        <f>'3D AUTO COST'!C22</f>
        <v>22.842768337673245</v>
      </c>
      <c r="D22" s="326">
        <f>PRODUCTIVITIES!$E$11</f>
        <v>163.71090696460584</v>
      </c>
      <c r="E22" s="269">
        <f>'WAGE RATES'!$D$6</f>
        <v>50.10717457546064</v>
      </c>
      <c r="F22" s="41">
        <f>E22*100/D22</f>
        <v>30.607108288938726</v>
      </c>
      <c r="G22" s="241">
        <f>PIGGYBACKS!$B$6</f>
        <v>1.6056412614911089</v>
      </c>
      <c r="H22" s="241">
        <f>'WAGE RATES'!$D$10</f>
        <v>1.0285306172213804</v>
      </c>
      <c r="I22" s="41">
        <f>(H22-1)*F22</f>
        <v>0.87323969084504982</v>
      </c>
      <c r="J22" s="41">
        <f>F22*G22+I22</f>
        <v>50.017275654491598</v>
      </c>
      <c r="K22" s="41">
        <f ca="1">C22*J22/'3D NONAUTO MODEL'!$G$6</f>
        <v>0.11425330406570977</v>
      </c>
    </row>
    <row r="23" spans="1:11" x14ac:dyDescent="0.25">
      <c r="A23" s="1"/>
      <c r="B23" t="s">
        <v>200</v>
      </c>
      <c r="C23" s="326">
        <f>'3D AUTO COST'!C23</f>
        <v>1.3235894080992399</v>
      </c>
      <c r="D23" s="326">
        <f>PRODUCTIVITIES!$E$14</f>
        <v>388.77898659935892</v>
      </c>
      <c r="E23" s="269">
        <f>'WAGE RATES'!$D$6</f>
        <v>50.10717457546064</v>
      </c>
      <c r="F23" s="41">
        <f>E23*100/D23</f>
        <v>12.888344355683154</v>
      </c>
      <c r="G23" s="241">
        <f>PIGGYBACKS!$B$7</f>
        <v>1.5985378657336238</v>
      </c>
      <c r="H23" s="241">
        <f>'WAGE RATES'!$D$10</f>
        <v>1.0285306172213804</v>
      </c>
      <c r="I23" s="41">
        <f>(H23-1)*F23</f>
        <v>0.36771241942933458</v>
      </c>
      <c r="J23" s="41">
        <f>F23*G23+I23</f>
        <v>20.970218898603079</v>
      </c>
      <c r="K23" s="41">
        <f ca="1">C23*J23/'3D NONAUTO MODEL'!$G$6</f>
        <v>2.7755959619713594E-3</v>
      </c>
    </row>
    <row r="24" spans="1:11" x14ac:dyDescent="0.25">
      <c r="A24" s="1"/>
      <c r="C24" s="326"/>
      <c r="D24" s="326"/>
      <c r="E24" s="269"/>
      <c r="F24" s="270"/>
      <c r="G24" s="241"/>
      <c r="H24" s="241"/>
      <c r="I24" s="145"/>
      <c r="J24" s="270"/>
      <c r="K24" s="41"/>
    </row>
    <row r="25" spans="1:11" x14ac:dyDescent="0.25">
      <c r="A25" s="1" t="s">
        <v>223</v>
      </c>
      <c r="C25" s="326"/>
      <c r="D25" s="326"/>
      <c r="E25" s="269"/>
      <c r="F25" s="270"/>
      <c r="G25" s="241"/>
      <c r="H25" s="241"/>
      <c r="I25" s="145"/>
      <c r="J25" s="270"/>
      <c r="K25" s="41"/>
    </row>
    <row r="26" spans="1:11" x14ac:dyDescent="0.25">
      <c r="A26" s="1"/>
      <c r="B26" t="s">
        <v>198</v>
      </c>
      <c r="C26" s="326">
        <f>'3D AUTO COST'!C26</f>
        <v>0</v>
      </c>
      <c r="D26" s="326">
        <f>PRODUCTIVITIES!$E$9</f>
        <v>204.15275198997298</v>
      </c>
      <c r="E26" s="269">
        <f>'WAGE RATES'!$D$6</f>
        <v>50.10717457546064</v>
      </c>
      <c r="F26" s="41">
        <f>E26*100/D26</f>
        <v>24.543962345372481</v>
      </c>
      <c r="G26" s="241">
        <f>PIGGYBACKS!$B$5</f>
        <v>1.8052502472456198</v>
      </c>
      <c r="H26" s="241">
        <f>'WAGE RATES'!$D$10</f>
        <v>1.0285306172213804</v>
      </c>
      <c r="I26" s="41">
        <f>(H26-1)*F26</f>
        <v>0.70025439477179607</v>
      </c>
      <c r="J26" s="41">
        <f>F26*G26+I26</f>
        <v>45.008248487142652</v>
      </c>
      <c r="K26" s="41">
        <f ca="1">C26*J26/'3D NONAUTO MODEL'!$G$6</f>
        <v>0</v>
      </c>
    </row>
    <row r="27" spans="1:11" x14ac:dyDescent="0.25">
      <c r="A27" s="1"/>
      <c r="B27" t="s">
        <v>199</v>
      </c>
      <c r="C27" s="326">
        <f>'3D AUTO COST'!C27</f>
        <v>0</v>
      </c>
      <c r="D27" s="326">
        <f>PRODUCTIVITIES!$E$11</f>
        <v>163.71090696460584</v>
      </c>
      <c r="E27" s="269">
        <f>'WAGE RATES'!$D$6</f>
        <v>50.10717457546064</v>
      </c>
      <c r="F27" s="41">
        <f>E27*100/D27</f>
        <v>30.607108288938726</v>
      </c>
      <c r="G27" s="241">
        <f>PIGGYBACKS!$B$6</f>
        <v>1.6056412614911089</v>
      </c>
      <c r="H27" s="241">
        <f>'WAGE RATES'!$D$10</f>
        <v>1.0285306172213804</v>
      </c>
      <c r="I27" s="41">
        <f>(H27-1)*F27</f>
        <v>0.87323969084504982</v>
      </c>
      <c r="J27" s="41">
        <f>F27*G27+I27</f>
        <v>50.017275654491598</v>
      </c>
      <c r="K27" s="41">
        <f ca="1">C27*J27/'3D NONAUTO MODEL'!$G$6</f>
        <v>0</v>
      </c>
    </row>
    <row r="28" spans="1:11" x14ac:dyDescent="0.25">
      <c r="A28" s="1"/>
      <c r="B28" t="s">
        <v>200</v>
      </c>
      <c r="C28" s="326">
        <f>'3D AUTO COST'!C28</f>
        <v>0</v>
      </c>
      <c r="D28" s="326">
        <f>PRODUCTIVITIES!E15</f>
        <v>279.13830142253454</v>
      </c>
      <c r="E28" s="269">
        <f>'WAGE RATES'!$D$6</f>
        <v>50.10717457546064</v>
      </c>
      <c r="F28" s="41">
        <f>E28*100/D28</f>
        <v>17.950662564078904</v>
      </c>
      <c r="G28" s="241">
        <f>PIGGYBACKS!$B$7</f>
        <v>1.5985378657336238</v>
      </c>
      <c r="H28" s="241">
        <f>'WAGE RATES'!$D$10</f>
        <v>1.0285306172213804</v>
      </c>
      <c r="I28" s="41">
        <f>(H28-1)*F28</f>
        <v>0.51214348248589792</v>
      </c>
      <c r="J28" s="41">
        <f>F28*G28+I28</f>
        <v>29.206957306173045</v>
      </c>
      <c r="K28" s="41">
        <f ca="1">C28*J28/'3D NONAUTO MODEL'!$G$6</f>
        <v>0</v>
      </c>
    </row>
    <row r="29" spans="1:11" x14ac:dyDescent="0.25">
      <c r="A29" s="1"/>
      <c r="C29" s="363"/>
      <c r="D29" s="363"/>
      <c r="E29" s="269"/>
      <c r="F29" s="270"/>
      <c r="G29" s="241"/>
      <c r="H29" s="145"/>
      <c r="I29" s="145"/>
      <c r="J29" s="270"/>
      <c r="K29" s="41"/>
    </row>
    <row r="30" spans="1:11" x14ac:dyDescent="0.25">
      <c r="A30" s="1" t="s">
        <v>224</v>
      </c>
      <c r="F30" s="41"/>
      <c r="H30" s="41"/>
      <c r="I30" s="41"/>
      <c r="J30" s="41"/>
      <c r="K30" s="41"/>
    </row>
    <row r="31" spans="1:11" x14ac:dyDescent="0.25">
      <c r="A31" s="35"/>
      <c r="B31" t="s">
        <v>225</v>
      </c>
      <c r="C31" s="2">
        <f>SUM('3D NONAUTO MODEL'!$B$25:$B$29)</f>
        <v>10.652911368271031</v>
      </c>
      <c r="D31" s="2">
        <f>PRODUCTIVITIES!$E$23*'COVERAGE FACTORS'!$C$25+PRODUCTIVITIES!$E$17*(1-'COVERAGE FACTORS'!$C$25)</f>
        <v>1572.5270916832678</v>
      </c>
      <c r="E31" s="37">
        <f>'WAGE RATES'!$D$6</f>
        <v>50.10717457546064</v>
      </c>
      <c r="F31" s="41">
        <f>E31*100/D31</f>
        <v>3.1864108949515657</v>
      </c>
      <c r="G31" s="41">
        <f>PIGGYBACKS!$B$8</f>
        <v>1.6305774272183733</v>
      </c>
      <c r="H31" s="41">
        <f>'WAGE RATES'!$D$10</f>
        <v>1.0285306172213804</v>
      </c>
      <c r="I31" s="41">
        <f>(H31-1)*F31</f>
        <v>9.0910269553899262E-2</v>
      </c>
      <c r="J31" s="41">
        <f>F31*G31+I31</f>
        <v>5.2865999487046178</v>
      </c>
      <c r="K31" s="41">
        <f ca="1">C31*J31/'3D NONAUTO MODEL'!$G$6</f>
        <v>5.6317680693056572E-3</v>
      </c>
    </row>
    <row r="32" spans="1:11" x14ac:dyDescent="0.25">
      <c r="A32" s="35"/>
      <c r="B32" t="s">
        <v>226</v>
      </c>
      <c r="C32" s="2">
        <f>SUM('3D NONAUTO MODEL'!$A$25:$A$29)</f>
        <v>2.8090047363360227</v>
      </c>
      <c r="D32" s="2">
        <f>PRODUCTIVITIES!$E$16</f>
        <v>888.0117100682927</v>
      </c>
      <c r="E32" s="37">
        <f>'WAGE RATES'!$D$5</f>
        <v>54.142360316355024</v>
      </c>
      <c r="F32" s="41">
        <f>E32*100/D32</f>
        <v>6.0970322465895403</v>
      </c>
      <c r="G32" s="41">
        <f>PIGGYBACKS!$B$9</f>
        <v>1.2615773174013249</v>
      </c>
      <c r="H32" s="41">
        <f>'WAGE RATES'!$D$10</f>
        <v>1.0285306172213804</v>
      </c>
      <c r="I32" s="41">
        <f>(H32-1)*F32</f>
        <v>0.17395209321385913</v>
      </c>
      <c r="J32" s="41">
        <f>F32*G32+I32</f>
        <v>7.8658296789756648</v>
      </c>
      <c r="K32" s="41">
        <f ca="1">C32*J32/'3D NONAUTO MODEL'!$G$6</f>
        <v>2.2095152823455137E-3</v>
      </c>
    </row>
    <row r="33" spans="1:11" x14ac:dyDescent="0.25">
      <c r="A33" s="35"/>
      <c r="B33" t="s">
        <v>227</v>
      </c>
      <c r="C33" s="2">
        <f>SUM('3D NONAUTO MODEL'!$H$25:$H$29)</f>
        <v>0</v>
      </c>
      <c r="D33" s="2">
        <f>PRODUCTIVITIES!$E$30</f>
        <v>1.0273268954181221</v>
      </c>
      <c r="E33" s="37">
        <f>'WAGE RATES'!$D$6</f>
        <v>50.10717457546064</v>
      </c>
      <c r="F33" s="41">
        <f>E33*100/D33</f>
        <v>4877.4323731753384</v>
      </c>
      <c r="G33" s="41">
        <f>PIGGYBACKS!$B$10</f>
        <v>1.6305774272183733</v>
      </c>
      <c r="H33" s="41">
        <f>'WAGE RATES'!$D$10</f>
        <v>1.0285306172213804</v>
      </c>
      <c r="I33" s="41">
        <f>(H33-1)*F33</f>
        <v>139.15615606223454</v>
      </c>
      <c r="J33" s="41">
        <f>F33*G33+I33</f>
        <v>8092.1872865460828</v>
      </c>
      <c r="K33" s="41">
        <f ca="1">C33*J33/'3D NONAUTO MODEL'!$G$6</f>
        <v>0</v>
      </c>
    </row>
    <row r="34" spans="1:11" x14ac:dyDescent="0.25">
      <c r="B34" t="s">
        <v>228</v>
      </c>
      <c r="C34" s="2">
        <f>SUM('3D NONAUTO MODEL'!$G$25:$G$29)</f>
        <v>0</v>
      </c>
      <c r="D34" s="2">
        <f>PRODUCTIVITIES!$E$36</f>
        <v>1.0273268954181221</v>
      </c>
      <c r="E34" s="37">
        <f>'WAGE RATES'!$D$6</f>
        <v>50.10717457546064</v>
      </c>
      <c r="F34" s="41">
        <f>E34*100/D34</f>
        <v>4877.4323731753384</v>
      </c>
      <c r="G34" s="41">
        <f>PIGGYBACKS!$B$10</f>
        <v>1.6305774272183733</v>
      </c>
      <c r="H34" s="41">
        <f>'WAGE RATES'!$D$10</f>
        <v>1.0285306172213804</v>
      </c>
      <c r="I34" s="41">
        <f>(H34-1)*F34</f>
        <v>139.15615606223454</v>
      </c>
      <c r="J34" s="41">
        <f>F34*G34+I34</f>
        <v>8092.1872865460828</v>
      </c>
      <c r="K34" s="41">
        <f ca="1">C34*J34/'3D NONAUTO MODEL'!$G$6</f>
        <v>0</v>
      </c>
    </row>
    <row r="35" spans="1:11" x14ac:dyDescent="0.25">
      <c r="B35" t="s">
        <v>200</v>
      </c>
      <c r="C35" s="2">
        <f>SUM('3D NONAUTO MODEL'!$M$25:$M$29)</f>
        <v>0.64776058916932577</v>
      </c>
      <c r="D35" s="2">
        <f>PRODUCTIVITIES!$E$42</f>
        <v>620.26371981497391</v>
      </c>
      <c r="E35" s="37">
        <f>'WAGE RATES'!$D$6</f>
        <v>50.10717457546064</v>
      </c>
      <c r="F35" s="41">
        <f>E35*100/D35</f>
        <v>8.0783661811475493</v>
      </c>
      <c r="G35" s="41">
        <f>PIGGYBACKS!$B$12</f>
        <v>1.3622907328394676</v>
      </c>
      <c r="H35" s="41">
        <f>'WAGE RATES'!$D$10</f>
        <v>1.0285306172213804</v>
      </c>
      <c r="I35" s="41">
        <f>(H35-1)*F35</f>
        <v>0.23048077328846525</v>
      </c>
      <c r="J35" s="41">
        <f>F35*G35+I35</f>
        <v>11.235564158349531</v>
      </c>
      <c r="K35" s="41">
        <f ca="1">C35*J35/'3D NONAUTO MODEL'!$G$6</f>
        <v>7.277955658862266E-4</v>
      </c>
    </row>
    <row r="36" spans="1:11" x14ac:dyDescent="0.25">
      <c r="F36" s="41"/>
      <c r="H36" s="41"/>
      <c r="I36" s="41"/>
      <c r="J36" s="41"/>
      <c r="K36" s="41"/>
    </row>
    <row r="37" spans="1:11" x14ac:dyDescent="0.25">
      <c r="A37" s="1" t="s">
        <v>229</v>
      </c>
      <c r="F37" s="41"/>
      <c r="H37" s="41"/>
      <c r="I37" s="41"/>
      <c r="J37" s="41"/>
      <c r="K37" s="41"/>
    </row>
    <row r="38" spans="1:11" x14ac:dyDescent="0.25">
      <c r="A38" s="35"/>
      <c r="B38" t="s">
        <v>225</v>
      </c>
      <c r="C38" s="2">
        <f>SUM('3D NONAUTO MODEL'!$B$38:$B$42)</f>
        <v>1.294529128665495</v>
      </c>
      <c r="D38" s="2">
        <f>PRODUCTIVITIES!$E$24*'COVERAGE FACTORS'!$C$25+PRODUCTIVITIES!$E$18*(1-'COVERAGE FACTORS'!$C$25)</f>
        <v>2267.7698382210328</v>
      </c>
      <c r="E38" s="37">
        <f>'WAGE RATES'!$D$6</f>
        <v>50.10717457546064</v>
      </c>
      <c r="F38" s="41">
        <f>E38*100/D38</f>
        <v>2.2095352769471326</v>
      </c>
      <c r="G38" s="41">
        <f>PIGGYBACKS!$B$8</f>
        <v>1.6305774272183733</v>
      </c>
      <c r="H38" s="41">
        <f>'WAGE RATES'!$D$10</f>
        <v>1.0285306172213804</v>
      </c>
      <c r="I38" s="41">
        <f>(H38-1)*F38</f>
        <v>6.3039405223715358E-2</v>
      </c>
      <c r="J38" s="41">
        <f>F38*G38+I38</f>
        <v>3.6658577524564069</v>
      </c>
      <c r="K38" s="41">
        <f ca="1">C38*J38/'3D NONAUTO MODEL'!$G$6</f>
        <v>4.745559642099051E-4</v>
      </c>
    </row>
    <row r="39" spans="1:11" x14ac:dyDescent="0.25">
      <c r="A39" s="35"/>
      <c r="B39" t="s">
        <v>226</v>
      </c>
      <c r="C39" s="2">
        <f>SUM('3D NONAUTO MODEL'!$A$38:$A$42)</f>
        <v>7.9354192838479498E-2</v>
      </c>
      <c r="D39" s="2">
        <f>PRODUCTIVITIES!$E$16</f>
        <v>888.0117100682927</v>
      </c>
      <c r="E39" s="37">
        <f>'WAGE RATES'!$D$5</f>
        <v>54.142360316355024</v>
      </c>
      <c r="F39" s="41">
        <f>E39*100/D39</f>
        <v>6.0970322465895403</v>
      </c>
      <c r="G39" s="41">
        <f>PIGGYBACKS!$B$9</f>
        <v>1.2615773174013249</v>
      </c>
      <c r="H39" s="41">
        <f>'WAGE RATES'!$D$10</f>
        <v>1.0285306172213804</v>
      </c>
      <c r="I39" s="41">
        <f>(H39-1)*F39</f>
        <v>0.17395209321385913</v>
      </c>
      <c r="J39" s="41">
        <f>F39*G39+I39</f>
        <v>7.8658296789756648</v>
      </c>
      <c r="K39" s="41">
        <f ca="1">C39*J39/'3D NONAUTO MODEL'!$G$6</f>
        <v>6.2418656518007138E-5</v>
      </c>
    </row>
    <row r="40" spans="1:11" x14ac:dyDescent="0.25">
      <c r="B40" t="s">
        <v>227</v>
      </c>
      <c r="C40" s="2">
        <f>SUM('3D NONAUTO MODEL'!$H$38:$H$42)</f>
        <v>0</v>
      </c>
      <c r="D40" s="2">
        <f>PRODUCTIVITIES!$E$31</f>
        <v>1.0273268954181221</v>
      </c>
      <c r="E40" s="37">
        <f>'WAGE RATES'!$D$6</f>
        <v>50.10717457546064</v>
      </c>
      <c r="F40" s="41">
        <f>E40*100/D40</f>
        <v>4877.4323731753384</v>
      </c>
      <c r="G40" s="41">
        <f>PIGGYBACKS!$B$10</f>
        <v>1.6305774272183733</v>
      </c>
      <c r="H40" s="41">
        <f>'WAGE RATES'!$D$10</f>
        <v>1.0285306172213804</v>
      </c>
      <c r="I40" s="41">
        <f>(H40-1)*F40</f>
        <v>139.15615606223454</v>
      </c>
      <c r="J40" s="41">
        <f>F40*G40+I40</f>
        <v>8092.1872865460828</v>
      </c>
      <c r="K40" s="41">
        <f ca="1">C40*J40/'3D NONAUTO MODEL'!$G$6</f>
        <v>0</v>
      </c>
    </row>
    <row r="41" spans="1:11" x14ac:dyDescent="0.25">
      <c r="B41" t="s">
        <v>228</v>
      </c>
      <c r="C41" s="2">
        <f>SUM('3D NONAUTO MODEL'!$G$38:$G$42)</f>
        <v>0</v>
      </c>
      <c r="D41" s="2">
        <f>PRODUCTIVITIES!$E$37</f>
        <v>1.0273268954181221</v>
      </c>
      <c r="E41" s="37">
        <f>'WAGE RATES'!$D$6</f>
        <v>50.10717457546064</v>
      </c>
      <c r="F41" s="41">
        <f>E41*100/D41</f>
        <v>4877.4323731753384</v>
      </c>
      <c r="G41" s="41">
        <f>PIGGYBACKS!$B$10</f>
        <v>1.6305774272183733</v>
      </c>
      <c r="H41" s="41">
        <f>'WAGE RATES'!$D$10</f>
        <v>1.0285306172213804</v>
      </c>
      <c r="I41" s="41">
        <f>(H41-1)*F41</f>
        <v>139.15615606223454</v>
      </c>
      <c r="J41" s="41">
        <f>F41*G41+I41</f>
        <v>8092.1872865460828</v>
      </c>
      <c r="K41" s="41">
        <f ca="1">C41*J41/'3D NONAUTO MODEL'!$G$6</f>
        <v>0</v>
      </c>
    </row>
    <row r="42" spans="1:11" x14ac:dyDescent="0.25">
      <c r="B42" t="s">
        <v>200</v>
      </c>
      <c r="C42" s="2">
        <f>SUM('3D NONAUTO MODEL'!$M$38:$M$42)</f>
        <v>0.17526316794389302</v>
      </c>
      <c r="D42" s="2">
        <f>PRODUCTIVITIES!$E$43</f>
        <v>490.6212884367572</v>
      </c>
      <c r="E42" s="37">
        <f>'WAGE RATES'!$D$6</f>
        <v>50.10717457546064</v>
      </c>
      <c r="F42" s="41">
        <f>E42*100/D42</f>
        <v>10.213004563074444</v>
      </c>
      <c r="G42" s="41">
        <f>PIGGYBACKS!$B$12</f>
        <v>1.3622907328394676</v>
      </c>
      <c r="H42" s="41">
        <f>'WAGE RATES'!$D$10</f>
        <v>1.0285306172213804</v>
      </c>
      <c r="I42" s="41">
        <f>(H42-1)*F42</f>
        <v>0.29138332386928828</v>
      </c>
      <c r="J42" s="41">
        <f>F42*G42+I42</f>
        <v>14.204464794592798</v>
      </c>
      <c r="K42" s="41">
        <f ca="1">C42*J42/'3D NONAUTO MODEL'!$G$6</f>
        <v>2.4895194988478381E-4</v>
      </c>
    </row>
    <row r="43" spans="1:11" x14ac:dyDescent="0.25">
      <c r="F43" s="41"/>
      <c r="H43" s="41"/>
      <c r="I43" s="41"/>
      <c r="J43" s="41"/>
      <c r="K43" s="41"/>
    </row>
    <row r="44" spans="1:11" x14ac:dyDescent="0.25">
      <c r="A44" s="1" t="s">
        <v>230</v>
      </c>
      <c r="F44" s="41"/>
      <c r="H44" s="41"/>
      <c r="I44" s="41"/>
      <c r="J44" s="41"/>
      <c r="K44" s="41"/>
    </row>
    <row r="45" spans="1:11" x14ac:dyDescent="0.25">
      <c r="A45" s="35"/>
      <c r="B45" t="s">
        <v>225</v>
      </c>
      <c r="C45" s="2">
        <f>SUM('3D NONAUTO MODEL'!$B$53:$B$57)</f>
        <v>74.003869447440223</v>
      </c>
      <c r="D45" s="2">
        <f>PRODUCTIVITIES!$E$25*'COVERAGE FACTORS'!$C$25+PRODUCTIVITIES!$E$19*(1-'COVERAGE FACTORS'!$C$25)</f>
        <v>1572.97537151239</v>
      </c>
      <c r="E45" s="37">
        <f>'WAGE RATES'!$D$6</f>
        <v>50.10717457546064</v>
      </c>
      <c r="F45" s="41">
        <f>E45*100/D45</f>
        <v>3.1855028046169225</v>
      </c>
      <c r="G45" s="41">
        <f>PIGGYBACKS!$B$8</f>
        <v>1.6305774272183733</v>
      </c>
      <c r="H45" s="41">
        <f>'WAGE RATES'!$D$10</f>
        <v>1.0285306172213804</v>
      </c>
      <c r="I45" s="41">
        <f>(H45-1)*F45</f>
        <v>9.0884361176159112E-2</v>
      </c>
      <c r="J45" s="41">
        <f>F45*G45+I45</f>
        <v>5.285093328725333</v>
      </c>
      <c r="K45" s="41">
        <f ca="1">C45*J45/'3D NONAUTO MODEL'!$G$6</f>
        <v>3.9111735671652756E-2</v>
      </c>
    </row>
    <row r="46" spans="1:11" x14ac:dyDescent="0.25">
      <c r="A46" s="35"/>
      <c r="B46" t="s">
        <v>226</v>
      </c>
      <c r="C46" s="2">
        <f>SUM('3D NONAUTO MODEL'!$A$53:$A$57)</f>
        <v>18.280676220364697</v>
      </c>
      <c r="D46" s="2">
        <f>PRODUCTIVITIES!$E$16</f>
        <v>888.0117100682927</v>
      </c>
      <c r="E46" s="37">
        <f>'WAGE RATES'!$D$5</f>
        <v>54.142360316355024</v>
      </c>
      <c r="F46" s="41">
        <f>E46*100/D46</f>
        <v>6.0970322465895403</v>
      </c>
      <c r="G46" s="41">
        <f>PIGGYBACKS!$B$9</f>
        <v>1.2615773174013249</v>
      </c>
      <c r="H46" s="41">
        <f>'WAGE RATES'!$D$10</f>
        <v>1.0285306172213804</v>
      </c>
      <c r="I46" s="41">
        <f>(H46-1)*F46</f>
        <v>0.17395209321385913</v>
      </c>
      <c r="J46" s="41">
        <f>F46*G46+I46</f>
        <v>7.8658296789756648</v>
      </c>
      <c r="K46" s="41">
        <f ca="1">C46*J46/'3D NONAUTO MODEL'!$G$6</f>
        <v>1.4379268556588958E-2</v>
      </c>
    </row>
    <row r="47" spans="1:11" x14ac:dyDescent="0.25">
      <c r="B47" t="s">
        <v>227</v>
      </c>
      <c r="C47" s="2">
        <f>SUM('3D NONAUTO MODEL'!$H$53:$H$57)</f>
        <v>0</v>
      </c>
      <c r="D47" s="2">
        <f>PRODUCTIVITIES!$E$32</f>
        <v>1.0273268954181221</v>
      </c>
      <c r="E47" s="37">
        <f>'WAGE RATES'!$D$6</f>
        <v>50.10717457546064</v>
      </c>
      <c r="F47" s="41">
        <f>E47*100/D47</f>
        <v>4877.4323731753384</v>
      </c>
      <c r="G47" s="41">
        <f>PIGGYBACKS!$B$10</f>
        <v>1.6305774272183733</v>
      </c>
      <c r="H47" s="41">
        <f>'WAGE RATES'!$D$10</f>
        <v>1.0285306172213804</v>
      </c>
      <c r="I47" s="41">
        <f>(H47-1)*F47</f>
        <v>139.15615606223454</v>
      </c>
      <c r="J47" s="41">
        <f>F47*G47+I47</f>
        <v>8092.1872865460828</v>
      </c>
      <c r="K47" s="41">
        <f ca="1">C47*J47/'3D NONAUTO MODEL'!$G$6</f>
        <v>0</v>
      </c>
    </row>
    <row r="48" spans="1:11" x14ac:dyDescent="0.25">
      <c r="B48" t="s">
        <v>228</v>
      </c>
      <c r="C48" s="2">
        <f>SUM('3D NONAUTO MODEL'!$G$53:$G$57)</f>
        <v>0</v>
      </c>
      <c r="D48" s="2">
        <f>PRODUCTIVITIES!$E$38</f>
        <v>1.0273268954181221</v>
      </c>
      <c r="E48" s="37">
        <f>'WAGE RATES'!$D$6</f>
        <v>50.10717457546064</v>
      </c>
      <c r="F48" s="41">
        <f>E48*100/D48</f>
        <v>4877.4323731753384</v>
      </c>
      <c r="G48" s="41">
        <f>PIGGYBACKS!$B$10</f>
        <v>1.6305774272183733</v>
      </c>
      <c r="H48" s="41">
        <f>'WAGE RATES'!$D$10</f>
        <v>1.0285306172213804</v>
      </c>
      <c r="I48" s="41">
        <f>(H48-1)*F48</f>
        <v>139.15615606223454</v>
      </c>
      <c r="J48" s="41">
        <f>F48*G48+I48</f>
        <v>8092.1872865460828</v>
      </c>
      <c r="K48" s="41">
        <f ca="1">C48*J48/'3D NONAUTO MODEL'!$G$6</f>
        <v>0</v>
      </c>
    </row>
    <row r="49" spans="1:11" x14ac:dyDescent="0.25">
      <c r="B49" t="s">
        <v>200</v>
      </c>
      <c r="C49" s="2">
        <f>SUM('3D NONAUTO MODEL'!$M$53:$M$57)</f>
        <v>7.2480900623334685</v>
      </c>
      <c r="D49" s="2">
        <f>PRODUCTIVITIES!$E$44</f>
        <v>692.96374405746178</v>
      </c>
      <c r="E49" s="37">
        <f>'WAGE RATES'!$D$6</f>
        <v>50.10717457546064</v>
      </c>
      <c r="F49" s="41">
        <f>E49*100/D49</f>
        <v>7.2308508208628108</v>
      </c>
      <c r="G49" s="41">
        <f>PIGGYBACKS!$B$12</f>
        <v>1.3622907328394676</v>
      </c>
      <c r="H49" s="41">
        <f>'WAGE RATES'!$D$10</f>
        <v>1.0285306172213804</v>
      </c>
      <c r="I49" s="41">
        <f>(H49-1)*F49</f>
        <v>0.20630063695494108</v>
      </c>
      <c r="J49" s="41">
        <f>F49*G49+I49</f>
        <v>10.056821700761006</v>
      </c>
      <c r="K49" s="41">
        <f ca="1">C49*J49/'3D NONAUTO MODEL'!$G$6</f>
        <v>7.2892749427945552E-3</v>
      </c>
    </row>
    <row r="50" spans="1:11" x14ac:dyDescent="0.25">
      <c r="F50" s="41"/>
      <c r="H50" s="41"/>
      <c r="I50" s="41"/>
      <c r="J50" s="41"/>
      <c r="K50" s="41"/>
    </row>
    <row r="51" spans="1:11" x14ac:dyDescent="0.25">
      <c r="A51" s="1" t="s">
        <v>231</v>
      </c>
      <c r="F51" s="41"/>
      <c r="H51" s="41"/>
      <c r="I51" s="41"/>
      <c r="J51" s="41"/>
      <c r="K51" s="41"/>
    </row>
    <row r="52" spans="1:11" x14ac:dyDescent="0.25">
      <c r="A52" s="35"/>
      <c r="B52" t="s">
        <v>225</v>
      </c>
      <c r="C52" s="2">
        <f>SUM('3D NONAUTO MODEL'!$B$64:$B$68)</f>
        <v>10491.319246974752</v>
      </c>
      <c r="D52" s="2">
        <f>PRODUCTIVITIES!$E$26*'COVERAGE FACTORS'!$C$25+PRODUCTIVITIES!$E$20*(1-'COVERAGE FACTORS'!$C$25)</f>
        <v>2073.5491608992547</v>
      </c>
      <c r="E52" s="37">
        <f>'WAGE RATES'!$D$6</f>
        <v>50.10717457546064</v>
      </c>
      <c r="F52" s="41">
        <f>E52*100/D52</f>
        <v>2.4164932049997896</v>
      </c>
      <c r="G52" s="41">
        <f>PIGGYBACKS!$B$8</f>
        <v>1.6305774272183733</v>
      </c>
      <c r="H52" s="41">
        <f>'WAGE RATES'!$D$10</f>
        <v>1.0285306172213804</v>
      </c>
      <c r="I52" s="41">
        <f>(H52-1)*F52</f>
        <v>6.8944042649915702E-2</v>
      </c>
      <c r="J52" s="41">
        <f>F52*G52+I52</f>
        <v>4.0092233157491535</v>
      </c>
      <c r="K52" s="41">
        <f ca="1">C52*J52/'3D NONAUTO MODEL'!$G$6</f>
        <v>4.2062041737939104</v>
      </c>
    </row>
    <row r="53" spans="1:11" x14ac:dyDescent="0.25">
      <c r="A53" s="35"/>
      <c r="B53" t="s">
        <v>226</v>
      </c>
      <c r="C53" s="2">
        <f>SUM('3D NONAUTO MODEL'!$A$64:$A$68)</f>
        <v>2762.9443549978123</v>
      </c>
      <c r="D53" s="2">
        <f>PRODUCTIVITIES!$E$16</f>
        <v>888.0117100682927</v>
      </c>
      <c r="E53" s="37">
        <f>'WAGE RATES'!$D$5</f>
        <v>54.142360316355024</v>
      </c>
      <c r="F53" s="41">
        <f>E53*100/D53</f>
        <v>6.0970322465895403</v>
      </c>
      <c r="G53" s="41">
        <f>PIGGYBACKS!$B$9</f>
        <v>1.2615773174013249</v>
      </c>
      <c r="H53" s="41">
        <f>'WAGE RATES'!$D$10</f>
        <v>1.0285306172213804</v>
      </c>
      <c r="I53" s="41">
        <f>(H53-1)*F53</f>
        <v>0.17395209321385913</v>
      </c>
      <c r="J53" s="41">
        <f>F53*G53+I53</f>
        <v>7.8658296789756648</v>
      </c>
      <c r="K53" s="41">
        <f ca="1">C53*J53/'3D NONAUTO MODEL'!$G$6</f>
        <v>2.1732849708900108</v>
      </c>
    </row>
    <row r="54" spans="1:11" x14ac:dyDescent="0.25">
      <c r="B54" t="s">
        <v>227</v>
      </c>
      <c r="C54" s="2">
        <f>SUM('3D NONAUTO MODEL'!$H$64:$H$68)</f>
        <v>0</v>
      </c>
      <c r="D54" s="2">
        <f>PRODUCTIVITIES!$E$33</f>
        <v>1.0273268954181221</v>
      </c>
      <c r="E54" s="37">
        <f>'WAGE RATES'!$D$6</f>
        <v>50.10717457546064</v>
      </c>
      <c r="F54" s="41">
        <f>E54*100/D54</f>
        <v>4877.4323731753384</v>
      </c>
      <c r="G54" s="41">
        <f>PIGGYBACKS!$B$10</f>
        <v>1.6305774272183733</v>
      </c>
      <c r="H54" s="41">
        <f>'WAGE RATES'!$D$10</f>
        <v>1.0285306172213804</v>
      </c>
      <c r="I54" s="41">
        <f>(H54-1)*F54</f>
        <v>139.15615606223454</v>
      </c>
      <c r="J54" s="41">
        <f>F54*G54+I54</f>
        <v>8092.1872865460828</v>
      </c>
      <c r="K54" s="41">
        <f ca="1">C54*J54/'3D NONAUTO MODEL'!$G$6</f>
        <v>0</v>
      </c>
    </row>
    <row r="55" spans="1:11" x14ac:dyDescent="0.25">
      <c r="B55" t="s">
        <v>228</v>
      </c>
      <c r="C55" s="2">
        <f>SUM('3D NONAUTO MODEL'!$G$64:$G$68)</f>
        <v>0</v>
      </c>
      <c r="D55" s="2">
        <f>PRODUCTIVITIES!$E$39</f>
        <v>1.0273268954181221</v>
      </c>
      <c r="E55" s="37">
        <f>'WAGE RATES'!$D$6</f>
        <v>50.10717457546064</v>
      </c>
      <c r="F55" s="41">
        <f>E55*100/D55</f>
        <v>4877.4323731753384</v>
      </c>
      <c r="G55" s="41">
        <f>PIGGYBACKS!$B$10</f>
        <v>1.6305774272183733</v>
      </c>
      <c r="H55" s="41">
        <f>'WAGE RATES'!$D$10</f>
        <v>1.0285306172213804</v>
      </c>
      <c r="I55" s="41">
        <f>(H55-1)*F55</f>
        <v>139.15615606223454</v>
      </c>
      <c r="J55" s="41">
        <f>F55*G55+I55</f>
        <v>8092.1872865460828</v>
      </c>
      <c r="K55" s="41">
        <f ca="1">C55*J55/'3D NONAUTO MODEL'!$G$6</f>
        <v>0</v>
      </c>
    </row>
    <row r="56" spans="1:11" x14ac:dyDescent="0.25">
      <c r="B56" t="s">
        <v>200</v>
      </c>
      <c r="C56" s="2">
        <f>SUM('3D NONAUTO MODEL'!$M$64:$M$68)</f>
        <v>706.49754742151993</v>
      </c>
      <c r="D56" s="2">
        <f>PRODUCTIVITIES!$E$45</f>
        <v>600.65917211803048</v>
      </c>
      <c r="E56" s="37">
        <f>'WAGE RATES'!$D$6</f>
        <v>50.10717457546064</v>
      </c>
      <c r="F56" s="41">
        <f>E56*100/D56</f>
        <v>8.3420310387959073</v>
      </c>
      <c r="G56" s="41">
        <f>PIGGYBACKS!$B$12</f>
        <v>1.3622907328394676</v>
      </c>
      <c r="H56" s="41">
        <f>'WAGE RATES'!$D$10</f>
        <v>1.0285306172213804</v>
      </c>
      <c r="I56" s="41">
        <f>(H56-1)*F56</f>
        <v>0.2380032944167603</v>
      </c>
      <c r="J56" s="41">
        <f>F56*G56+I56</f>
        <v>11.602274871627621</v>
      </c>
      <c r="K56" s="41">
        <f ca="1">C56*J56/'3D NONAUTO MODEL'!$G$6</f>
        <v>0.81969787413152595</v>
      </c>
    </row>
    <row r="57" spans="1:11" x14ac:dyDescent="0.25">
      <c r="F57" s="41"/>
      <c r="H57" s="41"/>
      <c r="I57" s="41"/>
      <c r="J57" s="41"/>
      <c r="K57" s="41"/>
    </row>
    <row r="58" spans="1:11" x14ac:dyDescent="0.25">
      <c r="A58" s="1" t="s">
        <v>232</v>
      </c>
      <c r="F58" s="41"/>
      <c r="H58" s="41"/>
      <c r="I58" s="41"/>
      <c r="J58" s="41"/>
      <c r="K58" s="41"/>
    </row>
    <row r="59" spans="1:11" x14ac:dyDescent="0.25">
      <c r="A59" s="35"/>
      <c r="B59" t="s">
        <v>225</v>
      </c>
      <c r="C59" s="2">
        <f ca="1">SUM('3D NONAUTO MODEL'!$B$74:$B$78)+SUM('3D NONAUTO MODEL'!$B$108:$B$112)</f>
        <v>212.40363366465934</v>
      </c>
      <c r="D59" s="2">
        <f>PRODUCTIVITIES!$E$27*'COVERAGE FACTORS'!$C$25+PRODUCTIVITIES!$E$21*(1-'COVERAGE FACTORS'!$C$25)</f>
        <v>1117.4154005483335</v>
      </c>
      <c r="E59" s="37">
        <f>'WAGE RATES'!$D$6</f>
        <v>50.10717457546064</v>
      </c>
      <c r="F59" s="41">
        <f>E59*100/D59</f>
        <v>4.4842029697167458</v>
      </c>
      <c r="G59" s="41">
        <f>PIGGYBACKS!$B$8</f>
        <v>1.6305774272183733</v>
      </c>
      <c r="H59" s="41">
        <f>'WAGE RATES'!$D$10</f>
        <v>1.0285306172213804</v>
      </c>
      <c r="I59" s="41">
        <f>(H59-1)*F59</f>
        <v>0.1279370784719657</v>
      </c>
      <c r="J59" s="41">
        <f>F59*G59+I59</f>
        <v>7.4397772199576861</v>
      </c>
      <c r="K59" s="41">
        <f ca="1">C59*J59/'3D NONAUTO MODEL'!$G$6</f>
        <v>0.1580235715174573</v>
      </c>
    </row>
    <row r="60" spans="1:11" x14ac:dyDescent="0.25">
      <c r="A60" s="35"/>
      <c r="B60" t="s">
        <v>226</v>
      </c>
      <c r="C60" s="2">
        <f ca="1">SUM('3D NONAUTO MODEL'!$A$74:$A$78)+SUM('3D NONAUTO MODEL'!$A$108:$A$112)</f>
        <v>13.020270098359818</v>
      </c>
      <c r="D60" s="2">
        <f>PRODUCTIVITIES!$E$16</f>
        <v>888.0117100682927</v>
      </c>
      <c r="E60" s="37">
        <f>'WAGE RATES'!$D$5</f>
        <v>54.142360316355024</v>
      </c>
      <c r="F60" s="41">
        <f>E60*100/D60</f>
        <v>6.0970322465895403</v>
      </c>
      <c r="G60" s="41">
        <f>PIGGYBACKS!$B$9</f>
        <v>1.2615773174013249</v>
      </c>
      <c r="H60" s="41">
        <f>'WAGE RATES'!$D$10</f>
        <v>1.0285306172213804</v>
      </c>
      <c r="I60" s="41">
        <f>(H60-1)*F60</f>
        <v>0.17395209321385913</v>
      </c>
      <c r="J60" s="41">
        <f>F60*G60+I60</f>
        <v>7.8658296789756648</v>
      </c>
      <c r="K60" s="41">
        <f ca="1">C60*J60/'3D NONAUTO MODEL'!$G$6</f>
        <v>1.0241522696795824E-2</v>
      </c>
    </row>
    <row r="61" spans="1:11" x14ac:dyDescent="0.25">
      <c r="B61" t="s">
        <v>227</v>
      </c>
      <c r="C61" s="2">
        <f>SUM('3D NONAUTO MODEL'!$H$74:$H$78)</f>
        <v>0</v>
      </c>
      <c r="D61" s="2">
        <f>PRODUCTIVITIES!$E$34</f>
        <v>1.0273268954181221</v>
      </c>
      <c r="E61" s="37">
        <f>'WAGE RATES'!$D$6</f>
        <v>50.10717457546064</v>
      </c>
      <c r="F61" s="41">
        <f>E61*100/D61</f>
        <v>4877.4323731753384</v>
      </c>
      <c r="G61" s="41">
        <f>PIGGYBACKS!$B$10</f>
        <v>1.6305774272183733</v>
      </c>
      <c r="H61" s="41">
        <f>'WAGE RATES'!$D$10</f>
        <v>1.0285306172213804</v>
      </c>
      <c r="I61" s="41">
        <f>(H61-1)*F61</f>
        <v>139.15615606223454</v>
      </c>
      <c r="J61" s="41">
        <f>F61*G61+I61</f>
        <v>8092.1872865460828</v>
      </c>
      <c r="K61" s="41">
        <f ca="1">C61*J61/'3D NONAUTO MODEL'!$G$6</f>
        <v>0</v>
      </c>
    </row>
    <row r="62" spans="1:11" x14ac:dyDescent="0.25">
      <c r="B62" t="s">
        <v>228</v>
      </c>
      <c r="C62" s="2">
        <f>SUM('3D NONAUTO MODEL'!$G$74:$G$78)</f>
        <v>0</v>
      </c>
      <c r="D62" s="2">
        <f>PRODUCTIVITIES!$E$40</f>
        <v>1.0273268954181221</v>
      </c>
      <c r="E62" s="37">
        <f>'WAGE RATES'!$D$6</f>
        <v>50.10717457546064</v>
      </c>
      <c r="F62" s="41">
        <f>E62*100/D62</f>
        <v>4877.4323731753384</v>
      </c>
      <c r="G62" s="41">
        <f>PIGGYBACKS!$B$10</f>
        <v>1.6305774272183733</v>
      </c>
      <c r="H62" s="41">
        <f>'WAGE RATES'!$D$10</f>
        <v>1.0285306172213804</v>
      </c>
      <c r="I62" s="41">
        <f>(H62-1)*F62</f>
        <v>139.15615606223454</v>
      </c>
      <c r="J62" s="41">
        <f>F62*G62+I62</f>
        <v>8092.1872865460828</v>
      </c>
      <c r="K62" s="41">
        <f ca="1">C62*J62/'3D NONAUTO MODEL'!$G$6</f>
        <v>0</v>
      </c>
    </row>
    <row r="63" spans="1:11" x14ac:dyDescent="0.25">
      <c r="B63" t="s">
        <v>200</v>
      </c>
      <c r="C63" s="2">
        <f ca="1">SUM('3D NONAUTO MODEL'!$M$74:$M$78)</f>
        <v>30.322103999297447</v>
      </c>
      <c r="D63" s="2">
        <f>PRODUCTIVITIES!$E$46</f>
        <v>753.4091755495233</v>
      </c>
      <c r="E63" s="37">
        <f>'WAGE RATES'!$D$6</f>
        <v>50.10717457546064</v>
      </c>
      <c r="F63" s="41">
        <f>E63*100/D63</f>
        <v>6.6507252900010618</v>
      </c>
      <c r="G63" s="41">
        <f>PIGGYBACKS!$B$12</f>
        <v>1.3622907328394676</v>
      </c>
      <c r="H63" s="41">
        <f>'WAGE RATES'!$D$10</f>
        <v>1.0285306172213804</v>
      </c>
      <c r="I63" s="41">
        <f>(H63-1)*F63</f>
        <v>0.18974929749357441</v>
      </c>
      <c r="J63" s="41">
        <f>F63*G63+I63</f>
        <v>9.2499707267231006</v>
      </c>
      <c r="K63" s="41">
        <f ca="1">C63*J63/'3D NONAUTO MODEL'!$G$6</f>
        <v>2.8047857436615534E-2</v>
      </c>
    </row>
    <row r="64" spans="1:11" x14ac:dyDescent="0.25">
      <c r="A64" s="35"/>
      <c r="F64" s="41"/>
      <c r="H64" s="41"/>
      <c r="I64" s="41"/>
      <c r="J64" s="41"/>
      <c r="K64" s="41"/>
    </row>
    <row r="65" spans="1:11" x14ac:dyDescent="0.25">
      <c r="A65" s="1" t="s">
        <v>233</v>
      </c>
      <c r="F65" s="41"/>
      <c r="H65" s="41"/>
      <c r="I65" s="41"/>
      <c r="J65" s="41"/>
      <c r="K65" s="41"/>
    </row>
    <row r="66" spans="1:11" x14ac:dyDescent="0.25">
      <c r="A66" s="35"/>
      <c r="B66" t="s">
        <v>225</v>
      </c>
      <c r="C66" s="2">
        <f ca="1">SUM('3D NONAUTO MODEL'!$B$83:$B$87)+SUM('3D NONAUTO MODEL'!$B$122:$B$126)</f>
        <v>9310.1998801510454</v>
      </c>
      <c r="D66" s="2">
        <f>PRODUCTIVITIES!$E$28*'COVERAGE FACTORS'!$C$25+PRODUCTIVITIES!$E$22*(1-'COVERAGE FACTORS'!$C$25)</f>
        <v>1858.2572281195687</v>
      </c>
      <c r="E66" s="37">
        <f>'WAGE RATES'!$D$6</f>
        <v>50.10717457546064</v>
      </c>
      <c r="F66" s="41">
        <f>E66*100/D66</f>
        <v>2.6964606308118992</v>
      </c>
      <c r="G66" s="41">
        <f>PIGGYBACKS!$B$8</f>
        <v>1.6305774272183733</v>
      </c>
      <c r="H66" s="41">
        <f>'WAGE RATES'!$D$10</f>
        <v>1.0285306172213804</v>
      </c>
      <c r="I66" s="41">
        <f>(H66-1)*F66</f>
        <v>7.693168611021621E-2</v>
      </c>
      <c r="J66" s="41">
        <f>F66*G66+I66</f>
        <v>4.473719524095114</v>
      </c>
      <c r="K66" s="41">
        <f ca="1">C66*J66/'3D NONAUTO MODEL'!$G$6</f>
        <v>4.1651222977059792</v>
      </c>
    </row>
    <row r="67" spans="1:11" x14ac:dyDescent="0.25">
      <c r="A67" s="35"/>
      <c r="B67" t="s">
        <v>226</v>
      </c>
      <c r="C67" s="2">
        <f ca="1">SUM('3D NONAUTO MODEL'!$A$83:$A$87)+SUM('3D NONAUTO MODEL'!$A$122:$A$126)</f>
        <v>570.71206842283482</v>
      </c>
      <c r="D67" s="2">
        <f>PRODUCTIVITIES!$E$16</f>
        <v>888.0117100682927</v>
      </c>
      <c r="E67" s="37">
        <f>'WAGE RATES'!$D$5</f>
        <v>54.142360316355024</v>
      </c>
      <c r="F67" s="41">
        <f>E67*100/D67</f>
        <v>6.0970322465895403</v>
      </c>
      <c r="G67" s="41">
        <f>PIGGYBACKS!$B$9</f>
        <v>1.2615773174013249</v>
      </c>
      <c r="H67" s="41">
        <f>'WAGE RATES'!$D$10</f>
        <v>1.0285306172213804</v>
      </c>
      <c r="I67" s="41">
        <f>(H67-1)*F67</f>
        <v>0.17395209321385913</v>
      </c>
      <c r="J67" s="41">
        <f>F67*G67+I67</f>
        <v>7.8658296789756648</v>
      </c>
      <c r="K67" s="41">
        <f ca="1">C67*J67/'3D NONAUTO MODEL'!$G$6</f>
        <v>0.44891239259499327</v>
      </c>
    </row>
    <row r="68" spans="1:11" x14ac:dyDescent="0.25">
      <c r="B68" t="s">
        <v>227</v>
      </c>
      <c r="C68" s="2">
        <f>SUM('3D NONAUTO MODEL'!$H$83:$H$87)</f>
        <v>0</v>
      </c>
      <c r="D68" s="2">
        <f>PRODUCTIVITIES!$E$35</f>
        <v>1.0273268954181221</v>
      </c>
      <c r="E68" s="37">
        <f>'WAGE RATES'!$D$6</f>
        <v>50.10717457546064</v>
      </c>
      <c r="F68" s="41">
        <f>E68*100/D68</f>
        <v>4877.4323731753384</v>
      </c>
      <c r="G68" s="41">
        <f>PIGGYBACKS!$B$10</f>
        <v>1.6305774272183733</v>
      </c>
      <c r="H68" s="41">
        <f>'WAGE RATES'!$D$10</f>
        <v>1.0285306172213804</v>
      </c>
      <c r="I68" s="41">
        <f>(H68-1)*F68</f>
        <v>139.15615606223454</v>
      </c>
      <c r="J68" s="41">
        <f>F68*G68+I68</f>
        <v>8092.1872865460828</v>
      </c>
      <c r="K68" s="41">
        <f ca="1">C68*J68/'3D NONAUTO MODEL'!$G$6</f>
        <v>0</v>
      </c>
    </row>
    <row r="69" spans="1:11" x14ac:dyDescent="0.25">
      <c r="B69" t="s">
        <v>228</v>
      </c>
      <c r="C69" s="2">
        <f>SUM('3D NONAUTO MODEL'!$G$83:$G$87)</f>
        <v>0</v>
      </c>
      <c r="D69" s="2">
        <f>PRODUCTIVITIES!$E$41</f>
        <v>1.0273268954181221</v>
      </c>
      <c r="E69" s="37">
        <f>'WAGE RATES'!$D$6</f>
        <v>50.10717457546064</v>
      </c>
      <c r="F69" s="41">
        <f>E69*100/D69</f>
        <v>4877.4323731753384</v>
      </c>
      <c r="G69" s="41">
        <f>PIGGYBACKS!$B$10</f>
        <v>1.6305774272183733</v>
      </c>
      <c r="H69" s="41">
        <f>'WAGE RATES'!$D$10</f>
        <v>1.0285306172213804</v>
      </c>
      <c r="I69" s="41">
        <f>(H69-1)*F69</f>
        <v>139.15615606223454</v>
      </c>
      <c r="J69" s="41">
        <f>F69*G69+I69</f>
        <v>8092.1872865460828</v>
      </c>
      <c r="K69" s="41">
        <f ca="1">C69*J69/'3D NONAUTO MODEL'!$G$6</f>
        <v>0</v>
      </c>
    </row>
    <row r="70" spans="1:11" x14ac:dyDescent="0.25">
      <c r="B70" t="s">
        <v>200</v>
      </c>
      <c r="C70" s="2">
        <f ca="1">SUM('3D NONAUTO MODEL'!$M$83:$M$87)</f>
        <v>1236.2218329127518</v>
      </c>
      <c r="D70" s="2">
        <f>PRODUCTIVITIES!$E$47</f>
        <v>675.89315757280178</v>
      </c>
      <c r="E70" s="37">
        <f>'WAGE RATES'!$D$6</f>
        <v>50.10717457546064</v>
      </c>
      <c r="F70" s="41">
        <f>E70*100/D70</f>
        <v>7.4134756379840256</v>
      </c>
      <c r="G70" s="41">
        <f>PIGGYBACKS!$B$12</f>
        <v>1.3622907328394676</v>
      </c>
      <c r="H70" s="41">
        <f>'WAGE RATES'!$D$10</f>
        <v>1.0285306172213804</v>
      </c>
      <c r="I70" s="41">
        <f>(H70-1)*F70</f>
        <v>0.21151103570735105</v>
      </c>
      <c r="J70" s="41">
        <f>F70*G70+I70</f>
        <v>10.310820195464149</v>
      </c>
      <c r="K70" s="41">
        <f ca="1">C70*J70/'3D NONAUTO MODEL'!$G$6</f>
        <v>1.2746461040870531</v>
      </c>
    </row>
    <row r="71" spans="1:11" x14ac:dyDescent="0.25">
      <c r="F71" s="41"/>
      <c r="H71" s="41"/>
      <c r="I71" s="41"/>
      <c r="J71" s="41"/>
      <c r="K71" s="41"/>
    </row>
    <row r="72" spans="1:11" x14ac:dyDescent="0.25">
      <c r="A72" s="1" t="s">
        <v>234</v>
      </c>
      <c r="F72" s="41"/>
      <c r="H72" s="41"/>
      <c r="I72" s="41"/>
      <c r="J72" s="41"/>
      <c r="K72" s="41"/>
    </row>
    <row r="73" spans="1:11" x14ac:dyDescent="0.25">
      <c r="B73" t="s">
        <v>99</v>
      </c>
      <c r="C73" s="2">
        <v>0</v>
      </c>
      <c r="D73" s="2">
        <v>0</v>
      </c>
      <c r="E73" s="37">
        <v>0</v>
      </c>
      <c r="F73" s="41">
        <v>0</v>
      </c>
      <c r="G73" s="41">
        <v>0</v>
      </c>
      <c r="H73" s="41">
        <v>0</v>
      </c>
      <c r="I73" s="41">
        <v>0</v>
      </c>
      <c r="J73" s="41">
        <v>0</v>
      </c>
      <c r="K73" s="41">
        <f ca="1">C73*$J73/'MADC NONAUTO MODEL'!$G$6</f>
        <v>0</v>
      </c>
    </row>
    <row r="74" spans="1:11" x14ac:dyDescent="0.25">
      <c r="B74" t="s">
        <v>226</v>
      </c>
      <c r="C74" s="2">
        <f ca="1">SUM('3D NONAUTO MODEL'!$A$95:$A$99)</f>
        <v>0</v>
      </c>
      <c r="D74" s="2">
        <f>PRODUCTIVITIES!E16</f>
        <v>888.0117100682927</v>
      </c>
      <c r="E74" s="37">
        <f>'WAGE RATES'!D5</f>
        <v>54.142360316355024</v>
      </c>
      <c r="F74" s="41">
        <f>E74*100/D74</f>
        <v>6.0970322465895403</v>
      </c>
      <c r="G74" s="41">
        <f>PIGGYBACKS!B9</f>
        <v>1.2615773174013249</v>
      </c>
      <c r="H74" s="41">
        <f>'WAGE RATES'!$D$10</f>
        <v>1.0285306172213804</v>
      </c>
      <c r="I74" s="41">
        <f>(H74-1)*F74</f>
        <v>0.17395209321385913</v>
      </c>
      <c r="J74" s="41">
        <f>F74*G74+I74</f>
        <v>7.8658296789756648</v>
      </c>
      <c r="K74" s="41">
        <f ca="1">C74*J74/'3D NONAUTO MODEL'!$G$6</f>
        <v>0</v>
      </c>
    </row>
    <row r="75" spans="1:11" x14ac:dyDescent="0.25">
      <c r="F75" s="41"/>
      <c r="H75" s="41"/>
      <c r="I75" s="41"/>
      <c r="J75" s="41"/>
    </row>
    <row r="76" spans="1:11" ht="13.8" thickBot="1" x14ac:dyDescent="0.3">
      <c r="F76" s="41"/>
      <c r="H76" s="41"/>
      <c r="I76" s="41"/>
      <c r="J76" s="41"/>
      <c r="K76" s="40" t="str">
        <f>"(10)"</f>
        <v>(10)</v>
      </c>
    </row>
    <row r="77" spans="1:11" ht="13.8" thickBot="1" x14ac:dyDescent="0.3">
      <c r="F77" s="41"/>
      <c r="H77" s="41"/>
      <c r="I77" s="41"/>
      <c r="J77" s="136" t="s">
        <v>205</v>
      </c>
      <c r="K77" s="137">
        <f ca="1">SUM(K11:K74)</f>
        <v>14.858896635792538</v>
      </c>
    </row>
    <row r="81" spans="1:8" x14ac:dyDescent="0.25">
      <c r="A81" s="139" t="str">
        <f>"(1)"</f>
        <v>(1)</v>
      </c>
      <c r="B81" s="1" t="s">
        <v>321</v>
      </c>
      <c r="F81" s="139" t="str">
        <f>"(6)"</f>
        <v>(6)</v>
      </c>
      <c r="G81" s="1" t="s">
        <v>236</v>
      </c>
      <c r="H81" s="33"/>
    </row>
    <row r="82" spans="1:8" x14ac:dyDescent="0.25">
      <c r="A82" s="139" t="str">
        <f>"(2)"</f>
        <v>(2)</v>
      </c>
      <c r="B82" s="1" t="s">
        <v>237</v>
      </c>
      <c r="F82" s="138" t="str">
        <f>"(7)"</f>
        <v>(7)</v>
      </c>
      <c r="G82" s="140" t="s">
        <v>209</v>
      </c>
      <c r="H82" s="33"/>
    </row>
    <row r="83" spans="1:8" x14ac:dyDescent="0.25">
      <c r="A83" s="139" t="str">
        <f>"(3)"</f>
        <v>(3)</v>
      </c>
      <c r="B83" s="1" t="s">
        <v>236</v>
      </c>
      <c r="F83" s="138" t="str">
        <f>"(8)"</f>
        <v>(8)</v>
      </c>
      <c r="G83" s="140" t="s">
        <v>211</v>
      </c>
      <c r="H83" s="33"/>
    </row>
    <row r="84" spans="1:8" x14ac:dyDescent="0.25">
      <c r="A84" s="139" t="str">
        <f>"(4)"</f>
        <v>(4)</v>
      </c>
      <c r="B84" s="1" t="s">
        <v>213</v>
      </c>
      <c r="F84" s="138" t="str">
        <f>"(9)"</f>
        <v>(9)</v>
      </c>
      <c r="G84" s="140" t="s">
        <v>212</v>
      </c>
      <c r="H84" s="33"/>
    </row>
    <row r="85" spans="1:8" x14ac:dyDescent="0.25">
      <c r="A85" s="139" t="str">
        <f>"(5)"</f>
        <v>(5)</v>
      </c>
      <c r="B85" s="1" t="s">
        <v>238</v>
      </c>
      <c r="F85" s="138" t="str">
        <f>"(10)"</f>
        <v>(10)</v>
      </c>
      <c r="G85" s="140" t="s">
        <v>214</v>
      </c>
      <c r="H85" s="33"/>
    </row>
    <row r="86" spans="1:8" x14ac:dyDescent="0.25">
      <c r="G86" s="140"/>
      <c r="H86" s="33"/>
    </row>
  </sheetData>
  <phoneticPr fontId="29" type="noConversion"/>
  <printOptions horizontalCentered="1"/>
  <pageMargins left="0.75" right="0.75" top="1" bottom="1" header="0.5" footer="0.5"/>
  <pageSetup scale="60" orientation="portrait" r:id="rId1"/>
  <headerFooter alignWithMargins="0">
    <oddFooter>&amp;CTab '&amp;A'&amp;RPage 15</oddFooter>
  </headerFooter>
  <ignoredErrors>
    <ignoredError sqref="E32 E39 E46 E53 E60 E67" formula="1"/>
  </ignoredErrors>
</worksheet>
</file>

<file path=xl/worksheets/sheet1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dimension ref="A1:AD128"/>
  <sheetViews>
    <sheetView zoomScale="75" zoomScaleNormal="75" workbookViewId="0"/>
  </sheetViews>
  <sheetFormatPr defaultRowHeight="13.2" x14ac:dyDescent="0.25"/>
  <cols>
    <col min="1" max="3" width="10.77734375" style="19" customWidth="1"/>
    <col min="4" max="4" width="10.77734375" style="58" customWidth="1"/>
    <col min="5" max="6" width="10.77734375" style="19" customWidth="1"/>
    <col min="7" max="7" width="15.77734375" style="19" customWidth="1"/>
    <col min="8" max="8" width="10.77734375" style="19" customWidth="1"/>
    <col min="9" max="9" width="10.77734375" style="58" customWidth="1"/>
    <col min="10" max="12" width="10.77734375" style="19" customWidth="1"/>
    <col min="13" max="13" width="10.77734375" customWidth="1"/>
    <col min="14" max="14" width="10.77734375" style="19" customWidth="1"/>
    <col min="15" max="16" width="10.77734375" style="58" customWidth="1"/>
    <col min="17" max="18" width="10.77734375" style="19" customWidth="1"/>
    <col min="19" max="19" width="10.77734375" customWidth="1"/>
    <col min="20" max="20" width="10.77734375" style="19" customWidth="1"/>
    <col min="21" max="21" width="10.77734375" style="58" customWidth="1"/>
    <col min="22" max="30" width="10.77734375" style="19" customWidth="1"/>
    <col min="31" max="34" width="10.77734375" customWidth="1"/>
  </cols>
  <sheetData>
    <row r="1" spans="1:30" ht="28.2" x14ac:dyDescent="0.5">
      <c r="A1" s="56" t="str">
        <f>'3D NONAUTO COST'!A1</f>
        <v>3-DIGIT NONAUTO PRESORT</v>
      </c>
    </row>
    <row r="2" spans="1:30" ht="22.8" x14ac:dyDescent="0.4">
      <c r="A2" s="57" t="s">
        <v>239</v>
      </c>
    </row>
    <row r="6" spans="1:30" ht="17.399999999999999" x14ac:dyDescent="0.3">
      <c r="A6" s="47" t="s">
        <v>240</v>
      </c>
      <c r="B6" s="17"/>
      <c r="C6" s="48">
        <f>SUM(C11:C16)+SUM(G11:G16)+SUM(K11:K16)+SUM(O11:O16)</f>
        <v>10000.000000000002</v>
      </c>
      <c r="E6" s="47" t="s">
        <v>241</v>
      </c>
      <c r="F6" s="17"/>
      <c r="G6" s="48">
        <f ca="1">D88+J88+O88+D100+D127</f>
        <v>9999.9999999999818</v>
      </c>
      <c r="H6" s="17"/>
      <c r="J6" s="17"/>
      <c r="K6" s="17"/>
      <c r="O6" s="47"/>
      <c r="P6" s="47"/>
      <c r="Q6" s="17"/>
      <c r="R6" s="17"/>
      <c r="V6" s="17"/>
      <c r="W6" s="17"/>
      <c r="X6" s="17"/>
      <c r="Y6" s="17"/>
      <c r="AA6" s="17"/>
      <c r="AC6" s="17"/>
      <c r="AD6" s="17"/>
    </row>
    <row r="9" spans="1:30" x14ac:dyDescent="0.25">
      <c r="E9" s="17"/>
      <c r="H9" s="17"/>
      <c r="J9" s="17"/>
      <c r="K9" s="17"/>
      <c r="N9" s="17"/>
      <c r="Q9" s="17"/>
      <c r="R9" s="17"/>
      <c r="V9" s="17"/>
      <c r="W9" s="17"/>
      <c r="X9" s="17"/>
      <c r="Y9" s="17"/>
      <c r="AA9" s="17"/>
      <c r="AC9" s="17"/>
      <c r="AD9" s="17"/>
    </row>
    <row r="10" spans="1:30" ht="17.399999999999999" x14ac:dyDescent="0.3">
      <c r="A10" s="49" t="s">
        <v>242</v>
      </c>
      <c r="E10" s="17"/>
      <c r="G10" s="18"/>
      <c r="H10" s="26"/>
      <c r="J10" s="17"/>
      <c r="K10" s="17"/>
      <c r="N10" s="17"/>
      <c r="O10" s="60"/>
      <c r="Q10" s="17"/>
      <c r="R10" s="17"/>
      <c r="V10" s="17"/>
      <c r="W10" s="17"/>
      <c r="X10" s="17"/>
      <c r="Y10" s="17"/>
      <c r="AA10" s="17"/>
      <c r="AC10" s="17"/>
      <c r="AD10" s="17"/>
    </row>
    <row r="11" spans="1:30" x14ac:dyDescent="0.25">
      <c r="A11" s="25"/>
      <c r="B11" s="66" t="s">
        <v>243</v>
      </c>
      <c r="C11" s="67">
        <v>0</v>
      </c>
      <c r="D11" s="59"/>
      <c r="E11" s="28"/>
      <c r="F11" s="61" t="s">
        <v>244</v>
      </c>
      <c r="G11" s="63">
        <f>'3D AUTO MODEL'!C11</f>
        <v>10.519291034932776</v>
      </c>
      <c r="I11" s="27"/>
      <c r="J11" s="72" t="s">
        <v>245</v>
      </c>
      <c r="K11" s="73">
        <v>0</v>
      </c>
      <c r="L11" s="59"/>
      <c r="M11" s="28"/>
      <c r="N11" s="78" t="s">
        <v>246</v>
      </c>
      <c r="O11" s="79">
        <f>'3D AUTO MODEL'!K11</f>
        <v>0</v>
      </c>
      <c r="P11" s="141"/>
      <c r="Q11" s="17"/>
      <c r="R11" s="17"/>
      <c r="V11" s="17"/>
      <c r="W11" s="17"/>
      <c r="X11" s="17"/>
      <c r="Y11" s="17"/>
      <c r="AA11" s="17"/>
      <c r="AC11" s="17"/>
      <c r="AD11" s="17"/>
    </row>
    <row r="12" spans="1:30" x14ac:dyDescent="0.25">
      <c r="A12" s="21"/>
      <c r="B12" s="68" t="s">
        <v>247</v>
      </c>
      <c r="C12" s="69">
        <v>0</v>
      </c>
      <c r="E12" s="17"/>
      <c r="F12" s="62" t="s">
        <v>248</v>
      </c>
      <c r="G12" s="63">
        <f>'3D AUTO MODEL'!C12</f>
        <v>0</v>
      </c>
      <c r="I12" s="19"/>
      <c r="J12" s="74" t="s">
        <v>249</v>
      </c>
      <c r="K12" s="75">
        <v>0</v>
      </c>
      <c r="L12" s="58"/>
      <c r="M12" s="17"/>
      <c r="N12" s="80" t="s">
        <v>250</v>
      </c>
      <c r="O12" s="81">
        <f>'3D AUTO MODEL'!K12</f>
        <v>0</v>
      </c>
      <c r="P12" s="141"/>
      <c r="Q12" s="17"/>
      <c r="R12" s="17"/>
      <c r="V12" s="17"/>
      <c r="W12" s="17"/>
      <c r="X12" s="17"/>
      <c r="Y12" s="17"/>
      <c r="AA12" s="17"/>
      <c r="AC12" s="17"/>
      <c r="AD12" s="17"/>
    </row>
    <row r="13" spans="1:30" x14ac:dyDescent="0.25">
      <c r="A13" s="21"/>
      <c r="B13" s="68" t="s">
        <v>251</v>
      </c>
      <c r="C13" s="69">
        <v>0</v>
      </c>
      <c r="E13" s="17"/>
      <c r="F13" s="62" t="s">
        <v>252</v>
      </c>
      <c r="G13" s="63">
        <f>'3D AUTO MODEL'!C13</f>
        <v>67.590956520177187</v>
      </c>
      <c r="I13" s="19"/>
      <c r="J13" s="74" t="s">
        <v>253</v>
      </c>
      <c r="K13" s="75">
        <v>0</v>
      </c>
      <c r="L13" s="58"/>
      <c r="M13" s="17"/>
      <c r="N13" s="80" t="s">
        <v>254</v>
      </c>
      <c r="O13" s="81">
        <f>'3D AUTO MODEL'!K13</f>
        <v>0</v>
      </c>
      <c r="P13" s="141"/>
      <c r="Q13" s="17"/>
      <c r="R13" s="17"/>
      <c r="V13" s="17"/>
      <c r="W13" s="17"/>
      <c r="X13" s="17"/>
      <c r="Y13" s="17"/>
      <c r="AA13" s="17"/>
      <c r="AC13" s="17"/>
      <c r="AD13" s="17"/>
    </row>
    <row r="14" spans="1:30" x14ac:dyDescent="0.25">
      <c r="A14" s="21"/>
      <c r="B14" s="68" t="s">
        <v>255</v>
      </c>
      <c r="C14" s="69">
        <v>0</v>
      </c>
      <c r="E14" s="17"/>
      <c r="F14" s="62" t="s">
        <v>256</v>
      </c>
      <c r="G14" s="63">
        <f>'3D AUTO MODEL'!C14</f>
        <v>9921.8897524448912</v>
      </c>
      <c r="I14" s="19"/>
      <c r="J14" s="74" t="s">
        <v>257</v>
      </c>
      <c r="K14" s="75">
        <v>0</v>
      </c>
      <c r="L14" s="58"/>
      <c r="M14" s="17"/>
      <c r="N14" s="80" t="s">
        <v>258</v>
      </c>
      <c r="O14" s="81">
        <f>'3D AUTO MODEL'!K14</f>
        <v>0</v>
      </c>
      <c r="P14" s="141"/>
      <c r="Q14" s="17"/>
      <c r="R14" s="17"/>
      <c r="V14" s="17"/>
      <c r="W14" s="17"/>
      <c r="X14" s="17"/>
      <c r="Y14" s="17"/>
      <c r="AA14" s="17"/>
      <c r="AC14" s="17"/>
      <c r="AD14" s="17"/>
    </row>
    <row r="15" spans="1:30" x14ac:dyDescent="0.25">
      <c r="A15" s="21"/>
      <c r="B15" s="68" t="s">
        <v>259</v>
      </c>
      <c r="C15" s="69">
        <v>0</v>
      </c>
      <c r="E15" s="17"/>
      <c r="F15" s="62" t="s">
        <v>260</v>
      </c>
      <c r="G15" s="63">
        <f>'3D AUTO MODEL'!C15</f>
        <v>0</v>
      </c>
      <c r="I15" s="19"/>
      <c r="J15" s="74" t="s">
        <v>261</v>
      </c>
      <c r="K15" s="75">
        <v>0</v>
      </c>
      <c r="L15" s="58"/>
      <c r="M15" s="17"/>
      <c r="N15" s="80" t="s">
        <v>262</v>
      </c>
      <c r="O15" s="81">
        <f>'3D AUTO MODEL'!K15</f>
        <v>0</v>
      </c>
      <c r="P15" s="141"/>
      <c r="Q15" s="17"/>
      <c r="R15" s="17"/>
      <c r="V15" s="17"/>
      <c r="W15" s="17"/>
      <c r="X15" s="17"/>
      <c r="Y15" s="17"/>
      <c r="AA15" s="17"/>
      <c r="AC15" s="17"/>
      <c r="AD15" s="17"/>
    </row>
    <row r="16" spans="1:30" x14ac:dyDescent="0.25">
      <c r="A16" s="20"/>
      <c r="B16" s="70" t="s">
        <v>263</v>
      </c>
      <c r="C16" s="71">
        <v>0</v>
      </c>
      <c r="D16" s="60"/>
      <c r="E16" s="26"/>
      <c r="F16" s="64" t="s">
        <v>264</v>
      </c>
      <c r="G16" s="65">
        <f>'3D AUTO MODEL'!C16</f>
        <v>0</v>
      </c>
      <c r="H16" s="18"/>
      <c r="I16" s="18"/>
      <c r="J16" s="76" t="s">
        <v>265</v>
      </c>
      <c r="K16" s="77">
        <v>0</v>
      </c>
      <c r="L16" s="60"/>
      <c r="M16" s="26"/>
      <c r="N16" s="82" t="s">
        <v>266</v>
      </c>
      <c r="O16" s="83">
        <f>'3D AUTO MODEL'!K16</f>
        <v>0</v>
      </c>
      <c r="P16" s="141"/>
      <c r="Q16" s="17"/>
      <c r="R16" s="17"/>
      <c r="V16" s="17"/>
      <c r="W16" s="17"/>
      <c r="X16" s="17"/>
      <c r="Y16" s="17"/>
      <c r="AA16" s="17"/>
      <c r="AC16" s="17"/>
      <c r="AD16" s="17"/>
    </row>
    <row r="20" spans="1:30" x14ac:dyDescent="0.25">
      <c r="A20" s="103"/>
      <c r="B20" s="105"/>
      <c r="C20" s="105"/>
      <c r="D20" s="106"/>
      <c r="E20" s="105"/>
      <c r="F20" s="105"/>
      <c r="G20" s="103"/>
      <c r="H20" s="104"/>
      <c r="I20" s="105"/>
      <c r="J20" s="106"/>
      <c r="K20" s="105"/>
      <c r="L20" s="105"/>
      <c r="M20" s="104"/>
      <c r="N20" s="105"/>
      <c r="O20" s="106"/>
      <c r="P20" s="105"/>
      <c r="Q20" s="107"/>
      <c r="S20" s="19"/>
      <c r="U20" s="19"/>
      <c r="Y20"/>
      <c r="Z20"/>
      <c r="AA20"/>
      <c r="AB20"/>
      <c r="AC20"/>
      <c r="AD20"/>
    </row>
    <row r="21" spans="1:30" s="125" customFormat="1" ht="22.8" x14ac:dyDescent="0.4">
      <c r="A21" s="177"/>
      <c r="B21" s="123"/>
      <c r="C21" s="127" t="s">
        <v>267</v>
      </c>
      <c r="D21" s="123"/>
      <c r="E21" s="57"/>
      <c r="F21" s="127"/>
      <c r="G21" s="122"/>
      <c r="H21" s="57"/>
      <c r="I21" s="123"/>
      <c r="J21" s="57"/>
      <c r="K21" s="57"/>
      <c r="L21" s="127" t="s">
        <v>268</v>
      </c>
      <c r="M21" s="57"/>
      <c r="N21" s="123"/>
      <c r="O21" s="57"/>
      <c r="P21" s="57"/>
      <c r="Q21" s="124"/>
      <c r="R21" s="57"/>
      <c r="S21" s="57"/>
      <c r="T21" s="57"/>
      <c r="U21" s="57"/>
      <c r="V21" s="57"/>
      <c r="W21" s="57"/>
      <c r="X21" s="57"/>
    </row>
    <row r="22" spans="1:30" s="125" customFormat="1" ht="22.8" x14ac:dyDescent="0.4">
      <c r="A22" s="122"/>
      <c r="B22" s="57"/>
      <c r="C22" s="57"/>
      <c r="D22" s="123"/>
      <c r="E22" s="57"/>
      <c r="F22" s="127"/>
      <c r="G22" s="122"/>
      <c r="H22" s="57"/>
      <c r="I22" s="123"/>
      <c r="J22" s="57"/>
      <c r="K22" s="57"/>
      <c r="M22" s="57"/>
      <c r="N22" s="123"/>
      <c r="O22" s="57"/>
      <c r="P22" s="57"/>
      <c r="Q22" s="124"/>
      <c r="R22" s="57"/>
      <c r="S22" s="57"/>
      <c r="T22" s="57"/>
      <c r="U22" s="57"/>
      <c r="V22" s="57"/>
      <c r="W22" s="57"/>
      <c r="X22" s="57"/>
    </row>
    <row r="23" spans="1:30" x14ac:dyDescent="0.25">
      <c r="A23" s="113"/>
      <c r="D23" s="96">
        <f>SUM(A25:A29)*(1-'ACCEPT RATES'!G14)+SUM(C25:C29)*SUM('ACCEPT RATES'!I14:J14)</f>
        <v>0.64771214406698441</v>
      </c>
      <c r="E23" s="23" t="s">
        <v>269</v>
      </c>
      <c r="G23" s="121"/>
      <c r="I23" s="23"/>
      <c r="J23" s="96">
        <f>SUM(G25:G29)*(1-'ACCEPT RATES'!E19)</f>
        <v>0</v>
      </c>
      <c r="K23" s="23" t="s">
        <v>269</v>
      </c>
      <c r="L23"/>
      <c r="M23" s="19"/>
      <c r="P23" s="23"/>
      <c r="Q23" s="108"/>
      <c r="S23" s="19"/>
      <c r="U23" s="19"/>
      <c r="Y23"/>
      <c r="Z23"/>
      <c r="AA23"/>
      <c r="AB23"/>
      <c r="AC23"/>
      <c r="AD23"/>
    </row>
    <row r="24" spans="1:30" x14ac:dyDescent="0.25">
      <c r="A24" s="126" t="s">
        <v>270</v>
      </c>
      <c r="B24" s="86" t="s">
        <v>271</v>
      </c>
      <c r="C24" s="87"/>
      <c r="D24" s="119"/>
      <c r="E24" s="23" t="s">
        <v>272</v>
      </c>
      <c r="G24" s="126" t="s">
        <v>273</v>
      </c>
      <c r="H24" s="86" t="s">
        <v>274</v>
      </c>
      <c r="I24" s="87"/>
      <c r="J24" s="99"/>
      <c r="K24" s="22" t="s">
        <v>272</v>
      </c>
      <c r="L24"/>
      <c r="M24" s="86" t="s">
        <v>275</v>
      </c>
      <c r="N24" s="87"/>
      <c r="P24" s="19"/>
      <c r="Q24" s="108"/>
      <c r="S24" s="19"/>
      <c r="U24" s="19"/>
      <c r="Y24"/>
      <c r="Z24"/>
      <c r="AA24"/>
      <c r="AB24"/>
      <c r="AC24"/>
      <c r="AD24"/>
    </row>
    <row r="25" spans="1:30" x14ac:dyDescent="0.25">
      <c r="A25" s="120">
        <f>B25*(1-'ACCEPT RATES'!C14)</f>
        <v>0</v>
      </c>
      <c r="B25" s="29">
        <f>C25*(1+'ACCEPT RATES'!F14)</f>
        <v>0</v>
      </c>
      <c r="C25" s="50">
        <f>C11*('COVERAGE FACTORS'!C15+'COVERAGE FACTORS'!C19)</f>
        <v>0</v>
      </c>
      <c r="E25" s="23" t="s">
        <v>200</v>
      </c>
      <c r="G25" s="178">
        <f>H25*(1-'ACCEPT RATES'!C19)</f>
        <v>0</v>
      </c>
      <c r="H25" s="29">
        <f>I25</f>
        <v>0</v>
      </c>
      <c r="I25" s="50">
        <f>C11*'COVERAGE FACTORS'!C17</f>
        <v>0</v>
      </c>
      <c r="J25" s="22"/>
      <c r="K25" s="22" t="s">
        <v>200</v>
      </c>
      <c r="L25"/>
      <c r="M25" s="29">
        <f>N25</f>
        <v>0</v>
      </c>
      <c r="N25" s="50">
        <f>C11*'COVERAGE FACTORS'!C21</f>
        <v>0</v>
      </c>
      <c r="P25" s="19"/>
      <c r="Q25" s="108"/>
      <c r="S25" s="19"/>
      <c r="U25" s="19"/>
      <c r="Y25"/>
      <c r="Z25"/>
      <c r="AA25"/>
      <c r="AB25"/>
      <c r="AC25"/>
      <c r="AD25"/>
    </row>
    <row r="26" spans="1:30" x14ac:dyDescent="0.25">
      <c r="A26" s="179">
        <f>B26*(1-'ACCEPT RATES'!D14)</f>
        <v>2.8090047363360227</v>
      </c>
      <c r="B26" s="85">
        <f>C26*(1+'ACCEPT RATES'!F14)</f>
        <v>10.652911368271031</v>
      </c>
      <c r="C26" s="84">
        <f>G11*('COVERAGE FACTORS'!C15+'COVERAGE FACTORS'!C19)</f>
        <v>10.519242589830439</v>
      </c>
      <c r="G26" s="179">
        <f>H26*(1-'ACCEPT RATES'!D19)</f>
        <v>0</v>
      </c>
      <c r="H26" s="85">
        <f>I26</f>
        <v>0</v>
      </c>
      <c r="I26" s="84">
        <f>G11*'COVERAGE FACTORS'!C17</f>
        <v>0</v>
      </c>
      <c r="J26" s="58"/>
      <c r="L26"/>
      <c r="M26" s="85">
        <f>N26</f>
        <v>4.8445102341325899E-5</v>
      </c>
      <c r="N26" s="84">
        <f>G11*'COVERAGE FACTORS'!C21</f>
        <v>4.8445102341325899E-5</v>
      </c>
      <c r="P26" s="19"/>
      <c r="Q26" s="108"/>
      <c r="S26" s="19"/>
      <c r="U26" s="19"/>
      <c r="Y26"/>
      <c r="Z26"/>
      <c r="AA26"/>
      <c r="AB26"/>
      <c r="AC26"/>
      <c r="AD26"/>
    </row>
    <row r="27" spans="1:30" x14ac:dyDescent="0.25">
      <c r="A27" s="121"/>
      <c r="B27" s="85"/>
      <c r="C27" s="84"/>
      <c r="G27" s="109">
        <f>H27*(1-'ACCEPT RATES'!C19)</f>
        <v>0</v>
      </c>
      <c r="H27" s="89">
        <f>I27</f>
        <v>0</v>
      </c>
      <c r="I27" s="90">
        <f>K11*('COVERAGE FACTORS'!C17+'COVERAGE FACTORS'!C19)</f>
        <v>0</v>
      </c>
      <c r="J27" s="58"/>
      <c r="L27"/>
      <c r="M27" s="89">
        <f>N27</f>
        <v>0</v>
      </c>
      <c r="N27" s="90">
        <f>K11*(1-('COVERAGE FACTORS'!C17+'COVERAGE FACTORS'!C19))</f>
        <v>0</v>
      </c>
      <c r="P27" s="19"/>
      <c r="Q27" s="108"/>
      <c r="S27" s="19"/>
      <c r="U27" s="19"/>
      <c r="Y27"/>
      <c r="Z27"/>
      <c r="AA27"/>
      <c r="AB27"/>
      <c r="AC27"/>
      <c r="AD27"/>
    </row>
    <row r="28" spans="1:30" x14ac:dyDescent="0.25">
      <c r="A28" s="121"/>
      <c r="B28" s="85"/>
      <c r="C28" s="84"/>
      <c r="G28" s="110">
        <f>H28*(1-'ACCEPT RATES'!D19)</f>
        <v>0</v>
      </c>
      <c r="H28" s="94">
        <f>I28</f>
        <v>0</v>
      </c>
      <c r="I28" s="92">
        <f>O11*('COVERAGE FACTORS'!C17+'COVERAGE FACTORS'!C19)</f>
        <v>0</v>
      </c>
      <c r="J28" s="58"/>
      <c r="L28"/>
      <c r="M28" s="94">
        <f>N28</f>
        <v>0</v>
      </c>
      <c r="N28" s="92">
        <f>O11*(1-('COVERAGE FACTORS'!C17+'COVERAGE FACTORS'!C19))</f>
        <v>0</v>
      </c>
      <c r="P28" s="19"/>
      <c r="Q28" s="108"/>
      <c r="S28" s="19"/>
      <c r="U28" s="19"/>
      <c r="Y28"/>
      <c r="Z28"/>
      <c r="AA28"/>
      <c r="AB28"/>
      <c r="AC28"/>
      <c r="AD28"/>
    </row>
    <row r="29" spans="1:30" x14ac:dyDescent="0.25">
      <c r="A29" s="180"/>
      <c r="B29" s="20"/>
      <c r="C29" s="34"/>
      <c r="G29" s="111"/>
      <c r="H29" s="44"/>
      <c r="I29" s="34"/>
      <c r="J29" s="58"/>
      <c r="L29"/>
      <c r="M29" s="101">
        <f>N29</f>
        <v>0.64771214406698441</v>
      </c>
      <c r="N29" s="100">
        <f>D23+J23</f>
        <v>0.64771214406698441</v>
      </c>
      <c r="P29" s="19"/>
      <c r="Q29" s="108"/>
      <c r="S29" s="19"/>
      <c r="U29" s="19"/>
      <c r="Y29"/>
      <c r="Z29"/>
      <c r="AA29"/>
      <c r="AB29"/>
      <c r="AC29"/>
      <c r="AD29"/>
    </row>
    <row r="30" spans="1:30" x14ac:dyDescent="0.25">
      <c r="A30" s="113"/>
      <c r="C30" s="97"/>
      <c r="D30" s="364">
        <f>(SUM(C25:C29)-D23)*'PIECE DENSITIES'!C6</f>
        <v>1.2640519578982323</v>
      </c>
      <c r="E30" s="23" t="s">
        <v>276</v>
      </c>
      <c r="G30" s="113"/>
      <c r="I30" s="98"/>
      <c r="J30" s="181">
        <f>(SUM(I25:I29)-J23)*'PIECE DENSITIES'!C11</f>
        <v>0</v>
      </c>
      <c r="K30" s="23" t="s">
        <v>277</v>
      </c>
      <c r="L30"/>
      <c r="M30" s="19"/>
      <c r="O30" s="95">
        <f>SUM(N25:N29)*'PIECE DENSITIES'!C16</f>
        <v>5.7960146868222623E-2</v>
      </c>
      <c r="P30" s="23" t="s">
        <v>278</v>
      </c>
      <c r="Q30" s="108"/>
      <c r="S30" s="19"/>
      <c r="U30" s="19"/>
      <c r="Y30"/>
      <c r="Z30"/>
      <c r="AA30"/>
      <c r="AB30"/>
      <c r="AC30"/>
      <c r="AD30"/>
    </row>
    <row r="31" spans="1:30" x14ac:dyDescent="0.25">
      <c r="A31" s="113"/>
      <c r="C31" s="97"/>
      <c r="D31" s="364">
        <f>(SUM(C25:C29)-D23)*'PIECE DENSITIES'!D6</f>
        <v>5.116504360038439</v>
      </c>
      <c r="E31" s="23" t="s">
        <v>279</v>
      </c>
      <c r="G31" s="113"/>
      <c r="I31" s="98"/>
      <c r="J31" s="181">
        <f>(SUM(I25:I29)-J23)*'PIECE DENSITIES'!D11</f>
        <v>0</v>
      </c>
      <c r="K31" s="23" t="s">
        <v>280</v>
      </c>
      <c r="L31"/>
      <c r="M31" s="19"/>
      <c r="O31" s="95">
        <f>SUM(N25:N29)*'PIECE DENSITIES'!D16</f>
        <v>0.37612333098764172</v>
      </c>
      <c r="P31" s="23" t="s">
        <v>281</v>
      </c>
      <c r="Q31" s="108"/>
      <c r="S31" s="19"/>
      <c r="U31" s="19"/>
      <c r="Y31"/>
      <c r="Z31"/>
      <c r="AA31"/>
      <c r="AB31"/>
      <c r="AC31"/>
      <c r="AD31"/>
    </row>
    <row r="32" spans="1:30" x14ac:dyDescent="0.25">
      <c r="A32" s="113"/>
      <c r="C32" s="88"/>
      <c r="D32" s="365">
        <f>(SUM(C25:C29)-D23)*'PIECE DENSITIES'!E6</f>
        <v>2.7632758248150924</v>
      </c>
      <c r="E32" s="23" t="s">
        <v>282</v>
      </c>
      <c r="G32" s="113"/>
      <c r="I32" s="93"/>
      <c r="J32" s="182">
        <f>(SUM(I25:I29)-J23)*'PIECE DENSITIES'!E11</f>
        <v>0</v>
      </c>
      <c r="K32" s="23" t="s">
        <v>283</v>
      </c>
      <c r="L32"/>
      <c r="M32" s="19"/>
      <c r="N32" s="45"/>
      <c r="O32" s="96">
        <f>SUM(N25:N29)*'PIECE DENSITIES'!E16</f>
        <v>0.1657017366474581</v>
      </c>
      <c r="P32" s="23" t="s">
        <v>284</v>
      </c>
      <c r="Q32" s="108"/>
      <c r="S32" s="19"/>
      <c r="U32" s="19"/>
      <c r="Y32"/>
      <c r="Z32"/>
      <c r="AA32"/>
      <c r="AB32"/>
      <c r="AC32"/>
      <c r="AD32"/>
    </row>
    <row r="33" spans="1:30" x14ac:dyDescent="0.25">
      <c r="A33" s="113"/>
      <c r="C33" s="88"/>
      <c r="D33" s="365">
        <f>(SUM(C25:C29)-D23)*'PIECE DENSITIES'!F6</f>
        <v>0.7276983030116918</v>
      </c>
      <c r="E33" s="23" t="s">
        <v>285</v>
      </c>
      <c r="G33" s="113"/>
      <c r="I33" s="93"/>
      <c r="J33" s="182">
        <f>(SUM(I25:I29)-J23)*'PIECE DENSITIES'!F11</f>
        <v>0</v>
      </c>
      <c r="K33" s="23" t="s">
        <v>286</v>
      </c>
      <c r="L33"/>
      <c r="M33" s="19"/>
      <c r="N33" s="45"/>
      <c r="O33" s="96">
        <f>SUM(N25:N29)*'PIECE DENSITIES'!F16</f>
        <v>4.7975374666003379E-2</v>
      </c>
      <c r="P33" s="23" t="s">
        <v>287</v>
      </c>
      <c r="Q33" s="108"/>
      <c r="S33" s="19"/>
      <c r="U33" s="19"/>
      <c r="Y33"/>
      <c r="Z33"/>
      <c r="AA33"/>
      <c r="AB33"/>
      <c r="AC33"/>
      <c r="AD33"/>
    </row>
    <row r="34" spans="1:30" x14ac:dyDescent="0.25">
      <c r="A34" s="113"/>
      <c r="C34" s="88"/>
      <c r="D34" s="365">
        <f>(SUM(C25:C29)-D23)*'PIECE DENSITIES'!G6</f>
        <v>0</v>
      </c>
      <c r="E34" s="23" t="s">
        <v>288</v>
      </c>
      <c r="G34" s="113"/>
      <c r="I34" s="93"/>
      <c r="J34" s="182">
        <f>(SUM(I25:I29)-J23)*'PIECE DENSITIES'!G11</f>
        <v>0</v>
      </c>
      <c r="K34" s="23" t="s">
        <v>289</v>
      </c>
      <c r="L34"/>
      <c r="M34" s="19"/>
      <c r="N34" s="45"/>
      <c r="O34" s="96">
        <f>SUM(N25:N29)*'PIECE DENSITIES'!G16</f>
        <v>0</v>
      </c>
      <c r="P34" s="23" t="s">
        <v>290</v>
      </c>
      <c r="Q34" s="108"/>
      <c r="S34" s="19"/>
      <c r="U34" s="19"/>
      <c r="Y34"/>
      <c r="Z34"/>
      <c r="AA34"/>
      <c r="AB34"/>
      <c r="AC34"/>
      <c r="AD34"/>
    </row>
    <row r="35" spans="1:30" x14ac:dyDescent="0.25">
      <c r="A35" s="113"/>
      <c r="G35" s="113"/>
      <c r="I35" s="19"/>
      <c r="J35" s="58"/>
      <c r="L35"/>
      <c r="M35" s="19"/>
      <c r="P35" s="19"/>
      <c r="Q35" s="108"/>
      <c r="S35" s="19"/>
      <c r="U35" s="19"/>
      <c r="Y35"/>
      <c r="Z35"/>
      <c r="AA35"/>
      <c r="AB35"/>
      <c r="AC35"/>
      <c r="AD35"/>
    </row>
    <row r="36" spans="1:30" x14ac:dyDescent="0.25">
      <c r="A36" s="113"/>
      <c r="D36" s="96">
        <f>SUM(A38:A42)*(1-'ACCEPT RATES'!G15)+SUM(C38:C42)*SUM('ACCEPT RATES'!I15:J15)</f>
        <v>0.11730302107567038</v>
      </c>
      <c r="E36" s="23" t="s">
        <v>269</v>
      </c>
      <c r="G36" s="121"/>
      <c r="I36" s="23"/>
      <c r="J36" s="96">
        <f>SUM(G38:G42)*(1-'ACCEPT RATES'!E20)</f>
        <v>0</v>
      </c>
      <c r="K36" s="23" t="s">
        <v>269</v>
      </c>
      <c r="L36"/>
      <c r="M36" s="19"/>
      <c r="P36" s="23"/>
      <c r="Q36" s="108"/>
      <c r="S36" s="19"/>
      <c r="U36" s="19"/>
      <c r="Y36"/>
      <c r="Z36"/>
      <c r="AA36"/>
      <c r="AB36"/>
      <c r="AC36"/>
      <c r="AD36"/>
    </row>
    <row r="37" spans="1:30" x14ac:dyDescent="0.25">
      <c r="A37" s="126" t="s">
        <v>270</v>
      </c>
      <c r="B37" s="86" t="s">
        <v>291</v>
      </c>
      <c r="C37" s="87"/>
      <c r="D37" s="119"/>
      <c r="E37" s="23" t="s">
        <v>292</v>
      </c>
      <c r="G37" s="126" t="s">
        <v>273</v>
      </c>
      <c r="H37" s="86" t="s">
        <v>293</v>
      </c>
      <c r="I37" s="87"/>
      <c r="J37" s="99"/>
      <c r="K37" s="22" t="s">
        <v>292</v>
      </c>
      <c r="L37"/>
      <c r="M37" s="86" t="s">
        <v>278</v>
      </c>
      <c r="N37" s="87"/>
      <c r="P37" s="19"/>
      <c r="Q37" s="108"/>
      <c r="S37" s="19"/>
      <c r="U37" s="19"/>
      <c r="Y37"/>
      <c r="Z37"/>
      <c r="AA37"/>
      <c r="AB37"/>
      <c r="AC37"/>
      <c r="AD37"/>
    </row>
    <row r="38" spans="1:30" x14ac:dyDescent="0.25">
      <c r="A38" s="120">
        <f>B38*(1-'ACCEPT RATES'!C15)</f>
        <v>0</v>
      </c>
      <c r="B38" s="29">
        <f>C38*(1+'ACCEPT RATES'!F15+'PIECE DENSITIES'!C7)</f>
        <v>0</v>
      </c>
      <c r="C38" s="50">
        <f>C12*('COVERAGE FACTORS'!C15+'COVERAGE FACTORS'!C19)</f>
        <v>0</v>
      </c>
      <c r="E38" s="23" t="s">
        <v>200</v>
      </c>
      <c r="G38" s="178">
        <f>H38*(1-'ACCEPT RATES'!C20)</f>
        <v>0</v>
      </c>
      <c r="H38" s="29">
        <f>I38*(1+'PIECE DENSITIES'!C12)</f>
        <v>0</v>
      </c>
      <c r="I38" s="50">
        <f>C12*'COVERAGE FACTORS'!C17</f>
        <v>0</v>
      </c>
      <c r="J38" s="22"/>
      <c r="K38" s="22" t="s">
        <v>200</v>
      </c>
      <c r="L38"/>
      <c r="M38" s="29">
        <f>N38</f>
        <v>0</v>
      </c>
      <c r="N38" s="50">
        <f>C12*'COVERAGE FACTORS'!C21</f>
        <v>0</v>
      </c>
      <c r="P38" s="19"/>
      <c r="Q38" s="108"/>
      <c r="S38" s="19"/>
      <c r="U38" s="19"/>
      <c r="Y38"/>
      <c r="Z38"/>
      <c r="AA38"/>
      <c r="AB38"/>
      <c r="AC38"/>
      <c r="AD38"/>
    </row>
    <row r="39" spans="1:30" x14ac:dyDescent="0.25">
      <c r="A39" s="179">
        <f>B39*(1-'ACCEPT RATES'!D15)</f>
        <v>0</v>
      </c>
      <c r="B39" s="85">
        <f>C39*(1+'ACCEPT RATES'!F15+'PIECE DENSITIES'!C7)</f>
        <v>0</v>
      </c>
      <c r="C39" s="84">
        <f>G12*('COVERAGE FACTORS'!C15+'COVERAGE FACTORS'!C19)</f>
        <v>0</v>
      </c>
      <c r="G39" s="179">
        <f>H39*(1-'ACCEPT RATES'!D20)</f>
        <v>0</v>
      </c>
      <c r="H39" s="85">
        <f>I39*(1+'PIECE DENSITIES'!C12)</f>
        <v>0</v>
      </c>
      <c r="I39" s="84">
        <f>G12*'COVERAGE FACTORS'!C17</f>
        <v>0</v>
      </c>
      <c r="J39" s="58"/>
      <c r="L39"/>
      <c r="M39" s="85">
        <f>N39</f>
        <v>0</v>
      </c>
      <c r="N39" s="84">
        <f>G12*'COVERAGE FACTORS'!C21</f>
        <v>0</v>
      </c>
      <c r="P39" s="19"/>
      <c r="Q39" s="108"/>
      <c r="S39" s="19"/>
      <c r="U39" s="19"/>
      <c r="Y39"/>
      <c r="Z39"/>
      <c r="AA39"/>
      <c r="AB39"/>
      <c r="AC39"/>
      <c r="AD39"/>
    </row>
    <row r="40" spans="1:30" x14ac:dyDescent="0.25">
      <c r="A40" s="121"/>
      <c r="B40" s="85"/>
      <c r="C40" s="84"/>
      <c r="G40" s="109">
        <f>H40*(1-'ACCEPT RATES'!C20)</f>
        <v>0</v>
      </c>
      <c r="H40" s="89">
        <f>I40*(1+'PIECE DENSITIES'!C12)</f>
        <v>0</v>
      </c>
      <c r="I40" s="90">
        <f>K12*('COVERAGE FACTORS'!C17+'COVERAGE FACTORS'!C19)</f>
        <v>0</v>
      </c>
      <c r="J40" s="58"/>
      <c r="L40"/>
      <c r="M40" s="89">
        <f>N40</f>
        <v>0</v>
      </c>
      <c r="N40" s="90">
        <f>K12*(1-('COVERAGE FACTORS'!C17+'COVERAGE FACTORS'!C19))</f>
        <v>0</v>
      </c>
      <c r="P40" s="19"/>
      <c r="Q40" s="108"/>
      <c r="S40" s="19"/>
      <c r="U40" s="19"/>
      <c r="Y40"/>
      <c r="Z40"/>
      <c r="AA40"/>
      <c r="AB40"/>
      <c r="AC40"/>
      <c r="AD40"/>
    </row>
    <row r="41" spans="1:30" x14ac:dyDescent="0.25">
      <c r="A41" s="121"/>
      <c r="B41" s="85"/>
      <c r="C41" s="84"/>
      <c r="G41" s="110">
        <f>H41*(1-'ACCEPT RATES'!D20)</f>
        <v>0</v>
      </c>
      <c r="H41" s="94">
        <f>I41*(1+'PIECE DENSITIES'!C12)</f>
        <v>0</v>
      </c>
      <c r="I41" s="92">
        <f>O12*('COVERAGE FACTORS'!C17+'COVERAGE FACTORS'!C19)</f>
        <v>0</v>
      </c>
      <c r="J41" s="58"/>
      <c r="L41"/>
      <c r="M41" s="94">
        <f>N41</f>
        <v>0</v>
      </c>
      <c r="N41" s="92">
        <f>O12*(1-('COVERAGE FACTORS'!C17+'COVERAGE FACTORS'!C19))</f>
        <v>0</v>
      </c>
      <c r="P41" s="19"/>
      <c r="Q41" s="108"/>
      <c r="S41" s="19"/>
      <c r="U41" s="19"/>
      <c r="Y41"/>
      <c r="Z41"/>
      <c r="AA41"/>
      <c r="AB41"/>
      <c r="AC41"/>
      <c r="AD41"/>
    </row>
    <row r="42" spans="1:30" x14ac:dyDescent="0.25">
      <c r="A42" s="183">
        <f>B42*(1-'ACCEPT RATES'!C15)</f>
        <v>7.9354192838479498E-2</v>
      </c>
      <c r="B42" s="187">
        <f>C42*(1+'ACCEPT RATES'!F15+'PIECE DENSITIES'!C7)</f>
        <v>1.294529128665495</v>
      </c>
      <c r="C42" s="188">
        <f>D30</f>
        <v>1.2640519578982323</v>
      </c>
      <c r="G42" s="184">
        <f>IF(SUM(C11:C16)&gt;0,H42*(1-'ACCEPT RATES'!C20),H42*(1-'ACCEPT RATES'!D20))</f>
        <v>0</v>
      </c>
      <c r="H42" s="185">
        <f>I42*(1+'PIECE DENSITIES'!C12)</f>
        <v>0</v>
      </c>
      <c r="I42" s="186">
        <f>J30</f>
        <v>0</v>
      </c>
      <c r="J42" s="58"/>
      <c r="L42"/>
      <c r="M42" s="101">
        <f>N42</f>
        <v>0.17526316794389302</v>
      </c>
      <c r="N42" s="100">
        <f>D36+J36+O30</f>
        <v>0.17526316794389302</v>
      </c>
      <c r="P42" s="19"/>
      <c r="Q42" s="108"/>
      <c r="S42" s="19"/>
      <c r="U42" s="19"/>
      <c r="Y42"/>
      <c r="Z42"/>
      <c r="AA42"/>
      <c r="AB42"/>
      <c r="AC42"/>
      <c r="AD42"/>
    </row>
    <row r="43" spans="1:30" x14ac:dyDescent="0.25">
      <c r="A43" s="113"/>
      <c r="C43" s="97"/>
      <c r="D43" s="364">
        <f>(SUM(C38:C42)-D36)*'PIECE DENSITIES'!D7</f>
        <v>0.94697802469050385</v>
      </c>
      <c r="E43" s="23" t="s">
        <v>279</v>
      </c>
      <c r="G43" s="113"/>
      <c r="I43" s="98"/>
      <c r="J43" s="181">
        <f>(SUM(I38:I42)-J36)*'PIECE DENSITIES'!D12</f>
        <v>0</v>
      </c>
      <c r="K43" s="23" t="s">
        <v>280</v>
      </c>
      <c r="L43"/>
      <c r="M43" s="19"/>
      <c r="O43" s="95">
        <f>SUM(N38:N42)*'PIECE DENSITIES'!D17</f>
        <v>0.12405891461411521</v>
      </c>
      <c r="P43" s="23" t="s">
        <v>281</v>
      </c>
      <c r="Q43" s="108"/>
      <c r="S43" s="19"/>
      <c r="U43" s="19"/>
      <c r="Y43"/>
      <c r="Z43"/>
      <c r="AA43"/>
      <c r="AB43"/>
      <c r="AC43"/>
      <c r="AD43"/>
    </row>
    <row r="44" spans="1:30" x14ac:dyDescent="0.25">
      <c r="A44" s="113"/>
      <c r="C44" s="97"/>
      <c r="D44" s="364">
        <f>(SUM(C38:C42)-D36)*'PIECE DENSITIES'!E7</f>
        <v>7.9143310909954342E-2</v>
      </c>
      <c r="E44" s="23" t="s">
        <v>282</v>
      </c>
      <c r="G44" s="113"/>
      <c r="I44" s="98"/>
      <c r="J44" s="181">
        <f>(SUM(I38:I42)-J36)*'PIECE DENSITIES'!E12</f>
        <v>0</v>
      </c>
      <c r="K44" s="23" t="s">
        <v>283</v>
      </c>
      <c r="L44"/>
      <c r="M44" s="19"/>
      <c r="O44" s="95">
        <f>SUM(N38:N42)*'PIECE DENSITIES'!E17</f>
        <v>5.4388325788330878E-4</v>
      </c>
      <c r="P44" s="23" t="s">
        <v>284</v>
      </c>
      <c r="Q44" s="108"/>
      <c r="S44" s="19"/>
      <c r="U44" s="19"/>
      <c r="Y44"/>
      <c r="Z44"/>
      <c r="AA44"/>
      <c r="AB44"/>
      <c r="AC44"/>
      <c r="AD44"/>
    </row>
    <row r="45" spans="1:30" x14ac:dyDescent="0.25">
      <c r="A45" s="113"/>
      <c r="C45" s="88"/>
      <c r="D45" s="365">
        <f>(SUM(C38:C42)-D36)*'PIECE DENSITIES'!F7</f>
        <v>8.4302069480655765E-3</v>
      </c>
      <c r="E45" s="23" t="s">
        <v>285</v>
      </c>
      <c r="G45" s="113"/>
      <c r="I45" s="93"/>
      <c r="J45" s="182">
        <f>(SUM(I38:I42)-J36)*'PIECE DENSITIES'!F12</f>
        <v>0</v>
      </c>
      <c r="K45" s="23" t="s">
        <v>286</v>
      </c>
      <c r="L45"/>
      <c r="M45" s="19"/>
      <c r="N45" s="45"/>
      <c r="O45" s="96">
        <f>SUM(N38:N42)*'PIECE DENSITIES'!F17</f>
        <v>3.4817093595207087E-3</v>
      </c>
      <c r="P45" s="23" t="s">
        <v>287</v>
      </c>
      <c r="Q45" s="108"/>
      <c r="S45" s="19"/>
      <c r="U45" s="19"/>
      <c r="Y45"/>
      <c r="Z45"/>
      <c r="AA45"/>
      <c r="AB45"/>
      <c r="AC45"/>
      <c r="AD45"/>
    </row>
    <row r="46" spans="1:30" x14ac:dyDescent="0.25">
      <c r="A46" s="113"/>
      <c r="C46" s="88"/>
      <c r="D46" s="365">
        <f>(SUM(C38:C42)-D36)*'PIECE DENSITIES'!G7</f>
        <v>0.1121973942740381</v>
      </c>
      <c r="E46" s="23" t="s">
        <v>288</v>
      </c>
      <c r="G46" s="113"/>
      <c r="I46" s="93"/>
      <c r="J46" s="182">
        <f>(SUM(I38:I42)-J36)*'PIECE DENSITIES'!G12</f>
        <v>0</v>
      </c>
      <c r="K46" s="23" t="s">
        <v>289</v>
      </c>
      <c r="L46"/>
      <c r="M46" s="19"/>
      <c r="N46" s="45"/>
      <c r="O46" s="96">
        <f>SUM(N38:N42)*'PIECE DENSITIES'!G17</f>
        <v>4.7178660712373796E-2</v>
      </c>
      <c r="P46" s="23" t="s">
        <v>290</v>
      </c>
      <c r="Q46" s="108"/>
      <c r="S46" s="19"/>
      <c r="U46" s="19"/>
      <c r="Y46"/>
      <c r="Z46"/>
      <c r="AA46"/>
      <c r="AB46"/>
      <c r="AC46"/>
      <c r="AD46"/>
    </row>
    <row r="47" spans="1:30" x14ac:dyDescent="0.25">
      <c r="A47" s="113"/>
      <c r="C47" s="97"/>
      <c r="G47" s="113"/>
      <c r="I47" s="98"/>
      <c r="J47" s="91"/>
      <c r="L47"/>
      <c r="M47" s="19"/>
      <c r="O47" s="96"/>
      <c r="P47" s="19"/>
      <c r="Q47" s="108"/>
      <c r="S47" s="19"/>
      <c r="U47" s="19"/>
      <c r="Y47"/>
      <c r="Z47"/>
      <c r="AA47"/>
      <c r="AB47"/>
      <c r="AC47"/>
      <c r="AD47"/>
    </row>
    <row r="48" spans="1:30" x14ac:dyDescent="0.25">
      <c r="A48" s="103"/>
      <c r="B48" s="105"/>
      <c r="C48" s="128"/>
      <c r="D48" s="106"/>
      <c r="E48" s="105"/>
      <c r="F48" s="105"/>
      <c r="G48" s="103"/>
      <c r="H48" s="105"/>
      <c r="I48" s="129"/>
      <c r="J48" s="130"/>
      <c r="K48" s="105"/>
      <c r="L48" s="104"/>
      <c r="M48" s="105"/>
      <c r="N48" s="105"/>
      <c r="O48" s="131"/>
      <c r="P48" s="105"/>
      <c r="Q48" s="107"/>
      <c r="S48" s="19"/>
      <c r="U48" s="19"/>
      <c r="Y48"/>
      <c r="Z48"/>
      <c r="AA48"/>
      <c r="AB48"/>
      <c r="AC48"/>
      <c r="AD48"/>
    </row>
    <row r="49" spans="1:30" s="125" customFormat="1" ht="22.8" x14ac:dyDescent="0.4">
      <c r="A49" s="177"/>
      <c r="B49" s="57"/>
      <c r="C49" s="127" t="s">
        <v>294</v>
      </c>
      <c r="D49" s="123"/>
      <c r="E49" s="57"/>
      <c r="F49" s="127"/>
      <c r="G49" s="122"/>
      <c r="H49" s="57"/>
      <c r="I49" s="123"/>
      <c r="J49" s="57"/>
      <c r="K49" s="57"/>
      <c r="L49" s="127" t="s">
        <v>295</v>
      </c>
      <c r="M49" s="57"/>
      <c r="N49" s="123"/>
      <c r="O49" s="57"/>
      <c r="P49" s="57"/>
      <c r="Q49" s="124"/>
      <c r="R49" s="57"/>
      <c r="S49" s="57"/>
      <c r="T49" s="57"/>
      <c r="U49" s="57"/>
      <c r="V49" s="57"/>
      <c r="W49" s="57"/>
      <c r="X49" s="57"/>
    </row>
    <row r="50" spans="1:30" x14ac:dyDescent="0.25">
      <c r="A50" s="113"/>
      <c r="C50" s="97"/>
      <c r="G50" s="113"/>
      <c r="I50" s="98"/>
      <c r="J50" s="91"/>
      <c r="L50"/>
      <c r="M50" s="19"/>
      <c r="O50" s="96"/>
      <c r="P50" s="19"/>
      <c r="Q50" s="108"/>
      <c r="S50" s="19"/>
      <c r="U50" s="19"/>
      <c r="Y50"/>
      <c r="Z50"/>
      <c r="AA50"/>
      <c r="AB50"/>
      <c r="AC50"/>
      <c r="AD50"/>
    </row>
    <row r="51" spans="1:30" x14ac:dyDescent="0.25">
      <c r="A51" s="113"/>
      <c r="D51" s="96">
        <f>SUM(A53:A57)*(1-'ACCEPT RATES'!G16)+SUM(C53:C57)*SUM('ACCEPT RATES'!I16:J16)</f>
        <v>6.3043161718403118</v>
      </c>
      <c r="E51" s="23" t="s">
        <v>269</v>
      </c>
      <c r="G51" s="121"/>
      <c r="I51" s="23"/>
      <c r="J51" s="96">
        <f>SUM(G53:G57)*(1-'ACCEPT RATES'!E21)</f>
        <v>0</v>
      </c>
      <c r="K51" s="23" t="s">
        <v>269</v>
      </c>
      <c r="L51"/>
      <c r="M51" s="19"/>
      <c r="P51" s="23"/>
      <c r="Q51" s="108"/>
      <c r="S51" s="19"/>
      <c r="U51" s="19"/>
      <c r="Y51"/>
      <c r="Z51"/>
      <c r="AA51"/>
      <c r="AB51"/>
      <c r="AC51"/>
      <c r="AD51"/>
    </row>
    <row r="52" spans="1:30" x14ac:dyDescent="0.25">
      <c r="A52" s="126" t="s">
        <v>270</v>
      </c>
      <c r="B52" s="86" t="s">
        <v>296</v>
      </c>
      <c r="C52" s="87"/>
      <c r="D52" s="119"/>
      <c r="E52" s="23" t="s">
        <v>297</v>
      </c>
      <c r="G52" s="126" t="s">
        <v>273</v>
      </c>
      <c r="H52" s="86" t="s">
        <v>298</v>
      </c>
      <c r="I52" s="87"/>
      <c r="J52" s="99"/>
      <c r="K52" s="22" t="s">
        <v>297</v>
      </c>
      <c r="L52"/>
      <c r="M52" s="86" t="s">
        <v>281</v>
      </c>
      <c r="N52" s="87"/>
      <c r="P52" s="19"/>
      <c r="Q52" s="108"/>
      <c r="S52" s="19"/>
      <c r="U52" s="19"/>
      <c r="Y52"/>
      <c r="Z52"/>
      <c r="AA52"/>
      <c r="AB52"/>
      <c r="AC52"/>
      <c r="AD52"/>
    </row>
    <row r="53" spans="1:30" x14ac:dyDescent="0.25">
      <c r="A53" s="120">
        <f>B53*(1-'ACCEPT RATES'!C16)</f>
        <v>0</v>
      </c>
      <c r="B53" s="29">
        <f>C53*(1+'ACCEPT RATES'!F16+'PIECE DENSITIES'!D8)</f>
        <v>0</v>
      </c>
      <c r="C53" s="50">
        <f>C13*('COVERAGE FACTORS'!C39+'COVERAGE FACTORS'!C43)</f>
        <v>0</v>
      </c>
      <c r="E53" s="23" t="s">
        <v>200</v>
      </c>
      <c r="G53" s="178">
        <f>H53*(1-'ACCEPT RATES'!C21)</f>
        <v>0</v>
      </c>
      <c r="H53" s="29">
        <f>I53*(1+'PIECE DENSITIES'!D13)</f>
        <v>0</v>
      </c>
      <c r="I53" s="50">
        <f>C13*'COVERAGE FACTORS'!C41</f>
        <v>0</v>
      </c>
      <c r="J53" s="112"/>
      <c r="K53" s="22" t="s">
        <v>200</v>
      </c>
      <c r="L53"/>
      <c r="M53" s="29">
        <f>N53</f>
        <v>0</v>
      </c>
      <c r="N53" s="50">
        <f>C13*'COVERAGE FACTORS'!C45</f>
        <v>0</v>
      </c>
      <c r="P53" s="19"/>
      <c r="Q53" s="108"/>
      <c r="S53" s="19"/>
      <c r="U53" s="19"/>
      <c r="Y53"/>
      <c r="Z53"/>
      <c r="AA53"/>
      <c r="AB53"/>
      <c r="AC53"/>
      <c r="AD53"/>
    </row>
    <row r="54" spans="1:30" x14ac:dyDescent="0.25">
      <c r="A54" s="179">
        <f>B54*(1-'ACCEPT RATES'!D16)</f>
        <v>17.907223459421871</v>
      </c>
      <c r="B54" s="85">
        <f>C54*(1+'ACCEPT RATES'!F16+'PIECE DENSITIES'!D8)</f>
        <v>67.911620759269923</v>
      </c>
      <c r="C54" s="84">
        <f>G13*('COVERAGE FACTORS'!C39+'COVERAGE FACTORS'!C43)</f>
        <v>67.183882838965886</v>
      </c>
      <c r="G54" s="179">
        <f>H54*(1-'ACCEPT RATES'!D21)</f>
        <v>0</v>
      </c>
      <c r="H54" s="85">
        <f>I54*(1+'PIECE DENSITIES'!D13)</f>
        <v>0</v>
      </c>
      <c r="I54" s="84">
        <f>G13*'COVERAGE FACTORS'!C41</f>
        <v>0</v>
      </c>
      <c r="J54" s="58"/>
      <c r="L54"/>
      <c r="M54" s="85">
        <f>N54</f>
        <v>0.40707368121124016</v>
      </c>
      <c r="N54" s="84">
        <f>G13*'COVERAGE FACTORS'!C45</f>
        <v>0.40707368121124016</v>
      </c>
      <c r="P54" s="19"/>
      <c r="Q54" s="108"/>
      <c r="S54" s="19"/>
      <c r="U54" s="19"/>
      <c r="Y54"/>
      <c r="Z54"/>
      <c r="AA54"/>
      <c r="AB54"/>
      <c r="AC54"/>
      <c r="AD54"/>
    </row>
    <row r="55" spans="1:30" x14ac:dyDescent="0.25">
      <c r="A55" s="121"/>
      <c r="B55" s="85"/>
      <c r="C55" s="84"/>
      <c r="G55" s="109">
        <f>H55*(1-'ACCEPT RATES'!C21)</f>
        <v>0</v>
      </c>
      <c r="H55" s="89">
        <f>I55*(1+'PIECE DENSITIES'!D13)</f>
        <v>0</v>
      </c>
      <c r="I55" s="90">
        <f>K13*('COVERAGE FACTORS'!C41+'COVERAGE FACTORS'!C43)</f>
        <v>0</v>
      </c>
      <c r="J55" s="58"/>
      <c r="L55"/>
      <c r="M55" s="89">
        <f>N55</f>
        <v>0</v>
      </c>
      <c r="N55" s="90">
        <f>K13*(1-('COVERAGE FACTORS'!C41+'COVERAGE FACTORS'!C43))</f>
        <v>0</v>
      </c>
      <c r="P55" s="19"/>
      <c r="Q55" s="108"/>
      <c r="S55" s="19"/>
      <c r="U55" s="19"/>
      <c r="Y55"/>
      <c r="Z55"/>
      <c r="AA55"/>
      <c r="AB55"/>
      <c r="AC55"/>
      <c r="AD55"/>
    </row>
    <row r="56" spans="1:30" x14ac:dyDescent="0.25">
      <c r="A56" s="121"/>
      <c r="B56" s="85"/>
      <c r="C56" s="84"/>
      <c r="G56" s="110">
        <f>H56*(1-'ACCEPT RATES'!D21)</f>
        <v>0</v>
      </c>
      <c r="H56" s="94">
        <f>I56*(1+'PIECE DENSITIES'!D13)</f>
        <v>0</v>
      </c>
      <c r="I56" s="92">
        <f>O13*('COVERAGE FACTORS'!C41+'COVERAGE FACTORS'!C43)</f>
        <v>0</v>
      </c>
      <c r="J56" s="58"/>
      <c r="L56"/>
      <c r="M56" s="94">
        <f>N56</f>
        <v>0</v>
      </c>
      <c r="N56" s="92">
        <f>O13*(1-('COVERAGE FACTORS'!C41+'COVERAGE FACTORS'!C43))</f>
        <v>0</v>
      </c>
      <c r="P56" s="19"/>
      <c r="Q56" s="108"/>
      <c r="S56" s="19"/>
      <c r="U56" s="19"/>
      <c r="Y56"/>
      <c r="Z56"/>
      <c r="AA56"/>
      <c r="AB56"/>
      <c r="AC56"/>
      <c r="AD56"/>
    </row>
    <row r="57" spans="1:30" x14ac:dyDescent="0.25">
      <c r="A57" s="183">
        <f>B57*(1-'ACCEPT RATES'!C16)</f>
        <v>0.37345276094282615</v>
      </c>
      <c r="B57" s="187">
        <f>C57*(1+'ACCEPT RATES'!F16+'PIECE DENSITIES'!D8)</f>
        <v>6.0922486881703044</v>
      </c>
      <c r="C57" s="188">
        <f>(D31+D43)*('COVERAGE FACTORS'!C39+'COVERAGE FACTORS'!C43)</f>
        <v>6.0269644210487767</v>
      </c>
      <c r="G57" s="184">
        <f>IF(SUM(C11:C16)&gt;0,H57*(1-'ACCEPT RATES'!C21),H57*(1-'ACCEPT RATES'!D21))</f>
        <v>0</v>
      </c>
      <c r="H57" s="185">
        <f>I57*(1+'PIECE DENSITIES'!D13)</f>
        <v>0</v>
      </c>
      <c r="I57" s="186">
        <f>(D31+D43)*'COVERAGE FACTORS'!C41+(J31+J43)*('COVERAGE FACTORS'!C41+'COVERAGE FACTORS'!C43)</f>
        <v>0</v>
      </c>
      <c r="J57" s="58"/>
      <c r="L57"/>
      <c r="M57" s="101">
        <f>N57</f>
        <v>6.8410163811222287</v>
      </c>
      <c r="N57" s="100">
        <f>D51+J51+O31+O43+(D31+D43)*'COVERAGE FACTORS'!C45+(J31+J43)*(1-('COVERAGE FACTORS'!C41+'COVERAGE FACTORS'!C43))</f>
        <v>6.8410163811222287</v>
      </c>
      <c r="P57" s="19"/>
      <c r="Q57" s="108"/>
      <c r="S57" s="19"/>
      <c r="U57" s="19"/>
      <c r="Y57"/>
      <c r="Z57"/>
      <c r="AA57"/>
      <c r="AB57"/>
      <c r="AC57"/>
      <c r="AD57"/>
    </row>
    <row r="58" spans="1:30" x14ac:dyDescent="0.25">
      <c r="A58" s="113"/>
      <c r="C58" s="97"/>
      <c r="D58" s="364">
        <f>(SUM(C53:C57)-D51)*'PIECE DENSITIES'!E8</f>
        <v>13.310435288235539</v>
      </c>
      <c r="E58" s="23" t="s">
        <v>282</v>
      </c>
      <c r="G58" s="113"/>
      <c r="I58" s="98"/>
      <c r="J58" s="181">
        <f>(SUM(I53:I57)-J51)*'PIECE DENSITIES'!E13</f>
        <v>0</v>
      </c>
      <c r="K58" s="23" t="s">
        <v>283</v>
      </c>
      <c r="L58"/>
      <c r="M58" s="19"/>
      <c r="O58" s="95">
        <f>SUM(N53:N57)*'PIECE DENSITIES'!E18</f>
        <v>1.9154083201913956</v>
      </c>
      <c r="P58" s="23" t="s">
        <v>284</v>
      </c>
      <c r="Q58" s="108"/>
      <c r="S58" s="19"/>
      <c r="U58" s="19"/>
      <c r="Y58"/>
      <c r="Z58"/>
      <c r="AA58"/>
      <c r="AB58"/>
      <c r="AC58"/>
      <c r="AD58"/>
    </row>
    <row r="59" spans="1:30" x14ac:dyDescent="0.25">
      <c r="A59" s="113"/>
      <c r="C59" s="97"/>
      <c r="D59" s="364">
        <f>(SUM(C53:C57)-D51)*'PIECE DENSITIES'!F8</f>
        <v>4.3214282567931734</v>
      </c>
      <c r="E59" s="23" t="s">
        <v>285</v>
      </c>
      <c r="G59" s="113"/>
      <c r="I59" s="98"/>
      <c r="J59" s="181">
        <f>(SUM(I53:I57)-J51)*'PIECE DENSITIES'!F13</f>
        <v>0</v>
      </c>
      <c r="K59" s="23" t="s">
        <v>286</v>
      </c>
      <c r="L59"/>
      <c r="M59" s="19"/>
      <c r="O59" s="95">
        <f>SUM(N53:N57)*'PIECE DENSITIES'!F18</f>
        <v>0.30062716044204418</v>
      </c>
      <c r="P59" s="23" t="s">
        <v>287</v>
      </c>
      <c r="Q59" s="108"/>
      <c r="S59" s="19"/>
      <c r="U59" s="19"/>
      <c r="Y59"/>
      <c r="Z59"/>
      <c r="AA59"/>
      <c r="AB59"/>
      <c r="AC59"/>
      <c r="AD59"/>
    </row>
    <row r="60" spans="1:30" x14ac:dyDescent="0.25">
      <c r="A60" s="113"/>
      <c r="C60" s="88"/>
      <c r="D60" s="365">
        <f>(SUM(C53:C57)-D51)*'PIECE DENSITIES'!G8</f>
        <v>49.274667543145632</v>
      </c>
      <c r="E60" s="23" t="s">
        <v>288</v>
      </c>
      <c r="G60" s="113"/>
      <c r="I60" s="93"/>
      <c r="J60" s="182">
        <f>(SUM(I53:I57)-J51)*'PIECE DENSITIES'!G13</f>
        <v>0</v>
      </c>
      <c r="K60" s="23" t="s">
        <v>289</v>
      </c>
      <c r="L60"/>
      <c r="M60" s="19"/>
      <c r="N60" s="45"/>
      <c r="O60" s="96">
        <f>SUM(N53:N57)*'PIECE DENSITIES'!G18</f>
        <v>5.0320545817000291</v>
      </c>
      <c r="P60" s="23" t="s">
        <v>290</v>
      </c>
      <c r="Q60" s="108"/>
      <c r="S60" s="19"/>
      <c r="U60" s="19"/>
      <c r="Y60"/>
      <c r="Z60"/>
      <c r="AA60"/>
      <c r="AB60"/>
      <c r="AC60"/>
      <c r="AD60"/>
    </row>
    <row r="61" spans="1:30" x14ac:dyDescent="0.25">
      <c r="A61" s="113"/>
      <c r="C61" s="97"/>
      <c r="G61" s="113"/>
      <c r="I61" s="98"/>
      <c r="J61" s="91"/>
      <c r="L61"/>
      <c r="M61" s="19"/>
      <c r="O61" s="96"/>
      <c r="P61" s="19"/>
      <c r="Q61" s="108"/>
      <c r="S61" s="19"/>
      <c r="U61" s="19"/>
      <c r="Y61"/>
      <c r="Z61"/>
      <c r="AA61"/>
      <c r="AB61"/>
      <c r="AC61"/>
      <c r="AD61"/>
    </row>
    <row r="62" spans="1:30" x14ac:dyDescent="0.25">
      <c r="A62" s="113"/>
      <c r="D62" s="96">
        <f>SUM(A64:A68)*(1-'ACCEPT RATES'!G17)+SUM(C64:C68)*SUM('ACCEPT RATES'!I17:J17)</f>
        <v>644.56298125337105</v>
      </c>
      <c r="E62" s="23" t="s">
        <v>269</v>
      </c>
      <c r="G62" s="121"/>
      <c r="I62" s="23"/>
      <c r="J62" s="96">
        <f>SUM(G64:G68)*(1-'ACCEPT RATES'!E22)</f>
        <v>0</v>
      </c>
      <c r="K62" s="23" t="s">
        <v>269</v>
      </c>
      <c r="L62"/>
      <c r="M62" s="19"/>
      <c r="P62" s="23"/>
      <c r="Q62" s="108"/>
      <c r="S62" s="19"/>
      <c r="U62" s="19"/>
      <c r="Y62"/>
      <c r="Z62"/>
      <c r="AA62"/>
      <c r="AB62"/>
      <c r="AC62"/>
      <c r="AD62"/>
    </row>
    <row r="63" spans="1:30" x14ac:dyDescent="0.25">
      <c r="A63" s="126" t="s">
        <v>270</v>
      </c>
      <c r="B63" s="86" t="s">
        <v>299</v>
      </c>
      <c r="C63" s="87"/>
      <c r="D63" s="119"/>
      <c r="E63" s="23" t="s">
        <v>300</v>
      </c>
      <c r="G63" s="126" t="s">
        <v>273</v>
      </c>
      <c r="H63" s="86" t="s">
        <v>301</v>
      </c>
      <c r="I63" s="87"/>
      <c r="J63" s="99"/>
      <c r="K63" s="22" t="s">
        <v>300</v>
      </c>
      <c r="L63"/>
      <c r="M63" s="86" t="s">
        <v>284</v>
      </c>
      <c r="N63" s="87"/>
      <c r="P63" s="19"/>
      <c r="Q63" s="108"/>
      <c r="S63" s="19"/>
      <c r="U63" s="19"/>
      <c r="Y63"/>
      <c r="Z63"/>
      <c r="AA63"/>
      <c r="AB63"/>
      <c r="AC63"/>
      <c r="AD63"/>
    </row>
    <row r="64" spans="1:30" x14ac:dyDescent="0.25">
      <c r="A64" s="120">
        <f>B64*(1-'ACCEPT RATES'!C17)</f>
        <v>0</v>
      </c>
      <c r="B64" s="29">
        <f>C64*(1+'ACCEPT RATES'!F17+'PIECE DENSITIES'!E9)</f>
        <v>0</v>
      </c>
      <c r="C64" s="50">
        <f>C14*('COVERAGE FACTORS'!C39+'COVERAGE FACTORS'!C43)</f>
        <v>0</v>
      </c>
      <c r="E64" s="23" t="s">
        <v>200</v>
      </c>
      <c r="G64" s="178">
        <f>H64*(1-'ACCEPT RATES'!C22)</f>
        <v>0</v>
      </c>
      <c r="H64" s="29">
        <f>I64*(1+'PIECE DENSITIES'!E14)</f>
        <v>0</v>
      </c>
      <c r="I64" s="50">
        <f>C14*'COVERAGE FACTORS'!C41</f>
        <v>0</v>
      </c>
      <c r="J64" s="112"/>
      <c r="K64" s="22" t="s">
        <v>200</v>
      </c>
      <c r="L64"/>
      <c r="M64" s="29">
        <f>N64</f>
        <v>0</v>
      </c>
      <c r="N64" s="50">
        <f>C14*'COVERAGE FACTORS'!C45</f>
        <v>0</v>
      </c>
      <c r="P64" s="19"/>
      <c r="Q64" s="108"/>
      <c r="S64" s="19"/>
      <c r="U64" s="19"/>
      <c r="Y64"/>
      <c r="Z64"/>
      <c r="AA64"/>
      <c r="AB64"/>
      <c r="AC64"/>
      <c r="AD64"/>
    </row>
    <row r="65" spans="1:30" x14ac:dyDescent="0.25">
      <c r="A65" s="179">
        <f>B65*(1-'ACCEPT RATES'!D17)</f>
        <v>2761.8990655197563</v>
      </c>
      <c r="B65" s="85">
        <f>C65*(1+'ACCEPT RATES'!F17+'PIECE DENSITIES'!E9)</f>
        <v>10474.267121197534</v>
      </c>
      <c r="C65" s="84">
        <f>G14*('COVERAGE FACTORS'!C39+'COVERAGE FACTORS'!C43)</f>
        <v>9862.1341224902426</v>
      </c>
      <c r="G65" s="179">
        <f>H65*(1-'ACCEPT RATES'!D22)</f>
        <v>0</v>
      </c>
      <c r="H65" s="85">
        <f>I65*(1+'PIECE DENSITIES'!E14)</f>
        <v>0</v>
      </c>
      <c r="I65" s="84">
        <f>G14*'COVERAGE FACTORS'!C41</f>
        <v>0</v>
      </c>
      <c r="J65" s="58"/>
      <c r="L65"/>
      <c r="M65" s="85">
        <f>N65</f>
        <v>59.755629954639296</v>
      </c>
      <c r="N65" s="84">
        <f>G14*'COVERAGE FACTORS'!C45</f>
        <v>59.755629954639296</v>
      </c>
      <c r="P65" s="19"/>
      <c r="Q65" s="108"/>
      <c r="S65" s="19"/>
      <c r="U65" s="19"/>
      <c r="Y65"/>
      <c r="Z65"/>
      <c r="AA65"/>
      <c r="AB65"/>
      <c r="AC65"/>
      <c r="AD65"/>
    </row>
    <row r="66" spans="1:30" x14ac:dyDescent="0.25">
      <c r="A66" s="121"/>
      <c r="B66" s="85"/>
      <c r="C66" s="84"/>
      <c r="G66" s="109">
        <f>H66*(1-'ACCEPT RATES'!C22)</f>
        <v>0</v>
      </c>
      <c r="H66" s="89">
        <f>I66*(1+'PIECE DENSITIES'!E14)</f>
        <v>0</v>
      </c>
      <c r="I66" s="90">
        <f>K14*('COVERAGE FACTORS'!C41+'COVERAGE FACTORS'!C43)</f>
        <v>0</v>
      </c>
      <c r="J66" s="58"/>
      <c r="L66"/>
      <c r="M66" s="89">
        <f>N66</f>
        <v>0</v>
      </c>
      <c r="N66" s="90">
        <f>K14*(1-('COVERAGE FACTORS'!C41+'COVERAGE FACTORS'!C43))</f>
        <v>0</v>
      </c>
      <c r="P66" s="19"/>
      <c r="Q66" s="108"/>
      <c r="S66" s="19"/>
      <c r="U66" s="19"/>
      <c r="Y66"/>
      <c r="Z66"/>
      <c r="AA66"/>
      <c r="AB66"/>
      <c r="AC66"/>
      <c r="AD66"/>
    </row>
    <row r="67" spans="1:30" x14ac:dyDescent="0.25">
      <c r="A67" s="121"/>
      <c r="B67" s="85"/>
      <c r="C67" s="84"/>
      <c r="G67" s="110">
        <f>H67*(1-'ACCEPT RATES'!D22)</f>
        <v>0</v>
      </c>
      <c r="H67" s="94">
        <f>I67*(1+'PIECE DENSITIES'!E14)</f>
        <v>0</v>
      </c>
      <c r="I67" s="92">
        <f>O14*('COVERAGE FACTORS'!C41+'COVERAGE FACTORS'!C43)</f>
        <v>0</v>
      </c>
      <c r="J67" s="58"/>
      <c r="L67"/>
      <c r="M67" s="94">
        <f>N67</f>
        <v>0</v>
      </c>
      <c r="N67" s="92">
        <f>O14*(1-('COVERAGE FACTORS'!C41+'COVERAGE FACTORS'!C43))</f>
        <v>0</v>
      </c>
      <c r="P67" s="19"/>
      <c r="Q67" s="108"/>
      <c r="S67" s="19"/>
      <c r="U67" s="19"/>
      <c r="Y67"/>
      <c r="Z67"/>
      <c r="AA67"/>
      <c r="AB67"/>
      <c r="AC67"/>
      <c r="AD67"/>
    </row>
    <row r="68" spans="1:30" x14ac:dyDescent="0.25">
      <c r="A68" s="183">
        <f>B68*(1-'ACCEPT RATES'!C17)</f>
        <v>1.0452894780562465</v>
      </c>
      <c r="B68" s="187">
        <f>C68*(1+'ACCEPT RATES'!F17+'PIECE DENSITIES'!E9)</f>
        <v>17.052125777217981</v>
      </c>
      <c r="C68" s="188">
        <f>(D32+D44+D58)*('COVERAGE FACTORS'!C39+'COVERAGE FACTORS'!C43)</f>
        <v>16.055572150547732</v>
      </c>
      <c r="G68" s="184">
        <f>IF(SUM(C11:C16)&gt;0, H68*(1-'ACCEPT RATES'!C22),H68*(1-'ACCEPT RATES'!D22))</f>
        <v>0</v>
      </c>
      <c r="H68" s="185">
        <f>I68*(1+'PIECE DENSITIES'!E14)</f>
        <v>0</v>
      </c>
      <c r="I68" s="186">
        <f>(D32+D44+D58)*'COVERAGE FACTORS'!C41+(J32+J44+J58)*('COVERAGE FACTORS'!C41+'COVERAGE FACTORS'!C43)</f>
        <v>0</v>
      </c>
      <c r="J68" s="58"/>
      <c r="L68"/>
      <c r="M68" s="101">
        <f>N68</f>
        <v>646.74191746688064</v>
      </c>
      <c r="N68" s="100">
        <f>D62+J62+O32+O44+O58+(D32+D44+D58)*'COVERAGE FACTORS'!C45+(J32+J44+J58)*(1-('COVERAGE FACTORS'!C41+'COVERAGE FACTORS'!C43))</f>
        <v>646.74191746688064</v>
      </c>
      <c r="P68" s="19"/>
      <c r="Q68" s="108"/>
      <c r="S68" s="19"/>
      <c r="U68" s="19"/>
      <c r="Y68"/>
      <c r="Z68"/>
      <c r="AA68"/>
      <c r="AB68"/>
      <c r="AC68"/>
      <c r="AD68"/>
    </row>
    <row r="69" spans="1:30" x14ac:dyDescent="0.25">
      <c r="A69" s="113"/>
      <c r="C69" s="97"/>
      <c r="D69" s="364">
        <f>(SUM(C64:C68)-D62)*'PIECE DENSITIES'!F9</f>
        <v>206.57443157119263</v>
      </c>
      <c r="E69" s="23" t="s">
        <v>285</v>
      </c>
      <c r="G69" s="113"/>
      <c r="I69" s="98"/>
      <c r="J69" s="181">
        <f>(SUM(I64:I68)-J62)*'PIECE DENSITIES'!F14</f>
        <v>0</v>
      </c>
      <c r="K69" s="23" t="s">
        <v>286</v>
      </c>
      <c r="L69"/>
      <c r="M69" s="19"/>
      <c r="O69" s="95">
        <f>SUM(N64:N68)*'PIECE DENSITIES'!F19</f>
        <v>18.275557064307687</v>
      </c>
      <c r="P69" s="23" t="s">
        <v>287</v>
      </c>
      <c r="Q69" s="108"/>
      <c r="S69" s="19"/>
      <c r="U69" s="19"/>
      <c r="Y69"/>
      <c r="Z69"/>
      <c r="AA69"/>
      <c r="AB69"/>
      <c r="AC69"/>
      <c r="AD69"/>
    </row>
    <row r="70" spans="1:30" x14ac:dyDescent="0.25">
      <c r="A70" s="113"/>
      <c r="C70" s="97"/>
      <c r="D70" s="364">
        <f>(SUM(C64:C68)-D62)*'PIECE DENSITIES'!G9</f>
        <v>9027.0522818162262</v>
      </c>
      <c r="E70" s="23" t="s">
        <v>288</v>
      </c>
      <c r="G70" s="113"/>
      <c r="I70" s="98"/>
      <c r="J70" s="181">
        <f>(SUM(I64:I68)-J62)*'PIECE DENSITIES'!G14</f>
        <v>0</v>
      </c>
      <c r="K70" s="23" t="s">
        <v>289</v>
      </c>
      <c r="L70"/>
      <c r="M70" s="19"/>
      <c r="O70" s="95">
        <f>SUM(N64:N68)*'PIECE DENSITIES'!G19</f>
        <v>688.22199035721223</v>
      </c>
      <c r="P70" s="23" t="s">
        <v>290</v>
      </c>
      <c r="Q70" s="108"/>
      <c r="S70" s="19"/>
      <c r="U70" s="19"/>
      <c r="Y70"/>
      <c r="Z70"/>
      <c r="AA70"/>
      <c r="AB70"/>
      <c r="AC70"/>
      <c r="AD70"/>
    </row>
    <row r="71" spans="1:30" x14ac:dyDescent="0.25">
      <c r="A71" s="113"/>
      <c r="C71" s="97"/>
      <c r="G71" s="113"/>
      <c r="I71" s="98"/>
      <c r="J71" s="91"/>
      <c r="L71"/>
      <c r="M71" s="19"/>
      <c r="O71" s="96"/>
      <c r="P71" s="19"/>
      <c r="Q71" s="108"/>
      <c r="S71" s="19"/>
      <c r="U71" s="19"/>
      <c r="Y71"/>
      <c r="Z71"/>
      <c r="AA71"/>
      <c r="AB71"/>
      <c r="AC71"/>
      <c r="AD71"/>
    </row>
    <row r="72" spans="1:30" x14ac:dyDescent="0.25">
      <c r="A72" s="113"/>
      <c r="D72" s="96">
        <f>SUM(A74:A78)*(1-'ACCEPT RATES'!G17)+SUM(C74:C78)*SUM('ACCEPT RATES'!I17:J17)</f>
        <v>10.419886667484782</v>
      </c>
      <c r="E72" s="23" t="s">
        <v>269</v>
      </c>
      <c r="G72" s="121"/>
      <c r="I72" s="23"/>
      <c r="J72" s="96">
        <f>SUM(G74:G78)*(1-'ACCEPT RATES'!E22)</f>
        <v>0</v>
      </c>
      <c r="K72" s="23" t="s">
        <v>269</v>
      </c>
      <c r="L72"/>
      <c r="M72" s="19"/>
      <c r="P72" s="23"/>
      <c r="Q72" s="108"/>
      <c r="S72" s="19"/>
      <c r="U72" s="19"/>
      <c r="Y72"/>
      <c r="Z72"/>
      <c r="AA72"/>
      <c r="AB72"/>
      <c r="AC72"/>
      <c r="AD72"/>
    </row>
    <row r="73" spans="1:30" x14ac:dyDescent="0.25">
      <c r="A73" s="126" t="s">
        <v>270</v>
      </c>
      <c r="B73" s="86" t="s">
        <v>302</v>
      </c>
      <c r="C73" s="87"/>
      <c r="D73" s="119"/>
      <c r="E73" s="23" t="s">
        <v>303</v>
      </c>
      <c r="G73" s="126" t="s">
        <v>273</v>
      </c>
      <c r="H73" s="86" t="s">
        <v>304</v>
      </c>
      <c r="I73" s="87"/>
      <c r="J73" s="99"/>
      <c r="K73" s="22" t="s">
        <v>303</v>
      </c>
      <c r="L73"/>
      <c r="M73" s="86" t="s">
        <v>287</v>
      </c>
      <c r="N73" s="87"/>
      <c r="P73" s="19"/>
      <c r="Q73" s="108"/>
      <c r="S73" s="19"/>
      <c r="U73" s="19"/>
      <c r="Y73"/>
      <c r="Z73"/>
      <c r="AA73"/>
      <c r="AB73"/>
      <c r="AC73"/>
      <c r="AD73"/>
    </row>
    <row r="74" spans="1:30" x14ac:dyDescent="0.25">
      <c r="A74" s="120">
        <f>B74*(1-'ACCEPT RATES'!C17)</f>
        <v>0</v>
      </c>
      <c r="B74" s="29">
        <f>C74*(1+'ACCEPT RATES'!F17)</f>
        <v>0</v>
      </c>
      <c r="C74" s="50">
        <f>C15*('COVERAGE FACTORS'!C39+'COVERAGE FACTORS'!C43)</f>
        <v>0</v>
      </c>
      <c r="E74" s="23" t="s">
        <v>200</v>
      </c>
      <c r="G74" s="178">
        <f>H74*(1-'ACCEPT RATES'!C22)</f>
        <v>0</v>
      </c>
      <c r="H74" s="29">
        <f>I74</f>
        <v>0</v>
      </c>
      <c r="I74" s="50">
        <f>C15*'COVERAGE FACTORS'!C41</f>
        <v>0</v>
      </c>
      <c r="J74" s="112"/>
      <c r="K74" s="22" t="s">
        <v>200</v>
      </c>
      <c r="L74"/>
      <c r="M74" s="29">
        <f>N74</f>
        <v>0</v>
      </c>
      <c r="N74" s="50">
        <f>C15*'COVERAGE FACTORS'!C45</f>
        <v>0</v>
      </c>
      <c r="P74" s="19"/>
      <c r="Q74" s="108"/>
      <c r="S74" s="19"/>
      <c r="U74" s="19"/>
      <c r="Y74"/>
      <c r="Z74"/>
      <c r="AA74"/>
      <c r="AB74"/>
      <c r="AC74"/>
      <c r="AD74"/>
    </row>
    <row r="75" spans="1:30" x14ac:dyDescent="0.25">
      <c r="A75" s="179">
        <f>B75*(1-'ACCEPT RATES'!D17)</f>
        <v>0</v>
      </c>
      <c r="B75" s="85">
        <f>C75*(1+'ACCEPT RATES'!F17)</f>
        <v>0</v>
      </c>
      <c r="C75" s="84">
        <f>G15*('COVERAGE FACTORS'!C39+'COVERAGE FACTORS'!C43)</f>
        <v>0</v>
      </c>
      <c r="G75" s="179">
        <f>H75*(1-'ACCEPT RATES'!D22)</f>
        <v>0</v>
      </c>
      <c r="H75" s="85">
        <f>I75</f>
        <v>0</v>
      </c>
      <c r="I75" s="84">
        <f>G15*'COVERAGE FACTORS'!C41</f>
        <v>0</v>
      </c>
      <c r="J75" s="58"/>
      <c r="L75"/>
      <c r="M75" s="85">
        <f>N75</f>
        <v>0</v>
      </c>
      <c r="N75" s="84">
        <f>G15*'COVERAGE FACTORS'!C45</f>
        <v>0</v>
      </c>
      <c r="P75" s="19"/>
      <c r="Q75" s="108"/>
      <c r="S75" s="19"/>
      <c r="U75" s="19"/>
      <c r="Y75"/>
      <c r="Z75"/>
      <c r="AA75"/>
      <c r="AB75"/>
      <c r="AC75"/>
      <c r="AD75"/>
    </row>
    <row r="76" spans="1:30" x14ac:dyDescent="0.25">
      <c r="A76" s="121"/>
      <c r="B76" s="85"/>
      <c r="C76" s="84"/>
      <c r="G76" s="109">
        <f>H76*(1-'ACCEPT RATES'!C22)</f>
        <v>0</v>
      </c>
      <c r="H76" s="89">
        <f>I76</f>
        <v>0</v>
      </c>
      <c r="I76" s="90">
        <f>K15*('COVERAGE FACTORS'!C41+'COVERAGE FACTORS'!C43)</f>
        <v>0</v>
      </c>
      <c r="J76" s="58"/>
      <c r="L76"/>
      <c r="M76" s="89">
        <f>N76</f>
        <v>0</v>
      </c>
      <c r="N76" s="90">
        <f>K15*(1-('COVERAGE FACTORS'!C41+'COVERAGE FACTORS'!C43))</f>
        <v>0</v>
      </c>
      <c r="P76" s="19"/>
      <c r="Q76" s="108"/>
      <c r="S76" s="19"/>
      <c r="U76" s="19"/>
      <c r="Y76"/>
      <c r="Z76"/>
      <c r="AA76"/>
      <c r="AB76"/>
      <c r="AC76"/>
      <c r="AD76"/>
    </row>
    <row r="77" spans="1:30" x14ac:dyDescent="0.25">
      <c r="A77" s="121"/>
      <c r="B77" s="85"/>
      <c r="C77" s="84"/>
      <c r="G77" s="110">
        <f>H77*(1-'ACCEPT RATES'!D22)</f>
        <v>0</v>
      </c>
      <c r="H77" s="94">
        <f>I77</f>
        <v>0</v>
      </c>
      <c r="I77" s="92">
        <f>O15*('COVERAGE FACTORS'!C41+'COVERAGE FACTORS'!C43)</f>
        <v>0</v>
      </c>
      <c r="J77" s="58"/>
      <c r="L77"/>
      <c r="M77" s="94">
        <f>N77</f>
        <v>0</v>
      </c>
      <c r="N77" s="92">
        <f>O15*(1-('COVERAGE FACTORS'!C41+'COVERAGE FACTORS'!C43))</f>
        <v>0</v>
      </c>
      <c r="P77" s="19"/>
      <c r="Q77" s="108"/>
      <c r="S77" s="19"/>
      <c r="U77" s="19"/>
      <c r="Y77"/>
      <c r="Z77"/>
      <c r="AA77"/>
      <c r="AB77"/>
      <c r="AC77"/>
      <c r="AD77"/>
    </row>
    <row r="78" spans="1:30" x14ac:dyDescent="0.25">
      <c r="A78" s="183">
        <f>B78*(1-'ACCEPT RATES'!C17)</f>
        <v>13.020270098359818</v>
      </c>
      <c r="B78" s="187">
        <f>C78*(1+'ACCEPT RATES'!F17)</f>
        <v>212.40363366465934</v>
      </c>
      <c r="C78" s="188">
        <f>(D33+D45+D59+D69)*('COVERAGE FACTORS'!C39+'COVERAGE FACTORS'!C43)</f>
        <v>210.35741231490795</v>
      </c>
      <c r="G78" s="184">
        <f>IF(SUM(C11:C16)&gt;0,H78*(1-'ACCEPT RATES'!C22),H78*(1-'ACCEPT RATES'!D22))</f>
        <v>0</v>
      </c>
      <c r="H78" s="185">
        <f>I78</f>
        <v>0</v>
      </c>
      <c r="I78" s="186">
        <f>(D33+D45+D59+D69)*'COVERAGE FACTORS'!C41+(J33+J45+J59+J69)*('COVERAGE FACTORS'!C41+'COVERAGE FACTORS'!C43)</f>
        <v>0</v>
      </c>
      <c r="J78" s="58"/>
      <c r="L78"/>
      <c r="M78" s="101">
        <f ca="1">N78</f>
        <v>30.322103999297447</v>
      </c>
      <c r="N78" s="100">
        <f ca="1">D72+J72+O33+O45+O59+O69+(D33+D45+D59+D69)*'COVERAGE FACTORS'!C45+(J33+J45+J59+J69)*(1-('COVERAGE FACTORS'!C41+'COVERAGE FACTORS'!C43))+D106</f>
        <v>30.322103999297447</v>
      </c>
      <c r="P78" s="19"/>
      <c r="Q78" s="108"/>
      <c r="S78" s="19"/>
      <c r="U78" s="19"/>
      <c r="Y78"/>
      <c r="Z78"/>
      <c r="AA78"/>
      <c r="AB78"/>
      <c r="AC78"/>
      <c r="AD78"/>
    </row>
    <row r="79" spans="1:30" x14ac:dyDescent="0.25">
      <c r="A79" s="113"/>
      <c r="C79" s="97"/>
      <c r="D79" s="364">
        <f>SUM(C74:C78)-D72</f>
        <v>199.93752564742317</v>
      </c>
      <c r="E79" s="23" t="s">
        <v>288</v>
      </c>
      <c r="G79" s="113"/>
      <c r="I79" s="98"/>
      <c r="J79" s="181">
        <f>SUM(I74:I78)-J72</f>
        <v>0</v>
      </c>
      <c r="K79" s="23" t="s">
        <v>289</v>
      </c>
      <c r="L79"/>
      <c r="M79" s="19"/>
      <c r="O79" s="95">
        <f ca="1">SUM(N74:N78)</f>
        <v>30.322103999297447</v>
      </c>
      <c r="P79" s="23" t="s">
        <v>290</v>
      </c>
      <c r="Q79" s="108"/>
      <c r="S79" s="19"/>
      <c r="U79" s="19"/>
      <c r="Y79"/>
      <c r="Z79"/>
      <c r="AA79"/>
      <c r="AB79"/>
      <c r="AC79"/>
      <c r="AD79"/>
    </row>
    <row r="80" spans="1:30" x14ac:dyDescent="0.25">
      <c r="A80" s="113"/>
      <c r="C80" s="97"/>
      <c r="E80" s="23"/>
      <c r="G80" s="113"/>
      <c r="I80" s="98"/>
      <c r="J80" s="91"/>
      <c r="K80" s="23"/>
      <c r="L80"/>
      <c r="M80" s="19"/>
      <c r="O80" s="96"/>
      <c r="P80" s="23"/>
      <c r="Q80" s="108"/>
      <c r="S80" s="19"/>
      <c r="U80" s="19"/>
      <c r="Y80"/>
      <c r="Z80"/>
      <c r="AA80"/>
      <c r="AB80"/>
      <c r="AC80"/>
      <c r="AD80"/>
    </row>
    <row r="81" spans="1:30" x14ac:dyDescent="0.25">
      <c r="A81" s="113"/>
      <c r="D81" s="96">
        <f>SUM(A83:A87)*(1-'ACCEPT RATES'!G17)+SUM(C83:C87)*SUM('ACCEPT RATES'!I17:J17)</f>
        <v>456.73054612598872</v>
      </c>
      <c r="E81" s="23" t="s">
        <v>269</v>
      </c>
      <c r="G81" s="121"/>
      <c r="I81" s="23"/>
      <c r="J81" s="96">
        <f>I85*(1-'ACCEPT RATES'!C22)</f>
        <v>0</v>
      </c>
      <c r="K81" s="23" t="s">
        <v>269</v>
      </c>
      <c r="L81"/>
      <c r="M81" s="19"/>
      <c r="P81" s="23"/>
      <c r="Q81" s="108"/>
      <c r="S81" s="19"/>
      <c r="U81" s="19"/>
      <c r="Y81"/>
      <c r="Z81"/>
      <c r="AA81"/>
      <c r="AB81"/>
      <c r="AC81"/>
      <c r="AD81"/>
    </row>
    <row r="82" spans="1:30" x14ac:dyDescent="0.25">
      <c r="A82" s="126" t="s">
        <v>270</v>
      </c>
      <c r="B82" s="86" t="s">
        <v>305</v>
      </c>
      <c r="C82" s="87"/>
      <c r="D82" s="119"/>
      <c r="E82" s="23" t="s">
        <v>306</v>
      </c>
      <c r="G82" s="126" t="s">
        <v>273</v>
      </c>
      <c r="H82" s="86" t="s">
        <v>307</v>
      </c>
      <c r="I82" s="87"/>
      <c r="J82" s="99"/>
      <c r="K82" s="22" t="s">
        <v>306</v>
      </c>
      <c r="L82"/>
      <c r="M82" s="86" t="s">
        <v>290</v>
      </c>
      <c r="N82" s="87"/>
      <c r="P82" s="19"/>
      <c r="Q82" s="108"/>
      <c r="S82" s="19"/>
      <c r="U82" s="19"/>
      <c r="Y82"/>
      <c r="Z82"/>
      <c r="AA82"/>
      <c r="AB82"/>
      <c r="AC82"/>
      <c r="AD82"/>
    </row>
    <row r="83" spans="1:30" x14ac:dyDescent="0.25">
      <c r="A83" s="120">
        <f>B83*(1-'ACCEPT RATES'!C17)</f>
        <v>0</v>
      </c>
      <c r="B83" s="29">
        <f>C83*(1+'ACCEPT RATES'!F17)</f>
        <v>0</v>
      </c>
      <c r="C83" s="50">
        <f>C16*('COVERAGE FACTORS'!C55+'COVERAGE FACTORS'!C59)</f>
        <v>0</v>
      </c>
      <c r="E83" s="23" t="s">
        <v>200</v>
      </c>
      <c r="G83" s="178">
        <v>0</v>
      </c>
      <c r="H83" s="29">
        <f>I83</f>
        <v>0</v>
      </c>
      <c r="I83" s="50">
        <f>C16*'COVERAGE FACTORS'!C57</f>
        <v>0</v>
      </c>
      <c r="J83" s="112"/>
      <c r="K83" s="22" t="s">
        <v>200</v>
      </c>
      <c r="L83"/>
      <c r="M83" s="29">
        <f>N83</f>
        <v>0</v>
      </c>
      <c r="N83" s="50">
        <f>C16*'COVERAGE FACTORS'!C61</f>
        <v>0</v>
      </c>
      <c r="P83" s="19"/>
      <c r="Q83" s="108"/>
      <c r="S83" s="19"/>
      <c r="U83" s="19"/>
      <c r="Y83"/>
      <c r="Z83"/>
      <c r="AA83"/>
      <c r="AB83"/>
      <c r="AC83"/>
      <c r="AD83"/>
    </row>
    <row r="84" spans="1:30" x14ac:dyDescent="0.25">
      <c r="A84" s="179">
        <f>B84*(1-'ACCEPT RATES'!D17)</f>
        <v>0</v>
      </c>
      <c r="B84" s="85">
        <f>C84*(1+'ACCEPT RATES'!F17)</f>
        <v>0</v>
      </c>
      <c r="C84" s="84">
        <f>G16*('COVERAGE FACTORS'!C55+'COVERAGE FACTORS'!C59)</f>
        <v>0</v>
      </c>
      <c r="G84" s="179">
        <v>0</v>
      </c>
      <c r="H84" s="85">
        <f>I84</f>
        <v>0</v>
      </c>
      <c r="I84" s="84">
        <f>G16*'COVERAGE FACTORS'!C57</f>
        <v>0</v>
      </c>
      <c r="J84" s="58"/>
      <c r="L84"/>
      <c r="M84" s="85">
        <f>N84</f>
        <v>0</v>
      </c>
      <c r="N84" s="84">
        <f>G16*'COVERAGE FACTORS'!C61</f>
        <v>0</v>
      </c>
      <c r="P84" s="19"/>
      <c r="Q84" s="108"/>
      <c r="S84" s="19"/>
      <c r="U84" s="19"/>
      <c r="Y84"/>
      <c r="Z84"/>
      <c r="AA84"/>
      <c r="AB84"/>
      <c r="AC84"/>
      <c r="AD84"/>
    </row>
    <row r="85" spans="1:30" x14ac:dyDescent="0.25">
      <c r="A85" s="121"/>
      <c r="B85" s="85"/>
      <c r="C85" s="84"/>
      <c r="G85" s="109">
        <v>0</v>
      </c>
      <c r="H85" s="89">
        <f>I85</f>
        <v>0</v>
      </c>
      <c r="I85" s="90">
        <f>K16*('COVERAGE FACTORS'!C57+'COVERAGE FACTORS'!C59)</f>
        <v>0</v>
      </c>
      <c r="J85" s="58"/>
      <c r="L85"/>
      <c r="M85" s="89">
        <f>N85</f>
        <v>0</v>
      </c>
      <c r="N85" s="90">
        <f>K16*(1-('COVERAGE FACTORS'!C57+'COVERAGE FACTORS'!C59+'COVERAGE FACTORS'!C53))</f>
        <v>0</v>
      </c>
      <c r="P85" s="19"/>
      <c r="Q85" s="108"/>
      <c r="S85" s="19"/>
      <c r="U85" s="19"/>
      <c r="Y85"/>
      <c r="Z85"/>
      <c r="AA85"/>
      <c r="AB85"/>
      <c r="AC85"/>
      <c r="AD85"/>
    </row>
    <row r="86" spans="1:30" x14ac:dyDescent="0.25">
      <c r="A86" s="121"/>
      <c r="B86" s="85"/>
      <c r="C86" s="84"/>
      <c r="G86" s="110">
        <v>0</v>
      </c>
      <c r="H86" s="94">
        <f>I86</f>
        <v>0</v>
      </c>
      <c r="I86" s="92">
        <f>O16*('COVERAGE FACTORS'!C57+'COVERAGE FACTORS'!C59)</f>
        <v>0</v>
      </c>
      <c r="J86" s="58"/>
      <c r="L86"/>
      <c r="M86" s="94">
        <f>N86</f>
        <v>0</v>
      </c>
      <c r="N86" s="92">
        <f>O16*(1-('COVERAGE FACTORS'!C57+'COVERAGE FACTORS'!C59+'COVERAGE FACTORS'!C53))</f>
        <v>0</v>
      </c>
      <c r="P86" s="19"/>
      <c r="Q86" s="108"/>
      <c r="S86" s="19"/>
      <c r="U86" s="19"/>
      <c r="Y86"/>
      <c r="Z86"/>
      <c r="AA86"/>
      <c r="AB86"/>
      <c r="AC86"/>
      <c r="AD86"/>
    </row>
    <row r="87" spans="1:30" x14ac:dyDescent="0.25">
      <c r="A87" s="183">
        <f>B87*(1-'ACCEPT RATES'!C17)</f>
        <v>570.71206842283482</v>
      </c>
      <c r="B87" s="187">
        <f>C87*(1+'ACCEPT RATES'!F17)</f>
        <v>9310.1998801510454</v>
      </c>
      <c r="C87" s="188">
        <f>(D34+D46+D60+D70+D79)*('COVERAGE FACTORS'!C55+'COVERAGE FACTORS'!C59)</f>
        <v>9220.5087132132194</v>
      </c>
      <c r="G87" s="184">
        <v>0</v>
      </c>
      <c r="H87" s="185">
        <f>I87</f>
        <v>0</v>
      </c>
      <c r="I87" s="186">
        <f>(D34+D46+D60+D70+D79)*'COVERAGE FACTORS'!C57+(J34+J46+J60+J70+J79)*('COVERAGE FACTORS'!C57+'COVERAGE FACTORS'!C59)</f>
        <v>0</v>
      </c>
      <c r="J87" s="182"/>
      <c r="L87"/>
      <c r="M87" s="101">
        <f ca="1">N87</f>
        <v>1236.2218329127518</v>
      </c>
      <c r="N87" s="100">
        <f ca="1">D81+J81+(O34+O46+O60+O70+O79)+(D34+D46+D60+D70+D79)*'COVERAGE FACTORS'!C61+(J34+J46+J60+J70+J79)*(1-('COVERAGE FACTORS'!C57+'COVERAGE FACTORS'!C59))+D120</f>
        <v>1236.2218329127518</v>
      </c>
      <c r="P87" s="19"/>
      <c r="Q87" s="108"/>
      <c r="S87" s="19"/>
      <c r="U87" s="19"/>
      <c r="Y87"/>
      <c r="Z87"/>
      <c r="AA87"/>
      <c r="AB87"/>
      <c r="AC87"/>
      <c r="AD87"/>
    </row>
    <row r="88" spans="1:30" x14ac:dyDescent="0.25">
      <c r="A88" s="113"/>
      <c r="C88" s="97"/>
      <c r="D88" s="102">
        <f>SUM(C83:C87)-D81</f>
        <v>8763.77816708723</v>
      </c>
      <c r="E88" s="23"/>
      <c r="G88" s="366"/>
      <c r="H88" s="367"/>
      <c r="I88" s="367"/>
      <c r="J88" s="368">
        <f>SUM(I83:I87)-J81</f>
        <v>0</v>
      </c>
      <c r="K88" s="23"/>
      <c r="L88"/>
      <c r="M88" s="19"/>
      <c r="O88" s="189">
        <f ca="1">SUM(N83:N87)</f>
        <v>1236.2218329127518</v>
      </c>
      <c r="P88" s="23"/>
      <c r="Q88" s="108"/>
      <c r="S88" s="19"/>
      <c r="U88" s="19"/>
      <c r="Y88"/>
      <c r="Z88"/>
      <c r="AA88"/>
      <c r="AB88"/>
      <c r="AC88"/>
      <c r="AD88"/>
    </row>
    <row r="89" spans="1:30" x14ac:dyDescent="0.25">
      <c r="A89" s="113"/>
      <c r="C89" s="97"/>
      <c r="D89" s="22" t="s">
        <v>308</v>
      </c>
      <c r="E89" s="23"/>
      <c r="G89" s="113"/>
      <c r="I89" s="98"/>
      <c r="J89" s="22" t="s">
        <v>308</v>
      </c>
      <c r="K89" s="23"/>
      <c r="L89"/>
      <c r="M89" s="19"/>
      <c r="O89" s="22" t="s">
        <v>308</v>
      </c>
      <c r="P89" s="23"/>
      <c r="Q89" s="108"/>
      <c r="S89" s="19"/>
      <c r="U89" s="19"/>
      <c r="Y89"/>
      <c r="Z89"/>
      <c r="AA89"/>
      <c r="AB89"/>
      <c r="AC89"/>
      <c r="AD89"/>
    </row>
    <row r="90" spans="1:30" x14ac:dyDescent="0.25">
      <c r="A90" s="113"/>
      <c r="G90" s="113"/>
      <c r="H90"/>
      <c r="I90" s="19"/>
      <c r="J90" s="58"/>
      <c r="P90" s="19"/>
      <c r="Q90" s="108"/>
      <c r="S90" s="19"/>
      <c r="U90" s="19"/>
      <c r="Y90"/>
      <c r="Z90"/>
      <c r="AA90"/>
      <c r="AB90"/>
      <c r="AC90"/>
      <c r="AD90"/>
    </row>
    <row r="91" spans="1:30" x14ac:dyDescent="0.25">
      <c r="A91" s="113"/>
      <c r="D91" s="437" t="s">
        <v>269</v>
      </c>
      <c r="E91" s="437"/>
      <c r="G91" s="113"/>
      <c r="H91"/>
      <c r="I91" s="19"/>
      <c r="J91" s="58"/>
      <c r="P91" s="19"/>
      <c r="Q91" s="108"/>
      <c r="S91" s="19"/>
      <c r="U91" s="19"/>
      <c r="Y91"/>
      <c r="Z91"/>
      <c r="AA91"/>
      <c r="AB91"/>
      <c r="AC91"/>
      <c r="AD91"/>
    </row>
    <row r="92" spans="1:30" x14ac:dyDescent="0.25">
      <c r="A92" s="114"/>
      <c r="B92" s="116"/>
      <c r="C92" s="116"/>
      <c r="D92" s="22" t="s">
        <v>309</v>
      </c>
      <c r="E92" s="23" t="s">
        <v>310</v>
      </c>
      <c r="F92" s="116"/>
      <c r="G92" s="114"/>
      <c r="H92" s="115"/>
      <c r="I92" s="116"/>
      <c r="J92" s="117"/>
      <c r="K92" s="116"/>
      <c r="L92" s="116"/>
      <c r="M92" s="115"/>
      <c r="N92" s="116"/>
      <c r="O92" s="117"/>
      <c r="P92" s="116"/>
      <c r="Q92" s="118"/>
      <c r="S92" s="19"/>
      <c r="U92" s="19"/>
      <c r="Y92"/>
      <c r="Z92"/>
      <c r="AA92"/>
      <c r="AB92"/>
      <c r="AC92"/>
      <c r="AD92"/>
    </row>
    <row r="93" spans="1:30" x14ac:dyDescent="0.25">
      <c r="D93" s="266">
        <f ca="1">SUM(A95:A99)*(1-'ACCEPT RATES'!G24)+SUM(B95:B99)*'ACCEPT RATES'!J24</f>
        <v>0</v>
      </c>
      <c r="E93" s="267">
        <f ca="1">SUM(B95:B99)*'ACCEPT RATES'!I24</f>
        <v>0</v>
      </c>
    </row>
    <row r="94" spans="1:30" x14ac:dyDescent="0.25">
      <c r="A94" s="23" t="s">
        <v>270</v>
      </c>
      <c r="B94" s="213" t="s">
        <v>99</v>
      </c>
      <c r="C94" s="212"/>
      <c r="E94" s="23" t="s">
        <v>306</v>
      </c>
    </row>
    <row r="95" spans="1:30" x14ac:dyDescent="0.25">
      <c r="A95" s="50">
        <f>B95*(1-'ACCEPT RATES'!C24)</f>
        <v>0</v>
      </c>
      <c r="B95" s="29">
        <f>C95*(1+'ACCEPT RATES'!F17)</f>
        <v>0</v>
      </c>
      <c r="C95" s="50">
        <f>C16*'COVERAGE FACTORS'!C53</f>
        <v>0</v>
      </c>
      <c r="E95" s="23" t="s">
        <v>200</v>
      </c>
    </row>
    <row r="96" spans="1:30" x14ac:dyDescent="0.25">
      <c r="A96" s="84">
        <f>B96*(1-'ACCEPT RATES'!D24)</f>
        <v>0</v>
      </c>
      <c r="B96" s="85">
        <f>C96*(1+'ACCEPT RATES'!F17)</f>
        <v>0</v>
      </c>
      <c r="C96" s="84">
        <f>G16*'COVERAGE FACTORS'!C53</f>
        <v>0</v>
      </c>
    </row>
    <row r="97" spans="1:11" x14ac:dyDescent="0.25">
      <c r="A97" s="90">
        <f>B97*(1-'ACCEPT RATES'!C24)</f>
        <v>0</v>
      </c>
      <c r="B97" s="89">
        <f>C97*(1+'ACCEPT RATES'!F17)</f>
        <v>0</v>
      </c>
      <c r="C97" s="90">
        <f>K16*'COVERAGE FACTORS'!C53</f>
        <v>0</v>
      </c>
    </row>
    <row r="98" spans="1:11" x14ac:dyDescent="0.25">
      <c r="A98" s="92">
        <f>B98*(1-'ACCEPT RATES'!D24)</f>
        <v>0</v>
      </c>
      <c r="B98" s="94">
        <f>C98*(1+'ACCEPT RATES'!F17)</f>
        <v>0</v>
      </c>
      <c r="C98" s="92">
        <f>O16*'COVERAGE FACTORS'!C53</f>
        <v>0</v>
      </c>
    </row>
    <row r="99" spans="1:11" x14ac:dyDescent="0.25">
      <c r="A99" s="214">
        <f ca="1">B99*(1-'ACCEPT RATES'!C24)</f>
        <v>0</v>
      </c>
      <c r="B99" s="215">
        <f ca="1">C99*(1+'ACCEPT RATES'!F17)</f>
        <v>0</v>
      </c>
      <c r="C99" s="214">
        <f ca="1">(D16+D34+D46+D60+D70+D79)*'COVERAGE FACTORS'!C53+D114</f>
        <v>0</v>
      </c>
    </row>
    <row r="100" spans="1:11" x14ac:dyDescent="0.25">
      <c r="D100" s="369">
        <f ca="1">SUM(C95:C99)-D93-E93</f>
        <v>0</v>
      </c>
    </row>
    <row r="101" spans="1:11" x14ac:dyDescent="0.25">
      <c r="D101" s="22" t="s">
        <v>311</v>
      </c>
    </row>
    <row r="105" spans="1:11" x14ac:dyDescent="0.25">
      <c r="D105" s="22"/>
    </row>
    <row r="106" spans="1:11" ht="12.75" customHeight="1" x14ac:dyDescent="0.25">
      <c r="A106" s="113"/>
      <c r="D106" s="258">
        <f ca="1">A112*(1-'ACCEPT RATES'!G17)+B112*('ACCEPT RATES'!I17+'ACCEPT RATES'!J17)</f>
        <v>0</v>
      </c>
      <c r="E106" s="23" t="s">
        <v>269</v>
      </c>
      <c r="G106" s="438" t="s">
        <v>312</v>
      </c>
      <c r="H106" s="438"/>
      <c r="I106" s="438"/>
      <c r="J106" s="438"/>
      <c r="K106" s="438"/>
    </row>
    <row r="107" spans="1:11" x14ac:dyDescent="0.25">
      <c r="A107" s="126" t="s">
        <v>270</v>
      </c>
      <c r="B107" s="86" t="s">
        <v>313</v>
      </c>
      <c r="C107" s="87"/>
      <c r="D107"/>
      <c r="E107" s="23" t="s">
        <v>303</v>
      </c>
      <c r="G107" s="438"/>
      <c r="H107" s="438"/>
      <c r="I107" s="438"/>
      <c r="J107" s="438"/>
      <c r="K107" s="438"/>
    </row>
    <row r="108" spans="1:11" x14ac:dyDescent="0.25">
      <c r="A108" s="50"/>
      <c r="B108" s="29"/>
      <c r="C108" s="50"/>
      <c r="E108" s="23" t="s">
        <v>200</v>
      </c>
      <c r="G108" s="438"/>
      <c r="H108" s="438"/>
      <c r="I108" s="438"/>
      <c r="J108" s="438"/>
      <c r="K108" s="438"/>
    </row>
    <row r="109" spans="1:11" x14ac:dyDescent="0.25">
      <c r="A109" s="179"/>
      <c r="B109" s="85"/>
      <c r="C109" s="84"/>
      <c r="G109" s="438"/>
      <c r="H109" s="438"/>
      <c r="I109" s="438"/>
      <c r="J109" s="438"/>
      <c r="K109" s="438"/>
    </row>
    <row r="110" spans="1:11" x14ac:dyDescent="0.25">
      <c r="A110" s="121"/>
      <c r="B110" s="85"/>
      <c r="C110" s="84"/>
      <c r="G110" s="438"/>
      <c r="H110" s="438"/>
      <c r="I110" s="438"/>
      <c r="J110" s="438"/>
      <c r="K110" s="438"/>
    </row>
    <row r="111" spans="1:11" x14ac:dyDescent="0.25">
      <c r="A111" s="121"/>
      <c r="B111" s="85"/>
      <c r="C111" s="84"/>
      <c r="G111" s="438"/>
      <c r="H111" s="438"/>
      <c r="I111" s="438"/>
      <c r="J111" s="438"/>
      <c r="K111" s="438"/>
    </row>
    <row r="112" spans="1:11" x14ac:dyDescent="0.25">
      <c r="A112" s="259">
        <f ca="1">B112*(1-'ACCEPT RATES'!$C$17)</f>
        <v>0</v>
      </c>
      <c r="B112" s="260">
        <f ca="1">C112*(1+'ACCEPT RATES'!$F$17)</f>
        <v>0</v>
      </c>
      <c r="C112" s="261">
        <f ca="1">E93</f>
        <v>0</v>
      </c>
      <c r="G112" s="438"/>
      <c r="H112" s="438"/>
      <c r="I112" s="438"/>
      <c r="J112" s="438"/>
      <c r="K112" s="438"/>
    </row>
    <row r="113" spans="1:11" x14ac:dyDescent="0.25">
      <c r="A113" s="113"/>
      <c r="C113" s="119"/>
      <c r="D113" s="370">
        <f ca="1">($C$112-$D$106)*(1-'COVERAGE FACTORS'!$C$66)</f>
        <v>0</v>
      </c>
      <c r="E113" s="23" t="s">
        <v>288</v>
      </c>
      <c r="G113" s="438"/>
      <c r="H113" s="438"/>
      <c r="I113" s="438"/>
      <c r="J113" s="438"/>
      <c r="K113" s="438"/>
    </row>
    <row r="114" spans="1:11" x14ac:dyDescent="0.25">
      <c r="A114" s="113"/>
      <c r="C114" s="119"/>
      <c r="D114" s="370">
        <f ca="1">($C$112-$D$106)*'COVERAGE FACTORS'!$C$66</f>
        <v>0</v>
      </c>
      <c r="E114" s="23" t="s">
        <v>99</v>
      </c>
    </row>
    <row r="115" spans="1:11" x14ac:dyDescent="0.25">
      <c r="A115" s="113"/>
      <c r="C115" s="97"/>
      <c r="E115" s="23"/>
    </row>
    <row r="116" spans="1:11" x14ac:dyDescent="0.25">
      <c r="A116" s="113"/>
      <c r="C116" s="97"/>
      <c r="E116" s="23"/>
    </row>
    <row r="117" spans="1:11" x14ac:dyDescent="0.25">
      <c r="A117" s="113"/>
      <c r="C117" s="97"/>
      <c r="E117" s="23"/>
    </row>
    <row r="118" spans="1:11" x14ac:dyDescent="0.25">
      <c r="A118" s="113"/>
      <c r="C118" s="97"/>
      <c r="E118" s="23"/>
    </row>
    <row r="119" spans="1:11" x14ac:dyDescent="0.25">
      <c r="A119" s="113"/>
      <c r="C119" s="97"/>
      <c r="E119" s="23"/>
    </row>
    <row r="120" spans="1:11" x14ac:dyDescent="0.25">
      <c r="A120" s="121"/>
      <c r="D120" s="262">
        <f ca="1">A126*'ACCEPT RATES'!H17+B126*('ACCEPT RATES'!I17+'ACCEPT RATES'!J17)</f>
        <v>0</v>
      </c>
      <c r="E120" s="23" t="s">
        <v>269</v>
      </c>
    </row>
    <row r="121" spans="1:11" x14ac:dyDescent="0.25">
      <c r="A121" s="126" t="s">
        <v>270</v>
      </c>
      <c r="B121" s="86" t="s">
        <v>314</v>
      </c>
      <c r="C121" s="87"/>
      <c r="D121" s="119"/>
      <c r="E121" s="23" t="s">
        <v>306</v>
      </c>
    </row>
    <row r="122" spans="1:11" x14ac:dyDescent="0.25">
      <c r="A122" s="263"/>
      <c r="B122" s="29"/>
      <c r="C122" s="50"/>
      <c r="E122" s="23" t="s">
        <v>200</v>
      </c>
    </row>
    <row r="123" spans="1:11" x14ac:dyDescent="0.25">
      <c r="A123" s="179"/>
      <c r="B123" s="85"/>
      <c r="C123" s="84"/>
    </row>
    <row r="124" spans="1:11" x14ac:dyDescent="0.25">
      <c r="A124" s="121"/>
      <c r="B124" s="85"/>
      <c r="C124" s="84"/>
    </row>
    <row r="125" spans="1:11" x14ac:dyDescent="0.25">
      <c r="A125" s="121"/>
      <c r="B125" s="85"/>
      <c r="C125" s="84"/>
    </row>
    <row r="126" spans="1:11" x14ac:dyDescent="0.25">
      <c r="A126" s="264">
        <f ca="1">B126*(1-'ACCEPT RATES'!$C$17)</f>
        <v>0</v>
      </c>
      <c r="B126" s="260">
        <f ca="1">C126*(1+'ACCEPT RATES'!$F$17)</f>
        <v>0</v>
      </c>
      <c r="C126" s="261">
        <f ca="1">$D$93+$D$113</f>
        <v>0</v>
      </c>
    </row>
    <row r="127" spans="1:11" x14ac:dyDescent="0.25">
      <c r="A127" s="121"/>
      <c r="C127" s="119"/>
      <c r="D127" s="265">
        <f ca="1">C126-D120</f>
        <v>0</v>
      </c>
      <c r="E127" s="23"/>
    </row>
    <row r="128" spans="1:11" x14ac:dyDescent="0.25">
      <c r="A128" s="121"/>
      <c r="D128" s="22" t="s">
        <v>308</v>
      </c>
      <c r="E128" s="23"/>
    </row>
  </sheetData>
  <mergeCells count="2">
    <mergeCell ref="D91:E91"/>
    <mergeCell ref="G106:K113"/>
  </mergeCells>
  <phoneticPr fontId="42" type="noConversion"/>
  <pageMargins left="0.75" right="0.75" top="1" bottom="1" header="0.5" footer="0.5"/>
  <pageSetup orientation="portrait" horizontalDpi="300" verticalDpi="0" copies="0" r:id="rId1"/>
  <headerFooter alignWithMargins="0"/>
  <drawing r:id="rId2"/>
</worksheet>
</file>

<file path=xl/worksheets/sheet1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2">
    <pageSetUpPr fitToPage="1"/>
  </sheetPr>
  <dimension ref="A1:K86"/>
  <sheetViews>
    <sheetView zoomScale="75" workbookViewId="0"/>
  </sheetViews>
  <sheetFormatPr defaultRowHeight="13.2" x14ac:dyDescent="0.25"/>
  <cols>
    <col min="1" max="1" width="5.77734375" customWidth="1"/>
    <col min="2" max="2" width="25.77734375" customWidth="1"/>
    <col min="3" max="4" width="10.77734375" style="2" customWidth="1"/>
    <col min="5" max="5" width="10.77734375" style="37" customWidth="1"/>
    <col min="6" max="6" width="10.77734375" style="132" customWidth="1"/>
    <col min="7" max="7" width="10.77734375" style="41" customWidth="1"/>
    <col min="8" max="9" width="10.77734375" style="30" customWidth="1"/>
    <col min="10" max="10" width="10.77734375" style="132" customWidth="1"/>
    <col min="11" max="26" width="9.77734375" customWidth="1"/>
  </cols>
  <sheetData>
    <row r="1" spans="1:11" ht="22.8" x14ac:dyDescent="0.4">
      <c r="A1" s="125" t="s">
        <v>322</v>
      </c>
    </row>
    <row r="2" spans="1:11" ht="17.399999999999999" x14ac:dyDescent="0.3">
      <c r="A2" s="4" t="s">
        <v>181</v>
      </c>
    </row>
    <row r="3" spans="1:11" s="6" customFormat="1" ht="12.75" customHeight="1" x14ac:dyDescent="0.25">
      <c r="A3" s="1"/>
      <c r="B3" s="146"/>
      <c r="C3" s="268"/>
      <c r="D3" s="268"/>
      <c r="E3" s="269"/>
      <c r="F3" s="270"/>
      <c r="G3" s="241"/>
      <c r="H3" s="145"/>
      <c r="I3" s="145"/>
      <c r="J3" s="270"/>
      <c r="K3" s="146"/>
    </row>
    <row r="4" spans="1:11" s="6" customFormat="1" ht="12.75" customHeight="1" x14ac:dyDescent="0.25">
      <c r="A4" s="1"/>
      <c r="B4" s="146"/>
      <c r="C4" s="16" t="str">
        <f>"(1)"</f>
        <v>(1)</v>
      </c>
      <c r="D4" s="16" t="str">
        <f>"(2)"</f>
        <v>(2)</v>
      </c>
      <c r="E4" s="38" t="str">
        <f>"(3)"</f>
        <v>(3)</v>
      </c>
      <c r="F4" s="16" t="str">
        <f>"(4)"</f>
        <v>(4)</v>
      </c>
      <c r="G4" s="40" t="str">
        <f>"(5)"</f>
        <v>(5)</v>
      </c>
      <c r="H4" s="16" t="str">
        <f>"(6)"</f>
        <v>(6)</v>
      </c>
      <c r="I4" s="16" t="str">
        <f>"(7)"</f>
        <v>(7)</v>
      </c>
      <c r="J4" s="16" t="str">
        <f>"(8)"</f>
        <v>(8)</v>
      </c>
      <c r="K4" s="16" t="str">
        <f>"(9)"</f>
        <v>(9)</v>
      </c>
    </row>
    <row r="5" spans="1:11" s="6" customFormat="1" ht="12.75" customHeight="1" x14ac:dyDescent="0.25">
      <c r="A5" s="1"/>
      <c r="B5" s="146"/>
      <c r="C5" s="268"/>
      <c r="D5" s="268"/>
      <c r="E5" s="269"/>
      <c r="F5" s="270"/>
      <c r="G5" s="241"/>
      <c r="H5" s="145"/>
      <c r="I5" s="145"/>
      <c r="J5" s="270"/>
      <c r="K5" s="1"/>
    </row>
    <row r="6" spans="1:11" x14ac:dyDescent="0.25">
      <c r="D6" s="16" t="s">
        <v>182</v>
      </c>
      <c r="F6" s="133" t="s">
        <v>183</v>
      </c>
      <c r="H6" s="31" t="s">
        <v>184</v>
      </c>
      <c r="I6" s="31" t="s">
        <v>184</v>
      </c>
      <c r="J6" s="133" t="s">
        <v>8</v>
      </c>
      <c r="K6" s="133" t="s">
        <v>185</v>
      </c>
    </row>
    <row r="7" spans="1:11" x14ac:dyDescent="0.25">
      <c r="C7" s="134"/>
      <c r="D7" s="16" t="s">
        <v>186</v>
      </c>
      <c r="E7" s="38" t="s">
        <v>187</v>
      </c>
      <c r="F7" s="133" t="s">
        <v>188</v>
      </c>
      <c r="G7" s="40" t="s">
        <v>189</v>
      </c>
      <c r="H7" s="31" t="s">
        <v>190</v>
      </c>
      <c r="I7" s="31" t="s">
        <v>190</v>
      </c>
      <c r="J7" s="133" t="s">
        <v>188</v>
      </c>
      <c r="K7" s="133" t="s">
        <v>188</v>
      </c>
    </row>
    <row r="8" spans="1:11" x14ac:dyDescent="0.25">
      <c r="A8" s="35" t="s">
        <v>191</v>
      </c>
      <c r="C8" s="134" t="s">
        <v>17</v>
      </c>
      <c r="D8" s="134" t="s">
        <v>192</v>
      </c>
      <c r="E8" s="39" t="s">
        <v>193</v>
      </c>
      <c r="F8" s="135" t="s">
        <v>194</v>
      </c>
      <c r="G8" s="42" t="s">
        <v>195</v>
      </c>
      <c r="H8" s="36" t="s">
        <v>195</v>
      </c>
      <c r="I8" s="36" t="s">
        <v>196</v>
      </c>
      <c r="J8" s="135" t="s">
        <v>194</v>
      </c>
      <c r="K8" s="135" t="s">
        <v>194</v>
      </c>
    </row>
    <row r="9" spans="1:11" x14ac:dyDescent="0.25">
      <c r="A9" s="35"/>
      <c r="C9" s="134"/>
      <c r="D9" s="134"/>
      <c r="E9" s="39"/>
      <c r="F9" s="135"/>
      <c r="G9" s="42"/>
      <c r="H9" s="36"/>
      <c r="I9" s="36"/>
      <c r="J9" s="135"/>
    </row>
    <row r="10" spans="1:11" x14ac:dyDescent="0.25">
      <c r="A10" s="1" t="s">
        <v>220</v>
      </c>
      <c r="C10" s="134"/>
      <c r="D10" s="134"/>
      <c r="E10" s="39"/>
      <c r="F10" s="135"/>
      <c r="G10" s="42"/>
      <c r="H10" s="36"/>
      <c r="I10" s="36"/>
      <c r="J10" s="135"/>
    </row>
    <row r="11" spans="1:11" x14ac:dyDescent="0.25">
      <c r="A11" s="35"/>
      <c r="B11" t="s">
        <v>198</v>
      </c>
      <c r="C11" s="326">
        <f>'5D AUTO COST'!C11</f>
        <v>0</v>
      </c>
      <c r="D11" s="326">
        <f>PRODUCTIVITIES!$E$8</f>
        <v>175.66894168226426</v>
      </c>
      <c r="E11" s="269">
        <f>'WAGE RATES'!$D$6</f>
        <v>50.10717457546064</v>
      </c>
      <c r="F11" s="41">
        <f>E11*100/D11</f>
        <v>28.523638894626252</v>
      </c>
      <c r="G11" s="241">
        <f>PIGGYBACKS!$B$5</f>
        <v>1.8052502472456198</v>
      </c>
      <c r="H11" s="241">
        <f>'WAGE RATES'!$D$10</f>
        <v>1.0285306172213804</v>
      </c>
      <c r="I11" s="41">
        <f>(H11-1)*F11</f>
        <v>0.81379702306345936</v>
      </c>
      <c r="J11" s="41">
        <f>F11*G11+I11</f>
        <v>52.30610318993228</v>
      </c>
      <c r="K11" s="41">
        <f ca="1">C11*$J11/'5D NONAUTO MODEL'!$G$6</f>
        <v>0</v>
      </c>
    </row>
    <row r="12" spans="1:11" x14ac:dyDescent="0.25">
      <c r="A12" s="35"/>
      <c r="B12" t="s">
        <v>199</v>
      </c>
      <c r="C12" s="326">
        <f>'5D AUTO COST'!C12</f>
        <v>0</v>
      </c>
      <c r="D12" s="326">
        <f>PRODUCTIVITIES!$E$10</f>
        <v>194.60202715898563</v>
      </c>
      <c r="E12" s="269">
        <f>'WAGE RATES'!$D$6</f>
        <v>50.10717457546064</v>
      </c>
      <c r="F12" s="41">
        <f>E12*100/D12</f>
        <v>25.748536799426127</v>
      </c>
      <c r="G12" s="241">
        <f>PIGGYBACKS!$B$6</f>
        <v>1.6056412614911089</v>
      </c>
      <c r="H12" s="241">
        <f>'WAGE RATES'!$D$10</f>
        <v>1.0285306172213804</v>
      </c>
      <c r="I12" s="41">
        <f>(H12-1)*F12</f>
        <v>0.73462164743505387</v>
      </c>
      <c r="J12" s="41">
        <f>F12*G12+I12</f>
        <v>42.077534755615858</v>
      </c>
      <c r="K12" s="41">
        <f ca="1">C12*$J12/'5D NONAUTO MODEL'!$G$6</f>
        <v>0</v>
      </c>
    </row>
    <row r="13" spans="1:11" x14ac:dyDescent="0.25">
      <c r="A13" s="35"/>
      <c r="B13" t="s">
        <v>200</v>
      </c>
      <c r="C13" s="326">
        <f>'5D AUTO COST'!C13</f>
        <v>222.95190455520975</v>
      </c>
      <c r="D13" s="326">
        <f>PRODUCTIVITIES!$E$12</f>
        <v>388.77898659935892</v>
      </c>
      <c r="E13" s="269">
        <f>'WAGE RATES'!$D$6</f>
        <v>50.10717457546064</v>
      </c>
      <c r="F13" s="41">
        <f>E13*100/D13</f>
        <v>12.888344355683154</v>
      </c>
      <c r="G13" s="241">
        <f>PIGGYBACKS!$B$7</f>
        <v>1.5985378657336238</v>
      </c>
      <c r="H13" s="241">
        <f>'WAGE RATES'!$D$10</f>
        <v>1.0285306172213804</v>
      </c>
      <c r="I13" s="41">
        <f>(H13-1)*F13</f>
        <v>0.36771241942933458</v>
      </c>
      <c r="J13" s="41">
        <f>F13*G13+I13</f>
        <v>20.970218898603079</v>
      </c>
      <c r="K13" s="41">
        <f ca="1">C13*$J13/'5D NONAUTO MODEL'!$G$6</f>
        <v>0.46753502423832138</v>
      </c>
    </row>
    <row r="14" spans="1:11" x14ac:dyDescent="0.25">
      <c r="A14" s="35"/>
      <c r="C14" s="326"/>
      <c r="D14" s="326"/>
      <c r="E14" s="269"/>
      <c r="F14" s="270"/>
      <c r="G14" s="241"/>
      <c r="H14" s="241"/>
      <c r="I14" s="145"/>
      <c r="J14" s="270"/>
      <c r="K14" s="41"/>
    </row>
    <row r="15" spans="1:11" x14ac:dyDescent="0.25">
      <c r="A15" s="1" t="s">
        <v>221</v>
      </c>
      <c r="C15" s="326"/>
      <c r="D15" s="326"/>
      <c r="E15" s="269"/>
      <c r="F15" s="270"/>
      <c r="G15" s="241"/>
      <c r="H15" s="241"/>
      <c r="I15" s="145"/>
      <c r="J15" s="270"/>
      <c r="K15" s="41"/>
    </row>
    <row r="16" spans="1:11" s="6" customFormat="1" x14ac:dyDescent="0.25">
      <c r="A16" s="146"/>
      <c r="B16" s="146" t="s">
        <v>198</v>
      </c>
      <c r="C16" s="326">
        <f>'5D AUTO COST'!C16</f>
        <v>109.65998454249772</v>
      </c>
      <c r="D16" s="326">
        <f>PRODUCTIVITIES!$E$9</f>
        <v>204.15275198997298</v>
      </c>
      <c r="E16" s="269">
        <f>'WAGE RATES'!$D$6</f>
        <v>50.10717457546064</v>
      </c>
      <c r="F16" s="41">
        <f>E16*100/D16</f>
        <v>24.543962345372481</v>
      </c>
      <c r="G16" s="241">
        <f>PIGGYBACKS!$B$5</f>
        <v>1.8052502472456198</v>
      </c>
      <c r="H16" s="241">
        <f>'WAGE RATES'!$D$10</f>
        <v>1.0285306172213804</v>
      </c>
      <c r="I16" s="41">
        <f>(H16-1)*F16</f>
        <v>0.70025439477179607</v>
      </c>
      <c r="J16" s="41">
        <f>F16*G16+I16</f>
        <v>45.008248487142652</v>
      </c>
      <c r="K16" s="41">
        <f ca="1">C16*$J16/'5D NONAUTO MODEL'!$G$6</f>
        <v>0.49356038333849644</v>
      </c>
    </row>
    <row r="17" spans="1:11" x14ac:dyDescent="0.25">
      <c r="A17" s="1"/>
      <c r="B17" t="s">
        <v>199</v>
      </c>
      <c r="C17" s="326">
        <f>'5D AUTO COST'!C17</f>
        <v>133.05340652781976</v>
      </c>
      <c r="D17" s="326">
        <f>PRODUCTIVITIES!$E$11</f>
        <v>163.71090696460584</v>
      </c>
      <c r="E17" s="269">
        <f>'WAGE RATES'!$D$6</f>
        <v>50.10717457546064</v>
      </c>
      <c r="F17" s="41">
        <f>E17*100/D17</f>
        <v>30.607108288938726</v>
      </c>
      <c r="G17" s="241">
        <f>PIGGYBACKS!$B$6</f>
        <v>1.6056412614911089</v>
      </c>
      <c r="H17" s="241">
        <f>'WAGE RATES'!$D$10</f>
        <v>1.0285306172213804</v>
      </c>
      <c r="I17" s="41">
        <f>(H17-1)*F17</f>
        <v>0.87323969084504982</v>
      </c>
      <c r="J17" s="41">
        <f>F17*G17+I17</f>
        <v>50.017275654491598</v>
      </c>
      <c r="K17" s="41">
        <f ca="1">C17*$J17/'5D NONAUTO MODEL'!$G$6</f>
        <v>0.66549689110710986</v>
      </c>
    </row>
    <row r="18" spans="1:11" x14ac:dyDescent="0.25">
      <c r="A18" s="1"/>
      <c r="B18" t="s">
        <v>200</v>
      </c>
      <c r="C18" s="326">
        <f>'5D AUTO COST'!C18</f>
        <v>0</v>
      </c>
      <c r="D18" s="326">
        <f>PRODUCTIVITIES!$E$13</f>
        <v>388.77898659935892</v>
      </c>
      <c r="E18" s="269">
        <f>'WAGE RATES'!$D$6</f>
        <v>50.10717457546064</v>
      </c>
      <c r="F18" s="41">
        <f>E18*100/D18</f>
        <v>12.888344355683154</v>
      </c>
      <c r="G18" s="241">
        <f>PIGGYBACKS!$B$7</f>
        <v>1.5985378657336238</v>
      </c>
      <c r="H18" s="241">
        <f>'WAGE RATES'!$D$10</f>
        <v>1.0285306172213804</v>
      </c>
      <c r="I18" s="41">
        <f>(H18-1)*F18</f>
        <v>0.36771241942933458</v>
      </c>
      <c r="J18" s="41">
        <f>F18*G18+I18</f>
        <v>20.970218898603079</v>
      </c>
      <c r="K18" s="41">
        <f ca="1">C18*$J18/'5D NONAUTO MODEL'!$G$6</f>
        <v>0</v>
      </c>
    </row>
    <row r="19" spans="1:11" x14ac:dyDescent="0.25">
      <c r="A19" s="1"/>
      <c r="C19" s="326"/>
      <c r="D19" s="326"/>
      <c r="E19" s="269"/>
      <c r="F19" s="270"/>
      <c r="G19" s="241"/>
      <c r="H19" s="241"/>
      <c r="I19" s="145"/>
      <c r="J19" s="270"/>
      <c r="K19" s="41"/>
    </row>
    <row r="20" spans="1:11" x14ac:dyDescent="0.25">
      <c r="A20" s="1" t="s">
        <v>222</v>
      </c>
      <c r="C20" s="326"/>
      <c r="D20" s="326"/>
      <c r="E20" s="269"/>
      <c r="F20" s="270"/>
      <c r="G20" s="241"/>
      <c r="H20" s="241"/>
      <c r="I20" s="145"/>
      <c r="J20" s="270"/>
      <c r="K20" s="41"/>
    </row>
    <row r="21" spans="1:11" x14ac:dyDescent="0.25">
      <c r="A21" s="1"/>
      <c r="B21" t="s">
        <v>198</v>
      </c>
      <c r="C21" s="326">
        <f>'5D AUTO COST'!C21</f>
        <v>86.956283915145363</v>
      </c>
      <c r="D21" s="326">
        <f>PRODUCTIVITIES!$E$9</f>
        <v>204.15275198997298</v>
      </c>
      <c r="E21" s="269">
        <f>'WAGE RATES'!$D$6</f>
        <v>50.10717457546064</v>
      </c>
      <c r="F21" s="41">
        <f>E21*100/D21</f>
        <v>24.543962345372481</v>
      </c>
      <c r="G21" s="241">
        <f>PIGGYBACKS!$B$5</f>
        <v>1.8052502472456198</v>
      </c>
      <c r="H21" s="241">
        <f>'WAGE RATES'!$D$10</f>
        <v>1.0285306172213804</v>
      </c>
      <c r="I21" s="41">
        <f>(H21-1)*F21</f>
        <v>0.70025439477179607</v>
      </c>
      <c r="J21" s="41">
        <f>F21*G21+I21</f>
        <v>45.008248487142652</v>
      </c>
      <c r="K21" s="41">
        <f ca="1">C21*$J21/'5D NONAUTO MODEL'!$G$6</f>
        <v>0.39137500339713921</v>
      </c>
    </row>
    <row r="22" spans="1:11" x14ac:dyDescent="0.25">
      <c r="A22" s="1"/>
      <c r="B22" t="s">
        <v>199</v>
      </c>
      <c r="C22" s="326">
        <f>'5D AUTO COST'!C22</f>
        <v>105.50639635943564</v>
      </c>
      <c r="D22" s="326">
        <f>PRODUCTIVITIES!$E$11</f>
        <v>163.71090696460584</v>
      </c>
      <c r="E22" s="269">
        <f>'WAGE RATES'!$D$6</f>
        <v>50.10717457546064</v>
      </c>
      <c r="F22" s="41">
        <f>E22*100/D22</f>
        <v>30.607108288938726</v>
      </c>
      <c r="G22" s="241">
        <f>PIGGYBACKS!$B$6</f>
        <v>1.6056412614911089</v>
      </c>
      <c r="H22" s="241">
        <f>'WAGE RATES'!$D$10</f>
        <v>1.0285306172213804</v>
      </c>
      <c r="I22" s="41">
        <f>(H22-1)*F22</f>
        <v>0.87323969084504982</v>
      </c>
      <c r="J22" s="41">
        <f>F22*G22+I22</f>
        <v>50.017275654491598</v>
      </c>
      <c r="K22" s="41">
        <f ca="1">C22*$J22/'5D NONAUTO MODEL'!$G$6</f>
        <v>0.5277142510021946</v>
      </c>
    </row>
    <row r="23" spans="1:11" x14ac:dyDescent="0.25">
      <c r="A23" s="1"/>
      <c r="B23" t="s">
        <v>200</v>
      </c>
      <c r="C23" s="326">
        <f>'5D AUTO COST'!C23</f>
        <v>6.1134073875694535</v>
      </c>
      <c r="D23" s="326">
        <f>PRODUCTIVITIES!$E$14</f>
        <v>388.77898659935892</v>
      </c>
      <c r="E23" s="269">
        <f>'WAGE RATES'!$D$6</f>
        <v>50.10717457546064</v>
      </c>
      <c r="F23" s="41">
        <f>E23*100/D23</f>
        <v>12.888344355683154</v>
      </c>
      <c r="G23" s="241">
        <f>PIGGYBACKS!$B$7</f>
        <v>1.5985378657336238</v>
      </c>
      <c r="H23" s="241">
        <f>'WAGE RATES'!$D$10</f>
        <v>1.0285306172213804</v>
      </c>
      <c r="I23" s="41">
        <f>(H23-1)*F23</f>
        <v>0.36771241942933458</v>
      </c>
      <c r="J23" s="41">
        <f>F23*G23+I23</f>
        <v>20.970218898603079</v>
      </c>
      <c r="K23" s="41">
        <f ca="1">C23*$J23/'5D NONAUTO MODEL'!$G$6</f>
        <v>1.2819949113366874E-2</v>
      </c>
    </row>
    <row r="24" spans="1:11" x14ac:dyDescent="0.25">
      <c r="A24" s="1"/>
      <c r="C24" s="326"/>
      <c r="D24" s="326"/>
      <c r="E24" s="269"/>
      <c r="F24" s="270"/>
      <c r="G24" s="241"/>
      <c r="H24" s="241"/>
      <c r="I24" s="145"/>
      <c r="J24" s="270"/>
      <c r="K24" s="41"/>
    </row>
    <row r="25" spans="1:11" x14ac:dyDescent="0.25">
      <c r="A25" s="1" t="s">
        <v>223</v>
      </c>
      <c r="C25" s="326"/>
      <c r="D25" s="326"/>
      <c r="E25" s="269"/>
      <c r="F25" s="270"/>
      <c r="G25" s="241"/>
      <c r="H25" s="241"/>
      <c r="I25" s="145"/>
      <c r="J25" s="270"/>
      <c r="K25" s="41"/>
    </row>
    <row r="26" spans="1:11" x14ac:dyDescent="0.25">
      <c r="A26" s="1"/>
      <c r="B26" t="s">
        <v>198</v>
      </c>
      <c r="C26" s="326">
        <f>'5D AUTO COST'!C26</f>
        <v>0</v>
      </c>
      <c r="D26" s="326">
        <f>PRODUCTIVITIES!$E$9</f>
        <v>204.15275198997298</v>
      </c>
      <c r="E26" s="269">
        <f>'WAGE RATES'!$D$6</f>
        <v>50.10717457546064</v>
      </c>
      <c r="F26" s="41">
        <f>E26*100/D26</f>
        <v>24.543962345372481</v>
      </c>
      <c r="G26" s="241">
        <f>PIGGYBACKS!$B$5</f>
        <v>1.8052502472456198</v>
      </c>
      <c r="H26" s="241">
        <f>'WAGE RATES'!$D$10</f>
        <v>1.0285306172213804</v>
      </c>
      <c r="I26" s="41">
        <f>(H26-1)*F26</f>
        <v>0.70025439477179607</v>
      </c>
      <c r="J26" s="41">
        <f>F26*G26+I26</f>
        <v>45.008248487142652</v>
      </c>
      <c r="K26" s="41">
        <f ca="1">C26*$J26/'5D NONAUTO MODEL'!$G$6</f>
        <v>0</v>
      </c>
    </row>
    <row r="27" spans="1:11" x14ac:dyDescent="0.25">
      <c r="A27" s="1"/>
      <c r="B27" t="s">
        <v>199</v>
      </c>
      <c r="C27" s="326">
        <f>'5D AUTO COST'!C27</f>
        <v>0</v>
      </c>
      <c r="D27" s="326">
        <f>PRODUCTIVITIES!$E$11</f>
        <v>163.71090696460584</v>
      </c>
      <c r="E27" s="269">
        <f>'WAGE RATES'!$D$6</f>
        <v>50.10717457546064</v>
      </c>
      <c r="F27" s="41">
        <f>E27*100/D27</f>
        <v>30.607108288938726</v>
      </c>
      <c r="G27" s="241">
        <f>PIGGYBACKS!$B$6</f>
        <v>1.6056412614911089</v>
      </c>
      <c r="H27" s="241">
        <f>'WAGE RATES'!$D$10</f>
        <v>1.0285306172213804</v>
      </c>
      <c r="I27" s="41">
        <f>(H27-1)*F27</f>
        <v>0.87323969084504982</v>
      </c>
      <c r="J27" s="41">
        <f>F27*G27+I27</f>
        <v>50.017275654491598</v>
      </c>
      <c r="K27" s="41">
        <f ca="1">C27*$J27/'5D NONAUTO MODEL'!$G$6</f>
        <v>0</v>
      </c>
    </row>
    <row r="28" spans="1:11" x14ac:dyDescent="0.25">
      <c r="A28" s="1"/>
      <c r="B28" t="s">
        <v>200</v>
      </c>
      <c r="C28" s="326">
        <f>'5D AUTO COST'!C28</f>
        <v>0</v>
      </c>
      <c r="D28" s="326">
        <f>PRODUCTIVITIES!E15</f>
        <v>279.13830142253454</v>
      </c>
      <c r="E28" s="269">
        <f>'WAGE RATES'!$D$6</f>
        <v>50.10717457546064</v>
      </c>
      <c r="F28" s="41">
        <f>E28*100/D28</f>
        <v>17.950662564078904</v>
      </c>
      <c r="G28" s="241">
        <f>PIGGYBACKS!$B$7</f>
        <v>1.5985378657336238</v>
      </c>
      <c r="H28" s="241">
        <f>'WAGE RATES'!$D$10</f>
        <v>1.0285306172213804</v>
      </c>
      <c r="I28" s="41">
        <f>(H28-1)*F28</f>
        <v>0.51214348248589792</v>
      </c>
      <c r="J28" s="41">
        <f>F28*G28+I28</f>
        <v>29.206957306173045</v>
      </c>
      <c r="K28" s="41">
        <f ca="1">C28*$J28/'5D NONAUTO MODEL'!$G$6</f>
        <v>0</v>
      </c>
    </row>
    <row r="29" spans="1:11" x14ac:dyDescent="0.25">
      <c r="A29" s="1"/>
      <c r="C29" s="363"/>
      <c r="D29" s="363"/>
      <c r="E29" s="269"/>
      <c r="F29" s="270"/>
      <c r="G29" s="241"/>
      <c r="H29" s="145"/>
      <c r="I29" s="145"/>
      <c r="J29" s="270"/>
      <c r="K29" s="41"/>
    </row>
    <row r="30" spans="1:11" x14ac:dyDescent="0.25">
      <c r="A30" s="1" t="s">
        <v>224</v>
      </c>
      <c r="F30" s="41"/>
      <c r="H30" s="41"/>
      <c r="I30" s="41"/>
      <c r="J30" s="41"/>
      <c r="K30" s="41"/>
    </row>
    <row r="31" spans="1:11" x14ac:dyDescent="0.25">
      <c r="A31" s="35"/>
      <c r="B31" t="s">
        <v>225</v>
      </c>
      <c r="C31" s="2">
        <f>SUM('5D NONAUTO MODEL'!$B$25:$B$29)</f>
        <v>15.827246793789092</v>
      </c>
      <c r="D31" s="2">
        <f>PRODUCTIVITIES!$E$23*'COVERAGE FACTORS'!$C$25+PRODUCTIVITIES!$E$17*(1-'COVERAGE FACTORS'!$C$25)</f>
        <v>1572.5270916832678</v>
      </c>
      <c r="E31" s="37">
        <f>'WAGE RATES'!$D$6</f>
        <v>50.10717457546064</v>
      </c>
      <c r="F31" s="41">
        <f>E31*100/D31</f>
        <v>3.1864108949515657</v>
      </c>
      <c r="G31" s="41">
        <f>PIGGYBACKS!$B$8</f>
        <v>1.6305774272183733</v>
      </c>
      <c r="H31" s="41">
        <f>'WAGE RATES'!$D$10</f>
        <v>1.0285306172213804</v>
      </c>
      <c r="I31" s="41">
        <f>(H31-1)*F31</f>
        <v>9.0910269553899262E-2</v>
      </c>
      <c r="J31" s="41">
        <f>F31*G31+I31</f>
        <v>5.2865999487046178</v>
      </c>
      <c r="K31" s="41">
        <f ca="1">C31*$J31/'5D NONAUTO MODEL'!$G$6</f>
        <v>8.3672322088180814E-3</v>
      </c>
    </row>
    <row r="32" spans="1:11" x14ac:dyDescent="0.25">
      <c r="A32" s="35"/>
      <c r="B32" t="s">
        <v>226</v>
      </c>
      <c r="C32" s="2">
        <f>SUM('5D NONAUTO MODEL'!$A$25:$A$29)</f>
        <v>4.1733953911726154</v>
      </c>
      <c r="D32" s="2">
        <f>PRODUCTIVITIES!$E$16</f>
        <v>888.0117100682927</v>
      </c>
      <c r="E32" s="37">
        <f>'WAGE RATES'!$D$5</f>
        <v>54.142360316355024</v>
      </c>
      <c r="F32" s="41">
        <f>E32*100/D32</f>
        <v>6.0970322465895403</v>
      </c>
      <c r="G32" s="41">
        <f>PIGGYBACKS!$B$9</f>
        <v>1.2615773174013249</v>
      </c>
      <c r="H32" s="41">
        <f>'WAGE RATES'!$D$10</f>
        <v>1.0285306172213804</v>
      </c>
      <c r="I32" s="41">
        <f>(H32-1)*F32</f>
        <v>0.17395209321385913</v>
      </c>
      <c r="J32" s="41">
        <f>F32*G32+I32</f>
        <v>7.8658296789756648</v>
      </c>
      <c r="K32" s="41">
        <f ca="1">C32*$J32/'5D NONAUTO MODEL'!$G$6</f>
        <v>3.2827217329985843E-3</v>
      </c>
    </row>
    <row r="33" spans="1:11" x14ac:dyDescent="0.25">
      <c r="A33" s="35"/>
      <c r="B33" t="s">
        <v>227</v>
      </c>
      <c r="C33" s="2">
        <f>SUM('5D NONAUTO MODEL'!$H$25:$H$29)</f>
        <v>0</v>
      </c>
      <c r="D33" s="2">
        <f>PRODUCTIVITIES!$E$30</f>
        <v>1.0273268954181221</v>
      </c>
      <c r="E33" s="37">
        <f>'WAGE RATES'!$D$6</f>
        <v>50.10717457546064</v>
      </c>
      <c r="F33" s="41">
        <f>E33*100/D33</f>
        <v>4877.4323731753384</v>
      </c>
      <c r="G33" s="41">
        <f>PIGGYBACKS!$B$10</f>
        <v>1.6305774272183733</v>
      </c>
      <c r="H33" s="41">
        <f>'WAGE RATES'!$D$10</f>
        <v>1.0285306172213804</v>
      </c>
      <c r="I33" s="41">
        <f>(H33-1)*F33</f>
        <v>139.15615606223454</v>
      </c>
      <c r="J33" s="41">
        <f>F33*G33+I33</f>
        <v>8092.1872865460828</v>
      </c>
      <c r="K33" s="41">
        <f ca="1">C33*$J33/'5D NONAUTO MODEL'!$G$6</f>
        <v>0</v>
      </c>
    </row>
    <row r="34" spans="1:11" x14ac:dyDescent="0.25">
      <c r="B34" t="s">
        <v>228</v>
      </c>
      <c r="C34" s="2">
        <f>SUM('5D NONAUTO MODEL'!$G$25:$G$29)</f>
        <v>0</v>
      </c>
      <c r="D34" s="2">
        <f>PRODUCTIVITIES!$E$36</f>
        <v>1.0273268954181221</v>
      </c>
      <c r="E34" s="37">
        <f>'WAGE RATES'!$D$6</f>
        <v>50.10717457546064</v>
      </c>
      <c r="F34" s="41">
        <f>E34*100/D34</f>
        <v>4877.4323731753384</v>
      </c>
      <c r="G34" s="41">
        <f>PIGGYBACKS!$B$10</f>
        <v>1.6305774272183733</v>
      </c>
      <c r="H34" s="41">
        <f>'WAGE RATES'!$D$10</f>
        <v>1.0285306172213804</v>
      </c>
      <c r="I34" s="41">
        <f>(H34-1)*F34</f>
        <v>139.15615606223454</v>
      </c>
      <c r="J34" s="41">
        <f>F34*G34+I34</f>
        <v>8092.1872865460828</v>
      </c>
      <c r="K34" s="41">
        <f ca="1">C34*$J34/'5D NONAUTO MODEL'!$G$6</f>
        <v>0</v>
      </c>
    </row>
    <row r="35" spans="1:11" x14ac:dyDescent="0.25">
      <c r="B35" t="s">
        <v>200</v>
      </c>
      <c r="C35" s="2">
        <f>SUM('5D NONAUTO MODEL'!$M$25:$M$29)</f>
        <v>0.9623910641563036</v>
      </c>
      <c r="D35" s="2">
        <f>PRODUCTIVITIES!$E$42</f>
        <v>620.26371981497391</v>
      </c>
      <c r="E35" s="37">
        <f>'WAGE RATES'!$D$6</f>
        <v>50.10717457546064</v>
      </c>
      <c r="F35" s="41">
        <f>E35*100/D35</f>
        <v>8.0783661811475493</v>
      </c>
      <c r="G35" s="41">
        <f>PIGGYBACKS!$B$12</f>
        <v>1.3622907328394676</v>
      </c>
      <c r="H35" s="41">
        <f>'WAGE RATES'!$D$10</f>
        <v>1.0285306172213804</v>
      </c>
      <c r="I35" s="41">
        <f>(H35-1)*F35</f>
        <v>0.23048077328846525</v>
      </c>
      <c r="J35" s="41">
        <f>F35*G35+I35</f>
        <v>11.235564158349531</v>
      </c>
      <c r="K35" s="41">
        <f ca="1">C35*$J35/'5D NONAUTO MODEL'!$G$6</f>
        <v>1.0813006546750439E-3</v>
      </c>
    </row>
    <row r="36" spans="1:11" x14ac:dyDescent="0.25">
      <c r="F36" s="41"/>
      <c r="H36" s="41"/>
      <c r="I36" s="41"/>
      <c r="J36" s="41"/>
      <c r="K36" s="41"/>
    </row>
    <row r="37" spans="1:11" x14ac:dyDescent="0.25">
      <c r="A37" s="1" t="s">
        <v>229</v>
      </c>
      <c r="F37" s="41"/>
      <c r="H37" s="41"/>
      <c r="I37" s="41"/>
      <c r="J37" s="41"/>
      <c r="K37" s="41"/>
    </row>
    <row r="38" spans="1:11" x14ac:dyDescent="0.25">
      <c r="A38" s="35"/>
      <c r="B38" t="s">
        <v>225</v>
      </c>
      <c r="C38" s="2">
        <f>SUM('5D NONAUTO MODEL'!$B$38:$B$42)</f>
        <v>1.9233082199634297</v>
      </c>
      <c r="D38" s="2">
        <f>PRODUCTIVITIES!$E$24*'COVERAGE FACTORS'!$C$25+PRODUCTIVITIES!$E$18*(1-'COVERAGE FACTORS'!$C$25)</f>
        <v>2267.7698382210328</v>
      </c>
      <c r="E38" s="37">
        <f>'WAGE RATES'!$D$6</f>
        <v>50.10717457546064</v>
      </c>
      <c r="F38" s="41">
        <f>E38*100/D38</f>
        <v>2.2095352769471326</v>
      </c>
      <c r="G38" s="41">
        <f>PIGGYBACKS!$B$8</f>
        <v>1.6305774272183733</v>
      </c>
      <c r="H38" s="41">
        <f>'WAGE RATES'!$D$10</f>
        <v>1.0285306172213804</v>
      </c>
      <c r="I38" s="41">
        <f>(H38-1)*F38</f>
        <v>6.3039405223715358E-2</v>
      </c>
      <c r="J38" s="41">
        <f>F38*G38+I38</f>
        <v>3.6658577524564069</v>
      </c>
      <c r="K38" s="41">
        <f ca="1">C38*$J38/'5D NONAUTO MODEL'!$G$6</f>
        <v>7.0505743485160777E-4</v>
      </c>
    </row>
    <row r="39" spans="1:11" x14ac:dyDescent="0.25">
      <c r="A39" s="35"/>
      <c r="B39" t="s">
        <v>226</v>
      </c>
      <c r="C39" s="2">
        <f>SUM('5D NONAUTO MODEL'!$A$38:$A$42)</f>
        <v>0.11789813608299908</v>
      </c>
      <c r="D39" s="2">
        <f>PRODUCTIVITIES!$E$16</f>
        <v>888.0117100682927</v>
      </c>
      <c r="E39" s="37">
        <f>'WAGE RATES'!$D$5</f>
        <v>54.142360316355024</v>
      </c>
      <c r="F39" s="41">
        <f>E39*100/D39</f>
        <v>6.0970322465895403</v>
      </c>
      <c r="G39" s="41">
        <f>PIGGYBACKS!$B$9</f>
        <v>1.2615773174013249</v>
      </c>
      <c r="H39" s="41">
        <f>'WAGE RATES'!$D$10</f>
        <v>1.0285306172213804</v>
      </c>
      <c r="I39" s="41">
        <f>(H39-1)*F39</f>
        <v>0.17395209321385913</v>
      </c>
      <c r="J39" s="41">
        <f>F39*G39+I39</f>
        <v>7.8658296789756648</v>
      </c>
      <c r="K39" s="41">
        <f ca="1">C39*$J39/'5D NONAUTO MODEL'!$G$6</f>
        <v>9.2736665789756674E-5</v>
      </c>
    </row>
    <row r="40" spans="1:11" x14ac:dyDescent="0.25">
      <c r="B40" t="s">
        <v>227</v>
      </c>
      <c r="C40" s="2">
        <f>SUM('5D NONAUTO MODEL'!$H$38:$H$42)</f>
        <v>0</v>
      </c>
      <c r="D40" s="2">
        <f>PRODUCTIVITIES!$E$31</f>
        <v>1.0273268954181221</v>
      </c>
      <c r="E40" s="37">
        <f>'WAGE RATES'!$D$6</f>
        <v>50.10717457546064</v>
      </c>
      <c r="F40" s="41">
        <f>E40*100/D40</f>
        <v>4877.4323731753384</v>
      </c>
      <c r="G40" s="41">
        <f>PIGGYBACKS!$B$10</f>
        <v>1.6305774272183733</v>
      </c>
      <c r="H40" s="41">
        <f>'WAGE RATES'!$D$10</f>
        <v>1.0285306172213804</v>
      </c>
      <c r="I40" s="41">
        <f>(H40-1)*F40</f>
        <v>139.15615606223454</v>
      </c>
      <c r="J40" s="41">
        <f>F40*G40+I40</f>
        <v>8092.1872865460828</v>
      </c>
      <c r="K40" s="41">
        <f ca="1">C40*$J40/'5D NONAUTO MODEL'!$G$6</f>
        <v>0</v>
      </c>
    </row>
    <row r="41" spans="1:11" x14ac:dyDescent="0.25">
      <c r="B41" t="s">
        <v>228</v>
      </c>
      <c r="C41" s="2">
        <f>SUM('5D NONAUTO MODEL'!$G$38:$G$42)</f>
        <v>0</v>
      </c>
      <c r="D41" s="2">
        <f>PRODUCTIVITIES!$E$37</f>
        <v>1.0273268954181221</v>
      </c>
      <c r="E41" s="37">
        <f>'WAGE RATES'!$D$6</f>
        <v>50.10717457546064</v>
      </c>
      <c r="F41" s="41">
        <f>E41*100/D41</f>
        <v>4877.4323731753384</v>
      </c>
      <c r="G41" s="41">
        <f>PIGGYBACKS!$B$10</f>
        <v>1.6305774272183733</v>
      </c>
      <c r="H41" s="41">
        <f>'WAGE RATES'!$D$10</f>
        <v>1.0285306172213804</v>
      </c>
      <c r="I41" s="41">
        <f>(H41-1)*F41</f>
        <v>139.15615606223454</v>
      </c>
      <c r="J41" s="41">
        <f>F41*G41+I41</f>
        <v>8092.1872865460828</v>
      </c>
      <c r="K41" s="41">
        <f ca="1">C41*$J41/'5D NONAUTO MODEL'!$G$6</f>
        <v>0</v>
      </c>
    </row>
    <row r="42" spans="1:11" x14ac:dyDescent="0.25">
      <c r="B42" t="s">
        <v>200</v>
      </c>
      <c r="C42" s="2">
        <f>SUM('5D NONAUTO MODEL'!$M$38:$M$42)</f>
        <v>0.26039204842830765</v>
      </c>
      <c r="D42" s="2">
        <f>PRODUCTIVITIES!$E$43</f>
        <v>490.6212884367572</v>
      </c>
      <c r="E42" s="37">
        <f>'WAGE RATES'!$D$6</f>
        <v>50.10717457546064</v>
      </c>
      <c r="F42" s="41">
        <f>E42*100/D42</f>
        <v>10.213004563074444</v>
      </c>
      <c r="G42" s="41">
        <f>PIGGYBACKS!$B$12</f>
        <v>1.3622907328394676</v>
      </c>
      <c r="H42" s="41">
        <f>'WAGE RATES'!$D$10</f>
        <v>1.0285306172213804</v>
      </c>
      <c r="I42" s="41">
        <f>(H42-1)*F42</f>
        <v>0.29138332386928828</v>
      </c>
      <c r="J42" s="41">
        <f>F42*G42+I42</f>
        <v>14.204464794592798</v>
      </c>
      <c r="K42" s="41">
        <f ca="1">C42*$J42/'5D NONAUTO MODEL'!$G$6</f>
        <v>3.6987296846918022E-4</v>
      </c>
    </row>
    <row r="43" spans="1:11" x14ac:dyDescent="0.25">
      <c r="F43" s="41"/>
      <c r="H43" s="41"/>
      <c r="I43" s="41"/>
      <c r="J43" s="41"/>
      <c r="K43" s="41"/>
    </row>
    <row r="44" spans="1:11" x14ac:dyDescent="0.25">
      <c r="A44" s="1" t="s">
        <v>230</v>
      </c>
      <c r="F44" s="41"/>
      <c r="H44" s="41"/>
      <c r="I44" s="41"/>
      <c r="J44" s="41"/>
      <c r="K44" s="41"/>
    </row>
    <row r="45" spans="1:11" x14ac:dyDescent="0.25">
      <c r="A45" s="35"/>
      <c r="B45" t="s">
        <v>225</v>
      </c>
      <c r="C45" s="2">
        <f>SUM('5D NONAUTO MODEL'!$B$53:$B$57)</f>
        <v>100.13050097758426</v>
      </c>
      <c r="D45" s="2">
        <f>PRODUCTIVITIES!$E$25*'COVERAGE FACTORS'!$C$25+PRODUCTIVITIES!$E$19*(1-'COVERAGE FACTORS'!$C$25)</f>
        <v>1572.97537151239</v>
      </c>
      <c r="E45" s="37">
        <f>'WAGE RATES'!$D$6</f>
        <v>50.10717457546064</v>
      </c>
      <c r="F45" s="41">
        <f>E45*100/D45</f>
        <v>3.1855028046169225</v>
      </c>
      <c r="G45" s="41">
        <f>PIGGYBACKS!$B$8</f>
        <v>1.6305774272183733</v>
      </c>
      <c r="H45" s="41">
        <f>'WAGE RATES'!$D$10</f>
        <v>1.0285306172213804</v>
      </c>
      <c r="I45" s="41">
        <f>(H45-1)*F45</f>
        <v>9.0884361176159112E-2</v>
      </c>
      <c r="J45" s="41">
        <f>F45*G45+I45</f>
        <v>5.285093328725333</v>
      </c>
      <c r="K45" s="41">
        <f ca="1">C45*$J45/'5D NONAUTO MODEL'!$G$6</f>
        <v>5.2919904271855653E-2</v>
      </c>
    </row>
    <row r="46" spans="1:11" x14ac:dyDescent="0.25">
      <c r="A46" s="35"/>
      <c r="B46" t="s">
        <v>226</v>
      </c>
      <c r="C46" s="2">
        <f>SUM('5D NONAUTO MODEL'!$A$53:$A$57)</f>
        <v>24.570974906777245</v>
      </c>
      <c r="D46" s="2">
        <f>PRODUCTIVITIES!$E$16</f>
        <v>888.0117100682927</v>
      </c>
      <c r="E46" s="37">
        <f>'WAGE RATES'!$D$5</f>
        <v>54.142360316355024</v>
      </c>
      <c r="F46" s="41">
        <f>E46*100/D46</f>
        <v>6.0970322465895403</v>
      </c>
      <c r="G46" s="41">
        <f>PIGGYBACKS!$B$9</f>
        <v>1.2615773174013249</v>
      </c>
      <c r="H46" s="41">
        <f>'WAGE RATES'!$D$10</f>
        <v>1.0285306172213804</v>
      </c>
      <c r="I46" s="41">
        <f>(H46-1)*F46</f>
        <v>0.17395209321385913</v>
      </c>
      <c r="J46" s="41">
        <f>F46*G46+I46</f>
        <v>7.8658296789756648</v>
      </c>
      <c r="K46" s="41">
        <f ca="1">C46*$J46/'5D NONAUTO MODEL'!$G$6</f>
        <v>1.9327110366309495E-2</v>
      </c>
    </row>
    <row r="47" spans="1:11" x14ac:dyDescent="0.25">
      <c r="B47" t="s">
        <v>227</v>
      </c>
      <c r="C47" s="2">
        <f>SUM('5D NONAUTO MODEL'!$H$53:$H$57)</f>
        <v>0</v>
      </c>
      <c r="D47" s="2">
        <f>PRODUCTIVITIES!$E$32</f>
        <v>1.0273268954181221</v>
      </c>
      <c r="E47" s="37">
        <f>'WAGE RATES'!$D$6</f>
        <v>50.10717457546064</v>
      </c>
      <c r="F47" s="41">
        <f>E47*100/D47</f>
        <v>4877.4323731753384</v>
      </c>
      <c r="G47" s="41">
        <f>PIGGYBACKS!$B$10</f>
        <v>1.6305774272183733</v>
      </c>
      <c r="H47" s="41">
        <f>'WAGE RATES'!$D$10</f>
        <v>1.0285306172213804</v>
      </c>
      <c r="I47" s="41">
        <f>(H47-1)*F47</f>
        <v>139.15615606223454</v>
      </c>
      <c r="J47" s="41">
        <f>F47*G47+I47</f>
        <v>8092.1872865460828</v>
      </c>
      <c r="K47" s="41">
        <f ca="1">C47*$J47/'5D NONAUTO MODEL'!$G$6</f>
        <v>0</v>
      </c>
    </row>
    <row r="48" spans="1:11" x14ac:dyDescent="0.25">
      <c r="B48" t="s">
        <v>228</v>
      </c>
      <c r="C48" s="2">
        <f>SUM('5D NONAUTO MODEL'!$G$53:$G$57)</f>
        <v>0</v>
      </c>
      <c r="D48" s="2">
        <f>PRODUCTIVITIES!$E$38</f>
        <v>1.0273268954181221</v>
      </c>
      <c r="E48" s="37">
        <f>'WAGE RATES'!$D$6</f>
        <v>50.10717457546064</v>
      </c>
      <c r="F48" s="41">
        <f>E48*100/D48</f>
        <v>4877.4323731753384</v>
      </c>
      <c r="G48" s="41">
        <f>PIGGYBACKS!$B$10</f>
        <v>1.6305774272183733</v>
      </c>
      <c r="H48" s="41">
        <f>'WAGE RATES'!$D$10</f>
        <v>1.0285306172213804</v>
      </c>
      <c r="I48" s="41">
        <f>(H48-1)*F48</f>
        <v>139.15615606223454</v>
      </c>
      <c r="J48" s="41">
        <f>F48*G48+I48</f>
        <v>8092.1872865460828</v>
      </c>
      <c r="K48" s="41">
        <f ca="1">C48*$J48/'5D NONAUTO MODEL'!$G$6</f>
        <v>0</v>
      </c>
    </row>
    <row r="49" spans="1:11" x14ac:dyDescent="0.25">
      <c r="B49" t="s">
        <v>200</v>
      </c>
      <c r="C49" s="2">
        <f>SUM('5D NONAUTO MODEL'!$M$53:$M$57)</f>
        <v>9.8615434953329668</v>
      </c>
      <c r="D49" s="2">
        <f>PRODUCTIVITIES!$E$44</f>
        <v>692.96374405746178</v>
      </c>
      <c r="E49" s="37">
        <f>'WAGE RATES'!$D$6</f>
        <v>50.10717457546064</v>
      </c>
      <c r="F49" s="41">
        <f>E49*100/D49</f>
        <v>7.2308508208628108</v>
      </c>
      <c r="G49" s="41">
        <f>PIGGYBACKS!$B$12</f>
        <v>1.3622907328394676</v>
      </c>
      <c r="H49" s="41">
        <f>'WAGE RATES'!$D$10</f>
        <v>1.0285306172213804</v>
      </c>
      <c r="I49" s="41">
        <f>(H49-1)*F49</f>
        <v>0.20630063695494108</v>
      </c>
      <c r="J49" s="41">
        <f>F49*G49+I49</f>
        <v>10.056821700761006</v>
      </c>
      <c r="K49" s="41">
        <f ca="1">C49*$J49/'5D NONAUTO MODEL'!$G$6</f>
        <v>9.9175784626863214E-3</v>
      </c>
    </row>
    <row r="50" spans="1:11" x14ac:dyDescent="0.25">
      <c r="F50" s="41"/>
      <c r="H50" s="41"/>
      <c r="I50" s="41"/>
      <c r="J50" s="41"/>
      <c r="K50" s="41"/>
    </row>
    <row r="51" spans="1:11" x14ac:dyDescent="0.25">
      <c r="A51" s="1" t="s">
        <v>231</v>
      </c>
      <c r="F51" s="41"/>
      <c r="H51" s="41"/>
      <c r="I51" s="41"/>
      <c r="J51" s="41"/>
      <c r="K51" s="41"/>
    </row>
    <row r="52" spans="1:11" x14ac:dyDescent="0.25">
      <c r="A52" s="35"/>
      <c r="B52" t="s">
        <v>225</v>
      </c>
      <c r="C52" s="2">
        <f>SUM('5D NONAUTO MODEL'!$B$64:$B$68)</f>
        <v>47.845059779886313</v>
      </c>
      <c r="D52" s="2">
        <f>PRODUCTIVITIES!$E$26*'COVERAGE FACTORS'!$C$25+PRODUCTIVITIES!$E$20*(1-'COVERAGE FACTORS'!$C$25)</f>
        <v>2073.5491608992547</v>
      </c>
      <c r="E52" s="37">
        <f>'WAGE RATES'!$D$6</f>
        <v>50.10717457546064</v>
      </c>
      <c r="F52" s="41">
        <f>E52*100/D52</f>
        <v>2.4164932049997896</v>
      </c>
      <c r="G52" s="41">
        <f>PIGGYBACKS!$B$8</f>
        <v>1.6305774272183733</v>
      </c>
      <c r="H52" s="41">
        <f>'WAGE RATES'!$D$10</f>
        <v>1.0285306172213804</v>
      </c>
      <c r="I52" s="41">
        <f>(H52-1)*F52</f>
        <v>6.8944042649915702E-2</v>
      </c>
      <c r="J52" s="41">
        <f>F52*G52+I52</f>
        <v>4.0092233157491535</v>
      </c>
      <c r="K52" s="41">
        <f ca="1">C52*$J52/'5D NONAUTO MODEL'!$G$6</f>
        <v>1.9182152921293244E-2</v>
      </c>
    </row>
    <row r="53" spans="1:11" x14ac:dyDescent="0.25">
      <c r="A53" s="35"/>
      <c r="B53" t="s">
        <v>226</v>
      </c>
      <c r="C53" s="2">
        <f>SUM('5D NONAUTO MODEL'!$A$64:$A$68)</f>
        <v>7.8654401143048247</v>
      </c>
      <c r="D53" s="2">
        <f>PRODUCTIVITIES!$E$16</f>
        <v>888.0117100682927</v>
      </c>
      <c r="E53" s="37">
        <f>'WAGE RATES'!$D$5</f>
        <v>54.142360316355024</v>
      </c>
      <c r="F53" s="41">
        <f>E53*100/D53</f>
        <v>6.0970322465895403</v>
      </c>
      <c r="G53" s="41">
        <f>PIGGYBACKS!$B$9</f>
        <v>1.2615773174013249</v>
      </c>
      <c r="H53" s="41">
        <f>'WAGE RATES'!$D$10</f>
        <v>1.0285306172213804</v>
      </c>
      <c r="I53" s="41">
        <f>(H53-1)*F53</f>
        <v>0.17395209321385913</v>
      </c>
      <c r="J53" s="41">
        <f>F53*G53+I53</f>
        <v>7.8658296789756648</v>
      </c>
      <c r="K53" s="41">
        <f ca="1">C53*$J53/'5D NONAUTO MODEL'!$G$6</f>
        <v>6.1868212289304695E-3</v>
      </c>
    </row>
    <row r="54" spans="1:11" x14ac:dyDescent="0.25">
      <c r="B54" t="s">
        <v>227</v>
      </c>
      <c r="C54" s="2">
        <f>SUM('5D NONAUTO MODEL'!$H$64:$H$68)</f>
        <v>0</v>
      </c>
      <c r="D54" s="2">
        <f>PRODUCTIVITIES!$E$33</f>
        <v>1.0273268954181221</v>
      </c>
      <c r="E54" s="37">
        <f>'WAGE RATES'!$D$6</f>
        <v>50.10717457546064</v>
      </c>
      <c r="F54" s="41">
        <f>E54*100/D54</f>
        <v>4877.4323731753384</v>
      </c>
      <c r="G54" s="41">
        <f>PIGGYBACKS!$B$10</f>
        <v>1.6305774272183733</v>
      </c>
      <c r="H54" s="41">
        <f>'WAGE RATES'!$D$10</f>
        <v>1.0285306172213804</v>
      </c>
      <c r="I54" s="41">
        <f>(H54-1)*F54</f>
        <v>139.15615606223454</v>
      </c>
      <c r="J54" s="41">
        <f>F54*G54+I54</f>
        <v>8092.1872865460828</v>
      </c>
      <c r="K54" s="41">
        <f ca="1">C54*$J54/'5D NONAUTO MODEL'!$G$6</f>
        <v>0</v>
      </c>
    </row>
    <row r="55" spans="1:11" x14ac:dyDescent="0.25">
      <c r="B55" t="s">
        <v>228</v>
      </c>
      <c r="C55" s="2">
        <f>SUM('5D NONAUTO MODEL'!$G$64:$G$68)</f>
        <v>0</v>
      </c>
      <c r="D55" s="2">
        <f>PRODUCTIVITIES!$E$39</f>
        <v>1.0273268954181221</v>
      </c>
      <c r="E55" s="37">
        <f>'WAGE RATES'!$D$6</f>
        <v>50.10717457546064</v>
      </c>
      <c r="F55" s="41">
        <f>E55*100/D55</f>
        <v>4877.4323731753384</v>
      </c>
      <c r="G55" s="41">
        <f>PIGGYBACKS!$B$10</f>
        <v>1.6305774272183733</v>
      </c>
      <c r="H55" s="41">
        <f>'WAGE RATES'!$D$10</f>
        <v>1.0285306172213804</v>
      </c>
      <c r="I55" s="41">
        <f>(H55-1)*F55</f>
        <v>139.15615606223454</v>
      </c>
      <c r="J55" s="41">
        <f>F55*G55+I55</f>
        <v>8092.1872865460828</v>
      </c>
      <c r="K55" s="41">
        <f ca="1">C55*$J55/'5D NONAUTO MODEL'!$G$6</f>
        <v>0</v>
      </c>
    </row>
    <row r="56" spans="1:11" x14ac:dyDescent="0.25">
      <c r="B56" t="s">
        <v>200</v>
      </c>
      <c r="C56" s="2">
        <f>SUM('5D NONAUTO MODEL'!$M$64:$M$68)</f>
        <v>5.7238269920364919</v>
      </c>
      <c r="D56" s="2">
        <f>PRODUCTIVITIES!$E$45</f>
        <v>600.65917211803048</v>
      </c>
      <c r="E56" s="37">
        <f>'WAGE RATES'!$D$6</f>
        <v>50.10717457546064</v>
      </c>
      <c r="F56" s="41">
        <f>E56*100/D56</f>
        <v>8.3420310387959073</v>
      </c>
      <c r="G56" s="41">
        <f>PIGGYBACKS!$B$12</f>
        <v>1.3622907328394676</v>
      </c>
      <c r="H56" s="41">
        <f>'WAGE RATES'!$D$10</f>
        <v>1.0285306172213804</v>
      </c>
      <c r="I56" s="41">
        <f>(H56-1)*F56</f>
        <v>0.2380032944167603</v>
      </c>
      <c r="J56" s="41">
        <f>F56*G56+I56</f>
        <v>11.602274871627621</v>
      </c>
      <c r="K56" s="41">
        <f ca="1">C56*$J56/'5D NONAUTO MODEL'!$G$6</f>
        <v>6.6409414079248962E-3</v>
      </c>
    </row>
    <row r="57" spans="1:11" x14ac:dyDescent="0.25">
      <c r="F57" s="41"/>
      <c r="H57" s="41"/>
      <c r="I57" s="41"/>
      <c r="J57" s="41"/>
      <c r="K57" s="41"/>
    </row>
    <row r="58" spans="1:11" x14ac:dyDescent="0.25">
      <c r="A58" s="1" t="s">
        <v>232</v>
      </c>
      <c r="F58" s="41"/>
      <c r="H58" s="41"/>
      <c r="I58" s="41"/>
      <c r="J58" s="41"/>
      <c r="K58" s="41"/>
    </row>
    <row r="59" spans="1:11" x14ac:dyDescent="0.25">
      <c r="A59" s="35"/>
      <c r="B59" t="s">
        <v>225</v>
      </c>
      <c r="C59" s="2">
        <f ca="1">SUM('5D NONAUTO MODEL'!$B$74:$B$78)+SUM('5D NONAUTO MODEL'!$B$108:$B$112)</f>
        <v>7.9200139961417024</v>
      </c>
      <c r="D59" s="2">
        <f>PRODUCTIVITIES!$E$27*'COVERAGE FACTORS'!$C$25+PRODUCTIVITIES!$E$21*(1-'COVERAGE FACTORS'!$C$25)</f>
        <v>1117.4154005483335</v>
      </c>
      <c r="E59" s="37">
        <f>'WAGE RATES'!$D$6</f>
        <v>50.10717457546064</v>
      </c>
      <c r="F59" s="41">
        <f>E59*100/D59</f>
        <v>4.4842029697167458</v>
      </c>
      <c r="G59" s="41">
        <f>PIGGYBACKS!$B$8</f>
        <v>1.6305774272183733</v>
      </c>
      <c r="H59" s="41">
        <f>'WAGE RATES'!$D$10</f>
        <v>1.0285306172213804</v>
      </c>
      <c r="I59" s="41">
        <f>(H59-1)*F59</f>
        <v>0.1279370784719657</v>
      </c>
      <c r="J59" s="41">
        <f>F59*G59+I59</f>
        <v>7.4397772199576861</v>
      </c>
      <c r="K59" s="41">
        <f ca="1">C59*$J59/'5D NONAUTO MODEL'!$G$6</f>
        <v>5.8923139710241133E-3</v>
      </c>
    </row>
    <row r="60" spans="1:11" x14ac:dyDescent="0.25">
      <c r="A60" s="35"/>
      <c r="B60" t="s">
        <v>226</v>
      </c>
      <c r="C60" s="2">
        <f ca="1">SUM('5D NONAUTO MODEL'!$A$74:$A$78)+SUM('5D NONAUTO MODEL'!$A$108:$A$112)</f>
        <v>0.48549414919784745</v>
      </c>
      <c r="D60" s="2">
        <f>PRODUCTIVITIES!$E$16</f>
        <v>888.0117100682927</v>
      </c>
      <c r="E60" s="37">
        <f>'WAGE RATES'!$D$5</f>
        <v>54.142360316355024</v>
      </c>
      <c r="F60" s="41">
        <f>E60*100/D60</f>
        <v>6.0970322465895403</v>
      </c>
      <c r="G60" s="41">
        <f>PIGGYBACKS!$B$9</f>
        <v>1.2615773174013249</v>
      </c>
      <c r="H60" s="41">
        <f>'WAGE RATES'!$D$10</f>
        <v>1.0285306172213804</v>
      </c>
      <c r="I60" s="41">
        <f>(H60-1)*F60</f>
        <v>0.17395209321385913</v>
      </c>
      <c r="J60" s="41">
        <f>F60*G60+I60</f>
        <v>7.8658296789756648</v>
      </c>
      <c r="K60" s="41">
        <f ca="1">C60*$J60/'5D NONAUTO MODEL'!$G$6</f>
        <v>3.8188142877294715E-4</v>
      </c>
    </row>
    <row r="61" spans="1:11" x14ac:dyDescent="0.25">
      <c r="B61" t="s">
        <v>227</v>
      </c>
      <c r="C61" s="2">
        <f>SUM('5D NONAUTO MODEL'!$H$74:$H$78)</f>
        <v>0</v>
      </c>
      <c r="D61" s="2">
        <f>PRODUCTIVITIES!$E$34</f>
        <v>1.0273268954181221</v>
      </c>
      <c r="E61" s="37">
        <f>'WAGE RATES'!$D$6</f>
        <v>50.10717457546064</v>
      </c>
      <c r="F61" s="41">
        <f>E61*100/D61</f>
        <v>4877.4323731753384</v>
      </c>
      <c r="G61" s="41">
        <f>PIGGYBACKS!$B$10</f>
        <v>1.6305774272183733</v>
      </c>
      <c r="H61" s="41">
        <f>'WAGE RATES'!$D$10</f>
        <v>1.0285306172213804</v>
      </c>
      <c r="I61" s="41">
        <f>(H61-1)*F61</f>
        <v>139.15615606223454</v>
      </c>
      <c r="J61" s="41">
        <f>F61*G61+I61</f>
        <v>8092.1872865460828</v>
      </c>
      <c r="K61" s="41">
        <f ca="1">C61*$J61/'5D NONAUTO MODEL'!$G$6</f>
        <v>0</v>
      </c>
    </row>
    <row r="62" spans="1:11" x14ac:dyDescent="0.25">
      <c r="B62" t="s">
        <v>228</v>
      </c>
      <c r="C62" s="2">
        <f>SUM('5D NONAUTO MODEL'!$G$74:$G$78)</f>
        <v>0</v>
      </c>
      <c r="D62" s="2">
        <f>PRODUCTIVITIES!$E$40</f>
        <v>1.0273268954181221</v>
      </c>
      <c r="E62" s="37">
        <f>'WAGE RATES'!$D$6</f>
        <v>50.10717457546064</v>
      </c>
      <c r="F62" s="41">
        <f>E62*100/D62</f>
        <v>4877.4323731753384</v>
      </c>
      <c r="G62" s="41">
        <f>PIGGYBACKS!$B$10</f>
        <v>1.6305774272183733</v>
      </c>
      <c r="H62" s="41">
        <f>'WAGE RATES'!$D$10</f>
        <v>1.0285306172213804</v>
      </c>
      <c r="I62" s="41">
        <f>(H62-1)*F62</f>
        <v>139.15615606223454</v>
      </c>
      <c r="J62" s="41">
        <f>F62*G62+I62</f>
        <v>8092.1872865460828</v>
      </c>
      <c r="K62" s="41">
        <f ca="1">C62*$J62/'5D NONAUTO MODEL'!$G$6</f>
        <v>0</v>
      </c>
    </row>
    <row r="63" spans="1:11" x14ac:dyDescent="0.25">
      <c r="B63" t="s">
        <v>200</v>
      </c>
      <c r="C63" s="2">
        <f ca="1">SUM('5D NONAUTO MODEL'!$M$74:$M$78)</f>
        <v>1.0695965222328823</v>
      </c>
      <c r="D63" s="2">
        <f>PRODUCTIVITIES!$E$46</f>
        <v>753.4091755495233</v>
      </c>
      <c r="E63" s="37">
        <f>'WAGE RATES'!$D$6</f>
        <v>50.10717457546064</v>
      </c>
      <c r="F63" s="41">
        <f>E63*100/D63</f>
        <v>6.6507252900010618</v>
      </c>
      <c r="G63" s="41">
        <f>PIGGYBACKS!$B$12</f>
        <v>1.3622907328394676</v>
      </c>
      <c r="H63" s="41">
        <f>'WAGE RATES'!$D$10</f>
        <v>1.0285306172213804</v>
      </c>
      <c r="I63" s="41">
        <f>(H63-1)*F63</f>
        <v>0.18974929749357441</v>
      </c>
      <c r="J63" s="41">
        <f>F63*G63+I63</f>
        <v>9.2499707267231006</v>
      </c>
      <c r="K63" s="41">
        <f ca="1">C63*$J63/'5D NONAUTO MODEL'!$G$6</f>
        <v>9.8937365200590043E-4</v>
      </c>
    </row>
    <row r="64" spans="1:11" x14ac:dyDescent="0.25">
      <c r="A64" s="35"/>
      <c r="F64" s="41"/>
      <c r="H64" s="41"/>
      <c r="I64" s="41"/>
      <c r="J64" s="41"/>
      <c r="K64" s="41"/>
    </row>
    <row r="65" spans="1:11" x14ac:dyDescent="0.25">
      <c r="A65" s="1" t="s">
        <v>233</v>
      </c>
      <c r="F65" s="41"/>
      <c r="H65" s="41"/>
      <c r="I65" s="41"/>
      <c r="J65" s="41"/>
      <c r="K65" s="41"/>
    </row>
    <row r="66" spans="1:11" x14ac:dyDescent="0.25">
      <c r="A66" s="35"/>
      <c r="B66" t="s">
        <v>225</v>
      </c>
      <c r="C66" s="2">
        <f ca="1">SUM('5D NONAUTO MODEL'!$B$83:$B$87)+SUM('5D NONAUTO MODEL'!$B$122:$B$126)</f>
        <v>10022.850285381703</v>
      </c>
      <c r="D66" s="2">
        <f>PRODUCTIVITIES!$E$28*'COVERAGE FACTORS'!$C$25+PRODUCTIVITIES!$E$22*(1-'COVERAGE FACTORS'!$C$25)</f>
        <v>1858.2572281195687</v>
      </c>
      <c r="E66" s="37">
        <f>'WAGE RATES'!$D$6</f>
        <v>50.10717457546064</v>
      </c>
      <c r="F66" s="41">
        <f>E66*100/D66</f>
        <v>2.6964606308118992</v>
      </c>
      <c r="G66" s="41">
        <f>PIGGYBACKS!$B$8</f>
        <v>1.6305774272183733</v>
      </c>
      <c r="H66" s="41">
        <f>'WAGE RATES'!$D$10</f>
        <v>1.0285306172213804</v>
      </c>
      <c r="I66" s="41">
        <f>(H66-1)*F66</f>
        <v>7.693168611021621E-2</v>
      </c>
      <c r="J66" s="41">
        <f>F66*G66+I66</f>
        <v>4.473719524095114</v>
      </c>
      <c r="K66" s="41">
        <f ca="1">C66*$J66/'5D NONAUTO MODEL'!$G$6</f>
        <v>4.4839421008794451</v>
      </c>
    </row>
    <row r="67" spans="1:11" x14ac:dyDescent="0.25">
      <c r="A67" s="35"/>
      <c r="B67" t="s">
        <v>226</v>
      </c>
      <c r="C67" s="2">
        <f ca="1">SUM('5D NONAUTO MODEL'!$A$83:$A$87)+SUM('5D NONAUTO MODEL'!$A$122:$A$126)</f>
        <v>2619.345421191611</v>
      </c>
      <c r="D67" s="2">
        <f>PRODUCTIVITIES!$E$16</f>
        <v>888.0117100682927</v>
      </c>
      <c r="E67" s="37">
        <f>'WAGE RATES'!$D$5</f>
        <v>54.142360316355024</v>
      </c>
      <c r="F67" s="41">
        <f>E67*100/D67</f>
        <v>6.0970322465895403</v>
      </c>
      <c r="G67" s="41">
        <f>PIGGYBACKS!$B$9</f>
        <v>1.2615773174013249</v>
      </c>
      <c r="H67" s="41">
        <f>'WAGE RATES'!$D$10</f>
        <v>1.0285306172213804</v>
      </c>
      <c r="I67" s="41">
        <f>(H67-1)*F67</f>
        <v>0.17395209321385913</v>
      </c>
      <c r="J67" s="41">
        <f>F67*G67+I67</f>
        <v>7.8658296789756648</v>
      </c>
      <c r="K67" s="41">
        <f ca="1">C67*$J67/'5D NONAUTO MODEL'!$G$6</f>
        <v>2.0603324953498006</v>
      </c>
    </row>
    <row r="68" spans="1:11" x14ac:dyDescent="0.25">
      <c r="B68" t="s">
        <v>227</v>
      </c>
      <c r="C68" s="2">
        <f>SUM('5D NONAUTO MODEL'!$H$83:$H$87)</f>
        <v>0</v>
      </c>
      <c r="D68" s="2">
        <f>PRODUCTIVITIES!$E$35</f>
        <v>1.0273268954181221</v>
      </c>
      <c r="E68" s="37">
        <f>'WAGE RATES'!$D$6</f>
        <v>50.10717457546064</v>
      </c>
      <c r="F68" s="41">
        <f>E68*100/D68</f>
        <v>4877.4323731753384</v>
      </c>
      <c r="G68" s="41">
        <f>PIGGYBACKS!$B$10</f>
        <v>1.6305774272183733</v>
      </c>
      <c r="H68" s="41">
        <f>'WAGE RATES'!$D$10</f>
        <v>1.0285306172213804</v>
      </c>
      <c r="I68" s="41">
        <f>(H68-1)*F68</f>
        <v>139.15615606223454</v>
      </c>
      <c r="J68" s="41">
        <f>F68*G68+I68</f>
        <v>8092.1872865460828</v>
      </c>
      <c r="K68" s="41">
        <f ca="1">C68*$J68/'5D NONAUTO MODEL'!$G$6</f>
        <v>0</v>
      </c>
    </row>
    <row r="69" spans="1:11" x14ac:dyDescent="0.25">
      <c r="B69" t="s">
        <v>228</v>
      </c>
      <c r="C69" s="2">
        <f>SUM('5D NONAUTO MODEL'!$G$83:$G$87)</f>
        <v>0</v>
      </c>
      <c r="D69" s="2">
        <f>PRODUCTIVITIES!$E$41</f>
        <v>1.0273268954181221</v>
      </c>
      <c r="E69" s="37">
        <f>'WAGE RATES'!$D$6</f>
        <v>50.10717457546064</v>
      </c>
      <c r="F69" s="41">
        <f>E69*100/D69</f>
        <v>4877.4323731753384</v>
      </c>
      <c r="G69" s="41">
        <f>PIGGYBACKS!$B$10</f>
        <v>1.6305774272183733</v>
      </c>
      <c r="H69" s="41">
        <f>'WAGE RATES'!$D$10</f>
        <v>1.0285306172213804</v>
      </c>
      <c r="I69" s="41">
        <f>(H69-1)*F69</f>
        <v>139.15615606223454</v>
      </c>
      <c r="J69" s="41">
        <f>F69*G69+I69</f>
        <v>8092.1872865460828</v>
      </c>
      <c r="K69" s="41">
        <f ca="1">C69*$J69/'5D NONAUTO MODEL'!$G$6</f>
        <v>0</v>
      </c>
    </row>
    <row r="70" spans="1:11" x14ac:dyDescent="0.25">
      <c r="B70" t="s">
        <v>200</v>
      </c>
      <c r="C70" s="2">
        <f ca="1">SUM('5D NONAUTO MODEL'!$M$83:$M$87)</f>
        <v>710.07507706382194</v>
      </c>
      <c r="D70" s="2">
        <f>PRODUCTIVITIES!$E$47</f>
        <v>675.89315757280178</v>
      </c>
      <c r="E70" s="37">
        <f>'WAGE RATES'!$D$6</f>
        <v>50.10717457546064</v>
      </c>
      <c r="F70" s="41">
        <f>E70*100/D70</f>
        <v>7.4134756379840256</v>
      </c>
      <c r="G70" s="41">
        <f>PIGGYBACKS!$B$12</f>
        <v>1.3622907328394676</v>
      </c>
      <c r="H70" s="41">
        <f>'WAGE RATES'!$D$10</f>
        <v>1.0285306172213804</v>
      </c>
      <c r="I70" s="41">
        <f>(H70-1)*F70</f>
        <v>0.21151103570735105</v>
      </c>
      <c r="J70" s="41">
        <f>F70*G70+I70</f>
        <v>10.310820195464149</v>
      </c>
      <c r="K70" s="41">
        <f ca="1">C70*$J70/'5D NONAUTO MODEL'!$G$6</f>
        <v>0.73214564448854236</v>
      </c>
    </row>
    <row r="71" spans="1:11" x14ac:dyDescent="0.25">
      <c r="F71" s="41"/>
      <c r="H71" s="41"/>
      <c r="I71" s="41"/>
      <c r="J71" s="41"/>
      <c r="K71" s="41"/>
    </row>
    <row r="72" spans="1:11" x14ac:dyDescent="0.25">
      <c r="A72" s="1" t="s">
        <v>234</v>
      </c>
      <c r="F72" s="41"/>
      <c r="H72" s="41"/>
      <c r="I72" s="41"/>
      <c r="J72" s="41"/>
      <c r="K72" s="41"/>
    </row>
    <row r="73" spans="1:11" x14ac:dyDescent="0.25">
      <c r="B73" t="s">
        <v>99</v>
      </c>
      <c r="C73" s="2">
        <v>0</v>
      </c>
      <c r="D73" s="2">
        <v>0</v>
      </c>
      <c r="E73" s="37">
        <v>0</v>
      </c>
      <c r="F73" s="41">
        <v>0</v>
      </c>
      <c r="G73" s="41">
        <v>0</v>
      </c>
      <c r="H73" s="41">
        <v>0</v>
      </c>
      <c r="I73" s="41">
        <v>0</v>
      </c>
      <c r="J73" s="41">
        <v>0</v>
      </c>
      <c r="K73" s="41">
        <f ca="1">C73*$J73/'MADC NONAUTO MODEL'!$G$6</f>
        <v>0</v>
      </c>
    </row>
    <row r="74" spans="1:11" x14ac:dyDescent="0.25">
      <c r="B74" t="s">
        <v>226</v>
      </c>
      <c r="C74" s="2">
        <f ca="1">SUM('5D NONAUTO MODEL'!$A$95:$A$99)</f>
        <v>0</v>
      </c>
      <c r="D74" s="2">
        <f>PRODUCTIVITIES!E16</f>
        <v>888.0117100682927</v>
      </c>
      <c r="E74" s="37">
        <f>'WAGE RATES'!D5</f>
        <v>54.142360316355024</v>
      </c>
      <c r="F74" s="41">
        <f>E74*100/D74</f>
        <v>6.0970322465895403</v>
      </c>
      <c r="G74" s="41">
        <f>PIGGYBACKS!B9</f>
        <v>1.2615773174013249</v>
      </c>
      <c r="H74" s="41">
        <f>'WAGE RATES'!$D$10</f>
        <v>1.0285306172213804</v>
      </c>
      <c r="I74" s="41">
        <f>(H74-1)*F74</f>
        <v>0.17395209321385913</v>
      </c>
      <c r="J74" s="41">
        <f>F74*G74+I74</f>
        <v>7.8658296789756648</v>
      </c>
      <c r="K74" s="41">
        <f ca="1">C74*$J74/'5D NONAUTO MODEL'!$G$6</f>
        <v>0</v>
      </c>
    </row>
    <row r="75" spans="1:11" x14ac:dyDescent="0.25">
      <c r="F75" s="41"/>
      <c r="H75" s="41"/>
      <c r="I75" s="41"/>
      <c r="J75" s="41"/>
    </row>
    <row r="76" spans="1:11" ht="13.8" thickBot="1" x14ac:dyDescent="0.3">
      <c r="F76" s="41"/>
      <c r="H76" s="41"/>
      <c r="I76" s="41"/>
      <c r="J76" s="41"/>
      <c r="K76" s="40" t="str">
        <f>"(10)"</f>
        <v>(10)</v>
      </c>
    </row>
    <row r="77" spans="1:11" ht="13.8" thickBot="1" x14ac:dyDescent="0.3">
      <c r="F77" s="41"/>
      <c r="H77" s="41"/>
      <c r="I77" s="41"/>
      <c r="J77" s="136" t="s">
        <v>205</v>
      </c>
      <c r="K77" s="137">
        <f ca="1">SUM(K11:K74)</f>
        <v>9.970258742290822</v>
      </c>
    </row>
    <row r="81" spans="1:8" x14ac:dyDescent="0.25">
      <c r="A81" s="139" t="str">
        <f>"(1)"</f>
        <v>(1)</v>
      </c>
      <c r="B81" s="1" t="s">
        <v>323</v>
      </c>
      <c r="F81" s="139" t="str">
        <f>"(6)"</f>
        <v>(6)</v>
      </c>
      <c r="G81" s="1" t="s">
        <v>236</v>
      </c>
      <c r="H81" s="33"/>
    </row>
    <row r="82" spans="1:8" x14ac:dyDescent="0.25">
      <c r="A82" s="139" t="str">
        <f>"(2)"</f>
        <v>(2)</v>
      </c>
      <c r="B82" s="1" t="s">
        <v>237</v>
      </c>
      <c r="F82" s="138" t="str">
        <f>"(7)"</f>
        <v>(7)</v>
      </c>
      <c r="G82" s="140" t="s">
        <v>209</v>
      </c>
      <c r="H82" s="33"/>
    </row>
    <row r="83" spans="1:8" x14ac:dyDescent="0.25">
      <c r="A83" s="139" t="str">
        <f>"(3)"</f>
        <v>(3)</v>
      </c>
      <c r="B83" s="1" t="s">
        <v>236</v>
      </c>
      <c r="F83" s="138" t="str">
        <f>"(8)"</f>
        <v>(8)</v>
      </c>
      <c r="G83" s="140" t="s">
        <v>211</v>
      </c>
      <c r="H83" s="33"/>
    </row>
    <row r="84" spans="1:8" x14ac:dyDescent="0.25">
      <c r="A84" s="139" t="str">
        <f>"(4)"</f>
        <v>(4)</v>
      </c>
      <c r="B84" s="1" t="s">
        <v>213</v>
      </c>
      <c r="F84" s="138" t="str">
        <f>"(9)"</f>
        <v>(9)</v>
      </c>
      <c r="G84" s="140" t="s">
        <v>212</v>
      </c>
      <c r="H84" s="33"/>
    </row>
    <row r="85" spans="1:8" x14ac:dyDescent="0.25">
      <c r="A85" s="139" t="str">
        <f>"(5)"</f>
        <v>(5)</v>
      </c>
      <c r="B85" s="1" t="s">
        <v>238</v>
      </c>
      <c r="F85" s="138" t="str">
        <f>"(10)"</f>
        <v>(10)</v>
      </c>
      <c r="G85" s="140" t="s">
        <v>214</v>
      </c>
      <c r="H85" s="33"/>
    </row>
    <row r="86" spans="1:8" x14ac:dyDescent="0.25">
      <c r="G86" s="140"/>
      <c r="H86" s="33"/>
    </row>
  </sheetData>
  <phoneticPr fontId="29" type="noConversion"/>
  <printOptions horizontalCentered="1"/>
  <pageMargins left="0.75" right="0.75" top="1" bottom="1" header="0.5" footer="0.5"/>
  <pageSetup scale="60" orientation="portrait" r:id="rId1"/>
  <headerFooter alignWithMargins="0">
    <oddFooter>&amp;CTab '&amp;A'&amp;RPage 17</oddFooter>
  </headerFooter>
  <ignoredErrors>
    <ignoredError sqref="E32 E39 E46 E53 E60 E67" formula="1"/>
  </ignoredErrors>
</worksheet>
</file>

<file path=xl/worksheets/sheet2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3"/>
  <dimension ref="A1:AD128"/>
  <sheetViews>
    <sheetView zoomScale="75" zoomScaleNormal="75" workbookViewId="0"/>
  </sheetViews>
  <sheetFormatPr defaultRowHeight="13.2" x14ac:dyDescent="0.25"/>
  <cols>
    <col min="1" max="3" width="10.77734375" style="19" customWidth="1"/>
    <col min="4" max="4" width="10.77734375" style="58" customWidth="1"/>
    <col min="5" max="6" width="10.77734375" style="19" customWidth="1"/>
    <col min="7" max="7" width="15.77734375" style="19" customWidth="1"/>
    <col min="8" max="8" width="10.77734375" style="19" customWidth="1"/>
    <col min="9" max="9" width="10.77734375" style="58" customWidth="1"/>
    <col min="10" max="12" width="10.77734375" style="19" customWidth="1"/>
    <col min="13" max="13" width="10.77734375" customWidth="1"/>
    <col min="14" max="14" width="10.77734375" style="19" customWidth="1"/>
    <col min="15" max="16" width="10.77734375" style="58" customWidth="1"/>
    <col min="17" max="18" width="10.77734375" style="19" customWidth="1"/>
    <col min="19" max="19" width="10.77734375" customWidth="1"/>
    <col min="20" max="20" width="10.77734375" style="19" customWidth="1"/>
    <col min="21" max="21" width="10.77734375" style="58" customWidth="1"/>
    <col min="22" max="30" width="10.77734375" style="19" customWidth="1"/>
    <col min="31" max="34" width="10.77734375" customWidth="1"/>
  </cols>
  <sheetData>
    <row r="1" spans="1:30" ht="28.2" x14ac:dyDescent="0.5">
      <c r="A1" s="56" t="str">
        <f>'5D NONAUTO COST'!A1</f>
        <v>5-DIGIT NONAUTO PRESORT</v>
      </c>
    </row>
    <row r="2" spans="1:30" ht="22.8" x14ac:dyDescent="0.4">
      <c r="A2" s="57" t="s">
        <v>239</v>
      </c>
    </row>
    <row r="6" spans="1:30" ht="17.399999999999999" x14ac:dyDescent="0.3">
      <c r="A6" s="47" t="s">
        <v>240</v>
      </c>
      <c r="B6" s="17"/>
      <c r="C6" s="48">
        <f>SUM(C11:C16)+SUM(G11:G16)+SUM(K11:K16)+SUM(O11:O16)</f>
        <v>10000</v>
      </c>
      <c r="E6" s="47" t="s">
        <v>241</v>
      </c>
      <c r="F6" s="17"/>
      <c r="G6" s="48">
        <f ca="1">D88+J88+O88+D100+D127</f>
        <v>9999.9999999999909</v>
      </c>
      <c r="H6" s="17"/>
      <c r="J6" s="17"/>
      <c r="K6" s="17"/>
      <c r="O6" s="47"/>
      <c r="P6" s="47"/>
      <c r="Q6" s="17"/>
      <c r="R6" s="17"/>
      <c r="V6" s="17"/>
      <c r="W6" s="17"/>
      <c r="X6" s="17"/>
      <c r="Y6" s="17"/>
      <c r="AA6" s="17"/>
      <c r="AC6" s="17"/>
      <c r="AD6" s="17"/>
    </row>
    <row r="9" spans="1:30" x14ac:dyDescent="0.25">
      <c r="E9" s="17"/>
      <c r="H9" s="17"/>
      <c r="J9" s="17"/>
      <c r="K9" s="17"/>
      <c r="N9" s="17"/>
      <c r="Q9" s="17"/>
      <c r="R9" s="17"/>
      <c r="V9" s="17"/>
      <c r="W9" s="17"/>
      <c r="X9" s="17"/>
      <c r="Y9" s="17"/>
      <c r="AA9" s="17"/>
      <c r="AC9" s="17"/>
      <c r="AD9" s="17"/>
    </row>
    <row r="10" spans="1:30" ht="17.399999999999999" x14ac:dyDescent="0.3">
      <c r="A10" s="49" t="s">
        <v>242</v>
      </c>
      <c r="E10" s="17"/>
      <c r="G10" s="18"/>
      <c r="H10" s="26"/>
      <c r="J10" s="17"/>
      <c r="K10" s="17"/>
      <c r="N10" s="17"/>
      <c r="O10" s="60"/>
      <c r="Q10" s="17"/>
      <c r="R10" s="17"/>
      <c r="V10" s="17"/>
      <c r="W10" s="17"/>
      <c r="X10" s="17"/>
      <c r="Y10" s="17"/>
      <c r="AA10" s="17"/>
      <c r="AC10" s="17"/>
      <c r="AD10" s="17"/>
    </row>
    <row r="11" spans="1:30" x14ac:dyDescent="0.25">
      <c r="A11" s="25"/>
      <c r="B11" s="66" t="s">
        <v>243</v>
      </c>
      <c r="C11" s="67">
        <v>0</v>
      </c>
      <c r="D11" s="59"/>
      <c r="E11" s="28"/>
      <c r="F11" s="61" t="s">
        <v>244</v>
      </c>
      <c r="G11" s="63">
        <f>'5D AUTO MODEL'!C11</f>
        <v>15.628724350552416</v>
      </c>
      <c r="I11" s="27"/>
      <c r="J11" s="72" t="s">
        <v>245</v>
      </c>
      <c r="K11" s="73">
        <v>0</v>
      </c>
      <c r="L11" s="59"/>
      <c r="M11" s="28"/>
      <c r="N11" s="78" t="s">
        <v>246</v>
      </c>
      <c r="O11" s="79">
        <f>'5D AUTO MODEL'!K11</f>
        <v>0</v>
      </c>
      <c r="P11" s="141"/>
      <c r="Q11" s="17"/>
      <c r="R11" s="17"/>
      <c r="V11" s="17"/>
      <c r="W11" s="17"/>
      <c r="X11" s="17"/>
      <c r="Y11" s="17"/>
      <c r="AA11" s="17"/>
      <c r="AC11" s="17"/>
      <c r="AD11" s="17"/>
    </row>
    <row r="12" spans="1:30" x14ac:dyDescent="0.25">
      <c r="A12" s="21"/>
      <c r="B12" s="68" t="s">
        <v>247</v>
      </c>
      <c r="C12" s="69">
        <v>0</v>
      </c>
      <c r="E12" s="17"/>
      <c r="F12" s="62" t="s">
        <v>248</v>
      </c>
      <c r="G12" s="63">
        <f>'5D AUTO MODEL'!C12</f>
        <v>0</v>
      </c>
      <c r="I12" s="19"/>
      <c r="J12" s="74" t="s">
        <v>249</v>
      </c>
      <c r="K12" s="75">
        <v>0</v>
      </c>
      <c r="L12" s="58"/>
      <c r="M12" s="17"/>
      <c r="N12" s="80" t="s">
        <v>250</v>
      </c>
      <c r="O12" s="81">
        <f>'5D AUTO MODEL'!K12</f>
        <v>0</v>
      </c>
      <c r="P12" s="141"/>
      <c r="Q12" s="17"/>
      <c r="R12" s="17"/>
      <c r="V12" s="17"/>
      <c r="W12" s="17"/>
      <c r="X12" s="17"/>
      <c r="Y12" s="17"/>
      <c r="AA12" s="17"/>
      <c r="AC12" s="17"/>
      <c r="AD12" s="17"/>
    </row>
    <row r="13" spans="1:30" x14ac:dyDescent="0.25">
      <c r="A13" s="21"/>
      <c r="B13" s="68" t="s">
        <v>251</v>
      </c>
      <c r="C13" s="69">
        <v>0</v>
      </c>
      <c r="E13" s="17"/>
      <c r="F13" s="62" t="s">
        <v>252</v>
      </c>
      <c r="G13" s="63">
        <f>'5D AUTO MODEL'!C13</f>
        <v>90.64906709809479</v>
      </c>
      <c r="I13" s="19"/>
      <c r="J13" s="74" t="s">
        <v>253</v>
      </c>
      <c r="K13" s="75">
        <v>0</v>
      </c>
      <c r="L13" s="58"/>
      <c r="M13" s="17"/>
      <c r="N13" s="80" t="s">
        <v>254</v>
      </c>
      <c r="O13" s="81">
        <f>'5D AUTO MODEL'!K13</f>
        <v>0</v>
      </c>
      <c r="P13" s="141"/>
      <c r="Q13" s="17"/>
      <c r="R13" s="17"/>
      <c r="V13" s="17"/>
      <c r="W13" s="17"/>
      <c r="X13" s="17"/>
      <c r="Y13" s="17"/>
      <c r="AA13" s="17"/>
      <c r="AC13" s="17"/>
      <c r="AD13" s="17"/>
    </row>
    <row r="14" spans="1:30" x14ac:dyDescent="0.25">
      <c r="A14" s="21"/>
      <c r="B14" s="68" t="s">
        <v>255</v>
      </c>
      <c r="C14" s="69">
        <v>0</v>
      </c>
      <c r="E14" s="17"/>
      <c r="F14" s="62" t="s">
        <v>256</v>
      </c>
      <c r="G14" s="63">
        <f>'5D AUTO MODEL'!C14</f>
        <v>23.086878855126059</v>
      </c>
      <c r="I14" s="19"/>
      <c r="J14" s="74" t="s">
        <v>257</v>
      </c>
      <c r="K14" s="75">
        <v>0</v>
      </c>
      <c r="L14" s="58"/>
      <c r="M14" s="17"/>
      <c r="N14" s="80" t="s">
        <v>258</v>
      </c>
      <c r="O14" s="81">
        <f>'5D AUTO MODEL'!K14</f>
        <v>0</v>
      </c>
      <c r="P14" s="141"/>
      <c r="Q14" s="17"/>
      <c r="R14" s="17"/>
      <c r="V14" s="17"/>
      <c r="W14" s="17"/>
      <c r="X14" s="17"/>
      <c r="Y14" s="17"/>
      <c r="AA14" s="17"/>
      <c r="AC14" s="17"/>
      <c r="AD14" s="17"/>
    </row>
    <row r="15" spans="1:30" x14ac:dyDescent="0.25">
      <c r="A15" s="21"/>
      <c r="B15" s="68" t="s">
        <v>259</v>
      </c>
      <c r="C15" s="69">
        <v>0</v>
      </c>
      <c r="E15" s="17"/>
      <c r="F15" s="62" t="s">
        <v>260</v>
      </c>
      <c r="G15" s="63">
        <f>'5D AUTO MODEL'!C15</f>
        <v>0</v>
      </c>
      <c r="I15" s="19"/>
      <c r="J15" s="74" t="s">
        <v>261</v>
      </c>
      <c r="K15" s="75">
        <v>0</v>
      </c>
      <c r="L15" s="58"/>
      <c r="M15" s="17"/>
      <c r="N15" s="80" t="s">
        <v>262</v>
      </c>
      <c r="O15" s="81">
        <f>'5D AUTO MODEL'!K15</f>
        <v>0</v>
      </c>
      <c r="P15" s="141"/>
      <c r="Q15" s="17"/>
      <c r="R15" s="17"/>
      <c r="V15" s="17"/>
      <c r="W15" s="17"/>
      <c r="X15" s="17"/>
      <c r="Y15" s="17"/>
      <c r="AA15" s="17"/>
      <c r="AC15" s="17"/>
      <c r="AD15" s="17"/>
    </row>
    <row r="16" spans="1:30" x14ac:dyDescent="0.25">
      <c r="A16" s="20"/>
      <c r="B16" s="70" t="s">
        <v>263</v>
      </c>
      <c r="C16" s="71">
        <v>0</v>
      </c>
      <c r="D16" s="60"/>
      <c r="E16" s="26"/>
      <c r="F16" s="64" t="s">
        <v>264</v>
      </c>
      <c r="G16" s="65">
        <f>'5D AUTO MODEL'!C16</f>
        <v>9870.6353296962261</v>
      </c>
      <c r="H16" s="18"/>
      <c r="I16" s="18"/>
      <c r="J16" s="76" t="s">
        <v>265</v>
      </c>
      <c r="K16" s="77">
        <v>0</v>
      </c>
      <c r="L16" s="60"/>
      <c r="M16" s="26"/>
      <c r="N16" s="82" t="s">
        <v>266</v>
      </c>
      <c r="O16" s="83">
        <f>'5D AUTO MODEL'!K16</f>
        <v>0</v>
      </c>
      <c r="P16" s="141"/>
      <c r="Q16" s="17"/>
      <c r="R16" s="17"/>
      <c r="V16" s="17"/>
      <c r="W16" s="17"/>
      <c r="X16" s="17"/>
      <c r="Y16" s="17"/>
      <c r="AA16" s="17"/>
      <c r="AC16" s="17"/>
      <c r="AD16" s="17"/>
    </row>
    <row r="20" spans="1:30" x14ac:dyDescent="0.25">
      <c r="A20" s="103"/>
      <c r="B20" s="105"/>
      <c r="C20" s="105"/>
      <c r="D20" s="106"/>
      <c r="E20" s="105"/>
      <c r="F20" s="105"/>
      <c r="G20" s="103"/>
      <c r="H20" s="104"/>
      <c r="I20" s="105"/>
      <c r="J20" s="106"/>
      <c r="K20" s="105"/>
      <c r="L20" s="105"/>
      <c r="M20" s="104"/>
      <c r="N20" s="105"/>
      <c r="O20" s="106"/>
      <c r="P20" s="105"/>
      <c r="Q20" s="107"/>
      <c r="S20" s="19"/>
      <c r="U20" s="19"/>
      <c r="Y20"/>
      <c r="Z20"/>
      <c r="AA20"/>
      <c r="AB20"/>
      <c r="AC20"/>
      <c r="AD20"/>
    </row>
    <row r="21" spans="1:30" s="125" customFormat="1" ht="22.8" x14ac:dyDescent="0.4">
      <c r="A21" s="177"/>
      <c r="B21" s="123"/>
      <c r="C21" s="127" t="s">
        <v>267</v>
      </c>
      <c r="D21" s="123"/>
      <c r="E21" s="57"/>
      <c r="F21" s="127"/>
      <c r="G21" s="122"/>
      <c r="H21" s="57"/>
      <c r="I21" s="123"/>
      <c r="J21" s="57"/>
      <c r="K21" s="57"/>
      <c r="L21" s="127" t="s">
        <v>268</v>
      </c>
      <c r="M21" s="57"/>
      <c r="N21" s="123"/>
      <c r="O21" s="57"/>
      <c r="P21" s="57"/>
      <c r="Q21" s="124"/>
      <c r="R21" s="57"/>
      <c r="S21" s="57"/>
      <c r="T21" s="57"/>
      <c r="U21" s="57"/>
      <c r="V21" s="57"/>
      <c r="W21" s="57"/>
      <c r="X21" s="57"/>
    </row>
    <row r="22" spans="1:30" s="125" customFormat="1" ht="22.8" x14ac:dyDescent="0.4">
      <c r="A22" s="122"/>
      <c r="B22" s="57"/>
      <c r="C22" s="57"/>
      <c r="D22" s="123"/>
      <c r="E22" s="57"/>
      <c r="F22" s="127"/>
      <c r="G22" s="122"/>
      <c r="H22" s="57"/>
      <c r="I22" s="123"/>
      <c r="J22" s="57"/>
      <c r="K22" s="57"/>
      <c r="M22" s="57"/>
      <c r="N22" s="123"/>
      <c r="O22" s="57"/>
      <c r="P22" s="57"/>
      <c r="Q22" s="124"/>
      <c r="R22" s="57"/>
      <c r="S22" s="57"/>
      <c r="T22" s="57"/>
      <c r="U22" s="57"/>
      <c r="V22" s="57"/>
      <c r="W22" s="57"/>
      <c r="X22" s="57"/>
    </row>
    <row r="23" spans="1:30" x14ac:dyDescent="0.25">
      <c r="A23" s="113"/>
      <c r="D23" s="96">
        <f>SUM(A25:A29)*(1-'ACCEPT RATES'!G14)+SUM(C25:C29)*SUM('ACCEPT RATES'!I14:J14)</f>
        <v>0.96231908828377455</v>
      </c>
      <c r="E23" s="23" t="s">
        <v>269</v>
      </c>
      <c r="G23" s="121"/>
      <c r="I23" s="23"/>
      <c r="J23" s="96">
        <f>SUM(G25:G29)*(1-'ACCEPT RATES'!E19)</f>
        <v>0</v>
      </c>
      <c r="K23" s="23" t="s">
        <v>269</v>
      </c>
      <c r="L23"/>
      <c r="M23" s="19"/>
      <c r="P23" s="23"/>
      <c r="Q23" s="108"/>
      <c r="S23" s="19"/>
      <c r="U23" s="19"/>
      <c r="Y23"/>
      <c r="Z23"/>
      <c r="AA23"/>
      <c r="AB23"/>
      <c r="AC23"/>
      <c r="AD23"/>
    </row>
    <row r="24" spans="1:30" x14ac:dyDescent="0.25">
      <c r="A24" s="126" t="s">
        <v>270</v>
      </c>
      <c r="B24" s="86" t="s">
        <v>271</v>
      </c>
      <c r="C24" s="87"/>
      <c r="D24" s="119"/>
      <c r="E24" s="23" t="s">
        <v>272</v>
      </c>
      <c r="G24" s="126" t="s">
        <v>273</v>
      </c>
      <c r="H24" s="86" t="s">
        <v>274</v>
      </c>
      <c r="I24" s="87"/>
      <c r="J24" s="99"/>
      <c r="K24" s="22" t="s">
        <v>272</v>
      </c>
      <c r="L24"/>
      <c r="M24" s="86" t="s">
        <v>275</v>
      </c>
      <c r="N24" s="87"/>
      <c r="P24" s="19"/>
      <c r="Q24" s="108"/>
      <c r="S24" s="19"/>
      <c r="U24" s="19"/>
      <c r="Y24"/>
      <c r="Z24"/>
      <c r="AA24"/>
      <c r="AB24"/>
      <c r="AC24"/>
      <c r="AD24"/>
    </row>
    <row r="25" spans="1:30" x14ac:dyDescent="0.25">
      <c r="A25" s="120">
        <f>B25*(1-'ACCEPT RATES'!C14)</f>
        <v>0</v>
      </c>
      <c r="B25" s="29">
        <f>C25*(1+'ACCEPT RATES'!F14)</f>
        <v>0</v>
      </c>
      <c r="C25" s="50">
        <f>C11*('COVERAGE FACTORS'!C15+'COVERAGE FACTORS'!C19)</f>
        <v>0</v>
      </c>
      <c r="E25" s="23" t="s">
        <v>200</v>
      </c>
      <c r="G25" s="178">
        <f>H25*(1-'ACCEPT RATES'!C19)</f>
        <v>0</v>
      </c>
      <c r="H25" s="29">
        <f>I25</f>
        <v>0</v>
      </c>
      <c r="I25" s="50">
        <f>C11*'COVERAGE FACTORS'!C17</f>
        <v>0</v>
      </c>
      <c r="J25" s="22"/>
      <c r="K25" s="22" t="s">
        <v>200</v>
      </c>
      <c r="L25"/>
      <c r="M25" s="29">
        <f>N25</f>
        <v>0</v>
      </c>
      <c r="N25" s="50">
        <f>C11*'COVERAGE FACTORS'!C21</f>
        <v>0</v>
      </c>
      <c r="P25" s="19"/>
      <c r="Q25" s="108"/>
      <c r="S25" s="19"/>
      <c r="U25" s="19"/>
      <c r="Y25"/>
      <c r="Z25"/>
      <c r="AA25"/>
      <c r="AB25"/>
      <c r="AC25"/>
      <c r="AD25"/>
    </row>
    <row r="26" spans="1:30" x14ac:dyDescent="0.25">
      <c r="A26" s="179">
        <f>B26*(1-'ACCEPT RATES'!D14)</f>
        <v>4.1733953911726154</v>
      </c>
      <c r="B26" s="85">
        <f>C26*(1+'ACCEPT RATES'!F14)</f>
        <v>15.827246793789092</v>
      </c>
      <c r="C26" s="84">
        <f>G11*('COVERAGE FACTORS'!C15+'COVERAGE FACTORS'!C19)</f>
        <v>15.628652374679893</v>
      </c>
      <c r="G26" s="179">
        <f>H26*(1-'ACCEPT RATES'!D19)</f>
        <v>0</v>
      </c>
      <c r="H26" s="85">
        <f>I26</f>
        <v>0</v>
      </c>
      <c r="I26" s="84">
        <f>G11*'COVERAGE FACTORS'!C17</f>
        <v>0</v>
      </c>
      <c r="J26" s="58"/>
      <c r="L26"/>
      <c r="M26" s="85">
        <f>N26</f>
        <v>7.1975872529105527E-5</v>
      </c>
      <c r="N26" s="84">
        <f>G11*'COVERAGE FACTORS'!C21</f>
        <v>7.1975872529105527E-5</v>
      </c>
      <c r="P26" s="19"/>
      <c r="Q26" s="108"/>
      <c r="S26" s="19"/>
      <c r="U26" s="19"/>
      <c r="Y26"/>
      <c r="Z26"/>
      <c r="AA26"/>
      <c r="AB26"/>
      <c r="AC26"/>
      <c r="AD26"/>
    </row>
    <row r="27" spans="1:30" x14ac:dyDescent="0.25">
      <c r="A27" s="121"/>
      <c r="B27" s="85"/>
      <c r="C27" s="84"/>
      <c r="G27" s="109">
        <f>H27*(1-'ACCEPT RATES'!C19)</f>
        <v>0</v>
      </c>
      <c r="H27" s="89">
        <f>I27</f>
        <v>0</v>
      </c>
      <c r="I27" s="90">
        <f>K11*('COVERAGE FACTORS'!C17+'COVERAGE FACTORS'!C19)</f>
        <v>0</v>
      </c>
      <c r="J27" s="58"/>
      <c r="L27"/>
      <c r="M27" s="89">
        <f>N27</f>
        <v>0</v>
      </c>
      <c r="N27" s="90">
        <f>K11*(1-('COVERAGE FACTORS'!C17+'COVERAGE FACTORS'!C19))</f>
        <v>0</v>
      </c>
      <c r="P27" s="19"/>
      <c r="Q27" s="108"/>
      <c r="S27" s="19"/>
      <c r="U27" s="19"/>
      <c r="Y27"/>
      <c r="Z27"/>
      <c r="AA27"/>
      <c r="AB27"/>
      <c r="AC27"/>
      <c r="AD27"/>
    </row>
    <row r="28" spans="1:30" x14ac:dyDescent="0.25">
      <c r="A28" s="121"/>
      <c r="B28" s="85"/>
      <c r="C28" s="84"/>
      <c r="G28" s="110">
        <f>H28*(1-'ACCEPT RATES'!D19)</f>
        <v>0</v>
      </c>
      <c r="H28" s="94">
        <f>I28</f>
        <v>0</v>
      </c>
      <c r="I28" s="92">
        <f>O11*('COVERAGE FACTORS'!C17+'COVERAGE FACTORS'!C19)</f>
        <v>0</v>
      </c>
      <c r="J28" s="58"/>
      <c r="L28"/>
      <c r="M28" s="94">
        <f>N28</f>
        <v>0</v>
      </c>
      <c r="N28" s="92">
        <f>O11*(1-('COVERAGE FACTORS'!C17+'COVERAGE FACTORS'!C19))</f>
        <v>0</v>
      </c>
      <c r="P28" s="19"/>
      <c r="Q28" s="108"/>
      <c r="S28" s="19"/>
      <c r="U28" s="19"/>
      <c r="Y28"/>
      <c r="Z28"/>
      <c r="AA28"/>
      <c r="AB28"/>
      <c r="AC28"/>
      <c r="AD28"/>
    </row>
    <row r="29" spans="1:30" x14ac:dyDescent="0.25">
      <c r="A29" s="180"/>
      <c r="B29" s="20"/>
      <c r="C29" s="34"/>
      <c r="G29" s="111"/>
      <c r="H29" s="44"/>
      <c r="I29" s="34"/>
      <c r="J29" s="58"/>
      <c r="L29"/>
      <c r="M29" s="101">
        <f>N29</f>
        <v>0.96231908828377455</v>
      </c>
      <c r="N29" s="100">
        <f>D23+J23</f>
        <v>0.96231908828377455</v>
      </c>
      <c r="P29" s="19"/>
      <c r="Q29" s="108"/>
      <c r="S29" s="19"/>
      <c r="U29" s="19"/>
      <c r="Y29"/>
      <c r="Z29"/>
      <c r="AA29"/>
      <c r="AB29"/>
      <c r="AC29"/>
      <c r="AD29"/>
    </row>
    <row r="30" spans="1:30" x14ac:dyDescent="0.25">
      <c r="A30" s="113"/>
      <c r="C30" s="97"/>
      <c r="D30" s="364">
        <f>(SUM(C25:C29)-D23)*'PIECE DENSITIES'!C6</f>
        <v>1.878027668325065</v>
      </c>
      <c r="E30" s="23" t="s">
        <v>276</v>
      </c>
      <c r="G30" s="113"/>
      <c r="I30" s="98"/>
      <c r="J30" s="181">
        <f>(SUM(I25:I29)-J23)*'PIECE DENSITIES'!C11</f>
        <v>0</v>
      </c>
      <c r="K30" s="23" t="s">
        <v>277</v>
      </c>
      <c r="L30"/>
      <c r="M30" s="19"/>
      <c r="O30" s="95">
        <f>SUM(N25:N29)*'PIECE DENSITIES'!C16</f>
        <v>8.6112567445166599E-2</v>
      </c>
      <c r="P30" s="23" t="s">
        <v>278</v>
      </c>
      <c r="Q30" s="108"/>
      <c r="S30" s="19"/>
      <c r="U30" s="19"/>
      <c r="Y30"/>
      <c r="Z30"/>
      <c r="AA30"/>
      <c r="AB30"/>
      <c r="AC30"/>
      <c r="AD30"/>
    </row>
    <row r="31" spans="1:30" x14ac:dyDescent="0.25">
      <c r="A31" s="113"/>
      <c r="C31" s="97"/>
      <c r="D31" s="364">
        <f>(SUM(C25:C29)-D23)*'PIECE DENSITIES'!D6</f>
        <v>7.6016944503096324</v>
      </c>
      <c r="E31" s="23" t="s">
        <v>279</v>
      </c>
      <c r="G31" s="113"/>
      <c r="I31" s="98"/>
      <c r="J31" s="181">
        <f>(SUM(I25:I29)-J23)*'PIECE DENSITIES'!D11</f>
        <v>0</v>
      </c>
      <c r="K31" s="23" t="s">
        <v>280</v>
      </c>
      <c r="L31"/>
      <c r="M31" s="19"/>
      <c r="O31" s="95">
        <f>SUM(N25:N29)*'PIECE DENSITIES'!D16</f>
        <v>0.55881407238344427</v>
      </c>
      <c r="P31" s="23" t="s">
        <v>281</v>
      </c>
      <c r="Q31" s="108"/>
      <c r="S31" s="19"/>
      <c r="U31" s="19"/>
      <c r="Y31"/>
      <c r="Z31"/>
      <c r="AA31"/>
      <c r="AB31"/>
      <c r="AC31"/>
      <c r="AD31"/>
    </row>
    <row r="32" spans="1:30" x14ac:dyDescent="0.25">
      <c r="A32" s="113"/>
      <c r="C32" s="88"/>
      <c r="D32" s="365">
        <f>(SUM(C25:C29)-D23)*'PIECE DENSITIES'!E6</f>
        <v>4.1054550185146033</v>
      </c>
      <c r="E32" s="23" t="s">
        <v>282</v>
      </c>
      <c r="G32" s="113"/>
      <c r="I32" s="93"/>
      <c r="J32" s="182">
        <f>(SUM(I25:I29)-J23)*'PIECE DENSITIES'!E11</f>
        <v>0</v>
      </c>
      <c r="K32" s="23" t="s">
        <v>283</v>
      </c>
      <c r="L32"/>
      <c r="M32" s="19"/>
      <c r="N32" s="45"/>
      <c r="O32" s="96">
        <f>SUM(N25:N29)*'PIECE DENSITIES'!E16</f>
        <v>0.24618643574657034</v>
      </c>
      <c r="P32" s="23" t="s">
        <v>284</v>
      </c>
      <c r="Q32" s="108"/>
      <c r="S32" s="19"/>
      <c r="U32" s="19"/>
      <c r="Y32"/>
      <c r="Z32"/>
      <c r="AA32"/>
      <c r="AB32"/>
      <c r="AC32"/>
      <c r="AD32"/>
    </row>
    <row r="33" spans="1:30" x14ac:dyDescent="0.25">
      <c r="A33" s="113"/>
      <c r="C33" s="88"/>
      <c r="D33" s="365">
        <f>(SUM(C25:C29)-D23)*'PIECE DENSITIES'!F6</f>
        <v>1.0811561492468182</v>
      </c>
      <c r="E33" s="23" t="s">
        <v>285</v>
      </c>
      <c r="G33" s="113"/>
      <c r="I33" s="93"/>
      <c r="J33" s="182">
        <f>(SUM(I25:I29)-J23)*'PIECE DENSITIES'!F11</f>
        <v>0</v>
      </c>
      <c r="K33" s="23" t="s">
        <v>286</v>
      </c>
      <c r="L33"/>
      <c r="M33" s="19"/>
      <c r="N33" s="45"/>
      <c r="O33" s="96">
        <f>SUM(N25:N29)*'PIECE DENSITIES'!F16</f>
        <v>7.1277988581122456E-2</v>
      </c>
      <c r="P33" s="23" t="s">
        <v>287</v>
      </c>
      <c r="Q33" s="108"/>
      <c r="S33" s="19"/>
      <c r="U33" s="19"/>
      <c r="Y33"/>
      <c r="Z33"/>
      <c r="AA33"/>
      <c r="AB33"/>
      <c r="AC33"/>
      <c r="AD33"/>
    </row>
    <row r="34" spans="1:30" x14ac:dyDescent="0.25">
      <c r="A34" s="113"/>
      <c r="C34" s="88"/>
      <c r="D34" s="365">
        <f>(SUM(C25:C29)-D23)*'PIECE DENSITIES'!G6</f>
        <v>0</v>
      </c>
      <c r="E34" s="23" t="s">
        <v>288</v>
      </c>
      <c r="G34" s="113"/>
      <c r="I34" s="93"/>
      <c r="J34" s="182">
        <f>(SUM(I25:I29)-J23)*'PIECE DENSITIES'!G11</f>
        <v>0</v>
      </c>
      <c r="K34" s="23" t="s">
        <v>289</v>
      </c>
      <c r="L34"/>
      <c r="M34" s="19"/>
      <c r="N34" s="45"/>
      <c r="O34" s="96">
        <f>SUM(N25:N29)*'PIECE DENSITIES'!G16</f>
        <v>0</v>
      </c>
      <c r="P34" s="23" t="s">
        <v>290</v>
      </c>
      <c r="Q34" s="108"/>
      <c r="S34" s="19"/>
      <c r="U34" s="19"/>
      <c r="Y34"/>
      <c r="Z34"/>
      <c r="AA34"/>
      <c r="AB34"/>
      <c r="AC34"/>
      <c r="AD34"/>
    </row>
    <row r="35" spans="1:30" x14ac:dyDescent="0.25">
      <c r="A35" s="113"/>
      <c r="G35" s="113"/>
      <c r="I35" s="19"/>
      <c r="J35" s="58"/>
      <c r="L35"/>
      <c r="M35" s="19"/>
      <c r="P35" s="19"/>
      <c r="Q35" s="108"/>
      <c r="S35" s="19"/>
      <c r="U35" s="19"/>
      <c r="Y35"/>
      <c r="Z35"/>
      <c r="AA35"/>
      <c r="AB35"/>
      <c r="AC35"/>
      <c r="AD35"/>
    </row>
    <row r="36" spans="1:30" x14ac:dyDescent="0.25">
      <c r="A36" s="113"/>
      <c r="D36" s="96">
        <f>SUM(A38:A42)*(1-'ACCEPT RATES'!G15)+SUM(C38:C42)*SUM('ACCEPT RATES'!I15:J15)</f>
        <v>0.17427948098314106</v>
      </c>
      <c r="E36" s="23" t="s">
        <v>269</v>
      </c>
      <c r="G36" s="121"/>
      <c r="I36" s="23"/>
      <c r="J36" s="96">
        <f>SUM(G38:G42)*(1-'ACCEPT RATES'!E20)</f>
        <v>0</v>
      </c>
      <c r="K36" s="23" t="s">
        <v>269</v>
      </c>
      <c r="L36"/>
      <c r="M36" s="19"/>
      <c r="P36" s="23"/>
      <c r="Q36" s="108"/>
      <c r="S36" s="19"/>
      <c r="U36" s="19"/>
      <c r="Y36"/>
      <c r="Z36"/>
      <c r="AA36"/>
      <c r="AB36"/>
      <c r="AC36"/>
      <c r="AD36"/>
    </row>
    <row r="37" spans="1:30" x14ac:dyDescent="0.25">
      <c r="A37" s="126" t="s">
        <v>270</v>
      </c>
      <c r="B37" s="86" t="s">
        <v>291</v>
      </c>
      <c r="C37" s="87"/>
      <c r="D37" s="119"/>
      <c r="E37" s="23" t="s">
        <v>292</v>
      </c>
      <c r="G37" s="126" t="s">
        <v>273</v>
      </c>
      <c r="H37" s="86" t="s">
        <v>293</v>
      </c>
      <c r="I37" s="87"/>
      <c r="J37" s="99"/>
      <c r="K37" s="22" t="s">
        <v>292</v>
      </c>
      <c r="L37"/>
      <c r="M37" s="86" t="s">
        <v>278</v>
      </c>
      <c r="N37" s="87"/>
      <c r="P37" s="19"/>
      <c r="Q37" s="108"/>
      <c r="S37" s="19"/>
      <c r="U37" s="19"/>
      <c r="Y37"/>
      <c r="Z37"/>
      <c r="AA37"/>
      <c r="AB37"/>
      <c r="AC37"/>
      <c r="AD37"/>
    </row>
    <row r="38" spans="1:30" x14ac:dyDescent="0.25">
      <c r="A38" s="120">
        <f>B38*(1-'ACCEPT RATES'!C15)</f>
        <v>0</v>
      </c>
      <c r="B38" s="29">
        <f>C38*(1+'ACCEPT RATES'!F15+'PIECE DENSITIES'!C7)</f>
        <v>0</v>
      </c>
      <c r="C38" s="50">
        <f>C12*('COVERAGE FACTORS'!C15+'COVERAGE FACTORS'!C19)</f>
        <v>0</v>
      </c>
      <c r="E38" s="23" t="s">
        <v>200</v>
      </c>
      <c r="G38" s="178">
        <f>H38*(1-'ACCEPT RATES'!C20)</f>
        <v>0</v>
      </c>
      <c r="H38" s="29">
        <f>I38*(1+'PIECE DENSITIES'!C12)</f>
        <v>0</v>
      </c>
      <c r="I38" s="50">
        <f>C12*'COVERAGE FACTORS'!C17</f>
        <v>0</v>
      </c>
      <c r="J38" s="22"/>
      <c r="K38" s="22" t="s">
        <v>200</v>
      </c>
      <c r="L38"/>
      <c r="M38" s="29">
        <f>N38</f>
        <v>0</v>
      </c>
      <c r="N38" s="50">
        <f>C12*'COVERAGE FACTORS'!C21</f>
        <v>0</v>
      </c>
      <c r="P38" s="19"/>
      <c r="Q38" s="108"/>
      <c r="S38" s="19"/>
      <c r="U38" s="19"/>
      <c r="Y38"/>
      <c r="Z38"/>
      <c r="AA38"/>
      <c r="AB38"/>
      <c r="AC38"/>
      <c r="AD38"/>
    </row>
    <row r="39" spans="1:30" x14ac:dyDescent="0.25">
      <c r="A39" s="179">
        <f>B39*(1-'ACCEPT RATES'!D15)</f>
        <v>0</v>
      </c>
      <c r="B39" s="85">
        <f>C39*(1+'ACCEPT RATES'!F15+'PIECE DENSITIES'!C7)</f>
        <v>0</v>
      </c>
      <c r="C39" s="84">
        <f>G12*('COVERAGE FACTORS'!C15+'COVERAGE FACTORS'!C19)</f>
        <v>0</v>
      </c>
      <c r="G39" s="179">
        <f>H39*(1-'ACCEPT RATES'!D20)</f>
        <v>0</v>
      </c>
      <c r="H39" s="85">
        <f>I39*(1+'PIECE DENSITIES'!C12)</f>
        <v>0</v>
      </c>
      <c r="I39" s="84">
        <f>G12*'COVERAGE FACTORS'!C17</f>
        <v>0</v>
      </c>
      <c r="J39" s="58"/>
      <c r="L39"/>
      <c r="M39" s="85">
        <f>N39</f>
        <v>0</v>
      </c>
      <c r="N39" s="84">
        <f>G12*'COVERAGE FACTORS'!C21</f>
        <v>0</v>
      </c>
      <c r="P39" s="19"/>
      <c r="Q39" s="108"/>
      <c r="S39" s="19"/>
      <c r="U39" s="19"/>
      <c r="Y39"/>
      <c r="Z39"/>
      <c r="AA39"/>
      <c r="AB39"/>
      <c r="AC39"/>
      <c r="AD39"/>
    </row>
    <row r="40" spans="1:30" x14ac:dyDescent="0.25">
      <c r="A40" s="121"/>
      <c r="B40" s="85"/>
      <c r="C40" s="84"/>
      <c r="G40" s="109">
        <f>H40*(1-'ACCEPT RATES'!C20)</f>
        <v>0</v>
      </c>
      <c r="H40" s="89">
        <f>I40*(1+'PIECE DENSITIES'!C12)</f>
        <v>0</v>
      </c>
      <c r="I40" s="90">
        <f>K12*('COVERAGE FACTORS'!C17+'COVERAGE FACTORS'!C19)</f>
        <v>0</v>
      </c>
      <c r="J40" s="58"/>
      <c r="L40"/>
      <c r="M40" s="89">
        <f>N40</f>
        <v>0</v>
      </c>
      <c r="N40" s="90">
        <f>K12*(1-('COVERAGE FACTORS'!C17+'COVERAGE FACTORS'!C19))</f>
        <v>0</v>
      </c>
      <c r="P40" s="19"/>
      <c r="Q40" s="108"/>
      <c r="S40" s="19"/>
      <c r="U40" s="19"/>
      <c r="Y40"/>
      <c r="Z40"/>
      <c r="AA40"/>
      <c r="AB40"/>
      <c r="AC40"/>
      <c r="AD40"/>
    </row>
    <row r="41" spans="1:30" x14ac:dyDescent="0.25">
      <c r="A41" s="121"/>
      <c r="B41" s="85"/>
      <c r="C41" s="84"/>
      <c r="G41" s="110">
        <f>H41*(1-'ACCEPT RATES'!D20)</f>
        <v>0</v>
      </c>
      <c r="H41" s="94">
        <f>I41*(1+'PIECE DENSITIES'!C12)</f>
        <v>0</v>
      </c>
      <c r="I41" s="92">
        <f>O12*('COVERAGE FACTORS'!C17+'COVERAGE FACTORS'!C19)</f>
        <v>0</v>
      </c>
      <c r="J41" s="58"/>
      <c r="L41"/>
      <c r="M41" s="94">
        <f>N41</f>
        <v>0</v>
      </c>
      <c r="N41" s="92">
        <f>O12*(1-('COVERAGE FACTORS'!C17+'COVERAGE FACTORS'!C19))</f>
        <v>0</v>
      </c>
      <c r="P41" s="19"/>
      <c r="Q41" s="108"/>
      <c r="S41" s="19"/>
      <c r="U41" s="19"/>
      <c r="Y41"/>
      <c r="Z41"/>
      <c r="AA41"/>
      <c r="AB41"/>
      <c r="AC41"/>
      <c r="AD41"/>
    </row>
    <row r="42" spans="1:30" x14ac:dyDescent="0.25">
      <c r="A42" s="183">
        <f>B42*(1-'ACCEPT RATES'!C15)</f>
        <v>0.11789813608299908</v>
      </c>
      <c r="B42" s="187">
        <f>C42*(1+'ACCEPT RATES'!F15+'PIECE DENSITIES'!C7)</f>
        <v>1.9233082199634297</v>
      </c>
      <c r="C42" s="188">
        <f>D30</f>
        <v>1.878027668325065</v>
      </c>
      <c r="G42" s="184">
        <f>IF(SUM(C11:C16)&gt;0,H42*(1-'ACCEPT RATES'!C20),H42*(1-'ACCEPT RATES'!D20))</f>
        <v>0</v>
      </c>
      <c r="H42" s="185">
        <f>I42*(1+'PIECE DENSITIES'!C12)</f>
        <v>0</v>
      </c>
      <c r="I42" s="186">
        <f>J30</f>
        <v>0</v>
      </c>
      <c r="J42" s="58"/>
      <c r="L42"/>
      <c r="M42" s="101">
        <f>N42</f>
        <v>0.26039204842830765</v>
      </c>
      <c r="N42" s="100">
        <f>D36+J36+O30</f>
        <v>0.26039204842830765</v>
      </c>
      <c r="P42" s="19"/>
      <c r="Q42" s="108"/>
      <c r="S42" s="19"/>
      <c r="U42" s="19"/>
      <c r="Y42"/>
      <c r="Z42"/>
      <c r="AA42"/>
      <c r="AB42"/>
      <c r="AC42"/>
      <c r="AD42"/>
    </row>
    <row r="43" spans="1:30" x14ac:dyDescent="0.25">
      <c r="A43" s="113"/>
      <c r="C43" s="97"/>
      <c r="D43" s="364">
        <f>(SUM(C38:C42)-D36)*'PIECE DENSITIES'!D7</f>
        <v>1.4069444855903339</v>
      </c>
      <c r="E43" s="23" t="s">
        <v>279</v>
      </c>
      <c r="G43" s="113"/>
      <c r="I43" s="98"/>
      <c r="J43" s="181">
        <f>(SUM(I38:I42)-J36)*'PIECE DENSITIES'!D12</f>
        <v>0</v>
      </c>
      <c r="K43" s="23" t="s">
        <v>280</v>
      </c>
      <c r="L43"/>
      <c r="M43" s="19"/>
      <c r="O43" s="95">
        <f>SUM(N38:N42)*'PIECE DENSITIES'!D17</f>
        <v>0.18431684923385291</v>
      </c>
      <c r="P43" s="23" t="s">
        <v>281</v>
      </c>
      <c r="Q43" s="108"/>
      <c r="S43" s="19"/>
      <c r="U43" s="19"/>
      <c r="Y43"/>
      <c r="Z43"/>
      <c r="AA43"/>
      <c r="AB43"/>
      <c r="AC43"/>
      <c r="AD43"/>
    </row>
    <row r="44" spans="1:30" x14ac:dyDescent="0.25">
      <c r="A44" s="113"/>
      <c r="C44" s="97"/>
      <c r="D44" s="364">
        <f>(SUM(C38:C42)-D36)*'PIECE DENSITIES'!E7</f>
        <v>0.11758482451851364</v>
      </c>
      <c r="E44" s="23" t="s">
        <v>282</v>
      </c>
      <c r="G44" s="113"/>
      <c r="I44" s="98"/>
      <c r="J44" s="181">
        <f>(SUM(I38:I42)-J36)*'PIECE DENSITIES'!E12</f>
        <v>0</v>
      </c>
      <c r="K44" s="23" t="s">
        <v>283</v>
      </c>
      <c r="L44"/>
      <c r="M44" s="19"/>
      <c r="O44" s="95">
        <f>SUM(N38:N42)*'PIECE DENSITIES'!E17</f>
        <v>8.0805840318619597E-4</v>
      </c>
      <c r="P44" s="23" t="s">
        <v>284</v>
      </c>
      <c r="Q44" s="108"/>
      <c r="S44" s="19"/>
      <c r="U44" s="19"/>
      <c r="Y44"/>
      <c r="Z44"/>
      <c r="AA44"/>
      <c r="AB44"/>
      <c r="AC44"/>
      <c r="AD44"/>
    </row>
    <row r="45" spans="1:30" x14ac:dyDescent="0.25">
      <c r="A45" s="113"/>
      <c r="C45" s="88"/>
      <c r="D45" s="365">
        <f>(SUM(C38:C42)-D36)*'PIECE DENSITIES'!F7</f>
        <v>1.2524929690784109E-2</v>
      </c>
      <c r="E45" s="23" t="s">
        <v>285</v>
      </c>
      <c r="G45" s="113"/>
      <c r="I45" s="93"/>
      <c r="J45" s="182">
        <f>(SUM(I38:I42)-J36)*'PIECE DENSITIES'!F12</f>
        <v>0</v>
      </c>
      <c r="K45" s="23" t="s">
        <v>286</v>
      </c>
      <c r="L45"/>
      <c r="M45" s="19"/>
      <c r="N45" s="45"/>
      <c r="O45" s="96">
        <f>SUM(N38:N42)*'PIECE DENSITIES'!F17</f>
        <v>5.1728463133100576E-3</v>
      </c>
      <c r="P45" s="23" t="s">
        <v>287</v>
      </c>
      <c r="Q45" s="108"/>
      <c r="S45" s="19"/>
      <c r="U45" s="19"/>
      <c r="Y45"/>
      <c r="Z45"/>
      <c r="AA45"/>
      <c r="AB45"/>
      <c r="AC45"/>
      <c r="AD45"/>
    </row>
    <row r="46" spans="1:30" x14ac:dyDescent="0.25">
      <c r="A46" s="113"/>
      <c r="C46" s="88"/>
      <c r="D46" s="365">
        <f>(SUM(C38:C42)-D36)*'PIECE DENSITIES'!G7</f>
        <v>0.16669394754229228</v>
      </c>
      <c r="E46" s="23" t="s">
        <v>288</v>
      </c>
      <c r="G46" s="113"/>
      <c r="I46" s="93"/>
      <c r="J46" s="182">
        <f>(SUM(I38:I42)-J36)*'PIECE DENSITIES'!G12</f>
        <v>0</v>
      </c>
      <c r="K46" s="23" t="s">
        <v>289</v>
      </c>
      <c r="L46"/>
      <c r="M46" s="19"/>
      <c r="N46" s="45"/>
      <c r="O46" s="96">
        <f>SUM(N38:N42)*'PIECE DENSITIES'!G17</f>
        <v>7.0094294477958494E-2</v>
      </c>
      <c r="P46" s="23" t="s">
        <v>290</v>
      </c>
      <c r="Q46" s="108"/>
      <c r="S46" s="19"/>
      <c r="U46" s="19"/>
      <c r="Y46"/>
      <c r="Z46"/>
      <c r="AA46"/>
      <c r="AB46"/>
      <c r="AC46"/>
      <c r="AD46"/>
    </row>
    <row r="47" spans="1:30" x14ac:dyDescent="0.25">
      <c r="A47" s="113"/>
      <c r="C47" s="97"/>
      <c r="G47" s="113"/>
      <c r="I47" s="98"/>
      <c r="J47" s="91"/>
      <c r="L47"/>
      <c r="M47" s="19"/>
      <c r="O47" s="96"/>
      <c r="P47" s="19"/>
      <c r="Q47" s="108"/>
      <c r="S47" s="19"/>
      <c r="U47" s="19"/>
      <c r="Y47"/>
      <c r="Z47"/>
      <c r="AA47"/>
      <c r="AB47"/>
      <c r="AC47"/>
      <c r="AD47"/>
    </row>
    <row r="48" spans="1:30" x14ac:dyDescent="0.25">
      <c r="A48" s="103"/>
      <c r="B48" s="105"/>
      <c r="C48" s="128"/>
      <c r="D48" s="106"/>
      <c r="E48" s="105"/>
      <c r="F48" s="105"/>
      <c r="G48" s="103"/>
      <c r="H48" s="105"/>
      <c r="I48" s="129"/>
      <c r="J48" s="130"/>
      <c r="K48" s="105"/>
      <c r="L48" s="104"/>
      <c r="M48" s="105"/>
      <c r="N48" s="105"/>
      <c r="O48" s="131"/>
      <c r="P48" s="105"/>
      <c r="Q48" s="107"/>
      <c r="S48" s="19"/>
      <c r="U48" s="19"/>
      <c r="Y48"/>
      <c r="Z48"/>
      <c r="AA48"/>
      <c r="AB48"/>
      <c r="AC48"/>
      <c r="AD48"/>
    </row>
    <row r="49" spans="1:30" s="125" customFormat="1" ht="22.8" x14ac:dyDescent="0.4">
      <c r="A49" s="177"/>
      <c r="B49" s="57"/>
      <c r="C49" s="127" t="s">
        <v>294</v>
      </c>
      <c r="D49" s="123"/>
      <c r="E49" s="57"/>
      <c r="F49" s="127"/>
      <c r="G49" s="122"/>
      <c r="H49" s="57"/>
      <c r="I49" s="123"/>
      <c r="J49" s="57"/>
      <c r="K49" s="57"/>
      <c r="L49" s="127" t="s">
        <v>295</v>
      </c>
      <c r="M49" s="57"/>
      <c r="N49" s="123"/>
      <c r="O49" s="57"/>
      <c r="P49" s="57"/>
      <c r="Q49" s="124"/>
      <c r="R49" s="57"/>
      <c r="S49" s="57"/>
      <c r="T49" s="57"/>
      <c r="U49" s="57"/>
      <c r="V49" s="57"/>
      <c r="W49" s="57"/>
      <c r="X49" s="57"/>
    </row>
    <row r="50" spans="1:30" x14ac:dyDescent="0.25">
      <c r="A50" s="113"/>
      <c r="C50" s="97"/>
      <c r="G50" s="113"/>
      <c r="I50" s="98"/>
      <c r="J50" s="91"/>
      <c r="L50"/>
      <c r="M50" s="19"/>
      <c r="O50" s="96"/>
      <c r="P50" s="19"/>
      <c r="Q50" s="108"/>
      <c r="S50" s="19"/>
      <c r="U50" s="19"/>
      <c r="Y50"/>
      <c r="Z50"/>
      <c r="AA50"/>
      <c r="AB50"/>
      <c r="AC50"/>
      <c r="AD50"/>
    </row>
    <row r="51" spans="1:30" x14ac:dyDescent="0.25">
      <c r="A51" s="113"/>
      <c r="D51" s="96">
        <f>SUM(A53:A57)*(1-'ACCEPT RATES'!G16)+SUM(C53:C57)*SUM('ACCEPT RATES'!I16:J16)</f>
        <v>8.5182135035306583</v>
      </c>
      <c r="E51" s="23" t="s">
        <v>269</v>
      </c>
      <c r="G51" s="121"/>
      <c r="I51" s="23"/>
      <c r="J51" s="96">
        <f>SUM(G53:G57)*(1-'ACCEPT RATES'!E21)</f>
        <v>0</v>
      </c>
      <c r="K51" s="23" t="s">
        <v>269</v>
      </c>
      <c r="L51"/>
      <c r="M51" s="19"/>
      <c r="P51" s="23"/>
      <c r="Q51" s="108"/>
      <c r="S51" s="19"/>
      <c r="U51" s="19"/>
      <c r="Y51"/>
      <c r="Z51"/>
      <c r="AA51"/>
      <c r="AB51"/>
      <c r="AC51"/>
      <c r="AD51"/>
    </row>
    <row r="52" spans="1:30" x14ac:dyDescent="0.25">
      <c r="A52" s="126" t="s">
        <v>270</v>
      </c>
      <c r="B52" s="86" t="s">
        <v>296</v>
      </c>
      <c r="C52" s="87"/>
      <c r="D52" s="119"/>
      <c r="E52" s="23" t="s">
        <v>297</v>
      </c>
      <c r="G52" s="126" t="s">
        <v>273</v>
      </c>
      <c r="H52" s="86" t="s">
        <v>298</v>
      </c>
      <c r="I52" s="87"/>
      <c r="J52" s="99"/>
      <c r="K52" s="22" t="s">
        <v>297</v>
      </c>
      <c r="L52"/>
      <c r="M52" s="86" t="s">
        <v>281</v>
      </c>
      <c r="N52" s="87"/>
      <c r="P52" s="19"/>
      <c r="Q52" s="108"/>
      <c r="S52" s="19"/>
      <c r="U52" s="19"/>
      <c r="Y52"/>
      <c r="Z52"/>
      <c r="AA52"/>
      <c r="AB52"/>
      <c r="AC52"/>
      <c r="AD52"/>
    </row>
    <row r="53" spans="1:30" x14ac:dyDescent="0.25">
      <c r="A53" s="120">
        <f>B53*(1-'ACCEPT RATES'!C16)</f>
        <v>0</v>
      </c>
      <c r="B53" s="29">
        <f>C53*(1+'ACCEPT RATES'!F16+'PIECE DENSITIES'!D8)</f>
        <v>0</v>
      </c>
      <c r="C53" s="50">
        <f>C13*('COVERAGE FACTORS'!C39+'COVERAGE FACTORS'!C43)</f>
        <v>0</v>
      </c>
      <c r="E53" s="23" t="s">
        <v>200</v>
      </c>
      <c r="G53" s="178">
        <f>H53*(1-'ACCEPT RATES'!C21)</f>
        <v>0</v>
      </c>
      <c r="H53" s="29">
        <f>I53*(1+'PIECE DENSITIES'!D13)</f>
        <v>0</v>
      </c>
      <c r="I53" s="50">
        <f>C13*'COVERAGE FACTORS'!C41</f>
        <v>0</v>
      </c>
      <c r="J53" s="112"/>
      <c r="K53" s="22" t="s">
        <v>200</v>
      </c>
      <c r="L53"/>
      <c r="M53" s="29">
        <f>N53</f>
        <v>0</v>
      </c>
      <c r="N53" s="50">
        <f>C13*'COVERAGE FACTORS'!C45</f>
        <v>0</v>
      </c>
      <c r="P53" s="19"/>
      <c r="Q53" s="108"/>
      <c r="S53" s="19"/>
      <c r="U53" s="19"/>
      <c r="Y53"/>
      <c r="Z53"/>
      <c r="AA53"/>
      <c r="AB53"/>
      <c r="AC53"/>
      <c r="AD53"/>
    </row>
    <row r="54" spans="1:30" x14ac:dyDescent="0.25">
      <c r="A54" s="179">
        <f>B54*(1-'ACCEPT RATES'!D16)</f>
        <v>24.016128554552001</v>
      </c>
      <c r="B54" s="85">
        <f>C54*(1+'ACCEPT RATES'!F16+'PIECE DENSITIES'!D8)</f>
        <v>91.079123360381871</v>
      </c>
      <c r="C54" s="84">
        <f>G13*('COVERAGE FACTORS'!C39+'COVERAGE FACTORS'!C43)</f>
        <v>90.103123508274805</v>
      </c>
      <c r="G54" s="179">
        <f>H54*(1-'ACCEPT RATES'!D21)</f>
        <v>0</v>
      </c>
      <c r="H54" s="85">
        <f>I54*(1+'PIECE DENSITIES'!D13)</f>
        <v>0</v>
      </c>
      <c r="I54" s="84">
        <f>G13*'COVERAGE FACTORS'!C41</f>
        <v>0</v>
      </c>
      <c r="J54" s="58"/>
      <c r="L54"/>
      <c r="M54" s="85">
        <f>N54</f>
        <v>0.54594358981989777</v>
      </c>
      <c r="N54" s="84">
        <f>G13*'COVERAGE FACTORS'!C45</f>
        <v>0.54594358981989777</v>
      </c>
      <c r="P54" s="19"/>
      <c r="Q54" s="108"/>
      <c r="S54" s="19"/>
      <c r="U54" s="19"/>
      <c r="Y54"/>
      <c r="Z54"/>
      <c r="AA54"/>
      <c r="AB54"/>
      <c r="AC54"/>
      <c r="AD54"/>
    </row>
    <row r="55" spans="1:30" x14ac:dyDescent="0.25">
      <c r="A55" s="121"/>
      <c r="B55" s="85"/>
      <c r="C55" s="84"/>
      <c r="G55" s="109">
        <f>H55*(1-'ACCEPT RATES'!C21)</f>
        <v>0</v>
      </c>
      <c r="H55" s="89">
        <f>I55*(1+'PIECE DENSITIES'!D13)</f>
        <v>0</v>
      </c>
      <c r="I55" s="90">
        <f>K13*('COVERAGE FACTORS'!C41+'COVERAGE FACTORS'!C43)</f>
        <v>0</v>
      </c>
      <c r="J55" s="58"/>
      <c r="L55"/>
      <c r="M55" s="89">
        <f>N55</f>
        <v>0</v>
      </c>
      <c r="N55" s="90">
        <f>K13*(1-('COVERAGE FACTORS'!C41+'COVERAGE FACTORS'!C43))</f>
        <v>0</v>
      </c>
      <c r="P55" s="19"/>
      <c r="Q55" s="108"/>
      <c r="S55" s="19"/>
      <c r="U55" s="19"/>
      <c r="Y55"/>
      <c r="Z55"/>
      <c r="AA55"/>
      <c r="AB55"/>
      <c r="AC55"/>
      <c r="AD55"/>
    </row>
    <row r="56" spans="1:30" x14ac:dyDescent="0.25">
      <c r="A56" s="121"/>
      <c r="B56" s="85"/>
      <c r="C56" s="84"/>
      <c r="G56" s="110">
        <f>H56*(1-'ACCEPT RATES'!D21)</f>
        <v>0</v>
      </c>
      <c r="H56" s="94">
        <f>I56*(1+'PIECE DENSITIES'!D13)</f>
        <v>0</v>
      </c>
      <c r="I56" s="92">
        <f>O13*('COVERAGE FACTORS'!C41+'COVERAGE FACTORS'!C43)</f>
        <v>0</v>
      </c>
      <c r="J56" s="58"/>
      <c r="L56"/>
      <c r="M56" s="94">
        <f>N56</f>
        <v>0</v>
      </c>
      <c r="N56" s="92">
        <f>O13*(1-('COVERAGE FACTORS'!C41+'COVERAGE FACTORS'!C43))</f>
        <v>0</v>
      </c>
      <c r="P56" s="19"/>
      <c r="Q56" s="108"/>
      <c r="S56" s="19"/>
      <c r="U56" s="19"/>
      <c r="Y56"/>
      <c r="Z56"/>
      <c r="AA56"/>
      <c r="AB56"/>
      <c r="AC56"/>
      <c r="AD56"/>
    </row>
    <row r="57" spans="1:30" x14ac:dyDescent="0.25">
      <c r="A57" s="183">
        <f>B57*(1-'ACCEPT RATES'!C16)</f>
        <v>0.55484635222524537</v>
      </c>
      <c r="B57" s="187">
        <f>C57*(1+'ACCEPT RATES'!F16+'PIECE DENSITIES'!D8)</f>
        <v>9.0513776172023857</v>
      </c>
      <c r="C57" s="188">
        <f>(D31+D43)*('COVERAGE FACTORS'!C39+'COVERAGE FACTORS'!C43)</f>
        <v>8.9543834555348454</v>
      </c>
      <c r="G57" s="184">
        <f>IF(SUM(C11:C16)&gt;0,H57*(1-'ACCEPT RATES'!C21),H57*(1-'ACCEPT RATES'!D21))</f>
        <v>0</v>
      </c>
      <c r="H57" s="185">
        <f>I57*(1+'PIECE DENSITIES'!D13)</f>
        <v>0</v>
      </c>
      <c r="I57" s="186">
        <f>(D31+D43)*'COVERAGE FACTORS'!C41+(J31+J43)*('COVERAGE FACTORS'!C41+'COVERAGE FACTORS'!C43)</f>
        <v>0</v>
      </c>
      <c r="J57" s="58"/>
      <c r="L57"/>
      <c r="M57" s="101">
        <f>N57</f>
        <v>9.3155999055130696</v>
      </c>
      <c r="N57" s="100">
        <f>D51+J51+O31+O43+(D31+D43)*'COVERAGE FACTORS'!C45+(J31+J43)*(1-('COVERAGE FACTORS'!C41+'COVERAGE FACTORS'!C43))</f>
        <v>9.3155999055130696</v>
      </c>
      <c r="P57" s="19"/>
      <c r="Q57" s="108"/>
      <c r="S57" s="19"/>
      <c r="U57" s="19"/>
      <c r="Y57"/>
      <c r="Z57"/>
      <c r="AA57"/>
      <c r="AB57"/>
      <c r="AC57"/>
      <c r="AD57"/>
    </row>
    <row r="58" spans="1:30" x14ac:dyDescent="0.25">
      <c r="A58" s="113"/>
      <c r="C58" s="97"/>
      <c r="D58" s="364">
        <f>(SUM(C53:C57)-D51)*'PIECE DENSITIES'!E8</f>
        <v>18.01195469329322</v>
      </c>
      <c r="E58" s="23" t="s">
        <v>282</v>
      </c>
      <c r="G58" s="113"/>
      <c r="I58" s="98"/>
      <c r="J58" s="181">
        <f>(SUM(I53:I57)-J51)*'PIECE DENSITIES'!E13</f>
        <v>0</v>
      </c>
      <c r="K58" s="23" t="s">
        <v>283</v>
      </c>
      <c r="L58"/>
      <c r="M58" s="19"/>
      <c r="O58" s="95">
        <f>SUM(N53:N57)*'PIECE DENSITIES'!E18</f>
        <v>2.606049634930856</v>
      </c>
      <c r="P58" s="23" t="s">
        <v>284</v>
      </c>
      <c r="Q58" s="108"/>
      <c r="S58" s="19"/>
      <c r="U58" s="19"/>
      <c r="Y58"/>
      <c r="Z58"/>
      <c r="AA58"/>
      <c r="AB58"/>
      <c r="AC58"/>
      <c r="AD58"/>
    </row>
    <row r="59" spans="1:30" x14ac:dyDescent="0.25">
      <c r="A59" s="113"/>
      <c r="C59" s="97"/>
      <c r="D59" s="364">
        <f>(SUM(C53:C57)-D51)*'PIECE DENSITIES'!F8</f>
        <v>5.8478455652365104</v>
      </c>
      <c r="E59" s="23" t="s">
        <v>285</v>
      </c>
      <c r="G59" s="113"/>
      <c r="I59" s="98"/>
      <c r="J59" s="181">
        <f>(SUM(I53:I57)-J51)*'PIECE DENSITIES'!F13</f>
        <v>0</v>
      </c>
      <c r="K59" s="23" t="s">
        <v>286</v>
      </c>
      <c r="L59"/>
      <c r="M59" s="19"/>
      <c r="O59" s="95">
        <f>SUM(N53:N57)*'PIECE DENSITIES'!F18</f>
        <v>0.40902469382716455</v>
      </c>
      <c r="P59" s="23" t="s">
        <v>287</v>
      </c>
      <c r="Q59" s="108"/>
      <c r="S59" s="19"/>
      <c r="U59" s="19"/>
      <c r="Y59"/>
      <c r="Z59"/>
      <c r="AA59"/>
      <c r="AB59"/>
      <c r="AC59"/>
      <c r="AD59"/>
    </row>
    <row r="60" spans="1:30" x14ac:dyDescent="0.25">
      <c r="A60" s="113"/>
      <c r="C60" s="88"/>
      <c r="D60" s="365">
        <f>(SUM(C53:C57)-D51)*'PIECE DENSITIES'!G8</f>
        <v>66.679493201749267</v>
      </c>
      <c r="E60" s="23" t="s">
        <v>288</v>
      </c>
      <c r="G60" s="113"/>
      <c r="I60" s="93"/>
      <c r="J60" s="182">
        <f>(SUM(I53:I57)-J51)*'PIECE DENSITIES'!G13</f>
        <v>0</v>
      </c>
      <c r="K60" s="23" t="s">
        <v>289</v>
      </c>
      <c r="L60"/>
      <c r="M60" s="19"/>
      <c r="N60" s="45"/>
      <c r="O60" s="96">
        <f>SUM(N53:N57)*'PIECE DENSITIES'!G18</f>
        <v>6.8464691665749466</v>
      </c>
      <c r="P60" s="23" t="s">
        <v>290</v>
      </c>
      <c r="Q60" s="108"/>
      <c r="S60" s="19"/>
      <c r="U60" s="19"/>
      <c r="Y60"/>
      <c r="Z60"/>
      <c r="AA60"/>
      <c r="AB60"/>
      <c r="AC60"/>
      <c r="AD60"/>
    </row>
    <row r="61" spans="1:30" x14ac:dyDescent="0.25">
      <c r="A61" s="113"/>
      <c r="C61" s="97"/>
      <c r="G61" s="113"/>
      <c r="I61" s="98"/>
      <c r="J61" s="91"/>
      <c r="L61"/>
      <c r="M61" s="19"/>
      <c r="O61" s="96"/>
      <c r="P61" s="19"/>
      <c r="Q61" s="108"/>
      <c r="S61" s="19"/>
      <c r="U61" s="19"/>
      <c r="Y61"/>
      <c r="Z61"/>
      <c r="AA61"/>
      <c r="AB61"/>
      <c r="AC61"/>
      <c r="AD61"/>
    </row>
    <row r="62" spans="1:30" x14ac:dyDescent="0.25">
      <c r="A62" s="113"/>
      <c r="D62" s="96">
        <f>SUM(A64:A68)*(1-'ACCEPT RATES'!G17)+SUM(C64:C68)*SUM('ACCEPT RATES'!I17:J17)</f>
        <v>2.5978270891262731</v>
      </c>
      <c r="E62" s="23" t="s">
        <v>269</v>
      </c>
      <c r="G62" s="121"/>
      <c r="I62" s="23"/>
      <c r="J62" s="96">
        <f>SUM(G64:G68)*(1-'ACCEPT RATES'!E22)</f>
        <v>0</v>
      </c>
      <c r="K62" s="23" t="s">
        <v>269</v>
      </c>
      <c r="L62"/>
      <c r="M62" s="19"/>
      <c r="P62" s="23"/>
      <c r="Q62" s="108"/>
      <c r="S62" s="19"/>
      <c r="U62" s="19"/>
      <c r="Y62"/>
      <c r="Z62"/>
      <c r="AA62"/>
      <c r="AB62"/>
      <c r="AC62"/>
      <c r="AD62"/>
    </row>
    <row r="63" spans="1:30" x14ac:dyDescent="0.25">
      <c r="A63" s="126" t="s">
        <v>270</v>
      </c>
      <c r="B63" s="86" t="s">
        <v>299</v>
      </c>
      <c r="C63" s="87"/>
      <c r="D63" s="119"/>
      <c r="E63" s="23" t="s">
        <v>300</v>
      </c>
      <c r="G63" s="126" t="s">
        <v>273</v>
      </c>
      <c r="H63" s="86" t="s">
        <v>301</v>
      </c>
      <c r="I63" s="87"/>
      <c r="J63" s="99"/>
      <c r="K63" s="22" t="s">
        <v>300</v>
      </c>
      <c r="L63"/>
      <c r="M63" s="86" t="s">
        <v>284</v>
      </c>
      <c r="N63" s="87"/>
      <c r="P63" s="19"/>
      <c r="Q63" s="108"/>
      <c r="S63" s="19"/>
      <c r="U63" s="19"/>
      <c r="Y63"/>
      <c r="Z63"/>
      <c r="AA63"/>
      <c r="AB63"/>
      <c r="AC63"/>
      <c r="AD63"/>
    </row>
    <row r="64" spans="1:30" x14ac:dyDescent="0.25">
      <c r="A64" s="120">
        <f>B64*(1-'ACCEPT RATES'!C17)</f>
        <v>0</v>
      </c>
      <c r="B64" s="29">
        <f>C64*(1+'ACCEPT RATES'!F17+'PIECE DENSITIES'!E9)</f>
        <v>0</v>
      </c>
      <c r="C64" s="50">
        <f>C14*('COVERAGE FACTORS'!C39+'COVERAGE FACTORS'!C43)</f>
        <v>0</v>
      </c>
      <c r="E64" s="23" t="s">
        <v>200</v>
      </c>
      <c r="G64" s="178">
        <f>H64*(1-'ACCEPT RATES'!C22)</f>
        <v>0</v>
      </c>
      <c r="H64" s="29">
        <f>I64*(1+'PIECE DENSITIES'!E14)</f>
        <v>0</v>
      </c>
      <c r="I64" s="50">
        <f>C14*'COVERAGE FACTORS'!C41</f>
        <v>0</v>
      </c>
      <c r="J64" s="112"/>
      <c r="K64" s="22" t="s">
        <v>200</v>
      </c>
      <c r="L64"/>
      <c r="M64" s="29">
        <f>N64</f>
        <v>0</v>
      </c>
      <c r="N64" s="50">
        <f>C14*'COVERAGE FACTORS'!C45</f>
        <v>0</v>
      </c>
      <c r="P64" s="19"/>
      <c r="Q64" s="108"/>
      <c r="S64" s="19"/>
      <c r="U64" s="19"/>
      <c r="Y64"/>
      <c r="Z64"/>
      <c r="AA64"/>
      <c r="AB64"/>
      <c r="AC64"/>
      <c r="AD64"/>
    </row>
    <row r="65" spans="1:30" x14ac:dyDescent="0.25">
      <c r="A65" s="179">
        <f>B65*(1-'ACCEPT RATES'!D17)</f>
        <v>6.4265609401705204</v>
      </c>
      <c r="B65" s="85">
        <f>C65*(1+'ACCEPT RATES'!F17+'PIECE DENSITIES'!E9)</f>
        <v>24.372185355489375</v>
      </c>
      <c r="C65" s="84">
        <f>G14*('COVERAGE FACTORS'!C39+'COVERAGE FACTORS'!C43)</f>
        <v>22.947835686526574</v>
      </c>
      <c r="G65" s="179">
        <f>H65*(1-'ACCEPT RATES'!D22)</f>
        <v>0</v>
      </c>
      <c r="H65" s="85">
        <f>I65*(1+'PIECE DENSITIES'!E14)</f>
        <v>0</v>
      </c>
      <c r="I65" s="84">
        <f>G14*'COVERAGE FACTORS'!C41</f>
        <v>0</v>
      </c>
      <c r="J65" s="58"/>
      <c r="L65"/>
      <c r="M65" s="85">
        <f>N65</f>
        <v>0.13904316859946503</v>
      </c>
      <c r="N65" s="84">
        <f>G14*'COVERAGE FACTORS'!C45</f>
        <v>0.13904316859946503</v>
      </c>
      <c r="P65" s="19"/>
      <c r="Q65" s="108"/>
      <c r="S65" s="19"/>
      <c r="U65" s="19"/>
      <c r="Y65"/>
      <c r="Z65"/>
      <c r="AA65"/>
      <c r="AB65"/>
      <c r="AC65"/>
      <c r="AD65"/>
    </row>
    <row r="66" spans="1:30" x14ac:dyDescent="0.25">
      <c r="A66" s="121"/>
      <c r="B66" s="85"/>
      <c r="C66" s="84"/>
      <c r="G66" s="109">
        <f>H66*(1-'ACCEPT RATES'!C22)</f>
        <v>0</v>
      </c>
      <c r="H66" s="89">
        <f>I66*(1+'PIECE DENSITIES'!E14)</f>
        <v>0</v>
      </c>
      <c r="I66" s="90">
        <f>K14*('COVERAGE FACTORS'!C41+'COVERAGE FACTORS'!C43)</f>
        <v>0</v>
      </c>
      <c r="J66" s="58"/>
      <c r="L66"/>
      <c r="M66" s="89">
        <f>N66</f>
        <v>0</v>
      </c>
      <c r="N66" s="90">
        <f>K14*(1-('COVERAGE FACTORS'!C41+'COVERAGE FACTORS'!C43))</f>
        <v>0</v>
      </c>
      <c r="P66" s="19"/>
      <c r="Q66" s="108"/>
      <c r="S66" s="19"/>
      <c r="U66" s="19"/>
      <c r="Y66"/>
      <c r="Z66"/>
      <c r="AA66"/>
      <c r="AB66"/>
      <c r="AC66"/>
      <c r="AD66"/>
    </row>
    <row r="67" spans="1:30" x14ac:dyDescent="0.25">
      <c r="A67" s="121"/>
      <c r="B67" s="85"/>
      <c r="C67" s="84"/>
      <c r="G67" s="110">
        <f>H67*(1-'ACCEPT RATES'!D22)</f>
        <v>0</v>
      </c>
      <c r="H67" s="94">
        <f>I67*(1+'PIECE DENSITIES'!E14)</f>
        <v>0</v>
      </c>
      <c r="I67" s="92">
        <f>O14*('COVERAGE FACTORS'!C41+'COVERAGE FACTORS'!C43)</f>
        <v>0</v>
      </c>
      <c r="J67" s="58"/>
      <c r="L67"/>
      <c r="M67" s="94">
        <f>N67</f>
        <v>0</v>
      </c>
      <c r="N67" s="92">
        <f>O14*(1-('COVERAGE FACTORS'!C41+'COVERAGE FACTORS'!C43))</f>
        <v>0</v>
      </c>
      <c r="P67" s="19"/>
      <c r="Q67" s="108"/>
      <c r="S67" s="19"/>
      <c r="U67" s="19"/>
      <c r="Y67"/>
      <c r="Z67"/>
      <c r="AA67"/>
      <c r="AB67"/>
      <c r="AC67"/>
      <c r="AD67"/>
    </row>
    <row r="68" spans="1:30" x14ac:dyDescent="0.25">
      <c r="A68" s="183">
        <f>B68*(1-'ACCEPT RATES'!C17)</f>
        <v>1.4388791741343046</v>
      </c>
      <c r="B68" s="187">
        <f>C68*(1+'ACCEPT RATES'!F17+'PIECE DENSITIES'!E9)</f>
        <v>23.472874424396942</v>
      </c>
      <c r="C68" s="188">
        <f>(D32+D44+D58)*('COVERAGE FACTORS'!C39+'COVERAGE FACTORS'!C43)</f>
        <v>22.101081931096175</v>
      </c>
      <c r="G68" s="184">
        <f>IF(SUM(C11:C16)&gt;0, H68*(1-'ACCEPT RATES'!C22),H68*(1-'ACCEPT RATES'!D22))</f>
        <v>0</v>
      </c>
      <c r="H68" s="185">
        <f>I68*(1+'PIECE DENSITIES'!E14)</f>
        <v>0</v>
      </c>
      <c r="I68" s="186">
        <f>(D32+D44+D58)*'COVERAGE FACTORS'!C41+(J32+J44+J58)*('COVERAGE FACTORS'!C41+'COVERAGE FACTORS'!C43)</f>
        <v>0</v>
      </c>
      <c r="J68" s="58"/>
      <c r="L68"/>
      <c r="M68" s="101">
        <f>N68</f>
        <v>5.5847838234370268</v>
      </c>
      <c r="N68" s="100">
        <f>D62+J62+O32+O44+O58+(D32+D44+D58)*'COVERAGE FACTORS'!C45+(J32+J44+J58)*(1-('COVERAGE FACTORS'!C41+'COVERAGE FACTORS'!C43))</f>
        <v>5.5847838234370268</v>
      </c>
      <c r="P68" s="19"/>
      <c r="Q68" s="108"/>
      <c r="S68" s="19"/>
      <c r="U68" s="19"/>
      <c r="Y68"/>
      <c r="Z68"/>
      <c r="AA68"/>
      <c r="AB68"/>
      <c r="AC68"/>
      <c r="AD68"/>
    </row>
    <row r="69" spans="1:30" x14ac:dyDescent="0.25">
      <c r="A69" s="113"/>
      <c r="C69" s="97"/>
      <c r="D69" s="364">
        <f>(SUM(C64:C68)-D62)*'PIECE DENSITIES'!F9</f>
        <v>0.94971457778200763</v>
      </c>
      <c r="E69" s="23" t="s">
        <v>285</v>
      </c>
      <c r="G69" s="113"/>
      <c r="I69" s="98"/>
      <c r="J69" s="181">
        <f>(SUM(I64:I68)-J62)*'PIECE DENSITIES'!F14</f>
        <v>0</v>
      </c>
      <c r="K69" s="23" t="s">
        <v>286</v>
      </c>
      <c r="L69"/>
      <c r="M69" s="19"/>
      <c r="O69" s="95">
        <f>SUM(N64:N68)*'PIECE DENSITIES'!F19</f>
        <v>0.14806297233580634</v>
      </c>
      <c r="P69" s="23" t="s">
        <v>287</v>
      </c>
      <c r="Q69" s="108"/>
      <c r="S69" s="19"/>
      <c r="U69" s="19"/>
      <c r="Y69"/>
      <c r="Z69"/>
      <c r="AA69"/>
      <c r="AB69"/>
      <c r="AC69"/>
      <c r="AD69"/>
    </row>
    <row r="70" spans="1:30" x14ac:dyDescent="0.25">
      <c r="A70" s="113"/>
      <c r="C70" s="97"/>
      <c r="D70" s="364">
        <f>(SUM(C64:C68)-D62)*'PIECE DENSITIES'!G9</f>
        <v>41.501375950714475</v>
      </c>
      <c r="E70" s="23" t="s">
        <v>288</v>
      </c>
      <c r="G70" s="113"/>
      <c r="I70" s="98"/>
      <c r="J70" s="181">
        <f>(SUM(I64:I68)-J62)*'PIECE DENSITIES'!G14</f>
        <v>0</v>
      </c>
      <c r="K70" s="23" t="s">
        <v>289</v>
      </c>
      <c r="L70"/>
      <c r="M70" s="19"/>
      <c r="O70" s="95">
        <f>SUM(N64:N68)*'PIECE DENSITIES'!G19</f>
        <v>5.5757640197006859</v>
      </c>
      <c r="P70" s="23" t="s">
        <v>290</v>
      </c>
      <c r="Q70" s="108"/>
      <c r="S70" s="19"/>
      <c r="U70" s="19"/>
      <c r="Y70"/>
      <c r="Z70"/>
      <c r="AA70"/>
      <c r="AB70"/>
      <c r="AC70"/>
      <c r="AD70"/>
    </row>
    <row r="71" spans="1:30" x14ac:dyDescent="0.25">
      <c r="A71" s="113"/>
      <c r="C71" s="97"/>
      <c r="G71" s="113"/>
      <c r="I71" s="98"/>
      <c r="J71" s="91"/>
      <c r="L71"/>
      <c r="M71" s="19"/>
      <c r="O71" s="96"/>
      <c r="P71" s="19"/>
      <c r="Q71" s="108"/>
      <c r="S71" s="19"/>
      <c r="U71" s="19"/>
      <c r="Y71"/>
      <c r="Z71"/>
      <c r="AA71"/>
      <c r="AB71"/>
      <c r="AC71"/>
      <c r="AD71"/>
    </row>
    <row r="72" spans="1:30" x14ac:dyDescent="0.25">
      <c r="A72" s="113"/>
      <c r="D72" s="96">
        <f>SUM(A74:A78)*(1-'ACCEPT RATES'!G17)+SUM(C74:C78)*SUM('ACCEPT RATES'!I17:J17)</f>
        <v>0.38853218667144102</v>
      </c>
      <c r="E72" s="23" t="s">
        <v>269</v>
      </c>
      <c r="G72" s="121"/>
      <c r="I72" s="23"/>
      <c r="J72" s="96">
        <f>SUM(G74:G78)*(1-'ACCEPT RATES'!E22)</f>
        <v>0</v>
      </c>
      <c r="K72" s="23" t="s">
        <v>269</v>
      </c>
      <c r="L72"/>
      <c r="M72" s="19"/>
      <c r="P72" s="23"/>
      <c r="Q72" s="108"/>
      <c r="S72" s="19"/>
      <c r="U72" s="19"/>
      <c r="Y72"/>
      <c r="Z72"/>
      <c r="AA72"/>
      <c r="AB72"/>
      <c r="AC72"/>
      <c r="AD72"/>
    </row>
    <row r="73" spans="1:30" x14ac:dyDescent="0.25">
      <c r="A73" s="126" t="s">
        <v>270</v>
      </c>
      <c r="B73" s="86" t="s">
        <v>302</v>
      </c>
      <c r="C73" s="87"/>
      <c r="D73" s="119"/>
      <c r="E73" s="23" t="s">
        <v>303</v>
      </c>
      <c r="G73" s="126" t="s">
        <v>273</v>
      </c>
      <c r="H73" s="86" t="s">
        <v>304</v>
      </c>
      <c r="I73" s="87"/>
      <c r="J73" s="99"/>
      <c r="K73" s="22" t="s">
        <v>303</v>
      </c>
      <c r="L73"/>
      <c r="M73" s="86" t="s">
        <v>287</v>
      </c>
      <c r="N73" s="87"/>
      <c r="P73" s="19"/>
      <c r="Q73" s="108"/>
      <c r="S73" s="19"/>
      <c r="U73" s="19"/>
      <c r="Y73"/>
      <c r="Z73"/>
      <c r="AA73"/>
      <c r="AB73"/>
      <c r="AC73"/>
      <c r="AD73"/>
    </row>
    <row r="74" spans="1:30" x14ac:dyDescent="0.25">
      <c r="A74" s="120">
        <f>B74*(1-'ACCEPT RATES'!C17)</f>
        <v>0</v>
      </c>
      <c r="B74" s="29">
        <f>C74*(1+'ACCEPT RATES'!F17)</f>
        <v>0</v>
      </c>
      <c r="C74" s="50">
        <f>C15*('COVERAGE FACTORS'!C39+'COVERAGE FACTORS'!C43)</f>
        <v>0</v>
      </c>
      <c r="E74" s="23" t="s">
        <v>200</v>
      </c>
      <c r="G74" s="178">
        <f>H74*(1-'ACCEPT RATES'!C22)</f>
        <v>0</v>
      </c>
      <c r="H74" s="29">
        <f>I74</f>
        <v>0</v>
      </c>
      <c r="I74" s="50">
        <f>C15*'COVERAGE FACTORS'!C41</f>
        <v>0</v>
      </c>
      <c r="J74" s="112"/>
      <c r="K74" s="22" t="s">
        <v>200</v>
      </c>
      <c r="L74"/>
      <c r="M74" s="29">
        <f>N74</f>
        <v>0</v>
      </c>
      <c r="N74" s="50">
        <f>C15*'COVERAGE FACTORS'!C45</f>
        <v>0</v>
      </c>
      <c r="P74" s="19"/>
      <c r="Q74" s="108"/>
      <c r="S74" s="19"/>
      <c r="U74" s="19"/>
      <c r="Y74"/>
      <c r="Z74"/>
      <c r="AA74"/>
      <c r="AB74"/>
      <c r="AC74"/>
      <c r="AD74"/>
    </row>
    <row r="75" spans="1:30" x14ac:dyDescent="0.25">
      <c r="A75" s="179">
        <f>B75*(1-'ACCEPT RATES'!D17)</f>
        <v>0</v>
      </c>
      <c r="B75" s="85">
        <f>C75*(1+'ACCEPT RATES'!F17)</f>
        <v>0</v>
      </c>
      <c r="C75" s="84">
        <f>G15*('COVERAGE FACTORS'!C39+'COVERAGE FACTORS'!C43)</f>
        <v>0</v>
      </c>
      <c r="G75" s="179">
        <f>H75*(1-'ACCEPT RATES'!D22)</f>
        <v>0</v>
      </c>
      <c r="H75" s="85">
        <f>I75</f>
        <v>0</v>
      </c>
      <c r="I75" s="84">
        <f>G15*'COVERAGE FACTORS'!C41</f>
        <v>0</v>
      </c>
      <c r="J75" s="58"/>
      <c r="L75"/>
      <c r="M75" s="85">
        <f>N75</f>
        <v>0</v>
      </c>
      <c r="N75" s="84">
        <f>G15*'COVERAGE FACTORS'!C45</f>
        <v>0</v>
      </c>
      <c r="P75" s="19"/>
      <c r="Q75" s="108"/>
      <c r="S75" s="19"/>
      <c r="U75" s="19"/>
      <c r="Y75"/>
      <c r="Z75"/>
      <c r="AA75"/>
      <c r="AB75"/>
      <c r="AC75"/>
      <c r="AD75"/>
    </row>
    <row r="76" spans="1:30" x14ac:dyDescent="0.25">
      <c r="A76" s="121"/>
      <c r="B76" s="85"/>
      <c r="C76" s="84"/>
      <c r="G76" s="109">
        <f>H76*(1-'ACCEPT RATES'!C22)</f>
        <v>0</v>
      </c>
      <c r="H76" s="89">
        <f>I76</f>
        <v>0</v>
      </c>
      <c r="I76" s="90">
        <f>K15*('COVERAGE FACTORS'!C41+'COVERAGE FACTORS'!C43)</f>
        <v>0</v>
      </c>
      <c r="J76" s="58"/>
      <c r="L76"/>
      <c r="M76" s="89">
        <f>N76</f>
        <v>0</v>
      </c>
      <c r="N76" s="90">
        <f>K15*(1-('COVERAGE FACTORS'!C41+'COVERAGE FACTORS'!C43))</f>
        <v>0</v>
      </c>
      <c r="P76" s="19"/>
      <c r="Q76" s="108"/>
      <c r="S76" s="19"/>
      <c r="U76" s="19"/>
      <c r="Y76"/>
      <c r="Z76"/>
      <c r="AA76"/>
      <c r="AB76"/>
      <c r="AC76"/>
      <c r="AD76"/>
    </row>
    <row r="77" spans="1:30" x14ac:dyDescent="0.25">
      <c r="A77" s="121"/>
      <c r="B77" s="85"/>
      <c r="C77" s="84"/>
      <c r="G77" s="110">
        <f>H77*(1-'ACCEPT RATES'!D22)</f>
        <v>0</v>
      </c>
      <c r="H77" s="94">
        <f>I77</f>
        <v>0</v>
      </c>
      <c r="I77" s="92">
        <f>O15*('COVERAGE FACTORS'!C41+'COVERAGE FACTORS'!C43)</f>
        <v>0</v>
      </c>
      <c r="J77" s="58"/>
      <c r="L77"/>
      <c r="M77" s="94">
        <f>N77</f>
        <v>0</v>
      </c>
      <c r="N77" s="92">
        <f>O15*(1-('COVERAGE FACTORS'!C41+'COVERAGE FACTORS'!C43))</f>
        <v>0</v>
      </c>
      <c r="P77" s="19"/>
      <c r="Q77" s="108"/>
      <c r="S77" s="19"/>
      <c r="U77" s="19"/>
      <c r="Y77"/>
      <c r="Z77"/>
      <c r="AA77"/>
      <c r="AB77"/>
      <c r="AC77"/>
      <c r="AD77"/>
    </row>
    <row r="78" spans="1:30" x14ac:dyDescent="0.25">
      <c r="A78" s="183">
        <f>B78*(1-'ACCEPT RATES'!C17)</f>
        <v>0.48549414919784745</v>
      </c>
      <c r="B78" s="187">
        <f>C78*(1+'ACCEPT RATES'!F17)</f>
        <v>7.9200139961417024</v>
      </c>
      <c r="C78" s="188">
        <f>(D33+D45+D59+D69)*('COVERAGE FACTORS'!C39+'COVERAGE FACTORS'!C43)</f>
        <v>7.8437153874520744</v>
      </c>
      <c r="G78" s="184">
        <f>IF(SUM(C11:C16)&gt;0,H78*(1-'ACCEPT RATES'!C22),H78*(1-'ACCEPT RATES'!D22))</f>
        <v>0</v>
      </c>
      <c r="H78" s="185">
        <f>I78</f>
        <v>0</v>
      </c>
      <c r="I78" s="186">
        <f>(D33+D45+D59+D69)*'COVERAGE FACTORS'!C41+(J33+J45+J59+J69)*('COVERAGE FACTORS'!C41+'COVERAGE FACTORS'!C43)</f>
        <v>0</v>
      </c>
      <c r="J78" s="58"/>
      <c r="L78"/>
      <c r="M78" s="101">
        <f ca="1">N78</f>
        <v>1.0695965222328823</v>
      </c>
      <c r="N78" s="100">
        <f ca="1">D72+J72+O33+O45+O59+O69+(D33+D45+D59+D69)*'COVERAGE FACTORS'!C45+(J33+J45+J59+J69)*(1-('COVERAGE FACTORS'!C41+'COVERAGE FACTORS'!C43))+D106</f>
        <v>1.0695965222328823</v>
      </c>
      <c r="P78" s="19"/>
      <c r="Q78" s="108"/>
      <c r="S78" s="19"/>
      <c r="U78" s="19"/>
      <c r="Y78"/>
      <c r="Z78"/>
      <c r="AA78"/>
      <c r="AB78"/>
      <c r="AC78"/>
      <c r="AD78"/>
    </row>
    <row r="79" spans="1:30" x14ac:dyDescent="0.25">
      <c r="A79" s="113"/>
      <c r="C79" s="97"/>
      <c r="D79" s="364">
        <f>SUM(C74:C78)-D72</f>
        <v>7.4551832007806338</v>
      </c>
      <c r="E79" s="23" t="s">
        <v>288</v>
      </c>
      <c r="G79" s="113"/>
      <c r="I79" s="98"/>
      <c r="J79" s="181">
        <f>SUM(I74:I78)-J72</f>
        <v>0</v>
      </c>
      <c r="K79" s="23" t="s">
        <v>289</v>
      </c>
      <c r="L79"/>
      <c r="M79" s="19"/>
      <c r="O79" s="95">
        <f ca="1">SUM(N74:N78)</f>
        <v>1.0695965222328823</v>
      </c>
      <c r="P79" s="23" t="s">
        <v>290</v>
      </c>
      <c r="Q79" s="108"/>
      <c r="S79" s="19"/>
      <c r="U79" s="19"/>
      <c r="Y79"/>
      <c r="Z79"/>
      <c r="AA79"/>
      <c r="AB79"/>
      <c r="AC79"/>
      <c r="AD79"/>
    </row>
    <row r="80" spans="1:30" x14ac:dyDescent="0.25">
      <c r="A80" s="113"/>
      <c r="C80" s="97"/>
      <c r="E80" s="23"/>
      <c r="G80" s="113"/>
      <c r="I80" s="98"/>
      <c r="J80" s="91"/>
      <c r="K80" s="23"/>
      <c r="L80"/>
      <c r="M80" s="19"/>
      <c r="O80" s="96"/>
      <c r="P80" s="23"/>
      <c r="Q80" s="108"/>
      <c r="S80" s="19"/>
      <c r="U80" s="19"/>
      <c r="Y80"/>
      <c r="Z80"/>
      <c r="AA80"/>
      <c r="AB80"/>
      <c r="AC80"/>
      <c r="AD80"/>
    </row>
    <row r="81" spans="1:30" x14ac:dyDescent="0.25">
      <c r="A81" s="113"/>
      <c r="D81" s="96">
        <f>SUM(A83:A87)*(1-'ACCEPT RATES'!G17)+SUM(C83:C87)*SUM('ACCEPT RATES'!I17:J17)</f>
        <v>636.36877400369553</v>
      </c>
      <c r="E81" s="23" t="s">
        <v>269</v>
      </c>
      <c r="G81" s="121"/>
      <c r="I81" s="23"/>
      <c r="J81" s="96">
        <f>I85*(1-'ACCEPT RATES'!C22)</f>
        <v>0</v>
      </c>
      <c r="K81" s="23" t="s">
        <v>269</v>
      </c>
      <c r="L81"/>
      <c r="M81" s="19"/>
      <c r="P81" s="23"/>
      <c r="Q81" s="108"/>
      <c r="S81" s="19"/>
      <c r="U81" s="19"/>
      <c r="Y81"/>
      <c r="Z81"/>
      <c r="AA81"/>
      <c r="AB81"/>
      <c r="AC81"/>
      <c r="AD81"/>
    </row>
    <row r="82" spans="1:30" x14ac:dyDescent="0.25">
      <c r="A82" s="126" t="s">
        <v>270</v>
      </c>
      <c r="B82" s="86" t="s">
        <v>305</v>
      </c>
      <c r="C82" s="87"/>
      <c r="D82" s="119"/>
      <c r="E82" s="23" t="s">
        <v>306</v>
      </c>
      <c r="G82" s="126" t="s">
        <v>273</v>
      </c>
      <c r="H82" s="86" t="s">
        <v>307</v>
      </c>
      <c r="I82" s="87"/>
      <c r="J82" s="99"/>
      <c r="K82" s="22" t="s">
        <v>306</v>
      </c>
      <c r="L82"/>
      <c r="M82" s="86" t="s">
        <v>290</v>
      </c>
      <c r="N82" s="87"/>
      <c r="P82" s="19"/>
      <c r="Q82" s="108"/>
      <c r="S82" s="19"/>
      <c r="U82" s="19"/>
      <c r="Y82"/>
      <c r="Z82"/>
      <c r="AA82"/>
      <c r="AB82"/>
      <c r="AC82"/>
      <c r="AD82"/>
    </row>
    <row r="83" spans="1:30" x14ac:dyDescent="0.25">
      <c r="A83" s="120">
        <f>B83*(1-'ACCEPT RATES'!C17)</f>
        <v>0</v>
      </c>
      <c r="B83" s="29">
        <f>C83*(1+'ACCEPT RATES'!F17)</f>
        <v>0</v>
      </c>
      <c r="C83" s="50">
        <f>C16*('COVERAGE FACTORS'!C55+'COVERAGE FACTORS'!C59)</f>
        <v>0</v>
      </c>
      <c r="E83" s="23" t="s">
        <v>200</v>
      </c>
      <c r="G83" s="178">
        <v>0</v>
      </c>
      <c r="H83" s="29">
        <f>I83</f>
        <v>0</v>
      </c>
      <c r="I83" s="50">
        <f>C16*'COVERAGE FACTORS'!C57</f>
        <v>0</v>
      </c>
      <c r="J83" s="112"/>
      <c r="K83" s="22" t="s">
        <v>200</v>
      </c>
      <c r="L83"/>
      <c r="M83" s="29">
        <f>N83</f>
        <v>0</v>
      </c>
      <c r="N83" s="50">
        <f>C16*'COVERAGE FACTORS'!C61</f>
        <v>0</v>
      </c>
      <c r="P83" s="19"/>
      <c r="Q83" s="108"/>
      <c r="S83" s="19"/>
      <c r="U83" s="19"/>
      <c r="Y83"/>
      <c r="Z83"/>
      <c r="AA83"/>
      <c r="AB83"/>
      <c r="AC83"/>
      <c r="AD83"/>
    </row>
    <row r="84" spans="1:30" x14ac:dyDescent="0.25">
      <c r="A84" s="179">
        <f>B84*(1-'ACCEPT RATES'!D17)</f>
        <v>2612.2208695261966</v>
      </c>
      <c r="B84" s="85">
        <f>C84*(1+'ACCEPT RATES'!F17)</f>
        <v>9906.6253030630742</v>
      </c>
      <c r="C84" s="84">
        <f>G16*('COVERAGE FACTORS'!C55+'COVERAGE FACTORS'!C59)</f>
        <v>9811.1883849210863</v>
      </c>
      <c r="G84" s="179">
        <v>0</v>
      </c>
      <c r="H84" s="85">
        <f>I84</f>
        <v>0</v>
      </c>
      <c r="I84" s="84">
        <f>G16*'COVERAGE FACTORS'!C57</f>
        <v>0</v>
      </c>
      <c r="J84" s="58"/>
      <c r="L84"/>
      <c r="M84" s="85">
        <f>N84</f>
        <v>59.446944775129701</v>
      </c>
      <c r="N84" s="84">
        <f>G16*'COVERAGE FACTORS'!C61</f>
        <v>59.446944775129701</v>
      </c>
      <c r="P84" s="19"/>
      <c r="Q84" s="108"/>
      <c r="S84" s="19"/>
      <c r="U84" s="19"/>
      <c r="Y84"/>
      <c r="Z84"/>
      <c r="AA84"/>
      <c r="AB84"/>
      <c r="AC84"/>
      <c r="AD84"/>
    </row>
    <row r="85" spans="1:30" x14ac:dyDescent="0.25">
      <c r="A85" s="121"/>
      <c r="B85" s="85"/>
      <c r="C85" s="84"/>
      <c r="G85" s="109">
        <v>0</v>
      </c>
      <c r="H85" s="89">
        <f>I85</f>
        <v>0</v>
      </c>
      <c r="I85" s="90">
        <f>K16*('COVERAGE FACTORS'!C57+'COVERAGE FACTORS'!C59)</f>
        <v>0</v>
      </c>
      <c r="J85" s="58"/>
      <c r="L85"/>
      <c r="M85" s="89">
        <f>N85</f>
        <v>0</v>
      </c>
      <c r="N85" s="90">
        <f>K16*(1-('COVERAGE FACTORS'!C57+'COVERAGE FACTORS'!C59+'COVERAGE FACTORS'!C53))</f>
        <v>0</v>
      </c>
      <c r="P85" s="19"/>
      <c r="Q85" s="108"/>
      <c r="S85" s="19"/>
      <c r="U85" s="19"/>
      <c r="Y85"/>
      <c r="Z85"/>
      <c r="AA85"/>
      <c r="AB85"/>
      <c r="AC85"/>
      <c r="AD85"/>
    </row>
    <row r="86" spans="1:30" x14ac:dyDescent="0.25">
      <c r="A86" s="121"/>
      <c r="B86" s="85"/>
      <c r="C86" s="84"/>
      <c r="G86" s="110">
        <v>0</v>
      </c>
      <c r="H86" s="94">
        <f>I86</f>
        <v>0</v>
      </c>
      <c r="I86" s="92">
        <f>O16*('COVERAGE FACTORS'!C57+'COVERAGE FACTORS'!C59)</f>
        <v>0</v>
      </c>
      <c r="J86" s="58"/>
      <c r="L86"/>
      <c r="M86" s="94">
        <f>N86</f>
        <v>0</v>
      </c>
      <c r="N86" s="92">
        <f>O16*(1-('COVERAGE FACTORS'!C57+'COVERAGE FACTORS'!C59+'COVERAGE FACTORS'!C53))</f>
        <v>0</v>
      </c>
      <c r="P86" s="19"/>
      <c r="Q86" s="108"/>
      <c r="S86" s="19"/>
      <c r="U86" s="19"/>
      <c r="Y86"/>
      <c r="Z86"/>
      <c r="AA86"/>
      <c r="AB86"/>
      <c r="AC86"/>
      <c r="AD86"/>
    </row>
    <row r="87" spans="1:30" x14ac:dyDescent="0.25">
      <c r="A87" s="183">
        <f>B87*(1-'ACCEPT RATES'!C17)</f>
        <v>7.1245516654144465</v>
      </c>
      <c r="B87" s="187">
        <f>C87*(1+'ACCEPT RATES'!F17)</f>
        <v>116.22498231862785</v>
      </c>
      <c r="C87" s="188">
        <f>(D34+D46+D60+D70+D79)*('COVERAGE FACTORS'!C55+'COVERAGE FACTORS'!C59)</f>
        <v>115.10531201877637</v>
      </c>
      <c r="G87" s="184">
        <v>0</v>
      </c>
      <c r="H87" s="185">
        <f>I87</f>
        <v>0</v>
      </c>
      <c r="I87" s="186">
        <f>(D34+D46+D60+D70+D79)*'COVERAGE FACTORS'!C57+(J34+J46+J60+J70+J79)*('COVERAGE FACTORS'!C57+'COVERAGE FACTORS'!C59)</f>
        <v>0</v>
      </c>
      <c r="J87" s="182"/>
      <c r="L87"/>
      <c r="M87" s="101">
        <f ca="1">N87</f>
        <v>650.6281322886922</v>
      </c>
      <c r="N87" s="100">
        <f ca="1">D81+J81+(O34+O46+O60+O70+O79)+(D34+D46+D60+D70+D79)*'COVERAGE FACTORS'!C61+(J34+J46+J60+J70+J79)*(1-('COVERAGE FACTORS'!C57+'COVERAGE FACTORS'!C59))+D120</f>
        <v>650.6281322886922</v>
      </c>
      <c r="P87" s="19"/>
      <c r="Q87" s="108"/>
      <c r="S87" s="19"/>
      <c r="U87" s="19"/>
      <c r="Y87"/>
      <c r="Z87"/>
      <c r="AA87"/>
      <c r="AB87"/>
      <c r="AC87"/>
      <c r="AD87"/>
    </row>
    <row r="88" spans="1:30" x14ac:dyDescent="0.25">
      <c r="A88" s="113"/>
      <c r="C88" s="97"/>
      <c r="D88" s="102">
        <f>SUM(C83:C87)-D81</f>
        <v>9289.9249229361685</v>
      </c>
      <c r="E88" s="23"/>
      <c r="G88" s="366"/>
      <c r="H88" s="367"/>
      <c r="I88" s="367"/>
      <c r="J88" s="368">
        <f>SUM(I83:I87)-J81</f>
        <v>0</v>
      </c>
      <c r="K88" s="23"/>
      <c r="L88"/>
      <c r="M88" s="19"/>
      <c r="O88" s="189">
        <f ca="1">SUM(N83:N87)</f>
        <v>710.07507706382194</v>
      </c>
      <c r="P88" s="23"/>
      <c r="Q88" s="108"/>
      <c r="S88" s="19"/>
      <c r="U88" s="19"/>
      <c r="Y88"/>
      <c r="Z88"/>
      <c r="AA88"/>
      <c r="AB88"/>
      <c r="AC88"/>
      <c r="AD88"/>
    </row>
    <row r="89" spans="1:30" x14ac:dyDescent="0.25">
      <c r="A89" s="113"/>
      <c r="C89" s="97"/>
      <c r="D89" s="22" t="s">
        <v>308</v>
      </c>
      <c r="E89" s="23"/>
      <c r="G89" s="113"/>
      <c r="I89" s="98"/>
      <c r="J89" s="22" t="s">
        <v>308</v>
      </c>
      <c r="K89" s="23"/>
      <c r="L89"/>
      <c r="M89" s="19"/>
      <c r="O89" s="22" t="s">
        <v>308</v>
      </c>
      <c r="P89" s="23"/>
      <c r="Q89" s="108"/>
      <c r="S89" s="19"/>
      <c r="U89" s="19"/>
      <c r="Y89"/>
      <c r="Z89"/>
      <c r="AA89"/>
      <c r="AB89"/>
      <c r="AC89"/>
      <c r="AD89"/>
    </row>
    <row r="90" spans="1:30" x14ac:dyDescent="0.25">
      <c r="A90" s="113"/>
      <c r="G90" s="113"/>
      <c r="H90"/>
      <c r="I90" s="19"/>
      <c r="J90" s="58"/>
      <c r="P90" s="19"/>
      <c r="Q90" s="108"/>
      <c r="S90" s="19"/>
      <c r="U90" s="19"/>
      <c r="Y90"/>
      <c r="Z90"/>
      <c r="AA90"/>
      <c r="AB90"/>
      <c r="AC90"/>
      <c r="AD90"/>
    </row>
    <row r="91" spans="1:30" x14ac:dyDescent="0.25">
      <c r="A91" s="113"/>
      <c r="D91" s="437" t="s">
        <v>269</v>
      </c>
      <c r="E91" s="437"/>
      <c r="G91" s="113"/>
      <c r="H91"/>
      <c r="I91" s="19"/>
      <c r="J91" s="58"/>
      <c r="P91" s="19"/>
      <c r="Q91" s="108"/>
      <c r="S91" s="19"/>
      <c r="U91" s="19"/>
      <c r="Y91"/>
      <c r="Z91"/>
      <c r="AA91"/>
      <c r="AB91"/>
      <c r="AC91"/>
      <c r="AD91"/>
    </row>
    <row r="92" spans="1:30" x14ac:dyDescent="0.25">
      <c r="A92" s="114"/>
      <c r="B92" s="116"/>
      <c r="C92" s="116"/>
      <c r="D92" s="22" t="s">
        <v>309</v>
      </c>
      <c r="E92" s="23" t="s">
        <v>310</v>
      </c>
      <c r="F92" s="116"/>
      <c r="G92" s="114"/>
      <c r="H92" s="115"/>
      <c r="I92" s="116"/>
      <c r="J92" s="117"/>
      <c r="K92" s="116"/>
      <c r="L92" s="116"/>
      <c r="M92" s="115"/>
      <c r="N92" s="116"/>
      <c r="O92" s="117"/>
      <c r="P92" s="116"/>
      <c r="Q92" s="118"/>
      <c r="S92" s="19"/>
      <c r="U92" s="19"/>
      <c r="Y92"/>
      <c r="Z92"/>
      <c r="AA92"/>
      <c r="AB92"/>
      <c r="AC92"/>
      <c r="AD92"/>
    </row>
    <row r="93" spans="1:30" x14ac:dyDescent="0.25">
      <c r="D93" s="266">
        <f ca="1">SUM(A95:A99)*(1-'ACCEPT RATES'!G24)+SUM(B95:B99)*'ACCEPT RATES'!J24</f>
        <v>0</v>
      </c>
      <c r="E93" s="267">
        <f ca="1">SUM(B95:B99)*'ACCEPT RATES'!I24</f>
        <v>0</v>
      </c>
    </row>
    <row r="94" spans="1:30" x14ac:dyDescent="0.25">
      <c r="A94" s="23" t="s">
        <v>270</v>
      </c>
      <c r="B94" s="213" t="s">
        <v>99</v>
      </c>
      <c r="C94" s="212"/>
      <c r="E94" s="23" t="s">
        <v>306</v>
      </c>
    </row>
    <row r="95" spans="1:30" x14ac:dyDescent="0.25">
      <c r="A95" s="50">
        <f>B95*(1-'ACCEPT RATES'!C24)</f>
        <v>0</v>
      </c>
      <c r="B95" s="29">
        <f>C95*(1+'ACCEPT RATES'!F17)</f>
        <v>0</v>
      </c>
      <c r="C95" s="50">
        <f>C16*'COVERAGE FACTORS'!C53</f>
        <v>0</v>
      </c>
      <c r="E95" s="23" t="s">
        <v>200</v>
      </c>
    </row>
    <row r="96" spans="1:30" x14ac:dyDescent="0.25">
      <c r="A96" s="84">
        <f>B96*(1-'ACCEPT RATES'!D24)</f>
        <v>0</v>
      </c>
      <c r="B96" s="85">
        <f>C96*(1+'ACCEPT RATES'!F17)</f>
        <v>0</v>
      </c>
      <c r="C96" s="84">
        <f>G16*'COVERAGE FACTORS'!C53</f>
        <v>0</v>
      </c>
    </row>
    <row r="97" spans="1:11" x14ac:dyDescent="0.25">
      <c r="A97" s="90">
        <f>B97*(1-'ACCEPT RATES'!C24)</f>
        <v>0</v>
      </c>
      <c r="B97" s="89">
        <f>C97*(1+'ACCEPT RATES'!F17)</f>
        <v>0</v>
      </c>
      <c r="C97" s="90">
        <f>K16*'COVERAGE FACTORS'!C53</f>
        <v>0</v>
      </c>
    </row>
    <row r="98" spans="1:11" x14ac:dyDescent="0.25">
      <c r="A98" s="92">
        <f>B98*(1-'ACCEPT RATES'!D24)</f>
        <v>0</v>
      </c>
      <c r="B98" s="94">
        <f>C98*(1+'ACCEPT RATES'!F17)</f>
        <v>0</v>
      </c>
      <c r="C98" s="92">
        <f>O16*'COVERAGE FACTORS'!C53</f>
        <v>0</v>
      </c>
    </row>
    <row r="99" spans="1:11" x14ac:dyDescent="0.25">
      <c r="A99" s="214">
        <f ca="1">B99*(1-'ACCEPT RATES'!C24)</f>
        <v>0</v>
      </c>
      <c r="B99" s="215">
        <f ca="1">C99*(1+'ACCEPT RATES'!F17)</f>
        <v>0</v>
      </c>
      <c r="C99" s="214">
        <f ca="1">(D16+D34+D46+D60+D70+D79)*'COVERAGE FACTORS'!C53+D114</f>
        <v>0</v>
      </c>
    </row>
    <row r="100" spans="1:11" x14ac:dyDescent="0.25">
      <c r="D100" s="369">
        <f ca="1">SUM(C95:C99)-D93-E93</f>
        <v>0</v>
      </c>
    </row>
    <row r="101" spans="1:11" x14ac:dyDescent="0.25">
      <c r="D101" s="22" t="s">
        <v>311</v>
      </c>
    </row>
    <row r="105" spans="1:11" x14ac:dyDescent="0.25">
      <c r="D105" s="22"/>
    </row>
    <row r="106" spans="1:11" ht="12.75" customHeight="1" x14ac:dyDescent="0.25">
      <c r="A106" s="113"/>
      <c r="D106" s="258">
        <f ca="1">A112*(1-'ACCEPT RATES'!G17)+B112*('ACCEPT RATES'!I17+'ACCEPT RATES'!J17)</f>
        <v>0</v>
      </c>
      <c r="E106" s="23" t="s">
        <v>269</v>
      </c>
      <c r="G106" s="439" t="s">
        <v>324</v>
      </c>
      <c r="H106" s="439"/>
      <c r="I106" s="439"/>
      <c r="J106" s="439"/>
      <c r="K106" s="439"/>
    </row>
    <row r="107" spans="1:11" x14ac:dyDescent="0.25">
      <c r="A107" s="126" t="s">
        <v>270</v>
      </c>
      <c r="B107" s="86" t="s">
        <v>313</v>
      </c>
      <c r="C107" s="87"/>
      <c r="D107"/>
      <c r="E107" s="23" t="s">
        <v>303</v>
      </c>
      <c r="G107" s="439"/>
      <c r="H107" s="439"/>
      <c r="I107" s="439"/>
      <c r="J107" s="439"/>
      <c r="K107" s="439"/>
    </row>
    <row r="108" spans="1:11" x14ac:dyDescent="0.25">
      <c r="A108" s="50"/>
      <c r="B108" s="29"/>
      <c r="C108" s="50"/>
      <c r="E108" s="23" t="s">
        <v>200</v>
      </c>
      <c r="G108" s="439"/>
      <c r="H108" s="439"/>
      <c r="I108" s="439"/>
      <c r="J108" s="439"/>
      <c r="K108" s="439"/>
    </row>
    <row r="109" spans="1:11" x14ac:dyDescent="0.25">
      <c r="A109" s="179"/>
      <c r="B109" s="85"/>
      <c r="C109" s="84"/>
      <c r="G109" s="439"/>
      <c r="H109" s="439"/>
      <c r="I109" s="439"/>
      <c r="J109" s="439"/>
      <c r="K109" s="439"/>
    </row>
    <row r="110" spans="1:11" x14ac:dyDescent="0.25">
      <c r="A110" s="121"/>
      <c r="B110" s="85"/>
      <c r="C110" s="84"/>
      <c r="G110" s="439"/>
      <c r="H110" s="439"/>
      <c r="I110" s="439"/>
      <c r="J110" s="439"/>
      <c r="K110" s="439"/>
    </row>
    <row r="111" spans="1:11" x14ac:dyDescent="0.25">
      <c r="A111" s="121"/>
      <c r="B111" s="85"/>
      <c r="C111" s="84"/>
      <c r="G111" s="439"/>
      <c r="H111" s="439"/>
      <c r="I111" s="439"/>
      <c r="J111" s="439"/>
      <c r="K111" s="439"/>
    </row>
    <row r="112" spans="1:11" x14ac:dyDescent="0.25">
      <c r="A112" s="259">
        <f ca="1">B112*(1-'ACCEPT RATES'!$C$17)</f>
        <v>0</v>
      </c>
      <c r="B112" s="260">
        <f ca="1">C112*(1+'ACCEPT RATES'!$F$17)</f>
        <v>0</v>
      </c>
      <c r="C112" s="261">
        <f ca="1">E93</f>
        <v>0</v>
      </c>
      <c r="G112" s="439"/>
      <c r="H112" s="439"/>
      <c r="I112" s="439"/>
      <c r="J112" s="439"/>
      <c r="K112" s="439"/>
    </row>
    <row r="113" spans="1:11" x14ac:dyDescent="0.25">
      <c r="A113" s="113"/>
      <c r="C113" s="119"/>
      <c r="D113" s="370">
        <f ca="1">($C$112-$D$106)*(1-'COVERAGE FACTORS'!$C$66)</f>
        <v>0</v>
      </c>
      <c r="E113" s="23" t="s">
        <v>288</v>
      </c>
      <c r="G113" s="439"/>
      <c r="H113" s="439"/>
      <c r="I113" s="439"/>
      <c r="J113" s="439"/>
      <c r="K113" s="439"/>
    </row>
    <row r="114" spans="1:11" x14ac:dyDescent="0.25">
      <c r="A114" s="113"/>
      <c r="C114" s="119"/>
      <c r="D114" s="370">
        <f ca="1">($C$112-$D$106)*'COVERAGE FACTORS'!$C$66</f>
        <v>0</v>
      </c>
      <c r="E114" s="23" t="s">
        <v>99</v>
      </c>
      <c r="G114" s="439"/>
      <c r="H114" s="439"/>
      <c r="I114" s="439"/>
      <c r="J114" s="439"/>
      <c r="K114" s="439"/>
    </row>
    <row r="115" spans="1:11" x14ac:dyDescent="0.25">
      <c r="A115" s="113"/>
      <c r="C115" s="97"/>
      <c r="E115" s="23"/>
    </row>
    <row r="116" spans="1:11" x14ac:dyDescent="0.25">
      <c r="A116" s="113"/>
      <c r="C116" s="97"/>
      <c r="E116" s="23"/>
    </row>
    <row r="117" spans="1:11" x14ac:dyDescent="0.25">
      <c r="A117" s="113"/>
      <c r="C117" s="97"/>
      <c r="E117" s="23"/>
    </row>
    <row r="118" spans="1:11" x14ac:dyDescent="0.25">
      <c r="A118" s="113"/>
      <c r="C118" s="97"/>
      <c r="E118" s="23"/>
    </row>
    <row r="119" spans="1:11" x14ac:dyDescent="0.25">
      <c r="A119" s="113"/>
      <c r="C119" s="97"/>
      <c r="E119" s="23"/>
    </row>
    <row r="120" spans="1:11" x14ac:dyDescent="0.25">
      <c r="A120" s="121"/>
      <c r="D120" s="262">
        <f ca="1">A126*'ACCEPT RATES'!H17+B126*('ACCEPT RATES'!I17+'ACCEPT RATES'!J17)</f>
        <v>0</v>
      </c>
      <c r="E120" s="23" t="s">
        <v>269</v>
      </c>
    </row>
    <row r="121" spans="1:11" x14ac:dyDescent="0.25">
      <c r="A121" s="126" t="s">
        <v>270</v>
      </c>
      <c r="B121" s="86" t="s">
        <v>314</v>
      </c>
      <c r="C121" s="87"/>
      <c r="D121" s="119"/>
      <c r="E121" s="23" t="s">
        <v>306</v>
      </c>
    </row>
    <row r="122" spans="1:11" x14ac:dyDescent="0.25">
      <c r="A122" s="263"/>
      <c r="B122" s="29"/>
      <c r="C122" s="50"/>
      <c r="E122" s="23" t="s">
        <v>200</v>
      </c>
    </row>
    <row r="123" spans="1:11" x14ac:dyDescent="0.25">
      <c r="A123" s="179"/>
      <c r="B123" s="85"/>
      <c r="C123" s="84"/>
    </row>
    <row r="124" spans="1:11" x14ac:dyDescent="0.25">
      <c r="A124" s="121"/>
      <c r="B124" s="85"/>
      <c r="C124" s="84"/>
    </row>
    <row r="125" spans="1:11" x14ac:dyDescent="0.25">
      <c r="A125" s="121"/>
      <c r="B125" s="85"/>
      <c r="C125" s="84"/>
    </row>
    <row r="126" spans="1:11" x14ac:dyDescent="0.25">
      <c r="A126" s="264">
        <f ca="1">B126*(1-'ACCEPT RATES'!$C$17)</f>
        <v>0</v>
      </c>
      <c r="B126" s="260">
        <f ca="1">C126*(1+'ACCEPT RATES'!$F$17)</f>
        <v>0</v>
      </c>
      <c r="C126" s="261">
        <f ca="1">$D$93+$D$113</f>
        <v>0</v>
      </c>
    </row>
    <row r="127" spans="1:11" x14ac:dyDescent="0.25">
      <c r="A127" s="121"/>
      <c r="C127" s="119"/>
      <c r="D127" s="265">
        <f ca="1">C126-D120</f>
        <v>0</v>
      </c>
      <c r="E127" s="23"/>
    </row>
    <row r="128" spans="1:11" x14ac:dyDescent="0.25">
      <c r="A128" s="121"/>
      <c r="D128" s="22" t="s">
        <v>308</v>
      </c>
      <c r="E128" s="23"/>
    </row>
  </sheetData>
  <mergeCells count="2">
    <mergeCell ref="D91:E91"/>
    <mergeCell ref="G106:K114"/>
  </mergeCells>
  <phoneticPr fontId="42" type="noConversion"/>
  <pageMargins left="0.75" right="0.75" top="1" bottom="1" header="0.5" footer="0.5"/>
  <pageSetup orientation="portrait" horizontalDpi="300" verticalDpi="0" copies="0" r:id="rId1"/>
  <headerFooter alignWithMargins="0"/>
  <drawing r:id="rId2"/>
</worksheet>
</file>

<file path=xl/worksheets/sheet2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5">
    <pageSetUpPr fitToPage="1"/>
  </sheetPr>
  <dimension ref="A1:K86"/>
  <sheetViews>
    <sheetView zoomScale="75" workbookViewId="0"/>
  </sheetViews>
  <sheetFormatPr defaultRowHeight="13.2" x14ac:dyDescent="0.25"/>
  <cols>
    <col min="1" max="1" width="5.77734375" customWidth="1"/>
    <col min="2" max="2" width="25.77734375" customWidth="1"/>
    <col min="3" max="4" width="10.77734375" style="2" customWidth="1"/>
    <col min="5" max="5" width="10.77734375" style="37" customWidth="1"/>
    <col min="6" max="6" width="10.77734375" style="132" customWidth="1"/>
    <col min="7" max="7" width="10.77734375" style="41" customWidth="1"/>
    <col min="8" max="9" width="10.77734375" style="30" customWidth="1"/>
    <col min="10" max="10" width="10.77734375" style="132" customWidth="1"/>
    <col min="11" max="26" width="9.77734375" customWidth="1"/>
  </cols>
  <sheetData>
    <row r="1" spans="1:11" ht="22.8" x14ac:dyDescent="0.4">
      <c r="A1" s="125" t="s">
        <v>325</v>
      </c>
    </row>
    <row r="2" spans="1:11" ht="17.399999999999999" x14ac:dyDescent="0.3">
      <c r="A2" s="4" t="s">
        <v>181</v>
      </c>
    </row>
    <row r="3" spans="1:11" s="6" customFormat="1" ht="12.75" customHeight="1" x14ac:dyDescent="0.25">
      <c r="A3" s="1"/>
      <c r="B3" s="146"/>
      <c r="C3" s="268"/>
      <c r="D3" s="268"/>
      <c r="E3" s="269"/>
      <c r="F3" s="270"/>
      <c r="G3" s="241"/>
      <c r="H3" s="145"/>
      <c r="I3" s="145"/>
      <c r="J3" s="270"/>
      <c r="K3" s="146"/>
    </row>
    <row r="4" spans="1:11" s="6" customFormat="1" ht="12.75" customHeight="1" x14ac:dyDescent="0.25">
      <c r="A4" s="1"/>
      <c r="B4" s="146"/>
      <c r="C4" s="16" t="str">
        <f>"(1)"</f>
        <v>(1)</v>
      </c>
      <c r="D4" s="16" t="str">
        <f>"(2)"</f>
        <v>(2)</v>
      </c>
      <c r="E4" s="38" t="str">
        <f>"(3)"</f>
        <v>(3)</v>
      </c>
      <c r="F4" s="16" t="str">
        <f>"(4)"</f>
        <v>(4)</v>
      </c>
      <c r="G4" s="40" t="str">
        <f>"(5)"</f>
        <v>(5)</v>
      </c>
      <c r="H4" s="16" t="str">
        <f>"(6)"</f>
        <v>(6)</v>
      </c>
      <c r="I4" s="16" t="str">
        <f>"(7)"</f>
        <v>(7)</v>
      </c>
      <c r="J4" s="16" t="str">
        <f>"(8)"</f>
        <v>(8)</v>
      </c>
      <c r="K4" s="16" t="str">
        <f>"(9)"</f>
        <v>(9)</v>
      </c>
    </row>
    <row r="5" spans="1:11" s="6" customFormat="1" ht="12.75" customHeight="1" x14ac:dyDescent="0.25">
      <c r="A5" s="1"/>
      <c r="B5" s="146"/>
      <c r="C5" s="268"/>
      <c r="D5" s="268"/>
      <c r="E5" s="269"/>
      <c r="F5" s="270"/>
      <c r="G5" s="241"/>
      <c r="H5" s="145"/>
      <c r="I5" s="145"/>
      <c r="J5" s="270"/>
      <c r="K5"/>
    </row>
    <row r="6" spans="1:11" x14ac:dyDescent="0.25">
      <c r="D6" s="16" t="s">
        <v>182</v>
      </c>
      <c r="F6" s="133" t="s">
        <v>183</v>
      </c>
      <c r="H6" s="31" t="s">
        <v>184</v>
      </c>
      <c r="I6" s="31" t="s">
        <v>184</v>
      </c>
      <c r="J6" s="133" t="s">
        <v>8</v>
      </c>
      <c r="K6" s="133" t="s">
        <v>185</v>
      </c>
    </row>
    <row r="7" spans="1:11" x14ac:dyDescent="0.25">
      <c r="C7"/>
      <c r="D7" s="16" t="s">
        <v>186</v>
      </c>
      <c r="E7" s="38" t="s">
        <v>187</v>
      </c>
      <c r="F7" s="133" t="s">
        <v>188</v>
      </c>
      <c r="G7" s="40" t="s">
        <v>189</v>
      </c>
      <c r="H7" s="31" t="s">
        <v>190</v>
      </c>
      <c r="I7" s="31" t="s">
        <v>190</v>
      </c>
      <c r="J7" s="133" t="s">
        <v>188</v>
      </c>
      <c r="K7" s="133" t="s">
        <v>188</v>
      </c>
    </row>
    <row r="8" spans="1:11" x14ac:dyDescent="0.25">
      <c r="A8" s="35" t="s">
        <v>191</v>
      </c>
      <c r="C8" s="134" t="s">
        <v>17</v>
      </c>
      <c r="D8" s="134" t="s">
        <v>192</v>
      </c>
      <c r="E8" s="39" t="s">
        <v>193</v>
      </c>
      <c r="F8" s="135" t="s">
        <v>194</v>
      </c>
      <c r="G8" s="42" t="s">
        <v>195</v>
      </c>
      <c r="H8" s="36" t="s">
        <v>195</v>
      </c>
      <c r="I8" s="36" t="s">
        <v>196</v>
      </c>
      <c r="J8" s="135" t="s">
        <v>194</v>
      </c>
      <c r="K8" s="135" t="s">
        <v>194</v>
      </c>
    </row>
    <row r="9" spans="1:11" x14ac:dyDescent="0.25">
      <c r="A9" s="35"/>
      <c r="C9" s="134"/>
      <c r="D9" s="134"/>
      <c r="E9" s="39"/>
      <c r="F9" s="135"/>
      <c r="G9" s="42"/>
      <c r="H9" s="36"/>
      <c r="I9" s="36"/>
      <c r="J9" s="135"/>
    </row>
    <row r="10" spans="1:11" x14ac:dyDescent="0.25">
      <c r="A10" s="1" t="s">
        <v>220</v>
      </c>
      <c r="C10" s="134"/>
      <c r="D10" s="134"/>
      <c r="E10" s="39"/>
      <c r="F10" s="135"/>
      <c r="G10" s="42"/>
      <c r="H10" s="36"/>
      <c r="I10" s="36"/>
      <c r="J10" s="135"/>
    </row>
    <row r="11" spans="1:11" x14ac:dyDescent="0.25">
      <c r="A11" s="35"/>
      <c r="B11" t="s">
        <v>198</v>
      </c>
      <c r="C11" s="326">
        <f>'BUNDLE SORT'!$F$43*('COVERAGE FACTORS'!$C$7/('COVERAGE FACTORS'!$C$7+'COVERAGE FACTORS'!$C$9))</f>
        <v>0</v>
      </c>
      <c r="D11" s="326">
        <f>PRODUCTIVITIES!$E$8</f>
        <v>175.66894168226426</v>
      </c>
      <c r="E11" s="269">
        <f>'WAGE RATES'!$D$6</f>
        <v>50.10717457546064</v>
      </c>
      <c r="F11" s="41">
        <f>E11*100/D11</f>
        <v>28.523638894626252</v>
      </c>
      <c r="G11" s="241">
        <f>PIGGYBACKS!$B$5</f>
        <v>1.8052502472456198</v>
      </c>
      <c r="H11" s="241">
        <f>'WAGE RATES'!$D$10</f>
        <v>1.0285306172213804</v>
      </c>
      <c r="I11" s="41">
        <f>(H11-1)*F11</f>
        <v>0.81379702306345936</v>
      </c>
      <c r="J11" s="41">
        <f>F11*G11+I11</f>
        <v>52.30610318993228</v>
      </c>
      <c r="K11" s="41">
        <f ca="1">C11*$J11/'MADC AUTO MODEL'!$G$6</f>
        <v>0</v>
      </c>
    </row>
    <row r="12" spans="1:11" x14ac:dyDescent="0.25">
      <c r="A12" s="35"/>
      <c r="B12" t="s">
        <v>199</v>
      </c>
      <c r="C12" s="326">
        <f>'BUNDLE SORT'!$F$43*('COVERAGE FACTORS'!$C$9/('COVERAGE FACTORS'!$C$7+'COVERAGE FACTORS'!$C$9))</f>
        <v>0</v>
      </c>
      <c r="D12" s="326">
        <f>PRODUCTIVITIES!$E$10</f>
        <v>194.60202715898563</v>
      </c>
      <c r="E12" s="269">
        <f>'WAGE RATES'!$D$6</f>
        <v>50.10717457546064</v>
      </c>
      <c r="F12" s="41">
        <f>E12*100/D12</f>
        <v>25.748536799426127</v>
      </c>
      <c r="G12" s="241">
        <f>PIGGYBACKS!$B$6</f>
        <v>1.6056412614911089</v>
      </c>
      <c r="H12" s="241">
        <f>'WAGE RATES'!$D$10</f>
        <v>1.0285306172213804</v>
      </c>
      <c r="I12" s="41">
        <f>(H12-1)*F12</f>
        <v>0.73462164743505387</v>
      </c>
      <c r="J12" s="41">
        <f>F12*G12+I12</f>
        <v>42.077534755615858</v>
      </c>
      <c r="K12" s="41">
        <f ca="1">C12*$J12/'MADC AUTO MODEL'!$G$6</f>
        <v>0</v>
      </c>
    </row>
    <row r="13" spans="1:11" x14ac:dyDescent="0.25">
      <c r="A13" s="35"/>
      <c r="B13" t="s">
        <v>200</v>
      </c>
      <c r="C13" s="326">
        <f>'BUNDLE SORT'!$G$43</f>
        <v>83.911618250944343</v>
      </c>
      <c r="D13" s="326">
        <f>PRODUCTIVITIES!$E$12</f>
        <v>388.77898659935892</v>
      </c>
      <c r="E13" s="269">
        <f>'WAGE RATES'!$D$6</f>
        <v>50.10717457546064</v>
      </c>
      <c r="F13" s="41">
        <f>E13*100/D13</f>
        <v>12.888344355683154</v>
      </c>
      <c r="G13" s="241">
        <f>PIGGYBACKS!$B$7</f>
        <v>1.5985378657336238</v>
      </c>
      <c r="H13" s="241">
        <f>'WAGE RATES'!$D$10</f>
        <v>1.0285306172213804</v>
      </c>
      <c r="I13" s="41">
        <f>(H13-1)*F13</f>
        <v>0.36771241942933458</v>
      </c>
      <c r="J13" s="41">
        <f>F13*G13+I13</f>
        <v>20.970218898603079</v>
      </c>
      <c r="K13" s="41">
        <f ca="1">C13*$J13/'MADC AUTO MODEL'!$G$6</f>
        <v>0.17596450028583221</v>
      </c>
    </row>
    <row r="14" spans="1:11" x14ac:dyDescent="0.25">
      <c r="A14" s="35"/>
      <c r="C14" s="326"/>
      <c r="D14" s="326"/>
      <c r="E14" s="269"/>
      <c r="F14" s="270"/>
      <c r="G14" s="241"/>
      <c r="H14" s="241"/>
      <c r="I14" s="145"/>
      <c r="J14" s="270"/>
      <c r="K14" s="41"/>
    </row>
    <row r="15" spans="1:11" x14ac:dyDescent="0.25">
      <c r="A15" s="1" t="s">
        <v>221</v>
      </c>
      <c r="C15" s="326"/>
      <c r="D15" s="326"/>
      <c r="E15" s="269"/>
      <c r="F15" s="270"/>
      <c r="G15" s="241"/>
      <c r="H15" s="241"/>
      <c r="I15" s="145"/>
      <c r="J15" s="270"/>
      <c r="K15" s="41"/>
    </row>
    <row r="16" spans="1:11" s="6" customFormat="1" x14ac:dyDescent="0.25">
      <c r="A16" s="146"/>
      <c r="B16" s="146" t="s">
        <v>198</v>
      </c>
      <c r="C16" s="326">
        <f>'BUNDLE SORT'!$J$43*('COVERAGE FACTORS'!$C$31/('COVERAGE FACTORS'!$C$31+'COVERAGE FACTORS'!$C$33))</f>
        <v>0</v>
      </c>
      <c r="D16" s="326">
        <f>PRODUCTIVITIES!$E$9</f>
        <v>204.15275198997298</v>
      </c>
      <c r="E16" s="269">
        <f>'WAGE RATES'!$D$6</f>
        <v>50.10717457546064</v>
      </c>
      <c r="F16" s="41">
        <f>E16*100/D16</f>
        <v>24.543962345372481</v>
      </c>
      <c r="G16" s="241">
        <f>PIGGYBACKS!$B$5</f>
        <v>1.8052502472456198</v>
      </c>
      <c r="H16" s="241">
        <f>'WAGE RATES'!$D$10</f>
        <v>1.0285306172213804</v>
      </c>
      <c r="I16" s="41">
        <f>(H16-1)*F16</f>
        <v>0.70025439477179607</v>
      </c>
      <c r="J16" s="41">
        <f>F16*G16+I16</f>
        <v>45.008248487142652</v>
      </c>
      <c r="K16" s="41">
        <f ca="1">C16*$J16/'MADC AUTO MODEL'!$G$6</f>
        <v>0</v>
      </c>
    </row>
    <row r="17" spans="1:11" x14ac:dyDescent="0.25">
      <c r="A17" s="1"/>
      <c r="B17" t="s">
        <v>199</v>
      </c>
      <c r="C17" s="326">
        <f>'BUNDLE SORT'!$J$43*('COVERAGE FACTORS'!$C$33/('COVERAGE FACTORS'!$C$31+'COVERAGE FACTORS'!$C$33))</f>
        <v>0</v>
      </c>
      <c r="D17" s="326">
        <f>PRODUCTIVITIES!$E$11</f>
        <v>163.71090696460584</v>
      </c>
      <c r="E17" s="269">
        <f>'WAGE RATES'!$D$6</f>
        <v>50.10717457546064</v>
      </c>
      <c r="F17" s="41">
        <f>E17*100/D17</f>
        <v>30.607108288938726</v>
      </c>
      <c r="G17" s="241">
        <f>PIGGYBACKS!$B$6</f>
        <v>1.6056412614911089</v>
      </c>
      <c r="H17" s="241">
        <f>'WAGE RATES'!$D$10</f>
        <v>1.0285306172213804</v>
      </c>
      <c r="I17" s="41">
        <f>(H17-1)*F17</f>
        <v>0.87323969084504982</v>
      </c>
      <c r="J17" s="41">
        <f>F17*G17+I17</f>
        <v>50.017275654491598</v>
      </c>
      <c r="K17" s="41">
        <f ca="1">C17*$J17/'MADC AUTO MODEL'!$G$6</f>
        <v>0</v>
      </c>
    </row>
    <row r="18" spans="1:11" x14ac:dyDescent="0.25">
      <c r="A18" s="1"/>
      <c r="B18" t="s">
        <v>200</v>
      </c>
      <c r="C18" s="326">
        <f>'BUNDLE SORT'!$K$43</f>
        <v>0</v>
      </c>
      <c r="D18" s="326">
        <f>PRODUCTIVITIES!$E$13</f>
        <v>388.77898659935892</v>
      </c>
      <c r="E18" s="269">
        <f>'WAGE RATES'!$D$6</f>
        <v>50.10717457546064</v>
      </c>
      <c r="F18" s="41">
        <f>E18*100/D18</f>
        <v>12.888344355683154</v>
      </c>
      <c r="G18" s="241">
        <f>PIGGYBACKS!$B$7</f>
        <v>1.5985378657336238</v>
      </c>
      <c r="H18" s="241">
        <f>'WAGE RATES'!$D$10</f>
        <v>1.0285306172213804</v>
      </c>
      <c r="I18" s="41">
        <f>(H18-1)*F18</f>
        <v>0.36771241942933458</v>
      </c>
      <c r="J18" s="41">
        <f>F18*G18+I18</f>
        <v>20.970218898603079</v>
      </c>
      <c r="K18" s="41">
        <f ca="1">C18*$J18/'MADC AUTO MODEL'!$G$6</f>
        <v>0</v>
      </c>
    </row>
    <row r="19" spans="1:11" x14ac:dyDescent="0.25">
      <c r="A19" s="1"/>
      <c r="C19" s="326"/>
      <c r="D19" s="326"/>
      <c r="E19" s="269"/>
      <c r="F19" s="270"/>
      <c r="G19" s="241"/>
      <c r="H19" s="241"/>
      <c r="I19" s="145"/>
      <c r="J19" s="270"/>
      <c r="K19" s="41"/>
    </row>
    <row r="20" spans="1:11" x14ac:dyDescent="0.25">
      <c r="A20" s="1" t="s">
        <v>222</v>
      </c>
      <c r="C20" s="326"/>
      <c r="D20" s="326"/>
      <c r="E20" s="269"/>
      <c r="F20" s="270"/>
      <c r="G20" s="241"/>
      <c r="H20" s="241"/>
      <c r="I20" s="145"/>
      <c r="J20" s="270"/>
      <c r="K20" s="41"/>
    </row>
    <row r="21" spans="1:11" x14ac:dyDescent="0.25">
      <c r="A21" s="1"/>
      <c r="B21" t="s">
        <v>198</v>
      </c>
      <c r="C21" s="326">
        <f>'BUNDLE SORT'!$N$43*('COVERAGE FACTORS'!$C$31/('COVERAGE FACTORS'!$C$31+'COVERAGE FACTORS'!$C$33))</f>
        <v>0</v>
      </c>
      <c r="D21" s="326">
        <f>PRODUCTIVITIES!$E$9</f>
        <v>204.15275198997298</v>
      </c>
      <c r="E21" s="269">
        <f>'WAGE RATES'!$D$6</f>
        <v>50.10717457546064</v>
      </c>
      <c r="F21" s="41">
        <f>E21*100/D21</f>
        <v>24.543962345372481</v>
      </c>
      <c r="G21" s="241">
        <f>PIGGYBACKS!$B$5</f>
        <v>1.8052502472456198</v>
      </c>
      <c r="H21" s="241">
        <f>'WAGE RATES'!$D$10</f>
        <v>1.0285306172213804</v>
      </c>
      <c r="I21" s="41">
        <f>(H21-1)*F21</f>
        <v>0.70025439477179607</v>
      </c>
      <c r="J21" s="41">
        <f>F21*G21+I21</f>
        <v>45.008248487142652</v>
      </c>
      <c r="K21" s="41">
        <f ca="1">C21*$J21/'MADC AUTO MODEL'!$G$6</f>
        <v>0</v>
      </c>
    </row>
    <row r="22" spans="1:11" x14ac:dyDescent="0.25">
      <c r="A22" s="1"/>
      <c r="B22" t="s">
        <v>199</v>
      </c>
      <c r="C22" s="326">
        <f>'BUNDLE SORT'!$N$43*('COVERAGE FACTORS'!$C$33/('COVERAGE FACTORS'!$C$31+'COVERAGE FACTORS'!$C$33))</f>
        <v>0</v>
      </c>
      <c r="D22" s="326">
        <f>PRODUCTIVITIES!$E$11</f>
        <v>163.71090696460584</v>
      </c>
      <c r="E22" s="269">
        <f>'WAGE RATES'!$D$6</f>
        <v>50.10717457546064</v>
      </c>
      <c r="F22" s="41">
        <f>E22*100/D22</f>
        <v>30.607108288938726</v>
      </c>
      <c r="G22" s="241">
        <f>PIGGYBACKS!$B$6</f>
        <v>1.6056412614911089</v>
      </c>
      <c r="H22" s="241">
        <f>'WAGE RATES'!$D$10</f>
        <v>1.0285306172213804</v>
      </c>
      <c r="I22" s="41">
        <f>(H22-1)*F22</f>
        <v>0.87323969084504982</v>
      </c>
      <c r="J22" s="41">
        <f>F22*G22+I22</f>
        <v>50.017275654491598</v>
      </c>
      <c r="K22" s="41">
        <f ca="1">C22*$J22/'MADC AUTO MODEL'!$G$6</f>
        <v>0</v>
      </c>
    </row>
    <row r="23" spans="1:11" x14ac:dyDescent="0.25">
      <c r="A23" s="1"/>
      <c r="B23" t="s">
        <v>200</v>
      </c>
      <c r="C23" s="326">
        <f>'BUNDLE SORT'!$O$43</f>
        <v>0</v>
      </c>
      <c r="D23" s="326">
        <f>PRODUCTIVITIES!$E$14</f>
        <v>388.77898659935892</v>
      </c>
      <c r="E23" s="269">
        <f>'WAGE RATES'!$D$6</f>
        <v>50.10717457546064</v>
      </c>
      <c r="F23" s="41">
        <f>E23*100/D23</f>
        <v>12.888344355683154</v>
      </c>
      <c r="G23" s="241">
        <f>PIGGYBACKS!$B$7</f>
        <v>1.5985378657336238</v>
      </c>
      <c r="H23" s="241">
        <f>'WAGE RATES'!$D$10</f>
        <v>1.0285306172213804</v>
      </c>
      <c r="I23" s="41">
        <f>(H23-1)*F23</f>
        <v>0.36771241942933458</v>
      </c>
      <c r="J23" s="41">
        <f>F23*G23+I23</f>
        <v>20.970218898603079</v>
      </c>
      <c r="K23" s="41">
        <f ca="1">C23*$J23/'MADC AUTO MODEL'!$G$6</f>
        <v>0</v>
      </c>
    </row>
    <row r="24" spans="1:11" x14ac:dyDescent="0.25">
      <c r="A24" s="1"/>
      <c r="C24" s="326"/>
      <c r="D24" s="326"/>
      <c r="E24" s="269"/>
      <c r="F24" s="270"/>
      <c r="G24" s="241"/>
      <c r="H24" s="241"/>
      <c r="I24" s="145"/>
      <c r="J24" s="270"/>
      <c r="K24" s="41"/>
    </row>
    <row r="25" spans="1:11" x14ac:dyDescent="0.25">
      <c r="A25" s="1" t="s">
        <v>223</v>
      </c>
      <c r="C25" s="326"/>
      <c r="D25" s="326"/>
      <c r="E25" s="269"/>
      <c r="F25" s="270"/>
      <c r="G25" s="241"/>
      <c r="H25" s="241"/>
      <c r="I25" s="145"/>
      <c r="J25" s="270"/>
      <c r="K25" s="41"/>
    </row>
    <row r="26" spans="1:11" x14ac:dyDescent="0.25">
      <c r="A26" s="1"/>
      <c r="B26" t="s">
        <v>198</v>
      </c>
      <c r="C26" s="326">
        <f>'BUNDLE SORT'!$R$43*('COVERAGE FACTORS'!$C$31/('COVERAGE FACTORS'!$C$31+'COVERAGE FACTORS'!$C$33))</f>
        <v>0</v>
      </c>
      <c r="D26" s="326">
        <f>PRODUCTIVITIES!$E$9</f>
        <v>204.15275198997298</v>
      </c>
      <c r="E26" s="269">
        <f>'WAGE RATES'!$D$6</f>
        <v>50.10717457546064</v>
      </c>
      <c r="F26" s="41">
        <f>E26*100/D26</f>
        <v>24.543962345372481</v>
      </c>
      <c r="G26" s="241">
        <f>PIGGYBACKS!$B$5</f>
        <v>1.8052502472456198</v>
      </c>
      <c r="H26" s="241">
        <f>'WAGE RATES'!$D$10</f>
        <v>1.0285306172213804</v>
      </c>
      <c r="I26" s="41">
        <f>(H26-1)*F26</f>
        <v>0.70025439477179607</v>
      </c>
      <c r="J26" s="41">
        <f>F26*G26+I26</f>
        <v>45.008248487142652</v>
      </c>
      <c r="K26" s="41">
        <f ca="1">C26*$J26/'MADC AUTO MODEL'!$G$6</f>
        <v>0</v>
      </c>
    </row>
    <row r="27" spans="1:11" x14ac:dyDescent="0.25">
      <c r="A27" s="1"/>
      <c r="B27" t="s">
        <v>199</v>
      </c>
      <c r="C27" s="326">
        <f>'BUNDLE SORT'!$R$43*('COVERAGE FACTORS'!$C$33/('COVERAGE FACTORS'!$C$31+'COVERAGE FACTORS'!$C$33))</f>
        <v>0</v>
      </c>
      <c r="D27" s="326">
        <f>PRODUCTIVITIES!$E$11</f>
        <v>163.71090696460584</v>
      </c>
      <c r="E27" s="269">
        <f>'WAGE RATES'!$D$6</f>
        <v>50.10717457546064</v>
      </c>
      <c r="F27" s="41">
        <f>E27*100/D27</f>
        <v>30.607108288938726</v>
      </c>
      <c r="G27" s="241">
        <f>PIGGYBACKS!$B$6</f>
        <v>1.6056412614911089</v>
      </c>
      <c r="H27" s="241">
        <f>'WAGE RATES'!$D$10</f>
        <v>1.0285306172213804</v>
      </c>
      <c r="I27" s="41">
        <f>(H27-1)*F27</f>
        <v>0.87323969084504982</v>
      </c>
      <c r="J27" s="41">
        <f>F27*G27+I27</f>
        <v>50.017275654491598</v>
      </c>
      <c r="K27" s="41">
        <f ca="1">C27*$J27/'MADC AUTO MODEL'!$G$6</f>
        <v>0</v>
      </c>
    </row>
    <row r="28" spans="1:11" x14ac:dyDescent="0.25">
      <c r="A28" s="1"/>
      <c r="B28" t="s">
        <v>200</v>
      </c>
      <c r="C28" s="326">
        <f>'BUNDLE SORT'!$S$43</f>
        <v>0</v>
      </c>
      <c r="D28" s="326">
        <f>PRODUCTIVITIES!E15</f>
        <v>279.13830142253454</v>
      </c>
      <c r="E28" s="269">
        <f>'WAGE RATES'!$D$6</f>
        <v>50.10717457546064</v>
      </c>
      <c r="F28" s="41">
        <f>E28*100/D28</f>
        <v>17.950662564078904</v>
      </c>
      <c r="G28" s="241">
        <f>PIGGYBACKS!$B$7</f>
        <v>1.5985378657336238</v>
      </c>
      <c r="H28" s="241">
        <f>'WAGE RATES'!$D$10</f>
        <v>1.0285306172213804</v>
      </c>
      <c r="I28" s="41">
        <f>(H28-1)*F28</f>
        <v>0.51214348248589792</v>
      </c>
      <c r="J28" s="41">
        <f>F28*G28+I28</f>
        <v>29.206957306173045</v>
      </c>
      <c r="K28" s="41">
        <f ca="1">C28*$J28/'MADC AUTO MODEL'!$G$6</f>
        <v>0</v>
      </c>
    </row>
    <row r="29" spans="1:11" x14ac:dyDescent="0.25">
      <c r="A29" s="1"/>
      <c r="C29" s="363"/>
      <c r="D29" s="363"/>
      <c r="E29" s="269"/>
      <c r="F29" s="270"/>
      <c r="G29" s="241"/>
      <c r="H29" s="145"/>
      <c r="I29" s="145"/>
      <c r="J29" s="270"/>
      <c r="K29" s="41"/>
    </row>
    <row r="30" spans="1:11" x14ac:dyDescent="0.25">
      <c r="A30" s="1" t="s">
        <v>224</v>
      </c>
      <c r="F30" s="41"/>
      <c r="G30" s="241"/>
      <c r="H30" s="41"/>
      <c r="I30" s="41"/>
      <c r="J30" s="41"/>
      <c r="K30" s="41"/>
    </row>
    <row r="31" spans="1:11" x14ac:dyDescent="0.25">
      <c r="A31" s="35"/>
      <c r="B31" t="s">
        <v>225</v>
      </c>
      <c r="C31" s="2">
        <f>SUM('MADC AUTO MODEL'!$B$25:$B$29)</f>
        <v>10127.024086408985</v>
      </c>
      <c r="D31" s="2">
        <f>PRODUCTIVITIES!$E$23*'COVERAGE FACTORS'!$C$25+PRODUCTIVITIES!$E$17*(1-'COVERAGE FACTORS'!$C$25)</f>
        <v>1572.5270916832678</v>
      </c>
      <c r="E31" s="37">
        <f>'WAGE RATES'!$D$6</f>
        <v>50.10717457546064</v>
      </c>
      <c r="F31" s="41">
        <f>E31*100/D31</f>
        <v>3.1864108949515657</v>
      </c>
      <c r="G31" s="41">
        <f>PIGGYBACKS!$B$8</f>
        <v>1.6305774272183733</v>
      </c>
      <c r="H31" s="41">
        <f>'WAGE RATES'!$D$10</f>
        <v>1.0285306172213804</v>
      </c>
      <c r="I31" s="41">
        <f>(H31-1)*F31</f>
        <v>9.0910269553899262E-2</v>
      </c>
      <c r="J31" s="41">
        <f>F31*G31+I31</f>
        <v>5.2865999487046178</v>
      </c>
      <c r="K31" s="41">
        <f ca="1">C31*$J31/'MADC AUTO MODEL'!$G$6</f>
        <v>5.3537525015740224</v>
      </c>
    </row>
    <row r="32" spans="1:11" x14ac:dyDescent="0.25">
      <c r="A32" s="35"/>
      <c r="B32" t="s">
        <v>226</v>
      </c>
      <c r="C32" s="2">
        <f>SUM('MADC AUTO MODEL'!$A$25:$A$29)</f>
        <v>620.78311290010402</v>
      </c>
      <c r="D32" s="2">
        <f>PRODUCTIVITIES!$E$16</f>
        <v>888.0117100682927</v>
      </c>
      <c r="E32" s="37">
        <f>'WAGE RATES'!$D$5</f>
        <v>54.142360316355024</v>
      </c>
      <c r="F32" s="41">
        <f>E32*100/D32</f>
        <v>6.0970322465895403</v>
      </c>
      <c r="G32" s="41">
        <f>PIGGYBACKS!$B$9</f>
        <v>1.2615773174013249</v>
      </c>
      <c r="H32" s="41">
        <f>'WAGE RATES'!$D$10</f>
        <v>1.0285306172213804</v>
      </c>
      <c r="I32" s="41">
        <f>(H32-1)*F32</f>
        <v>0.17395209321385913</v>
      </c>
      <c r="J32" s="41">
        <f>F32*G32+I32</f>
        <v>7.8658296789756648</v>
      </c>
      <c r="K32" s="41">
        <f ca="1">C32*$J32/'MADC AUTO MODEL'!$G$6</f>
        <v>0.4882974233656544</v>
      </c>
    </row>
    <row r="33" spans="1:11" x14ac:dyDescent="0.25">
      <c r="A33" s="35"/>
      <c r="B33" t="s">
        <v>227</v>
      </c>
      <c r="C33" s="2">
        <f>SUM('MADC AUTO MODEL'!$H$25:$H$29)</f>
        <v>0</v>
      </c>
      <c r="D33" s="2">
        <f>PRODUCTIVITIES!$E$30</f>
        <v>1.0273268954181221</v>
      </c>
      <c r="E33" s="37">
        <f>'WAGE RATES'!$D$6</f>
        <v>50.10717457546064</v>
      </c>
      <c r="F33" s="41">
        <f>E33*100/D33</f>
        <v>4877.4323731753384</v>
      </c>
      <c r="G33" s="41">
        <f>PIGGYBACKS!$B$10</f>
        <v>1.6305774272183733</v>
      </c>
      <c r="H33" s="41">
        <f>'WAGE RATES'!$D$10</f>
        <v>1.0285306172213804</v>
      </c>
      <c r="I33" s="41">
        <f>(H33-1)*F33</f>
        <v>139.15615606223454</v>
      </c>
      <c r="J33" s="41">
        <f>F33*G33+I33</f>
        <v>8092.1872865460828</v>
      </c>
      <c r="K33" s="41">
        <f ca="1">C33*$J33/'MADC AUTO MODEL'!$G$6</f>
        <v>0</v>
      </c>
    </row>
    <row r="34" spans="1:11" x14ac:dyDescent="0.25">
      <c r="B34" t="s">
        <v>228</v>
      </c>
      <c r="C34" s="2">
        <f>SUM('MADC AUTO MODEL'!$G$25:$G$29)</f>
        <v>0</v>
      </c>
      <c r="D34" s="2">
        <f>PRODUCTIVITIES!$E$36</f>
        <v>1.0273268954181221</v>
      </c>
      <c r="E34" s="37">
        <f>'WAGE RATES'!$D$6</f>
        <v>50.10717457546064</v>
      </c>
      <c r="F34" s="41">
        <f>E34*100/D34</f>
        <v>4877.4323731753384</v>
      </c>
      <c r="G34" s="41">
        <f>PIGGYBACKS!$B$10</f>
        <v>1.6305774272183733</v>
      </c>
      <c r="H34" s="41">
        <f>'WAGE RATES'!$D$10</f>
        <v>1.0285306172213804</v>
      </c>
      <c r="I34" s="41">
        <f>(H34-1)*F34</f>
        <v>139.15615606223454</v>
      </c>
      <c r="J34" s="41">
        <f>F34*G34+I34</f>
        <v>8092.1872865460828</v>
      </c>
      <c r="K34" s="41">
        <f ca="1">C34*$J34/'MADC AUTO MODEL'!$G$6</f>
        <v>0</v>
      </c>
    </row>
    <row r="35" spans="1:11" x14ac:dyDescent="0.25">
      <c r="B35" t="s">
        <v>200</v>
      </c>
      <c r="C35" s="2">
        <f>SUM('MADC AUTO MODEL'!$M$25:$M$29)</f>
        <v>467.88703788752917</v>
      </c>
      <c r="D35" s="2">
        <f>PRODUCTIVITIES!$E$42</f>
        <v>620.26371981497391</v>
      </c>
      <c r="E35" s="37">
        <f>'WAGE RATES'!$D$6</f>
        <v>50.10717457546064</v>
      </c>
      <c r="F35" s="41">
        <f>E35*100/D35</f>
        <v>8.0783661811475493</v>
      </c>
      <c r="G35" s="41">
        <f>PIGGYBACKS!$B$12</f>
        <v>1.3622907328394676</v>
      </c>
      <c r="H35" s="41">
        <f>'WAGE RATES'!$D$10</f>
        <v>1.0285306172213804</v>
      </c>
      <c r="I35" s="41">
        <f>(H35-1)*F35</f>
        <v>0.23048077328846525</v>
      </c>
      <c r="J35" s="41">
        <f>F35*G35+I35</f>
        <v>11.235564158349531</v>
      </c>
      <c r="K35" s="41">
        <f ca="1">C35*$J35/'MADC AUTO MODEL'!$G$6</f>
        <v>0.5256974833045458</v>
      </c>
    </row>
    <row r="36" spans="1:11" x14ac:dyDescent="0.25">
      <c r="F36" s="41"/>
      <c r="H36" s="41"/>
      <c r="I36" s="41"/>
      <c r="J36" s="41"/>
      <c r="K36" s="41"/>
    </row>
    <row r="37" spans="1:11" x14ac:dyDescent="0.25">
      <c r="A37" s="1" t="s">
        <v>229</v>
      </c>
      <c r="F37" s="41"/>
      <c r="H37" s="41"/>
      <c r="I37" s="41"/>
      <c r="J37" s="41"/>
      <c r="K37" s="41"/>
    </row>
    <row r="38" spans="1:11" x14ac:dyDescent="0.25">
      <c r="A38" s="35"/>
      <c r="B38" t="s">
        <v>225</v>
      </c>
      <c r="C38" s="2">
        <f>SUM('MADC AUTO MODEL'!$B$38:$B$42)</f>
        <v>1250.0187235384856</v>
      </c>
      <c r="D38" s="2">
        <f>PRODUCTIVITIES!$E$24*'COVERAGE FACTORS'!$C$25+PRODUCTIVITIES!$E$18*(1-'COVERAGE FACTORS'!$C$25)</f>
        <v>2267.7698382210328</v>
      </c>
      <c r="E38" s="37">
        <f>'WAGE RATES'!$D$6</f>
        <v>50.10717457546064</v>
      </c>
      <c r="F38" s="41">
        <f>E38*100/D38</f>
        <v>2.2095352769471326</v>
      </c>
      <c r="G38" s="41">
        <f>PIGGYBACKS!$B$8</f>
        <v>1.6305774272183733</v>
      </c>
      <c r="H38" s="41">
        <f>'WAGE RATES'!$D$10</f>
        <v>1.0285306172213804</v>
      </c>
      <c r="I38" s="41">
        <f>(H38-1)*F38</f>
        <v>6.3039405223715358E-2</v>
      </c>
      <c r="J38" s="41">
        <f>F38*G38+I38</f>
        <v>3.6658577524564069</v>
      </c>
      <c r="K38" s="41">
        <f ca="1">C38*$J38/'MADC AUTO MODEL'!$G$6</f>
        <v>0.45823908283992248</v>
      </c>
    </row>
    <row r="39" spans="1:11" x14ac:dyDescent="0.25">
      <c r="A39" s="35"/>
      <c r="B39" t="s">
        <v>226</v>
      </c>
      <c r="C39" s="2">
        <f>SUM('MADC AUTO MODEL'!$A$38:$A$42)</f>
        <v>76.625720227431557</v>
      </c>
      <c r="D39" s="2">
        <f>PRODUCTIVITIES!$E$16</f>
        <v>888.0117100682927</v>
      </c>
      <c r="E39" s="37">
        <f>'WAGE RATES'!$D$5</f>
        <v>54.142360316355024</v>
      </c>
      <c r="F39" s="41">
        <f>E39*100/D39</f>
        <v>6.0970322465895403</v>
      </c>
      <c r="G39" s="41">
        <f>PIGGYBACKS!$B$9</f>
        <v>1.2615773174013249</v>
      </c>
      <c r="H39" s="41">
        <f>'WAGE RATES'!$D$10</f>
        <v>1.0285306172213804</v>
      </c>
      <c r="I39" s="41">
        <f>(H39-1)*F39</f>
        <v>0.17395209321385913</v>
      </c>
      <c r="J39" s="41">
        <f>F39*G39+I39</f>
        <v>7.8658296789756648</v>
      </c>
      <c r="K39" s="41">
        <f ca="1">C39*$J39/'MADC AUTO MODEL'!$G$6</f>
        <v>6.0272486433781775E-2</v>
      </c>
    </row>
    <row r="40" spans="1:11" x14ac:dyDescent="0.25">
      <c r="B40" t="s">
        <v>227</v>
      </c>
      <c r="C40" s="2">
        <f>SUM('MADC AUTO MODEL'!$H$38:$H$42)</f>
        <v>0</v>
      </c>
      <c r="D40" s="2">
        <f>PRODUCTIVITIES!$E$31</f>
        <v>1.0273268954181221</v>
      </c>
      <c r="E40" s="37">
        <f>'WAGE RATES'!$D$6</f>
        <v>50.10717457546064</v>
      </c>
      <c r="F40" s="41">
        <f>E40*100/D40</f>
        <v>4877.4323731753384</v>
      </c>
      <c r="G40" s="41">
        <f>PIGGYBACKS!$B$10</f>
        <v>1.6305774272183733</v>
      </c>
      <c r="H40" s="41">
        <f>'WAGE RATES'!$D$10</f>
        <v>1.0285306172213804</v>
      </c>
      <c r="I40" s="41">
        <f>(H40-1)*F40</f>
        <v>139.15615606223454</v>
      </c>
      <c r="J40" s="41">
        <f>F40*G40+I40</f>
        <v>8092.1872865460828</v>
      </c>
      <c r="K40" s="41">
        <f ca="1">C40*$J40/'MADC AUTO MODEL'!$G$6</f>
        <v>0</v>
      </c>
    </row>
    <row r="41" spans="1:11" x14ac:dyDescent="0.25">
      <c r="B41" t="s">
        <v>228</v>
      </c>
      <c r="C41" s="2">
        <f>SUM('MADC AUTO MODEL'!$G$38:$G$42)</f>
        <v>0</v>
      </c>
      <c r="D41" s="2">
        <f>PRODUCTIVITIES!$E$37</f>
        <v>1.0273268954181221</v>
      </c>
      <c r="E41" s="37">
        <f>'WAGE RATES'!$D$6</f>
        <v>50.10717457546064</v>
      </c>
      <c r="F41" s="41">
        <f>E41*100/D41</f>
        <v>4877.4323731753384</v>
      </c>
      <c r="G41" s="41">
        <f>PIGGYBACKS!$B$10</f>
        <v>1.6305774272183733</v>
      </c>
      <c r="H41" s="41">
        <f>'WAGE RATES'!$D$10</f>
        <v>1.0285306172213804</v>
      </c>
      <c r="I41" s="41">
        <f>(H41-1)*F41</f>
        <v>139.15615606223454</v>
      </c>
      <c r="J41" s="41">
        <f>F41*G41+I41</f>
        <v>8092.1872865460828</v>
      </c>
      <c r="K41" s="41">
        <f ca="1">C41*$J41/'MADC AUTO MODEL'!$G$6</f>
        <v>0</v>
      </c>
    </row>
    <row r="42" spans="1:11" x14ac:dyDescent="0.25">
      <c r="B42" t="s">
        <v>200</v>
      </c>
      <c r="C42" s="2">
        <f>SUM('MADC AUTO MODEL'!$M$38:$M$42)</f>
        <v>155.13520589601211</v>
      </c>
      <c r="D42" s="2">
        <f>PRODUCTIVITIES!$E$43</f>
        <v>490.6212884367572</v>
      </c>
      <c r="E42" s="37">
        <f>'WAGE RATES'!$D$6</f>
        <v>50.10717457546064</v>
      </c>
      <c r="F42" s="41">
        <f>E42*100/D42</f>
        <v>10.213004563074444</v>
      </c>
      <c r="G42" s="41">
        <f>PIGGYBACKS!$B$12</f>
        <v>1.3622907328394676</v>
      </c>
      <c r="H42" s="41">
        <f>'WAGE RATES'!$D$10</f>
        <v>1.0285306172213804</v>
      </c>
      <c r="I42" s="41">
        <f>(H42-1)*F42</f>
        <v>0.29138332386928828</v>
      </c>
      <c r="J42" s="41">
        <f>F42*G42+I42</f>
        <v>14.204464794592798</v>
      </c>
      <c r="K42" s="41">
        <f ca="1">C42*$J42/'MADC AUTO MODEL'!$G$6</f>
        <v>0.22036125705518117</v>
      </c>
    </row>
    <row r="43" spans="1:11" x14ac:dyDescent="0.25">
      <c r="F43" s="41"/>
      <c r="H43" s="41"/>
      <c r="I43" s="41"/>
      <c r="J43" s="41"/>
      <c r="K43" s="41"/>
    </row>
    <row r="44" spans="1:11" x14ac:dyDescent="0.25">
      <c r="A44" s="1" t="s">
        <v>230</v>
      </c>
      <c r="F44" s="41"/>
      <c r="H44" s="41"/>
      <c r="I44" s="41"/>
      <c r="J44" s="41"/>
      <c r="K44" s="41"/>
    </row>
    <row r="45" spans="1:11" x14ac:dyDescent="0.25">
      <c r="A45" s="35"/>
      <c r="B45" t="s">
        <v>225</v>
      </c>
      <c r="C45" s="2">
        <f>SUM('MADC AUTO MODEL'!$B$53:$B$57)</f>
        <v>5882.7760303209652</v>
      </c>
      <c r="D45" s="2">
        <f>PRODUCTIVITIES!$E$25*'COVERAGE FACTORS'!$C$25+PRODUCTIVITIES!$E$19*(1-'COVERAGE FACTORS'!$C$25)</f>
        <v>1572.97537151239</v>
      </c>
      <c r="E45" s="37">
        <f>'WAGE RATES'!$D$6</f>
        <v>50.10717457546064</v>
      </c>
      <c r="F45" s="41">
        <f>E45*100/D45</f>
        <v>3.1855028046169225</v>
      </c>
      <c r="G45" s="41">
        <f>PIGGYBACKS!$B$8</f>
        <v>1.6305774272183733</v>
      </c>
      <c r="H45" s="41">
        <f>'WAGE RATES'!$D$10</f>
        <v>1.0285306172213804</v>
      </c>
      <c r="I45" s="41">
        <f>(H45-1)*F45</f>
        <v>9.0884361176159112E-2</v>
      </c>
      <c r="J45" s="41">
        <f>F45*G45+I45</f>
        <v>5.285093328725333</v>
      </c>
      <c r="K45" s="41">
        <f ca="1">C45*$J45/'MADC AUTO MODEL'!$G$6</f>
        <v>3.1091020352234664</v>
      </c>
    </row>
    <row r="46" spans="1:11" x14ac:dyDescent="0.25">
      <c r="A46" s="35"/>
      <c r="B46" t="s">
        <v>226</v>
      </c>
      <c r="C46" s="2">
        <f>SUM('MADC AUTO MODEL'!$A$53:$A$57)</f>
        <v>360.61215865950697</v>
      </c>
      <c r="D46" s="2">
        <f>PRODUCTIVITIES!$E$16</f>
        <v>888.0117100682927</v>
      </c>
      <c r="E46" s="37">
        <f>'WAGE RATES'!$D$5</f>
        <v>54.142360316355024</v>
      </c>
      <c r="F46" s="41">
        <f>E46*100/D46</f>
        <v>6.0970322465895403</v>
      </c>
      <c r="G46" s="41">
        <f>PIGGYBACKS!$B$9</f>
        <v>1.2615773174013249</v>
      </c>
      <c r="H46" s="41">
        <f>'WAGE RATES'!$D$10</f>
        <v>1.0285306172213804</v>
      </c>
      <c r="I46" s="41">
        <f>(H46-1)*F46</f>
        <v>0.17395209321385913</v>
      </c>
      <c r="J46" s="41">
        <f>F46*G46+I46</f>
        <v>7.8658296789756648</v>
      </c>
      <c r="K46" s="41">
        <f ca="1">C46*$J46/'MADC AUTO MODEL'!$G$6</f>
        <v>0.28365138201834345</v>
      </c>
    </row>
    <row r="47" spans="1:11" x14ac:dyDescent="0.25">
      <c r="B47" t="s">
        <v>227</v>
      </c>
      <c r="C47" s="2">
        <f>SUM('MADC AUTO MODEL'!$H$53:$H$57)</f>
        <v>0</v>
      </c>
      <c r="D47" s="2">
        <f>PRODUCTIVITIES!$E$32</f>
        <v>1.0273268954181221</v>
      </c>
      <c r="E47" s="37">
        <f>'WAGE RATES'!$D$6</f>
        <v>50.10717457546064</v>
      </c>
      <c r="F47" s="41">
        <f>E47*100/D47</f>
        <v>4877.4323731753384</v>
      </c>
      <c r="G47" s="41">
        <f>PIGGYBACKS!$B$10</f>
        <v>1.6305774272183733</v>
      </c>
      <c r="H47" s="41">
        <f>'WAGE RATES'!$D$10</f>
        <v>1.0285306172213804</v>
      </c>
      <c r="I47" s="41">
        <f>(H47-1)*F47</f>
        <v>139.15615606223454</v>
      </c>
      <c r="J47" s="41">
        <f>F47*G47+I47</f>
        <v>8092.1872865460828</v>
      </c>
      <c r="K47" s="41">
        <f ca="1">C47*$J47/'MADC AUTO MODEL'!$G$6</f>
        <v>0</v>
      </c>
    </row>
    <row r="48" spans="1:11" x14ac:dyDescent="0.25">
      <c r="B48" t="s">
        <v>228</v>
      </c>
      <c r="C48" s="2">
        <f>SUM('MADC AUTO MODEL'!$G$53:$G$57)</f>
        <v>0</v>
      </c>
      <c r="D48" s="2">
        <f>PRODUCTIVITIES!$E$38</f>
        <v>1.0273268954181221</v>
      </c>
      <c r="E48" s="37">
        <f>'WAGE RATES'!$D$6</f>
        <v>50.10717457546064</v>
      </c>
      <c r="F48" s="41">
        <f>E48*100/D48</f>
        <v>4877.4323731753384</v>
      </c>
      <c r="G48" s="41">
        <f>PIGGYBACKS!$B$10</f>
        <v>1.6305774272183733</v>
      </c>
      <c r="H48" s="41">
        <f>'WAGE RATES'!$D$10</f>
        <v>1.0285306172213804</v>
      </c>
      <c r="I48" s="41">
        <f>(H48-1)*F48</f>
        <v>139.15615606223454</v>
      </c>
      <c r="J48" s="41">
        <f>F48*G48+I48</f>
        <v>8092.1872865460828</v>
      </c>
      <c r="K48" s="41">
        <f ca="1">C48*$J48/'MADC AUTO MODEL'!$G$6</f>
        <v>0</v>
      </c>
    </row>
    <row r="49" spans="1:11" x14ac:dyDescent="0.25">
      <c r="B49" t="s">
        <v>200</v>
      </c>
      <c r="C49" s="2">
        <f>SUM('MADC AUTO MODEL'!$M$53:$M$57)</f>
        <v>839.06086049354167</v>
      </c>
      <c r="D49" s="2">
        <f>PRODUCTIVITIES!$E$44</f>
        <v>692.96374405746178</v>
      </c>
      <c r="E49" s="37">
        <f>'WAGE RATES'!$D$6</f>
        <v>50.10717457546064</v>
      </c>
      <c r="F49" s="41">
        <f>E49*100/D49</f>
        <v>7.2308508208628108</v>
      </c>
      <c r="G49" s="41">
        <f>PIGGYBACKS!$B$12</f>
        <v>1.3622907328394676</v>
      </c>
      <c r="H49" s="41">
        <f>'WAGE RATES'!$D$10</f>
        <v>1.0285306172213804</v>
      </c>
      <c r="I49" s="41">
        <f>(H49-1)*F49</f>
        <v>0.20630063695494108</v>
      </c>
      <c r="J49" s="41">
        <f>F49*G49+I49</f>
        <v>10.056821700761006</v>
      </c>
      <c r="K49" s="41">
        <f ca="1">C49*$J49/'MADC AUTO MODEL'!$G$6</f>
        <v>0.84382854700706611</v>
      </c>
    </row>
    <row r="50" spans="1:11" x14ac:dyDescent="0.25">
      <c r="F50" s="41"/>
      <c r="H50" s="41"/>
      <c r="I50" s="41"/>
      <c r="J50" s="41"/>
      <c r="K50" s="41"/>
    </row>
    <row r="51" spans="1:11" x14ac:dyDescent="0.25">
      <c r="A51" s="1" t="s">
        <v>231</v>
      </c>
      <c r="F51" s="41"/>
      <c r="H51" s="41"/>
      <c r="I51" s="41"/>
      <c r="J51" s="41"/>
      <c r="K51" s="41"/>
    </row>
    <row r="52" spans="1:11" x14ac:dyDescent="0.25">
      <c r="A52" s="35"/>
      <c r="B52" t="s">
        <v>225</v>
      </c>
      <c r="C52" s="2">
        <f>SUM('MADC AUTO MODEL'!$B$64:$B$68)</f>
        <v>4031.0387577765578</v>
      </c>
      <c r="D52" s="2">
        <f>PRODUCTIVITIES!$E$26*'COVERAGE FACTORS'!$C$25+PRODUCTIVITIES!$E$20*(1-'COVERAGE FACTORS'!$C$25)</f>
        <v>2073.5491608992547</v>
      </c>
      <c r="E52" s="37">
        <f>'WAGE RATES'!$D$6</f>
        <v>50.10717457546064</v>
      </c>
      <c r="F52" s="41">
        <f>E52*100/D52</f>
        <v>2.4164932049997896</v>
      </c>
      <c r="G52" s="41">
        <f>PIGGYBACKS!$B$8</f>
        <v>1.6305774272183733</v>
      </c>
      <c r="H52" s="41">
        <f>'WAGE RATES'!$D$10</f>
        <v>1.0285306172213804</v>
      </c>
      <c r="I52" s="41">
        <f>(H52-1)*F52</f>
        <v>6.8944042649915702E-2</v>
      </c>
      <c r="J52" s="41">
        <f>F52*G52+I52</f>
        <v>4.0092233157491535</v>
      </c>
      <c r="K52" s="41">
        <f ca="1">C52*$J52/'MADC AUTO MODEL'!$G$6</f>
        <v>1.6161334574366297</v>
      </c>
    </row>
    <row r="53" spans="1:11" x14ac:dyDescent="0.25">
      <c r="A53" s="35"/>
      <c r="B53" t="s">
        <v>226</v>
      </c>
      <c r="C53" s="2">
        <f>SUM('MADC AUTO MODEL'!$A$64:$A$68)</f>
        <v>247.10129717493783</v>
      </c>
      <c r="D53" s="2">
        <f>PRODUCTIVITIES!$E$16</f>
        <v>888.0117100682927</v>
      </c>
      <c r="E53" s="37">
        <f>'WAGE RATES'!$D$5</f>
        <v>54.142360316355024</v>
      </c>
      <c r="F53" s="41">
        <f>E53*100/D53</f>
        <v>6.0970322465895403</v>
      </c>
      <c r="G53" s="41">
        <f>PIGGYBACKS!$B$9</f>
        <v>1.2615773174013249</v>
      </c>
      <c r="H53" s="41">
        <f>'WAGE RATES'!$D$10</f>
        <v>1.0285306172213804</v>
      </c>
      <c r="I53" s="41">
        <f>(H53-1)*F53</f>
        <v>0.17395209321385913</v>
      </c>
      <c r="J53" s="41">
        <f>F53*G53+I53</f>
        <v>7.8658296789756648</v>
      </c>
      <c r="K53" s="41">
        <f ca="1">C53*$J53/'MADC AUTO MODEL'!$G$6</f>
        <v>0.19436567170320138</v>
      </c>
    </row>
    <row r="54" spans="1:11" x14ac:dyDescent="0.25">
      <c r="B54" t="s">
        <v>227</v>
      </c>
      <c r="C54" s="2">
        <f>SUM('MADC AUTO MODEL'!$H$64:$H$68)</f>
        <v>0</v>
      </c>
      <c r="D54" s="2">
        <f>PRODUCTIVITIES!$E$33</f>
        <v>1.0273268954181221</v>
      </c>
      <c r="E54" s="37">
        <f>'WAGE RATES'!$D$6</f>
        <v>50.10717457546064</v>
      </c>
      <c r="F54" s="41">
        <f>E54*100/D54</f>
        <v>4877.4323731753384</v>
      </c>
      <c r="G54" s="41">
        <f>PIGGYBACKS!$B$10</f>
        <v>1.6305774272183733</v>
      </c>
      <c r="H54" s="41">
        <f>'WAGE RATES'!$D$10</f>
        <v>1.0285306172213804</v>
      </c>
      <c r="I54" s="41">
        <f>(H54-1)*F54</f>
        <v>139.15615606223454</v>
      </c>
      <c r="J54" s="41">
        <f>F54*G54+I54</f>
        <v>8092.1872865460828</v>
      </c>
      <c r="K54" s="41">
        <f ca="1">C54*$J54/'MADC AUTO MODEL'!$G$6</f>
        <v>0</v>
      </c>
    </row>
    <row r="55" spans="1:11" x14ac:dyDescent="0.25">
      <c r="B55" t="s">
        <v>228</v>
      </c>
      <c r="C55" s="2">
        <f>SUM('MADC AUTO MODEL'!$G$64:$G$68)</f>
        <v>0</v>
      </c>
      <c r="D55" s="2">
        <f>PRODUCTIVITIES!$E$39</f>
        <v>1.0273268954181221</v>
      </c>
      <c r="E55" s="37">
        <f>'WAGE RATES'!$D$6</f>
        <v>50.10717457546064</v>
      </c>
      <c r="F55" s="41">
        <f>E55*100/D55</f>
        <v>4877.4323731753384</v>
      </c>
      <c r="G55" s="41">
        <f>PIGGYBACKS!$B$10</f>
        <v>1.6305774272183733</v>
      </c>
      <c r="H55" s="41">
        <f>'WAGE RATES'!$D$10</f>
        <v>1.0285306172213804</v>
      </c>
      <c r="I55" s="41">
        <f>(H55-1)*F55</f>
        <v>139.15615606223454</v>
      </c>
      <c r="J55" s="41">
        <f>F55*G55+I55</f>
        <v>8092.1872865460828</v>
      </c>
      <c r="K55" s="41">
        <f ca="1">C55*$J55/'MADC AUTO MODEL'!$G$6</f>
        <v>0</v>
      </c>
    </row>
    <row r="56" spans="1:11" x14ac:dyDescent="0.25">
      <c r="B56" t="s">
        <v>200</v>
      </c>
      <c r="C56" s="2">
        <f>SUM('MADC AUTO MODEL'!$M$64:$M$68)</f>
        <v>553.78451300264476</v>
      </c>
      <c r="D56" s="2">
        <f>PRODUCTIVITIES!$E$45</f>
        <v>600.65917211803048</v>
      </c>
      <c r="E56" s="37">
        <f>'WAGE RATES'!$D$6</f>
        <v>50.10717457546064</v>
      </c>
      <c r="F56" s="41">
        <f>E56*100/D56</f>
        <v>8.3420310387959073</v>
      </c>
      <c r="G56" s="41">
        <f>PIGGYBACKS!$B$12</f>
        <v>1.3622907328394676</v>
      </c>
      <c r="H56" s="41">
        <f>'WAGE RATES'!$D$10</f>
        <v>1.0285306172213804</v>
      </c>
      <c r="I56" s="41">
        <f>(H56-1)*F56</f>
        <v>0.2380032944167603</v>
      </c>
      <c r="J56" s="41">
        <f>F56*G56+I56</f>
        <v>11.602274871627621</v>
      </c>
      <c r="K56" s="41">
        <f ca="1">C56*$J56/'MADC AUTO MODEL'!$G$6</f>
        <v>0.64251601395071323</v>
      </c>
    </row>
    <row r="57" spans="1:11" x14ac:dyDescent="0.25">
      <c r="F57" s="41"/>
      <c r="H57" s="41"/>
      <c r="I57" s="41"/>
      <c r="J57" s="41"/>
      <c r="K57" s="41"/>
    </row>
    <row r="58" spans="1:11" x14ac:dyDescent="0.25">
      <c r="A58" s="1" t="s">
        <v>232</v>
      </c>
      <c r="F58" s="41"/>
      <c r="H58" s="41"/>
      <c r="I58" s="41"/>
      <c r="J58" s="41"/>
      <c r="K58" s="41"/>
    </row>
    <row r="59" spans="1:11" x14ac:dyDescent="0.25">
      <c r="A59" s="35"/>
      <c r="B59" t="s">
        <v>225</v>
      </c>
      <c r="C59" s="2">
        <f ca="1">SUM('MADC AUTO MODEL'!$B$74:$B$78)+SUM('MADC AUTO MODEL'!$B$108:$B$112)</f>
        <v>1144.2758215922222</v>
      </c>
      <c r="D59" s="2">
        <f>PRODUCTIVITIES!$E$27*'COVERAGE FACTORS'!$C$25+PRODUCTIVITIES!$E$21*(1-'COVERAGE FACTORS'!$C$25)</f>
        <v>1117.4154005483335</v>
      </c>
      <c r="E59" s="37">
        <f>'WAGE RATES'!$D$6</f>
        <v>50.10717457546064</v>
      </c>
      <c r="F59" s="41">
        <f>E59*100/D59</f>
        <v>4.4842029697167458</v>
      </c>
      <c r="G59" s="41">
        <f>PIGGYBACKS!$B$8</f>
        <v>1.6305774272183733</v>
      </c>
      <c r="H59" s="41">
        <f>'WAGE RATES'!$D$10</f>
        <v>1.0285306172213804</v>
      </c>
      <c r="I59" s="41">
        <f>(H59-1)*F59</f>
        <v>0.1279370784719657</v>
      </c>
      <c r="J59" s="41">
        <f>F59*G59+I59</f>
        <v>7.4397772199576861</v>
      </c>
      <c r="K59" s="41">
        <f ca="1">C59*$J59/'MADC AUTO MODEL'!$G$6</f>
        <v>0.85131571908301884</v>
      </c>
    </row>
    <row r="60" spans="1:11" x14ac:dyDescent="0.25">
      <c r="A60" s="35"/>
      <c r="B60" t="s">
        <v>226</v>
      </c>
      <c r="C60" s="2">
        <f ca="1">SUM('MADC AUTO MODEL'!$A$74:$A$78)+SUM('MADC AUTO MODEL'!$A$108:$A$112)</f>
        <v>70.143716503811632</v>
      </c>
      <c r="D60" s="2">
        <f>PRODUCTIVITIES!$E$16</f>
        <v>888.0117100682927</v>
      </c>
      <c r="E60" s="37">
        <f>'WAGE RATES'!$D$5</f>
        <v>54.142360316355024</v>
      </c>
      <c r="F60" s="41">
        <f>E60*100/D60</f>
        <v>6.0970322465895403</v>
      </c>
      <c r="G60" s="41">
        <f>PIGGYBACKS!$B$9</f>
        <v>1.2615773174013249</v>
      </c>
      <c r="H60" s="41">
        <f>'WAGE RATES'!$D$10</f>
        <v>1.0285306172213804</v>
      </c>
      <c r="I60" s="41">
        <f>(H60-1)*F60</f>
        <v>0.17395209321385913</v>
      </c>
      <c r="J60" s="41">
        <f>F60*G60+I60</f>
        <v>7.8658296789756648</v>
      </c>
      <c r="K60" s="41">
        <f ca="1">C60*$J60/'MADC AUTO MODEL'!$G$6</f>
        <v>5.5173852706933729E-2</v>
      </c>
    </row>
    <row r="61" spans="1:11" x14ac:dyDescent="0.25">
      <c r="B61" t="s">
        <v>227</v>
      </c>
      <c r="C61" s="2">
        <f>SUM('MADC AUTO MODEL'!$H$74:$H$78)</f>
        <v>0</v>
      </c>
      <c r="D61" s="2">
        <f>PRODUCTIVITIES!$E$34</f>
        <v>1.0273268954181221</v>
      </c>
      <c r="E61" s="37">
        <f>'WAGE RATES'!$D$6</f>
        <v>50.10717457546064</v>
      </c>
      <c r="F61" s="41">
        <f>E61*100/D61</f>
        <v>4877.4323731753384</v>
      </c>
      <c r="G61" s="41">
        <f>PIGGYBACKS!$B$10</f>
        <v>1.6305774272183733</v>
      </c>
      <c r="H61" s="41">
        <f>'WAGE RATES'!$D$10</f>
        <v>1.0285306172213804</v>
      </c>
      <c r="I61" s="41">
        <f>(H61-1)*F61</f>
        <v>139.15615606223454</v>
      </c>
      <c r="J61" s="41">
        <f>F61*G61+I61</f>
        <v>8092.1872865460828</v>
      </c>
      <c r="K61" s="41">
        <f ca="1">C61*$J61/'MADC AUTO MODEL'!$G$6</f>
        <v>0</v>
      </c>
    </row>
    <row r="62" spans="1:11" x14ac:dyDescent="0.25">
      <c r="B62" t="s">
        <v>228</v>
      </c>
      <c r="C62" s="2">
        <f>SUM('MADC AUTO MODEL'!$G$74:$G$78)</f>
        <v>0</v>
      </c>
      <c r="D62" s="2">
        <f>PRODUCTIVITIES!$E$40</f>
        <v>1.0273268954181221</v>
      </c>
      <c r="E62" s="37">
        <f>'WAGE RATES'!$D$6</f>
        <v>50.10717457546064</v>
      </c>
      <c r="F62" s="41">
        <f>E62*100/D62</f>
        <v>4877.4323731753384</v>
      </c>
      <c r="G62" s="41">
        <f>PIGGYBACKS!$B$10</f>
        <v>1.6305774272183733</v>
      </c>
      <c r="H62" s="41">
        <f>'WAGE RATES'!$D$10</f>
        <v>1.0285306172213804</v>
      </c>
      <c r="I62" s="41">
        <f>(H62-1)*F62</f>
        <v>139.15615606223454</v>
      </c>
      <c r="J62" s="41">
        <f>F62*G62+I62</f>
        <v>8092.1872865460828</v>
      </c>
      <c r="K62" s="41">
        <f ca="1">C62*$J62/'MADC AUTO MODEL'!$G$6</f>
        <v>0</v>
      </c>
    </row>
    <row r="63" spans="1:11" x14ac:dyDescent="0.25">
      <c r="B63" t="s">
        <v>200</v>
      </c>
      <c r="C63" s="2">
        <f ca="1">SUM('MADC AUTO MODEL'!$M$74:$M$78)</f>
        <v>149.86312332614841</v>
      </c>
      <c r="D63" s="2">
        <f>PRODUCTIVITIES!$E$46</f>
        <v>753.4091755495233</v>
      </c>
      <c r="E63" s="37">
        <f>'WAGE RATES'!$D$6</f>
        <v>50.10717457546064</v>
      </c>
      <c r="F63" s="41">
        <f>E63*100/D63</f>
        <v>6.6507252900010618</v>
      </c>
      <c r="G63" s="41">
        <f>PIGGYBACKS!$B$12</f>
        <v>1.3622907328394676</v>
      </c>
      <c r="H63" s="41">
        <f>'WAGE RATES'!$D$10</f>
        <v>1.0285306172213804</v>
      </c>
      <c r="I63" s="41">
        <f>(H63-1)*F63</f>
        <v>0.18974929749357441</v>
      </c>
      <c r="J63" s="41">
        <f>F63*G63+I63</f>
        <v>9.2499707267231006</v>
      </c>
      <c r="K63" s="41">
        <f ca="1">C63*$J63/'MADC AUTO MODEL'!$G$6</f>
        <v>0.13862295037821681</v>
      </c>
    </row>
    <row r="64" spans="1:11" x14ac:dyDescent="0.25">
      <c r="A64" s="35"/>
      <c r="F64" s="41"/>
      <c r="H64" s="41"/>
      <c r="I64" s="41"/>
      <c r="J64" s="41"/>
      <c r="K64" s="41"/>
    </row>
    <row r="65" spans="1:11" x14ac:dyDescent="0.25">
      <c r="A65" s="1" t="s">
        <v>233</v>
      </c>
      <c r="F65" s="41"/>
      <c r="H65" s="41"/>
      <c r="I65" s="41"/>
      <c r="J65" s="41"/>
      <c r="K65" s="41"/>
    </row>
    <row r="66" spans="1:11" x14ac:dyDescent="0.25">
      <c r="A66" s="35"/>
      <c r="B66" t="s">
        <v>225</v>
      </c>
      <c r="C66" s="2">
        <f ca="1">SUM('MADC AUTO MODEL'!$B$83:$B$87)+SUM('MADC AUTO MODEL'!$B$122:$B$126)</f>
        <v>8718.06324425614</v>
      </c>
      <c r="D66" s="2">
        <f>PRODUCTIVITIES!$E$28*'COVERAGE FACTORS'!$C$25+PRODUCTIVITIES!$E$22*(1-'COVERAGE FACTORS'!$C$25)</f>
        <v>1858.2572281195687</v>
      </c>
      <c r="E66" s="37">
        <f>'WAGE RATES'!$D$6</f>
        <v>50.10717457546064</v>
      </c>
      <c r="F66" s="41">
        <f>E66*100/D66</f>
        <v>2.6964606308118992</v>
      </c>
      <c r="G66" s="41">
        <f>PIGGYBACKS!$B$8</f>
        <v>1.6305774272183733</v>
      </c>
      <c r="H66" s="41">
        <f>'WAGE RATES'!$D$10</f>
        <v>1.0285306172213804</v>
      </c>
      <c r="I66" s="41">
        <f>(H66-1)*F66</f>
        <v>7.693168611021621E-2</v>
      </c>
      <c r="J66" s="41">
        <f>F66*G66+I66</f>
        <v>4.473719524095114</v>
      </c>
      <c r="K66" s="41">
        <f ca="1">C66*$J66/'MADC AUTO MODEL'!$G$6</f>
        <v>3.9002169748124724</v>
      </c>
    </row>
    <row r="67" spans="1:11" x14ac:dyDescent="0.25">
      <c r="A67" s="35"/>
      <c r="B67" t="s">
        <v>226</v>
      </c>
      <c r="C67" s="2">
        <f ca="1">SUM('MADC AUTO MODEL'!$A$83:$A$87)+SUM('MADC AUTO MODEL'!$A$122:$A$126)</f>
        <v>534.41429516224207</v>
      </c>
      <c r="D67" s="2">
        <f>PRODUCTIVITIES!$E$16</f>
        <v>888.0117100682927</v>
      </c>
      <c r="E67" s="37">
        <f>'WAGE RATES'!$D$5</f>
        <v>54.142360316355024</v>
      </c>
      <c r="F67" s="41">
        <f>E67*100/D67</f>
        <v>6.0970322465895403</v>
      </c>
      <c r="G67" s="41">
        <f>PIGGYBACKS!$B$9</f>
        <v>1.2615773174013249</v>
      </c>
      <c r="H67" s="41">
        <f>'WAGE RATES'!$D$10</f>
        <v>1.0285306172213804</v>
      </c>
      <c r="I67" s="41">
        <f>(H67-1)*F67</f>
        <v>0.17395209321385913</v>
      </c>
      <c r="J67" s="41">
        <f>F67*G67+I67</f>
        <v>7.8658296789756648</v>
      </c>
      <c r="K67" s="41">
        <f ca="1">C67*$J67/'MADC AUTO MODEL'!$G$6</f>
        <v>0.42036118237560294</v>
      </c>
    </row>
    <row r="68" spans="1:11" x14ac:dyDescent="0.25">
      <c r="B68" t="s">
        <v>227</v>
      </c>
      <c r="C68" s="2">
        <f>SUM('MADC AUTO MODEL'!$H$83:$H$87)</f>
        <v>0</v>
      </c>
      <c r="D68" s="2">
        <f>PRODUCTIVITIES!$E$35</f>
        <v>1.0273268954181221</v>
      </c>
      <c r="E68" s="37">
        <f>'WAGE RATES'!$D$6</f>
        <v>50.10717457546064</v>
      </c>
      <c r="F68" s="41">
        <f>E68*100/D68</f>
        <v>4877.4323731753384</v>
      </c>
      <c r="G68" s="41">
        <f>PIGGYBACKS!$B$10</f>
        <v>1.6305774272183733</v>
      </c>
      <c r="H68" s="41">
        <f>'WAGE RATES'!$D$10</f>
        <v>1.0285306172213804</v>
      </c>
      <c r="I68" s="41">
        <f>(H68-1)*F68</f>
        <v>139.15615606223454</v>
      </c>
      <c r="J68" s="41">
        <f>F68*G68+I68</f>
        <v>8092.1872865460828</v>
      </c>
      <c r="K68" s="41">
        <f ca="1">C68*$J68/'MADC AUTO MODEL'!$G$6</f>
        <v>0</v>
      </c>
    </row>
    <row r="69" spans="1:11" x14ac:dyDescent="0.25">
      <c r="B69" t="s">
        <v>228</v>
      </c>
      <c r="C69" s="2">
        <f>SUM('MADC AUTO MODEL'!$G$83:$G$87)</f>
        <v>0</v>
      </c>
      <c r="D69" s="2">
        <f>PRODUCTIVITIES!$E$41</f>
        <v>1.0273268954181221</v>
      </c>
      <c r="E69" s="37">
        <f>'WAGE RATES'!$D$6</f>
        <v>50.10717457546064</v>
      </c>
      <c r="F69" s="41">
        <f>E69*100/D69</f>
        <v>4877.4323731753384</v>
      </c>
      <c r="G69" s="41">
        <f>PIGGYBACKS!$B$10</f>
        <v>1.6305774272183733</v>
      </c>
      <c r="H69" s="41">
        <f>'WAGE RATES'!$D$10</f>
        <v>1.0285306172213804</v>
      </c>
      <c r="I69" s="41">
        <f>(H69-1)*F69</f>
        <v>139.15615606223454</v>
      </c>
      <c r="J69" s="41">
        <f>F69*G69+I69</f>
        <v>8092.1872865460828</v>
      </c>
      <c r="K69" s="41">
        <f ca="1">C69*$J69/'MADC AUTO MODEL'!$G$6</f>
        <v>0</v>
      </c>
    </row>
    <row r="70" spans="1:11" x14ac:dyDescent="0.25">
      <c r="B70" t="s">
        <v>200</v>
      </c>
      <c r="C70" s="2">
        <f ca="1">SUM('MADC AUTO MODEL'!$M$83:$M$87)</f>
        <v>1793.6055828203994</v>
      </c>
      <c r="D70" s="2">
        <f>PRODUCTIVITIES!$E$47</f>
        <v>675.89315757280178</v>
      </c>
      <c r="E70" s="37">
        <f>'WAGE RATES'!$D$6</f>
        <v>50.10717457546064</v>
      </c>
      <c r="F70" s="41">
        <f>E70*100/D70</f>
        <v>7.4134756379840256</v>
      </c>
      <c r="G70" s="41">
        <f>PIGGYBACKS!$B$12</f>
        <v>1.3622907328394676</v>
      </c>
      <c r="H70" s="41">
        <f>'WAGE RATES'!$D$10</f>
        <v>1.0285306172213804</v>
      </c>
      <c r="I70" s="41">
        <f>(H70-1)*F70</f>
        <v>0.21151103570735105</v>
      </c>
      <c r="J70" s="41">
        <f>F70*G70+I70</f>
        <v>10.310820195464149</v>
      </c>
      <c r="K70" s="41">
        <f ca="1">C70*$J70/'MADC AUTO MODEL'!$G$6</f>
        <v>1.8493544666041841</v>
      </c>
    </row>
    <row r="71" spans="1:11" x14ac:dyDescent="0.25">
      <c r="F71" s="41"/>
      <c r="H71" s="41"/>
      <c r="I71" s="41"/>
      <c r="J71" s="41"/>
      <c r="K71" s="41"/>
    </row>
    <row r="72" spans="1:11" x14ac:dyDescent="0.25">
      <c r="A72" s="1" t="s">
        <v>234</v>
      </c>
      <c r="F72" s="41"/>
      <c r="H72" s="41"/>
      <c r="I72" s="41"/>
      <c r="J72" s="41"/>
      <c r="K72" s="41"/>
    </row>
    <row r="73" spans="1:11" x14ac:dyDescent="0.25">
      <c r="B73" t="s">
        <v>99</v>
      </c>
      <c r="C73" s="2">
        <v>0</v>
      </c>
      <c r="D73" s="2">
        <v>0</v>
      </c>
      <c r="E73" s="37">
        <v>0</v>
      </c>
      <c r="F73" s="41">
        <v>0</v>
      </c>
      <c r="G73" s="41">
        <v>0</v>
      </c>
      <c r="H73" s="41">
        <v>0</v>
      </c>
      <c r="I73" s="41">
        <v>0</v>
      </c>
      <c r="J73" s="41">
        <v>0</v>
      </c>
      <c r="K73" s="41">
        <f ca="1">C73*$J73/'MADC NONAUTO MODEL'!$G$6</f>
        <v>0</v>
      </c>
    </row>
    <row r="74" spans="1:11" x14ac:dyDescent="0.25">
      <c r="B74" t="s">
        <v>226</v>
      </c>
      <c r="C74" s="2">
        <f ca="1">SUM('MADC AUTO MODEL'!$A$95:$A$99)</f>
        <v>0</v>
      </c>
      <c r="D74" s="2">
        <f>PRODUCTIVITIES!E16</f>
        <v>888.0117100682927</v>
      </c>
      <c r="E74" s="37">
        <f>'WAGE RATES'!D5</f>
        <v>54.142360316355024</v>
      </c>
      <c r="F74" s="41">
        <f>E74*100/D74</f>
        <v>6.0970322465895403</v>
      </c>
      <c r="G74" s="41">
        <f>PIGGYBACKS!B9</f>
        <v>1.2615773174013249</v>
      </c>
      <c r="H74" s="41">
        <f>'WAGE RATES'!$D$10</f>
        <v>1.0285306172213804</v>
      </c>
      <c r="I74" s="41">
        <f>(H74-1)*F74</f>
        <v>0.17395209321385913</v>
      </c>
      <c r="J74" s="41">
        <f>F74*G74+I74</f>
        <v>7.8658296789756648</v>
      </c>
      <c r="K74" s="41">
        <f ca="1">C74*$J74/'MADC AUTO MODEL'!$G$6</f>
        <v>0</v>
      </c>
    </row>
    <row r="75" spans="1:11" x14ac:dyDescent="0.25">
      <c r="F75" s="41"/>
      <c r="H75" s="41"/>
      <c r="I75" s="41"/>
      <c r="J75" s="41"/>
    </row>
    <row r="76" spans="1:11" ht="13.8" thickBot="1" x14ac:dyDescent="0.3">
      <c r="F76" s="41"/>
      <c r="H76" s="41"/>
      <c r="I76" s="41"/>
      <c r="J76" s="41"/>
      <c r="K76" s="40" t="str">
        <f>"(10)"</f>
        <v>(10)</v>
      </c>
    </row>
    <row r="77" spans="1:11" ht="13.8" thickBot="1" x14ac:dyDescent="0.3">
      <c r="F77" s="41"/>
      <c r="H77" s="41"/>
      <c r="I77" s="41"/>
      <c r="J77" s="136" t="s">
        <v>205</v>
      </c>
      <c r="K77" s="137">
        <f ca="1">SUM(K11:K74)</f>
        <v>21.187226988158788</v>
      </c>
    </row>
    <row r="81" spans="1:8" x14ac:dyDescent="0.25">
      <c r="A81" s="139" t="str">
        <f>"(1)"</f>
        <v>(1)</v>
      </c>
      <c r="B81" s="1" t="s">
        <v>326</v>
      </c>
      <c r="F81" s="139" t="str">
        <f>"(6)"</f>
        <v>(6)</v>
      </c>
      <c r="G81" s="1" t="s">
        <v>236</v>
      </c>
      <c r="H81" s="33"/>
    </row>
    <row r="82" spans="1:8" x14ac:dyDescent="0.25">
      <c r="A82" s="139" t="str">
        <f>"(2)"</f>
        <v>(2)</v>
      </c>
      <c r="B82" s="1" t="s">
        <v>237</v>
      </c>
      <c r="F82" s="138" t="str">
        <f>"(7)"</f>
        <v>(7)</v>
      </c>
      <c r="G82" s="140" t="s">
        <v>209</v>
      </c>
      <c r="H82" s="33"/>
    </row>
    <row r="83" spans="1:8" x14ac:dyDescent="0.25">
      <c r="A83" s="139" t="str">
        <f>"(3)"</f>
        <v>(3)</v>
      </c>
      <c r="B83" s="1" t="s">
        <v>236</v>
      </c>
      <c r="F83" s="138" t="str">
        <f>"(8)"</f>
        <v>(8)</v>
      </c>
      <c r="G83" s="140" t="s">
        <v>211</v>
      </c>
      <c r="H83" s="33"/>
    </row>
    <row r="84" spans="1:8" x14ac:dyDescent="0.25">
      <c r="A84" s="139" t="str">
        <f>"(4)"</f>
        <v>(4)</v>
      </c>
      <c r="B84" s="1" t="s">
        <v>213</v>
      </c>
      <c r="F84" s="138" t="str">
        <f>"(9)"</f>
        <v>(9)</v>
      </c>
      <c r="G84" s="140" t="s">
        <v>212</v>
      </c>
      <c r="H84" s="33"/>
    </row>
    <row r="85" spans="1:8" x14ac:dyDescent="0.25">
      <c r="A85" s="139" t="str">
        <f>"(5)"</f>
        <v>(5)</v>
      </c>
      <c r="B85" s="1" t="s">
        <v>238</v>
      </c>
      <c r="F85" s="138" t="str">
        <f>"(10)"</f>
        <v>(10)</v>
      </c>
      <c r="G85" s="140" t="s">
        <v>214</v>
      </c>
      <c r="H85" s="33"/>
    </row>
    <row r="86" spans="1:8" x14ac:dyDescent="0.25">
      <c r="G86" s="140"/>
      <c r="H86" s="33"/>
    </row>
  </sheetData>
  <phoneticPr fontId="29" type="noConversion"/>
  <printOptions horizontalCentered="1"/>
  <pageMargins left="0.75" right="0.75" top="1" bottom="1" header="0.5" footer="0.5"/>
  <pageSetup scale="60" orientation="portrait" r:id="rId1"/>
  <headerFooter alignWithMargins="0">
    <oddFooter>&amp;CTab '&amp;A'&amp;RPage 19</oddFooter>
  </headerFooter>
  <ignoredErrors>
    <ignoredError sqref="E32 E46 E39 E53 E60 E67" formula="1"/>
  </ignoredErrors>
</worksheet>
</file>

<file path=xl/worksheets/sheet2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AD128"/>
  <sheetViews>
    <sheetView zoomScale="70" zoomScaleNormal="70" workbookViewId="0"/>
  </sheetViews>
  <sheetFormatPr defaultRowHeight="13.2" x14ac:dyDescent="0.25"/>
  <cols>
    <col min="1" max="3" width="10.77734375" style="19" customWidth="1"/>
    <col min="4" max="4" width="10.77734375" style="58" customWidth="1"/>
    <col min="5" max="6" width="10.77734375" style="19" customWidth="1"/>
    <col min="7" max="7" width="15.77734375" style="19" customWidth="1"/>
    <col min="8" max="8" width="10.77734375" style="19" customWidth="1"/>
    <col min="9" max="9" width="10.77734375" style="58" customWidth="1"/>
    <col min="10" max="12" width="10.77734375" style="19" customWidth="1"/>
    <col min="13" max="13" width="10.77734375" customWidth="1"/>
    <col min="14" max="14" width="10.77734375" style="19" customWidth="1"/>
    <col min="15" max="16" width="10.77734375" style="58" customWidth="1"/>
    <col min="17" max="18" width="10.77734375" style="19" customWidth="1"/>
    <col min="19" max="19" width="10.77734375" customWidth="1"/>
    <col min="20" max="20" width="10.77734375" style="19" customWidth="1"/>
    <col min="21" max="21" width="10.77734375" style="58" customWidth="1"/>
    <col min="22" max="30" width="10.77734375" style="19" customWidth="1"/>
    <col min="31" max="34" width="10.77734375" customWidth="1"/>
  </cols>
  <sheetData>
    <row r="1" spans="1:30" ht="28.2" x14ac:dyDescent="0.5">
      <c r="A1" s="56" t="str">
        <f>'MADC AUTO COST'!A1</f>
        <v>MADC AUTO PRESORT</v>
      </c>
    </row>
    <row r="2" spans="1:30" ht="22.8" x14ac:dyDescent="0.4">
      <c r="A2" s="57" t="s">
        <v>239</v>
      </c>
    </row>
    <row r="6" spans="1:30" ht="17.399999999999999" x14ac:dyDescent="0.3">
      <c r="A6" s="47" t="s">
        <v>240</v>
      </c>
      <c r="B6" s="17"/>
      <c r="C6" s="48">
        <f>SUM(C11:C16)+SUM(G11:G16)+SUM(K11:K16)+SUM(O11:O16)</f>
        <v>10000</v>
      </c>
      <c r="E6" s="47" t="s">
        <v>241</v>
      </c>
      <c r="F6" s="17"/>
      <c r="G6" s="48">
        <f ca="1">D88+J88+O88+D100+D127</f>
        <v>9999.9999999999891</v>
      </c>
      <c r="H6" s="17"/>
      <c r="J6" s="17"/>
      <c r="K6" s="17"/>
      <c r="O6" s="47"/>
      <c r="P6" s="47"/>
      <c r="Q6" s="17"/>
      <c r="R6" s="17"/>
      <c r="V6" s="17"/>
      <c r="W6" s="17"/>
      <c r="X6" s="17"/>
      <c r="Y6" s="17"/>
      <c r="AA6" s="17"/>
      <c r="AC6" s="17"/>
      <c r="AD6" s="17"/>
    </row>
    <row r="9" spans="1:30" x14ac:dyDescent="0.25">
      <c r="E9" s="17"/>
      <c r="H9" s="17"/>
      <c r="J9" s="17"/>
      <c r="K9" s="17"/>
      <c r="N9" s="17"/>
      <c r="Q9" s="17"/>
      <c r="R9" s="17"/>
      <c r="V9" s="17"/>
      <c r="W9" s="17"/>
      <c r="X9" s="17"/>
      <c r="Y9" s="17"/>
      <c r="AA9" s="17"/>
      <c r="AC9" s="17"/>
      <c r="AD9" s="17"/>
    </row>
    <row r="10" spans="1:30" ht="17.399999999999999" x14ac:dyDescent="0.3">
      <c r="A10" s="49" t="s">
        <v>242</v>
      </c>
      <c r="E10" s="17"/>
      <c r="G10" s="18"/>
      <c r="H10" s="26"/>
      <c r="J10" s="17"/>
      <c r="K10" s="17"/>
      <c r="N10" s="17"/>
      <c r="O10" s="60"/>
      <c r="Q10" s="17"/>
      <c r="R10" s="17"/>
      <c r="V10" s="17"/>
      <c r="W10" s="17"/>
      <c r="X10" s="17"/>
      <c r="Y10" s="17"/>
      <c r="AA10" s="17"/>
      <c r="AC10" s="17"/>
      <c r="AD10" s="17"/>
    </row>
    <row r="11" spans="1:30" x14ac:dyDescent="0.25">
      <c r="A11" s="25"/>
      <c r="B11" s="66" t="s">
        <v>243</v>
      </c>
      <c r="C11" s="67">
        <f>'ENTRY PROFILE'!H39+'ENTRY PROFILE'!I39+'ENTRY PROFILE'!X40</f>
        <v>10000</v>
      </c>
      <c r="D11" s="59"/>
      <c r="E11" s="28"/>
      <c r="F11" s="61" t="s">
        <v>244</v>
      </c>
      <c r="G11" s="63">
        <v>0</v>
      </c>
      <c r="I11" s="27"/>
      <c r="J11" s="72" t="s">
        <v>245</v>
      </c>
      <c r="K11" s="73">
        <f>'ENTRY PROFILE'!H41+'ENTRY PROFILE'!I41+'ENTRY PROFILE'!X42</f>
        <v>0</v>
      </c>
      <c r="L11" s="59"/>
      <c r="M11" s="28"/>
      <c r="N11" s="78" t="s">
        <v>246</v>
      </c>
      <c r="O11" s="79">
        <v>0</v>
      </c>
      <c r="P11" s="141"/>
      <c r="Q11" s="17"/>
      <c r="R11" s="17"/>
      <c r="V11" s="17"/>
      <c r="W11" s="17"/>
      <c r="X11" s="17"/>
      <c r="Y11" s="17"/>
      <c r="AA11" s="17"/>
      <c r="AC11" s="17"/>
      <c r="AD11" s="17"/>
    </row>
    <row r="12" spans="1:30" x14ac:dyDescent="0.25">
      <c r="A12" s="21"/>
      <c r="B12" s="68" t="s">
        <v>247</v>
      </c>
      <c r="C12" s="69">
        <v>0</v>
      </c>
      <c r="E12" s="17"/>
      <c r="F12" s="62" t="s">
        <v>248</v>
      </c>
      <c r="G12" s="63">
        <v>0</v>
      </c>
      <c r="I12" s="19"/>
      <c r="J12" s="74" t="s">
        <v>249</v>
      </c>
      <c r="K12" s="75">
        <v>0</v>
      </c>
      <c r="L12" s="58"/>
      <c r="M12" s="17"/>
      <c r="N12" s="80" t="s">
        <v>250</v>
      </c>
      <c r="O12" s="81">
        <v>0</v>
      </c>
      <c r="P12" s="141"/>
      <c r="Q12" s="17"/>
      <c r="R12" s="17"/>
      <c r="V12" s="17"/>
      <c r="W12" s="17"/>
      <c r="X12" s="17"/>
      <c r="Y12" s="17"/>
      <c r="AA12" s="17"/>
      <c r="AC12" s="17"/>
      <c r="AD12" s="17"/>
    </row>
    <row r="13" spans="1:30" x14ac:dyDescent="0.25">
      <c r="A13" s="21"/>
      <c r="B13" s="68" t="s">
        <v>251</v>
      </c>
      <c r="C13" s="69">
        <v>0</v>
      </c>
      <c r="E13" s="17"/>
      <c r="F13" s="62" t="s">
        <v>252</v>
      </c>
      <c r="G13" s="63">
        <v>0</v>
      </c>
      <c r="I13" s="19"/>
      <c r="J13" s="74" t="s">
        <v>253</v>
      </c>
      <c r="K13" s="75">
        <v>0</v>
      </c>
      <c r="L13" s="58"/>
      <c r="M13" s="17"/>
      <c r="N13" s="80" t="s">
        <v>254</v>
      </c>
      <c r="O13" s="81">
        <v>0</v>
      </c>
      <c r="P13" s="141"/>
      <c r="Q13" s="17"/>
      <c r="R13" s="17"/>
      <c r="V13" s="17"/>
      <c r="W13" s="17"/>
      <c r="X13" s="17"/>
      <c r="Y13" s="17"/>
      <c r="AA13" s="17"/>
      <c r="AC13" s="17"/>
      <c r="AD13" s="17"/>
    </row>
    <row r="14" spans="1:30" x14ac:dyDescent="0.25">
      <c r="A14" s="21"/>
      <c r="B14" s="68" t="s">
        <v>255</v>
      </c>
      <c r="C14" s="69">
        <v>0</v>
      </c>
      <c r="E14" s="17"/>
      <c r="F14" s="62" t="s">
        <v>256</v>
      </c>
      <c r="G14" s="63">
        <v>0</v>
      </c>
      <c r="I14" s="19"/>
      <c r="J14" s="74" t="s">
        <v>257</v>
      </c>
      <c r="K14" s="75">
        <v>0</v>
      </c>
      <c r="L14" s="58"/>
      <c r="M14" s="17"/>
      <c r="N14" s="80" t="s">
        <v>258</v>
      </c>
      <c r="O14" s="81">
        <v>0</v>
      </c>
      <c r="P14" s="141"/>
      <c r="Q14" s="17"/>
      <c r="R14" s="17"/>
      <c r="V14" s="17"/>
      <c r="W14" s="17"/>
      <c r="X14" s="17"/>
      <c r="Y14" s="17"/>
      <c r="AA14" s="17"/>
      <c r="AC14" s="17"/>
      <c r="AD14" s="17"/>
    </row>
    <row r="15" spans="1:30" x14ac:dyDescent="0.25">
      <c r="A15" s="21"/>
      <c r="B15" s="68" t="s">
        <v>259</v>
      </c>
      <c r="C15" s="69">
        <v>0</v>
      </c>
      <c r="E15" s="17"/>
      <c r="F15" s="62" t="s">
        <v>260</v>
      </c>
      <c r="G15" s="63">
        <v>0</v>
      </c>
      <c r="I15" s="19"/>
      <c r="J15" s="74" t="s">
        <v>261</v>
      </c>
      <c r="K15" s="75">
        <v>0</v>
      </c>
      <c r="L15" s="58"/>
      <c r="M15" s="17"/>
      <c r="N15" s="80" t="s">
        <v>262</v>
      </c>
      <c r="O15" s="81">
        <v>0</v>
      </c>
      <c r="P15" s="141"/>
      <c r="Q15" s="17"/>
      <c r="R15" s="17"/>
      <c r="V15" s="17"/>
      <c r="W15" s="17"/>
      <c r="X15" s="17"/>
      <c r="Y15" s="17"/>
      <c r="AA15" s="17"/>
      <c r="AC15" s="17"/>
      <c r="AD15" s="17"/>
    </row>
    <row r="16" spans="1:30" x14ac:dyDescent="0.25">
      <c r="A16" s="20"/>
      <c r="B16" s="70" t="s">
        <v>263</v>
      </c>
      <c r="C16" s="71">
        <v>0</v>
      </c>
      <c r="D16" s="60"/>
      <c r="E16" s="26"/>
      <c r="F16" s="64" t="s">
        <v>264</v>
      </c>
      <c r="G16" s="65">
        <v>0</v>
      </c>
      <c r="H16" s="18"/>
      <c r="I16" s="18"/>
      <c r="J16" s="76" t="s">
        <v>265</v>
      </c>
      <c r="K16" s="77">
        <v>0</v>
      </c>
      <c r="L16" s="60"/>
      <c r="M16" s="26"/>
      <c r="N16" s="82" t="s">
        <v>266</v>
      </c>
      <c r="O16" s="83">
        <v>0</v>
      </c>
      <c r="P16" s="141"/>
      <c r="Q16" s="17"/>
      <c r="R16" s="17"/>
      <c r="V16" s="17"/>
      <c r="W16" s="17"/>
      <c r="X16" s="17"/>
      <c r="Y16" s="17"/>
      <c r="AA16" s="17"/>
      <c r="AC16" s="17"/>
      <c r="AD16" s="17"/>
    </row>
    <row r="20" spans="1:30" x14ac:dyDescent="0.25">
      <c r="A20" s="103"/>
      <c r="B20" s="105"/>
      <c r="C20" s="105"/>
      <c r="D20" s="106"/>
      <c r="E20" s="105"/>
      <c r="F20" s="105"/>
      <c r="G20" s="103"/>
      <c r="H20" s="104"/>
      <c r="I20" s="105"/>
      <c r="J20" s="106"/>
      <c r="K20" s="105"/>
      <c r="L20" s="105"/>
      <c r="M20" s="104"/>
      <c r="N20" s="105"/>
      <c r="O20" s="106"/>
      <c r="P20" s="105"/>
      <c r="Q20" s="107"/>
      <c r="S20" s="19"/>
      <c r="U20" s="19"/>
      <c r="Y20"/>
      <c r="Z20"/>
      <c r="AA20"/>
      <c r="AB20"/>
      <c r="AC20"/>
      <c r="AD20"/>
    </row>
    <row r="21" spans="1:30" s="125" customFormat="1" ht="22.8" x14ac:dyDescent="0.4">
      <c r="A21" s="177"/>
      <c r="B21" s="123"/>
      <c r="C21" s="127" t="s">
        <v>267</v>
      </c>
      <c r="D21" s="123"/>
      <c r="E21" s="57"/>
      <c r="F21" s="127"/>
      <c r="G21" s="122"/>
      <c r="H21" s="57"/>
      <c r="I21" s="123"/>
      <c r="J21" s="57"/>
      <c r="K21" s="57"/>
      <c r="L21" s="127" t="s">
        <v>268</v>
      </c>
      <c r="M21" s="57"/>
      <c r="N21" s="123"/>
      <c r="O21" s="57"/>
      <c r="P21" s="57"/>
      <c r="Q21" s="124"/>
      <c r="R21" s="57"/>
      <c r="S21" s="57"/>
      <c r="T21" s="57"/>
      <c r="U21" s="57"/>
      <c r="V21" s="57"/>
      <c r="W21" s="57"/>
      <c r="X21" s="57"/>
    </row>
    <row r="22" spans="1:30" s="125" customFormat="1" ht="22.8" x14ac:dyDescent="0.4">
      <c r="A22" s="122"/>
      <c r="B22" s="57"/>
      <c r="C22" s="57"/>
      <c r="D22" s="123"/>
      <c r="E22" s="57"/>
      <c r="F22" s="127"/>
      <c r="G22" s="122"/>
      <c r="H22" s="57"/>
      <c r="I22" s="123"/>
      <c r="J22" s="57"/>
      <c r="K22" s="57"/>
      <c r="M22" s="57"/>
      <c r="N22" s="123"/>
      <c r="O22" s="57"/>
      <c r="P22" s="57"/>
      <c r="Q22" s="124"/>
      <c r="R22" s="57"/>
      <c r="S22" s="57"/>
      <c r="T22" s="57"/>
      <c r="U22" s="57"/>
      <c r="V22" s="57"/>
      <c r="W22" s="57"/>
      <c r="X22" s="57"/>
    </row>
    <row r="23" spans="1:30" x14ac:dyDescent="0.25">
      <c r="A23" s="113"/>
      <c r="D23" s="96">
        <f>SUM(A25:A29)*(1-'ACCEPT RATES'!G14)+SUM(C25:C29)*SUM('ACCEPT RATES'!I14:J14)</f>
        <v>467.8409843063701</v>
      </c>
      <c r="E23" s="23" t="s">
        <v>269</v>
      </c>
      <c r="G23" s="121"/>
      <c r="I23" s="23"/>
      <c r="J23" s="96">
        <f>SUM(G25:G29)*(1-'ACCEPT RATES'!E19)</f>
        <v>0</v>
      </c>
      <c r="K23" s="23" t="s">
        <v>269</v>
      </c>
      <c r="L23"/>
      <c r="M23" s="19"/>
      <c r="P23" s="23"/>
      <c r="Q23" s="108"/>
      <c r="S23" s="19"/>
      <c r="U23" s="19"/>
      <c r="Y23"/>
      <c r="Z23"/>
      <c r="AA23"/>
      <c r="AB23"/>
      <c r="AC23"/>
      <c r="AD23"/>
    </row>
    <row r="24" spans="1:30" x14ac:dyDescent="0.25">
      <c r="A24" s="126" t="s">
        <v>270</v>
      </c>
      <c r="B24" s="86" t="s">
        <v>271</v>
      </c>
      <c r="C24" s="87"/>
      <c r="D24" s="119"/>
      <c r="E24" s="23" t="s">
        <v>272</v>
      </c>
      <c r="G24" s="126" t="s">
        <v>273</v>
      </c>
      <c r="H24" s="86" t="s">
        <v>274</v>
      </c>
      <c r="I24" s="87"/>
      <c r="J24" s="99"/>
      <c r="K24" s="22" t="s">
        <v>272</v>
      </c>
      <c r="L24"/>
      <c r="M24" s="86" t="s">
        <v>275</v>
      </c>
      <c r="N24" s="87"/>
      <c r="P24" s="19"/>
      <c r="Q24" s="108"/>
      <c r="S24" s="19"/>
      <c r="U24" s="19"/>
      <c r="Y24"/>
      <c r="Z24"/>
      <c r="AA24"/>
      <c r="AB24"/>
      <c r="AC24"/>
      <c r="AD24"/>
    </row>
    <row r="25" spans="1:30" x14ac:dyDescent="0.25">
      <c r="A25" s="120">
        <f>B25*(1-'ACCEPT RATES'!C14)</f>
        <v>620.78311290010402</v>
      </c>
      <c r="B25" s="29">
        <f>C25*(1+'ACCEPT RATES'!F14)</f>
        <v>10127.024086408985</v>
      </c>
      <c r="C25" s="50">
        <f>C11*('COVERAGE FACTORS'!C15+'COVERAGE FACTORS'!C19)</f>
        <v>9999.9539464188456</v>
      </c>
      <c r="E25" s="23" t="s">
        <v>200</v>
      </c>
      <c r="G25" s="178">
        <f>H25*(1-'ACCEPT RATES'!C19)</f>
        <v>0</v>
      </c>
      <c r="H25" s="29">
        <f>I25</f>
        <v>0</v>
      </c>
      <c r="I25" s="50">
        <f>C11*'COVERAGE FACTORS'!C17</f>
        <v>0</v>
      </c>
      <c r="J25" s="22"/>
      <c r="K25" s="22" t="s">
        <v>200</v>
      </c>
      <c r="L25"/>
      <c r="M25" s="29">
        <f>N25</f>
        <v>4.6053581159079982E-2</v>
      </c>
      <c r="N25" s="50">
        <f>C11*'COVERAGE FACTORS'!C21</f>
        <v>4.6053581159079982E-2</v>
      </c>
      <c r="P25" s="19"/>
      <c r="Q25" s="108"/>
      <c r="S25" s="19"/>
      <c r="U25" s="19"/>
      <c r="Y25"/>
      <c r="Z25"/>
      <c r="AA25"/>
      <c r="AB25"/>
      <c r="AC25"/>
      <c r="AD25"/>
    </row>
    <row r="26" spans="1:30" x14ac:dyDescent="0.25">
      <c r="A26" s="179">
        <f>B26*(1-'ACCEPT RATES'!D14)</f>
        <v>0</v>
      </c>
      <c r="B26" s="85">
        <f>C26*(1+'ACCEPT RATES'!F14)</f>
        <v>0</v>
      </c>
      <c r="C26" s="84">
        <f>G11*('COVERAGE FACTORS'!C15+'COVERAGE FACTORS'!C19)</f>
        <v>0</v>
      </c>
      <c r="G26" s="179">
        <f>H26*(1-'ACCEPT RATES'!D19)</f>
        <v>0</v>
      </c>
      <c r="H26" s="85">
        <f>I26</f>
        <v>0</v>
      </c>
      <c r="I26" s="84">
        <f>G11*'COVERAGE FACTORS'!C17</f>
        <v>0</v>
      </c>
      <c r="J26" s="58"/>
      <c r="L26"/>
      <c r="M26" s="85">
        <f>N26</f>
        <v>0</v>
      </c>
      <c r="N26" s="84">
        <f>G11*'COVERAGE FACTORS'!C21</f>
        <v>0</v>
      </c>
      <c r="P26" s="19"/>
      <c r="Q26" s="108"/>
      <c r="S26" s="19"/>
      <c r="U26" s="19"/>
      <c r="Y26"/>
      <c r="Z26"/>
      <c r="AA26"/>
      <c r="AB26"/>
      <c r="AC26"/>
      <c r="AD26"/>
    </row>
    <row r="27" spans="1:30" x14ac:dyDescent="0.25">
      <c r="A27" s="121"/>
      <c r="B27" s="85"/>
      <c r="C27" s="84"/>
      <c r="G27" s="109">
        <f>H27*(1-'ACCEPT RATES'!C19)</f>
        <v>0</v>
      </c>
      <c r="H27" s="89">
        <f>I27</f>
        <v>0</v>
      </c>
      <c r="I27" s="90">
        <f>K11*('COVERAGE FACTORS'!C17+'COVERAGE FACTORS'!C19)</f>
        <v>0</v>
      </c>
      <c r="J27" s="58"/>
      <c r="L27"/>
      <c r="M27" s="89">
        <f>N27</f>
        <v>0</v>
      </c>
      <c r="N27" s="90">
        <f>K11*(1-('COVERAGE FACTORS'!C17+'COVERAGE FACTORS'!C19))</f>
        <v>0</v>
      </c>
      <c r="P27" s="19"/>
      <c r="Q27" s="108"/>
      <c r="S27" s="19"/>
      <c r="U27" s="19"/>
      <c r="Y27"/>
      <c r="Z27"/>
      <c r="AA27"/>
      <c r="AB27"/>
      <c r="AC27"/>
      <c r="AD27"/>
    </row>
    <row r="28" spans="1:30" x14ac:dyDescent="0.25">
      <c r="A28" s="121"/>
      <c r="B28" s="85"/>
      <c r="C28" s="84"/>
      <c r="G28" s="110">
        <f>H28*(1-'ACCEPT RATES'!D19)</f>
        <v>0</v>
      </c>
      <c r="H28" s="94">
        <f>I28</f>
        <v>0</v>
      </c>
      <c r="I28" s="92">
        <f>O11*('COVERAGE FACTORS'!C17+'COVERAGE FACTORS'!C19)</f>
        <v>0</v>
      </c>
      <c r="J28" s="58"/>
      <c r="L28"/>
      <c r="M28" s="94">
        <f>N28</f>
        <v>0</v>
      </c>
      <c r="N28" s="92">
        <f>O11*(1-('COVERAGE FACTORS'!C17+'COVERAGE FACTORS'!C19))</f>
        <v>0</v>
      </c>
      <c r="P28" s="19"/>
      <c r="Q28" s="108"/>
      <c r="S28" s="19"/>
      <c r="U28" s="19"/>
      <c r="Y28"/>
      <c r="Z28"/>
      <c r="AA28"/>
      <c r="AB28"/>
      <c r="AC28"/>
      <c r="AD28"/>
    </row>
    <row r="29" spans="1:30" x14ac:dyDescent="0.25">
      <c r="A29" s="180"/>
      <c r="B29" s="20"/>
      <c r="C29" s="34"/>
      <c r="G29" s="111"/>
      <c r="H29" s="44"/>
      <c r="I29" s="34"/>
      <c r="J29" s="58"/>
      <c r="L29"/>
      <c r="M29" s="101">
        <f>N29</f>
        <v>467.8409843063701</v>
      </c>
      <c r="N29" s="100">
        <f>D23+J23</f>
        <v>467.8409843063701</v>
      </c>
      <c r="P29" s="19"/>
      <c r="Q29" s="108"/>
      <c r="S29" s="19"/>
      <c r="U29" s="19"/>
      <c r="Y29"/>
      <c r="Z29"/>
      <c r="AA29"/>
      <c r="AB29"/>
      <c r="AC29"/>
      <c r="AD29"/>
    </row>
    <row r="30" spans="1:30" x14ac:dyDescent="0.25">
      <c r="A30" s="113"/>
      <c r="C30" s="97"/>
      <c r="D30" s="364">
        <f>(SUM(C25:C29)-D23)*'PIECE DENSITIES'!C6</f>
        <v>1220.58946369724</v>
      </c>
      <c r="E30" s="23" t="s">
        <v>276</v>
      </c>
      <c r="G30" s="113"/>
      <c r="I30" s="98"/>
      <c r="J30" s="181">
        <f>(SUM(I25:I29)-J23)*'PIECE DENSITIES'!C11</f>
        <v>0</v>
      </c>
      <c r="K30" s="23" t="s">
        <v>277</v>
      </c>
      <c r="L30"/>
      <c r="M30" s="19"/>
      <c r="O30" s="95">
        <f>SUM(N25:N29)*'PIECE DENSITIES'!C16</f>
        <v>41.865469877498107</v>
      </c>
      <c r="P30" s="23" t="s">
        <v>278</v>
      </c>
      <c r="Q30" s="108"/>
      <c r="S30" s="19"/>
      <c r="U30" s="19"/>
      <c r="Y30"/>
      <c r="Z30"/>
      <c r="AA30"/>
      <c r="AB30"/>
      <c r="AC30"/>
      <c r="AD30"/>
    </row>
    <row r="31" spans="1:30" x14ac:dyDescent="0.25">
      <c r="A31" s="113"/>
      <c r="C31" s="97"/>
      <c r="D31" s="364">
        <f>(SUM(C25:C29)-D23)*'PIECE DENSITIES'!D6</f>
        <v>4940.581179279895</v>
      </c>
      <c r="E31" s="23" t="s">
        <v>279</v>
      </c>
      <c r="G31" s="113"/>
      <c r="I31" s="98"/>
      <c r="J31" s="181">
        <f>(SUM(I25:I29)-J23)*'PIECE DENSITIES'!D11</f>
        <v>0</v>
      </c>
      <c r="K31" s="23" t="s">
        <v>280</v>
      </c>
      <c r="L31"/>
      <c r="M31" s="19"/>
      <c r="O31" s="95">
        <f>SUM(N25:N29)*'PIECE DENSITIES'!D16</f>
        <v>271.67943551779757</v>
      </c>
      <c r="P31" s="23" t="s">
        <v>281</v>
      </c>
      <c r="Q31" s="108"/>
      <c r="S31" s="19"/>
      <c r="U31" s="19"/>
      <c r="Y31"/>
      <c r="Z31"/>
      <c r="AA31"/>
      <c r="AB31"/>
      <c r="AC31"/>
      <c r="AD31"/>
    </row>
    <row r="32" spans="1:30" x14ac:dyDescent="0.25">
      <c r="A32" s="113"/>
      <c r="C32" s="88"/>
      <c r="D32" s="365">
        <f>(SUM(C25:C29)-D23)*'PIECE DENSITIES'!E6</f>
        <v>2668.2648098316108</v>
      </c>
      <c r="E32" s="23" t="s">
        <v>282</v>
      </c>
      <c r="G32" s="113"/>
      <c r="I32" s="93"/>
      <c r="J32" s="182">
        <f>(SUM(I25:I29)-J23)*'PIECE DENSITIES'!E11</f>
        <v>0</v>
      </c>
      <c r="K32" s="23" t="s">
        <v>283</v>
      </c>
      <c r="L32"/>
      <c r="M32" s="19"/>
      <c r="N32" s="45"/>
      <c r="O32" s="96">
        <f>SUM(N25:N29)*'PIECE DENSITIES'!E16</f>
        <v>119.6888110038016</v>
      </c>
      <c r="P32" s="23" t="s">
        <v>284</v>
      </c>
      <c r="Q32" s="108"/>
      <c r="S32" s="19"/>
      <c r="U32" s="19"/>
      <c r="Y32"/>
      <c r="Z32"/>
      <c r="AA32"/>
      <c r="AB32"/>
      <c r="AC32"/>
      <c r="AD32"/>
    </row>
    <row r="33" spans="1:30" x14ac:dyDescent="0.25">
      <c r="A33" s="113"/>
      <c r="C33" s="88"/>
      <c r="D33" s="365">
        <f>(SUM(C25:C29)-D23)*'PIECE DENSITIES'!F6</f>
        <v>702.67750930372949</v>
      </c>
      <c r="E33" s="23" t="s">
        <v>285</v>
      </c>
      <c r="G33" s="113"/>
      <c r="I33" s="93"/>
      <c r="J33" s="182">
        <f>(SUM(I25:I29)-J23)*'PIECE DENSITIES'!F11</f>
        <v>0</v>
      </c>
      <c r="K33" s="23" t="s">
        <v>286</v>
      </c>
      <c r="L33"/>
      <c r="M33" s="19"/>
      <c r="N33" s="45"/>
      <c r="O33" s="96">
        <f>SUM(N25:N29)*'PIECE DENSITIES'!F16</f>
        <v>34.653321488431935</v>
      </c>
      <c r="P33" s="23" t="s">
        <v>287</v>
      </c>
      <c r="Q33" s="108"/>
      <c r="S33" s="19"/>
      <c r="U33" s="19"/>
      <c r="Y33"/>
      <c r="Z33"/>
      <c r="AA33"/>
      <c r="AB33"/>
      <c r="AC33"/>
      <c r="AD33"/>
    </row>
    <row r="34" spans="1:30" x14ac:dyDescent="0.25">
      <c r="A34" s="113"/>
      <c r="C34" s="88"/>
      <c r="D34" s="365">
        <f>(SUM(C25:C29)-D23)*'PIECE DENSITIES'!G6</f>
        <v>0</v>
      </c>
      <c r="E34" s="23" t="s">
        <v>288</v>
      </c>
      <c r="G34" s="113"/>
      <c r="I34" s="93"/>
      <c r="J34" s="182">
        <f>(SUM(I25:I29)-J23)*'PIECE DENSITIES'!G11</f>
        <v>0</v>
      </c>
      <c r="K34" s="23" t="s">
        <v>289</v>
      </c>
      <c r="L34"/>
      <c r="M34" s="19"/>
      <c r="N34" s="45"/>
      <c r="O34" s="96">
        <f>SUM(N25:N29)*'PIECE DENSITIES'!G16</f>
        <v>0</v>
      </c>
      <c r="P34" s="23" t="s">
        <v>290</v>
      </c>
      <c r="Q34" s="108"/>
      <c r="S34" s="19"/>
      <c r="U34" s="19"/>
      <c r="Y34"/>
      <c r="Z34"/>
      <c r="AA34"/>
      <c r="AB34"/>
      <c r="AC34"/>
      <c r="AD34"/>
    </row>
    <row r="35" spans="1:30" x14ac:dyDescent="0.25">
      <c r="A35" s="113"/>
      <c r="G35" s="113"/>
      <c r="I35" s="19"/>
      <c r="J35" s="58"/>
      <c r="L35"/>
      <c r="M35" s="19"/>
      <c r="P35" s="19"/>
      <c r="Q35" s="108"/>
      <c r="S35" s="19"/>
      <c r="U35" s="19"/>
      <c r="Y35"/>
      <c r="Z35"/>
      <c r="AA35"/>
      <c r="AB35"/>
      <c r="AC35"/>
      <c r="AD35"/>
    </row>
    <row r="36" spans="1:30" x14ac:dyDescent="0.25">
      <c r="A36" s="113"/>
      <c r="D36" s="96">
        <f>SUM(A38:A42)*(1-'ACCEPT RATES'!G15)+SUM(C38:C42)*SUM('ACCEPT RATES'!I15:J15)</f>
        <v>113.269736018514</v>
      </c>
      <c r="E36" s="23" t="s">
        <v>269</v>
      </c>
      <c r="G36" s="121"/>
      <c r="I36" s="23"/>
      <c r="J36" s="96">
        <f>SUM(G38:G42)*(1-'ACCEPT RATES'!E20)</f>
        <v>0</v>
      </c>
      <c r="K36" s="23" t="s">
        <v>269</v>
      </c>
      <c r="L36"/>
      <c r="M36" s="19"/>
      <c r="P36" s="23"/>
      <c r="Q36" s="108"/>
      <c r="S36" s="19"/>
      <c r="U36" s="19"/>
      <c r="Y36"/>
      <c r="Z36"/>
      <c r="AA36"/>
      <c r="AB36"/>
      <c r="AC36"/>
      <c r="AD36"/>
    </row>
    <row r="37" spans="1:30" x14ac:dyDescent="0.25">
      <c r="A37" s="126" t="s">
        <v>270</v>
      </c>
      <c r="B37" s="86" t="s">
        <v>291</v>
      </c>
      <c r="C37" s="87"/>
      <c r="D37" s="119"/>
      <c r="E37" s="23" t="s">
        <v>292</v>
      </c>
      <c r="G37" s="126" t="s">
        <v>273</v>
      </c>
      <c r="H37" s="86" t="s">
        <v>293</v>
      </c>
      <c r="I37" s="87"/>
      <c r="J37" s="99"/>
      <c r="K37" s="22" t="s">
        <v>292</v>
      </c>
      <c r="L37"/>
      <c r="M37" s="86" t="s">
        <v>278</v>
      </c>
      <c r="N37" s="87"/>
      <c r="P37" s="19"/>
      <c r="Q37" s="108"/>
      <c r="S37" s="19"/>
      <c r="U37" s="19"/>
      <c r="Y37"/>
      <c r="Z37"/>
      <c r="AA37"/>
      <c r="AB37"/>
      <c r="AC37"/>
      <c r="AD37"/>
    </row>
    <row r="38" spans="1:30" x14ac:dyDescent="0.25">
      <c r="A38" s="120">
        <f>B38*(1-'ACCEPT RATES'!C15)</f>
        <v>0</v>
      </c>
      <c r="B38" s="29">
        <f>C38*(1+'ACCEPT RATES'!F15+'PIECE DENSITIES'!C7)</f>
        <v>0</v>
      </c>
      <c r="C38" s="50">
        <f>C12*('COVERAGE FACTORS'!C15+'COVERAGE FACTORS'!C19)</f>
        <v>0</v>
      </c>
      <c r="E38" s="23" t="s">
        <v>200</v>
      </c>
      <c r="G38" s="178">
        <f>H38*(1-'ACCEPT RATES'!C20)</f>
        <v>0</v>
      </c>
      <c r="H38" s="29">
        <f>I38*(1+'PIECE DENSITIES'!C12)</f>
        <v>0</v>
      </c>
      <c r="I38" s="50">
        <f>C12*'COVERAGE FACTORS'!C17</f>
        <v>0</v>
      </c>
      <c r="J38" s="22"/>
      <c r="K38" s="22" t="s">
        <v>200</v>
      </c>
      <c r="L38"/>
      <c r="M38" s="29">
        <f>N38</f>
        <v>0</v>
      </c>
      <c r="N38" s="50">
        <f>C12*'COVERAGE FACTORS'!C21</f>
        <v>0</v>
      </c>
      <c r="P38" s="19"/>
      <c r="Q38" s="108"/>
      <c r="S38" s="19"/>
      <c r="U38" s="19"/>
      <c r="Y38"/>
      <c r="Z38"/>
      <c r="AA38"/>
      <c r="AB38"/>
      <c r="AC38"/>
      <c r="AD38"/>
    </row>
    <row r="39" spans="1:30" x14ac:dyDescent="0.25">
      <c r="A39" s="179">
        <f>B39*(1-'ACCEPT RATES'!D15)</f>
        <v>0</v>
      </c>
      <c r="B39" s="85">
        <f>C39*(1+'ACCEPT RATES'!F15+'PIECE DENSITIES'!C7)</f>
        <v>0</v>
      </c>
      <c r="C39" s="84">
        <f>G12*('COVERAGE FACTORS'!C15+'COVERAGE FACTORS'!C19)</f>
        <v>0</v>
      </c>
      <c r="G39" s="179">
        <f>H39*(1-'ACCEPT RATES'!D20)</f>
        <v>0</v>
      </c>
      <c r="H39" s="85">
        <f>I39*(1+'PIECE DENSITIES'!C12)</f>
        <v>0</v>
      </c>
      <c r="I39" s="84">
        <f>G12*'COVERAGE FACTORS'!C17</f>
        <v>0</v>
      </c>
      <c r="J39" s="58"/>
      <c r="L39"/>
      <c r="M39" s="85">
        <f>N39</f>
        <v>0</v>
      </c>
      <c r="N39" s="84">
        <f>G12*'COVERAGE FACTORS'!C21</f>
        <v>0</v>
      </c>
      <c r="P39" s="19"/>
      <c r="Q39" s="108"/>
      <c r="S39" s="19"/>
      <c r="U39" s="19"/>
      <c r="Y39"/>
      <c r="Z39"/>
      <c r="AA39"/>
      <c r="AB39"/>
      <c r="AC39"/>
      <c r="AD39"/>
    </row>
    <row r="40" spans="1:30" x14ac:dyDescent="0.25">
      <c r="A40" s="121"/>
      <c r="B40" s="85"/>
      <c r="C40" s="84"/>
      <c r="G40" s="109">
        <f>H40*(1-'ACCEPT RATES'!C20)</f>
        <v>0</v>
      </c>
      <c r="H40" s="89">
        <f>I40*(1+'PIECE DENSITIES'!C12)</f>
        <v>0</v>
      </c>
      <c r="I40" s="90">
        <f>K12*('COVERAGE FACTORS'!C17+'COVERAGE FACTORS'!C19)</f>
        <v>0</v>
      </c>
      <c r="J40" s="58"/>
      <c r="L40"/>
      <c r="M40" s="89">
        <f>N40</f>
        <v>0</v>
      </c>
      <c r="N40" s="90">
        <f>K12*(1-('COVERAGE FACTORS'!C17+'COVERAGE FACTORS'!C19))</f>
        <v>0</v>
      </c>
      <c r="P40" s="19"/>
      <c r="Q40" s="108"/>
      <c r="S40" s="19"/>
      <c r="U40" s="19"/>
      <c r="Y40"/>
      <c r="Z40"/>
      <c r="AA40"/>
      <c r="AB40"/>
      <c r="AC40"/>
      <c r="AD40"/>
    </row>
    <row r="41" spans="1:30" x14ac:dyDescent="0.25">
      <c r="A41" s="121"/>
      <c r="B41" s="85"/>
      <c r="C41" s="84"/>
      <c r="G41" s="110">
        <f>H41*(1-'ACCEPT RATES'!D20)</f>
        <v>0</v>
      </c>
      <c r="H41" s="94">
        <f>I41*(1+'PIECE DENSITIES'!C12)</f>
        <v>0</v>
      </c>
      <c r="I41" s="92">
        <f>O12*('COVERAGE FACTORS'!C17+'COVERAGE FACTORS'!C19)</f>
        <v>0</v>
      </c>
      <c r="J41" s="58"/>
      <c r="L41"/>
      <c r="M41" s="94">
        <f>N41</f>
        <v>0</v>
      </c>
      <c r="N41" s="92">
        <f>O12*(1-('COVERAGE FACTORS'!C17+'COVERAGE FACTORS'!C19))</f>
        <v>0</v>
      </c>
      <c r="P41" s="19"/>
      <c r="Q41" s="108"/>
      <c r="S41" s="19"/>
      <c r="U41" s="19"/>
      <c r="Y41"/>
      <c r="Z41"/>
      <c r="AA41"/>
      <c r="AB41"/>
      <c r="AC41"/>
      <c r="AD41"/>
    </row>
    <row r="42" spans="1:30" x14ac:dyDescent="0.25">
      <c r="A42" s="183">
        <f>B42*(1-'ACCEPT RATES'!C15)</f>
        <v>76.625720227431557</v>
      </c>
      <c r="B42" s="187">
        <f>C42*(1+'ACCEPT RATES'!F15+'PIECE DENSITIES'!C7)</f>
        <v>1250.0187235384856</v>
      </c>
      <c r="C42" s="188">
        <f>D30</f>
        <v>1220.58946369724</v>
      </c>
      <c r="G42" s="184">
        <f>IF(SUM(C11:C16)&gt;0,H42*(1-'ACCEPT RATES'!C20),H42*(1-'ACCEPT RATES'!D20))</f>
        <v>0</v>
      </c>
      <c r="H42" s="185">
        <f>I42*(1+'PIECE DENSITIES'!C12)</f>
        <v>0</v>
      </c>
      <c r="I42" s="186">
        <f>J30</f>
        <v>0</v>
      </c>
      <c r="J42" s="58"/>
      <c r="L42"/>
      <c r="M42" s="101">
        <f>N42</f>
        <v>155.13520589601211</v>
      </c>
      <c r="N42" s="100">
        <f>D36+J36+O30</f>
        <v>155.13520589601211</v>
      </c>
      <c r="P42" s="19"/>
      <c r="Q42" s="108"/>
      <c r="S42" s="19"/>
      <c r="U42" s="19"/>
      <c r="Y42"/>
      <c r="Z42"/>
      <c r="AA42"/>
      <c r="AB42"/>
      <c r="AC42"/>
      <c r="AD42"/>
    </row>
    <row r="43" spans="1:30" x14ac:dyDescent="0.25">
      <c r="A43" s="113"/>
      <c r="C43" s="97"/>
      <c r="D43" s="364">
        <f>(SUM(C38:C42)-D36)*'PIECE DENSITIES'!D7</f>
        <v>914.41763296814736</v>
      </c>
      <c r="E43" s="23" t="s">
        <v>279</v>
      </c>
      <c r="G43" s="113"/>
      <c r="I43" s="98"/>
      <c r="J43" s="181">
        <f>(SUM(I38:I42)-J36)*'PIECE DENSITIES'!D12</f>
        <v>0</v>
      </c>
      <c r="K43" s="23" t="s">
        <v>280</v>
      </c>
      <c r="L43"/>
      <c r="M43" s="19"/>
      <c r="O43" s="95">
        <f>SUM(N38:N42)*'PIECE DENSITIES'!D17</f>
        <v>109.81146516795667</v>
      </c>
      <c r="P43" s="23" t="s">
        <v>281</v>
      </c>
      <c r="Q43" s="108"/>
      <c r="S43" s="19"/>
      <c r="U43" s="19"/>
      <c r="Y43"/>
      <c r="Z43"/>
      <c r="AA43"/>
      <c r="AB43"/>
      <c r="AC43"/>
      <c r="AD43"/>
    </row>
    <row r="44" spans="1:30" x14ac:dyDescent="0.25">
      <c r="A44" s="113"/>
      <c r="C44" s="97"/>
      <c r="D44" s="364">
        <f>(SUM(C38:C42)-D36)*'PIECE DENSITIES'!E7</f>
        <v>76.422089151641032</v>
      </c>
      <c r="E44" s="23" t="s">
        <v>282</v>
      </c>
      <c r="G44" s="113"/>
      <c r="I44" s="98"/>
      <c r="J44" s="181">
        <f>(SUM(I38:I42)-J36)*'PIECE DENSITIES'!E12</f>
        <v>0</v>
      </c>
      <c r="K44" s="23" t="s">
        <v>283</v>
      </c>
      <c r="L44"/>
      <c r="M44" s="19"/>
      <c r="O44" s="95">
        <f>SUM(N38:N42)*'PIECE DENSITIES'!E17</f>
        <v>0.48142140864492455</v>
      </c>
      <c r="P44" s="23" t="s">
        <v>284</v>
      </c>
      <c r="Q44" s="108"/>
      <c r="S44" s="19"/>
      <c r="U44" s="19"/>
      <c r="Y44"/>
      <c r="Z44"/>
      <c r="AA44"/>
      <c r="AB44"/>
      <c r="AC44"/>
      <c r="AD44"/>
    </row>
    <row r="45" spans="1:30" x14ac:dyDescent="0.25">
      <c r="A45" s="113"/>
      <c r="C45" s="88"/>
      <c r="D45" s="365">
        <f>(SUM(C38:C42)-D36)*'PIECE DENSITIES'!F7</f>
        <v>8.1403471695144773</v>
      </c>
      <c r="E45" s="23" t="s">
        <v>285</v>
      </c>
      <c r="G45" s="113"/>
      <c r="I45" s="93"/>
      <c r="J45" s="182">
        <f>(SUM(I38:I42)-J36)*'PIECE DENSITIES'!F12</f>
        <v>0</v>
      </c>
      <c r="K45" s="23" t="s">
        <v>286</v>
      </c>
      <c r="L45"/>
      <c r="M45" s="19"/>
      <c r="N45" s="45"/>
      <c r="O45" s="96">
        <f>SUM(N38:N42)*'PIECE DENSITIES'!F17</f>
        <v>3.0818551592781391</v>
      </c>
      <c r="P45" s="23" t="s">
        <v>287</v>
      </c>
      <c r="Q45" s="108"/>
      <c r="S45" s="19"/>
      <c r="U45" s="19"/>
      <c r="Y45"/>
      <c r="Z45"/>
      <c r="AA45"/>
      <c r="AB45"/>
      <c r="AC45"/>
      <c r="AD45"/>
    </row>
    <row r="46" spans="1:30" x14ac:dyDescent="0.25">
      <c r="A46" s="113"/>
      <c r="C46" s="88"/>
      <c r="D46" s="365">
        <f>(SUM(C38:C42)-D36)*'PIECE DENSITIES'!G7</f>
        <v>108.33965838942314</v>
      </c>
      <c r="E46" s="23" t="s">
        <v>288</v>
      </c>
      <c r="G46" s="113"/>
      <c r="I46" s="93"/>
      <c r="J46" s="182">
        <f>(SUM(I38:I42)-J36)*'PIECE DENSITIES'!G12</f>
        <v>0</v>
      </c>
      <c r="K46" s="23" t="s">
        <v>289</v>
      </c>
      <c r="L46"/>
      <c r="M46" s="19"/>
      <c r="N46" s="45"/>
      <c r="O46" s="96">
        <f>SUM(N38:N42)*'PIECE DENSITIES'!G17</f>
        <v>41.760464160132379</v>
      </c>
      <c r="P46" s="23" t="s">
        <v>290</v>
      </c>
      <c r="Q46" s="108"/>
      <c r="S46" s="19"/>
      <c r="U46" s="19"/>
      <c r="Y46"/>
      <c r="Z46"/>
      <c r="AA46"/>
      <c r="AB46"/>
      <c r="AC46"/>
      <c r="AD46"/>
    </row>
    <row r="47" spans="1:30" x14ac:dyDescent="0.25">
      <c r="A47" s="113"/>
      <c r="C47" s="97"/>
      <c r="G47" s="113"/>
      <c r="I47" s="98"/>
      <c r="J47" s="91"/>
      <c r="L47"/>
      <c r="M47" s="19"/>
      <c r="O47" s="96"/>
      <c r="P47" s="19"/>
      <c r="Q47" s="108"/>
      <c r="S47" s="19"/>
      <c r="U47" s="19"/>
      <c r="Y47"/>
      <c r="Z47"/>
      <c r="AA47"/>
      <c r="AB47"/>
      <c r="AC47"/>
      <c r="AD47"/>
    </row>
    <row r="48" spans="1:30" x14ac:dyDescent="0.25">
      <c r="A48" s="103"/>
      <c r="B48" s="105"/>
      <c r="C48" s="128"/>
      <c r="D48" s="106"/>
      <c r="E48" s="105"/>
      <c r="F48" s="105"/>
      <c r="G48" s="103"/>
      <c r="H48" s="105"/>
      <c r="I48" s="129"/>
      <c r="J48" s="130"/>
      <c r="K48" s="105"/>
      <c r="L48" s="104"/>
      <c r="M48" s="105"/>
      <c r="N48" s="105"/>
      <c r="O48" s="131"/>
      <c r="P48" s="105"/>
      <c r="Q48" s="107"/>
      <c r="S48" s="19"/>
      <c r="U48" s="19"/>
      <c r="Y48"/>
      <c r="Z48"/>
      <c r="AA48"/>
      <c r="AB48"/>
      <c r="AC48"/>
      <c r="AD48"/>
    </row>
    <row r="49" spans="1:30" s="125" customFormat="1" ht="22.8" x14ac:dyDescent="0.4">
      <c r="A49" s="177"/>
      <c r="B49" s="57"/>
      <c r="C49" s="127" t="s">
        <v>294</v>
      </c>
      <c r="D49" s="123"/>
      <c r="E49" s="57"/>
      <c r="F49" s="127"/>
      <c r="G49" s="122"/>
      <c r="H49" s="57"/>
      <c r="I49" s="123"/>
      <c r="J49" s="57"/>
      <c r="K49" s="57"/>
      <c r="L49" s="127" t="s">
        <v>295</v>
      </c>
      <c r="M49" s="57"/>
      <c r="N49" s="123"/>
      <c r="O49" s="57"/>
      <c r="P49" s="57"/>
      <c r="Q49" s="124"/>
      <c r="R49" s="57"/>
      <c r="S49" s="57"/>
      <c r="T49" s="57"/>
      <c r="U49" s="57"/>
      <c r="V49" s="57"/>
      <c r="W49" s="57"/>
      <c r="X49" s="57"/>
    </row>
    <row r="50" spans="1:30" x14ac:dyDescent="0.25">
      <c r="A50" s="113"/>
      <c r="C50" s="97"/>
      <c r="G50" s="113"/>
      <c r="I50" s="98"/>
      <c r="J50" s="91"/>
      <c r="L50"/>
      <c r="M50" s="19"/>
      <c r="O50" s="96"/>
      <c r="P50" s="19"/>
      <c r="Q50" s="108"/>
      <c r="S50" s="19"/>
      <c r="U50" s="19"/>
      <c r="Y50"/>
      <c r="Z50"/>
      <c r="AA50"/>
      <c r="AB50"/>
      <c r="AC50"/>
      <c r="AD50"/>
    </row>
    <row r="51" spans="1:30" x14ac:dyDescent="0.25">
      <c r="A51" s="113"/>
      <c r="D51" s="96">
        <f>SUM(A53:A57)*(1-'ACCEPT RATES'!G16)+SUM(C53:C57)*SUM('ACCEPT RATES'!I16:J16)</f>
        <v>422.30761048332192</v>
      </c>
      <c r="E51" s="23" t="s">
        <v>269</v>
      </c>
      <c r="G51" s="121"/>
      <c r="I51" s="23"/>
      <c r="J51" s="96">
        <f>SUM(G53:G57)*(1-'ACCEPT RATES'!E21)</f>
        <v>0</v>
      </c>
      <c r="K51" s="23" t="s">
        <v>269</v>
      </c>
      <c r="L51"/>
      <c r="M51" s="19"/>
      <c r="P51" s="23"/>
      <c r="Q51" s="108"/>
      <c r="S51" s="19"/>
      <c r="U51" s="19"/>
      <c r="Y51"/>
      <c r="Z51"/>
      <c r="AA51"/>
      <c r="AB51"/>
      <c r="AC51"/>
      <c r="AD51"/>
    </row>
    <row r="52" spans="1:30" x14ac:dyDescent="0.25">
      <c r="A52" s="126" t="s">
        <v>270</v>
      </c>
      <c r="B52" s="86" t="s">
        <v>296</v>
      </c>
      <c r="C52" s="87"/>
      <c r="D52" s="119"/>
      <c r="E52" s="23" t="s">
        <v>297</v>
      </c>
      <c r="G52" s="126" t="s">
        <v>273</v>
      </c>
      <c r="H52" s="86" t="s">
        <v>298</v>
      </c>
      <c r="I52" s="87"/>
      <c r="J52" s="99"/>
      <c r="K52" s="22" t="s">
        <v>297</v>
      </c>
      <c r="L52"/>
      <c r="M52" s="86" t="s">
        <v>281</v>
      </c>
      <c r="N52" s="87"/>
      <c r="P52" s="19"/>
      <c r="Q52" s="108"/>
      <c r="S52" s="19"/>
      <c r="U52" s="19"/>
      <c r="Y52"/>
      <c r="Z52"/>
      <c r="AA52"/>
      <c r="AB52"/>
      <c r="AC52"/>
      <c r="AD52"/>
    </row>
    <row r="53" spans="1:30" x14ac:dyDescent="0.25">
      <c r="A53" s="120">
        <f>B53*(1-'ACCEPT RATES'!C16)</f>
        <v>0</v>
      </c>
      <c r="B53" s="29">
        <f>C53*(1+'ACCEPT RATES'!F16+'PIECE DENSITIES'!D8)</f>
        <v>0</v>
      </c>
      <c r="C53" s="50">
        <f>C13*('COVERAGE FACTORS'!C39+'COVERAGE FACTORS'!C43)</f>
        <v>0</v>
      </c>
      <c r="E53" s="23" t="s">
        <v>200</v>
      </c>
      <c r="G53" s="178">
        <f>H53*(1-'ACCEPT RATES'!C21)</f>
        <v>0</v>
      </c>
      <c r="H53" s="29">
        <f>I53*(1+'PIECE DENSITIES'!D13)</f>
        <v>0</v>
      </c>
      <c r="I53" s="50">
        <f>C13*'COVERAGE FACTORS'!C41</f>
        <v>0</v>
      </c>
      <c r="J53" s="112"/>
      <c r="K53" s="22" t="s">
        <v>200</v>
      </c>
      <c r="L53"/>
      <c r="M53" s="29">
        <f>N53</f>
        <v>0</v>
      </c>
      <c r="N53" s="50">
        <f>C13*'COVERAGE FACTORS'!C45</f>
        <v>0</v>
      </c>
      <c r="P53" s="19"/>
      <c r="Q53" s="108"/>
      <c r="S53" s="19"/>
      <c r="U53" s="19"/>
      <c r="Y53"/>
      <c r="Z53"/>
      <c r="AA53"/>
      <c r="AB53"/>
      <c r="AC53"/>
      <c r="AD53"/>
    </row>
    <row r="54" spans="1:30" x14ac:dyDescent="0.25">
      <c r="A54" s="179">
        <f>B54*(1-'ACCEPT RATES'!D16)</f>
        <v>0</v>
      </c>
      <c r="B54" s="85">
        <f>C54*(1+'ACCEPT RATES'!F16+'PIECE DENSITIES'!D8)</f>
        <v>0</v>
      </c>
      <c r="C54" s="84">
        <f>G13*('COVERAGE FACTORS'!C39+'COVERAGE FACTORS'!C43)</f>
        <v>0</v>
      </c>
      <c r="G54" s="179">
        <f>H54*(1-'ACCEPT RATES'!D21)</f>
        <v>0</v>
      </c>
      <c r="H54" s="85">
        <f>I54*(1+'PIECE DENSITIES'!D13)</f>
        <v>0</v>
      </c>
      <c r="I54" s="84">
        <f>G13*'COVERAGE FACTORS'!C41</f>
        <v>0</v>
      </c>
      <c r="J54" s="58"/>
      <c r="L54"/>
      <c r="M54" s="85">
        <f>N54</f>
        <v>0</v>
      </c>
      <c r="N54" s="84">
        <f>G13*'COVERAGE FACTORS'!C45</f>
        <v>0</v>
      </c>
      <c r="P54" s="19"/>
      <c r="Q54" s="108"/>
      <c r="S54" s="19"/>
      <c r="U54" s="19"/>
      <c r="Y54"/>
      <c r="Z54"/>
      <c r="AA54"/>
      <c r="AB54"/>
      <c r="AC54"/>
      <c r="AD54"/>
    </row>
    <row r="55" spans="1:30" x14ac:dyDescent="0.25">
      <c r="A55" s="121"/>
      <c r="B55" s="85"/>
      <c r="C55" s="84"/>
      <c r="G55" s="109">
        <f>H55*(1-'ACCEPT RATES'!C21)</f>
        <v>0</v>
      </c>
      <c r="H55" s="89">
        <f>I55*(1+'PIECE DENSITIES'!D13)</f>
        <v>0</v>
      </c>
      <c r="I55" s="90">
        <f>K13*('COVERAGE FACTORS'!C41+'COVERAGE FACTORS'!C43)</f>
        <v>0</v>
      </c>
      <c r="J55" s="58"/>
      <c r="L55"/>
      <c r="M55" s="89">
        <f>N55</f>
        <v>0</v>
      </c>
      <c r="N55" s="90">
        <f>K13*(1-('COVERAGE FACTORS'!C41+'COVERAGE FACTORS'!C43))</f>
        <v>0</v>
      </c>
      <c r="P55" s="19"/>
      <c r="Q55" s="108"/>
      <c r="S55" s="19"/>
      <c r="U55" s="19"/>
      <c r="Y55"/>
      <c r="Z55"/>
      <c r="AA55"/>
      <c r="AB55"/>
      <c r="AC55"/>
      <c r="AD55"/>
    </row>
    <row r="56" spans="1:30" x14ac:dyDescent="0.25">
      <c r="A56" s="121"/>
      <c r="B56" s="85"/>
      <c r="C56" s="84"/>
      <c r="G56" s="110">
        <f>H56*(1-'ACCEPT RATES'!D21)</f>
        <v>0</v>
      </c>
      <c r="H56" s="94">
        <f>I56*(1+'PIECE DENSITIES'!D13)</f>
        <v>0</v>
      </c>
      <c r="I56" s="92">
        <f>O13*('COVERAGE FACTORS'!C41+'COVERAGE FACTORS'!C43)</f>
        <v>0</v>
      </c>
      <c r="J56" s="58"/>
      <c r="L56"/>
      <c r="M56" s="94">
        <f>N56</f>
        <v>0</v>
      </c>
      <c r="N56" s="92">
        <f>O13*(1-('COVERAGE FACTORS'!C41+'COVERAGE FACTORS'!C43))</f>
        <v>0</v>
      </c>
      <c r="P56" s="19"/>
      <c r="Q56" s="108"/>
      <c r="S56" s="19"/>
      <c r="U56" s="19"/>
      <c r="Y56"/>
      <c r="Z56"/>
      <c r="AA56"/>
      <c r="AB56"/>
      <c r="AC56"/>
      <c r="AD56"/>
    </row>
    <row r="57" spans="1:30" x14ac:dyDescent="0.25">
      <c r="A57" s="183">
        <f>B57*(1-'ACCEPT RATES'!C16)</f>
        <v>360.61215865950697</v>
      </c>
      <c r="B57" s="187">
        <f>C57*(1+'ACCEPT RATES'!F16+'PIECE DENSITIES'!D8)</f>
        <v>5882.7760303209652</v>
      </c>
      <c r="C57" s="188">
        <f>(D31+D43)*('COVERAGE FACTORS'!C39+'COVERAGE FACTORS'!C43)</f>
        <v>5819.7364629235717</v>
      </c>
      <c r="G57" s="184">
        <f>IF(SUM(C11:C16)&gt;0,H57*(1-'ACCEPT RATES'!C21),H57*(1-'ACCEPT RATES'!D21))</f>
        <v>0</v>
      </c>
      <c r="H57" s="185">
        <f>I57*(1+'PIECE DENSITIES'!D13)</f>
        <v>0</v>
      </c>
      <c r="I57" s="186">
        <f>(D31+D43)*'COVERAGE FACTORS'!C41+(J31+J43)*('COVERAGE FACTORS'!C41+'COVERAGE FACTORS'!C43)</f>
        <v>0</v>
      </c>
      <c r="J57" s="58"/>
      <c r="L57"/>
      <c r="M57" s="101">
        <f>N57</f>
        <v>839.06086049354167</v>
      </c>
      <c r="N57" s="100">
        <f>D51+J51+O31+O43+(D31+D43)*'COVERAGE FACTORS'!C45+(J31+J43)*(1-('COVERAGE FACTORS'!C41+'COVERAGE FACTORS'!C43))</f>
        <v>839.06086049354167</v>
      </c>
      <c r="P57" s="19"/>
      <c r="Q57" s="108"/>
      <c r="S57" s="19"/>
      <c r="U57" s="19"/>
      <c r="Y57"/>
      <c r="Z57"/>
      <c r="AA57"/>
      <c r="AB57"/>
      <c r="AC57"/>
      <c r="AD57"/>
    </row>
    <row r="58" spans="1:30" x14ac:dyDescent="0.25">
      <c r="A58" s="113"/>
      <c r="C58" s="97"/>
      <c r="D58" s="364">
        <f>(SUM(C53:C57)-D51)*'PIECE DENSITIES'!E8</f>
        <v>1073.7685289434974</v>
      </c>
      <c r="E58" s="23" t="s">
        <v>282</v>
      </c>
      <c r="G58" s="113"/>
      <c r="I58" s="98"/>
      <c r="J58" s="181">
        <f>(SUM(I53:I57)-J51)*'PIECE DENSITIES'!E13</f>
        <v>0</v>
      </c>
      <c r="K58" s="23" t="s">
        <v>283</v>
      </c>
      <c r="L58"/>
      <c r="M58" s="19"/>
      <c r="O58" s="95">
        <f>SUM(N53:N57)*'PIECE DENSITIES'!E18</f>
        <v>221.73346902630422</v>
      </c>
      <c r="P58" s="23" t="s">
        <v>284</v>
      </c>
      <c r="Q58" s="108"/>
      <c r="S58" s="19"/>
      <c r="U58" s="19"/>
      <c r="Y58"/>
      <c r="Z58"/>
      <c r="AA58"/>
      <c r="AB58"/>
      <c r="AC58"/>
      <c r="AD58"/>
    </row>
    <row r="59" spans="1:30" x14ac:dyDescent="0.25">
      <c r="A59" s="113"/>
      <c r="C59" s="97"/>
      <c r="D59" s="364">
        <f>(SUM(C53:C57)-D51)*'PIECE DENSITIES'!F8</f>
        <v>348.61471933475633</v>
      </c>
      <c r="E59" s="23" t="s">
        <v>285</v>
      </c>
      <c r="G59" s="113"/>
      <c r="I59" s="98"/>
      <c r="J59" s="181">
        <f>(SUM(I53:I57)-J51)*'PIECE DENSITIES'!F13</f>
        <v>0</v>
      </c>
      <c r="K59" s="23" t="s">
        <v>286</v>
      </c>
      <c r="L59"/>
      <c r="M59" s="19"/>
      <c r="O59" s="95">
        <f>SUM(N53:N57)*'PIECE DENSITIES'!F18</f>
        <v>34.801510709570763</v>
      </c>
      <c r="P59" s="23" t="s">
        <v>287</v>
      </c>
      <c r="Q59" s="108"/>
      <c r="S59" s="19"/>
      <c r="U59" s="19"/>
      <c r="Y59"/>
      <c r="Z59"/>
      <c r="AA59"/>
      <c r="AB59"/>
      <c r="AC59"/>
      <c r="AD59"/>
    </row>
    <row r="60" spans="1:30" x14ac:dyDescent="0.25">
      <c r="A60" s="113"/>
      <c r="C60" s="88"/>
      <c r="D60" s="365">
        <f>(SUM(C53:C57)-D51)*'PIECE DENSITIES'!G8</f>
        <v>3975.0456041619964</v>
      </c>
      <c r="E60" s="23" t="s">
        <v>288</v>
      </c>
      <c r="G60" s="113"/>
      <c r="I60" s="93"/>
      <c r="J60" s="182">
        <f>(SUM(I53:I57)-J51)*'PIECE DENSITIES'!G13</f>
        <v>0</v>
      </c>
      <c r="K60" s="23" t="s">
        <v>289</v>
      </c>
      <c r="L60"/>
      <c r="M60" s="19"/>
      <c r="N60" s="45"/>
      <c r="O60" s="96">
        <f>SUM(N53:N57)*'PIECE DENSITIES'!G18</f>
        <v>582.52588075766676</v>
      </c>
      <c r="P60" s="23" t="s">
        <v>290</v>
      </c>
      <c r="Q60" s="108"/>
      <c r="S60" s="19"/>
      <c r="U60" s="19"/>
      <c r="Y60"/>
      <c r="Z60"/>
      <c r="AA60"/>
      <c r="AB60"/>
      <c r="AC60"/>
      <c r="AD60"/>
    </row>
    <row r="61" spans="1:30" x14ac:dyDescent="0.25">
      <c r="A61" s="113"/>
      <c r="C61" s="97"/>
      <c r="G61" s="113"/>
      <c r="I61" s="98"/>
      <c r="J61" s="91"/>
      <c r="L61"/>
      <c r="M61" s="19"/>
      <c r="O61" s="96"/>
      <c r="P61" s="19"/>
      <c r="Q61" s="108"/>
      <c r="S61" s="19"/>
      <c r="U61" s="19"/>
      <c r="Y61"/>
      <c r="Z61"/>
      <c r="AA61"/>
      <c r="AB61"/>
      <c r="AC61"/>
      <c r="AD61"/>
    </row>
    <row r="62" spans="1:30" x14ac:dyDescent="0.25">
      <c r="A62" s="113"/>
      <c r="D62" s="96">
        <f>SUM(A64:A68)*(1-'ACCEPT RATES'!G17)+SUM(C64:C68)*SUM('ACCEPT RATES'!I17:J17)</f>
        <v>188.88376007042734</v>
      </c>
      <c r="E62" s="23" t="s">
        <v>269</v>
      </c>
      <c r="G62" s="121"/>
      <c r="I62" s="23"/>
      <c r="J62" s="96">
        <f>SUM(G64:G68)*(1-'ACCEPT RATES'!E22)</f>
        <v>0</v>
      </c>
      <c r="K62" s="23" t="s">
        <v>269</v>
      </c>
      <c r="L62"/>
      <c r="M62" s="19"/>
      <c r="P62" s="23"/>
      <c r="Q62" s="108"/>
      <c r="S62" s="19"/>
      <c r="U62" s="19"/>
      <c r="Y62"/>
      <c r="Z62"/>
      <c r="AA62"/>
      <c r="AB62"/>
      <c r="AC62"/>
      <c r="AD62"/>
    </row>
    <row r="63" spans="1:30" x14ac:dyDescent="0.25">
      <c r="A63" s="126" t="s">
        <v>270</v>
      </c>
      <c r="B63" s="86" t="s">
        <v>299</v>
      </c>
      <c r="C63" s="87"/>
      <c r="D63" s="119"/>
      <c r="E63" s="23" t="s">
        <v>300</v>
      </c>
      <c r="G63" s="126" t="s">
        <v>273</v>
      </c>
      <c r="H63" s="86" t="s">
        <v>301</v>
      </c>
      <c r="I63" s="87"/>
      <c r="J63" s="99"/>
      <c r="K63" s="22" t="s">
        <v>300</v>
      </c>
      <c r="L63"/>
      <c r="M63" s="86" t="s">
        <v>284</v>
      </c>
      <c r="N63" s="87"/>
      <c r="P63" s="19"/>
      <c r="Q63" s="108"/>
      <c r="S63" s="19"/>
      <c r="U63" s="19"/>
      <c r="Y63"/>
      <c r="Z63"/>
      <c r="AA63"/>
      <c r="AB63"/>
      <c r="AC63"/>
      <c r="AD63"/>
    </row>
    <row r="64" spans="1:30" x14ac:dyDescent="0.25">
      <c r="A64" s="120">
        <f>B64*(1-'ACCEPT RATES'!C17)</f>
        <v>0</v>
      </c>
      <c r="B64" s="29">
        <f>C64*(1+'ACCEPT RATES'!F17+'PIECE DENSITIES'!E9)</f>
        <v>0</v>
      </c>
      <c r="C64" s="50">
        <f>C14*('COVERAGE FACTORS'!C39+'COVERAGE FACTORS'!C43)</f>
        <v>0</v>
      </c>
      <c r="E64" s="23" t="s">
        <v>200</v>
      </c>
      <c r="G64" s="178">
        <f>H64*(1-'ACCEPT RATES'!C22)</f>
        <v>0</v>
      </c>
      <c r="H64" s="29">
        <f>I64*(1+'PIECE DENSITIES'!E14)</f>
        <v>0</v>
      </c>
      <c r="I64" s="50">
        <f>C14*'COVERAGE FACTORS'!C41</f>
        <v>0</v>
      </c>
      <c r="J64" s="112"/>
      <c r="K64" s="22" t="s">
        <v>200</v>
      </c>
      <c r="L64"/>
      <c r="M64" s="29">
        <f>N64</f>
        <v>0</v>
      </c>
      <c r="N64" s="50">
        <f>C14*'COVERAGE FACTORS'!C45</f>
        <v>0</v>
      </c>
      <c r="P64" s="19"/>
      <c r="Q64" s="108"/>
      <c r="S64" s="19"/>
      <c r="U64" s="19"/>
      <c r="Y64"/>
      <c r="Z64"/>
      <c r="AA64"/>
      <c r="AB64"/>
      <c r="AC64"/>
      <c r="AD64"/>
    </row>
    <row r="65" spans="1:30" x14ac:dyDescent="0.25">
      <c r="A65" s="179">
        <f>B65*(1-'ACCEPT RATES'!D17)</f>
        <v>0</v>
      </c>
      <c r="B65" s="85">
        <f>C65*(1+'ACCEPT RATES'!F17+'PIECE DENSITIES'!E9)</f>
        <v>0</v>
      </c>
      <c r="C65" s="84">
        <f>G14*('COVERAGE FACTORS'!C39+'COVERAGE FACTORS'!C43)</f>
        <v>0</v>
      </c>
      <c r="G65" s="179">
        <f>H65*(1-'ACCEPT RATES'!D22)</f>
        <v>0</v>
      </c>
      <c r="H65" s="85">
        <f>I65*(1+'PIECE DENSITIES'!E14)</f>
        <v>0</v>
      </c>
      <c r="I65" s="84">
        <f>G14*'COVERAGE FACTORS'!C41</f>
        <v>0</v>
      </c>
      <c r="J65" s="58"/>
      <c r="L65"/>
      <c r="M65" s="85">
        <f>N65</f>
        <v>0</v>
      </c>
      <c r="N65" s="84">
        <f>G14*'COVERAGE FACTORS'!C45</f>
        <v>0</v>
      </c>
      <c r="P65" s="19"/>
      <c r="Q65" s="108"/>
      <c r="S65" s="19"/>
      <c r="U65" s="19"/>
      <c r="Y65"/>
      <c r="Z65"/>
      <c r="AA65"/>
      <c r="AB65"/>
      <c r="AC65"/>
      <c r="AD65"/>
    </row>
    <row r="66" spans="1:30" x14ac:dyDescent="0.25">
      <c r="A66" s="121"/>
      <c r="B66" s="85"/>
      <c r="C66" s="84"/>
      <c r="G66" s="109">
        <f>H66*(1-'ACCEPT RATES'!C22)</f>
        <v>0</v>
      </c>
      <c r="H66" s="89">
        <f>I66*(1+'PIECE DENSITIES'!E14)</f>
        <v>0</v>
      </c>
      <c r="I66" s="90">
        <f>K14*('COVERAGE FACTORS'!C41+'COVERAGE FACTORS'!C43)</f>
        <v>0</v>
      </c>
      <c r="J66" s="58"/>
      <c r="L66"/>
      <c r="M66" s="89">
        <f>N66</f>
        <v>0</v>
      </c>
      <c r="N66" s="90">
        <f>K14*(1-('COVERAGE FACTORS'!C41+'COVERAGE FACTORS'!C43))</f>
        <v>0</v>
      </c>
      <c r="P66" s="19"/>
      <c r="Q66" s="108"/>
      <c r="S66" s="19"/>
      <c r="U66" s="19"/>
      <c r="Y66"/>
      <c r="Z66"/>
      <c r="AA66"/>
      <c r="AB66"/>
      <c r="AC66"/>
      <c r="AD66"/>
    </row>
    <row r="67" spans="1:30" x14ac:dyDescent="0.25">
      <c r="A67" s="121"/>
      <c r="B67" s="85"/>
      <c r="C67" s="84"/>
      <c r="G67" s="110">
        <f>H67*(1-'ACCEPT RATES'!D22)</f>
        <v>0</v>
      </c>
      <c r="H67" s="94">
        <f>I67*(1+'PIECE DENSITIES'!E14)</f>
        <v>0</v>
      </c>
      <c r="I67" s="92">
        <f>O14*('COVERAGE FACTORS'!C41+'COVERAGE FACTORS'!C43)</f>
        <v>0</v>
      </c>
      <c r="J67" s="58"/>
      <c r="L67"/>
      <c r="M67" s="94">
        <f>N67</f>
        <v>0</v>
      </c>
      <c r="N67" s="92">
        <f>O14*(1-('COVERAGE FACTORS'!C41+'COVERAGE FACTORS'!C43))</f>
        <v>0</v>
      </c>
      <c r="P67" s="19"/>
      <c r="Q67" s="108"/>
      <c r="S67" s="19"/>
      <c r="U67" s="19"/>
      <c r="Y67"/>
      <c r="Z67"/>
      <c r="AA67"/>
      <c r="AB67"/>
      <c r="AC67"/>
      <c r="AD67"/>
    </row>
    <row r="68" spans="1:30" x14ac:dyDescent="0.25">
      <c r="A68" s="183">
        <f>B68*(1-'ACCEPT RATES'!C17)</f>
        <v>247.10129717493783</v>
      </c>
      <c r="B68" s="187">
        <f>C68*(1+'ACCEPT RATES'!F17+'PIECE DENSITIES'!E9)</f>
        <v>4031.0387577765578</v>
      </c>
      <c r="C68" s="188">
        <f>(D32+D44+D58)*('COVERAGE FACTORS'!C39+'COVERAGE FACTORS'!C43)</f>
        <v>3795.4583764332792</v>
      </c>
      <c r="G68" s="184">
        <f>IF(SUM(C11:C16)&gt;0, H68*(1-'ACCEPT RATES'!C22),H68*(1-'ACCEPT RATES'!D22))</f>
        <v>0</v>
      </c>
      <c r="H68" s="185">
        <f>I68*(1+'PIECE DENSITIES'!E14)</f>
        <v>0</v>
      </c>
      <c r="I68" s="186">
        <f>(D32+D44+D58)*'COVERAGE FACTORS'!C41+(J32+J44+J58)*('COVERAGE FACTORS'!C41+'COVERAGE FACTORS'!C43)</f>
        <v>0</v>
      </c>
      <c r="J68" s="58"/>
      <c r="L68"/>
      <c r="M68" s="101">
        <f>N68</f>
        <v>553.78451300264476</v>
      </c>
      <c r="N68" s="100">
        <f>D62+J62+O32+O44+O58+(D32+D44+D58)*'COVERAGE FACTORS'!C45+(J32+J44+J58)*(1-('COVERAGE FACTORS'!C41+'COVERAGE FACTORS'!C43))</f>
        <v>553.78451300264476</v>
      </c>
      <c r="P68" s="19"/>
      <c r="Q68" s="108"/>
      <c r="S68" s="19"/>
      <c r="U68" s="19"/>
      <c r="Y68"/>
      <c r="Z68"/>
      <c r="AA68"/>
      <c r="AB68"/>
      <c r="AC68"/>
      <c r="AD68"/>
    </row>
    <row r="69" spans="1:30" x14ac:dyDescent="0.25">
      <c r="A69" s="113"/>
      <c r="C69" s="97"/>
      <c r="D69" s="364">
        <f>(SUM(C64:C68)-D62)*'PIECE DENSITIES'!F9</f>
        <v>80.686183708733694</v>
      </c>
      <c r="E69" s="23" t="s">
        <v>285</v>
      </c>
      <c r="G69" s="113"/>
      <c r="I69" s="98"/>
      <c r="J69" s="181">
        <f>(SUM(I64:I68)-J62)*'PIECE DENSITIES'!F14</f>
        <v>0</v>
      </c>
      <c r="K69" s="23" t="s">
        <v>286</v>
      </c>
      <c r="L69"/>
      <c r="M69" s="19"/>
      <c r="O69" s="95">
        <f>SUM(N64:N68)*'PIECE DENSITIES'!F19</f>
        <v>14.325202551158069</v>
      </c>
      <c r="P69" s="23" t="s">
        <v>287</v>
      </c>
      <c r="Q69" s="108"/>
      <c r="S69" s="19"/>
      <c r="U69" s="19"/>
      <c r="Y69"/>
      <c r="Z69"/>
      <c r="AA69"/>
      <c r="AB69"/>
      <c r="AC69"/>
      <c r="AD69"/>
    </row>
    <row r="70" spans="1:30" x14ac:dyDescent="0.25">
      <c r="A70" s="113"/>
      <c r="C70" s="97"/>
      <c r="D70" s="364">
        <f>(SUM(C64:C68)-D62)*'PIECE DENSITIES'!G9</f>
        <v>3525.8884326541183</v>
      </c>
      <c r="E70" s="23" t="s">
        <v>288</v>
      </c>
      <c r="G70" s="113"/>
      <c r="I70" s="98"/>
      <c r="J70" s="181">
        <f>(SUM(I64:I68)-J62)*'PIECE DENSITIES'!G14</f>
        <v>0</v>
      </c>
      <c r="K70" s="23" t="s">
        <v>289</v>
      </c>
      <c r="L70"/>
      <c r="M70" s="19"/>
      <c r="O70" s="95">
        <f>SUM(N64:N68)*'PIECE DENSITIES'!G19</f>
        <v>539.45931045148666</v>
      </c>
      <c r="P70" s="23" t="s">
        <v>290</v>
      </c>
      <c r="Q70" s="108"/>
      <c r="S70" s="19"/>
      <c r="U70" s="19"/>
      <c r="Y70"/>
      <c r="Z70"/>
      <c r="AA70"/>
      <c r="AB70"/>
      <c r="AC70"/>
      <c r="AD70"/>
    </row>
    <row r="71" spans="1:30" x14ac:dyDescent="0.25">
      <c r="A71" s="113"/>
      <c r="C71" s="97"/>
      <c r="G71" s="113"/>
      <c r="I71" s="98"/>
      <c r="J71" s="91"/>
      <c r="L71"/>
      <c r="M71" s="19"/>
      <c r="O71" s="96"/>
      <c r="P71" s="19"/>
      <c r="Q71" s="108"/>
      <c r="S71" s="19"/>
      <c r="U71" s="19"/>
      <c r="Y71"/>
      <c r="Z71"/>
      <c r="AA71"/>
      <c r="AB71"/>
      <c r="AC71"/>
      <c r="AD71"/>
    </row>
    <row r="72" spans="1:30" x14ac:dyDescent="0.25">
      <c r="A72" s="113"/>
      <c r="D72" s="96">
        <f>SUM(A74:A78)*(1-'ACCEPT RATES'!G17)+SUM(C74:C78)*SUM('ACCEPT RATES'!I17:J17)</f>
        <v>56.134747657651921</v>
      </c>
      <c r="E72" s="23" t="s">
        <v>269</v>
      </c>
      <c r="G72" s="121"/>
      <c r="I72" s="23"/>
      <c r="J72" s="96">
        <f>SUM(G74:G78)*(1-'ACCEPT RATES'!E22)</f>
        <v>0</v>
      </c>
      <c r="K72" s="23" t="s">
        <v>269</v>
      </c>
      <c r="L72"/>
      <c r="M72" s="19"/>
      <c r="P72" s="23"/>
      <c r="Q72" s="108"/>
      <c r="S72" s="19"/>
      <c r="U72" s="19"/>
      <c r="Y72"/>
      <c r="Z72"/>
      <c r="AA72"/>
      <c r="AB72"/>
      <c r="AC72"/>
      <c r="AD72"/>
    </row>
    <row r="73" spans="1:30" x14ac:dyDescent="0.25">
      <c r="A73" s="126" t="s">
        <v>270</v>
      </c>
      <c r="B73" s="86" t="s">
        <v>302</v>
      </c>
      <c r="C73" s="87"/>
      <c r="D73" s="119"/>
      <c r="E73" s="23" t="s">
        <v>303</v>
      </c>
      <c r="G73" s="126" t="s">
        <v>273</v>
      </c>
      <c r="H73" s="86" t="s">
        <v>304</v>
      </c>
      <c r="I73" s="87"/>
      <c r="J73" s="99"/>
      <c r="K73" s="22" t="s">
        <v>303</v>
      </c>
      <c r="L73"/>
      <c r="M73" s="86" t="s">
        <v>287</v>
      </c>
      <c r="N73" s="87"/>
      <c r="P73" s="19"/>
      <c r="Q73" s="108"/>
      <c r="S73" s="19"/>
      <c r="U73" s="19"/>
      <c r="Y73"/>
      <c r="Z73"/>
      <c r="AA73"/>
      <c r="AB73"/>
      <c r="AC73"/>
      <c r="AD73"/>
    </row>
    <row r="74" spans="1:30" x14ac:dyDescent="0.25">
      <c r="A74" s="120">
        <f>B74*(1-'ACCEPT RATES'!C17)</f>
        <v>0</v>
      </c>
      <c r="B74" s="29">
        <f>C74*(1+'ACCEPT RATES'!F17)</f>
        <v>0</v>
      </c>
      <c r="C74" s="50">
        <f>C15*('COVERAGE FACTORS'!C39+'COVERAGE FACTORS'!C43)</f>
        <v>0</v>
      </c>
      <c r="E74" s="23" t="s">
        <v>200</v>
      </c>
      <c r="G74" s="178">
        <f>H74*(1-'ACCEPT RATES'!C22)</f>
        <v>0</v>
      </c>
      <c r="H74" s="29">
        <f>I74</f>
        <v>0</v>
      </c>
      <c r="I74" s="50">
        <f>C15*'COVERAGE FACTORS'!C41</f>
        <v>0</v>
      </c>
      <c r="J74" s="112"/>
      <c r="K74" s="22" t="s">
        <v>200</v>
      </c>
      <c r="L74"/>
      <c r="M74" s="29">
        <f>N74</f>
        <v>0</v>
      </c>
      <c r="N74" s="50">
        <f>C15*'COVERAGE FACTORS'!C45</f>
        <v>0</v>
      </c>
      <c r="P74" s="19"/>
      <c r="Q74" s="108"/>
      <c r="S74" s="19"/>
      <c r="U74" s="19"/>
      <c r="Y74"/>
      <c r="Z74"/>
      <c r="AA74"/>
      <c r="AB74"/>
      <c r="AC74"/>
      <c r="AD74"/>
    </row>
    <row r="75" spans="1:30" x14ac:dyDescent="0.25">
      <c r="A75" s="179">
        <f>B75*(1-'ACCEPT RATES'!D17)</f>
        <v>0</v>
      </c>
      <c r="B75" s="85">
        <f>C75*(1+'ACCEPT RATES'!F17)</f>
        <v>0</v>
      </c>
      <c r="C75" s="84">
        <f>G15*('COVERAGE FACTORS'!C39+'COVERAGE FACTORS'!C43)</f>
        <v>0</v>
      </c>
      <c r="G75" s="179">
        <f>H75*(1-'ACCEPT RATES'!D22)</f>
        <v>0</v>
      </c>
      <c r="H75" s="85">
        <f>I75</f>
        <v>0</v>
      </c>
      <c r="I75" s="84">
        <f>G15*'COVERAGE FACTORS'!C41</f>
        <v>0</v>
      </c>
      <c r="J75" s="58"/>
      <c r="L75"/>
      <c r="M75" s="85">
        <f>N75</f>
        <v>0</v>
      </c>
      <c r="N75" s="84">
        <f>G15*'COVERAGE FACTORS'!C45</f>
        <v>0</v>
      </c>
      <c r="P75" s="19"/>
      <c r="Q75" s="108"/>
      <c r="S75" s="19"/>
      <c r="U75" s="19"/>
      <c r="Y75"/>
      <c r="Z75"/>
      <c r="AA75"/>
      <c r="AB75"/>
      <c r="AC75"/>
      <c r="AD75"/>
    </row>
    <row r="76" spans="1:30" x14ac:dyDescent="0.25">
      <c r="A76" s="121"/>
      <c r="B76" s="85"/>
      <c r="C76" s="84"/>
      <c r="G76" s="109">
        <f>H76*(1-'ACCEPT RATES'!C22)</f>
        <v>0</v>
      </c>
      <c r="H76" s="89">
        <f>I76</f>
        <v>0</v>
      </c>
      <c r="I76" s="90">
        <f>K15*('COVERAGE FACTORS'!C41+'COVERAGE FACTORS'!C43)</f>
        <v>0</v>
      </c>
      <c r="J76" s="58"/>
      <c r="L76"/>
      <c r="M76" s="89">
        <f>N76</f>
        <v>0</v>
      </c>
      <c r="N76" s="90">
        <f>K15*(1-('COVERAGE FACTORS'!C41+'COVERAGE FACTORS'!C43))</f>
        <v>0</v>
      </c>
      <c r="P76" s="19"/>
      <c r="Q76" s="108"/>
      <c r="S76" s="19"/>
      <c r="U76" s="19"/>
      <c r="Y76"/>
      <c r="Z76"/>
      <c r="AA76"/>
      <c r="AB76"/>
      <c r="AC76"/>
      <c r="AD76"/>
    </row>
    <row r="77" spans="1:30" x14ac:dyDescent="0.25">
      <c r="A77" s="121"/>
      <c r="B77" s="85"/>
      <c r="C77" s="84"/>
      <c r="G77" s="110">
        <f>H77*(1-'ACCEPT RATES'!D22)</f>
        <v>0</v>
      </c>
      <c r="H77" s="94">
        <f>I77</f>
        <v>0</v>
      </c>
      <c r="I77" s="92">
        <f>O15*('COVERAGE FACTORS'!C41+'COVERAGE FACTORS'!C43)</f>
        <v>0</v>
      </c>
      <c r="J77" s="58"/>
      <c r="L77"/>
      <c r="M77" s="94">
        <f>N77</f>
        <v>0</v>
      </c>
      <c r="N77" s="92">
        <f>O15*(1-('COVERAGE FACTORS'!C41+'COVERAGE FACTORS'!C43))</f>
        <v>0</v>
      </c>
      <c r="P77" s="19"/>
      <c r="Q77" s="108"/>
      <c r="S77" s="19"/>
      <c r="U77" s="19"/>
      <c r="Y77"/>
      <c r="Z77"/>
      <c r="AA77"/>
      <c r="AB77"/>
      <c r="AC77"/>
      <c r="AD77"/>
    </row>
    <row r="78" spans="1:30" x14ac:dyDescent="0.25">
      <c r="A78" s="183">
        <f>B78*(1-'ACCEPT RATES'!C17)</f>
        <v>70.143716503811632</v>
      </c>
      <c r="B78" s="187">
        <f>C78*(1+'ACCEPT RATES'!F17)</f>
        <v>1144.2758215922222</v>
      </c>
      <c r="C78" s="188">
        <f>(D33+D45+D59+D69)*('COVERAGE FACTORS'!C39+'COVERAGE FACTORS'!C43)</f>
        <v>1133.2522737566755</v>
      </c>
      <c r="G78" s="184">
        <f>IF(SUM(C11:C16)&gt;0,H78*(1-'ACCEPT RATES'!C22),H78*(1-'ACCEPT RATES'!D22))</f>
        <v>0</v>
      </c>
      <c r="H78" s="185">
        <f>I78</f>
        <v>0</v>
      </c>
      <c r="I78" s="186">
        <f>(D33+D45+D59+D69)*'COVERAGE FACTORS'!C41+(J33+J45+J59+J69)*('COVERAGE FACTORS'!C41+'COVERAGE FACTORS'!C43)</f>
        <v>0</v>
      </c>
      <c r="J78" s="58"/>
      <c r="L78"/>
      <c r="M78" s="101">
        <f ca="1">N78</f>
        <v>149.86312332614841</v>
      </c>
      <c r="N78" s="100">
        <f ca="1">D72+J72+O33+O45+O59+O69+(D33+D45+D59+D69)*'COVERAGE FACTORS'!C45+(J33+J45+J59+J69)*(1-('COVERAGE FACTORS'!C41+'COVERAGE FACTORS'!C43))+D106</f>
        <v>149.86312332614841</v>
      </c>
      <c r="P78" s="19"/>
      <c r="Q78" s="108"/>
      <c r="S78" s="19"/>
      <c r="U78" s="19"/>
      <c r="Y78"/>
      <c r="Z78"/>
      <c r="AA78"/>
      <c r="AB78"/>
      <c r="AC78"/>
      <c r="AD78"/>
    </row>
    <row r="79" spans="1:30" x14ac:dyDescent="0.25">
      <c r="A79" s="113"/>
      <c r="C79" s="97"/>
      <c r="D79" s="364">
        <f>SUM(C74:C78)-D72</f>
        <v>1077.1175260990237</v>
      </c>
      <c r="E79" s="23" t="s">
        <v>288</v>
      </c>
      <c r="G79" s="113"/>
      <c r="I79" s="98"/>
      <c r="J79" s="181">
        <f>SUM(I74:I78)-J72</f>
        <v>0</v>
      </c>
      <c r="K79" s="23" t="s">
        <v>289</v>
      </c>
      <c r="L79"/>
      <c r="M79" s="19"/>
      <c r="O79" s="95">
        <f ca="1">SUM(N74:N78)</f>
        <v>149.86312332614841</v>
      </c>
      <c r="P79" s="23" t="s">
        <v>290</v>
      </c>
      <c r="Q79" s="108"/>
      <c r="S79" s="19"/>
      <c r="U79" s="19"/>
      <c r="Y79"/>
      <c r="Z79"/>
      <c r="AA79"/>
      <c r="AB79"/>
      <c r="AC79"/>
      <c r="AD79"/>
    </row>
    <row r="80" spans="1:30" x14ac:dyDescent="0.25">
      <c r="A80" s="113"/>
      <c r="C80" s="97"/>
      <c r="E80" s="23"/>
      <c r="G80" s="113"/>
      <c r="I80" s="98"/>
      <c r="J80" s="91"/>
      <c r="K80" s="23"/>
      <c r="L80"/>
      <c r="M80" s="19"/>
      <c r="O80" s="96"/>
      <c r="P80" s="23"/>
      <c r="Q80" s="108"/>
      <c r="S80" s="19"/>
      <c r="U80" s="19"/>
      <c r="Y80"/>
      <c r="Z80"/>
      <c r="AA80"/>
      <c r="AB80"/>
      <c r="AC80"/>
      <c r="AD80"/>
    </row>
    <row r="81" spans="1:30" x14ac:dyDescent="0.25">
      <c r="A81" s="113"/>
      <c r="D81" s="96">
        <f>SUM(A83:A87)*(1-'ACCEPT RATES'!G17)+SUM(C83:C87)*SUM('ACCEPT RATES'!I17:J17)</f>
        <v>427.6820946883276</v>
      </c>
      <c r="E81" s="23" t="s">
        <v>269</v>
      </c>
      <c r="G81" s="121"/>
      <c r="I81" s="23"/>
      <c r="J81" s="96">
        <f>I85*(1-'ACCEPT RATES'!C22)</f>
        <v>0</v>
      </c>
      <c r="K81" s="23" t="s">
        <v>269</v>
      </c>
      <c r="L81"/>
      <c r="M81" s="19"/>
      <c r="P81" s="23"/>
      <c r="Q81" s="108"/>
      <c r="S81" s="19"/>
      <c r="U81" s="19"/>
      <c r="Y81"/>
      <c r="Z81"/>
      <c r="AA81"/>
      <c r="AB81"/>
      <c r="AC81"/>
      <c r="AD81"/>
    </row>
    <row r="82" spans="1:30" x14ac:dyDescent="0.25">
      <c r="A82" s="126" t="s">
        <v>270</v>
      </c>
      <c r="B82" s="86" t="s">
        <v>305</v>
      </c>
      <c r="C82" s="87"/>
      <c r="D82" s="119"/>
      <c r="E82" s="23" t="s">
        <v>306</v>
      </c>
      <c r="G82" s="126" t="s">
        <v>273</v>
      </c>
      <c r="H82" s="86" t="s">
        <v>307</v>
      </c>
      <c r="I82" s="87"/>
      <c r="J82" s="99"/>
      <c r="K82" s="22" t="s">
        <v>306</v>
      </c>
      <c r="L82"/>
      <c r="M82" s="86" t="s">
        <v>290</v>
      </c>
      <c r="N82" s="87"/>
      <c r="P82" s="19"/>
      <c r="Q82" s="108"/>
      <c r="S82" s="19"/>
      <c r="U82" s="19"/>
      <c r="Y82"/>
      <c r="Z82"/>
      <c r="AA82"/>
      <c r="AB82"/>
      <c r="AC82"/>
      <c r="AD82"/>
    </row>
    <row r="83" spans="1:30" x14ac:dyDescent="0.25">
      <c r="A83" s="120">
        <f>B83*(1-'ACCEPT RATES'!C17)</f>
        <v>0</v>
      </c>
      <c r="B83" s="29">
        <f>C83*(1+'ACCEPT RATES'!F17)</f>
        <v>0</v>
      </c>
      <c r="C83" s="50">
        <f>C16*('COVERAGE FACTORS'!C55+'COVERAGE FACTORS'!C59)</f>
        <v>0</v>
      </c>
      <c r="E83" s="23" t="s">
        <v>200</v>
      </c>
      <c r="G83" s="178">
        <v>0</v>
      </c>
      <c r="H83" s="29">
        <f>I83</f>
        <v>0</v>
      </c>
      <c r="I83" s="50">
        <f>C16*'COVERAGE FACTORS'!C57</f>
        <v>0</v>
      </c>
      <c r="J83" s="112"/>
      <c r="K83" s="22" t="s">
        <v>200</v>
      </c>
      <c r="L83"/>
      <c r="M83" s="29">
        <f>N83</f>
        <v>0</v>
      </c>
      <c r="N83" s="50">
        <f>C16*'COVERAGE FACTORS'!C61</f>
        <v>0</v>
      </c>
      <c r="P83" s="19"/>
      <c r="Q83" s="108"/>
      <c r="S83" s="19"/>
      <c r="U83" s="19"/>
      <c r="Y83"/>
      <c r="Z83"/>
      <c r="AA83"/>
      <c r="AB83"/>
      <c r="AC83"/>
      <c r="AD83"/>
    </row>
    <row r="84" spans="1:30" x14ac:dyDescent="0.25">
      <c r="A84" s="179">
        <f>B84*(1-'ACCEPT RATES'!D17)</f>
        <v>0</v>
      </c>
      <c r="B84" s="85">
        <f>C84*(1+'ACCEPT RATES'!F17)</f>
        <v>0</v>
      </c>
      <c r="C84" s="84">
        <f>G16*('COVERAGE FACTORS'!C55+'COVERAGE FACTORS'!C59)</f>
        <v>0</v>
      </c>
      <c r="G84" s="179">
        <v>0</v>
      </c>
      <c r="H84" s="85">
        <f>I84</f>
        <v>0</v>
      </c>
      <c r="I84" s="84">
        <f>G16*'COVERAGE FACTORS'!C57</f>
        <v>0</v>
      </c>
      <c r="J84" s="58"/>
      <c r="L84"/>
      <c r="M84" s="85">
        <f>N84</f>
        <v>0</v>
      </c>
      <c r="N84" s="84">
        <f>G16*'COVERAGE FACTORS'!C61</f>
        <v>0</v>
      </c>
      <c r="P84" s="19"/>
      <c r="Q84" s="108"/>
      <c r="S84" s="19"/>
      <c r="U84" s="19"/>
      <c r="Y84"/>
      <c r="Z84"/>
      <c r="AA84"/>
      <c r="AB84"/>
      <c r="AC84"/>
      <c r="AD84"/>
    </row>
    <row r="85" spans="1:30" x14ac:dyDescent="0.25">
      <c r="A85" s="121"/>
      <c r="B85" s="85"/>
      <c r="C85" s="84"/>
      <c r="G85" s="109">
        <v>0</v>
      </c>
      <c r="H85" s="89">
        <f>I85</f>
        <v>0</v>
      </c>
      <c r="I85" s="90">
        <f>K16*('COVERAGE FACTORS'!C57+'COVERAGE FACTORS'!C59)</f>
        <v>0</v>
      </c>
      <c r="J85" s="58"/>
      <c r="L85"/>
      <c r="M85" s="89">
        <f>N85</f>
        <v>0</v>
      </c>
      <c r="N85" s="90">
        <f>K16*(1-('COVERAGE FACTORS'!C57+'COVERAGE FACTORS'!C59+'COVERAGE FACTORS'!C53))</f>
        <v>0</v>
      </c>
      <c r="P85" s="19"/>
      <c r="Q85" s="108"/>
      <c r="S85" s="19"/>
      <c r="U85" s="19"/>
      <c r="Y85"/>
      <c r="Z85"/>
      <c r="AA85"/>
      <c r="AB85"/>
      <c r="AC85"/>
      <c r="AD85"/>
    </row>
    <row r="86" spans="1:30" x14ac:dyDescent="0.25">
      <c r="A86" s="121"/>
      <c r="B86" s="85"/>
      <c r="C86" s="84"/>
      <c r="G86" s="110">
        <v>0</v>
      </c>
      <c r="H86" s="94">
        <f>I86</f>
        <v>0</v>
      </c>
      <c r="I86" s="92">
        <f>O16*('COVERAGE FACTORS'!C57+'COVERAGE FACTORS'!C59)</f>
        <v>0</v>
      </c>
      <c r="J86" s="58"/>
      <c r="L86"/>
      <c r="M86" s="94">
        <f>N86</f>
        <v>0</v>
      </c>
      <c r="N86" s="92">
        <f>O16*(1-('COVERAGE FACTORS'!C57+'COVERAGE FACTORS'!C59+'COVERAGE FACTORS'!C53))</f>
        <v>0</v>
      </c>
      <c r="P86" s="19"/>
      <c r="Q86" s="108"/>
      <c r="S86" s="19"/>
      <c r="U86" s="19"/>
      <c r="Y86"/>
      <c r="Z86"/>
      <c r="AA86"/>
      <c r="AB86"/>
      <c r="AC86"/>
      <c r="AD86"/>
    </row>
    <row r="87" spans="1:30" x14ac:dyDescent="0.25">
      <c r="A87" s="183">
        <f>B87*(1-'ACCEPT RATES'!C17)</f>
        <v>534.41429516224207</v>
      </c>
      <c r="B87" s="187">
        <f>C87*(1+'ACCEPT RATES'!F17)</f>
        <v>8718.06324425614</v>
      </c>
      <c r="C87" s="188">
        <f>(D34+D46+D60+D70+D79)*('COVERAGE FACTORS'!C55+'COVERAGE FACTORS'!C59)</f>
        <v>8634.0765118679174</v>
      </c>
      <c r="G87" s="184">
        <v>0</v>
      </c>
      <c r="H87" s="185">
        <f>I87</f>
        <v>0</v>
      </c>
      <c r="I87" s="186">
        <f>(D34+D46+D60+D70+D79)*'COVERAGE FACTORS'!C57+(J34+J46+J60+J70+J79)*('COVERAGE FACTORS'!C57+'COVERAGE FACTORS'!C59)</f>
        <v>0</v>
      </c>
      <c r="J87" s="182"/>
      <c r="L87"/>
      <c r="M87" s="101">
        <f ca="1">N87</f>
        <v>1793.6055828203994</v>
      </c>
      <c r="N87" s="100">
        <f ca="1">D81+J81+(O34+O46+O60+O70+O79)+(D34+D46+D60+D70+D79)*'COVERAGE FACTORS'!C61+(J34+J46+J60+J70+J79)*(1-('COVERAGE FACTORS'!C57+'COVERAGE FACTORS'!C59))+D120</f>
        <v>1793.6055828203994</v>
      </c>
      <c r="P87" s="19"/>
      <c r="Q87" s="108"/>
      <c r="S87" s="19"/>
      <c r="U87" s="19"/>
      <c r="Y87"/>
      <c r="Z87"/>
      <c r="AA87"/>
      <c r="AB87"/>
      <c r="AC87"/>
      <c r="AD87"/>
    </row>
    <row r="88" spans="1:30" x14ac:dyDescent="0.25">
      <c r="A88" s="113"/>
      <c r="C88" s="97"/>
      <c r="D88" s="102">
        <f>SUM(C83:C87)-D81</f>
        <v>8206.3944171795902</v>
      </c>
      <c r="E88" s="23"/>
      <c r="G88" s="366"/>
      <c r="H88" s="367"/>
      <c r="I88" s="367"/>
      <c r="J88" s="368">
        <f>SUM(I83:I87)-J81</f>
        <v>0</v>
      </c>
      <c r="K88" s="23"/>
      <c r="L88"/>
      <c r="M88" s="19"/>
      <c r="O88" s="189">
        <f ca="1">SUM(N83:N87)</f>
        <v>1793.6055828203994</v>
      </c>
      <c r="P88" s="23"/>
      <c r="Q88" s="108"/>
      <c r="S88" s="19"/>
      <c r="U88" s="19"/>
      <c r="Y88"/>
      <c r="Z88"/>
      <c r="AA88"/>
      <c r="AB88"/>
      <c r="AC88"/>
      <c r="AD88"/>
    </row>
    <row r="89" spans="1:30" x14ac:dyDescent="0.25">
      <c r="A89" s="113"/>
      <c r="C89" s="97"/>
      <c r="D89" s="22" t="s">
        <v>308</v>
      </c>
      <c r="E89" s="23"/>
      <c r="G89" s="113"/>
      <c r="I89" s="98"/>
      <c r="J89" s="22" t="s">
        <v>308</v>
      </c>
      <c r="K89" s="23"/>
      <c r="L89"/>
      <c r="M89" s="19"/>
      <c r="O89" s="22" t="s">
        <v>308</v>
      </c>
      <c r="P89" s="23"/>
      <c r="Q89" s="108"/>
      <c r="S89" s="19"/>
      <c r="U89" s="19"/>
      <c r="Y89"/>
      <c r="Z89"/>
      <c r="AA89"/>
      <c r="AB89"/>
      <c r="AC89"/>
      <c r="AD89"/>
    </row>
    <row r="90" spans="1:30" x14ac:dyDescent="0.25">
      <c r="A90" s="113"/>
      <c r="G90" s="113"/>
      <c r="H90"/>
      <c r="I90" s="19"/>
      <c r="J90" s="58"/>
      <c r="P90" s="19"/>
      <c r="Q90" s="108"/>
      <c r="S90" s="19"/>
      <c r="U90" s="19"/>
      <c r="Y90"/>
      <c r="Z90"/>
      <c r="AA90"/>
      <c r="AB90"/>
      <c r="AC90"/>
      <c r="AD90"/>
    </row>
    <row r="91" spans="1:30" x14ac:dyDescent="0.25">
      <c r="A91" s="113"/>
      <c r="D91" s="437" t="s">
        <v>269</v>
      </c>
      <c r="E91" s="437"/>
      <c r="G91" s="113"/>
      <c r="H91"/>
      <c r="I91" s="19"/>
      <c r="J91" s="58"/>
      <c r="P91" s="19"/>
      <c r="Q91" s="108"/>
      <c r="S91" s="19"/>
      <c r="U91" s="19"/>
      <c r="Y91"/>
      <c r="Z91"/>
      <c r="AA91"/>
      <c r="AB91"/>
      <c r="AC91"/>
      <c r="AD91"/>
    </row>
    <row r="92" spans="1:30" x14ac:dyDescent="0.25">
      <c r="A92" s="114"/>
      <c r="B92" s="116"/>
      <c r="C92" s="116"/>
      <c r="D92" s="22" t="s">
        <v>309</v>
      </c>
      <c r="E92" s="23" t="s">
        <v>310</v>
      </c>
      <c r="F92" s="116"/>
      <c r="G92" s="114"/>
      <c r="H92" s="115"/>
      <c r="I92" s="116"/>
      <c r="J92" s="117"/>
      <c r="K92" s="116"/>
      <c r="L92" s="116"/>
      <c r="M92" s="115"/>
      <c r="N92" s="116"/>
      <c r="O92" s="117"/>
      <c r="P92" s="116"/>
      <c r="Q92" s="118"/>
      <c r="S92" s="19"/>
      <c r="U92" s="19"/>
      <c r="Y92"/>
      <c r="Z92"/>
      <c r="AA92"/>
      <c r="AB92"/>
      <c r="AC92"/>
      <c r="AD92"/>
    </row>
    <row r="93" spans="1:30" x14ac:dyDescent="0.25">
      <c r="D93" s="266">
        <f ca="1">SUM(A95:A99)*(1-'ACCEPT RATES'!G24)+SUM(B95:B99)*'ACCEPT RATES'!J24</f>
        <v>0</v>
      </c>
      <c r="E93" s="267">
        <f ca="1">SUM(B95:B99)*'ACCEPT RATES'!I24</f>
        <v>0</v>
      </c>
    </row>
    <row r="94" spans="1:30" x14ac:dyDescent="0.25">
      <c r="A94" s="23" t="s">
        <v>270</v>
      </c>
      <c r="B94" s="213" t="s">
        <v>99</v>
      </c>
      <c r="C94" s="212"/>
      <c r="E94" s="23" t="s">
        <v>306</v>
      </c>
    </row>
    <row r="95" spans="1:30" x14ac:dyDescent="0.25">
      <c r="A95" s="50">
        <f>B95*(1-'ACCEPT RATES'!C24)</f>
        <v>0</v>
      </c>
      <c r="B95" s="29">
        <f>C95*(1+'ACCEPT RATES'!F17)</f>
        <v>0</v>
      </c>
      <c r="C95" s="50">
        <f>C16*'COVERAGE FACTORS'!C53</f>
        <v>0</v>
      </c>
      <c r="E95" s="23" t="s">
        <v>200</v>
      </c>
    </row>
    <row r="96" spans="1:30" x14ac:dyDescent="0.25">
      <c r="A96" s="84">
        <f>B96*(1-'ACCEPT RATES'!D24)</f>
        <v>0</v>
      </c>
      <c r="B96" s="85">
        <f>C96*(1+'ACCEPT RATES'!F17)</f>
        <v>0</v>
      </c>
      <c r="C96" s="84">
        <f>G16*'COVERAGE FACTORS'!C53</f>
        <v>0</v>
      </c>
    </row>
    <row r="97" spans="1:11" x14ac:dyDescent="0.25">
      <c r="A97" s="90">
        <f>B97*(1-'ACCEPT RATES'!C24)</f>
        <v>0</v>
      </c>
      <c r="B97" s="89">
        <f>C97*(1+'ACCEPT RATES'!F17)</f>
        <v>0</v>
      </c>
      <c r="C97" s="90">
        <f>K16*'COVERAGE FACTORS'!C53</f>
        <v>0</v>
      </c>
    </row>
    <row r="98" spans="1:11" x14ac:dyDescent="0.25">
      <c r="A98" s="92">
        <f>B98*(1-'ACCEPT RATES'!D24)</f>
        <v>0</v>
      </c>
      <c r="B98" s="94">
        <f>C98*(1+'ACCEPT RATES'!F17)</f>
        <v>0</v>
      </c>
      <c r="C98" s="92">
        <f>O16*'COVERAGE FACTORS'!C53</f>
        <v>0</v>
      </c>
    </row>
    <row r="99" spans="1:11" x14ac:dyDescent="0.25">
      <c r="A99" s="214">
        <f ca="1">B99*(1-'ACCEPT RATES'!C24)</f>
        <v>0</v>
      </c>
      <c r="B99" s="215">
        <f ca="1">C99*(1+'ACCEPT RATES'!F17)</f>
        <v>0</v>
      </c>
      <c r="C99" s="214">
        <f ca="1">(D16+D34+D46+D60+D70+D79)*'COVERAGE FACTORS'!C53+D114</f>
        <v>0</v>
      </c>
    </row>
    <row r="100" spans="1:11" x14ac:dyDescent="0.25">
      <c r="D100" s="369">
        <f ca="1">SUM(C95:C99)-D93-E93</f>
        <v>0</v>
      </c>
    </row>
    <row r="101" spans="1:11" x14ac:dyDescent="0.25">
      <c r="D101" s="22" t="s">
        <v>311</v>
      </c>
    </row>
    <row r="105" spans="1:11" x14ac:dyDescent="0.25">
      <c r="D105" s="22"/>
    </row>
    <row r="106" spans="1:11" x14ac:dyDescent="0.25">
      <c r="A106" s="113"/>
      <c r="D106" s="258">
        <f ca="1">A112*(1-'ACCEPT RATES'!G17)+B112*('ACCEPT RATES'!I17+'ACCEPT RATES'!J17)</f>
        <v>0</v>
      </c>
      <c r="E106" s="23" t="s">
        <v>269</v>
      </c>
      <c r="G106" s="438" t="s">
        <v>312</v>
      </c>
      <c r="H106" s="438"/>
      <c r="I106" s="438"/>
      <c r="J106" s="438"/>
      <c r="K106" s="438"/>
    </row>
    <row r="107" spans="1:11" x14ac:dyDescent="0.25">
      <c r="A107" s="126" t="s">
        <v>270</v>
      </c>
      <c r="B107" s="86" t="s">
        <v>313</v>
      </c>
      <c r="C107" s="87"/>
      <c r="D107"/>
      <c r="E107" s="23" t="s">
        <v>303</v>
      </c>
      <c r="G107" s="438"/>
      <c r="H107" s="438"/>
      <c r="I107" s="438"/>
      <c r="J107" s="438"/>
      <c r="K107" s="438"/>
    </row>
    <row r="108" spans="1:11" x14ac:dyDescent="0.25">
      <c r="A108" s="50"/>
      <c r="B108" s="29"/>
      <c r="C108" s="50"/>
      <c r="E108" s="23" t="s">
        <v>200</v>
      </c>
      <c r="G108" s="438"/>
      <c r="H108" s="438"/>
      <c r="I108" s="438"/>
      <c r="J108" s="438"/>
      <c r="K108" s="438"/>
    </row>
    <row r="109" spans="1:11" x14ac:dyDescent="0.25">
      <c r="A109" s="179"/>
      <c r="B109" s="85"/>
      <c r="C109" s="84"/>
      <c r="G109" s="438"/>
      <c r="H109" s="438"/>
      <c r="I109" s="438"/>
      <c r="J109" s="438"/>
      <c r="K109" s="438"/>
    </row>
    <row r="110" spans="1:11" x14ac:dyDescent="0.25">
      <c r="A110" s="121"/>
      <c r="B110" s="85"/>
      <c r="C110" s="84"/>
      <c r="G110" s="438"/>
      <c r="H110" s="438"/>
      <c r="I110" s="438"/>
      <c r="J110" s="438"/>
      <c r="K110" s="438"/>
    </row>
    <row r="111" spans="1:11" x14ac:dyDescent="0.25">
      <c r="A111" s="121"/>
      <c r="B111" s="85"/>
      <c r="C111" s="84"/>
      <c r="G111" s="438"/>
      <c r="H111" s="438"/>
      <c r="I111" s="438"/>
      <c r="J111" s="438"/>
      <c r="K111" s="438"/>
    </row>
    <row r="112" spans="1:11" x14ac:dyDescent="0.25">
      <c r="A112" s="259">
        <f ca="1">B112*(1-'ACCEPT RATES'!$C$17)</f>
        <v>0</v>
      </c>
      <c r="B112" s="260">
        <f ca="1">C112*(1+'ACCEPT RATES'!$F$17)</f>
        <v>0</v>
      </c>
      <c r="C112" s="261">
        <f ca="1">E93</f>
        <v>0</v>
      </c>
      <c r="G112" s="438"/>
      <c r="H112" s="438"/>
      <c r="I112" s="438"/>
      <c r="J112" s="438"/>
      <c r="K112" s="438"/>
    </row>
    <row r="113" spans="1:11" x14ac:dyDescent="0.25">
      <c r="A113" s="113"/>
      <c r="C113" s="119"/>
      <c r="D113" s="370">
        <f ca="1">($C$112-$D$106)*(1-'COVERAGE FACTORS'!$C$66)</f>
        <v>0</v>
      </c>
      <c r="E113" s="23" t="s">
        <v>288</v>
      </c>
      <c r="G113" s="438"/>
      <c r="H113" s="438"/>
      <c r="I113" s="438"/>
      <c r="J113" s="438"/>
      <c r="K113" s="438"/>
    </row>
    <row r="114" spans="1:11" x14ac:dyDescent="0.25">
      <c r="A114" s="113"/>
      <c r="C114" s="119"/>
      <c r="D114" s="370">
        <f ca="1">($C$112-$D$106)*'COVERAGE FACTORS'!$C$66</f>
        <v>0</v>
      </c>
      <c r="E114" s="23" t="s">
        <v>99</v>
      </c>
    </row>
    <row r="115" spans="1:11" x14ac:dyDescent="0.25">
      <c r="A115" s="113"/>
      <c r="C115" s="97"/>
      <c r="E115" s="23"/>
    </row>
    <row r="116" spans="1:11" x14ac:dyDescent="0.25">
      <c r="A116" s="113"/>
      <c r="C116" s="97"/>
      <c r="E116" s="23"/>
    </row>
    <row r="117" spans="1:11" x14ac:dyDescent="0.25">
      <c r="A117" s="113"/>
      <c r="C117" s="97"/>
      <c r="E117" s="23"/>
    </row>
    <row r="118" spans="1:11" x14ac:dyDescent="0.25">
      <c r="A118" s="113"/>
      <c r="C118" s="97"/>
      <c r="E118" s="23"/>
    </row>
    <row r="119" spans="1:11" x14ac:dyDescent="0.25">
      <c r="A119" s="113"/>
      <c r="C119" s="97"/>
      <c r="E119" s="23"/>
    </row>
    <row r="120" spans="1:11" x14ac:dyDescent="0.25">
      <c r="A120" s="121"/>
      <c r="D120" s="262">
        <f ca="1">A126*'ACCEPT RATES'!H17+B126*('ACCEPT RATES'!I17+'ACCEPT RATES'!J17)</f>
        <v>0</v>
      </c>
      <c r="E120" s="23" t="s">
        <v>269</v>
      </c>
    </row>
    <row r="121" spans="1:11" x14ac:dyDescent="0.25">
      <c r="A121" s="126" t="s">
        <v>270</v>
      </c>
      <c r="B121" s="86" t="s">
        <v>314</v>
      </c>
      <c r="C121" s="87"/>
      <c r="D121" s="119"/>
      <c r="E121" s="23" t="s">
        <v>306</v>
      </c>
    </row>
    <row r="122" spans="1:11" x14ac:dyDescent="0.25">
      <c r="A122" s="263"/>
      <c r="B122" s="29"/>
      <c r="C122" s="50"/>
      <c r="E122" s="23" t="s">
        <v>200</v>
      </c>
    </row>
    <row r="123" spans="1:11" x14ac:dyDescent="0.25">
      <c r="A123" s="179"/>
      <c r="B123" s="85"/>
      <c r="C123" s="84"/>
    </row>
    <row r="124" spans="1:11" x14ac:dyDescent="0.25">
      <c r="A124" s="121"/>
      <c r="B124" s="85"/>
      <c r="C124" s="84"/>
    </row>
    <row r="125" spans="1:11" x14ac:dyDescent="0.25">
      <c r="A125" s="121"/>
      <c r="B125" s="85"/>
      <c r="C125" s="84"/>
    </row>
    <row r="126" spans="1:11" x14ac:dyDescent="0.25">
      <c r="A126" s="264">
        <f ca="1">B126*(1-'ACCEPT RATES'!$C$17)</f>
        <v>0</v>
      </c>
      <c r="B126" s="260">
        <f ca="1">C126*(1+'ACCEPT RATES'!$F$17)</f>
        <v>0</v>
      </c>
      <c r="C126" s="261">
        <f ca="1">$D$93+$D$113</f>
        <v>0</v>
      </c>
    </row>
    <row r="127" spans="1:11" x14ac:dyDescent="0.25">
      <c r="A127" s="121"/>
      <c r="C127" s="119"/>
      <c r="D127" s="265">
        <f ca="1">C126-D120</f>
        <v>0</v>
      </c>
      <c r="E127" s="23"/>
    </row>
    <row r="128" spans="1:11" x14ac:dyDescent="0.25">
      <c r="A128" s="121"/>
      <c r="D128" s="22" t="s">
        <v>308</v>
      </c>
      <c r="E128" s="23"/>
    </row>
  </sheetData>
  <mergeCells count="2">
    <mergeCell ref="D91:E91"/>
    <mergeCell ref="G106:K113"/>
  </mergeCells>
  <phoneticPr fontId="42" type="noConversion"/>
  <pageMargins left="0.75" right="0.75" top="1" bottom="1" header="0.5" footer="0.5"/>
  <pageSetup orientation="portrait" horizontalDpi="300" verticalDpi="0" copies="0" r:id="rId1"/>
  <headerFooter alignWithMargins="0"/>
  <drawing r:id="rId2"/>
</worksheet>
</file>

<file path=xl/worksheets/sheet2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8">
    <pageSetUpPr fitToPage="1"/>
  </sheetPr>
  <dimension ref="A1:K86"/>
  <sheetViews>
    <sheetView zoomScale="115" zoomScaleNormal="115" workbookViewId="0"/>
  </sheetViews>
  <sheetFormatPr defaultRowHeight="13.2" x14ac:dyDescent="0.25"/>
  <cols>
    <col min="1" max="1" width="5.77734375" customWidth="1"/>
    <col min="2" max="2" width="25.77734375" customWidth="1"/>
    <col min="3" max="4" width="10.77734375" style="2" customWidth="1"/>
    <col min="5" max="5" width="10.77734375" style="37" customWidth="1"/>
    <col min="6" max="6" width="10.77734375" style="132" customWidth="1"/>
    <col min="7" max="7" width="10.77734375" style="41" customWidth="1"/>
    <col min="8" max="9" width="10.77734375" style="30" customWidth="1"/>
    <col min="10" max="10" width="10.77734375" style="132" customWidth="1"/>
    <col min="11" max="26" width="9.77734375" customWidth="1"/>
  </cols>
  <sheetData>
    <row r="1" spans="1:11" ht="22.8" x14ac:dyDescent="0.4">
      <c r="A1" s="125" t="s">
        <v>327</v>
      </c>
    </row>
    <row r="2" spans="1:11" ht="17.399999999999999" x14ac:dyDescent="0.3">
      <c r="A2" s="4" t="s">
        <v>181</v>
      </c>
    </row>
    <row r="3" spans="1:11" s="6" customFormat="1" ht="12.75" customHeight="1" x14ac:dyDescent="0.25">
      <c r="A3" s="1"/>
      <c r="B3" s="146"/>
      <c r="C3" s="268"/>
      <c r="D3" s="268"/>
      <c r="E3" s="269"/>
      <c r="F3" s="270"/>
      <c r="G3" s="241"/>
      <c r="H3" s="145"/>
      <c r="I3" s="145"/>
      <c r="J3" s="270"/>
      <c r="K3" s="146"/>
    </row>
    <row r="4" spans="1:11" s="6" customFormat="1" ht="12.75" customHeight="1" x14ac:dyDescent="0.25">
      <c r="A4" s="1"/>
      <c r="B4" s="146"/>
      <c r="C4" s="16" t="str">
        <f>"(1)"</f>
        <v>(1)</v>
      </c>
      <c r="D4" s="16" t="str">
        <f>"(2)"</f>
        <v>(2)</v>
      </c>
      <c r="E4" s="38" t="str">
        <f>"(3)"</f>
        <v>(3)</v>
      </c>
      <c r="F4" s="16" t="str">
        <f>"(4)"</f>
        <v>(4)</v>
      </c>
      <c r="G4" s="40" t="str">
        <f>"(5)"</f>
        <v>(5)</v>
      </c>
      <c r="H4" s="16" t="str">
        <f>"(6)"</f>
        <v>(6)</v>
      </c>
      <c r="I4" s="16" t="str">
        <f>"(7)"</f>
        <v>(7)</v>
      </c>
      <c r="J4" s="16" t="str">
        <f>"(8)"</f>
        <v>(8)</v>
      </c>
      <c r="K4" s="16" t="str">
        <f>"(9)"</f>
        <v>(9)</v>
      </c>
    </row>
    <row r="5" spans="1:11" s="6" customFormat="1" ht="12.75" customHeight="1" x14ac:dyDescent="0.25">
      <c r="A5" s="1"/>
      <c r="B5" s="146"/>
      <c r="C5" s="268"/>
      <c r="D5" s="268"/>
      <c r="E5" s="269"/>
      <c r="F5" s="270"/>
      <c r="G5" s="241"/>
      <c r="H5" s="145"/>
      <c r="I5" s="145"/>
      <c r="J5" s="270"/>
      <c r="K5"/>
    </row>
    <row r="6" spans="1:11" x14ac:dyDescent="0.25">
      <c r="D6" s="16" t="s">
        <v>182</v>
      </c>
      <c r="F6" s="133" t="s">
        <v>183</v>
      </c>
      <c r="H6" s="31" t="s">
        <v>184</v>
      </c>
      <c r="I6" s="31" t="s">
        <v>184</v>
      </c>
      <c r="J6" s="133" t="s">
        <v>8</v>
      </c>
      <c r="K6" s="133" t="s">
        <v>185</v>
      </c>
    </row>
    <row r="7" spans="1:11" x14ac:dyDescent="0.25">
      <c r="C7"/>
      <c r="D7" s="16" t="s">
        <v>186</v>
      </c>
      <c r="E7" s="38" t="s">
        <v>187</v>
      </c>
      <c r="F7" s="133" t="s">
        <v>188</v>
      </c>
      <c r="G7" s="40" t="s">
        <v>189</v>
      </c>
      <c r="H7" s="31" t="s">
        <v>190</v>
      </c>
      <c r="I7" s="31" t="s">
        <v>190</v>
      </c>
      <c r="J7" s="133" t="s">
        <v>188</v>
      </c>
      <c r="K7" s="133" t="s">
        <v>188</v>
      </c>
    </row>
    <row r="8" spans="1:11" x14ac:dyDescent="0.25">
      <c r="A8" s="35" t="s">
        <v>191</v>
      </c>
      <c r="C8" s="134" t="s">
        <v>17</v>
      </c>
      <c r="D8" s="134" t="s">
        <v>192</v>
      </c>
      <c r="E8" s="39" t="s">
        <v>193</v>
      </c>
      <c r="F8" s="135" t="s">
        <v>194</v>
      </c>
      <c r="G8" s="42" t="s">
        <v>195</v>
      </c>
      <c r="H8" s="36" t="s">
        <v>195</v>
      </c>
      <c r="I8" s="36" t="s">
        <v>196</v>
      </c>
      <c r="J8" s="135" t="s">
        <v>194</v>
      </c>
      <c r="K8" s="135" t="s">
        <v>194</v>
      </c>
    </row>
    <row r="9" spans="1:11" x14ac:dyDescent="0.25">
      <c r="A9" s="35"/>
      <c r="C9" s="134"/>
      <c r="D9" s="134"/>
      <c r="E9" s="39"/>
      <c r="F9" s="135"/>
      <c r="G9" s="42"/>
      <c r="H9" s="36"/>
      <c r="I9" s="36"/>
      <c r="J9" s="135"/>
    </row>
    <row r="10" spans="1:11" x14ac:dyDescent="0.25">
      <c r="A10" s="1" t="s">
        <v>220</v>
      </c>
      <c r="C10" s="134"/>
      <c r="D10" s="134"/>
      <c r="E10" s="39"/>
      <c r="F10" s="135"/>
      <c r="G10" s="42"/>
      <c r="H10" s="36"/>
      <c r="I10" s="36"/>
      <c r="J10" s="135"/>
    </row>
    <row r="11" spans="1:11" x14ac:dyDescent="0.25">
      <c r="A11" s="35"/>
      <c r="B11" t="s">
        <v>198</v>
      </c>
      <c r="C11" s="326">
        <f>'BUNDLE SORT'!$F$54*('COVERAGE FACTORS'!$C$7/('COVERAGE FACTORS'!$C$7+'COVERAGE FACTORS'!$C$9))</f>
        <v>0</v>
      </c>
      <c r="D11" s="326">
        <f>PRODUCTIVITIES!$E$8</f>
        <v>175.66894168226426</v>
      </c>
      <c r="E11" s="269">
        <f>'WAGE RATES'!$D$6</f>
        <v>50.10717457546064</v>
      </c>
      <c r="F11" s="41">
        <f>E11*100/D11</f>
        <v>28.523638894626252</v>
      </c>
      <c r="G11" s="241">
        <f>PIGGYBACKS!$B$5</f>
        <v>1.8052502472456198</v>
      </c>
      <c r="H11" s="241">
        <f>'WAGE RATES'!$D$10</f>
        <v>1.0285306172213804</v>
      </c>
      <c r="I11" s="41">
        <f>(H11-1)*F11</f>
        <v>0.81379702306345936</v>
      </c>
      <c r="J11" s="41">
        <f>F11*G11+I11</f>
        <v>52.30610318993228</v>
      </c>
      <c r="K11" s="41">
        <f ca="1">C11*$J11/'ADC AUTO MODEL'!$G$6</f>
        <v>0</v>
      </c>
    </row>
    <row r="12" spans="1:11" x14ac:dyDescent="0.25">
      <c r="A12" s="35"/>
      <c r="B12" t="s">
        <v>199</v>
      </c>
      <c r="C12" s="326">
        <f>'BUNDLE SORT'!$F$54*('COVERAGE FACTORS'!$C$9/('COVERAGE FACTORS'!$C$7+'COVERAGE FACTORS'!$C$9))</f>
        <v>0</v>
      </c>
      <c r="D12" s="326">
        <f>PRODUCTIVITIES!$E$10</f>
        <v>194.60202715898563</v>
      </c>
      <c r="E12" s="269">
        <f>'WAGE RATES'!$D$6</f>
        <v>50.10717457546064</v>
      </c>
      <c r="F12" s="41">
        <f>E12*100/D12</f>
        <v>25.748536799426127</v>
      </c>
      <c r="G12" s="241">
        <f>PIGGYBACKS!$B$6</f>
        <v>1.6056412614911089</v>
      </c>
      <c r="H12" s="241">
        <f>'WAGE RATES'!$D$10</f>
        <v>1.0285306172213804</v>
      </c>
      <c r="I12" s="41">
        <f>(H12-1)*F12</f>
        <v>0.73462164743505387</v>
      </c>
      <c r="J12" s="41">
        <f>F12*G12+I12</f>
        <v>42.077534755615858</v>
      </c>
      <c r="K12" s="41">
        <f ca="1">C12*$J12/'ADC AUTO MODEL'!$G$6</f>
        <v>0</v>
      </c>
    </row>
    <row r="13" spans="1:11" x14ac:dyDescent="0.25">
      <c r="A13" s="35"/>
      <c r="B13" t="s">
        <v>200</v>
      </c>
      <c r="C13" s="326">
        <f>'BUNDLE SORT'!$G$54</f>
        <v>282.01526176874671</v>
      </c>
      <c r="D13" s="326">
        <f>PRODUCTIVITIES!$E$12</f>
        <v>388.77898659935892</v>
      </c>
      <c r="E13" s="269">
        <f>'WAGE RATES'!$D$6</f>
        <v>50.10717457546064</v>
      </c>
      <c r="F13" s="41">
        <f>E13*100/D13</f>
        <v>12.888344355683154</v>
      </c>
      <c r="G13" s="241">
        <f>PIGGYBACKS!$B$7</f>
        <v>1.5985378657336238</v>
      </c>
      <c r="H13" s="241">
        <f>'WAGE RATES'!$D$10</f>
        <v>1.0285306172213804</v>
      </c>
      <c r="I13" s="41">
        <f>(H13-1)*F13</f>
        <v>0.36771241942933458</v>
      </c>
      <c r="J13" s="41">
        <f>F13*G13+I13</f>
        <v>20.970218898603079</v>
      </c>
      <c r="K13" s="41">
        <f ca="1">C13*$J13/'ADC AUTO MODEL'!$G$6</f>
        <v>0.5913921772037477</v>
      </c>
    </row>
    <row r="14" spans="1:11" x14ac:dyDescent="0.25">
      <c r="A14" s="35"/>
      <c r="C14" s="326"/>
      <c r="D14" s="326"/>
      <c r="E14" s="269"/>
      <c r="F14" s="270"/>
      <c r="G14" s="241"/>
      <c r="H14" s="241"/>
      <c r="I14" s="145"/>
      <c r="J14" s="270"/>
      <c r="K14" s="41"/>
    </row>
    <row r="15" spans="1:11" x14ac:dyDescent="0.25">
      <c r="A15" s="1" t="s">
        <v>221</v>
      </c>
      <c r="C15" s="326"/>
      <c r="D15" s="326"/>
      <c r="E15" s="269"/>
      <c r="F15" s="270"/>
      <c r="G15" s="241"/>
      <c r="H15" s="241"/>
      <c r="I15" s="145"/>
      <c r="J15" s="270"/>
      <c r="K15" s="41"/>
    </row>
    <row r="16" spans="1:11" s="6" customFormat="1" x14ac:dyDescent="0.25">
      <c r="A16" s="146"/>
      <c r="B16" s="146" t="s">
        <v>198</v>
      </c>
      <c r="C16" s="326">
        <f>'BUNDLE SORT'!$J$54*('COVERAGE FACTORS'!$C$31/('COVERAGE FACTORS'!$C$31+'COVERAGE FACTORS'!$C$33))</f>
        <v>132.74642690245949</v>
      </c>
      <c r="D16" s="326">
        <f>PRODUCTIVITIES!$E$9</f>
        <v>204.15275198997298</v>
      </c>
      <c r="E16" s="269">
        <f>'WAGE RATES'!$D$6</f>
        <v>50.10717457546064</v>
      </c>
      <c r="F16" s="41">
        <f>E16*100/D16</f>
        <v>24.543962345372481</v>
      </c>
      <c r="G16" s="241">
        <f>PIGGYBACKS!$B$5</f>
        <v>1.8052502472456198</v>
      </c>
      <c r="H16" s="241">
        <f>'WAGE RATES'!$D$10</f>
        <v>1.0285306172213804</v>
      </c>
      <c r="I16" s="41">
        <f>(H16-1)*F16</f>
        <v>0.70025439477179607</v>
      </c>
      <c r="J16" s="41">
        <f>F16*G16+I16</f>
        <v>45.008248487142652</v>
      </c>
      <c r="K16" s="41">
        <f ca="1">C16*$J16/'ADC AUTO MODEL'!$G$6</f>
        <v>0.59746841678062257</v>
      </c>
    </row>
    <row r="17" spans="1:11" x14ac:dyDescent="0.25">
      <c r="A17" s="1"/>
      <c r="B17" t="s">
        <v>199</v>
      </c>
      <c r="C17" s="326">
        <f>'BUNDLE SORT'!$J$54*('COVERAGE FACTORS'!$C$33/('COVERAGE FACTORS'!$C$31+'COVERAGE FACTORS'!$C$33))</f>
        <v>161.0648075271574</v>
      </c>
      <c r="D17" s="326">
        <f>PRODUCTIVITIES!$E$11</f>
        <v>163.71090696460584</v>
      </c>
      <c r="E17" s="269">
        <f>'WAGE RATES'!$D$6</f>
        <v>50.10717457546064</v>
      </c>
      <c r="F17" s="41">
        <f>E17*100/D17</f>
        <v>30.607108288938726</v>
      </c>
      <c r="G17" s="241">
        <f>PIGGYBACKS!$B$6</f>
        <v>1.6056412614911089</v>
      </c>
      <c r="H17" s="241">
        <f>'WAGE RATES'!$D$10</f>
        <v>1.0285306172213804</v>
      </c>
      <c r="I17" s="41">
        <f>(H17-1)*F17</f>
        <v>0.87323969084504982</v>
      </c>
      <c r="J17" s="41">
        <f>F17*G17+I17</f>
        <v>50.017275654491598</v>
      </c>
      <c r="K17" s="41">
        <f ca="1">C17*$J17/'ADC AUTO MODEL'!$G$6</f>
        <v>0.80560228763234787</v>
      </c>
    </row>
    <row r="18" spans="1:11" x14ac:dyDescent="0.25">
      <c r="A18" s="1"/>
      <c r="B18" t="s">
        <v>200</v>
      </c>
      <c r="C18" s="326">
        <f>'BUNDLE SORT'!$K$54</f>
        <v>0</v>
      </c>
      <c r="D18" s="326">
        <f>PRODUCTIVITIES!$E$13</f>
        <v>388.77898659935892</v>
      </c>
      <c r="E18" s="269">
        <f>'WAGE RATES'!$D$6</f>
        <v>50.10717457546064</v>
      </c>
      <c r="F18" s="41">
        <f>E18*100/D18</f>
        <v>12.888344355683154</v>
      </c>
      <c r="G18" s="241">
        <f>PIGGYBACKS!$B$7</f>
        <v>1.5985378657336238</v>
      </c>
      <c r="H18" s="241">
        <f>'WAGE RATES'!$D$10</f>
        <v>1.0285306172213804</v>
      </c>
      <c r="I18" s="41">
        <f>(H18-1)*F18</f>
        <v>0.36771241942933458</v>
      </c>
      <c r="J18" s="41">
        <f>F18*G18+I18</f>
        <v>20.970218898603079</v>
      </c>
      <c r="K18" s="41">
        <f ca="1">C18*$J18/'ADC AUTO MODEL'!$G$6</f>
        <v>0</v>
      </c>
    </row>
    <row r="19" spans="1:11" x14ac:dyDescent="0.25">
      <c r="A19" s="1"/>
      <c r="C19" s="326"/>
      <c r="D19" s="326"/>
      <c r="E19" s="269"/>
      <c r="F19" s="270"/>
      <c r="G19" s="241"/>
      <c r="H19" s="241"/>
      <c r="I19" s="145"/>
      <c r="J19" s="270"/>
      <c r="K19" s="41"/>
    </row>
    <row r="20" spans="1:11" x14ac:dyDescent="0.25">
      <c r="A20" s="1" t="s">
        <v>222</v>
      </c>
      <c r="C20" s="326"/>
      <c r="D20" s="326"/>
      <c r="E20" s="269"/>
      <c r="F20" s="270"/>
      <c r="G20" s="241"/>
      <c r="H20" s="241"/>
      <c r="I20" s="145"/>
      <c r="J20" s="270"/>
      <c r="K20" s="41"/>
    </row>
    <row r="21" spans="1:11" x14ac:dyDescent="0.25">
      <c r="A21" s="1"/>
      <c r="B21" t="s">
        <v>198</v>
      </c>
      <c r="C21" s="326">
        <f>'BUNDLE SORT'!$N$54*('COVERAGE FACTORS'!$C$31/('COVERAGE FACTORS'!$C$31+'COVERAGE FACTORS'!$C$33))</f>
        <v>0</v>
      </c>
      <c r="D21" s="326">
        <f>PRODUCTIVITIES!$E$9</f>
        <v>204.15275198997298</v>
      </c>
      <c r="E21" s="269">
        <f>'WAGE RATES'!$D$6</f>
        <v>50.10717457546064</v>
      </c>
      <c r="F21" s="41">
        <f>E21*100/D21</f>
        <v>24.543962345372481</v>
      </c>
      <c r="G21" s="241">
        <f>PIGGYBACKS!$B$5</f>
        <v>1.8052502472456198</v>
      </c>
      <c r="H21" s="241">
        <f>'WAGE RATES'!$D$10</f>
        <v>1.0285306172213804</v>
      </c>
      <c r="I21" s="41">
        <f>(H21-1)*F21</f>
        <v>0.70025439477179607</v>
      </c>
      <c r="J21" s="41">
        <f>F21*G21+I21</f>
        <v>45.008248487142652</v>
      </c>
      <c r="K21" s="41">
        <f ca="1">C21*$J21/'ADC AUTO MODEL'!$G$6</f>
        <v>0</v>
      </c>
    </row>
    <row r="22" spans="1:11" x14ac:dyDescent="0.25">
      <c r="A22" s="1"/>
      <c r="B22" t="s">
        <v>199</v>
      </c>
      <c r="C22" s="326">
        <f>'BUNDLE SORT'!$N$54*('COVERAGE FACTORS'!$C$33/('COVERAGE FACTORS'!$C$31+'COVERAGE FACTORS'!$C$33))</f>
        <v>0</v>
      </c>
      <c r="D22" s="326">
        <f>PRODUCTIVITIES!$E$11</f>
        <v>163.71090696460584</v>
      </c>
      <c r="E22" s="269">
        <f>'WAGE RATES'!$D$6</f>
        <v>50.10717457546064</v>
      </c>
      <c r="F22" s="41">
        <f>E22*100/D22</f>
        <v>30.607108288938726</v>
      </c>
      <c r="G22" s="241">
        <f>PIGGYBACKS!$B$6</f>
        <v>1.6056412614911089</v>
      </c>
      <c r="H22" s="241">
        <f>'WAGE RATES'!$D$10</f>
        <v>1.0285306172213804</v>
      </c>
      <c r="I22" s="41">
        <f>(H22-1)*F22</f>
        <v>0.87323969084504982</v>
      </c>
      <c r="J22" s="41">
        <f>F22*G22+I22</f>
        <v>50.017275654491598</v>
      </c>
      <c r="K22" s="41">
        <f ca="1">C22*$J22/'ADC AUTO MODEL'!$G$6</f>
        <v>0</v>
      </c>
    </row>
    <row r="23" spans="1:11" x14ac:dyDescent="0.25">
      <c r="A23" s="1"/>
      <c r="B23" t="s">
        <v>200</v>
      </c>
      <c r="C23" s="326">
        <f>'BUNDLE SORT'!$O$54</f>
        <v>0</v>
      </c>
      <c r="D23" s="326">
        <f>PRODUCTIVITIES!$E$14</f>
        <v>388.77898659935892</v>
      </c>
      <c r="E23" s="269">
        <f>'WAGE RATES'!$D$6</f>
        <v>50.10717457546064</v>
      </c>
      <c r="F23" s="41">
        <f>E23*100/D23</f>
        <v>12.888344355683154</v>
      </c>
      <c r="G23" s="241">
        <f>PIGGYBACKS!$B$7</f>
        <v>1.5985378657336238</v>
      </c>
      <c r="H23" s="241">
        <f>'WAGE RATES'!$D$10</f>
        <v>1.0285306172213804</v>
      </c>
      <c r="I23" s="41">
        <f>(H23-1)*F23</f>
        <v>0.36771241942933458</v>
      </c>
      <c r="J23" s="41">
        <f>F23*G23+I23</f>
        <v>20.970218898603079</v>
      </c>
      <c r="K23" s="41">
        <f ca="1">C23*$J23/'ADC AUTO MODEL'!$G$6</f>
        <v>0</v>
      </c>
    </row>
    <row r="24" spans="1:11" x14ac:dyDescent="0.25">
      <c r="A24" s="1"/>
      <c r="C24" s="326"/>
      <c r="D24" s="326"/>
      <c r="E24" s="269"/>
      <c r="F24" s="270"/>
      <c r="G24" s="241"/>
      <c r="H24" s="241"/>
      <c r="I24" s="145"/>
      <c r="J24" s="270"/>
      <c r="K24" s="41"/>
    </row>
    <row r="25" spans="1:11" x14ac:dyDescent="0.25">
      <c r="A25" s="1" t="s">
        <v>223</v>
      </c>
      <c r="C25" s="326"/>
      <c r="D25" s="326"/>
      <c r="E25" s="269"/>
      <c r="F25" s="270"/>
      <c r="G25" s="241"/>
      <c r="H25" s="241"/>
      <c r="I25" s="145"/>
      <c r="J25" s="270"/>
      <c r="K25" s="41"/>
    </row>
    <row r="26" spans="1:11" x14ac:dyDescent="0.25">
      <c r="A26" s="1"/>
      <c r="B26" t="s">
        <v>198</v>
      </c>
      <c r="C26" s="326">
        <f>'BUNDLE SORT'!$R$54*('COVERAGE FACTORS'!$C$31/('COVERAGE FACTORS'!$C$31+'COVERAGE FACTORS'!$C$33))</f>
        <v>0</v>
      </c>
      <c r="D26" s="326">
        <f>PRODUCTIVITIES!$E$9</f>
        <v>204.15275198997298</v>
      </c>
      <c r="E26" s="269">
        <f>'WAGE RATES'!$D$6</f>
        <v>50.10717457546064</v>
      </c>
      <c r="F26" s="41">
        <f>E26*100/D26</f>
        <v>24.543962345372481</v>
      </c>
      <c r="G26" s="241">
        <f>PIGGYBACKS!$B$5</f>
        <v>1.8052502472456198</v>
      </c>
      <c r="H26" s="241">
        <f>'WAGE RATES'!$D$10</f>
        <v>1.0285306172213804</v>
      </c>
      <c r="I26" s="41">
        <f>(H26-1)*F26</f>
        <v>0.70025439477179607</v>
      </c>
      <c r="J26" s="41">
        <f>F26*G26+I26</f>
        <v>45.008248487142652</v>
      </c>
      <c r="K26" s="41">
        <f ca="1">C26*$J26/'ADC AUTO MODEL'!$G$6</f>
        <v>0</v>
      </c>
    </row>
    <row r="27" spans="1:11" x14ac:dyDescent="0.25">
      <c r="A27" s="1"/>
      <c r="B27" t="s">
        <v>199</v>
      </c>
      <c r="C27" s="326">
        <f>'BUNDLE SORT'!$R$54*('COVERAGE FACTORS'!$C$33/('COVERAGE FACTORS'!$C$31+'COVERAGE FACTORS'!$C$33))</f>
        <v>0</v>
      </c>
      <c r="D27" s="326">
        <f>PRODUCTIVITIES!$E$11</f>
        <v>163.71090696460584</v>
      </c>
      <c r="E27" s="269">
        <f>'WAGE RATES'!$D$6</f>
        <v>50.10717457546064</v>
      </c>
      <c r="F27" s="41">
        <f>E27*100/D27</f>
        <v>30.607108288938726</v>
      </c>
      <c r="G27" s="241">
        <f>PIGGYBACKS!$B$6</f>
        <v>1.6056412614911089</v>
      </c>
      <c r="H27" s="241">
        <f>'WAGE RATES'!$D$10</f>
        <v>1.0285306172213804</v>
      </c>
      <c r="I27" s="41">
        <f>(H27-1)*F27</f>
        <v>0.87323969084504982</v>
      </c>
      <c r="J27" s="41">
        <f>F27*G27+I27</f>
        <v>50.017275654491598</v>
      </c>
      <c r="K27" s="41">
        <f ca="1">C27*$J27/'ADC AUTO MODEL'!$G$6</f>
        <v>0</v>
      </c>
    </row>
    <row r="28" spans="1:11" x14ac:dyDescent="0.25">
      <c r="A28" s="1"/>
      <c r="B28" t="s">
        <v>200</v>
      </c>
      <c r="C28" s="326">
        <f>'BUNDLE SORT'!$S$54</f>
        <v>0</v>
      </c>
      <c r="D28" s="326">
        <f>PRODUCTIVITIES!E15</f>
        <v>279.13830142253454</v>
      </c>
      <c r="E28" s="269">
        <f>'WAGE RATES'!$D$6</f>
        <v>50.10717457546064</v>
      </c>
      <c r="F28" s="41">
        <f>E28*100/D28</f>
        <v>17.950662564078904</v>
      </c>
      <c r="G28" s="241">
        <f>PIGGYBACKS!$B$7</f>
        <v>1.5985378657336238</v>
      </c>
      <c r="H28" s="241">
        <f>'WAGE RATES'!$D$10</f>
        <v>1.0285306172213804</v>
      </c>
      <c r="I28" s="41">
        <f>(H28-1)*F28</f>
        <v>0.51214348248589792</v>
      </c>
      <c r="J28" s="41">
        <f>F28*G28+I28</f>
        <v>29.206957306173045</v>
      </c>
      <c r="K28" s="41">
        <f ca="1">C28*$J28/'ADC AUTO MODEL'!$G$6</f>
        <v>0</v>
      </c>
    </row>
    <row r="29" spans="1:11" x14ac:dyDescent="0.25">
      <c r="A29" s="1"/>
      <c r="C29" s="363"/>
      <c r="D29" s="363"/>
      <c r="E29" s="269"/>
      <c r="F29" s="270"/>
      <c r="G29" s="241"/>
      <c r="H29" s="145"/>
      <c r="I29" s="145"/>
      <c r="J29" s="270"/>
      <c r="K29" s="41"/>
    </row>
    <row r="30" spans="1:11" x14ac:dyDescent="0.25">
      <c r="A30" s="1" t="s">
        <v>224</v>
      </c>
      <c r="F30" s="41"/>
      <c r="G30" s="241"/>
      <c r="H30" s="41"/>
      <c r="I30" s="41"/>
      <c r="J30" s="41"/>
      <c r="K30" s="41"/>
    </row>
    <row r="31" spans="1:11" x14ac:dyDescent="0.25">
      <c r="A31" s="35"/>
      <c r="B31" t="s">
        <v>225</v>
      </c>
      <c r="C31" s="2">
        <f>SUM('ADC AUTO MODEL'!$B$25:$B$29)</f>
        <v>112.22673116374736</v>
      </c>
      <c r="D31" s="2">
        <f>PRODUCTIVITIES!$E$23*'COVERAGE FACTORS'!$C$25+PRODUCTIVITIES!$E$17*(1-'COVERAGE FACTORS'!$C$25)</f>
        <v>1572.5270916832678</v>
      </c>
      <c r="E31" s="37">
        <f>'WAGE RATES'!$D$6</f>
        <v>50.10717457546064</v>
      </c>
      <c r="F31" s="41">
        <f>E31*100/D31</f>
        <v>3.1864108949515657</v>
      </c>
      <c r="G31" s="41">
        <f>PIGGYBACKS!$B$8</f>
        <v>1.6305774272183733</v>
      </c>
      <c r="H31" s="41">
        <f>'WAGE RATES'!$D$10</f>
        <v>1.0285306172213804</v>
      </c>
      <c r="I31" s="41">
        <f>(H31-1)*F31</f>
        <v>9.0910269553899262E-2</v>
      </c>
      <c r="J31" s="41">
        <f>F31*G31+I31</f>
        <v>5.2865999487046178</v>
      </c>
      <c r="K31" s="41">
        <f ca="1">C31*$J31/'ADC AUTO MODEL'!$G$6</f>
        <v>5.9329783121355485E-2</v>
      </c>
    </row>
    <row r="32" spans="1:11" x14ac:dyDescent="0.25">
      <c r="A32" s="35"/>
      <c r="B32" t="s">
        <v>226</v>
      </c>
      <c r="C32" s="2">
        <f>SUM('ADC AUTO MODEL'!$A$25:$A$29)</f>
        <v>6.879460237083177</v>
      </c>
      <c r="D32" s="2">
        <f>PRODUCTIVITIES!$E$16</f>
        <v>888.0117100682927</v>
      </c>
      <c r="E32" s="37">
        <f>'WAGE RATES'!$D$5</f>
        <v>54.142360316355024</v>
      </c>
      <c r="F32" s="41">
        <f>E32*100/D32</f>
        <v>6.0970322465895403</v>
      </c>
      <c r="G32" s="41">
        <f>PIGGYBACKS!$B$9</f>
        <v>1.2615773174013249</v>
      </c>
      <c r="H32" s="41">
        <f>'WAGE RATES'!$D$10</f>
        <v>1.0285306172213804</v>
      </c>
      <c r="I32" s="41">
        <f>(H32-1)*F32</f>
        <v>0.17395209321385913</v>
      </c>
      <c r="J32" s="41">
        <f>F32*G32+I32</f>
        <v>7.8658296789756648</v>
      </c>
      <c r="K32" s="41">
        <f ca="1">C32*$J32/'ADC AUTO MODEL'!$G$6</f>
        <v>5.4112662508181914E-3</v>
      </c>
    </row>
    <row r="33" spans="1:11" x14ac:dyDescent="0.25">
      <c r="A33" s="35"/>
      <c r="B33" t="s">
        <v>227</v>
      </c>
      <c r="C33" s="2">
        <f>SUM('ADC AUTO MODEL'!$H$25:$H$29)</f>
        <v>0</v>
      </c>
      <c r="D33" s="2">
        <f>PRODUCTIVITIES!$E$30</f>
        <v>1.0273268954181221</v>
      </c>
      <c r="E33" s="37">
        <f>'WAGE RATES'!$D$6</f>
        <v>50.10717457546064</v>
      </c>
      <c r="F33" s="41">
        <f>E33*100/D33</f>
        <v>4877.4323731753384</v>
      </c>
      <c r="G33" s="41">
        <f>PIGGYBACKS!$B$10</f>
        <v>1.6305774272183733</v>
      </c>
      <c r="H33" s="41">
        <f>'WAGE RATES'!$D$10</f>
        <v>1.0285306172213804</v>
      </c>
      <c r="I33" s="41">
        <f>(H33-1)*F33</f>
        <v>139.15615606223454</v>
      </c>
      <c r="J33" s="41">
        <f>F33*G33+I33</f>
        <v>8092.1872865460828</v>
      </c>
      <c r="K33" s="41">
        <f ca="1">C33*$J33/'ADC AUTO MODEL'!$G$6</f>
        <v>0</v>
      </c>
    </row>
    <row r="34" spans="1:11" x14ac:dyDescent="0.25">
      <c r="B34" t="s">
        <v>228</v>
      </c>
      <c r="C34" s="2">
        <f>SUM('ADC AUTO MODEL'!$G$25:$G$29)</f>
        <v>0</v>
      </c>
      <c r="D34" s="2">
        <f>PRODUCTIVITIES!$E$36</f>
        <v>1.0273268954181221</v>
      </c>
      <c r="E34" s="37">
        <f>'WAGE RATES'!$D$6</f>
        <v>50.10717457546064</v>
      </c>
      <c r="F34" s="41">
        <f>E34*100/D34</f>
        <v>4877.4323731753384</v>
      </c>
      <c r="G34" s="41">
        <f>PIGGYBACKS!$B$10</f>
        <v>1.6305774272183733</v>
      </c>
      <c r="H34" s="41">
        <f>'WAGE RATES'!$D$10</f>
        <v>1.0285306172213804</v>
      </c>
      <c r="I34" s="41">
        <f>(H34-1)*F34</f>
        <v>139.15615606223454</v>
      </c>
      <c r="J34" s="41">
        <f>F34*G34+I34</f>
        <v>8092.1872865460828</v>
      </c>
      <c r="K34" s="41">
        <f ca="1">C34*$J34/'ADC AUTO MODEL'!$G$6</f>
        <v>0</v>
      </c>
    </row>
    <row r="35" spans="1:11" x14ac:dyDescent="0.25">
      <c r="B35" t="s">
        <v>200</v>
      </c>
      <c r="C35" s="2">
        <f>SUM('ADC AUTO MODEL'!$M$25:$M$29)</f>
        <v>5.1850802731353554</v>
      </c>
      <c r="D35" s="2">
        <f>PRODUCTIVITIES!$E$42</f>
        <v>620.26371981497391</v>
      </c>
      <c r="E35" s="37">
        <f>'WAGE RATES'!$D$6</f>
        <v>50.10717457546064</v>
      </c>
      <c r="F35" s="41">
        <f>E35*100/D35</f>
        <v>8.0783661811475493</v>
      </c>
      <c r="G35" s="41">
        <f>PIGGYBACKS!$B$12</f>
        <v>1.3622907328394676</v>
      </c>
      <c r="H35" s="41">
        <f>'WAGE RATES'!$D$10</f>
        <v>1.0285306172213804</v>
      </c>
      <c r="I35" s="41">
        <f>(H35-1)*F35</f>
        <v>0.23048077328846525</v>
      </c>
      <c r="J35" s="41">
        <f>F35*G35+I35</f>
        <v>11.235564158349531</v>
      </c>
      <c r="K35" s="41">
        <f ca="1">C35*$J35/'ADC AUTO MODEL'!$G$6</f>
        <v>5.8257302075004902E-3</v>
      </c>
    </row>
    <row r="36" spans="1:11" x14ac:dyDescent="0.25">
      <c r="F36" s="41"/>
      <c r="H36" s="41"/>
      <c r="I36" s="41"/>
      <c r="J36" s="41"/>
      <c r="K36" s="41"/>
    </row>
    <row r="37" spans="1:11" x14ac:dyDescent="0.25">
      <c r="A37" s="1" t="s">
        <v>229</v>
      </c>
      <c r="F37" s="41"/>
      <c r="H37" s="41"/>
      <c r="I37" s="41"/>
      <c r="J37" s="41"/>
      <c r="K37" s="41"/>
    </row>
    <row r="38" spans="1:11" x14ac:dyDescent="0.25">
      <c r="A38" s="35"/>
      <c r="B38" t="s">
        <v>225</v>
      </c>
      <c r="C38" s="2">
        <f>SUM('ADC AUTO MODEL'!$B$38:$B$42)</f>
        <v>13.85259026138538</v>
      </c>
      <c r="D38" s="2">
        <f>PRODUCTIVITIES!$E$24*'COVERAGE FACTORS'!$C$25+PRODUCTIVITIES!$E$18*(1-'COVERAGE FACTORS'!$C$25)</f>
        <v>2267.7698382210328</v>
      </c>
      <c r="E38" s="37">
        <f>'WAGE RATES'!$D$6</f>
        <v>50.10717457546064</v>
      </c>
      <c r="F38" s="41">
        <f>E38*100/D38</f>
        <v>2.2095352769471326</v>
      </c>
      <c r="G38" s="41">
        <f>PIGGYBACKS!$B$8</f>
        <v>1.6305774272183733</v>
      </c>
      <c r="H38" s="41">
        <f>'WAGE RATES'!$D$10</f>
        <v>1.0285306172213804</v>
      </c>
      <c r="I38" s="41">
        <f>(H38-1)*F38</f>
        <v>6.3039405223715358E-2</v>
      </c>
      <c r="J38" s="41">
        <f>F38*G38+I38</f>
        <v>3.6658577524564069</v>
      </c>
      <c r="K38" s="41">
        <f ca="1">C38*$J38/'ADC AUTO MODEL'!$G$6</f>
        <v>5.0781625401301808E-3</v>
      </c>
    </row>
    <row r="39" spans="1:11" x14ac:dyDescent="0.25">
      <c r="A39" s="35"/>
      <c r="B39" t="s">
        <v>226</v>
      </c>
      <c r="C39" s="2">
        <f>SUM('ADC AUTO MODEL'!$A$38:$A$42)</f>
        <v>0.84915904522567642</v>
      </c>
      <c r="D39" s="2">
        <f>PRODUCTIVITIES!$E$16</f>
        <v>888.0117100682927</v>
      </c>
      <c r="E39" s="37">
        <f>'WAGE RATES'!$D$5</f>
        <v>54.142360316355024</v>
      </c>
      <c r="F39" s="41">
        <f>E39*100/D39</f>
        <v>6.0970322465895403</v>
      </c>
      <c r="G39" s="41">
        <f>PIGGYBACKS!$B$9</f>
        <v>1.2615773174013249</v>
      </c>
      <c r="H39" s="41">
        <f>'WAGE RATES'!$D$10</f>
        <v>1.0285306172213804</v>
      </c>
      <c r="I39" s="41">
        <f>(H39-1)*F39</f>
        <v>0.17395209321385913</v>
      </c>
      <c r="J39" s="41">
        <f>F39*G39+I39</f>
        <v>7.8658296789756648</v>
      </c>
      <c r="K39" s="41">
        <f ca="1">C39*$J39/'ADC AUTO MODEL'!$G$6</f>
        <v>6.6793404201067762E-4</v>
      </c>
    </row>
    <row r="40" spans="1:11" x14ac:dyDescent="0.25">
      <c r="B40" t="s">
        <v>227</v>
      </c>
      <c r="C40" s="2">
        <f>SUM('ADC AUTO MODEL'!$H$38:$H$42)</f>
        <v>0</v>
      </c>
      <c r="D40" s="2">
        <f>PRODUCTIVITIES!$E$31</f>
        <v>1.0273268954181221</v>
      </c>
      <c r="E40" s="37">
        <f>'WAGE RATES'!$D$6</f>
        <v>50.10717457546064</v>
      </c>
      <c r="F40" s="41">
        <f>E40*100/D40</f>
        <v>4877.4323731753384</v>
      </c>
      <c r="G40" s="41">
        <f>PIGGYBACKS!$B$10</f>
        <v>1.6305774272183733</v>
      </c>
      <c r="H40" s="41">
        <f>'WAGE RATES'!$D$10</f>
        <v>1.0285306172213804</v>
      </c>
      <c r="I40" s="41">
        <f>(H40-1)*F40</f>
        <v>139.15615606223454</v>
      </c>
      <c r="J40" s="41">
        <f>F40*G40+I40</f>
        <v>8092.1872865460828</v>
      </c>
      <c r="K40" s="41">
        <f ca="1">C40*$J40/'ADC AUTO MODEL'!$G$6</f>
        <v>0</v>
      </c>
    </row>
    <row r="41" spans="1:11" x14ac:dyDescent="0.25">
      <c r="B41" t="s">
        <v>228</v>
      </c>
      <c r="C41" s="2">
        <f>SUM('ADC AUTO MODEL'!$G$38:$G$42)</f>
        <v>0</v>
      </c>
      <c r="D41" s="2">
        <f>PRODUCTIVITIES!$E$37</f>
        <v>1.0273268954181221</v>
      </c>
      <c r="E41" s="37">
        <f>'WAGE RATES'!$D$6</f>
        <v>50.10717457546064</v>
      </c>
      <c r="F41" s="41">
        <f>E41*100/D41</f>
        <v>4877.4323731753384</v>
      </c>
      <c r="G41" s="41">
        <f>PIGGYBACKS!$B$10</f>
        <v>1.6305774272183733</v>
      </c>
      <c r="H41" s="41">
        <f>'WAGE RATES'!$D$10</f>
        <v>1.0285306172213804</v>
      </c>
      <c r="I41" s="41">
        <f>(H41-1)*F41</f>
        <v>139.15615606223454</v>
      </c>
      <c r="J41" s="41">
        <f>F41*G41+I41</f>
        <v>8092.1872865460828</v>
      </c>
      <c r="K41" s="41">
        <f ca="1">C41*$J41/'ADC AUTO MODEL'!$G$6</f>
        <v>0</v>
      </c>
    </row>
    <row r="42" spans="1:11" x14ac:dyDescent="0.25">
      <c r="B42" t="s">
        <v>200</v>
      </c>
      <c r="C42" s="2">
        <f>SUM('ADC AUTO MODEL'!$M$38:$M$42)</f>
        <v>1.7191938024014319</v>
      </c>
      <c r="D42" s="2">
        <f>PRODUCTIVITIES!$E$43</f>
        <v>490.6212884367572</v>
      </c>
      <c r="E42" s="37">
        <f>'WAGE RATES'!$D$6</f>
        <v>50.10717457546064</v>
      </c>
      <c r="F42" s="41">
        <f>E42*100/D42</f>
        <v>10.213004563074444</v>
      </c>
      <c r="G42" s="41">
        <f>PIGGYBACKS!$B$12</f>
        <v>1.3622907328394676</v>
      </c>
      <c r="H42" s="41">
        <f>'WAGE RATES'!$D$10</f>
        <v>1.0285306172213804</v>
      </c>
      <c r="I42" s="41">
        <f>(H42-1)*F42</f>
        <v>0.29138332386928828</v>
      </c>
      <c r="J42" s="41">
        <f>F42*G42+I42</f>
        <v>14.204464794592798</v>
      </c>
      <c r="K42" s="41">
        <f ca="1">C42*$J42/'ADC AUTO MODEL'!$G$6</f>
        <v>2.4420227841293312E-3</v>
      </c>
    </row>
    <row r="43" spans="1:11" x14ac:dyDescent="0.25">
      <c r="F43" s="41"/>
      <c r="H43" s="41"/>
      <c r="I43" s="41"/>
      <c r="J43" s="41"/>
      <c r="K43" s="41"/>
    </row>
    <row r="44" spans="1:11" x14ac:dyDescent="0.25">
      <c r="A44" s="1" t="s">
        <v>230</v>
      </c>
      <c r="F44" s="41"/>
      <c r="H44" s="41"/>
      <c r="I44" s="41"/>
      <c r="J44" s="41"/>
      <c r="K44" s="41"/>
    </row>
    <row r="45" spans="1:11" x14ac:dyDescent="0.25">
      <c r="A45" s="35"/>
      <c r="B45" t="s">
        <v>225</v>
      </c>
      <c r="C45" s="2">
        <f>SUM('ADC AUTO MODEL'!$B$53:$B$57)</f>
        <v>10001.289448649313</v>
      </c>
      <c r="D45" s="2">
        <f>PRODUCTIVITIES!$E$25*'COVERAGE FACTORS'!$C$25+PRODUCTIVITIES!$E$19*(1-'COVERAGE FACTORS'!$C$25)</f>
        <v>1572.97537151239</v>
      </c>
      <c r="E45" s="37">
        <f>'WAGE RATES'!$D$6</f>
        <v>50.10717457546064</v>
      </c>
      <c r="F45" s="41">
        <f>E45*100/D45</f>
        <v>3.1855028046169225</v>
      </c>
      <c r="G45" s="41">
        <f>PIGGYBACKS!$B$8</f>
        <v>1.6305774272183733</v>
      </c>
      <c r="H45" s="41">
        <f>'WAGE RATES'!$D$10</f>
        <v>1.0285306172213804</v>
      </c>
      <c r="I45" s="41">
        <f>(H45-1)*F45</f>
        <v>9.0884361176159112E-2</v>
      </c>
      <c r="J45" s="41">
        <f>F45*G45+I45</f>
        <v>5.285093328725333</v>
      </c>
      <c r="K45" s="41">
        <f ca="1">C45*$J45/'ADC AUTO MODEL'!$G$6</f>
        <v>5.2857748143707646</v>
      </c>
    </row>
    <row r="46" spans="1:11" x14ac:dyDescent="0.25">
      <c r="A46" s="35"/>
      <c r="B46" t="s">
        <v>226</v>
      </c>
      <c r="C46" s="2">
        <f>SUM('ADC AUTO MODEL'!$A$53:$A$57)</f>
        <v>613.07562260860095</v>
      </c>
      <c r="D46" s="2">
        <f>PRODUCTIVITIES!$E$16</f>
        <v>888.0117100682927</v>
      </c>
      <c r="E46" s="37">
        <f>'WAGE RATES'!$D$5</f>
        <v>54.142360316355024</v>
      </c>
      <c r="F46" s="41">
        <f>E46*100/D46</f>
        <v>6.0970322465895403</v>
      </c>
      <c r="G46" s="41">
        <f>PIGGYBACKS!$B$9</f>
        <v>1.2615773174013249</v>
      </c>
      <c r="H46" s="41">
        <f>'WAGE RATES'!$D$10</f>
        <v>1.0285306172213804</v>
      </c>
      <c r="I46" s="41">
        <f>(H46-1)*F46</f>
        <v>0.17395209321385913</v>
      </c>
      <c r="J46" s="41">
        <f>F46*G46+I46</f>
        <v>7.8658296789756648</v>
      </c>
      <c r="K46" s="41">
        <f ca="1">C46*$J46/'ADC AUTO MODEL'!$G$6</f>
        <v>0.48223484277712264</v>
      </c>
    </row>
    <row r="47" spans="1:11" x14ac:dyDescent="0.25">
      <c r="B47" t="s">
        <v>227</v>
      </c>
      <c r="C47" s="2">
        <f>SUM('ADC AUTO MODEL'!$H$53:$H$57)</f>
        <v>0</v>
      </c>
      <c r="D47" s="2">
        <f>PRODUCTIVITIES!$E$32</f>
        <v>1.0273268954181221</v>
      </c>
      <c r="E47" s="37">
        <f>'WAGE RATES'!$D$6</f>
        <v>50.10717457546064</v>
      </c>
      <c r="F47" s="41">
        <f>E47*100/D47</f>
        <v>4877.4323731753384</v>
      </c>
      <c r="G47" s="41">
        <f>PIGGYBACKS!$B$10</f>
        <v>1.6305774272183733</v>
      </c>
      <c r="H47" s="41">
        <f>'WAGE RATES'!$D$10</f>
        <v>1.0285306172213804</v>
      </c>
      <c r="I47" s="41">
        <f>(H47-1)*F47</f>
        <v>139.15615606223454</v>
      </c>
      <c r="J47" s="41">
        <f>F47*G47+I47</f>
        <v>8092.1872865460828</v>
      </c>
      <c r="K47" s="41">
        <f ca="1">C47*$J47/'ADC AUTO MODEL'!$G$6</f>
        <v>0</v>
      </c>
    </row>
    <row r="48" spans="1:11" x14ac:dyDescent="0.25">
      <c r="B48" t="s">
        <v>228</v>
      </c>
      <c r="C48" s="2">
        <f>SUM('ADC AUTO MODEL'!$G$53:$G$57)</f>
        <v>0</v>
      </c>
      <c r="D48" s="2">
        <f>PRODUCTIVITIES!$E$38</f>
        <v>1.0273268954181221</v>
      </c>
      <c r="E48" s="37">
        <f>'WAGE RATES'!$D$6</f>
        <v>50.10717457546064</v>
      </c>
      <c r="F48" s="41">
        <f>E48*100/D48</f>
        <v>4877.4323731753384</v>
      </c>
      <c r="G48" s="41">
        <f>PIGGYBACKS!$B$10</f>
        <v>1.6305774272183733</v>
      </c>
      <c r="H48" s="41">
        <f>'WAGE RATES'!$D$10</f>
        <v>1.0285306172213804</v>
      </c>
      <c r="I48" s="41">
        <f>(H48-1)*F48</f>
        <v>139.15615606223454</v>
      </c>
      <c r="J48" s="41">
        <f>F48*G48+I48</f>
        <v>8092.1872865460828</v>
      </c>
      <c r="K48" s="41">
        <f ca="1">C48*$J48/'ADC AUTO MODEL'!$G$6</f>
        <v>0</v>
      </c>
    </row>
    <row r="49" spans="1:11" x14ac:dyDescent="0.25">
      <c r="B49" t="s">
        <v>200</v>
      </c>
      <c r="C49" s="2">
        <f>SUM('ADC AUTO MODEL'!$M$53:$M$57)</f>
        <v>782.14092872781498</v>
      </c>
      <c r="D49" s="2">
        <f>PRODUCTIVITIES!$E$44</f>
        <v>692.96374405746178</v>
      </c>
      <c r="E49" s="37">
        <f>'WAGE RATES'!$D$6</f>
        <v>50.10717457546064</v>
      </c>
      <c r="F49" s="41">
        <f>E49*100/D49</f>
        <v>7.2308508208628108</v>
      </c>
      <c r="G49" s="41">
        <f>PIGGYBACKS!$B$12</f>
        <v>1.3622907328394676</v>
      </c>
      <c r="H49" s="41">
        <f>'WAGE RATES'!$D$10</f>
        <v>1.0285306172213804</v>
      </c>
      <c r="I49" s="41">
        <f>(H49-1)*F49</f>
        <v>0.20630063695494108</v>
      </c>
      <c r="J49" s="41">
        <f>F49*G49+I49</f>
        <v>10.056821700761006</v>
      </c>
      <c r="K49" s="41">
        <f ca="1">C49*$J49/'ADC AUTO MODEL'!$G$6</f>
        <v>0.78658518650832709</v>
      </c>
    </row>
    <row r="50" spans="1:11" x14ac:dyDescent="0.25">
      <c r="F50" s="41"/>
      <c r="H50" s="41"/>
      <c r="I50" s="41"/>
      <c r="J50" s="41"/>
      <c r="K50" s="41"/>
    </row>
    <row r="51" spans="1:11" x14ac:dyDescent="0.25">
      <c r="A51" s="1" t="s">
        <v>231</v>
      </c>
      <c r="F51" s="41"/>
      <c r="H51" s="41"/>
      <c r="I51" s="41"/>
      <c r="J51" s="41"/>
      <c r="K51" s="41"/>
    </row>
    <row r="52" spans="1:11" x14ac:dyDescent="0.25">
      <c r="A52" s="35"/>
      <c r="B52" t="s">
        <v>225</v>
      </c>
      <c r="C52" s="2">
        <f>SUM('ADC AUTO MODEL'!$B$64:$B$68)</f>
        <v>1959.2512110197315</v>
      </c>
      <c r="D52" s="2">
        <f>PRODUCTIVITIES!$E$26*'COVERAGE FACTORS'!$C$25+PRODUCTIVITIES!$E$20*(1-'COVERAGE FACTORS'!$C$25)</f>
        <v>2073.5491608992547</v>
      </c>
      <c r="E52" s="37">
        <f>'WAGE RATES'!$D$6</f>
        <v>50.10717457546064</v>
      </c>
      <c r="F52" s="41">
        <f>E52*100/D52</f>
        <v>2.4164932049997896</v>
      </c>
      <c r="G52" s="41">
        <f>PIGGYBACKS!$B$8</f>
        <v>1.6305774272183733</v>
      </c>
      <c r="H52" s="41">
        <f>'WAGE RATES'!$D$10</f>
        <v>1.0285306172213804</v>
      </c>
      <c r="I52" s="41">
        <f>(H52-1)*F52</f>
        <v>6.8944042649915702E-2</v>
      </c>
      <c r="J52" s="41">
        <f>F52*G52+I52</f>
        <v>4.0092233157491535</v>
      </c>
      <c r="K52" s="41">
        <f ca="1">C52*$J52/'ADC AUTO MODEL'!$G$6</f>
        <v>0.78550756366300867</v>
      </c>
    </row>
    <row r="53" spans="1:11" x14ac:dyDescent="0.25">
      <c r="A53" s="35"/>
      <c r="B53" t="s">
        <v>226</v>
      </c>
      <c r="C53" s="2">
        <f>SUM('ADC AUTO MODEL'!$A$64:$A$68)</f>
        <v>120.10142914169897</v>
      </c>
      <c r="D53" s="2">
        <f>PRODUCTIVITIES!$E$16</f>
        <v>888.0117100682927</v>
      </c>
      <c r="E53" s="37">
        <f>'WAGE RATES'!$D$5</f>
        <v>54.142360316355024</v>
      </c>
      <c r="F53" s="41">
        <f>E53*100/D53</f>
        <v>6.0970322465895403</v>
      </c>
      <c r="G53" s="41">
        <f>PIGGYBACKS!$B$9</f>
        <v>1.2615773174013249</v>
      </c>
      <c r="H53" s="41">
        <f>'WAGE RATES'!$D$10</f>
        <v>1.0285306172213804</v>
      </c>
      <c r="I53" s="41">
        <f>(H53-1)*F53</f>
        <v>0.17395209321385913</v>
      </c>
      <c r="J53" s="41">
        <f>F53*G53+I53</f>
        <v>7.8658296789756648</v>
      </c>
      <c r="K53" s="41">
        <f ca="1">C53*$J53/'ADC AUTO MODEL'!$G$6</f>
        <v>9.4469738583017035E-2</v>
      </c>
    </row>
    <row r="54" spans="1:11" x14ac:dyDescent="0.25">
      <c r="B54" t="s">
        <v>227</v>
      </c>
      <c r="C54" s="2">
        <f>SUM('ADC AUTO MODEL'!$H$64:$H$68)</f>
        <v>0</v>
      </c>
      <c r="D54" s="2">
        <f>PRODUCTIVITIES!$E$33</f>
        <v>1.0273268954181221</v>
      </c>
      <c r="E54" s="37">
        <f>'WAGE RATES'!$D$6</f>
        <v>50.10717457546064</v>
      </c>
      <c r="F54" s="41">
        <f>E54*100/D54</f>
        <v>4877.4323731753384</v>
      </c>
      <c r="G54" s="41">
        <f>PIGGYBACKS!$B$10</f>
        <v>1.6305774272183733</v>
      </c>
      <c r="H54" s="41">
        <f>'WAGE RATES'!$D$10</f>
        <v>1.0285306172213804</v>
      </c>
      <c r="I54" s="41">
        <f>(H54-1)*F54</f>
        <v>139.15615606223454</v>
      </c>
      <c r="J54" s="41">
        <f>F54*G54+I54</f>
        <v>8092.1872865460828</v>
      </c>
      <c r="K54" s="41">
        <f ca="1">C54*$J54/'ADC AUTO MODEL'!$G$6</f>
        <v>0</v>
      </c>
    </row>
    <row r="55" spans="1:11" x14ac:dyDescent="0.25">
      <c r="B55" t="s">
        <v>228</v>
      </c>
      <c r="C55" s="2">
        <f>SUM('ADC AUTO MODEL'!$G$64:$G$68)</f>
        <v>0</v>
      </c>
      <c r="D55" s="2">
        <f>PRODUCTIVITIES!$E$39</f>
        <v>1.0273268954181221</v>
      </c>
      <c r="E55" s="37">
        <f>'WAGE RATES'!$D$6</f>
        <v>50.10717457546064</v>
      </c>
      <c r="F55" s="41">
        <f>E55*100/D55</f>
        <v>4877.4323731753384</v>
      </c>
      <c r="G55" s="41">
        <f>PIGGYBACKS!$B$10</f>
        <v>1.6305774272183733</v>
      </c>
      <c r="H55" s="41">
        <f>'WAGE RATES'!$D$10</f>
        <v>1.0285306172213804</v>
      </c>
      <c r="I55" s="41">
        <f>(H55-1)*F55</f>
        <v>139.15615606223454</v>
      </c>
      <c r="J55" s="41">
        <f>F55*G55+I55</f>
        <v>8092.1872865460828</v>
      </c>
      <c r="K55" s="41">
        <f ca="1">C55*$J55/'ADC AUTO MODEL'!$G$6</f>
        <v>0</v>
      </c>
    </row>
    <row r="56" spans="1:11" x14ac:dyDescent="0.25">
      <c r="B56" t="s">
        <v>200</v>
      </c>
      <c r="C56" s="2">
        <f>SUM('ADC AUTO MODEL'!$M$64:$M$68)</f>
        <v>311.00612236504776</v>
      </c>
      <c r="D56" s="2">
        <f>PRODUCTIVITIES!$E$45</f>
        <v>600.65917211803048</v>
      </c>
      <c r="E56" s="37">
        <f>'WAGE RATES'!$D$6</f>
        <v>50.10717457546064</v>
      </c>
      <c r="F56" s="41">
        <f>E56*100/D56</f>
        <v>8.3420310387959073</v>
      </c>
      <c r="G56" s="41">
        <f>PIGGYBACKS!$B$12</f>
        <v>1.3622907328394676</v>
      </c>
      <c r="H56" s="41">
        <f>'WAGE RATES'!$D$10</f>
        <v>1.0285306172213804</v>
      </c>
      <c r="I56" s="41">
        <f>(H56-1)*F56</f>
        <v>0.2380032944167603</v>
      </c>
      <c r="J56" s="41">
        <f>F56*G56+I56</f>
        <v>11.602274871627621</v>
      </c>
      <c r="K56" s="41">
        <f ca="1">C56*$J56/'ADC AUTO MODEL'!$G$6</f>
        <v>0.36083785184383455</v>
      </c>
    </row>
    <row r="57" spans="1:11" x14ac:dyDescent="0.25">
      <c r="F57" s="41"/>
      <c r="H57" s="41"/>
      <c r="I57" s="41"/>
      <c r="J57" s="41"/>
      <c r="K57" s="41"/>
    </row>
    <row r="58" spans="1:11" x14ac:dyDescent="0.25">
      <c r="A58" s="1" t="s">
        <v>232</v>
      </c>
      <c r="F58" s="41"/>
      <c r="H58" s="41"/>
      <c r="I58" s="41"/>
      <c r="J58" s="41"/>
      <c r="K58" s="41"/>
    </row>
    <row r="59" spans="1:11" x14ac:dyDescent="0.25">
      <c r="A59" s="35"/>
      <c r="B59" t="s">
        <v>225</v>
      </c>
      <c r="C59" s="2">
        <f ca="1">SUM('ADC AUTO MODEL'!$B$74:$B$78)+SUM('ADC AUTO MODEL'!$B$108:$B$112)</f>
        <v>642.10556307866591</v>
      </c>
      <c r="D59" s="2">
        <f>PRODUCTIVITIES!$E$27*'COVERAGE FACTORS'!$C$25+PRODUCTIVITIES!$E$21*(1-'COVERAGE FACTORS'!$C$25)</f>
        <v>1117.4154005483335</v>
      </c>
      <c r="E59" s="37">
        <f>'WAGE RATES'!$D$6</f>
        <v>50.10717457546064</v>
      </c>
      <c r="F59" s="41">
        <f>E59*100/D59</f>
        <v>4.4842029697167458</v>
      </c>
      <c r="G59" s="41">
        <f>PIGGYBACKS!$B$8</f>
        <v>1.6305774272183733</v>
      </c>
      <c r="H59" s="41">
        <f>'WAGE RATES'!$D$10</f>
        <v>1.0285306172213804</v>
      </c>
      <c r="I59" s="41">
        <f>(H59-1)*F59</f>
        <v>0.1279370784719657</v>
      </c>
      <c r="J59" s="41">
        <f>F59*G59+I59</f>
        <v>7.4397772199576861</v>
      </c>
      <c r="K59" s="41">
        <f ca="1">C59*$J59/'ADC AUTO MODEL'!$G$6</f>
        <v>0.47771223410007702</v>
      </c>
    </row>
    <row r="60" spans="1:11" x14ac:dyDescent="0.25">
      <c r="A60" s="35"/>
      <c r="B60" t="s">
        <v>226</v>
      </c>
      <c r="C60" s="2">
        <f ca="1">SUM('ADC AUTO MODEL'!$A$74:$A$78)+SUM('ADC AUTO MODEL'!$A$108:$A$112)</f>
        <v>39.360851406821702</v>
      </c>
      <c r="D60" s="2">
        <f>PRODUCTIVITIES!$E$16</f>
        <v>888.0117100682927</v>
      </c>
      <c r="E60" s="37">
        <f>'WAGE RATES'!$D$5</f>
        <v>54.142360316355024</v>
      </c>
      <c r="F60" s="41">
        <f>E60*100/D60</f>
        <v>6.0970322465895403</v>
      </c>
      <c r="G60" s="41">
        <f>PIGGYBACKS!$B$9</f>
        <v>1.2615773174013249</v>
      </c>
      <c r="H60" s="41">
        <f>'WAGE RATES'!$D$10</f>
        <v>1.0285306172213804</v>
      </c>
      <c r="I60" s="41">
        <f>(H60-1)*F60</f>
        <v>0.17395209321385913</v>
      </c>
      <c r="J60" s="41">
        <f>F60*G60+I60</f>
        <v>7.8658296789756648</v>
      </c>
      <c r="K60" s="41">
        <f ca="1">C60*$J60/'ADC AUTO MODEL'!$G$6</f>
        <v>3.0960575318552973E-2</v>
      </c>
    </row>
    <row r="61" spans="1:11" x14ac:dyDescent="0.25">
      <c r="B61" t="s">
        <v>227</v>
      </c>
      <c r="C61" s="2">
        <f>SUM('ADC AUTO MODEL'!$H$74:$H$78)</f>
        <v>0</v>
      </c>
      <c r="D61" s="2">
        <f>PRODUCTIVITIES!$E$34</f>
        <v>1.0273268954181221</v>
      </c>
      <c r="E61" s="37">
        <f>'WAGE RATES'!$D$6</f>
        <v>50.10717457546064</v>
      </c>
      <c r="F61" s="41">
        <f>E61*100/D61</f>
        <v>4877.4323731753384</v>
      </c>
      <c r="G61" s="41">
        <f>PIGGYBACKS!$B$10</f>
        <v>1.6305774272183733</v>
      </c>
      <c r="H61" s="41">
        <f>'WAGE RATES'!$D$10</f>
        <v>1.0285306172213804</v>
      </c>
      <c r="I61" s="41">
        <f>(H61-1)*F61</f>
        <v>139.15615606223454</v>
      </c>
      <c r="J61" s="41">
        <f>F61*G61+I61</f>
        <v>8092.1872865460828</v>
      </c>
      <c r="K61" s="41">
        <f ca="1">C61*$J61/'ADC AUTO MODEL'!$G$6</f>
        <v>0</v>
      </c>
    </row>
    <row r="62" spans="1:11" x14ac:dyDescent="0.25">
      <c r="B62" t="s">
        <v>228</v>
      </c>
      <c r="C62" s="2">
        <f>SUM('ADC AUTO MODEL'!$G$74:$G$78)</f>
        <v>0</v>
      </c>
      <c r="D62" s="2">
        <f>PRODUCTIVITIES!$E$40</f>
        <v>1.0273268954181221</v>
      </c>
      <c r="E62" s="37">
        <f>'WAGE RATES'!$D$6</f>
        <v>50.10717457546064</v>
      </c>
      <c r="F62" s="41">
        <f>E62*100/D62</f>
        <v>4877.4323731753384</v>
      </c>
      <c r="G62" s="41">
        <f>PIGGYBACKS!$B$10</f>
        <v>1.6305774272183733</v>
      </c>
      <c r="H62" s="41">
        <f>'WAGE RATES'!$D$10</f>
        <v>1.0285306172213804</v>
      </c>
      <c r="I62" s="41">
        <f>(H62-1)*F62</f>
        <v>139.15615606223454</v>
      </c>
      <c r="J62" s="41">
        <f>F62*G62+I62</f>
        <v>8092.1872865460828</v>
      </c>
      <c r="K62" s="41">
        <f ca="1">C62*$J62/'ADC AUTO MODEL'!$G$6</f>
        <v>0</v>
      </c>
    </row>
    <row r="63" spans="1:11" x14ac:dyDescent="0.25">
      <c r="B63" t="s">
        <v>200</v>
      </c>
      <c r="C63" s="2">
        <f ca="1">SUM('ADC AUTO MODEL'!$M$74:$M$78)</f>
        <v>76.256765046408461</v>
      </c>
      <c r="D63" s="2">
        <f>PRODUCTIVITIES!$E$46</f>
        <v>753.4091755495233</v>
      </c>
      <c r="E63" s="37">
        <f>'WAGE RATES'!$D$6</f>
        <v>50.10717457546064</v>
      </c>
      <c r="F63" s="41">
        <f>E63*100/D63</f>
        <v>6.6507252900010618</v>
      </c>
      <c r="G63" s="41">
        <f>PIGGYBACKS!$B$12</f>
        <v>1.3622907328394676</v>
      </c>
      <c r="H63" s="41">
        <f>'WAGE RATES'!$D$10</f>
        <v>1.0285306172213804</v>
      </c>
      <c r="I63" s="41">
        <f>(H63-1)*F63</f>
        <v>0.18974929749357441</v>
      </c>
      <c r="J63" s="41">
        <f>F63*G63+I63</f>
        <v>9.2499707267231006</v>
      </c>
      <c r="K63" s="41">
        <f ca="1">C63*$J63/'ADC AUTO MODEL'!$G$6</f>
        <v>7.0537284439388087E-2</v>
      </c>
    </row>
    <row r="64" spans="1:11" x14ac:dyDescent="0.25">
      <c r="A64" s="35"/>
      <c r="F64" s="41"/>
      <c r="H64" s="41"/>
      <c r="I64" s="41"/>
      <c r="J64" s="41"/>
      <c r="K64" s="41"/>
    </row>
    <row r="65" spans="1:11" x14ac:dyDescent="0.25">
      <c r="A65" s="1" t="s">
        <v>233</v>
      </c>
      <c r="F65" s="41"/>
      <c r="H65" s="41"/>
      <c r="I65" s="41"/>
      <c r="J65" s="41"/>
      <c r="K65" s="41"/>
    </row>
    <row r="66" spans="1:11" x14ac:dyDescent="0.25">
      <c r="A66" s="35"/>
      <c r="B66" t="s">
        <v>225</v>
      </c>
      <c r="C66" s="2">
        <f ca="1">SUM('ADC AUTO MODEL'!$B$83:$B$87)+SUM('ADC AUTO MODEL'!$B$122:$B$126)</f>
        <v>9110.408076440508</v>
      </c>
      <c r="D66" s="2">
        <f>PRODUCTIVITIES!$E$28*'COVERAGE FACTORS'!$C$25+PRODUCTIVITIES!$E$22*(1-'COVERAGE FACTORS'!$C$25)</f>
        <v>1858.2572281195687</v>
      </c>
      <c r="E66" s="37">
        <f>'WAGE RATES'!$D$6</f>
        <v>50.10717457546064</v>
      </c>
      <c r="F66" s="41">
        <f>E66*100/D66</f>
        <v>2.6964606308118992</v>
      </c>
      <c r="G66" s="41">
        <f>PIGGYBACKS!$B$8</f>
        <v>1.6305774272183733</v>
      </c>
      <c r="H66" s="41">
        <f>'WAGE RATES'!$D$10</f>
        <v>1.0285306172213804</v>
      </c>
      <c r="I66" s="41">
        <f>(H66-1)*F66</f>
        <v>7.693168611021621E-2</v>
      </c>
      <c r="J66" s="41">
        <f>F66*G66+I66</f>
        <v>4.473719524095114</v>
      </c>
      <c r="K66" s="41">
        <f ca="1">C66*$J66/'ADC AUTO MODEL'!$G$6</f>
        <v>4.0757410484045788</v>
      </c>
    </row>
    <row r="67" spans="1:11" x14ac:dyDescent="0.25">
      <c r="A67" s="35"/>
      <c r="B67" t="s">
        <v>226</v>
      </c>
      <c r="C67" s="2">
        <f ca="1">SUM('ADC AUTO MODEL'!$A$83:$A$87)+SUM('ADC AUTO MODEL'!$A$122:$A$126)</f>
        <v>558.46489918722443</v>
      </c>
      <c r="D67" s="2">
        <f>PRODUCTIVITIES!$E$16</f>
        <v>888.0117100682927</v>
      </c>
      <c r="E67" s="37">
        <f>'WAGE RATES'!$D$5</f>
        <v>54.142360316355024</v>
      </c>
      <c r="F67" s="41">
        <f>E67*100/D67</f>
        <v>6.0970322465895403</v>
      </c>
      <c r="G67" s="41">
        <f>PIGGYBACKS!$B$9</f>
        <v>1.2615773174013249</v>
      </c>
      <c r="H67" s="41">
        <f>'WAGE RATES'!$D$10</f>
        <v>1.0285306172213804</v>
      </c>
      <c r="I67" s="41">
        <f>(H67-1)*F67</f>
        <v>0.17395209321385913</v>
      </c>
      <c r="J67" s="41">
        <f>F67*G67+I67</f>
        <v>7.8658296789756648</v>
      </c>
      <c r="K67" s="41">
        <f ca="1">C67*$J67/'ADC AUTO MODEL'!$G$6</f>
        <v>0.43927897786930303</v>
      </c>
    </row>
    <row r="68" spans="1:11" x14ac:dyDescent="0.25">
      <c r="B68" t="s">
        <v>227</v>
      </c>
      <c r="C68" s="2">
        <f>SUM('ADC AUTO MODEL'!$H$83:$H$87)</f>
        <v>0</v>
      </c>
      <c r="D68" s="2">
        <f>PRODUCTIVITIES!$E$35</f>
        <v>1.0273268954181221</v>
      </c>
      <c r="E68" s="37">
        <f>'WAGE RATES'!$D$6</f>
        <v>50.10717457546064</v>
      </c>
      <c r="F68" s="41">
        <f>E68*100/D68</f>
        <v>4877.4323731753384</v>
      </c>
      <c r="G68" s="41">
        <f>PIGGYBACKS!$B$10</f>
        <v>1.6305774272183733</v>
      </c>
      <c r="H68" s="41">
        <f>'WAGE RATES'!$D$10</f>
        <v>1.0285306172213804</v>
      </c>
      <c r="I68" s="41">
        <f>(H68-1)*F68</f>
        <v>139.15615606223454</v>
      </c>
      <c r="J68" s="41">
        <f>F68*G68+I68</f>
        <v>8092.1872865460828</v>
      </c>
      <c r="K68" s="41">
        <f ca="1">C68*$J68/'ADC AUTO MODEL'!$G$6</f>
        <v>0</v>
      </c>
    </row>
    <row r="69" spans="1:11" x14ac:dyDescent="0.25">
      <c r="B69" t="s">
        <v>228</v>
      </c>
      <c r="C69" s="2">
        <f>SUM('ADC AUTO MODEL'!$G$83:$G$87)</f>
        <v>0</v>
      </c>
      <c r="D69" s="2">
        <f>PRODUCTIVITIES!$E$41</f>
        <v>1.0273268954181221</v>
      </c>
      <c r="E69" s="37">
        <f>'WAGE RATES'!$D$6</f>
        <v>50.10717457546064</v>
      </c>
      <c r="F69" s="41">
        <f>E69*100/D69</f>
        <v>4877.4323731753384</v>
      </c>
      <c r="G69" s="41">
        <f>PIGGYBACKS!$B$10</f>
        <v>1.6305774272183733</v>
      </c>
      <c r="H69" s="41">
        <f>'WAGE RATES'!$D$10</f>
        <v>1.0285306172213804</v>
      </c>
      <c r="I69" s="41">
        <f>(H69-1)*F69</f>
        <v>139.15615606223454</v>
      </c>
      <c r="J69" s="41">
        <f>F69*G69+I69</f>
        <v>8092.1872865460828</v>
      </c>
      <c r="K69" s="41">
        <f ca="1">C69*$J69/'ADC AUTO MODEL'!$G$6</f>
        <v>0</v>
      </c>
    </row>
    <row r="70" spans="1:11" x14ac:dyDescent="0.25">
      <c r="B70" t="s">
        <v>200</v>
      </c>
      <c r="C70" s="2">
        <f ca="1">SUM('ADC AUTO MODEL'!$M$83:$M$87)</f>
        <v>1424.2877251450218</v>
      </c>
      <c r="D70" s="2">
        <f>PRODUCTIVITIES!$E$47</f>
        <v>675.89315757280178</v>
      </c>
      <c r="E70" s="37">
        <f>'WAGE RATES'!$D$6</f>
        <v>50.10717457546064</v>
      </c>
      <c r="F70" s="41">
        <f>E70*100/D70</f>
        <v>7.4134756379840256</v>
      </c>
      <c r="G70" s="41">
        <f>PIGGYBACKS!$B$12</f>
        <v>1.3622907328394676</v>
      </c>
      <c r="H70" s="41">
        <f>'WAGE RATES'!$D$10</f>
        <v>1.0285306172213804</v>
      </c>
      <c r="I70" s="41">
        <f>(H70-1)*F70</f>
        <v>0.21151103570735105</v>
      </c>
      <c r="J70" s="41">
        <f>F70*G70+I70</f>
        <v>10.310820195464149</v>
      </c>
      <c r="K70" s="41">
        <f ca="1">C70*$J70/'ADC AUTO MODEL'!$G$6</f>
        <v>1.4685574640577008</v>
      </c>
    </row>
    <row r="71" spans="1:11" x14ac:dyDescent="0.25">
      <c r="F71" s="41"/>
      <c r="H71" s="41"/>
      <c r="I71" s="41"/>
      <c r="J71" s="41"/>
      <c r="K71" s="41"/>
    </row>
    <row r="72" spans="1:11" x14ac:dyDescent="0.25">
      <c r="A72" s="1" t="s">
        <v>234</v>
      </c>
      <c r="F72" s="41"/>
      <c r="H72" s="41"/>
      <c r="I72" s="41"/>
      <c r="J72" s="41"/>
      <c r="K72" s="41"/>
    </row>
    <row r="73" spans="1:11" x14ac:dyDescent="0.25">
      <c r="B73" t="s">
        <v>99</v>
      </c>
      <c r="C73" s="2">
        <v>0</v>
      </c>
      <c r="D73" s="2">
        <v>0</v>
      </c>
      <c r="E73" s="37">
        <v>0</v>
      </c>
      <c r="F73" s="41">
        <v>0</v>
      </c>
      <c r="G73" s="41">
        <v>0</v>
      </c>
      <c r="H73" s="41">
        <v>0</v>
      </c>
      <c r="I73" s="41">
        <v>0</v>
      </c>
      <c r="J73" s="41">
        <v>0</v>
      </c>
      <c r="K73" s="41">
        <f ca="1">C73*$J73/'MADC NONAUTO MODEL'!$G$6</f>
        <v>0</v>
      </c>
    </row>
    <row r="74" spans="1:11" x14ac:dyDescent="0.25">
      <c r="B74" t="s">
        <v>226</v>
      </c>
      <c r="C74" s="2">
        <f ca="1">SUM('ADC AUTO MODEL'!$A$95:$A$99)</f>
        <v>0</v>
      </c>
      <c r="D74" s="2">
        <f>PRODUCTIVITIES!E16</f>
        <v>888.0117100682927</v>
      </c>
      <c r="E74" s="37">
        <f>'WAGE RATES'!D5</f>
        <v>54.142360316355024</v>
      </c>
      <c r="F74" s="41">
        <f>E74*100/D74</f>
        <v>6.0970322465895403</v>
      </c>
      <c r="G74" s="41">
        <f>PIGGYBACKS!B9</f>
        <v>1.2615773174013249</v>
      </c>
      <c r="H74" s="41">
        <f>'WAGE RATES'!$D$10</f>
        <v>1.0285306172213804</v>
      </c>
      <c r="I74" s="41">
        <f>(H74-1)*F74</f>
        <v>0.17395209321385913</v>
      </c>
      <c r="J74" s="41">
        <f>F74*G74+I74</f>
        <v>7.8658296789756648</v>
      </c>
      <c r="K74" s="41">
        <f ca="1">C74*$J74/'ADC AUTO MODEL'!$G$6</f>
        <v>0</v>
      </c>
    </row>
    <row r="75" spans="1:11" x14ac:dyDescent="0.25">
      <c r="F75" s="41"/>
      <c r="H75" s="41"/>
      <c r="I75" s="41"/>
      <c r="J75" s="41"/>
    </row>
    <row r="76" spans="1:11" ht="13.8" thickBot="1" x14ac:dyDescent="0.3">
      <c r="F76" s="41"/>
      <c r="H76" s="41"/>
      <c r="I76" s="41"/>
      <c r="J76" s="41"/>
      <c r="K76" s="40" t="str">
        <f>"(10)"</f>
        <v>(10)</v>
      </c>
    </row>
    <row r="77" spans="1:11" ht="13.8" thickBot="1" x14ac:dyDescent="0.3">
      <c r="F77" s="41"/>
      <c r="H77" s="41"/>
      <c r="I77" s="41"/>
      <c r="J77" s="136" t="s">
        <v>205</v>
      </c>
      <c r="K77" s="137">
        <f ca="1">SUM(K11:K74)</f>
        <v>16.431415362498338</v>
      </c>
    </row>
    <row r="81" spans="1:8" x14ac:dyDescent="0.25">
      <c r="A81" s="139" t="str">
        <f>"(1)"</f>
        <v>(1)</v>
      </c>
      <c r="B81" s="1" t="s">
        <v>328</v>
      </c>
      <c r="F81" s="139" t="str">
        <f>"(6)"</f>
        <v>(6)</v>
      </c>
      <c r="G81" s="1" t="s">
        <v>236</v>
      </c>
      <c r="H81" s="33"/>
    </row>
    <row r="82" spans="1:8" x14ac:dyDescent="0.25">
      <c r="A82" s="139" t="str">
        <f>"(2)"</f>
        <v>(2)</v>
      </c>
      <c r="B82" s="1" t="s">
        <v>237</v>
      </c>
      <c r="F82" s="138" t="str">
        <f>"(7)"</f>
        <v>(7)</v>
      </c>
      <c r="G82" s="140" t="s">
        <v>209</v>
      </c>
      <c r="H82" s="33"/>
    </row>
    <row r="83" spans="1:8" x14ac:dyDescent="0.25">
      <c r="A83" s="139" t="str">
        <f>"(3)"</f>
        <v>(3)</v>
      </c>
      <c r="B83" s="1" t="s">
        <v>236</v>
      </c>
      <c r="F83" s="138" t="str">
        <f>"(8)"</f>
        <v>(8)</v>
      </c>
      <c r="G83" s="140" t="s">
        <v>211</v>
      </c>
      <c r="H83" s="33"/>
    </row>
    <row r="84" spans="1:8" x14ac:dyDescent="0.25">
      <c r="A84" s="139" t="str">
        <f>"(4)"</f>
        <v>(4)</v>
      </c>
      <c r="B84" s="1" t="s">
        <v>213</v>
      </c>
      <c r="F84" s="138" t="str">
        <f>"(9)"</f>
        <v>(9)</v>
      </c>
      <c r="G84" s="140" t="s">
        <v>212</v>
      </c>
      <c r="H84" s="33"/>
    </row>
    <row r="85" spans="1:8" x14ac:dyDescent="0.25">
      <c r="A85" s="139" t="str">
        <f>"(5)"</f>
        <v>(5)</v>
      </c>
      <c r="B85" s="1" t="s">
        <v>238</v>
      </c>
      <c r="F85" s="138" t="str">
        <f>"(10)"</f>
        <v>(10)</v>
      </c>
      <c r="G85" s="140" t="s">
        <v>214</v>
      </c>
      <c r="H85" s="33"/>
    </row>
    <row r="86" spans="1:8" x14ac:dyDescent="0.25">
      <c r="G86" s="140"/>
      <c r="H86" s="33"/>
    </row>
  </sheetData>
  <phoneticPr fontId="29" type="noConversion"/>
  <printOptions horizontalCentered="1"/>
  <pageMargins left="0.75" right="0.75" top="1" bottom="1" header="0.5" footer="0.5"/>
  <pageSetup scale="60" orientation="portrait" r:id="rId1"/>
  <headerFooter alignWithMargins="0">
    <oddFooter>&amp;CTab '&amp;A'&amp;RPage 21</oddFooter>
  </headerFooter>
  <ignoredErrors>
    <ignoredError sqref="E32 E39 E46 E53 E60 E67" formula="1"/>
  </ignoredErrors>
</worksheet>
</file>

<file path=xl/worksheets/sheet2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9"/>
  <dimension ref="A1:AD128"/>
  <sheetViews>
    <sheetView zoomScale="70" workbookViewId="0"/>
  </sheetViews>
  <sheetFormatPr defaultRowHeight="13.2" x14ac:dyDescent="0.25"/>
  <cols>
    <col min="1" max="3" width="10.77734375" style="19" customWidth="1"/>
    <col min="4" max="4" width="10.77734375" style="58" customWidth="1"/>
    <col min="5" max="6" width="10.77734375" style="19" customWidth="1"/>
    <col min="7" max="7" width="15.77734375" style="19" customWidth="1"/>
    <col min="8" max="8" width="10.77734375" style="19" customWidth="1"/>
    <col min="9" max="9" width="10.77734375" style="58" customWidth="1"/>
    <col min="10" max="12" width="10.77734375" style="19" customWidth="1"/>
    <col min="13" max="13" width="10.77734375" customWidth="1"/>
    <col min="14" max="14" width="10.77734375" style="19" customWidth="1"/>
    <col min="15" max="16" width="10.77734375" style="58" customWidth="1"/>
    <col min="17" max="18" width="10.77734375" style="19" customWidth="1"/>
    <col min="19" max="19" width="10.77734375" customWidth="1"/>
    <col min="20" max="20" width="10.77734375" style="19" customWidth="1"/>
    <col min="21" max="21" width="10.77734375" style="58" customWidth="1"/>
    <col min="22" max="30" width="10.77734375" style="19" customWidth="1"/>
    <col min="31" max="34" width="10.77734375" customWidth="1"/>
  </cols>
  <sheetData>
    <row r="1" spans="1:30" ht="28.2" x14ac:dyDescent="0.5">
      <c r="A1" s="56" t="str">
        <f>'ADC AUTO COST'!A1</f>
        <v>ADC AUTO PRESORT</v>
      </c>
    </row>
    <row r="2" spans="1:30" ht="22.8" x14ac:dyDescent="0.4">
      <c r="A2" s="57" t="s">
        <v>239</v>
      </c>
    </row>
    <row r="6" spans="1:30" ht="17.399999999999999" x14ac:dyDescent="0.3">
      <c r="A6" s="47" t="s">
        <v>240</v>
      </c>
      <c r="B6" s="17"/>
      <c r="C6" s="48">
        <f>SUM(C11:C16)+SUM(G11:G16)+SUM(K11:K16)+SUM(O11:O16)</f>
        <v>10000</v>
      </c>
      <c r="E6" s="47" t="s">
        <v>241</v>
      </c>
      <c r="F6" s="17"/>
      <c r="G6" s="48">
        <f ca="1">D88+J88+O88+D100+D127</f>
        <v>9999.9999999999818</v>
      </c>
      <c r="H6" s="17"/>
      <c r="J6" s="17"/>
      <c r="K6" s="17"/>
      <c r="O6" s="47"/>
      <c r="P6" s="47"/>
      <c r="Q6" s="17"/>
      <c r="R6" s="17"/>
      <c r="V6" s="17"/>
      <c r="W6" s="17"/>
      <c r="X6" s="17"/>
      <c r="Y6" s="17"/>
      <c r="AA6" s="17"/>
      <c r="AC6" s="17"/>
      <c r="AD6" s="17"/>
    </row>
    <row r="9" spans="1:30" x14ac:dyDescent="0.25">
      <c r="E9" s="17"/>
      <c r="H9" s="17"/>
      <c r="J9" s="17"/>
      <c r="K9" s="17"/>
      <c r="N9" s="17"/>
      <c r="Q9" s="17"/>
      <c r="R9" s="17"/>
      <c r="V9" s="17"/>
      <c r="W9" s="17"/>
      <c r="X9" s="17"/>
      <c r="Y9" s="17"/>
      <c r="AA9" s="17"/>
      <c r="AC9" s="17"/>
      <c r="AD9" s="17"/>
    </row>
    <row r="10" spans="1:30" ht="17.399999999999999" x14ac:dyDescent="0.3">
      <c r="A10" s="49" t="s">
        <v>242</v>
      </c>
      <c r="E10" s="17"/>
      <c r="G10" s="18"/>
      <c r="H10" s="26"/>
      <c r="J10" s="17"/>
      <c r="K10" s="17"/>
      <c r="N10" s="17"/>
      <c r="O10" s="60"/>
      <c r="Q10" s="17"/>
      <c r="R10" s="17"/>
      <c r="V10" s="17"/>
      <c r="W10" s="17"/>
      <c r="X10" s="17"/>
      <c r="Y10" s="17"/>
      <c r="AA10" s="17"/>
      <c r="AC10" s="17"/>
      <c r="AD10" s="17"/>
    </row>
    <row r="11" spans="1:30" x14ac:dyDescent="0.25">
      <c r="A11" s="25"/>
      <c r="B11" s="66" t="s">
        <v>243</v>
      </c>
      <c r="C11" s="67">
        <f>'ENTRY PROFILE'!H48+'ENTRY PROFILE'!I48</f>
        <v>110.81906215110294</v>
      </c>
      <c r="D11" s="59"/>
      <c r="E11" s="28"/>
      <c r="F11" s="61" t="s">
        <v>244</v>
      </c>
      <c r="G11" s="63">
        <v>0</v>
      </c>
      <c r="I11" s="27"/>
      <c r="J11" s="72" t="s">
        <v>245</v>
      </c>
      <c r="K11" s="73">
        <f>'ENTRY PROFILE'!H51+'ENTRY PROFILE'!I51</f>
        <v>0</v>
      </c>
      <c r="L11" s="59"/>
      <c r="M11" s="28"/>
      <c r="N11" s="78" t="s">
        <v>246</v>
      </c>
      <c r="O11" s="79">
        <v>0</v>
      </c>
      <c r="P11" s="141"/>
      <c r="Q11" s="17"/>
      <c r="R11" s="17"/>
      <c r="V11" s="17"/>
      <c r="W11" s="17"/>
      <c r="X11" s="17"/>
      <c r="Y11" s="17"/>
      <c r="AA11" s="17"/>
      <c r="AC11" s="17"/>
      <c r="AD11" s="17"/>
    </row>
    <row r="12" spans="1:30" x14ac:dyDescent="0.25">
      <c r="A12" s="21"/>
      <c r="B12" s="68" t="s">
        <v>247</v>
      </c>
      <c r="C12" s="69">
        <v>0</v>
      </c>
      <c r="E12" s="17"/>
      <c r="F12" s="62" t="s">
        <v>248</v>
      </c>
      <c r="G12" s="63">
        <v>0</v>
      </c>
      <c r="I12" s="19"/>
      <c r="J12" s="74" t="s">
        <v>249</v>
      </c>
      <c r="K12" s="75">
        <v>0</v>
      </c>
      <c r="L12" s="58"/>
      <c r="M12" s="17"/>
      <c r="N12" s="80" t="s">
        <v>250</v>
      </c>
      <c r="O12" s="81">
        <v>0</v>
      </c>
      <c r="P12" s="141"/>
      <c r="Q12" s="17"/>
      <c r="R12" s="17"/>
      <c r="V12" s="17"/>
      <c r="W12" s="17"/>
      <c r="X12" s="17"/>
      <c r="Y12" s="17"/>
      <c r="AA12" s="17"/>
      <c r="AC12" s="17"/>
      <c r="AD12" s="17"/>
    </row>
    <row r="13" spans="1:30" x14ac:dyDescent="0.25">
      <c r="A13" s="21"/>
      <c r="B13" s="68" t="s">
        <v>251</v>
      </c>
      <c r="C13" s="69">
        <f>'ENTRY PROFILE'!L48+'ENTRY PROFILE'!M48+'ENTRY PROFILE'!L49+'ENTRY PROFILE'!M49+'ENTRY PROFILE'!X50</f>
        <v>9889.1809378488979</v>
      </c>
      <c r="E13" s="17"/>
      <c r="F13" s="62" t="s">
        <v>252</v>
      </c>
      <c r="G13" s="63">
        <v>0</v>
      </c>
      <c r="I13" s="19"/>
      <c r="J13" s="74" t="s">
        <v>253</v>
      </c>
      <c r="K13" s="75">
        <f>'ENTRY PROFILE'!L51+'ENTRY PROFILE'!M51+'ENTRY PROFILE'!L52+'ENTRY PROFILE'!M52+'ENTRY PROFILE'!X53</f>
        <v>0</v>
      </c>
      <c r="L13" s="58"/>
      <c r="M13" s="17"/>
      <c r="N13" s="80" t="s">
        <v>254</v>
      </c>
      <c r="O13" s="81">
        <v>0</v>
      </c>
      <c r="P13" s="141"/>
      <c r="Q13" s="17"/>
      <c r="R13" s="17"/>
      <c r="V13" s="17"/>
      <c r="W13" s="17"/>
      <c r="X13" s="17"/>
      <c r="Y13" s="17"/>
      <c r="AA13" s="17"/>
      <c r="AC13" s="17"/>
      <c r="AD13" s="17"/>
    </row>
    <row r="14" spans="1:30" x14ac:dyDescent="0.25">
      <c r="A14" s="21"/>
      <c r="B14" s="68" t="s">
        <v>255</v>
      </c>
      <c r="C14" s="69">
        <v>0</v>
      </c>
      <c r="E14" s="17"/>
      <c r="F14" s="62" t="s">
        <v>256</v>
      </c>
      <c r="G14" s="63">
        <v>0</v>
      </c>
      <c r="I14" s="19"/>
      <c r="J14" s="74" t="s">
        <v>257</v>
      </c>
      <c r="K14" s="75">
        <v>0</v>
      </c>
      <c r="L14" s="58"/>
      <c r="M14" s="17"/>
      <c r="N14" s="80" t="s">
        <v>258</v>
      </c>
      <c r="O14" s="81">
        <v>0</v>
      </c>
      <c r="P14" s="141"/>
      <c r="Q14" s="17"/>
      <c r="R14" s="17"/>
      <c r="V14" s="17"/>
      <c r="W14" s="17"/>
      <c r="X14" s="17"/>
      <c r="Y14" s="17"/>
      <c r="AA14" s="17"/>
      <c r="AC14" s="17"/>
      <c r="AD14" s="17"/>
    </row>
    <row r="15" spans="1:30" x14ac:dyDescent="0.25">
      <c r="A15" s="21"/>
      <c r="B15" s="68" t="s">
        <v>259</v>
      </c>
      <c r="C15" s="69">
        <v>0</v>
      </c>
      <c r="E15" s="17"/>
      <c r="F15" s="62" t="s">
        <v>260</v>
      </c>
      <c r="G15" s="63">
        <v>0</v>
      </c>
      <c r="I15" s="19"/>
      <c r="J15" s="74" t="s">
        <v>261</v>
      </c>
      <c r="K15" s="75">
        <v>0</v>
      </c>
      <c r="L15" s="58"/>
      <c r="M15" s="17"/>
      <c r="N15" s="80" t="s">
        <v>262</v>
      </c>
      <c r="O15" s="81">
        <v>0</v>
      </c>
      <c r="P15" s="141"/>
      <c r="Q15" s="17"/>
      <c r="R15" s="17"/>
      <c r="V15" s="17"/>
      <c r="W15" s="17"/>
      <c r="X15" s="17"/>
      <c r="Y15" s="17"/>
      <c r="AA15" s="17"/>
      <c r="AC15" s="17"/>
      <c r="AD15" s="17"/>
    </row>
    <row r="16" spans="1:30" x14ac:dyDescent="0.25">
      <c r="A16" s="20"/>
      <c r="B16" s="70" t="s">
        <v>263</v>
      </c>
      <c r="C16" s="71">
        <v>0</v>
      </c>
      <c r="D16" s="60"/>
      <c r="E16" s="26"/>
      <c r="F16" s="64" t="s">
        <v>264</v>
      </c>
      <c r="G16" s="65">
        <v>0</v>
      </c>
      <c r="H16" s="18"/>
      <c r="I16" s="18"/>
      <c r="J16" s="76" t="s">
        <v>265</v>
      </c>
      <c r="K16" s="77">
        <v>0</v>
      </c>
      <c r="L16" s="60"/>
      <c r="M16" s="26"/>
      <c r="N16" s="82" t="s">
        <v>266</v>
      </c>
      <c r="O16" s="83">
        <v>0</v>
      </c>
      <c r="P16" s="141"/>
      <c r="Q16" s="17"/>
      <c r="R16" s="17"/>
      <c r="V16" s="17"/>
      <c r="W16" s="17"/>
      <c r="X16" s="17"/>
      <c r="Y16" s="17"/>
      <c r="AA16" s="17"/>
      <c r="AC16" s="17"/>
      <c r="AD16" s="17"/>
    </row>
    <row r="20" spans="1:30" x14ac:dyDescent="0.25">
      <c r="A20" s="103"/>
      <c r="B20" s="105"/>
      <c r="C20" s="105"/>
      <c r="D20" s="106"/>
      <c r="E20" s="105"/>
      <c r="F20" s="105"/>
      <c r="G20" s="103"/>
      <c r="H20" s="104"/>
      <c r="I20" s="105"/>
      <c r="J20" s="106"/>
      <c r="K20" s="105"/>
      <c r="L20" s="105"/>
      <c r="M20" s="104"/>
      <c r="N20" s="105"/>
      <c r="O20" s="106"/>
      <c r="P20" s="105"/>
      <c r="Q20" s="107"/>
      <c r="S20" s="19"/>
      <c r="U20" s="19"/>
      <c r="Y20"/>
      <c r="Z20"/>
      <c r="AA20"/>
      <c r="AB20"/>
      <c r="AC20"/>
      <c r="AD20"/>
    </row>
    <row r="21" spans="1:30" s="125" customFormat="1" ht="22.8" x14ac:dyDescent="0.4">
      <c r="A21" s="177"/>
      <c r="B21" s="123"/>
      <c r="C21" s="127" t="s">
        <v>267</v>
      </c>
      <c r="D21" s="123"/>
      <c r="E21" s="57"/>
      <c r="F21" s="127"/>
      <c r="G21" s="122"/>
      <c r="H21" s="57"/>
      <c r="I21" s="123"/>
      <c r="J21" s="57"/>
      <c r="K21" s="57"/>
      <c r="L21" s="127" t="s">
        <v>268</v>
      </c>
      <c r="M21" s="57"/>
      <c r="N21" s="123"/>
      <c r="O21" s="57"/>
      <c r="P21" s="57"/>
      <c r="Q21" s="124"/>
      <c r="R21" s="57"/>
      <c r="S21" s="57"/>
      <c r="T21" s="57"/>
      <c r="U21" s="57"/>
      <c r="V21" s="57"/>
      <c r="W21" s="57"/>
      <c r="X21" s="57"/>
    </row>
    <row r="22" spans="1:30" s="125" customFormat="1" ht="22.8" x14ac:dyDescent="0.4">
      <c r="A22" s="122"/>
      <c r="B22" s="57"/>
      <c r="C22" s="57"/>
      <c r="D22" s="123"/>
      <c r="E22" s="57"/>
      <c r="F22" s="127"/>
      <c r="G22" s="122"/>
      <c r="H22" s="57"/>
      <c r="I22" s="123"/>
      <c r="J22" s="57"/>
      <c r="K22" s="57"/>
      <c r="M22" s="57"/>
      <c r="N22" s="123"/>
      <c r="O22" s="57"/>
      <c r="P22" s="57"/>
      <c r="Q22" s="124"/>
      <c r="R22" s="57"/>
      <c r="S22" s="57"/>
      <c r="T22" s="57"/>
      <c r="U22" s="57"/>
      <c r="V22" s="57"/>
      <c r="W22" s="57"/>
      <c r="X22" s="57"/>
    </row>
    <row r="23" spans="1:30" x14ac:dyDescent="0.25">
      <c r="A23" s="113"/>
      <c r="D23" s="96">
        <f>SUM(A25:A29)*(1-'ACCEPT RATES'!G14)+SUM(C25:C29)*SUM('ACCEPT RATES'!I14:J14)</f>
        <v>5.1845699116680803</v>
      </c>
      <c r="E23" s="23" t="s">
        <v>269</v>
      </c>
      <c r="G23" s="121"/>
      <c r="I23" s="23"/>
      <c r="J23" s="96">
        <f>SUM(G25:G29)*(1-'ACCEPT RATES'!E19)</f>
        <v>0</v>
      </c>
      <c r="K23" s="23" t="s">
        <v>269</v>
      </c>
      <c r="L23"/>
      <c r="M23" s="19"/>
      <c r="P23" s="23"/>
      <c r="Q23" s="108"/>
      <c r="S23" s="19"/>
      <c r="U23" s="19"/>
      <c r="Y23"/>
      <c r="Z23"/>
      <c r="AA23"/>
      <c r="AB23"/>
      <c r="AC23"/>
      <c r="AD23"/>
    </row>
    <row r="24" spans="1:30" x14ac:dyDescent="0.25">
      <c r="A24" s="126" t="s">
        <v>270</v>
      </c>
      <c r="B24" s="86" t="s">
        <v>271</v>
      </c>
      <c r="C24" s="87"/>
      <c r="D24" s="119"/>
      <c r="E24" s="23" t="s">
        <v>272</v>
      </c>
      <c r="G24" s="126" t="s">
        <v>273</v>
      </c>
      <c r="H24" s="86" t="s">
        <v>274</v>
      </c>
      <c r="I24" s="87"/>
      <c r="J24" s="99"/>
      <c r="K24" s="22" t="s">
        <v>272</v>
      </c>
      <c r="L24"/>
      <c r="M24" s="86" t="s">
        <v>275</v>
      </c>
      <c r="N24" s="87"/>
      <c r="P24" s="19"/>
      <c r="Q24" s="108"/>
      <c r="S24" s="19"/>
      <c r="U24" s="19"/>
      <c r="Y24"/>
      <c r="Z24"/>
      <c r="AA24"/>
      <c r="AB24"/>
      <c r="AC24"/>
      <c r="AD24"/>
    </row>
    <row r="25" spans="1:30" x14ac:dyDescent="0.25">
      <c r="A25" s="120">
        <f>B25*(1-'ACCEPT RATES'!C14)</f>
        <v>6.879460237083177</v>
      </c>
      <c r="B25" s="29">
        <f>C25*(1+'ACCEPT RATES'!F14)</f>
        <v>112.22673116374736</v>
      </c>
      <c r="C25" s="50">
        <f>C11*('COVERAGE FACTORS'!C15+'COVERAGE FACTORS'!C19)</f>
        <v>110.81855178963571</v>
      </c>
      <c r="E25" s="23" t="s">
        <v>200</v>
      </c>
      <c r="G25" s="178">
        <f>H25*(1-'ACCEPT RATES'!C19)</f>
        <v>0</v>
      </c>
      <c r="H25" s="29">
        <f>I25</f>
        <v>0</v>
      </c>
      <c r="I25" s="50">
        <f>C11*'COVERAGE FACTORS'!C17</f>
        <v>0</v>
      </c>
      <c r="J25" s="22"/>
      <c r="K25" s="22" t="s">
        <v>200</v>
      </c>
      <c r="L25"/>
      <c r="M25" s="29">
        <f>N25</f>
        <v>5.1036146727489475E-4</v>
      </c>
      <c r="N25" s="50">
        <f>C11*'COVERAGE FACTORS'!C21</f>
        <v>5.1036146727489475E-4</v>
      </c>
      <c r="P25" s="19"/>
      <c r="Q25" s="108"/>
      <c r="S25" s="19"/>
      <c r="U25" s="19"/>
      <c r="Y25"/>
      <c r="Z25"/>
      <c r="AA25"/>
      <c r="AB25"/>
      <c r="AC25"/>
      <c r="AD25"/>
    </row>
    <row r="26" spans="1:30" x14ac:dyDescent="0.25">
      <c r="A26" s="179">
        <f>B26*(1-'ACCEPT RATES'!D14)</f>
        <v>0</v>
      </c>
      <c r="B26" s="85">
        <f>C26*(1+'ACCEPT RATES'!F14)</f>
        <v>0</v>
      </c>
      <c r="C26" s="84">
        <f>G11*('COVERAGE FACTORS'!C15+'COVERAGE FACTORS'!C19)</f>
        <v>0</v>
      </c>
      <c r="G26" s="179">
        <f>H26*(1-'ACCEPT RATES'!D19)</f>
        <v>0</v>
      </c>
      <c r="H26" s="85">
        <f>I26</f>
        <v>0</v>
      </c>
      <c r="I26" s="84">
        <f>G11*'COVERAGE FACTORS'!C17</f>
        <v>0</v>
      </c>
      <c r="J26" s="58"/>
      <c r="L26"/>
      <c r="M26" s="85">
        <f>N26</f>
        <v>0</v>
      </c>
      <c r="N26" s="84">
        <f>G11*'COVERAGE FACTORS'!C21</f>
        <v>0</v>
      </c>
      <c r="P26" s="19"/>
      <c r="Q26" s="108"/>
      <c r="S26" s="19"/>
      <c r="U26" s="19"/>
      <c r="Y26"/>
      <c r="Z26"/>
      <c r="AA26"/>
      <c r="AB26"/>
      <c r="AC26"/>
      <c r="AD26"/>
    </row>
    <row r="27" spans="1:30" x14ac:dyDescent="0.25">
      <c r="A27" s="121"/>
      <c r="B27" s="85"/>
      <c r="C27" s="84"/>
      <c r="G27" s="109">
        <f>H27*(1-'ACCEPT RATES'!C19)</f>
        <v>0</v>
      </c>
      <c r="H27" s="89">
        <f>I27</f>
        <v>0</v>
      </c>
      <c r="I27" s="90">
        <f>K11*('COVERAGE FACTORS'!C17+'COVERAGE FACTORS'!C19)</f>
        <v>0</v>
      </c>
      <c r="J27" s="58"/>
      <c r="L27"/>
      <c r="M27" s="89">
        <f>N27</f>
        <v>0</v>
      </c>
      <c r="N27" s="90">
        <f>K11*(1-('COVERAGE FACTORS'!C17+'COVERAGE FACTORS'!C19))</f>
        <v>0</v>
      </c>
      <c r="P27" s="19"/>
      <c r="Q27" s="108"/>
      <c r="S27" s="19"/>
      <c r="U27" s="19"/>
      <c r="Y27"/>
      <c r="Z27"/>
      <c r="AA27"/>
      <c r="AB27"/>
      <c r="AC27"/>
      <c r="AD27"/>
    </row>
    <row r="28" spans="1:30" x14ac:dyDescent="0.25">
      <c r="A28" s="121"/>
      <c r="B28" s="85"/>
      <c r="C28" s="84"/>
      <c r="G28" s="110">
        <f>H28*(1-'ACCEPT RATES'!D19)</f>
        <v>0</v>
      </c>
      <c r="H28" s="94">
        <f>I28</f>
        <v>0</v>
      </c>
      <c r="I28" s="92">
        <f>O11*('COVERAGE FACTORS'!C17+'COVERAGE FACTORS'!C19)</f>
        <v>0</v>
      </c>
      <c r="J28" s="58"/>
      <c r="L28"/>
      <c r="M28" s="94">
        <f>N28</f>
        <v>0</v>
      </c>
      <c r="N28" s="92">
        <f>O11*(1-('COVERAGE FACTORS'!C17+'COVERAGE FACTORS'!C19))</f>
        <v>0</v>
      </c>
      <c r="P28" s="19"/>
      <c r="Q28" s="108"/>
      <c r="S28" s="19"/>
      <c r="U28" s="19"/>
      <c r="Y28"/>
      <c r="Z28"/>
      <c r="AA28"/>
      <c r="AB28"/>
      <c r="AC28"/>
      <c r="AD28"/>
    </row>
    <row r="29" spans="1:30" x14ac:dyDescent="0.25">
      <c r="A29" s="180"/>
      <c r="B29" s="20"/>
      <c r="C29" s="34"/>
      <c r="G29" s="111"/>
      <c r="H29" s="44"/>
      <c r="I29" s="34"/>
      <c r="J29" s="58"/>
      <c r="L29"/>
      <c r="M29" s="101">
        <f>N29</f>
        <v>5.1845699116680803</v>
      </c>
      <c r="N29" s="100">
        <f>D23+J23</f>
        <v>5.1845699116680803</v>
      </c>
      <c r="P29" s="19"/>
      <c r="Q29" s="108"/>
      <c r="S29" s="19"/>
      <c r="U29" s="19"/>
      <c r="Y29"/>
      <c r="Z29"/>
      <c r="AA29"/>
      <c r="AB29"/>
      <c r="AC29"/>
      <c r="AD29"/>
    </row>
    <row r="30" spans="1:30" x14ac:dyDescent="0.25">
      <c r="A30" s="113"/>
      <c r="C30" s="97"/>
      <c r="D30" s="364">
        <f>(SUM(C25:C29)-D23)*'PIECE DENSITIES'!C6</f>
        <v>13.526457963844585</v>
      </c>
      <c r="E30" s="23" t="s">
        <v>276</v>
      </c>
      <c r="G30" s="113"/>
      <c r="I30" s="98"/>
      <c r="J30" s="181">
        <f>(SUM(I25:I29)-J23)*'PIECE DENSITIES'!C11</f>
        <v>0</v>
      </c>
      <c r="K30" s="23" t="s">
        <v>277</v>
      </c>
      <c r="L30"/>
      <c r="M30" s="19"/>
      <c r="O30" s="95">
        <f>SUM(N25:N29)*'PIECE DENSITIES'!C16</f>
        <v>0.46394921083395907</v>
      </c>
      <c r="P30" s="23" t="s">
        <v>278</v>
      </c>
      <c r="Q30" s="108"/>
      <c r="S30" s="19"/>
      <c r="U30" s="19"/>
      <c r="Y30"/>
      <c r="Z30"/>
      <c r="AA30"/>
      <c r="AB30"/>
      <c r="AC30"/>
      <c r="AD30"/>
    </row>
    <row r="31" spans="1:30" x14ac:dyDescent="0.25">
      <c r="A31" s="113"/>
      <c r="C31" s="97"/>
      <c r="D31" s="364">
        <f>(SUM(C25:C29)-D23)*'PIECE DENSITIES'!D6</f>
        <v>54.751057276918814</v>
      </c>
      <c r="E31" s="23" t="s">
        <v>279</v>
      </c>
      <c r="G31" s="113"/>
      <c r="I31" s="98"/>
      <c r="J31" s="181">
        <f>(SUM(I25:I29)-J23)*'PIECE DENSITIES'!D11</f>
        <v>0</v>
      </c>
      <c r="K31" s="23" t="s">
        <v>280</v>
      </c>
      <c r="L31"/>
      <c r="M31" s="19"/>
      <c r="O31" s="95">
        <f>SUM(N25:N29)*'PIECE DENSITIES'!D16</f>
        <v>3.0107260249823375</v>
      </c>
      <c r="P31" s="23" t="s">
        <v>281</v>
      </c>
      <c r="Q31" s="108"/>
      <c r="S31" s="19"/>
      <c r="U31" s="19"/>
      <c r="Y31"/>
      <c r="Z31"/>
      <c r="AA31"/>
      <c r="AB31"/>
      <c r="AC31"/>
      <c r="AD31"/>
    </row>
    <row r="32" spans="1:30" x14ac:dyDescent="0.25">
      <c r="A32" s="113"/>
      <c r="C32" s="88"/>
      <c r="D32" s="365">
        <f>(SUM(C25:C29)-D23)*'PIECE DENSITIES'!E6</f>
        <v>29.569460379633014</v>
      </c>
      <c r="E32" s="23" t="s">
        <v>282</v>
      </c>
      <c r="G32" s="113"/>
      <c r="I32" s="93"/>
      <c r="J32" s="182">
        <f>(SUM(I25:I29)-J23)*'PIECE DENSITIES'!E11</f>
        <v>0</v>
      </c>
      <c r="K32" s="23" t="s">
        <v>283</v>
      </c>
      <c r="L32"/>
      <c r="M32" s="19"/>
      <c r="N32" s="45"/>
      <c r="O32" s="96">
        <f>SUM(N25:N29)*'PIECE DENSITIES'!E16</f>
        <v>1.3263801785421903</v>
      </c>
      <c r="P32" s="23" t="s">
        <v>284</v>
      </c>
      <c r="Q32" s="108"/>
      <c r="S32" s="19"/>
      <c r="U32" s="19"/>
      <c r="Y32"/>
      <c r="Z32"/>
      <c r="AA32"/>
      <c r="AB32"/>
      <c r="AC32"/>
      <c r="AD32"/>
    </row>
    <row r="33" spans="1:30" x14ac:dyDescent="0.25">
      <c r="A33" s="113"/>
      <c r="C33" s="88"/>
      <c r="D33" s="365">
        <f>(SUM(C25:C29)-D23)*'PIECE DENSITIES'!F6</f>
        <v>7.7870062575712211</v>
      </c>
      <c r="E33" s="23" t="s">
        <v>285</v>
      </c>
      <c r="G33" s="113"/>
      <c r="I33" s="93"/>
      <c r="J33" s="182">
        <f>(SUM(I25:I29)-J23)*'PIECE DENSITIES'!F11</f>
        <v>0</v>
      </c>
      <c r="K33" s="23" t="s">
        <v>286</v>
      </c>
      <c r="L33"/>
      <c r="M33" s="19"/>
      <c r="N33" s="45"/>
      <c r="O33" s="96">
        <f>SUM(N25:N29)*'PIECE DENSITIES'!F16</f>
        <v>0.38402485877686898</v>
      </c>
      <c r="P33" s="23" t="s">
        <v>287</v>
      </c>
      <c r="Q33" s="108"/>
      <c r="S33" s="19"/>
      <c r="U33" s="19"/>
      <c r="Y33"/>
      <c r="Z33"/>
      <c r="AA33"/>
      <c r="AB33"/>
      <c r="AC33"/>
      <c r="AD33"/>
    </row>
    <row r="34" spans="1:30" x14ac:dyDescent="0.25">
      <c r="A34" s="113"/>
      <c r="C34" s="88"/>
      <c r="D34" s="365">
        <f>(SUM(C25:C29)-D23)*'PIECE DENSITIES'!G6</f>
        <v>0</v>
      </c>
      <c r="E34" s="23" t="s">
        <v>288</v>
      </c>
      <c r="G34" s="113"/>
      <c r="I34" s="93"/>
      <c r="J34" s="182">
        <f>(SUM(I25:I29)-J23)*'PIECE DENSITIES'!G11</f>
        <v>0</v>
      </c>
      <c r="K34" s="23" t="s">
        <v>289</v>
      </c>
      <c r="L34"/>
      <c r="M34" s="19"/>
      <c r="N34" s="45"/>
      <c r="O34" s="96">
        <f>SUM(N25:N29)*'PIECE DENSITIES'!G16</f>
        <v>0</v>
      </c>
      <c r="P34" s="23" t="s">
        <v>290</v>
      </c>
      <c r="Q34" s="108"/>
      <c r="S34" s="19"/>
      <c r="U34" s="19"/>
      <c r="Y34"/>
      <c r="Z34"/>
      <c r="AA34"/>
      <c r="AB34"/>
      <c r="AC34"/>
      <c r="AD34"/>
    </row>
    <row r="35" spans="1:30" x14ac:dyDescent="0.25">
      <c r="A35" s="113"/>
      <c r="G35" s="113"/>
      <c r="I35" s="19"/>
      <c r="J35" s="58"/>
      <c r="L35"/>
      <c r="M35" s="19"/>
      <c r="P35" s="19"/>
      <c r="Q35" s="108"/>
      <c r="S35" s="19"/>
      <c r="U35" s="19"/>
      <c r="Y35"/>
      <c r="Z35"/>
      <c r="AA35"/>
      <c r="AB35"/>
      <c r="AC35"/>
      <c r="AD35"/>
    </row>
    <row r="36" spans="1:30" x14ac:dyDescent="0.25">
      <c r="A36" s="113"/>
      <c r="D36" s="96">
        <f>SUM(A38:A42)*(1-'ACCEPT RATES'!G15)+SUM(C38:C42)*SUM('ACCEPT RATES'!I15:J15)</f>
        <v>1.2552445915674728</v>
      </c>
      <c r="E36" s="23" t="s">
        <v>269</v>
      </c>
      <c r="G36" s="121"/>
      <c r="I36" s="23"/>
      <c r="J36" s="96">
        <f>SUM(G38:G42)*(1-'ACCEPT RATES'!E20)</f>
        <v>0</v>
      </c>
      <c r="K36" s="23" t="s">
        <v>269</v>
      </c>
      <c r="L36"/>
      <c r="M36" s="19"/>
      <c r="P36" s="23"/>
      <c r="Q36" s="108"/>
      <c r="S36" s="19"/>
      <c r="U36" s="19"/>
      <c r="Y36"/>
      <c r="Z36"/>
      <c r="AA36"/>
      <c r="AB36"/>
      <c r="AC36"/>
      <c r="AD36"/>
    </row>
    <row r="37" spans="1:30" x14ac:dyDescent="0.25">
      <c r="A37" s="126" t="s">
        <v>270</v>
      </c>
      <c r="B37" s="86" t="s">
        <v>291</v>
      </c>
      <c r="C37" s="87"/>
      <c r="D37" s="119"/>
      <c r="E37" s="23" t="s">
        <v>292</v>
      </c>
      <c r="G37" s="126" t="s">
        <v>273</v>
      </c>
      <c r="H37" s="86" t="s">
        <v>293</v>
      </c>
      <c r="I37" s="87"/>
      <c r="J37" s="99"/>
      <c r="K37" s="22" t="s">
        <v>292</v>
      </c>
      <c r="L37"/>
      <c r="M37" s="86" t="s">
        <v>278</v>
      </c>
      <c r="N37" s="87"/>
      <c r="P37" s="19"/>
      <c r="Q37" s="108"/>
      <c r="S37" s="19"/>
      <c r="U37" s="19"/>
      <c r="Y37"/>
      <c r="Z37"/>
      <c r="AA37"/>
      <c r="AB37"/>
      <c r="AC37"/>
      <c r="AD37"/>
    </row>
    <row r="38" spans="1:30" x14ac:dyDescent="0.25">
      <c r="A38" s="120">
        <f>B38*(1-'ACCEPT RATES'!C15)</f>
        <v>0</v>
      </c>
      <c r="B38" s="29">
        <f>C38*(1+'ACCEPT RATES'!F15+'PIECE DENSITIES'!C7)</f>
        <v>0</v>
      </c>
      <c r="C38" s="50">
        <f>C12*('COVERAGE FACTORS'!C15+'COVERAGE FACTORS'!C19)</f>
        <v>0</v>
      </c>
      <c r="E38" s="23" t="s">
        <v>200</v>
      </c>
      <c r="G38" s="178">
        <f>H38*(1-'ACCEPT RATES'!C20)</f>
        <v>0</v>
      </c>
      <c r="H38" s="29">
        <f>I38*(1+'PIECE DENSITIES'!C12)</f>
        <v>0</v>
      </c>
      <c r="I38" s="50">
        <f>C12*'COVERAGE FACTORS'!C17</f>
        <v>0</v>
      </c>
      <c r="J38" s="22"/>
      <c r="K38" s="22" t="s">
        <v>200</v>
      </c>
      <c r="L38"/>
      <c r="M38" s="29">
        <f>N38</f>
        <v>0</v>
      </c>
      <c r="N38" s="50">
        <f>C12*'COVERAGE FACTORS'!C21</f>
        <v>0</v>
      </c>
      <c r="P38" s="19"/>
      <c r="Q38" s="108"/>
      <c r="S38" s="19"/>
      <c r="U38" s="19"/>
      <c r="Y38"/>
      <c r="Z38"/>
      <c r="AA38"/>
      <c r="AB38"/>
      <c r="AC38"/>
      <c r="AD38"/>
    </row>
    <row r="39" spans="1:30" x14ac:dyDescent="0.25">
      <c r="A39" s="179">
        <f>B39*(1-'ACCEPT RATES'!D15)</f>
        <v>0</v>
      </c>
      <c r="B39" s="85">
        <f>C39*(1+'ACCEPT RATES'!F15+'PIECE DENSITIES'!C7)</f>
        <v>0</v>
      </c>
      <c r="C39" s="84">
        <f>G12*('COVERAGE FACTORS'!C15+'COVERAGE FACTORS'!C19)</f>
        <v>0</v>
      </c>
      <c r="G39" s="179">
        <f>H39*(1-'ACCEPT RATES'!D20)</f>
        <v>0</v>
      </c>
      <c r="H39" s="85">
        <f>I39*(1+'PIECE DENSITIES'!C12)</f>
        <v>0</v>
      </c>
      <c r="I39" s="84">
        <f>G12*'COVERAGE FACTORS'!C17</f>
        <v>0</v>
      </c>
      <c r="J39" s="58"/>
      <c r="L39"/>
      <c r="M39" s="85">
        <f>N39</f>
        <v>0</v>
      </c>
      <c r="N39" s="84">
        <f>G12*'COVERAGE FACTORS'!C21</f>
        <v>0</v>
      </c>
      <c r="P39" s="19"/>
      <c r="Q39" s="108"/>
      <c r="S39" s="19"/>
      <c r="U39" s="19"/>
      <c r="Y39"/>
      <c r="Z39"/>
      <c r="AA39"/>
      <c r="AB39"/>
      <c r="AC39"/>
      <c r="AD39"/>
    </row>
    <row r="40" spans="1:30" x14ac:dyDescent="0.25">
      <c r="A40" s="121"/>
      <c r="B40" s="85"/>
      <c r="C40" s="84"/>
      <c r="G40" s="109">
        <f>H40*(1-'ACCEPT RATES'!C20)</f>
        <v>0</v>
      </c>
      <c r="H40" s="89">
        <f>I40*(1+'PIECE DENSITIES'!C12)</f>
        <v>0</v>
      </c>
      <c r="I40" s="90">
        <f>K12*('COVERAGE FACTORS'!C17+'COVERAGE FACTORS'!C19)</f>
        <v>0</v>
      </c>
      <c r="J40" s="58"/>
      <c r="L40"/>
      <c r="M40" s="89">
        <f>N40</f>
        <v>0</v>
      </c>
      <c r="N40" s="90">
        <f>K12*(1-('COVERAGE FACTORS'!C17+'COVERAGE FACTORS'!C19))</f>
        <v>0</v>
      </c>
      <c r="P40" s="19"/>
      <c r="Q40" s="108"/>
      <c r="S40" s="19"/>
      <c r="U40" s="19"/>
      <c r="Y40"/>
      <c r="Z40"/>
      <c r="AA40"/>
      <c r="AB40"/>
      <c r="AC40"/>
      <c r="AD40"/>
    </row>
    <row r="41" spans="1:30" x14ac:dyDescent="0.25">
      <c r="A41" s="121"/>
      <c r="B41" s="85"/>
      <c r="C41" s="84"/>
      <c r="G41" s="110">
        <f>H41*(1-'ACCEPT RATES'!D20)</f>
        <v>0</v>
      </c>
      <c r="H41" s="94">
        <f>I41*(1+'PIECE DENSITIES'!C12)</f>
        <v>0</v>
      </c>
      <c r="I41" s="92">
        <f>O12*('COVERAGE FACTORS'!C17+'COVERAGE FACTORS'!C19)</f>
        <v>0</v>
      </c>
      <c r="J41" s="58"/>
      <c r="L41"/>
      <c r="M41" s="94">
        <f>N41</f>
        <v>0</v>
      </c>
      <c r="N41" s="92">
        <f>O12*(1-('COVERAGE FACTORS'!C17+'COVERAGE FACTORS'!C19))</f>
        <v>0</v>
      </c>
      <c r="P41" s="19"/>
      <c r="Q41" s="108"/>
      <c r="S41" s="19"/>
      <c r="U41" s="19"/>
      <c r="Y41"/>
      <c r="Z41"/>
      <c r="AA41"/>
      <c r="AB41"/>
      <c r="AC41"/>
      <c r="AD41"/>
    </row>
    <row r="42" spans="1:30" x14ac:dyDescent="0.25">
      <c r="A42" s="183">
        <f>B42*(1-'ACCEPT RATES'!C15)</f>
        <v>0.84915904522567642</v>
      </c>
      <c r="B42" s="187">
        <f>C42*(1+'ACCEPT RATES'!F15+'PIECE DENSITIES'!C7)</f>
        <v>13.85259026138538</v>
      </c>
      <c r="C42" s="188">
        <f>D30</f>
        <v>13.526457963844585</v>
      </c>
      <c r="G42" s="184">
        <f>IF(SUM(C11:C16)&gt;0,H42*(1-'ACCEPT RATES'!C20),H42*(1-'ACCEPT RATES'!D20))</f>
        <v>0</v>
      </c>
      <c r="H42" s="185">
        <f>I42*(1+'PIECE DENSITIES'!C12)</f>
        <v>0</v>
      </c>
      <c r="I42" s="186">
        <f>J30</f>
        <v>0</v>
      </c>
      <c r="J42" s="58"/>
      <c r="L42"/>
      <c r="M42" s="101">
        <f>N42</f>
        <v>1.7191938024014319</v>
      </c>
      <c r="N42" s="100">
        <f>D36+J36+O30</f>
        <v>1.7191938024014319</v>
      </c>
      <c r="P42" s="19"/>
      <c r="Q42" s="108"/>
      <c r="S42" s="19"/>
      <c r="U42" s="19"/>
      <c r="Y42"/>
      <c r="Z42"/>
      <c r="AA42"/>
      <c r="AB42"/>
      <c r="AC42"/>
      <c r="AD42"/>
    </row>
    <row r="43" spans="1:30" x14ac:dyDescent="0.25">
      <c r="A43" s="113"/>
      <c r="C43" s="97"/>
      <c r="D43" s="364">
        <f>(SUM(C38:C42)-D36)*'PIECE DENSITIES'!D7</f>
        <v>10.133490449996156</v>
      </c>
      <c r="E43" s="23" t="s">
        <v>279</v>
      </c>
      <c r="G43" s="113"/>
      <c r="I43" s="98"/>
      <c r="J43" s="181">
        <f>(SUM(I38:I42)-J36)*'PIECE DENSITIES'!D12</f>
        <v>0</v>
      </c>
      <c r="K43" s="23" t="s">
        <v>280</v>
      </c>
      <c r="L43"/>
      <c r="M43" s="19"/>
      <c r="O43" s="95">
        <f>SUM(N38:N42)*'PIECE DENSITIES'!D17</f>
        <v>1.2169203583351469</v>
      </c>
      <c r="P43" s="23" t="s">
        <v>281</v>
      </c>
      <c r="Q43" s="108"/>
      <c r="S43" s="19"/>
      <c r="U43" s="19"/>
      <c r="Y43"/>
      <c r="Z43"/>
      <c r="AA43"/>
      <c r="AB43"/>
      <c r="AC43"/>
      <c r="AD43"/>
    </row>
    <row r="44" spans="1:30" x14ac:dyDescent="0.25">
      <c r="A44" s="113"/>
      <c r="C44" s="97"/>
      <c r="D44" s="364">
        <f>(SUM(C38:C42)-D36)*'PIECE DENSITIES'!E7</f>
        <v>0.84690242474128374</v>
      </c>
      <c r="E44" s="23" t="s">
        <v>282</v>
      </c>
      <c r="G44" s="113"/>
      <c r="I44" s="98"/>
      <c r="J44" s="181">
        <f>(SUM(I38:I42)-J36)*'PIECE DENSITIES'!E12</f>
        <v>0</v>
      </c>
      <c r="K44" s="23" t="s">
        <v>283</v>
      </c>
      <c r="L44"/>
      <c r="M44" s="19"/>
      <c r="O44" s="95">
        <f>SUM(N38:N42)*'PIECE DENSITIES'!E17</f>
        <v>5.3350669005493428E-3</v>
      </c>
      <c r="P44" s="23" t="s">
        <v>284</v>
      </c>
      <c r="Q44" s="108"/>
      <c r="S44" s="19"/>
      <c r="U44" s="19"/>
      <c r="Y44"/>
      <c r="Z44"/>
      <c r="AA44"/>
      <c r="AB44"/>
      <c r="AC44"/>
      <c r="AD44"/>
    </row>
    <row r="45" spans="1:30" x14ac:dyDescent="0.25">
      <c r="A45" s="113"/>
      <c r="C45" s="88"/>
      <c r="D45" s="365">
        <f>(SUM(C38:C42)-D36)*'PIECE DENSITIES'!F7</f>
        <v>9.0210563890997977E-2</v>
      </c>
      <c r="E45" s="23" t="s">
        <v>285</v>
      </c>
      <c r="G45" s="113"/>
      <c r="I45" s="93"/>
      <c r="J45" s="182">
        <f>(SUM(I38:I42)-J36)*'PIECE DENSITIES'!F12</f>
        <v>0</v>
      </c>
      <c r="K45" s="23" t="s">
        <v>286</v>
      </c>
      <c r="L45"/>
      <c r="M45" s="19"/>
      <c r="N45" s="45"/>
      <c r="O45" s="96">
        <f>SUM(N38:N42)*'PIECE DENSITIES'!F17</f>
        <v>3.415282984367414E-2</v>
      </c>
      <c r="P45" s="23" t="s">
        <v>287</v>
      </c>
      <c r="Q45" s="108"/>
      <c r="S45" s="19"/>
      <c r="U45" s="19"/>
      <c r="Y45"/>
      <c r="Z45"/>
      <c r="AA45"/>
      <c r="AB45"/>
      <c r="AC45"/>
      <c r="AD45"/>
    </row>
    <row r="46" spans="1:30" x14ac:dyDescent="0.25">
      <c r="A46" s="113"/>
      <c r="C46" s="88"/>
      <c r="D46" s="365">
        <f>(SUM(C38:C42)-D36)*'PIECE DENSITIES'!G7</f>
        <v>1.2006099336486744</v>
      </c>
      <c r="E46" s="23" t="s">
        <v>288</v>
      </c>
      <c r="G46" s="113"/>
      <c r="I46" s="93"/>
      <c r="J46" s="182">
        <f>(SUM(I38:I42)-J36)*'PIECE DENSITIES'!G12</f>
        <v>0</v>
      </c>
      <c r="K46" s="23" t="s">
        <v>289</v>
      </c>
      <c r="L46"/>
      <c r="M46" s="19"/>
      <c r="N46" s="45"/>
      <c r="O46" s="96">
        <f>SUM(N38:N42)*'PIECE DENSITIES'!G17</f>
        <v>0.46278554732206173</v>
      </c>
      <c r="P46" s="23" t="s">
        <v>290</v>
      </c>
      <c r="Q46" s="108"/>
      <c r="S46" s="19"/>
      <c r="U46" s="19"/>
      <c r="Y46"/>
      <c r="Z46"/>
      <c r="AA46"/>
      <c r="AB46"/>
      <c r="AC46"/>
      <c r="AD46"/>
    </row>
    <row r="47" spans="1:30" x14ac:dyDescent="0.25">
      <c r="A47" s="113"/>
      <c r="C47" s="97"/>
      <c r="G47" s="113"/>
      <c r="I47" s="98"/>
      <c r="J47" s="91"/>
      <c r="L47"/>
      <c r="M47" s="19"/>
      <c r="O47" s="96"/>
      <c r="P47" s="19"/>
      <c r="Q47" s="108"/>
      <c r="S47" s="19"/>
      <c r="U47" s="19"/>
      <c r="Y47"/>
      <c r="Z47"/>
      <c r="AA47"/>
      <c r="AB47"/>
      <c r="AC47"/>
      <c r="AD47"/>
    </row>
    <row r="48" spans="1:30" x14ac:dyDescent="0.25">
      <c r="A48" s="103"/>
      <c r="B48" s="105"/>
      <c r="C48" s="128"/>
      <c r="D48" s="106"/>
      <c r="E48" s="105"/>
      <c r="F48" s="105"/>
      <c r="G48" s="103"/>
      <c r="H48" s="105"/>
      <c r="I48" s="129"/>
      <c r="J48" s="130"/>
      <c r="K48" s="105"/>
      <c r="L48" s="104"/>
      <c r="M48" s="105"/>
      <c r="N48" s="105"/>
      <c r="O48" s="131"/>
      <c r="P48" s="105"/>
      <c r="Q48" s="107"/>
      <c r="S48" s="19"/>
      <c r="U48" s="19"/>
      <c r="Y48"/>
      <c r="Z48"/>
      <c r="AA48"/>
      <c r="AB48"/>
      <c r="AC48"/>
      <c r="AD48"/>
    </row>
    <row r="49" spans="1:30" s="125" customFormat="1" ht="22.8" x14ac:dyDescent="0.4">
      <c r="A49" s="177"/>
      <c r="B49" s="57"/>
      <c r="C49" s="127" t="s">
        <v>294</v>
      </c>
      <c r="D49" s="123"/>
      <c r="E49" s="57"/>
      <c r="F49" s="127"/>
      <c r="G49" s="122"/>
      <c r="H49" s="57"/>
      <c r="I49" s="123"/>
      <c r="J49" s="57"/>
      <c r="K49" s="57"/>
      <c r="L49" s="127" t="s">
        <v>295</v>
      </c>
      <c r="M49" s="57"/>
      <c r="N49" s="123"/>
      <c r="O49" s="57"/>
      <c r="P49" s="57"/>
      <c r="Q49" s="124"/>
      <c r="R49" s="57"/>
      <c r="S49" s="57"/>
      <c r="T49" s="57"/>
      <c r="U49" s="57"/>
      <c r="V49" s="57"/>
      <c r="W49" s="57"/>
      <c r="X49" s="57"/>
    </row>
    <row r="50" spans="1:30" x14ac:dyDescent="0.25">
      <c r="A50" s="113"/>
      <c r="C50" s="97"/>
      <c r="G50" s="113"/>
      <c r="I50" s="98"/>
      <c r="J50" s="91"/>
      <c r="L50"/>
      <c r="M50" s="19"/>
      <c r="O50" s="96"/>
      <c r="P50" s="19"/>
      <c r="Q50" s="108"/>
      <c r="S50" s="19"/>
      <c r="U50" s="19"/>
      <c r="Y50"/>
      <c r="Z50"/>
      <c r="AA50"/>
      <c r="AB50"/>
      <c r="AC50"/>
      <c r="AD50"/>
    </row>
    <row r="51" spans="1:30" x14ac:dyDescent="0.25">
      <c r="A51" s="113"/>
      <c r="D51" s="96">
        <f>SUM(A53:A57)*(1-'ACCEPT RATES'!G16)+SUM(C53:C57)*SUM('ACCEPT RATES'!I16:J16)</f>
        <v>717.96387063552891</v>
      </c>
      <c r="E51" s="23" t="s">
        <v>269</v>
      </c>
      <c r="G51" s="121"/>
      <c r="I51" s="23"/>
      <c r="J51" s="96">
        <f>SUM(G53:G57)*(1-'ACCEPT RATES'!E21)</f>
        <v>0</v>
      </c>
      <c r="K51" s="23" t="s">
        <v>269</v>
      </c>
      <c r="L51"/>
      <c r="M51" s="19"/>
      <c r="P51" s="23"/>
      <c r="Q51" s="108"/>
      <c r="S51" s="19"/>
      <c r="U51" s="19"/>
      <c r="Y51"/>
      <c r="Z51"/>
      <c r="AA51"/>
      <c r="AB51"/>
      <c r="AC51"/>
      <c r="AD51"/>
    </row>
    <row r="52" spans="1:30" x14ac:dyDescent="0.25">
      <c r="A52" s="126" t="s">
        <v>270</v>
      </c>
      <c r="B52" s="86" t="s">
        <v>296</v>
      </c>
      <c r="C52" s="87"/>
      <c r="D52" s="119"/>
      <c r="E52" s="23" t="s">
        <v>297</v>
      </c>
      <c r="G52" s="126" t="s">
        <v>273</v>
      </c>
      <c r="H52" s="86" t="s">
        <v>298</v>
      </c>
      <c r="I52" s="87"/>
      <c r="J52" s="99"/>
      <c r="K52" s="22" t="s">
        <v>297</v>
      </c>
      <c r="L52"/>
      <c r="M52" s="86" t="s">
        <v>281</v>
      </c>
      <c r="N52" s="87"/>
      <c r="P52" s="19"/>
      <c r="Q52" s="108"/>
      <c r="S52" s="19"/>
      <c r="U52" s="19"/>
      <c r="Y52"/>
      <c r="Z52"/>
      <c r="AA52"/>
      <c r="AB52"/>
      <c r="AC52"/>
      <c r="AD52"/>
    </row>
    <row r="53" spans="1:30" x14ac:dyDescent="0.25">
      <c r="A53" s="120">
        <f>B53*(1-'ACCEPT RATES'!C16)</f>
        <v>609.07935248630781</v>
      </c>
      <c r="B53" s="29">
        <f>C53*(1+'ACCEPT RATES'!F16+'PIECE DENSITIES'!D8)</f>
        <v>9936.097076396798</v>
      </c>
      <c r="C53" s="50">
        <f>C13*('COVERAGE FACTORS'!C39+'COVERAGE FACTORS'!C43)</f>
        <v>9829.6223001880589</v>
      </c>
      <c r="E53" s="23" t="s">
        <v>200</v>
      </c>
      <c r="G53" s="178">
        <f>H53*(1-'ACCEPT RATES'!C21)</f>
        <v>0</v>
      </c>
      <c r="H53" s="29">
        <f>I53*(1+'PIECE DENSITIES'!D13)</f>
        <v>0</v>
      </c>
      <c r="I53" s="50">
        <f>C13*'COVERAGE FACTORS'!C41</f>
        <v>0</v>
      </c>
      <c r="J53" s="112"/>
      <c r="K53" s="22" t="s">
        <v>200</v>
      </c>
      <c r="L53"/>
      <c r="M53" s="29">
        <f>N53</f>
        <v>59.558637660830406</v>
      </c>
      <c r="N53" s="50">
        <f>C13*'COVERAGE FACTORS'!C45</f>
        <v>59.558637660830406</v>
      </c>
      <c r="P53" s="19"/>
      <c r="Q53" s="108"/>
      <c r="S53" s="19"/>
      <c r="U53" s="19"/>
      <c r="Y53"/>
      <c r="Z53"/>
      <c r="AA53"/>
      <c r="AB53"/>
      <c r="AC53"/>
      <c r="AD53"/>
    </row>
    <row r="54" spans="1:30" x14ac:dyDescent="0.25">
      <c r="A54" s="179">
        <f>B54*(1-'ACCEPT RATES'!D16)</f>
        <v>0</v>
      </c>
      <c r="B54" s="85">
        <f>C54*(1+'ACCEPT RATES'!F16+'PIECE DENSITIES'!D8)</f>
        <v>0</v>
      </c>
      <c r="C54" s="84">
        <f>G13*('COVERAGE FACTORS'!C39+'COVERAGE FACTORS'!C43)</f>
        <v>0</v>
      </c>
      <c r="G54" s="179">
        <f>H54*(1-'ACCEPT RATES'!D21)</f>
        <v>0</v>
      </c>
      <c r="H54" s="85">
        <f>I54*(1+'PIECE DENSITIES'!D13)</f>
        <v>0</v>
      </c>
      <c r="I54" s="84">
        <f>G13*'COVERAGE FACTORS'!C41</f>
        <v>0</v>
      </c>
      <c r="J54" s="58"/>
      <c r="L54"/>
      <c r="M54" s="85">
        <f>N54</f>
        <v>0</v>
      </c>
      <c r="N54" s="84">
        <f>G13*'COVERAGE FACTORS'!C45</f>
        <v>0</v>
      </c>
      <c r="P54" s="19"/>
      <c r="Q54" s="108"/>
      <c r="S54" s="19"/>
      <c r="U54" s="19"/>
      <c r="Y54"/>
      <c r="Z54"/>
      <c r="AA54"/>
      <c r="AB54"/>
      <c r="AC54"/>
      <c r="AD54"/>
    </row>
    <row r="55" spans="1:30" x14ac:dyDescent="0.25">
      <c r="A55" s="121"/>
      <c r="B55" s="85"/>
      <c r="C55" s="84"/>
      <c r="G55" s="109">
        <f>H55*(1-'ACCEPT RATES'!C21)</f>
        <v>0</v>
      </c>
      <c r="H55" s="89">
        <f>I55*(1+'PIECE DENSITIES'!D13)</f>
        <v>0</v>
      </c>
      <c r="I55" s="90">
        <f>K13*('COVERAGE FACTORS'!C41+'COVERAGE FACTORS'!C43)</f>
        <v>0</v>
      </c>
      <c r="J55" s="58"/>
      <c r="L55"/>
      <c r="M55" s="89">
        <f>N55</f>
        <v>0</v>
      </c>
      <c r="N55" s="90">
        <f>K13*(1-('COVERAGE FACTORS'!C41+'COVERAGE FACTORS'!C43))</f>
        <v>0</v>
      </c>
      <c r="P55" s="19"/>
      <c r="Q55" s="108"/>
      <c r="S55" s="19"/>
      <c r="U55" s="19"/>
      <c r="Y55"/>
      <c r="Z55"/>
      <c r="AA55"/>
      <c r="AB55"/>
      <c r="AC55"/>
      <c r="AD55"/>
    </row>
    <row r="56" spans="1:30" x14ac:dyDescent="0.25">
      <c r="A56" s="121"/>
      <c r="B56" s="85"/>
      <c r="C56" s="84"/>
      <c r="G56" s="110">
        <f>H56*(1-'ACCEPT RATES'!D21)</f>
        <v>0</v>
      </c>
      <c r="H56" s="94">
        <f>I56*(1+'PIECE DENSITIES'!D13)</f>
        <v>0</v>
      </c>
      <c r="I56" s="92">
        <f>O13*('COVERAGE FACTORS'!C41+'COVERAGE FACTORS'!C43)</f>
        <v>0</v>
      </c>
      <c r="J56" s="58"/>
      <c r="L56"/>
      <c r="M56" s="94">
        <f>N56</f>
        <v>0</v>
      </c>
      <c r="N56" s="92">
        <f>O13*(1-('COVERAGE FACTORS'!C41+'COVERAGE FACTORS'!C43))</f>
        <v>0</v>
      </c>
      <c r="P56" s="19"/>
      <c r="Q56" s="108"/>
      <c r="S56" s="19"/>
      <c r="U56" s="19"/>
      <c r="Y56"/>
      <c r="Z56"/>
      <c r="AA56"/>
      <c r="AB56"/>
      <c r="AC56"/>
      <c r="AD56"/>
    </row>
    <row r="57" spans="1:30" x14ac:dyDescent="0.25">
      <c r="A57" s="183">
        <f>B57*(1-'ACCEPT RATES'!C16)</f>
        <v>3.9962701222931298</v>
      </c>
      <c r="B57" s="187">
        <f>C57*(1+'ACCEPT RATES'!F16+'PIECE DENSITIES'!D8)</f>
        <v>65.192372252515767</v>
      </c>
      <c r="C57" s="188">
        <f>(D31+D43)*('COVERAGE FACTORS'!C39+'COVERAGE FACTORS'!C43)</f>
        <v>64.493773678776734</v>
      </c>
      <c r="G57" s="184">
        <f>IF(SUM(C11:C16)&gt;0,H57*(1-'ACCEPT RATES'!C21),H57*(1-'ACCEPT RATES'!D21))</f>
        <v>0</v>
      </c>
      <c r="H57" s="185">
        <f>I57*(1+'PIECE DENSITIES'!D13)</f>
        <v>0</v>
      </c>
      <c r="I57" s="186">
        <f>(D31+D43)*'COVERAGE FACTORS'!C41+(J31+J43)*('COVERAGE FACTORS'!C41+'COVERAGE FACTORS'!C43)</f>
        <v>0</v>
      </c>
      <c r="J57" s="58"/>
      <c r="L57"/>
      <c r="M57" s="101">
        <f>N57</f>
        <v>722.58229106698457</v>
      </c>
      <c r="N57" s="100">
        <f>D51+J51+O31+O43+(D31+D43)*'COVERAGE FACTORS'!C45+(J31+J43)*(1-('COVERAGE FACTORS'!C41+'COVERAGE FACTORS'!C43))</f>
        <v>722.58229106698457</v>
      </c>
      <c r="P57" s="19"/>
      <c r="Q57" s="108"/>
      <c r="S57" s="19"/>
      <c r="U57" s="19"/>
      <c r="Y57"/>
      <c r="Z57"/>
      <c r="AA57"/>
      <c r="AB57"/>
      <c r="AC57"/>
      <c r="AD57"/>
    </row>
    <row r="58" spans="1:30" x14ac:dyDescent="0.25">
      <c r="A58" s="113"/>
      <c r="C58" s="97"/>
      <c r="D58" s="364">
        <f>(SUM(C53:C57)-D51)*'PIECE DENSITIES'!E8</f>
        <v>1825.5105758681025</v>
      </c>
      <c r="E58" s="23" t="s">
        <v>282</v>
      </c>
      <c r="G58" s="113"/>
      <c r="I58" s="98"/>
      <c r="J58" s="181">
        <f>(SUM(I53:I57)-J51)*'PIECE DENSITIES'!E13</f>
        <v>0</v>
      </c>
      <c r="K58" s="23" t="s">
        <v>283</v>
      </c>
      <c r="L58"/>
      <c r="M58" s="19"/>
      <c r="O58" s="95">
        <f>SUM(N53:N57)*'PIECE DENSITIES'!E18</f>
        <v>206.69158765463433</v>
      </c>
      <c r="P58" s="23" t="s">
        <v>284</v>
      </c>
      <c r="Q58" s="108"/>
      <c r="S58" s="19"/>
      <c r="U58" s="19"/>
      <c r="Y58"/>
      <c r="Z58"/>
      <c r="AA58"/>
      <c r="AB58"/>
      <c r="AC58"/>
      <c r="AD58"/>
    </row>
    <row r="59" spans="1:30" x14ac:dyDescent="0.25">
      <c r="A59" s="113"/>
      <c r="C59" s="97"/>
      <c r="D59" s="364">
        <f>(SUM(C53:C57)-D51)*'PIECE DENSITIES'!F8</f>
        <v>592.67881288628814</v>
      </c>
      <c r="E59" s="23" t="s">
        <v>285</v>
      </c>
      <c r="G59" s="113"/>
      <c r="I59" s="98"/>
      <c r="J59" s="181">
        <f>(SUM(I53:I57)-J51)*'PIECE DENSITIES'!F13</f>
        <v>0</v>
      </c>
      <c r="K59" s="23" t="s">
        <v>286</v>
      </c>
      <c r="L59"/>
      <c r="M59" s="19"/>
      <c r="O59" s="95">
        <f>SUM(N53:N57)*'PIECE DENSITIES'!F18</f>
        <v>32.440657393438492</v>
      </c>
      <c r="P59" s="23" t="s">
        <v>287</v>
      </c>
      <c r="Q59" s="108"/>
      <c r="S59" s="19"/>
      <c r="U59" s="19"/>
      <c r="Y59"/>
      <c r="Z59"/>
      <c r="AA59"/>
      <c r="AB59"/>
      <c r="AC59"/>
      <c r="AD59"/>
    </row>
    <row r="60" spans="1:30" x14ac:dyDescent="0.25">
      <c r="A60" s="113"/>
      <c r="C60" s="88"/>
      <c r="D60" s="365">
        <f>(SUM(C53:C57)-D51)*'PIECE DENSITIES'!G8</f>
        <v>6757.9628144769158</v>
      </c>
      <c r="E60" s="23" t="s">
        <v>288</v>
      </c>
      <c r="G60" s="113"/>
      <c r="I60" s="93"/>
      <c r="J60" s="182">
        <f>(SUM(I53:I57)-J51)*'PIECE DENSITIES'!G13</f>
        <v>0</v>
      </c>
      <c r="K60" s="23" t="s">
        <v>289</v>
      </c>
      <c r="L60"/>
      <c r="M60" s="19"/>
      <c r="N60" s="45"/>
      <c r="O60" s="96">
        <f>SUM(N53:N57)*'PIECE DENSITIES'!G18</f>
        <v>543.00868367974215</v>
      </c>
      <c r="P60" s="23" t="s">
        <v>290</v>
      </c>
      <c r="Q60" s="108"/>
      <c r="S60" s="19"/>
      <c r="U60" s="19"/>
      <c r="Y60"/>
      <c r="Z60"/>
      <c r="AA60"/>
      <c r="AB60"/>
      <c r="AC60"/>
      <c r="AD60"/>
    </row>
    <row r="61" spans="1:30" x14ac:dyDescent="0.25">
      <c r="A61" s="113"/>
      <c r="C61" s="97"/>
      <c r="G61" s="113"/>
      <c r="I61" s="98"/>
      <c r="J61" s="91"/>
      <c r="L61"/>
      <c r="M61" s="19"/>
      <c r="O61" s="96"/>
      <c r="P61" s="19"/>
      <c r="Q61" s="108"/>
      <c r="S61" s="19"/>
      <c r="U61" s="19"/>
      <c r="Y61"/>
      <c r="Z61"/>
      <c r="AA61"/>
      <c r="AB61"/>
      <c r="AC61"/>
      <c r="AD61"/>
    </row>
    <row r="62" spans="1:30" x14ac:dyDescent="0.25">
      <c r="A62" s="113"/>
      <c r="D62" s="96">
        <f>SUM(A64:A68)*(1-'ACCEPT RATES'!G17)+SUM(C64:C68)*SUM('ACCEPT RATES'!I17:J17)</f>
        <v>91.805303272268446</v>
      </c>
      <c r="E62" s="23" t="s">
        <v>269</v>
      </c>
      <c r="G62" s="121"/>
      <c r="I62" s="23"/>
      <c r="J62" s="96">
        <f>SUM(G64:G68)*(1-'ACCEPT RATES'!E22)</f>
        <v>0</v>
      </c>
      <c r="K62" s="23" t="s">
        <v>269</v>
      </c>
      <c r="L62"/>
      <c r="M62" s="19"/>
      <c r="P62" s="23"/>
      <c r="Q62" s="108"/>
      <c r="S62" s="19"/>
      <c r="U62" s="19"/>
      <c r="Y62"/>
      <c r="Z62"/>
      <c r="AA62"/>
      <c r="AB62"/>
      <c r="AC62"/>
      <c r="AD62"/>
    </row>
    <row r="63" spans="1:30" x14ac:dyDescent="0.25">
      <c r="A63" s="126" t="s">
        <v>270</v>
      </c>
      <c r="B63" s="86" t="s">
        <v>299</v>
      </c>
      <c r="C63" s="87"/>
      <c r="D63" s="119"/>
      <c r="E63" s="23" t="s">
        <v>300</v>
      </c>
      <c r="G63" s="126" t="s">
        <v>273</v>
      </c>
      <c r="H63" s="86" t="s">
        <v>301</v>
      </c>
      <c r="I63" s="87"/>
      <c r="J63" s="99"/>
      <c r="K63" s="22" t="s">
        <v>300</v>
      </c>
      <c r="L63"/>
      <c r="M63" s="86" t="s">
        <v>284</v>
      </c>
      <c r="N63" s="87"/>
      <c r="P63" s="19"/>
      <c r="Q63" s="108"/>
      <c r="S63" s="19"/>
      <c r="U63" s="19"/>
      <c r="Y63"/>
      <c r="Z63"/>
      <c r="AA63"/>
      <c r="AB63"/>
      <c r="AC63"/>
      <c r="AD63"/>
    </row>
    <row r="64" spans="1:30" x14ac:dyDescent="0.25">
      <c r="A64" s="120">
        <f>B64*(1-'ACCEPT RATES'!C17)</f>
        <v>0</v>
      </c>
      <c r="B64" s="29">
        <f>C64*(1+'ACCEPT RATES'!F17+'PIECE DENSITIES'!E9)</f>
        <v>0</v>
      </c>
      <c r="C64" s="50">
        <f>C14*('COVERAGE FACTORS'!C39+'COVERAGE FACTORS'!C43)</f>
        <v>0</v>
      </c>
      <c r="E64" s="23" t="s">
        <v>200</v>
      </c>
      <c r="G64" s="178">
        <f>H64*(1-'ACCEPT RATES'!C22)</f>
        <v>0</v>
      </c>
      <c r="H64" s="29">
        <f>I64*(1+'PIECE DENSITIES'!E14)</f>
        <v>0</v>
      </c>
      <c r="I64" s="50">
        <f>C14*'COVERAGE FACTORS'!C41</f>
        <v>0</v>
      </c>
      <c r="J64" s="112"/>
      <c r="K64" s="22" t="s">
        <v>200</v>
      </c>
      <c r="L64"/>
      <c r="M64" s="29">
        <f>N64</f>
        <v>0</v>
      </c>
      <c r="N64" s="50">
        <f>C14*'COVERAGE FACTORS'!C45</f>
        <v>0</v>
      </c>
      <c r="P64" s="19"/>
      <c r="Q64" s="108"/>
      <c r="S64" s="19"/>
      <c r="U64" s="19"/>
      <c r="Y64"/>
      <c r="Z64"/>
      <c r="AA64"/>
      <c r="AB64"/>
      <c r="AC64"/>
      <c r="AD64"/>
    </row>
    <row r="65" spans="1:30" x14ac:dyDescent="0.25">
      <c r="A65" s="179">
        <f>B65*(1-'ACCEPT RATES'!D17)</f>
        <v>0</v>
      </c>
      <c r="B65" s="85">
        <f>C65*(1+'ACCEPT RATES'!F17+'PIECE DENSITIES'!E9)</f>
        <v>0</v>
      </c>
      <c r="C65" s="84">
        <f>G14*('COVERAGE FACTORS'!C39+'COVERAGE FACTORS'!C43)</f>
        <v>0</v>
      </c>
      <c r="G65" s="179">
        <f>H65*(1-'ACCEPT RATES'!D22)</f>
        <v>0</v>
      </c>
      <c r="H65" s="85">
        <f>I65*(1+'PIECE DENSITIES'!E14)</f>
        <v>0</v>
      </c>
      <c r="I65" s="84">
        <f>G14*'COVERAGE FACTORS'!C41</f>
        <v>0</v>
      </c>
      <c r="J65" s="58"/>
      <c r="L65"/>
      <c r="M65" s="85">
        <f>N65</f>
        <v>0</v>
      </c>
      <c r="N65" s="84">
        <f>G14*'COVERAGE FACTORS'!C45</f>
        <v>0</v>
      </c>
      <c r="P65" s="19"/>
      <c r="Q65" s="108"/>
      <c r="S65" s="19"/>
      <c r="U65" s="19"/>
      <c r="Y65"/>
      <c r="Z65"/>
      <c r="AA65"/>
      <c r="AB65"/>
      <c r="AC65"/>
      <c r="AD65"/>
    </row>
    <row r="66" spans="1:30" x14ac:dyDescent="0.25">
      <c r="A66" s="121"/>
      <c r="B66" s="85"/>
      <c r="C66" s="84"/>
      <c r="G66" s="109">
        <f>H66*(1-'ACCEPT RATES'!C22)</f>
        <v>0</v>
      </c>
      <c r="H66" s="89">
        <f>I66*(1+'PIECE DENSITIES'!E14)</f>
        <v>0</v>
      </c>
      <c r="I66" s="90">
        <f>K14*('COVERAGE FACTORS'!C41+'COVERAGE FACTORS'!C43)</f>
        <v>0</v>
      </c>
      <c r="J66" s="58"/>
      <c r="L66"/>
      <c r="M66" s="89">
        <f>N66</f>
        <v>0</v>
      </c>
      <c r="N66" s="90">
        <f>K14*(1-('COVERAGE FACTORS'!C41+'COVERAGE FACTORS'!C43))</f>
        <v>0</v>
      </c>
      <c r="P66" s="19"/>
      <c r="Q66" s="108"/>
      <c r="S66" s="19"/>
      <c r="U66" s="19"/>
      <c r="Y66"/>
      <c r="Z66"/>
      <c r="AA66"/>
      <c r="AB66"/>
      <c r="AC66"/>
      <c r="AD66"/>
    </row>
    <row r="67" spans="1:30" x14ac:dyDescent="0.25">
      <c r="A67" s="121"/>
      <c r="B67" s="85"/>
      <c r="C67" s="84"/>
      <c r="G67" s="110">
        <f>H67*(1-'ACCEPT RATES'!D22)</f>
        <v>0</v>
      </c>
      <c r="H67" s="94">
        <f>I67*(1+'PIECE DENSITIES'!E14)</f>
        <v>0</v>
      </c>
      <c r="I67" s="92">
        <f>O14*('COVERAGE FACTORS'!C41+'COVERAGE FACTORS'!C43)</f>
        <v>0</v>
      </c>
      <c r="J67" s="58"/>
      <c r="L67"/>
      <c r="M67" s="94">
        <f>N67</f>
        <v>0</v>
      </c>
      <c r="N67" s="92">
        <f>O14*(1-('COVERAGE FACTORS'!C41+'COVERAGE FACTORS'!C43))</f>
        <v>0</v>
      </c>
      <c r="P67" s="19"/>
      <c r="Q67" s="108"/>
      <c r="S67" s="19"/>
      <c r="U67" s="19"/>
      <c r="Y67"/>
      <c r="Z67"/>
      <c r="AA67"/>
      <c r="AB67"/>
      <c r="AC67"/>
      <c r="AD67"/>
    </row>
    <row r="68" spans="1:30" x14ac:dyDescent="0.25">
      <c r="A68" s="183">
        <f>B68*(1-'ACCEPT RATES'!C17)</f>
        <v>120.10142914169897</v>
      </c>
      <c r="B68" s="187">
        <f>C68*(1+'ACCEPT RATES'!F17+'PIECE DENSITIES'!E9)</f>
        <v>1959.2512110197315</v>
      </c>
      <c r="C68" s="188">
        <f>(D32+D44+D58)*('COVERAGE FACTORS'!C39+'COVERAGE FACTORS'!C43)</f>
        <v>1844.7494224797729</v>
      </c>
      <c r="G68" s="184">
        <f>IF(SUM(C11:C16)&gt;0, H68*(1-'ACCEPT RATES'!C22),H68*(1-'ACCEPT RATES'!D22))</f>
        <v>0</v>
      </c>
      <c r="H68" s="185">
        <f>I68*(1+'PIECE DENSITIES'!E14)</f>
        <v>0</v>
      </c>
      <c r="I68" s="186">
        <f>(D32+D44+D58)*'COVERAGE FACTORS'!C41+(J32+J44+J58)*('COVERAGE FACTORS'!C41+'COVERAGE FACTORS'!C43)</f>
        <v>0</v>
      </c>
      <c r="J68" s="58"/>
      <c r="L68"/>
      <c r="M68" s="101">
        <f>N68</f>
        <v>311.00612236504776</v>
      </c>
      <c r="N68" s="100">
        <f>D62+J62+O32+O44+O58+(D32+D44+D58)*'COVERAGE FACTORS'!C45+(J32+J44+J58)*(1-('COVERAGE FACTORS'!C41+'COVERAGE FACTORS'!C43))</f>
        <v>311.00612236504776</v>
      </c>
      <c r="P68" s="19"/>
      <c r="Q68" s="108"/>
      <c r="S68" s="19"/>
      <c r="U68" s="19"/>
      <c r="Y68"/>
      <c r="Z68"/>
      <c r="AA68"/>
      <c r="AB68"/>
      <c r="AC68"/>
      <c r="AD68"/>
    </row>
    <row r="69" spans="1:30" x14ac:dyDescent="0.25">
      <c r="A69" s="113"/>
      <c r="C69" s="97"/>
      <c r="D69" s="364">
        <f>(SUM(C64:C68)-D62)*'PIECE DENSITIES'!F9</f>
        <v>39.2168154768855</v>
      </c>
      <c r="E69" s="23" t="s">
        <v>285</v>
      </c>
      <c r="G69" s="113"/>
      <c r="I69" s="98"/>
      <c r="J69" s="181">
        <f>(SUM(I64:I68)-J62)*'PIECE DENSITIES'!F14</f>
        <v>0</v>
      </c>
      <c r="K69" s="23" t="s">
        <v>286</v>
      </c>
      <c r="L69"/>
      <c r="M69" s="19"/>
      <c r="O69" s="95">
        <f>SUM(N64:N68)*'PIECE DENSITIES'!F19</f>
        <v>8.0450528913730803</v>
      </c>
      <c r="P69" s="23" t="s">
        <v>287</v>
      </c>
      <c r="Q69" s="108"/>
      <c r="S69" s="19"/>
      <c r="U69" s="19"/>
      <c r="Y69"/>
      <c r="Z69"/>
      <c r="AA69"/>
      <c r="AB69"/>
      <c r="AC69"/>
      <c r="AD69"/>
    </row>
    <row r="70" spans="1:30" x14ac:dyDescent="0.25">
      <c r="A70" s="113"/>
      <c r="C70" s="97"/>
      <c r="D70" s="364">
        <f>(SUM(C64:C68)-D62)*'PIECE DENSITIES'!G9</f>
        <v>1713.727303730619</v>
      </c>
      <c r="E70" s="23" t="s">
        <v>288</v>
      </c>
      <c r="G70" s="113"/>
      <c r="I70" s="98"/>
      <c r="J70" s="181">
        <f>(SUM(I64:I68)-J62)*'PIECE DENSITIES'!G14</f>
        <v>0</v>
      </c>
      <c r="K70" s="23" t="s">
        <v>289</v>
      </c>
      <c r="L70"/>
      <c r="M70" s="19"/>
      <c r="O70" s="95">
        <f>SUM(N64:N68)*'PIECE DENSITIES'!G19</f>
        <v>302.96106947367468</v>
      </c>
      <c r="P70" s="23" t="s">
        <v>290</v>
      </c>
      <c r="Q70" s="108"/>
      <c r="S70" s="19"/>
      <c r="U70" s="19"/>
      <c r="Y70"/>
      <c r="Z70"/>
      <c r="AA70"/>
      <c r="AB70"/>
      <c r="AC70"/>
      <c r="AD70"/>
    </row>
    <row r="71" spans="1:30" x14ac:dyDescent="0.25">
      <c r="A71" s="113"/>
      <c r="C71" s="97"/>
      <c r="G71" s="113"/>
      <c r="I71" s="98"/>
      <c r="J71" s="91"/>
      <c r="L71"/>
      <c r="M71" s="19"/>
      <c r="O71" s="96"/>
      <c r="P71" s="19"/>
      <c r="Q71" s="108"/>
      <c r="S71" s="19"/>
      <c r="U71" s="19"/>
      <c r="Y71"/>
      <c r="Z71"/>
      <c r="AA71"/>
      <c r="AB71"/>
      <c r="AC71"/>
      <c r="AD71"/>
    </row>
    <row r="72" spans="1:30" x14ac:dyDescent="0.25">
      <c r="A72" s="113"/>
      <c r="D72" s="96">
        <f>SUM(A74:A78)*(1-'ACCEPT RATES'!G17)+SUM(C74:C78)*SUM('ACCEPT RATES'!I17:J17)</f>
        <v>31.499777477462352</v>
      </c>
      <c r="E72" s="23" t="s">
        <v>269</v>
      </c>
      <c r="G72" s="121"/>
      <c r="I72" s="23"/>
      <c r="J72" s="96">
        <f>SUM(G74:G78)*(1-'ACCEPT RATES'!E22)</f>
        <v>0</v>
      </c>
      <c r="K72" s="23" t="s">
        <v>269</v>
      </c>
      <c r="L72"/>
      <c r="M72" s="19"/>
      <c r="P72" s="23"/>
      <c r="Q72" s="108"/>
      <c r="S72" s="19"/>
      <c r="U72" s="19"/>
      <c r="Y72"/>
      <c r="Z72"/>
      <c r="AA72"/>
      <c r="AB72"/>
      <c r="AC72"/>
      <c r="AD72"/>
    </row>
    <row r="73" spans="1:30" x14ac:dyDescent="0.25">
      <c r="A73" s="126" t="s">
        <v>270</v>
      </c>
      <c r="B73" s="86" t="s">
        <v>302</v>
      </c>
      <c r="C73" s="87"/>
      <c r="D73" s="119"/>
      <c r="E73" s="23" t="s">
        <v>303</v>
      </c>
      <c r="G73" s="126" t="s">
        <v>273</v>
      </c>
      <c r="H73" s="86" t="s">
        <v>304</v>
      </c>
      <c r="I73" s="87"/>
      <c r="J73" s="99"/>
      <c r="K73" s="22" t="s">
        <v>303</v>
      </c>
      <c r="L73"/>
      <c r="M73" s="86" t="s">
        <v>287</v>
      </c>
      <c r="N73" s="87"/>
      <c r="P73" s="19"/>
      <c r="Q73" s="108"/>
      <c r="S73" s="19"/>
      <c r="U73" s="19"/>
      <c r="Y73"/>
      <c r="Z73"/>
      <c r="AA73"/>
      <c r="AB73"/>
      <c r="AC73"/>
      <c r="AD73"/>
    </row>
    <row r="74" spans="1:30" x14ac:dyDescent="0.25">
      <c r="A74" s="120">
        <f>B74*(1-'ACCEPT RATES'!C17)</f>
        <v>0</v>
      </c>
      <c r="B74" s="29">
        <f>C74*(1+'ACCEPT RATES'!F17)</f>
        <v>0</v>
      </c>
      <c r="C74" s="50">
        <f>C15*('COVERAGE FACTORS'!C39+'COVERAGE FACTORS'!C43)</f>
        <v>0</v>
      </c>
      <c r="E74" s="23" t="s">
        <v>200</v>
      </c>
      <c r="G74" s="178">
        <f>H74*(1-'ACCEPT RATES'!C22)</f>
        <v>0</v>
      </c>
      <c r="H74" s="29">
        <f>I74</f>
        <v>0</v>
      </c>
      <c r="I74" s="50">
        <f>C15*'COVERAGE FACTORS'!C41</f>
        <v>0</v>
      </c>
      <c r="J74" s="112"/>
      <c r="K74" s="22" t="s">
        <v>200</v>
      </c>
      <c r="L74"/>
      <c r="M74" s="29">
        <f>N74</f>
        <v>0</v>
      </c>
      <c r="N74" s="50">
        <f>C15*'COVERAGE FACTORS'!C45</f>
        <v>0</v>
      </c>
      <c r="P74" s="19"/>
      <c r="Q74" s="108"/>
      <c r="S74" s="19"/>
      <c r="U74" s="19"/>
      <c r="Y74"/>
      <c r="Z74"/>
      <c r="AA74"/>
      <c r="AB74"/>
      <c r="AC74"/>
      <c r="AD74"/>
    </row>
    <row r="75" spans="1:30" x14ac:dyDescent="0.25">
      <c r="A75" s="179">
        <f>B75*(1-'ACCEPT RATES'!D17)</f>
        <v>0</v>
      </c>
      <c r="B75" s="85">
        <f>C75*(1+'ACCEPT RATES'!F17)</f>
        <v>0</v>
      </c>
      <c r="C75" s="84">
        <f>G15*('COVERAGE FACTORS'!C39+'COVERAGE FACTORS'!C43)</f>
        <v>0</v>
      </c>
      <c r="G75" s="179">
        <f>H75*(1-'ACCEPT RATES'!D22)</f>
        <v>0</v>
      </c>
      <c r="H75" s="85">
        <f>I75</f>
        <v>0</v>
      </c>
      <c r="I75" s="84">
        <f>G15*'COVERAGE FACTORS'!C41</f>
        <v>0</v>
      </c>
      <c r="J75" s="58"/>
      <c r="L75"/>
      <c r="M75" s="85">
        <f>N75</f>
        <v>0</v>
      </c>
      <c r="N75" s="84">
        <f>G15*'COVERAGE FACTORS'!C45</f>
        <v>0</v>
      </c>
      <c r="P75" s="19"/>
      <c r="Q75" s="108"/>
      <c r="S75" s="19"/>
      <c r="U75" s="19"/>
      <c r="Y75"/>
      <c r="Z75"/>
      <c r="AA75"/>
      <c r="AB75"/>
      <c r="AC75"/>
      <c r="AD75"/>
    </row>
    <row r="76" spans="1:30" x14ac:dyDescent="0.25">
      <c r="A76" s="121"/>
      <c r="B76" s="85"/>
      <c r="C76" s="84"/>
      <c r="G76" s="109">
        <f>H76*(1-'ACCEPT RATES'!C22)</f>
        <v>0</v>
      </c>
      <c r="H76" s="89">
        <f>I76</f>
        <v>0</v>
      </c>
      <c r="I76" s="90">
        <f>K15*('COVERAGE FACTORS'!C41+'COVERAGE FACTORS'!C43)</f>
        <v>0</v>
      </c>
      <c r="J76" s="58"/>
      <c r="L76"/>
      <c r="M76" s="89">
        <f>N76</f>
        <v>0</v>
      </c>
      <c r="N76" s="90">
        <f>K15*(1-('COVERAGE FACTORS'!C41+'COVERAGE FACTORS'!C43))</f>
        <v>0</v>
      </c>
      <c r="P76" s="19"/>
      <c r="Q76" s="108"/>
      <c r="S76" s="19"/>
      <c r="U76" s="19"/>
      <c r="Y76"/>
      <c r="Z76"/>
      <c r="AA76"/>
      <c r="AB76"/>
      <c r="AC76"/>
      <c r="AD76"/>
    </row>
    <row r="77" spans="1:30" x14ac:dyDescent="0.25">
      <c r="A77" s="121"/>
      <c r="B77" s="85"/>
      <c r="C77" s="84"/>
      <c r="G77" s="110">
        <f>H77*(1-'ACCEPT RATES'!D22)</f>
        <v>0</v>
      </c>
      <c r="H77" s="94">
        <f>I77</f>
        <v>0</v>
      </c>
      <c r="I77" s="92">
        <f>O15*('COVERAGE FACTORS'!C41+'COVERAGE FACTORS'!C43)</f>
        <v>0</v>
      </c>
      <c r="J77" s="58"/>
      <c r="L77"/>
      <c r="M77" s="94">
        <f>N77</f>
        <v>0</v>
      </c>
      <c r="N77" s="92">
        <f>O15*(1-('COVERAGE FACTORS'!C41+'COVERAGE FACTORS'!C43))</f>
        <v>0</v>
      </c>
      <c r="P77" s="19"/>
      <c r="Q77" s="108"/>
      <c r="S77" s="19"/>
      <c r="U77" s="19"/>
      <c r="Y77"/>
      <c r="Z77"/>
      <c r="AA77"/>
      <c r="AB77"/>
      <c r="AC77"/>
      <c r="AD77"/>
    </row>
    <row r="78" spans="1:30" x14ac:dyDescent="0.25">
      <c r="A78" s="183">
        <f>B78*(1-'ACCEPT RATES'!C17)</f>
        <v>39.360851406821702</v>
      </c>
      <c r="B78" s="187">
        <f>C78*(1+'ACCEPT RATES'!F17)</f>
        <v>642.10556307866591</v>
      </c>
      <c r="C78" s="188">
        <f>(D33+D45+D59+D69)*('COVERAGE FACTORS'!C39+'COVERAGE FACTORS'!C43)</f>
        <v>635.91974558912125</v>
      </c>
      <c r="G78" s="184">
        <f>IF(SUM(C11:C16)&gt;0,H78*(1-'ACCEPT RATES'!C22),H78*(1-'ACCEPT RATES'!D22))</f>
        <v>0</v>
      </c>
      <c r="H78" s="185">
        <f>I78</f>
        <v>0</v>
      </c>
      <c r="I78" s="186">
        <f>(D33+D45+D59+D69)*'COVERAGE FACTORS'!C41+(J33+J45+J59+J69)*('COVERAGE FACTORS'!C41+'COVERAGE FACTORS'!C43)</f>
        <v>0</v>
      </c>
      <c r="J78" s="58"/>
      <c r="L78"/>
      <c r="M78" s="101">
        <f ca="1">N78</f>
        <v>76.256765046408461</v>
      </c>
      <c r="N78" s="100">
        <f ca="1">D72+J72+O33+O45+O59+O69+(D33+D45+D59+D69)*'COVERAGE FACTORS'!C45+(J33+J45+J59+J69)*(1-('COVERAGE FACTORS'!C41+'COVERAGE FACTORS'!C43))+D106</f>
        <v>76.256765046408461</v>
      </c>
      <c r="P78" s="19"/>
      <c r="Q78" s="108"/>
      <c r="S78" s="19"/>
      <c r="U78" s="19"/>
      <c r="Y78"/>
      <c r="Z78"/>
      <c r="AA78"/>
      <c r="AB78"/>
      <c r="AC78"/>
      <c r="AD78"/>
    </row>
    <row r="79" spans="1:30" x14ac:dyDescent="0.25">
      <c r="A79" s="113"/>
      <c r="C79" s="97"/>
      <c r="D79" s="364">
        <f>SUM(C74:C78)-D72</f>
        <v>604.41996811165893</v>
      </c>
      <c r="E79" s="23" t="s">
        <v>288</v>
      </c>
      <c r="G79" s="113"/>
      <c r="I79" s="98"/>
      <c r="J79" s="181">
        <f>SUM(I74:I78)-J72</f>
        <v>0</v>
      </c>
      <c r="K79" s="23" t="s">
        <v>289</v>
      </c>
      <c r="L79"/>
      <c r="M79" s="19"/>
      <c r="O79" s="95">
        <f ca="1">SUM(N74:N78)</f>
        <v>76.256765046408461</v>
      </c>
      <c r="P79" s="23" t="s">
        <v>290</v>
      </c>
      <c r="Q79" s="108"/>
      <c r="S79" s="19"/>
      <c r="U79" s="19"/>
      <c r="Y79"/>
      <c r="Z79"/>
      <c r="AA79"/>
      <c r="AB79"/>
      <c r="AC79"/>
      <c r="AD79"/>
    </row>
    <row r="80" spans="1:30" x14ac:dyDescent="0.25">
      <c r="A80" s="113"/>
      <c r="C80" s="97"/>
      <c r="E80" s="23"/>
      <c r="G80" s="113"/>
      <c r="I80" s="98"/>
      <c r="J80" s="91"/>
      <c r="K80" s="23"/>
      <c r="L80"/>
      <c r="M80" s="19"/>
      <c r="O80" s="96"/>
      <c r="P80" s="23"/>
      <c r="Q80" s="108"/>
      <c r="S80" s="19"/>
      <c r="U80" s="19"/>
      <c r="Y80"/>
      <c r="Z80"/>
      <c r="AA80"/>
      <c r="AB80"/>
      <c r="AC80"/>
      <c r="AD80"/>
    </row>
    <row r="81" spans="1:30" x14ac:dyDescent="0.25">
      <c r="A81" s="113"/>
      <c r="D81" s="96">
        <f>SUM(A83:A87)*(1-'ACCEPT RATES'!G17)+SUM(C83:C87)*SUM('ACCEPT RATES'!I17:J17)</f>
        <v>446.92935809620718</v>
      </c>
      <c r="E81" s="23" t="s">
        <v>269</v>
      </c>
      <c r="G81" s="121"/>
      <c r="I81" s="23"/>
      <c r="J81" s="96">
        <f>I85*(1-'ACCEPT RATES'!C22)</f>
        <v>0</v>
      </c>
      <c r="K81" s="23" t="s">
        <v>269</v>
      </c>
      <c r="L81"/>
      <c r="M81" s="19"/>
      <c r="P81" s="23"/>
      <c r="Q81" s="108"/>
      <c r="S81" s="19"/>
      <c r="U81" s="19"/>
      <c r="Y81"/>
      <c r="Z81"/>
      <c r="AA81"/>
      <c r="AB81"/>
      <c r="AC81"/>
      <c r="AD81"/>
    </row>
    <row r="82" spans="1:30" x14ac:dyDescent="0.25">
      <c r="A82" s="126" t="s">
        <v>270</v>
      </c>
      <c r="B82" s="86" t="s">
        <v>305</v>
      </c>
      <c r="C82" s="87"/>
      <c r="D82" s="119"/>
      <c r="E82" s="23" t="s">
        <v>306</v>
      </c>
      <c r="G82" s="126" t="s">
        <v>273</v>
      </c>
      <c r="H82" s="86" t="s">
        <v>307</v>
      </c>
      <c r="I82" s="87"/>
      <c r="J82" s="99"/>
      <c r="K82" s="22" t="s">
        <v>306</v>
      </c>
      <c r="L82"/>
      <c r="M82" s="86" t="s">
        <v>290</v>
      </c>
      <c r="N82" s="87"/>
      <c r="P82" s="19"/>
      <c r="Q82" s="108"/>
      <c r="S82" s="19"/>
      <c r="U82" s="19"/>
      <c r="Y82"/>
      <c r="Z82"/>
      <c r="AA82"/>
      <c r="AB82"/>
      <c r="AC82"/>
      <c r="AD82"/>
    </row>
    <row r="83" spans="1:30" x14ac:dyDescent="0.25">
      <c r="A83" s="120">
        <f>B83*(1-'ACCEPT RATES'!C17)</f>
        <v>0</v>
      </c>
      <c r="B83" s="29">
        <f>C83*(1+'ACCEPT RATES'!F17)</f>
        <v>0</v>
      </c>
      <c r="C83" s="50">
        <f>C16*('COVERAGE FACTORS'!C55+'COVERAGE FACTORS'!C59)</f>
        <v>0</v>
      </c>
      <c r="E83" s="23" t="s">
        <v>200</v>
      </c>
      <c r="G83" s="178">
        <v>0</v>
      </c>
      <c r="H83" s="29">
        <f>I83</f>
        <v>0</v>
      </c>
      <c r="I83" s="50">
        <f>C16*'COVERAGE FACTORS'!C57</f>
        <v>0</v>
      </c>
      <c r="J83" s="112"/>
      <c r="K83" s="22" t="s">
        <v>200</v>
      </c>
      <c r="L83"/>
      <c r="M83" s="29">
        <f>N83</f>
        <v>0</v>
      </c>
      <c r="N83" s="50">
        <f>C16*'COVERAGE FACTORS'!C61</f>
        <v>0</v>
      </c>
      <c r="P83" s="19"/>
      <c r="Q83" s="108"/>
      <c r="S83" s="19"/>
      <c r="U83" s="19"/>
      <c r="Y83"/>
      <c r="Z83"/>
      <c r="AA83"/>
      <c r="AB83"/>
      <c r="AC83"/>
      <c r="AD83"/>
    </row>
    <row r="84" spans="1:30" x14ac:dyDescent="0.25">
      <c r="A84" s="179">
        <f>B84*(1-'ACCEPT RATES'!D17)</f>
        <v>0</v>
      </c>
      <c r="B84" s="85">
        <f>C84*(1+'ACCEPT RATES'!F17)</f>
        <v>0</v>
      </c>
      <c r="C84" s="84">
        <f>G16*('COVERAGE FACTORS'!C55+'COVERAGE FACTORS'!C59)</f>
        <v>0</v>
      </c>
      <c r="G84" s="179">
        <v>0</v>
      </c>
      <c r="H84" s="85">
        <f>I84</f>
        <v>0</v>
      </c>
      <c r="I84" s="84">
        <f>G16*'COVERAGE FACTORS'!C57</f>
        <v>0</v>
      </c>
      <c r="J84" s="58"/>
      <c r="L84"/>
      <c r="M84" s="85">
        <f>N84</f>
        <v>0</v>
      </c>
      <c r="N84" s="84">
        <f>G16*'COVERAGE FACTORS'!C61</f>
        <v>0</v>
      </c>
      <c r="P84" s="19"/>
      <c r="Q84" s="108"/>
      <c r="S84" s="19"/>
      <c r="U84" s="19"/>
      <c r="Y84"/>
      <c r="Z84"/>
      <c r="AA84"/>
      <c r="AB84"/>
      <c r="AC84"/>
      <c r="AD84"/>
    </row>
    <row r="85" spans="1:30" x14ac:dyDescent="0.25">
      <c r="A85" s="121"/>
      <c r="B85" s="85"/>
      <c r="C85" s="84"/>
      <c r="G85" s="109">
        <v>0</v>
      </c>
      <c r="H85" s="89">
        <f>I85</f>
        <v>0</v>
      </c>
      <c r="I85" s="90">
        <f>K16*('COVERAGE FACTORS'!C57+'COVERAGE FACTORS'!C59)</f>
        <v>0</v>
      </c>
      <c r="J85" s="58"/>
      <c r="L85"/>
      <c r="M85" s="89">
        <f>N85</f>
        <v>0</v>
      </c>
      <c r="N85" s="90">
        <f>K16*(1-('COVERAGE FACTORS'!C57+'COVERAGE FACTORS'!C59+'COVERAGE FACTORS'!C53))</f>
        <v>0</v>
      </c>
      <c r="P85" s="19"/>
      <c r="Q85" s="108"/>
      <c r="S85" s="19"/>
      <c r="U85" s="19"/>
      <c r="Y85"/>
      <c r="Z85"/>
      <c r="AA85"/>
      <c r="AB85"/>
      <c r="AC85"/>
      <c r="AD85"/>
    </row>
    <row r="86" spans="1:30" x14ac:dyDescent="0.25">
      <c r="A86" s="121"/>
      <c r="B86" s="85"/>
      <c r="C86" s="84"/>
      <c r="G86" s="110">
        <v>0</v>
      </c>
      <c r="H86" s="94">
        <f>I86</f>
        <v>0</v>
      </c>
      <c r="I86" s="92">
        <f>O16*('COVERAGE FACTORS'!C57+'COVERAGE FACTORS'!C59)</f>
        <v>0</v>
      </c>
      <c r="J86" s="58"/>
      <c r="L86"/>
      <c r="M86" s="94">
        <f>N86</f>
        <v>0</v>
      </c>
      <c r="N86" s="92">
        <f>O16*(1-('COVERAGE FACTORS'!C57+'COVERAGE FACTORS'!C59+'COVERAGE FACTORS'!C53))</f>
        <v>0</v>
      </c>
      <c r="P86" s="19"/>
      <c r="Q86" s="108"/>
      <c r="S86" s="19"/>
      <c r="U86" s="19"/>
      <c r="Y86"/>
      <c r="Z86"/>
      <c r="AA86"/>
      <c r="AB86"/>
      <c r="AC86"/>
      <c r="AD86"/>
    </row>
    <row r="87" spans="1:30" x14ac:dyDescent="0.25">
      <c r="A87" s="183">
        <f>B87*(1-'ACCEPT RATES'!C17)</f>
        <v>558.46489918722443</v>
      </c>
      <c r="B87" s="187">
        <f>C87*(1+'ACCEPT RATES'!F17)</f>
        <v>9110.408076440508</v>
      </c>
      <c r="C87" s="188">
        <f>(D34+D46+D60+D70+D79)*('COVERAGE FACTORS'!C55+'COVERAGE FACTORS'!C59)</f>
        <v>9022.6416329511667</v>
      </c>
      <c r="G87" s="184">
        <v>0</v>
      </c>
      <c r="H87" s="185">
        <f>I87</f>
        <v>0</v>
      </c>
      <c r="I87" s="186">
        <f>(D34+D46+D60+D70+D79)*'COVERAGE FACTORS'!C57+(J34+J46+J60+J70+J79)*('COVERAGE FACTORS'!C57+'COVERAGE FACTORS'!C59)</f>
        <v>0</v>
      </c>
      <c r="J87" s="182"/>
      <c r="L87"/>
      <c r="M87" s="101">
        <f ca="1">N87</f>
        <v>1424.2877251450218</v>
      </c>
      <c r="N87" s="100">
        <f ca="1">D81+J81+(O34+O46+O60+O70+O79)+(D34+D46+D60+D70+D79)*'COVERAGE FACTORS'!C61+(J34+J46+J60+J70+J79)*(1-('COVERAGE FACTORS'!C57+'COVERAGE FACTORS'!C59))+D120</f>
        <v>1424.2877251450218</v>
      </c>
      <c r="P87" s="19"/>
      <c r="Q87" s="108"/>
      <c r="S87" s="19"/>
      <c r="U87" s="19"/>
      <c r="Y87"/>
      <c r="Z87"/>
      <c r="AA87"/>
      <c r="AB87"/>
      <c r="AC87"/>
      <c r="AD87"/>
    </row>
    <row r="88" spans="1:30" x14ac:dyDescent="0.25">
      <c r="A88" s="113"/>
      <c r="C88" s="97"/>
      <c r="D88" s="102">
        <f>SUM(C83:C87)-D81</f>
        <v>8575.7122748549591</v>
      </c>
      <c r="E88" s="23"/>
      <c r="G88" s="366"/>
      <c r="H88" s="367"/>
      <c r="I88" s="367"/>
      <c r="J88" s="368">
        <f>SUM(I83:I87)-J81</f>
        <v>0</v>
      </c>
      <c r="K88" s="23"/>
      <c r="L88"/>
      <c r="M88" s="19"/>
      <c r="O88" s="189">
        <f ca="1">SUM(N83:N87)</f>
        <v>1424.2877251450218</v>
      </c>
      <c r="P88" s="23"/>
      <c r="Q88" s="108"/>
      <c r="S88" s="19"/>
      <c r="U88" s="19"/>
      <c r="Y88"/>
      <c r="Z88"/>
      <c r="AA88"/>
      <c r="AB88"/>
      <c r="AC88"/>
      <c r="AD88"/>
    </row>
    <row r="89" spans="1:30" x14ac:dyDescent="0.25">
      <c r="A89" s="113"/>
      <c r="C89" s="97"/>
      <c r="D89" s="22" t="s">
        <v>308</v>
      </c>
      <c r="E89" s="23"/>
      <c r="G89" s="113"/>
      <c r="I89" s="98"/>
      <c r="J89" s="22" t="s">
        <v>308</v>
      </c>
      <c r="K89" s="23"/>
      <c r="L89"/>
      <c r="M89" s="19"/>
      <c r="O89" s="22" t="s">
        <v>308</v>
      </c>
      <c r="P89" s="23"/>
      <c r="Q89" s="108"/>
      <c r="S89" s="19"/>
      <c r="U89" s="19"/>
      <c r="Y89"/>
      <c r="Z89"/>
      <c r="AA89"/>
      <c r="AB89"/>
      <c r="AC89"/>
      <c r="AD89"/>
    </row>
    <row r="90" spans="1:30" x14ac:dyDescent="0.25">
      <c r="A90" s="113"/>
      <c r="G90" s="113"/>
      <c r="H90"/>
      <c r="I90" s="19"/>
      <c r="J90" s="58"/>
      <c r="P90" s="19"/>
      <c r="Q90" s="108"/>
      <c r="S90" s="19"/>
      <c r="U90" s="19"/>
      <c r="Y90"/>
      <c r="Z90"/>
      <c r="AA90"/>
      <c r="AB90"/>
      <c r="AC90"/>
      <c r="AD90"/>
    </row>
    <row r="91" spans="1:30" x14ac:dyDescent="0.25">
      <c r="A91" s="113"/>
      <c r="D91" s="437" t="s">
        <v>269</v>
      </c>
      <c r="E91" s="437"/>
      <c r="G91" s="113"/>
      <c r="H91"/>
      <c r="I91" s="19"/>
      <c r="J91" s="58"/>
      <c r="P91" s="19"/>
      <c r="Q91" s="108"/>
      <c r="S91" s="19"/>
      <c r="U91" s="19"/>
      <c r="Y91"/>
      <c r="Z91"/>
      <c r="AA91"/>
      <c r="AB91"/>
      <c r="AC91"/>
      <c r="AD91"/>
    </row>
    <row r="92" spans="1:30" x14ac:dyDescent="0.25">
      <c r="A92" s="114"/>
      <c r="B92" s="116"/>
      <c r="C92" s="116"/>
      <c r="D92" s="22" t="s">
        <v>309</v>
      </c>
      <c r="E92" s="23" t="s">
        <v>310</v>
      </c>
      <c r="F92" s="116"/>
      <c r="G92" s="114"/>
      <c r="H92" s="115"/>
      <c r="I92" s="116"/>
      <c r="J92" s="117"/>
      <c r="K92" s="116"/>
      <c r="L92" s="116"/>
      <c r="M92" s="115"/>
      <c r="N92" s="116"/>
      <c r="O92" s="117"/>
      <c r="P92" s="116"/>
      <c r="Q92" s="118"/>
      <c r="S92" s="19"/>
      <c r="U92" s="19"/>
      <c r="Y92"/>
      <c r="Z92"/>
      <c r="AA92"/>
      <c r="AB92"/>
      <c r="AC92"/>
      <c r="AD92"/>
    </row>
    <row r="93" spans="1:30" x14ac:dyDescent="0.25">
      <c r="D93" s="266">
        <f ca="1">SUM(A95:A99)*(1-'ACCEPT RATES'!G24)+SUM(B95:B99)*'ACCEPT RATES'!J24</f>
        <v>0</v>
      </c>
      <c r="E93" s="267">
        <f ca="1">SUM(B95:B99)*'ACCEPT RATES'!I24</f>
        <v>0</v>
      </c>
    </row>
    <row r="94" spans="1:30" x14ac:dyDescent="0.25">
      <c r="A94" s="23" t="s">
        <v>270</v>
      </c>
      <c r="B94" s="213" t="s">
        <v>99</v>
      </c>
      <c r="C94" s="212"/>
      <c r="E94" s="23" t="s">
        <v>306</v>
      </c>
    </row>
    <row r="95" spans="1:30" x14ac:dyDescent="0.25">
      <c r="A95" s="50">
        <f>B95*(1-'ACCEPT RATES'!C24)</f>
        <v>0</v>
      </c>
      <c r="B95" s="29">
        <f>C95*(1+'ACCEPT RATES'!F17)</f>
        <v>0</v>
      </c>
      <c r="C95" s="50">
        <f>C16*'COVERAGE FACTORS'!C53</f>
        <v>0</v>
      </c>
      <c r="E95" s="23" t="s">
        <v>200</v>
      </c>
    </row>
    <row r="96" spans="1:30" x14ac:dyDescent="0.25">
      <c r="A96" s="84">
        <f>B96*(1-'ACCEPT RATES'!D24)</f>
        <v>0</v>
      </c>
      <c r="B96" s="85">
        <f>C96*(1+'ACCEPT RATES'!F17)</f>
        <v>0</v>
      </c>
      <c r="C96" s="84">
        <f>G16*'COVERAGE FACTORS'!C53</f>
        <v>0</v>
      </c>
    </row>
    <row r="97" spans="1:11" x14ac:dyDescent="0.25">
      <c r="A97" s="90">
        <f>B97*(1-'ACCEPT RATES'!C24)</f>
        <v>0</v>
      </c>
      <c r="B97" s="89">
        <f>C97*(1+'ACCEPT RATES'!F17)</f>
        <v>0</v>
      </c>
      <c r="C97" s="90">
        <f>K16*'COVERAGE FACTORS'!C53</f>
        <v>0</v>
      </c>
    </row>
    <row r="98" spans="1:11" x14ac:dyDescent="0.25">
      <c r="A98" s="92">
        <f>B98*(1-'ACCEPT RATES'!D24)</f>
        <v>0</v>
      </c>
      <c r="B98" s="94">
        <f>C98*(1+'ACCEPT RATES'!F17)</f>
        <v>0</v>
      </c>
      <c r="C98" s="92">
        <f>O16*'COVERAGE FACTORS'!C53</f>
        <v>0</v>
      </c>
    </row>
    <row r="99" spans="1:11" x14ac:dyDescent="0.25">
      <c r="A99" s="214">
        <f ca="1">B99*(1-'ACCEPT RATES'!C24)</f>
        <v>0</v>
      </c>
      <c r="B99" s="215">
        <f ca="1">C99*(1+'ACCEPT RATES'!F17)</f>
        <v>0</v>
      </c>
      <c r="C99" s="214">
        <f ca="1">(D16+D34+D46+D60+D70+D79)*'COVERAGE FACTORS'!C53+D114</f>
        <v>0</v>
      </c>
    </row>
    <row r="100" spans="1:11" x14ac:dyDescent="0.25">
      <c r="D100" s="369">
        <f ca="1">SUM(C95:C99)-D93-E93</f>
        <v>0</v>
      </c>
    </row>
    <row r="101" spans="1:11" x14ac:dyDescent="0.25">
      <c r="D101" s="22" t="s">
        <v>311</v>
      </c>
    </row>
    <row r="105" spans="1:11" x14ac:dyDescent="0.25">
      <c r="D105" s="22"/>
    </row>
    <row r="106" spans="1:11" x14ac:dyDescent="0.25">
      <c r="A106" s="113"/>
      <c r="D106" s="258">
        <f ca="1">A112*(1-'ACCEPT RATES'!G17)+B112*('ACCEPT RATES'!I17+'ACCEPT RATES'!J17)</f>
        <v>0</v>
      </c>
      <c r="E106" s="23" t="s">
        <v>269</v>
      </c>
      <c r="G106" s="438" t="s">
        <v>312</v>
      </c>
      <c r="H106" s="438"/>
      <c r="I106" s="438"/>
      <c r="J106" s="438"/>
      <c r="K106" s="438"/>
    </row>
    <row r="107" spans="1:11" x14ac:dyDescent="0.25">
      <c r="A107" s="126" t="s">
        <v>270</v>
      </c>
      <c r="B107" s="86" t="s">
        <v>313</v>
      </c>
      <c r="C107" s="87"/>
      <c r="D107"/>
      <c r="E107" s="23" t="s">
        <v>303</v>
      </c>
      <c r="G107" s="438"/>
      <c r="H107" s="438"/>
      <c r="I107" s="438"/>
      <c r="J107" s="438"/>
      <c r="K107" s="438"/>
    </row>
    <row r="108" spans="1:11" x14ac:dyDescent="0.25">
      <c r="A108" s="50"/>
      <c r="B108" s="29"/>
      <c r="C108" s="50"/>
      <c r="E108" s="23" t="s">
        <v>200</v>
      </c>
      <c r="G108" s="438"/>
      <c r="H108" s="438"/>
      <c r="I108" s="438"/>
      <c r="J108" s="438"/>
      <c r="K108" s="438"/>
    </row>
    <row r="109" spans="1:11" x14ac:dyDescent="0.25">
      <c r="A109" s="179"/>
      <c r="B109" s="85"/>
      <c r="C109" s="84"/>
      <c r="G109" s="438"/>
      <c r="H109" s="438"/>
      <c r="I109" s="438"/>
      <c r="J109" s="438"/>
      <c r="K109" s="438"/>
    </row>
    <row r="110" spans="1:11" x14ac:dyDescent="0.25">
      <c r="A110" s="121"/>
      <c r="B110" s="85"/>
      <c r="C110" s="84"/>
      <c r="G110" s="438"/>
      <c r="H110" s="438"/>
      <c r="I110" s="438"/>
      <c r="J110" s="438"/>
      <c r="K110" s="438"/>
    </row>
    <row r="111" spans="1:11" x14ac:dyDescent="0.25">
      <c r="A111" s="121"/>
      <c r="B111" s="85"/>
      <c r="C111" s="84"/>
      <c r="G111" s="438"/>
      <c r="H111" s="438"/>
      <c r="I111" s="438"/>
      <c r="J111" s="438"/>
      <c r="K111" s="438"/>
    </row>
    <row r="112" spans="1:11" x14ac:dyDescent="0.25">
      <c r="A112" s="259">
        <f ca="1">B112*(1-'ACCEPT RATES'!$C$17)</f>
        <v>0</v>
      </c>
      <c r="B112" s="260">
        <f ca="1">C112*(1+'ACCEPT RATES'!$F$17)</f>
        <v>0</v>
      </c>
      <c r="C112" s="261">
        <f ca="1">E93</f>
        <v>0</v>
      </c>
      <c r="G112" s="438"/>
      <c r="H112" s="438"/>
      <c r="I112" s="438"/>
      <c r="J112" s="438"/>
      <c r="K112" s="438"/>
    </row>
    <row r="113" spans="1:11" x14ac:dyDescent="0.25">
      <c r="A113" s="113"/>
      <c r="C113" s="119"/>
      <c r="D113" s="370">
        <f ca="1">($C$112-$D$106)*(1-'COVERAGE FACTORS'!$C$66)</f>
        <v>0</v>
      </c>
      <c r="E113" s="23" t="s">
        <v>288</v>
      </c>
      <c r="G113" s="438"/>
      <c r="H113" s="438"/>
      <c r="I113" s="438"/>
      <c r="J113" s="438"/>
      <c r="K113" s="438"/>
    </row>
    <row r="114" spans="1:11" x14ac:dyDescent="0.25">
      <c r="A114" s="113"/>
      <c r="C114" s="119"/>
      <c r="D114" s="370">
        <f ca="1">($C$112-$D$106)*'COVERAGE FACTORS'!$C$66</f>
        <v>0</v>
      </c>
      <c r="E114" s="23" t="s">
        <v>99</v>
      </c>
    </row>
    <row r="115" spans="1:11" x14ac:dyDescent="0.25">
      <c r="A115" s="113"/>
      <c r="C115" s="97"/>
      <c r="E115" s="23"/>
    </row>
    <row r="116" spans="1:11" x14ac:dyDescent="0.25">
      <c r="A116" s="113"/>
      <c r="C116" s="97"/>
      <c r="E116" s="23"/>
    </row>
    <row r="117" spans="1:11" x14ac:dyDescent="0.25">
      <c r="A117" s="113"/>
      <c r="C117" s="97"/>
      <c r="E117" s="23"/>
    </row>
    <row r="118" spans="1:11" x14ac:dyDescent="0.25">
      <c r="A118" s="113"/>
      <c r="C118" s="97"/>
      <c r="E118" s="23"/>
    </row>
    <row r="119" spans="1:11" x14ac:dyDescent="0.25">
      <c r="A119" s="113"/>
      <c r="C119" s="97"/>
      <c r="E119" s="23"/>
    </row>
    <row r="120" spans="1:11" x14ac:dyDescent="0.25">
      <c r="A120" s="121"/>
      <c r="D120" s="262">
        <f ca="1">A126*'ACCEPT RATES'!H17+B126*('ACCEPT RATES'!I17+'ACCEPT RATES'!J17)</f>
        <v>0</v>
      </c>
      <c r="E120" s="23" t="s">
        <v>269</v>
      </c>
    </row>
    <row r="121" spans="1:11" x14ac:dyDescent="0.25">
      <c r="A121" s="126" t="s">
        <v>270</v>
      </c>
      <c r="B121" s="86" t="s">
        <v>314</v>
      </c>
      <c r="C121" s="87"/>
      <c r="D121" s="119"/>
      <c r="E121" s="23" t="s">
        <v>306</v>
      </c>
    </row>
    <row r="122" spans="1:11" x14ac:dyDescent="0.25">
      <c r="A122" s="263"/>
      <c r="B122" s="29"/>
      <c r="C122" s="50"/>
      <c r="E122" s="23" t="s">
        <v>200</v>
      </c>
    </row>
    <row r="123" spans="1:11" x14ac:dyDescent="0.25">
      <c r="A123" s="179"/>
      <c r="B123" s="85"/>
      <c r="C123" s="84"/>
    </row>
    <row r="124" spans="1:11" x14ac:dyDescent="0.25">
      <c r="A124" s="121"/>
      <c r="B124" s="85"/>
      <c r="C124" s="84"/>
    </row>
    <row r="125" spans="1:11" x14ac:dyDescent="0.25">
      <c r="A125" s="121"/>
      <c r="B125" s="85"/>
      <c r="C125" s="84"/>
    </row>
    <row r="126" spans="1:11" x14ac:dyDescent="0.25">
      <c r="A126" s="264">
        <f ca="1">B126*(1-'ACCEPT RATES'!$C$17)</f>
        <v>0</v>
      </c>
      <c r="B126" s="260">
        <f ca="1">C126*(1+'ACCEPT RATES'!$F$17)</f>
        <v>0</v>
      </c>
      <c r="C126" s="261">
        <f ca="1">$D$93+$D$113</f>
        <v>0</v>
      </c>
    </row>
    <row r="127" spans="1:11" x14ac:dyDescent="0.25">
      <c r="A127" s="121"/>
      <c r="C127" s="119"/>
      <c r="D127" s="265">
        <f ca="1">C126-D120</f>
        <v>0</v>
      </c>
      <c r="E127" s="23"/>
    </row>
    <row r="128" spans="1:11" x14ac:dyDescent="0.25">
      <c r="A128" s="121"/>
      <c r="D128" s="22" t="s">
        <v>308</v>
      </c>
      <c r="E128" s="23"/>
    </row>
  </sheetData>
  <mergeCells count="2">
    <mergeCell ref="D91:E91"/>
    <mergeCell ref="G106:K113"/>
  </mergeCells>
  <phoneticPr fontId="42" type="noConversion"/>
  <pageMargins left="0.75" right="0.75" top="1" bottom="1" header="0.5" footer="0.5"/>
  <pageSetup orientation="portrait" horizontalDpi="300" verticalDpi="0" copies="0" r:id="rId1"/>
  <headerFooter alignWithMargins="0"/>
  <drawing r:id="rId2"/>
</worksheet>
</file>

<file path=xl/worksheets/sheet2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1">
    <pageSetUpPr fitToPage="1"/>
  </sheetPr>
  <dimension ref="A1:K86"/>
  <sheetViews>
    <sheetView zoomScale="75" workbookViewId="0"/>
  </sheetViews>
  <sheetFormatPr defaultRowHeight="13.2" x14ac:dyDescent="0.25"/>
  <cols>
    <col min="1" max="1" width="5.77734375" customWidth="1"/>
    <col min="2" max="2" width="25.77734375" customWidth="1"/>
    <col min="3" max="4" width="10.77734375" style="2" customWidth="1"/>
    <col min="5" max="5" width="10.77734375" style="37" customWidth="1"/>
    <col min="6" max="6" width="10.77734375" style="132" customWidth="1"/>
    <col min="7" max="7" width="10.77734375" style="41" customWidth="1"/>
    <col min="8" max="9" width="10.77734375" style="30" customWidth="1"/>
    <col min="10" max="10" width="10.77734375" style="132" customWidth="1"/>
    <col min="11" max="26" width="9.77734375" customWidth="1"/>
  </cols>
  <sheetData>
    <row r="1" spans="1:11" ht="22.8" x14ac:dyDescent="0.4">
      <c r="A1" s="125" t="s">
        <v>329</v>
      </c>
    </row>
    <row r="2" spans="1:11" ht="17.399999999999999" x14ac:dyDescent="0.3">
      <c r="A2" s="4" t="s">
        <v>181</v>
      </c>
    </row>
    <row r="3" spans="1:11" s="6" customFormat="1" ht="12.75" customHeight="1" x14ac:dyDescent="0.25">
      <c r="A3" s="1"/>
      <c r="B3" s="146"/>
      <c r="C3" s="268"/>
      <c r="D3" s="268"/>
      <c r="E3" s="269"/>
      <c r="F3" s="270"/>
      <c r="G3" s="241"/>
      <c r="H3" s="145"/>
      <c r="I3" s="145"/>
      <c r="J3" s="270"/>
      <c r="K3" s="146"/>
    </row>
    <row r="4" spans="1:11" s="6" customFormat="1" ht="12.75" customHeight="1" x14ac:dyDescent="0.25">
      <c r="A4" s="1"/>
      <c r="B4" s="146"/>
      <c r="C4" s="16" t="str">
        <f>"(1)"</f>
        <v>(1)</v>
      </c>
      <c r="D4" s="16" t="str">
        <f>"(2)"</f>
        <v>(2)</v>
      </c>
      <c r="E4" s="38" t="str">
        <f>"(3)"</f>
        <v>(3)</v>
      </c>
      <c r="F4" s="16" t="str">
        <f>"(4)"</f>
        <v>(4)</v>
      </c>
      <c r="G4" s="40" t="str">
        <f>"(5)"</f>
        <v>(5)</v>
      </c>
      <c r="H4" s="16" t="str">
        <f>"(6)"</f>
        <v>(6)</v>
      </c>
      <c r="I4" s="16" t="str">
        <f>"(7)"</f>
        <v>(7)</v>
      </c>
      <c r="J4" s="16" t="str">
        <f>"(8)"</f>
        <v>(8)</v>
      </c>
      <c r="K4" s="16" t="str">
        <f>"(9)"</f>
        <v>(9)</v>
      </c>
    </row>
    <row r="5" spans="1:11" s="6" customFormat="1" ht="12.75" customHeight="1" x14ac:dyDescent="0.25">
      <c r="A5" s="1"/>
      <c r="B5" s="146"/>
      <c r="C5" s="268"/>
      <c r="D5" s="268"/>
      <c r="E5" s="269"/>
      <c r="F5" s="270"/>
      <c r="G5" s="241"/>
      <c r="H5" s="145"/>
      <c r="I5" s="145"/>
      <c r="J5" s="270"/>
      <c r="K5"/>
    </row>
    <row r="6" spans="1:11" x14ac:dyDescent="0.25">
      <c r="D6" s="16" t="s">
        <v>182</v>
      </c>
      <c r="F6" s="133" t="s">
        <v>183</v>
      </c>
      <c r="H6" s="31" t="s">
        <v>184</v>
      </c>
      <c r="I6" s="31" t="s">
        <v>184</v>
      </c>
      <c r="J6" s="133" t="s">
        <v>8</v>
      </c>
      <c r="K6" s="133" t="s">
        <v>185</v>
      </c>
    </row>
    <row r="7" spans="1:11" x14ac:dyDescent="0.25">
      <c r="C7"/>
      <c r="D7" s="16" t="s">
        <v>186</v>
      </c>
      <c r="E7" s="38" t="s">
        <v>187</v>
      </c>
      <c r="F7" s="133" t="s">
        <v>188</v>
      </c>
      <c r="G7" s="40" t="s">
        <v>189</v>
      </c>
      <c r="H7" s="31" t="s">
        <v>190</v>
      </c>
      <c r="I7" s="31" t="s">
        <v>190</v>
      </c>
      <c r="J7" s="133" t="s">
        <v>188</v>
      </c>
      <c r="K7" s="133" t="s">
        <v>188</v>
      </c>
    </row>
    <row r="8" spans="1:11" x14ac:dyDescent="0.25">
      <c r="A8" s="35" t="s">
        <v>191</v>
      </c>
      <c r="C8" s="134" t="s">
        <v>17</v>
      </c>
      <c r="D8" s="134" t="s">
        <v>192</v>
      </c>
      <c r="E8" s="39" t="s">
        <v>193</v>
      </c>
      <c r="F8" s="135" t="s">
        <v>194</v>
      </c>
      <c r="G8" s="42" t="s">
        <v>195</v>
      </c>
      <c r="H8" s="36" t="s">
        <v>195</v>
      </c>
      <c r="I8" s="36" t="s">
        <v>196</v>
      </c>
      <c r="J8" s="135" t="s">
        <v>194</v>
      </c>
      <c r="K8" s="135" t="s">
        <v>194</v>
      </c>
    </row>
    <row r="9" spans="1:11" x14ac:dyDescent="0.25">
      <c r="A9" s="35"/>
      <c r="C9" s="134"/>
      <c r="D9" s="134"/>
      <c r="E9" s="39"/>
      <c r="F9" s="135"/>
      <c r="G9" s="42"/>
      <c r="H9" s="36"/>
      <c r="I9" s="36"/>
      <c r="J9" s="135"/>
    </row>
    <row r="10" spans="1:11" x14ac:dyDescent="0.25">
      <c r="A10" s="1" t="s">
        <v>220</v>
      </c>
      <c r="C10" s="134"/>
      <c r="D10" s="134"/>
      <c r="E10" s="39"/>
      <c r="F10" s="135"/>
      <c r="G10" s="42"/>
      <c r="H10" s="36"/>
      <c r="I10" s="36"/>
      <c r="J10" s="135"/>
    </row>
    <row r="11" spans="1:11" x14ac:dyDescent="0.25">
      <c r="A11" s="35"/>
      <c r="B11" t="s">
        <v>198</v>
      </c>
      <c r="C11" s="326">
        <f>'BUNDLE SORT'!$F$67*('COVERAGE FACTORS'!$C$7/('COVERAGE FACTORS'!$C$7+'COVERAGE FACTORS'!$C$9))</f>
        <v>0</v>
      </c>
      <c r="D11" s="326">
        <f>PRODUCTIVITIES!$E$8</f>
        <v>175.66894168226426</v>
      </c>
      <c r="E11" s="269">
        <f>'WAGE RATES'!$D$6</f>
        <v>50.10717457546064</v>
      </c>
      <c r="F11" s="41">
        <f>E11*100/D11</f>
        <v>28.523638894626252</v>
      </c>
      <c r="G11" s="241">
        <f>PIGGYBACKS!$B$5</f>
        <v>1.8052502472456198</v>
      </c>
      <c r="H11" s="241">
        <f>'WAGE RATES'!$D$10</f>
        <v>1.0285306172213804</v>
      </c>
      <c r="I11" s="41">
        <f>(H11-1)*F11</f>
        <v>0.81379702306345936</v>
      </c>
      <c r="J11" s="41">
        <f>F11*G11+I11</f>
        <v>52.30610318993228</v>
      </c>
      <c r="K11" s="41">
        <f ca="1">C11*$J11/'3D AUTO MODEL'!$G$6</f>
        <v>0</v>
      </c>
    </row>
    <row r="12" spans="1:11" x14ac:dyDescent="0.25">
      <c r="A12" s="35"/>
      <c r="B12" t="s">
        <v>199</v>
      </c>
      <c r="C12" s="326">
        <f>'BUNDLE SORT'!$F$67*('COVERAGE FACTORS'!$C$9/('COVERAGE FACTORS'!$C$7+'COVERAGE FACTORS'!$C$9))</f>
        <v>0</v>
      </c>
      <c r="D12" s="326">
        <f>PRODUCTIVITIES!$E$10</f>
        <v>194.60202715898563</v>
      </c>
      <c r="E12" s="269">
        <f>'WAGE RATES'!$D$6</f>
        <v>50.10717457546064</v>
      </c>
      <c r="F12" s="41">
        <f>E12*100/D12</f>
        <v>25.748536799426127</v>
      </c>
      <c r="G12" s="241">
        <f>PIGGYBACKS!$B$6</f>
        <v>1.6056412614911089</v>
      </c>
      <c r="H12" s="241">
        <f>'WAGE RATES'!$D$10</f>
        <v>1.0285306172213804</v>
      </c>
      <c r="I12" s="41">
        <f>(H12-1)*F12</f>
        <v>0.73462164743505387</v>
      </c>
      <c r="J12" s="41">
        <f>F12*G12+I12</f>
        <v>42.077534755615858</v>
      </c>
      <c r="K12" s="41">
        <f ca="1">C12*$J12/'3D AUTO MODEL'!$G$6</f>
        <v>0</v>
      </c>
    </row>
    <row r="13" spans="1:11" x14ac:dyDescent="0.25">
      <c r="A13" s="35"/>
      <c r="B13" t="s">
        <v>200</v>
      </c>
      <c r="C13" s="326">
        <f>'BUNDLE SORT'!$G$67</f>
        <v>138.39316889641205</v>
      </c>
      <c r="D13" s="326">
        <f>PRODUCTIVITIES!$E$12</f>
        <v>388.77898659935892</v>
      </c>
      <c r="E13" s="269">
        <f>'WAGE RATES'!$D$6</f>
        <v>50.10717457546064</v>
      </c>
      <c r="F13" s="41">
        <f>E13*100/D13</f>
        <v>12.888344355683154</v>
      </c>
      <c r="G13" s="241">
        <f>PIGGYBACKS!$B$7</f>
        <v>1.5985378657336238</v>
      </c>
      <c r="H13" s="241">
        <f>'WAGE RATES'!$D$10</f>
        <v>1.0285306172213804</v>
      </c>
      <c r="I13" s="41">
        <f>(H13-1)*F13</f>
        <v>0.36771241942933458</v>
      </c>
      <c r="J13" s="41">
        <f>F13*G13+I13</f>
        <v>20.970218898603079</v>
      </c>
      <c r="K13" s="41">
        <f ca="1">C13*$J13/'3D AUTO MODEL'!$G$6</f>
        <v>0.29021350458291129</v>
      </c>
    </row>
    <row r="14" spans="1:11" x14ac:dyDescent="0.25">
      <c r="A14" s="35"/>
      <c r="C14" s="326"/>
      <c r="D14" s="326"/>
      <c r="E14" s="269"/>
      <c r="F14" s="270"/>
      <c r="G14" s="241"/>
      <c r="H14" s="241"/>
      <c r="I14" s="145"/>
      <c r="J14" s="270"/>
      <c r="K14" s="41"/>
    </row>
    <row r="15" spans="1:11" x14ac:dyDescent="0.25">
      <c r="A15" s="1" t="s">
        <v>221</v>
      </c>
      <c r="C15" s="326"/>
      <c r="D15" s="326"/>
      <c r="E15" s="269"/>
      <c r="F15" s="270"/>
      <c r="G15" s="241"/>
      <c r="H15" s="241"/>
      <c r="I15" s="145"/>
      <c r="J15" s="270"/>
      <c r="K15" s="41"/>
    </row>
    <row r="16" spans="1:11" s="6" customFormat="1" x14ac:dyDescent="0.25">
      <c r="A16" s="146"/>
      <c r="B16" s="146" t="s">
        <v>198</v>
      </c>
      <c r="C16" s="326">
        <f>'BUNDLE SORT'!$J$67*('COVERAGE FACTORS'!$C$31/('COVERAGE FACTORS'!$C$31+'COVERAGE FACTORS'!$C$33))</f>
        <v>95.803760088783335</v>
      </c>
      <c r="D16" s="326">
        <f>PRODUCTIVITIES!$E$9</f>
        <v>204.15275198997298</v>
      </c>
      <c r="E16" s="269">
        <f>'WAGE RATES'!$D$6</f>
        <v>50.10717457546064</v>
      </c>
      <c r="F16" s="41">
        <f>E16*100/D16</f>
        <v>24.543962345372481</v>
      </c>
      <c r="G16" s="241">
        <f>PIGGYBACKS!$B$5</f>
        <v>1.8052502472456198</v>
      </c>
      <c r="H16" s="241">
        <f>'WAGE RATES'!$D$10</f>
        <v>1.0285306172213804</v>
      </c>
      <c r="I16" s="41">
        <f>(H16-1)*F16</f>
        <v>0.70025439477179607</v>
      </c>
      <c r="J16" s="41">
        <f>F16*G16+I16</f>
        <v>45.008248487142652</v>
      </c>
      <c r="K16" s="41">
        <f ca="1">C16*$J16/'3D AUTO MODEL'!$G$6</f>
        <v>0.43119594400785677</v>
      </c>
    </row>
    <row r="17" spans="1:11" x14ac:dyDescent="0.25">
      <c r="A17" s="1"/>
      <c r="B17" t="s">
        <v>199</v>
      </c>
      <c r="C17" s="326">
        <f>'BUNDLE SORT'!$J$67*('COVERAGE FACTORS'!$C$33/('COVERAGE FACTORS'!$C$31+'COVERAGE FACTORS'!$C$33))</f>
        <v>116.24127699057456</v>
      </c>
      <c r="D17" s="326">
        <f>PRODUCTIVITIES!$E$11</f>
        <v>163.71090696460584</v>
      </c>
      <c r="E17" s="269">
        <f>'WAGE RATES'!$D$6</f>
        <v>50.10717457546064</v>
      </c>
      <c r="F17" s="41">
        <f>E17*100/D17</f>
        <v>30.607108288938726</v>
      </c>
      <c r="G17" s="241">
        <f>PIGGYBACKS!$B$6</f>
        <v>1.6056412614911089</v>
      </c>
      <c r="H17" s="241">
        <f>'WAGE RATES'!$D$10</f>
        <v>1.0285306172213804</v>
      </c>
      <c r="I17" s="41">
        <f>(H17-1)*F17</f>
        <v>0.87323969084504982</v>
      </c>
      <c r="J17" s="41">
        <f>F17*G17+I17</f>
        <v>50.017275654491598</v>
      </c>
      <c r="K17" s="41">
        <f ca="1">C17*$J17/'3D AUTO MODEL'!$G$6</f>
        <v>0.58140719936676899</v>
      </c>
    </row>
    <row r="18" spans="1:11" x14ac:dyDescent="0.25">
      <c r="A18" s="1"/>
      <c r="B18" t="s">
        <v>200</v>
      </c>
      <c r="C18" s="326">
        <f>'BUNDLE SORT'!$K$67</f>
        <v>0</v>
      </c>
      <c r="D18" s="326">
        <f>PRODUCTIVITIES!$E$13</f>
        <v>388.77898659935892</v>
      </c>
      <c r="E18" s="269">
        <f>'WAGE RATES'!$D$6</f>
        <v>50.10717457546064</v>
      </c>
      <c r="F18" s="41">
        <f>E18*100/D18</f>
        <v>12.888344355683154</v>
      </c>
      <c r="G18" s="241">
        <f>PIGGYBACKS!$B$7</f>
        <v>1.5985378657336238</v>
      </c>
      <c r="H18" s="241">
        <f>'WAGE RATES'!$D$10</f>
        <v>1.0285306172213804</v>
      </c>
      <c r="I18" s="41">
        <f>(H18-1)*F18</f>
        <v>0.36771241942933458</v>
      </c>
      <c r="J18" s="41">
        <f>F18*G18+I18</f>
        <v>20.970218898603079</v>
      </c>
      <c r="K18" s="41">
        <f ca="1">C18*$J18/'3D AUTO MODEL'!$G$6</f>
        <v>0</v>
      </c>
    </row>
    <row r="19" spans="1:11" x14ac:dyDescent="0.25">
      <c r="A19" s="1"/>
      <c r="C19" s="326"/>
      <c r="D19" s="326"/>
      <c r="E19" s="269"/>
      <c r="F19" s="270"/>
      <c r="G19" s="241"/>
      <c r="H19" s="241"/>
      <c r="I19" s="145"/>
      <c r="J19" s="270"/>
      <c r="K19" s="41"/>
    </row>
    <row r="20" spans="1:11" x14ac:dyDescent="0.25">
      <c r="A20" s="1" t="s">
        <v>222</v>
      </c>
      <c r="C20" s="326"/>
      <c r="D20" s="326"/>
      <c r="E20" s="269"/>
      <c r="F20" s="270"/>
      <c r="G20" s="241"/>
      <c r="H20" s="241"/>
      <c r="I20" s="145"/>
      <c r="J20" s="270"/>
      <c r="K20" s="41"/>
    </row>
    <row r="21" spans="1:11" x14ac:dyDescent="0.25">
      <c r="A21" s="1"/>
      <c r="B21" t="s">
        <v>198</v>
      </c>
      <c r="C21" s="326">
        <f>'BUNDLE SORT'!$N$67*('COVERAGE FACTORS'!$C$31/('COVERAGE FACTORS'!$C$31+'COVERAGE FACTORS'!$C$33))</f>
        <v>18.826557607101584</v>
      </c>
      <c r="D21" s="326">
        <f>PRODUCTIVITIES!$E$9</f>
        <v>204.15275198997298</v>
      </c>
      <c r="E21" s="269">
        <f>'WAGE RATES'!$D$6</f>
        <v>50.10717457546064</v>
      </c>
      <c r="F21" s="41">
        <f>E21*100/D21</f>
        <v>24.543962345372481</v>
      </c>
      <c r="G21" s="241">
        <f>PIGGYBACKS!$B$5</f>
        <v>1.8052502472456198</v>
      </c>
      <c r="H21" s="241">
        <f>'WAGE RATES'!$D$10</f>
        <v>1.0285306172213804</v>
      </c>
      <c r="I21" s="41">
        <f>(H21-1)*F21</f>
        <v>0.70025439477179607</v>
      </c>
      <c r="J21" s="41">
        <f>F21*G21+I21</f>
        <v>45.008248487142652</v>
      </c>
      <c r="K21" s="41">
        <f ca="1">C21*$J21/'3D AUTO MODEL'!$G$6</f>
        <v>8.4735038293793544E-2</v>
      </c>
    </row>
    <row r="22" spans="1:11" x14ac:dyDescent="0.25">
      <c r="A22" s="1"/>
      <c r="B22" t="s">
        <v>199</v>
      </c>
      <c r="C22" s="326">
        <f>'BUNDLE SORT'!$N$67*('COVERAGE FACTORS'!$C$33/('COVERAGE FACTORS'!$C$31+'COVERAGE FACTORS'!$C$33))</f>
        <v>22.842768337673245</v>
      </c>
      <c r="D22" s="326">
        <f>PRODUCTIVITIES!$E$11</f>
        <v>163.71090696460584</v>
      </c>
      <c r="E22" s="269">
        <f>'WAGE RATES'!$D$6</f>
        <v>50.10717457546064</v>
      </c>
      <c r="F22" s="41">
        <f>E22*100/D22</f>
        <v>30.607108288938726</v>
      </c>
      <c r="G22" s="241">
        <f>PIGGYBACKS!$B$6</f>
        <v>1.6056412614911089</v>
      </c>
      <c r="H22" s="241">
        <f>'WAGE RATES'!$D$10</f>
        <v>1.0285306172213804</v>
      </c>
      <c r="I22" s="41">
        <f>(H22-1)*F22</f>
        <v>0.87323969084504982</v>
      </c>
      <c r="J22" s="41">
        <f>F22*G22+I22</f>
        <v>50.017275654491598</v>
      </c>
      <c r="K22" s="41">
        <f ca="1">C22*$J22/'3D AUTO MODEL'!$G$6</f>
        <v>0.11425330406570977</v>
      </c>
    </row>
    <row r="23" spans="1:11" x14ac:dyDescent="0.25">
      <c r="A23" s="1"/>
      <c r="B23" t="s">
        <v>200</v>
      </c>
      <c r="C23" s="326">
        <f>'BUNDLE SORT'!$O$67</f>
        <v>1.3235894080992399</v>
      </c>
      <c r="D23" s="326">
        <f>PRODUCTIVITIES!$E$14</f>
        <v>388.77898659935892</v>
      </c>
      <c r="E23" s="269">
        <f>'WAGE RATES'!$D$6</f>
        <v>50.10717457546064</v>
      </c>
      <c r="F23" s="41">
        <f>E23*100/D23</f>
        <v>12.888344355683154</v>
      </c>
      <c r="G23" s="241">
        <f>PIGGYBACKS!$B$7</f>
        <v>1.5985378657336238</v>
      </c>
      <c r="H23" s="241">
        <f>'WAGE RATES'!$D$10</f>
        <v>1.0285306172213804</v>
      </c>
      <c r="I23" s="41">
        <f>(H23-1)*F23</f>
        <v>0.36771241942933458</v>
      </c>
      <c r="J23" s="41">
        <f>F23*G23+I23</f>
        <v>20.970218898603079</v>
      </c>
      <c r="K23" s="41">
        <f ca="1">C23*$J23/'3D AUTO MODEL'!$G$6</f>
        <v>2.7755959619713594E-3</v>
      </c>
    </row>
    <row r="24" spans="1:11" x14ac:dyDescent="0.25">
      <c r="A24" s="1"/>
      <c r="C24" s="326"/>
      <c r="D24" s="326"/>
      <c r="E24" s="269"/>
      <c r="F24" s="270"/>
      <c r="G24" s="241"/>
      <c r="H24" s="241"/>
      <c r="I24" s="145"/>
      <c r="J24" s="270"/>
      <c r="K24" s="41"/>
    </row>
    <row r="25" spans="1:11" x14ac:dyDescent="0.25">
      <c r="A25" s="1" t="s">
        <v>223</v>
      </c>
      <c r="C25" s="326"/>
      <c r="D25" s="326"/>
      <c r="E25" s="269"/>
      <c r="F25" s="270"/>
      <c r="G25" s="241"/>
      <c r="H25" s="241"/>
      <c r="I25" s="145"/>
      <c r="J25" s="270"/>
      <c r="K25" s="41"/>
    </row>
    <row r="26" spans="1:11" x14ac:dyDescent="0.25">
      <c r="A26" s="1"/>
      <c r="B26" t="s">
        <v>198</v>
      </c>
      <c r="C26" s="326">
        <f>'BUNDLE SORT'!$R$67*('COVERAGE FACTORS'!$C$31/('COVERAGE FACTORS'!$C$31+'COVERAGE FACTORS'!$C$33))</f>
        <v>0</v>
      </c>
      <c r="D26" s="326">
        <f>PRODUCTIVITIES!$E$9</f>
        <v>204.15275198997298</v>
      </c>
      <c r="E26" s="269">
        <f>'WAGE RATES'!$D$6</f>
        <v>50.10717457546064</v>
      </c>
      <c r="F26" s="41">
        <f>E26*100/D26</f>
        <v>24.543962345372481</v>
      </c>
      <c r="G26" s="241">
        <f>PIGGYBACKS!$B$5</f>
        <v>1.8052502472456198</v>
      </c>
      <c r="H26" s="241">
        <f>'WAGE RATES'!$D$10</f>
        <v>1.0285306172213804</v>
      </c>
      <c r="I26" s="41">
        <f>(H26-1)*F26</f>
        <v>0.70025439477179607</v>
      </c>
      <c r="J26" s="41">
        <f>F26*G26+I26</f>
        <v>45.008248487142652</v>
      </c>
      <c r="K26" s="41">
        <f ca="1">C26*$J26/'3D AUTO MODEL'!$G$6</f>
        <v>0</v>
      </c>
    </row>
    <row r="27" spans="1:11" x14ac:dyDescent="0.25">
      <c r="A27" s="1"/>
      <c r="B27" t="s">
        <v>199</v>
      </c>
      <c r="C27" s="326">
        <f>'BUNDLE SORT'!$R$67*('COVERAGE FACTORS'!$C$33/('COVERAGE FACTORS'!$C$31+'COVERAGE FACTORS'!$C$33))</f>
        <v>0</v>
      </c>
      <c r="D27" s="326">
        <f>PRODUCTIVITIES!$E$11</f>
        <v>163.71090696460584</v>
      </c>
      <c r="E27" s="269">
        <f>'WAGE RATES'!$D$6</f>
        <v>50.10717457546064</v>
      </c>
      <c r="F27" s="41">
        <f>E27*100/D27</f>
        <v>30.607108288938726</v>
      </c>
      <c r="G27" s="241">
        <f>PIGGYBACKS!$B$6</f>
        <v>1.6056412614911089</v>
      </c>
      <c r="H27" s="241">
        <f>'WAGE RATES'!$D$10</f>
        <v>1.0285306172213804</v>
      </c>
      <c r="I27" s="41">
        <f>(H27-1)*F27</f>
        <v>0.87323969084504982</v>
      </c>
      <c r="J27" s="41">
        <f>F27*G27+I27</f>
        <v>50.017275654491598</v>
      </c>
      <c r="K27" s="41">
        <f ca="1">C27*$J27/'3D AUTO MODEL'!$G$6</f>
        <v>0</v>
      </c>
    </row>
    <row r="28" spans="1:11" x14ac:dyDescent="0.25">
      <c r="A28" s="1"/>
      <c r="B28" t="s">
        <v>200</v>
      </c>
      <c r="C28" s="326">
        <f>'BUNDLE SORT'!$S$67</f>
        <v>0</v>
      </c>
      <c r="D28" s="326">
        <f>PRODUCTIVITIES!E15</f>
        <v>279.13830142253454</v>
      </c>
      <c r="E28" s="269">
        <f>'WAGE RATES'!$D$6</f>
        <v>50.10717457546064</v>
      </c>
      <c r="F28" s="41">
        <f>E28*100/D28</f>
        <v>17.950662564078904</v>
      </c>
      <c r="G28" s="241">
        <f>PIGGYBACKS!$B$7</f>
        <v>1.5985378657336238</v>
      </c>
      <c r="H28" s="241">
        <f>'WAGE RATES'!$D$10</f>
        <v>1.0285306172213804</v>
      </c>
      <c r="I28" s="41">
        <f>(H28-1)*F28</f>
        <v>0.51214348248589792</v>
      </c>
      <c r="J28" s="41">
        <f>F28*G28+I28</f>
        <v>29.206957306173045</v>
      </c>
      <c r="K28" s="41">
        <f ca="1">C28*$J28/'3D AUTO MODEL'!$G$6</f>
        <v>0</v>
      </c>
    </row>
    <row r="29" spans="1:11" x14ac:dyDescent="0.25">
      <c r="A29" s="1"/>
      <c r="C29" s="363"/>
      <c r="D29" s="363"/>
      <c r="E29" s="269"/>
      <c r="F29" s="270"/>
      <c r="G29" s="241"/>
      <c r="H29" s="145"/>
      <c r="I29" s="145"/>
      <c r="J29" s="270"/>
      <c r="K29" s="41"/>
    </row>
    <row r="30" spans="1:11" x14ac:dyDescent="0.25">
      <c r="A30" s="1" t="s">
        <v>224</v>
      </c>
      <c r="F30" s="41"/>
      <c r="G30" s="241"/>
      <c r="H30" s="41"/>
      <c r="I30" s="41"/>
      <c r="J30" s="41"/>
      <c r="K30" s="41"/>
    </row>
    <row r="31" spans="1:11" x14ac:dyDescent="0.25">
      <c r="A31" s="35"/>
      <c r="B31" t="s">
        <v>225</v>
      </c>
      <c r="C31" s="2">
        <f>SUM('3D AUTO MODEL'!$B$25:$B$29)</f>
        <v>10.652911368271031</v>
      </c>
      <c r="D31" s="2">
        <f>PRODUCTIVITIES!$E$23*'COVERAGE FACTORS'!$C$25+PRODUCTIVITIES!$E$17*(1-'COVERAGE FACTORS'!$C$25)</f>
        <v>1572.5270916832678</v>
      </c>
      <c r="E31" s="37">
        <f>'WAGE RATES'!$D$6</f>
        <v>50.10717457546064</v>
      </c>
      <c r="F31" s="41">
        <f>E31*100/D31</f>
        <v>3.1864108949515657</v>
      </c>
      <c r="G31" s="41">
        <f>PIGGYBACKS!$B$8</f>
        <v>1.6305774272183733</v>
      </c>
      <c r="H31" s="41">
        <f>'WAGE RATES'!$D$10</f>
        <v>1.0285306172213804</v>
      </c>
      <c r="I31" s="41">
        <f>(H31-1)*F31</f>
        <v>9.0910269553899262E-2</v>
      </c>
      <c r="J31" s="41">
        <f>F31*G31+I31</f>
        <v>5.2865999487046178</v>
      </c>
      <c r="K31" s="41">
        <f ca="1">C31*$J31/'3D AUTO MODEL'!$G$6</f>
        <v>5.6317680693056572E-3</v>
      </c>
    </row>
    <row r="32" spans="1:11" x14ac:dyDescent="0.25">
      <c r="A32" s="35"/>
      <c r="B32" t="s">
        <v>226</v>
      </c>
      <c r="C32" s="2">
        <f>SUM('3D AUTO MODEL'!$A$25:$A$29)</f>
        <v>0.65301982341677245</v>
      </c>
      <c r="D32" s="2">
        <f>PRODUCTIVITIES!$E$16</f>
        <v>888.0117100682927</v>
      </c>
      <c r="E32" s="37">
        <f>'WAGE RATES'!$D$5</f>
        <v>54.142360316355024</v>
      </c>
      <c r="F32" s="41">
        <f>E32*100/D32</f>
        <v>6.0970322465895403</v>
      </c>
      <c r="G32" s="41">
        <f>PIGGYBACKS!$B$9</f>
        <v>1.2615773174013249</v>
      </c>
      <c r="H32" s="41">
        <f>'WAGE RATES'!$D$10</f>
        <v>1.0285306172213804</v>
      </c>
      <c r="I32" s="41">
        <f>(H32-1)*F32</f>
        <v>0.17395209321385913</v>
      </c>
      <c r="J32" s="41">
        <f>F32*G32+I32</f>
        <v>7.8658296789756648</v>
      </c>
      <c r="K32" s="41">
        <f ca="1">C32*$J32/'3D AUTO MODEL'!$G$6</f>
        <v>5.1365427079911056E-4</v>
      </c>
    </row>
    <row r="33" spans="1:11" x14ac:dyDescent="0.25">
      <c r="A33" s="35"/>
      <c r="B33" t="s">
        <v>227</v>
      </c>
      <c r="C33" s="2">
        <f>SUM('3D AUTO MODEL'!$H$25:$H$29)</f>
        <v>0</v>
      </c>
      <c r="D33" s="2">
        <f>PRODUCTIVITIES!$E$30</f>
        <v>1.0273268954181221</v>
      </c>
      <c r="E33" s="37">
        <f>'WAGE RATES'!$D$6</f>
        <v>50.10717457546064</v>
      </c>
      <c r="F33" s="41">
        <f>E33*100/D33</f>
        <v>4877.4323731753384</v>
      </c>
      <c r="G33" s="41">
        <f>PIGGYBACKS!$B$10</f>
        <v>1.6305774272183733</v>
      </c>
      <c r="H33" s="41">
        <f>'WAGE RATES'!$D$10</f>
        <v>1.0285306172213804</v>
      </c>
      <c r="I33" s="41">
        <f>(H33-1)*F33</f>
        <v>139.15615606223454</v>
      </c>
      <c r="J33" s="41">
        <f>F33*G33+I33</f>
        <v>8092.1872865460828</v>
      </c>
      <c r="K33" s="41">
        <f ca="1">C33*$J33/'3D AUTO MODEL'!$G$6</f>
        <v>0</v>
      </c>
    </row>
    <row r="34" spans="1:11" x14ac:dyDescent="0.25">
      <c r="B34" t="s">
        <v>228</v>
      </c>
      <c r="C34" s="2">
        <f>SUM('3D AUTO MODEL'!$G$25:$G$29)</f>
        <v>0</v>
      </c>
      <c r="D34" s="2">
        <f>PRODUCTIVITIES!$E$36</f>
        <v>1.0273268954181221</v>
      </c>
      <c r="E34" s="37">
        <f>'WAGE RATES'!$D$6</f>
        <v>50.10717457546064</v>
      </c>
      <c r="F34" s="41">
        <f>E34*100/D34</f>
        <v>4877.4323731753384</v>
      </c>
      <c r="G34" s="41">
        <f>PIGGYBACKS!$B$10</f>
        <v>1.6305774272183733</v>
      </c>
      <c r="H34" s="41">
        <f>'WAGE RATES'!$D$10</f>
        <v>1.0285306172213804</v>
      </c>
      <c r="I34" s="41">
        <f>(H34-1)*F34</f>
        <v>139.15615606223454</v>
      </c>
      <c r="J34" s="41">
        <f>F34*G34+I34</f>
        <v>8092.1872865460828</v>
      </c>
      <c r="K34" s="41">
        <f ca="1">C34*$J34/'3D AUTO MODEL'!$G$6</f>
        <v>0</v>
      </c>
    </row>
    <row r="35" spans="1:11" x14ac:dyDescent="0.25">
      <c r="B35" t="s">
        <v>200</v>
      </c>
      <c r="C35" s="2">
        <f>SUM('3D AUTO MODEL'!$M$25:$M$29)</f>
        <v>0.49218399230115378</v>
      </c>
      <c r="D35" s="2">
        <f>PRODUCTIVITIES!$E$42</f>
        <v>620.26371981497391</v>
      </c>
      <c r="E35" s="37">
        <f>'WAGE RATES'!$D$6</f>
        <v>50.10717457546064</v>
      </c>
      <c r="F35" s="41">
        <f>E35*100/D35</f>
        <v>8.0783661811475493</v>
      </c>
      <c r="G35" s="41">
        <f>PIGGYBACKS!$B$12</f>
        <v>1.3622907328394676</v>
      </c>
      <c r="H35" s="41">
        <f>'WAGE RATES'!$D$10</f>
        <v>1.0285306172213804</v>
      </c>
      <c r="I35" s="41">
        <f>(H35-1)*F35</f>
        <v>0.23048077328846525</v>
      </c>
      <c r="J35" s="41">
        <f>F35*G35+I35</f>
        <v>11.235564158349531</v>
      </c>
      <c r="K35" s="41">
        <f ca="1">C35*$J35/'3D AUTO MODEL'!$G$6</f>
        <v>5.5299648232122348E-4</v>
      </c>
    </row>
    <row r="36" spans="1:11" x14ac:dyDescent="0.25">
      <c r="F36" s="41"/>
      <c r="H36" s="41"/>
      <c r="I36" s="41"/>
      <c r="J36" s="41"/>
      <c r="K36" s="41"/>
    </row>
    <row r="37" spans="1:11" x14ac:dyDescent="0.25">
      <c r="A37" s="1" t="s">
        <v>229</v>
      </c>
      <c r="F37" s="41"/>
      <c r="H37" s="41"/>
      <c r="I37" s="41"/>
      <c r="J37" s="41"/>
      <c r="K37" s="41"/>
    </row>
    <row r="38" spans="1:11" x14ac:dyDescent="0.25">
      <c r="A38" s="35"/>
      <c r="B38" t="s">
        <v>225</v>
      </c>
      <c r="C38" s="2">
        <f>SUM('3D AUTO MODEL'!$B$38:$B$42)</f>
        <v>1.3149310752016505</v>
      </c>
      <c r="D38" s="2">
        <f>PRODUCTIVITIES!$E$24*'COVERAGE FACTORS'!$C$25+PRODUCTIVITIES!$E$18*(1-'COVERAGE FACTORS'!$C$25)</f>
        <v>2267.7698382210328</v>
      </c>
      <c r="E38" s="37">
        <f>'WAGE RATES'!$D$6</f>
        <v>50.10717457546064</v>
      </c>
      <c r="F38" s="41">
        <f>E38*100/D38</f>
        <v>2.2095352769471326</v>
      </c>
      <c r="G38" s="41">
        <f>PIGGYBACKS!$B$8</f>
        <v>1.6305774272183733</v>
      </c>
      <c r="H38" s="41">
        <f>'WAGE RATES'!$D$10</f>
        <v>1.0285306172213804</v>
      </c>
      <c r="I38" s="41">
        <f>(H38-1)*F38</f>
        <v>6.3039405223715358E-2</v>
      </c>
      <c r="J38" s="41">
        <f>F38*G38+I38</f>
        <v>3.6658577524564069</v>
      </c>
      <c r="K38" s="41">
        <f ca="1">C38*$J38/'3D AUTO MODEL'!$G$6</f>
        <v>4.8203502759738181E-4</v>
      </c>
    </row>
    <row r="39" spans="1:11" x14ac:dyDescent="0.25">
      <c r="A39" s="35"/>
      <c r="B39" t="s">
        <v>226</v>
      </c>
      <c r="C39" s="2">
        <f>SUM('3D AUTO MODEL'!$A$38:$A$42)</f>
        <v>8.0604825183368797E-2</v>
      </c>
      <c r="D39" s="2">
        <f>PRODUCTIVITIES!$E$16</f>
        <v>888.0117100682927</v>
      </c>
      <c r="E39" s="37">
        <f>'WAGE RATES'!$D$5</f>
        <v>54.142360316355024</v>
      </c>
      <c r="F39" s="41">
        <f>E39*100/D39</f>
        <v>6.0970322465895403</v>
      </c>
      <c r="G39" s="41">
        <f>PIGGYBACKS!$B$9</f>
        <v>1.2615773174013249</v>
      </c>
      <c r="H39" s="41">
        <f>'WAGE RATES'!$D$10</f>
        <v>1.0285306172213804</v>
      </c>
      <c r="I39" s="41">
        <f>(H39-1)*F39</f>
        <v>0.17395209321385913</v>
      </c>
      <c r="J39" s="41">
        <f>F39*G39+I39</f>
        <v>7.8658296789756648</v>
      </c>
      <c r="K39" s="41">
        <f ca="1">C39*$J39/'3D AUTO MODEL'!$G$6</f>
        <v>6.340238261959886E-5</v>
      </c>
    </row>
    <row r="40" spans="1:11" x14ac:dyDescent="0.25">
      <c r="B40" t="s">
        <v>227</v>
      </c>
      <c r="C40" s="2">
        <f>SUM('3D AUTO MODEL'!$H$38:$H$42)</f>
        <v>0</v>
      </c>
      <c r="D40" s="2">
        <f>PRODUCTIVITIES!$E$31</f>
        <v>1.0273268954181221</v>
      </c>
      <c r="E40" s="37">
        <f>'WAGE RATES'!$D$6</f>
        <v>50.10717457546064</v>
      </c>
      <c r="F40" s="41">
        <f>E40*100/D40</f>
        <v>4877.4323731753384</v>
      </c>
      <c r="G40" s="41">
        <f>PIGGYBACKS!$B$10</f>
        <v>1.6305774272183733</v>
      </c>
      <c r="H40" s="41">
        <f>'WAGE RATES'!$D$10</f>
        <v>1.0285306172213804</v>
      </c>
      <c r="I40" s="41">
        <f>(H40-1)*F40</f>
        <v>139.15615606223454</v>
      </c>
      <c r="J40" s="41">
        <f>F40*G40+I40</f>
        <v>8092.1872865460828</v>
      </c>
      <c r="K40" s="41">
        <f ca="1">C40*$J40/'3D AUTO MODEL'!$G$6</f>
        <v>0</v>
      </c>
    </row>
    <row r="41" spans="1:11" x14ac:dyDescent="0.25">
      <c r="B41" t="s">
        <v>228</v>
      </c>
      <c r="C41" s="2">
        <f>SUM('3D AUTO MODEL'!$G$38:$G$42)</f>
        <v>0</v>
      </c>
      <c r="D41" s="2">
        <f>PRODUCTIVITIES!$E$37</f>
        <v>1.0273268954181221</v>
      </c>
      <c r="E41" s="37">
        <f>'WAGE RATES'!$D$6</f>
        <v>50.10717457546064</v>
      </c>
      <c r="F41" s="41">
        <f>E41*100/D41</f>
        <v>4877.4323731753384</v>
      </c>
      <c r="G41" s="41">
        <f>PIGGYBACKS!$B$10</f>
        <v>1.6305774272183733</v>
      </c>
      <c r="H41" s="41">
        <f>'WAGE RATES'!$D$10</f>
        <v>1.0285306172213804</v>
      </c>
      <c r="I41" s="41">
        <f>(H41-1)*F41</f>
        <v>139.15615606223454</v>
      </c>
      <c r="J41" s="41">
        <f>F41*G41+I41</f>
        <v>8092.1872865460828</v>
      </c>
      <c r="K41" s="41">
        <f ca="1">C41*$J41/'3D AUTO MODEL'!$G$6</f>
        <v>0</v>
      </c>
    </row>
    <row r="42" spans="1:11" x14ac:dyDescent="0.25">
      <c r="B42" t="s">
        <v>200</v>
      </c>
      <c r="C42" s="2">
        <f>SUM('3D AUTO MODEL'!$M$38:$M$42)</f>
        <v>0.16319123805843708</v>
      </c>
      <c r="D42" s="2">
        <f>PRODUCTIVITIES!$E$43</f>
        <v>490.6212884367572</v>
      </c>
      <c r="E42" s="37">
        <f>'WAGE RATES'!$D$6</f>
        <v>50.10717457546064</v>
      </c>
      <c r="F42" s="41">
        <f>E42*100/D42</f>
        <v>10.213004563074444</v>
      </c>
      <c r="G42" s="41">
        <f>PIGGYBACKS!$B$12</f>
        <v>1.3622907328394676</v>
      </c>
      <c r="H42" s="41">
        <f>'WAGE RATES'!$D$10</f>
        <v>1.0285306172213804</v>
      </c>
      <c r="I42" s="41">
        <f>(H42-1)*F42</f>
        <v>0.29138332386928828</v>
      </c>
      <c r="J42" s="41">
        <f>F42*G42+I42</f>
        <v>14.204464794592798</v>
      </c>
      <c r="K42" s="41">
        <f ca="1">C42*$J42/'3D AUTO MODEL'!$G$6</f>
        <v>2.3180441957870864E-4</v>
      </c>
    </row>
    <row r="43" spans="1:11" x14ac:dyDescent="0.25">
      <c r="F43" s="41"/>
      <c r="H43" s="41"/>
      <c r="I43" s="41"/>
      <c r="J43" s="41"/>
      <c r="K43" s="41"/>
    </row>
    <row r="44" spans="1:11" x14ac:dyDescent="0.25">
      <c r="A44" s="1" t="s">
        <v>230</v>
      </c>
      <c r="F44" s="41"/>
      <c r="H44" s="41"/>
      <c r="I44" s="41"/>
      <c r="J44" s="41"/>
      <c r="K44" s="41"/>
    </row>
    <row r="45" spans="1:11" x14ac:dyDescent="0.25">
      <c r="A45" s="35"/>
      <c r="B45" t="s">
        <v>225</v>
      </c>
      <c r="C45" s="2">
        <f>SUM('3D AUTO MODEL'!$B$53:$B$57)</f>
        <v>74.099884074897204</v>
      </c>
      <c r="D45" s="2">
        <f>PRODUCTIVITIES!$E$25*'COVERAGE FACTORS'!$C$25+PRODUCTIVITIES!$E$19*(1-'COVERAGE FACTORS'!$C$25)</f>
        <v>1572.97537151239</v>
      </c>
      <c r="E45" s="37">
        <f>'WAGE RATES'!$D$6</f>
        <v>50.10717457546064</v>
      </c>
      <c r="F45" s="41">
        <f>E45*100/D45</f>
        <v>3.1855028046169225</v>
      </c>
      <c r="G45" s="41">
        <f>PIGGYBACKS!$B$8</f>
        <v>1.6305774272183733</v>
      </c>
      <c r="H45" s="41">
        <f>'WAGE RATES'!$D$10</f>
        <v>1.0285306172213804</v>
      </c>
      <c r="I45" s="41">
        <f>(H45-1)*F45</f>
        <v>9.0884361176159112E-2</v>
      </c>
      <c r="J45" s="41">
        <f>F45*G45+I45</f>
        <v>5.285093328725333</v>
      </c>
      <c r="K45" s="41">
        <f ca="1">C45*$J45/'3D AUTO MODEL'!$G$6</f>
        <v>3.9162480298356048E-2</v>
      </c>
    </row>
    <row r="46" spans="1:11" x14ac:dyDescent="0.25">
      <c r="A46" s="35"/>
      <c r="B46" t="s">
        <v>226</v>
      </c>
      <c r="C46" s="2">
        <f>SUM('3D AUTO MODEL'!$A$53:$A$57)</f>
        <v>4.5422975505001473</v>
      </c>
      <c r="D46" s="2">
        <f>PRODUCTIVITIES!$E$16</f>
        <v>888.0117100682927</v>
      </c>
      <c r="E46" s="37">
        <f>'WAGE RATES'!$D$5</f>
        <v>54.142360316355024</v>
      </c>
      <c r="F46" s="41">
        <f>E46*100/D46</f>
        <v>6.0970322465895403</v>
      </c>
      <c r="G46" s="41">
        <f>PIGGYBACKS!$B$9</f>
        <v>1.2615773174013249</v>
      </c>
      <c r="H46" s="41">
        <f>'WAGE RATES'!$D$10</f>
        <v>1.0285306172213804</v>
      </c>
      <c r="I46" s="41">
        <f>(H46-1)*F46</f>
        <v>0.17395209321385913</v>
      </c>
      <c r="J46" s="41">
        <f>F46*G46+I46</f>
        <v>7.8658296789756648</v>
      </c>
      <c r="K46" s="41">
        <f ca="1">C46*$J46/'3D AUTO MODEL'!$G$6</f>
        <v>3.5728938883462583E-3</v>
      </c>
    </row>
    <row r="47" spans="1:11" x14ac:dyDescent="0.25">
      <c r="B47" t="s">
        <v>227</v>
      </c>
      <c r="C47" s="2">
        <f>SUM('3D AUTO MODEL'!$H$53:$H$57)</f>
        <v>0</v>
      </c>
      <c r="D47" s="2">
        <f>PRODUCTIVITIES!$E$32</f>
        <v>1.0273268954181221</v>
      </c>
      <c r="E47" s="37">
        <f>'WAGE RATES'!$D$6</f>
        <v>50.10717457546064</v>
      </c>
      <c r="F47" s="41">
        <f>E47*100/D47</f>
        <v>4877.4323731753384</v>
      </c>
      <c r="G47" s="41">
        <f>PIGGYBACKS!$B$10</f>
        <v>1.6305774272183733</v>
      </c>
      <c r="H47" s="41">
        <f>'WAGE RATES'!$D$10</f>
        <v>1.0285306172213804</v>
      </c>
      <c r="I47" s="41">
        <f>(H47-1)*F47</f>
        <v>139.15615606223454</v>
      </c>
      <c r="J47" s="41">
        <f>F47*G47+I47</f>
        <v>8092.1872865460828</v>
      </c>
      <c r="K47" s="41">
        <f ca="1">C47*$J47/'3D AUTO MODEL'!$G$6</f>
        <v>0</v>
      </c>
    </row>
    <row r="48" spans="1:11" x14ac:dyDescent="0.25">
      <c r="B48" t="s">
        <v>228</v>
      </c>
      <c r="C48" s="2">
        <f>SUM('3D AUTO MODEL'!$G$53:$G$57)</f>
        <v>0</v>
      </c>
      <c r="D48" s="2">
        <f>PRODUCTIVITIES!$E$38</f>
        <v>1.0273268954181221</v>
      </c>
      <c r="E48" s="37">
        <f>'WAGE RATES'!$D$6</f>
        <v>50.10717457546064</v>
      </c>
      <c r="F48" s="41">
        <f>E48*100/D48</f>
        <v>4877.4323731753384</v>
      </c>
      <c r="G48" s="41">
        <f>PIGGYBACKS!$B$10</f>
        <v>1.6305774272183733</v>
      </c>
      <c r="H48" s="41">
        <f>'WAGE RATES'!$D$10</f>
        <v>1.0285306172213804</v>
      </c>
      <c r="I48" s="41">
        <f>(H48-1)*F48</f>
        <v>139.15615606223454</v>
      </c>
      <c r="J48" s="41">
        <f>F48*G48+I48</f>
        <v>8092.1872865460828</v>
      </c>
      <c r="K48" s="41">
        <f ca="1">C48*$J48/'3D AUTO MODEL'!$G$6</f>
        <v>0</v>
      </c>
    </row>
    <row r="49" spans="1:11" x14ac:dyDescent="0.25">
      <c r="B49" t="s">
        <v>200</v>
      </c>
      <c r="C49" s="2">
        <f>SUM('3D AUTO MODEL'!$M$53:$M$57)</f>
        <v>6.1648866006365655</v>
      </c>
      <c r="D49" s="2">
        <f>PRODUCTIVITIES!$E$44</f>
        <v>692.96374405746178</v>
      </c>
      <c r="E49" s="37">
        <f>'WAGE RATES'!$D$6</f>
        <v>50.10717457546064</v>
      </c>
      <c r="F49" s="41">
        <f>E49*100/D49</f>
        <v>7.2308508208628108</v>
      </c>
      <c r="G49" s="41">
        <f>PIGGYBACKS!$B$12</f>
        <v>1.3622907328394676</v>
      </c>
      <c r="H49" s="41">
        <f>'WAGE RATES'!$D$10</f>
        <v>1.0285306172213804</v>
      </c>
      <c r="I49" s="41">
        <f>(H49-1)*F49</f>
        <v>0.20630063695494108</v>
      </c>
      <c r="J49" s="41">
        <f>F49*G49+I49</f>
        <v>10.056821700761006</v>
      </c>
      <c r="K49" s="41">
        <f ca="1">C49*$J49/'3D AUTO MODEL'!$G$6</f>
        <v>6.1999165348012673E-3</v>
      </c>
    </row>
    <row r="50" spans="1:11" x14ac:dyDescent="0.25">
      <c r="F50" s="41"/>
      <c r="H50" s="41"/>
      <c r="I50" s="41"/>
      <c r="J50" s="41"/>
      <c r="K50" s="41"/>
    </row>
    <row r="51" spans="1:11" x14ac:dyDescent="0.25">
      <c r="A51" s="1" t="s">
        <v>231</v>
      </c>
      <c r="F51" s="41"/>
      <c r="H51" s="41"/>
      <c r="I51" s="41"/>
      <c r="J51" s="41"/>
      <c r="K51" s="41"/>
    </row>
    <row r="52" spans="1:11" x14ac:dyDescent="0.25">
      <c r="A52" s="35"/>
      <c r="B52" t="s">
        <v>225</v>
      </c>
      <c r="C52" s="2">
        <f>SUM('3D AUTO MODEL'!$B$64:$B$68)</f>
        <v>10491.593331035845</v>
      </c>
      <c r="D52" s="2">
        <f>PRODUCTIVITIES!$E$26*'COVERAGE FACTORS'!$C$25+PRODUCTIVITIES!$E$20*(1-'COVERAGE FACTORS'!$C$25)</f>
        <v>2073.5491608992547</v>
      </c>
      <c r="E52" s="37">
        <f>'WAGE RATES'!$D$6</f>
        <v>50.10717457546064</v>
      </c>
      <c r="F52" s="41">
        <f>E52*100/D52</f>
        <v>2.4164932049997896</v>
      </c>
      <c r="G52" s="41">
        <f>PIGGYBACKS!$B$8</f>
        <v>1.6305774272183733</v>
      </c>
      <c r="H52" s="41">
        <f>'WAGE RATES'!$D$10</f>
        <v>1.0285306172213804</v>
      </c>
      <c r="I52" s="41">
        <f>(H52-1)*F52</f>
        <v>6.8944042649915702E-2</v>
      </c>
      <c r="J52" s="41">
        <f>F52*G52+I52</f>
        <v>4.0092233157491535</v>
      </c>
      <c r="K52" s="41">
        <f ca="1">C52*$J52/'3D AUTO MODEL'!$G$6</f>
        <v>4.2063140602147309</v>
      </c>
    </row>
    <row r="53" spans="1:11" x14ac:dyDescent="0.25">
      <c r="A53" s="35"/>
      <c r="B53" t="s">
        <v>226</v>
      </c>
      <c r="C53" s="2">
        <f>SUM('3D AUTO MODEL'!$A$64:$A$68)</f>
        <v>643.13108290748585</v>
      </c>
      <c r="D53" s="2">
        <f>PRODUCTIVITIES!$E$16</f>
        <v>888.0117100682927</v>
      </c>
      <c r="E53" s="37">
        <f>'WAGE RATES'!$D$5</f>
        <v>54.142360316355024</v>
      </c>
      <c r="F53" s="41">
        <f>E53*100/D53</f>
        <v>6.0970322465895403</v>
      </c>
      <c r="G53" s="41">
        <f>PIGGYBACKS!$B$9</f>
        <v>1.2615773174013249</v>
      </c>
      <c r="H53" s="41">
        <f>'WAGE RATES'!$D$10</f>
        <v>1.0285306172213804</v>
      </c>
      <c r="I53" s="41">
        <f>(H53-1)*F53</f>
        <v>0.17395209321385913</v>
      </c>
      <c r="J53" s="41">
        <f>F53*G53+I53</f>
        <v>7.8658296789756648</v>
      </c>
      <c r="K53" s="41">
        <f ca="1">C53*$J53/'3D AUTO MODEL'!$G$6</f>
        <v>0.50587595594054702</v>
      </c>
    </row>
    <row r="54" spans="1:11" x14ac:dyDescent="0.25">
      <c r="B54" t="s">
        <v>227</v>
      </c>
      <c r="C54" s="2">
        <f>SUM('3D AUTO MODEL'!$H$64:$H$68)</f>
        <v>0</v>
      </c>
      <c r="D54" s="2">
        <f>PRODUCTIVITIES!$E$33</f>
        <v>1.0273268954181221</v>
      </c>
      <c r="E54" s="37">
        <f>'WAGE RATES'!$D$6</f>
        <v>50.10717457546064</v>
      </c>
      <c r="F54" s="41">
        <f>E54*100/D54</f>
        <v>4877.4323731753384</v>
      </c>
      <c r="G54" s="41">
        <f>PIGGYBACKS!$B$10</f>
        <v>1.6305774272183733</v>
      </c>
      <c r="H54" s="41">
        <f>'WAGE RATES'!$D$10</f>
        <v>1.0285306172213804</v>
      </c>
      <c r="I54" s="41">
        <f>(H54-1)*F54</f>
        <v>139.15615606223454</v>
      </c>
      <c r="J54" s="41">
        <f>F54*G54+I54</f>
        <v>8092.1872865460828</v>
      </c>
      <c r="K54" s="41">
        <f ca="1">C54*$J54/'3D AUTO MODEL'!$G$6</f>
        <v>0</v>
      </c>
    </row>
    <row r="55" spans="1:11" x14ac:dyDescent="0.25">
      <c r="B55" t="s">
        <v>228</v>
      </c>
      <c r="C55" s="2">
        <f>SUM('3D AUTO MODEL'!$G$64:$G$68)</f>
        <v>0</v>
      </c>
      <c r="D55" s="2">
        <f>PRODUCTIVITIES!$E$39</f>
        <v>1.0273268954181221</v>
      </c>
      <c r="E55" s="37">
        <f>'WAGE RATES'!$D$6</f>
        <v>50.10717457546064</v>
      </c>
      <c r="F55" s="41">
        <f>E55*100/D55</f>
        <v>4877.4323731753384</v>
      </c>
      <c r="G55" s="41">
        <f>PIGGYBACKS!$B$10</f>
        <v>1.6305774272183733</v>
      </c>
      <c r="H55" s="41">
        <f>'WAGE RATES'!$D$10</f>
        <v>1.0285306172213804</v>
      </c>
      <c r="I55" s="41">
        <f>(H55-1)*F55</f>
        <v>139.15615606223454</v>
      </c>
      <c r="J55" s="41">
        <f>F55*G55+I55</f>
        <v>8092.1872865460828</v>
      </c>
      <c r="K55" s="41">
        <f ca="1">C55*$J55/'3D AUTO MODEL'!$G$6</f>
        <v>0</v>
      </c>
    </row>
    <row r="56" spans="1:11" x14ac:dyDescent="0.25">
      <c r="B56" t="s">
        <v>200</v>
      </c>
      <c r="C56" s="2">
        <f>SUM('3D AUTO MODEL'!$M$64:$M$68)</f>
        <v>553.21821584985128</v>
      </c>
      <c r="D56" s="2">
        <f>PRODUCTIVITIES!$E$45</f>
        <v>600.65917211803048</v>
      </c>
      <c r="E56" s="37">
        <f>'WAGE RATES'!$D$6</f>
        <v>50.10717457546064</v>
      </c>
      <c r="F56" s="41">
        <f>E56*100/D56</f>
        <v>8.3420310387959073</v>
      </c>
      <c r="G56" s="41">
        <f>PIGGYBACKS!$B$12</f>
        <v>1.3622907328394676</v>
      </c>
      <c r="H56" s="41">
        <f>'WAGE RATES'!$D$10</f>
        <v>1.0285306172213804</v>
      </c>
      <c r="I56" s="41">
        <f>(H56-1)*F56</f>
        <v>0.2380032944167603</v>
      </c>
      <c r="J56" s="41">
        <f>F56*G56+I56</f>
        <v>11.602274871627621</v>
      </c>
      <c r="K56" s="41">
        <f ca="1">C56*$J56/'3D AUTO MODEL'!$G$6</f>
        <v>0.64185898042814071</v>
      </c>
    </row>
    <row r="57" spans="1:11" x14ac:dyDescent="0.25">
      <c r="F57" s="41"/>
      <c r="H57" s="41"/>
      <c r="I57" s="41"/>
      <c r="J57" s="41"/>
      <c r="K57" s="41"/>
    </row>
    <row r="58" spans="1:11" x14ac:dyDescent="0.25">
      <c r="A58" s="1" t="s">
        <v>232</v>
      </c>
      <c r="F58" s="41"/>
      <c r="H58" s="41"/>
      <c r="I58" s="41"/>
      <c r="J58" s="41"/>
      <c r="K58" s="41"/>
    </row>
    <row r="59" spans="1:11" x14ac:dyDescent="0.25">
      <c r="A59" s="35"/>
      <c r="B59" t="s">
        <v>225</v>
      </c>
      <c r="C59" s="2">
        <f ca="1">SUM('3D AUTO MODEL'!$B$74:$B$78)+SUM('3D AUTO MODEL'!$B$108:$B$112)</f>
        <v>215.9254523186388</v>
      </c>
      <c r="D59" s="2">
        <f>PRODUCTIVITIES!$E$27*'COVERAGE FACTORS'!$C$25+PRODUCTIVITIES!$E$21*(1-'COVERAGE FACTORS'!$C$25)</f>
        <v>1117.4154005483335</v>
      </c>
      <c r="E59" s="37">
        <f>'WAGE RATES'!$D$6</f>
        <v>50.10717457546064</v>
      </c>
      <c r="F59" s="41">
        <f>E59*100/D59</f>
        <v>4.4842029697167458</v>
      </c>
      <c r="G59" s="41">
        <f>PIGGYBACKS!$B$8</f>
        <v>1.6305774272183733</v>
      </c>
      <c r="H59" s="41">
        <f>'WAGE RATES'!$D$10</f>
        <v>1.0285306172213804</v>
      </c>
      <c r="I59" s="41">
        <f>(H59-1)*F59</f>
        <v>0.1279370784719657</v>
      </c>
      <c r="J59" s="41">
        <f>F59*G59+I59</f>
        <v>7.4397772199576861</v>
      </c>
      <c r="K59" s="41">
        <f ca="1">C59*$J59/'3D AUTO MODEL'!$G$6</f>
        <v>0.16064372613692715</v>
      </c>
    </row>
    <row r="60" spans="1:11" x14ac:dyDescent="0.25">
      <c r="A60" s="35"/>
      <c r="B60" t="s">
        <v>226</v>
      </c>
      <c r="C60" s="2">
        <f ca="1">SUM('3D AUTO MODEL'!$A$74:$A$78)+SUM('3D AUTO MODEL'!$A$108:$A$112)</f>
        <v>13.236156377333039</v>
      </c>
      <c r="D60" s="2">
        <f>PRODUCTIVITIES!$E$16</f>
        <v>888.0117100682927</v>
      </c>
      <c r="E60" s="37">
        <f>'WAGE RATES'!$D$5</f>
        <v>54.142360316355024</v>
      </c>
      <c r="F60" s="41">
        <f>E60*100/D60</f>
        <v>6.0970322465895403</v>
      </c>
      <c r="G60" s="41">
        <f>PIGGYBACKS!$B$9</f>
        <v>1.2615773174013249</v>
      </c>
      <c r="H60" s="41">
        <f>'WAGE RATES'!$D$10</f>
        <v>1.0285306172213804</v>
      </c>
      <c r="I60" s="41">
        <f>(H60-1)*F60</f>
        <v>0.17395209321385913</v>
      </c>
      <c r="J60" s="41">
        <f>F60*G60+I60</f>
        <v>7.8658296789756648</v>
      </c>
      <c r="K60" s="41">
        <f ca="1">C60*$J60/'3D AUTO MODEL'!$G$6</f>
        <v>1.0411335166838941E-2</v>
      </c>
    </row>
    <row r="61" spans="1:11" x14ac:dyDescent="0.25">
      <c r="B61" t="s">
        <v>227</v>
      </c>
      <c r="C61" s="2">
        <f>SUM('3D AUTO MODEL'!$H$74:$H$78)</f>
        <v>0</v>
      </c>
      <c r="D61" s="2">
        <f>PRODUCTIVITIES!$E$34</f>
        <v>1.0273268954181221</v>
      </c>
      <c r="E61" s="37">
        <f>'WAGE RATES'!$D$6</f>
        <v>50.10717457546064</v>
      </c>
      <c r="F61" s="41">
        <f>E61*100/D61</f>
        <v>4877.4323731753384</v>
      </c>
      <c r="G61" s="41">
        <f>PIGGYBACKS!$B$10</f>
        <v>1.6305774272183733</v>
      </c>
      <c r="H61" s="41">
        <f>'WAGE RATES'!$D$10</f>
        <v>1.0285306172213804</v>
      </c>
      <c r="I61" s="41">
        <f>(H61-1)*F61</f>
        <v>139.15615606223454</v>
      </c>
      <c r="J61" s="41">
        <f>F61*G61+I61</f>
        <v>8092.1872865460828</v>
      </c>
      <c r="K61" s="41">
        <f ca="1">C61*$J61/'3D AUTO MODEL'!$G$6</f>
        <v>0</v>
      </c>
    </row>
    <row r="62" spans="1:11" x14ac:dyDescent="0.25">
      <c r="B62" t="s">
        <v>228</v>
      </c>
      <c r="C62" s="2">
        <f>SUM('3D AUTO MODEL'!$G$74:$G$78)</f>
        <v>0</v>
      </c>
      <c r="D62" s="2">
        <f>PRODUCTIVITIES!$E$40</f>
        <v>1.0273268954181221</v>
      </c>
      <c r="E62" s="37">
        <f>'WAGE RATES'!$D$6</f>
        <v>50.10717457546064</v>
      </c>
      <c r="F62" s="41">
        <f>E62*100/D62</f>
        <v>4877.4323731753384</v>
      </c>
      <c r="G62" s="41">
        <f>PIGGYBACKS!$B$10</f>
        <v>1.6305774272183733</v>
      </c>
      <c r="H62" s="41">
        <f>'WAGE RATES'!$D$10</f>
        <v>1.0285306172213804</v>
      </c>
      <c r="I62" s="41">
        <f>(H62-1)*F62</f>
        <v>139.15615606223454</v>
      </c>
      <c r="J62" s="41">
        <f>F62*G62+I62</f>
        <v>8092.1872865460828</v>
      </c>
      <c r="K62" s="41">
        <f ca="1">C62*$J62/'3D AUTO MODEL'!$G$6</f>
        <v>0</v>
      </c>
    </row>
    <row r="63" spans="1:11" x14ac:dyDescent="0.25">
      <c r="B63" t="s">
        <v>200</v>
      </c>
      <c r="C63" s="2">
        <f ca="1">SUM('3D AUTO MODEL'!$M$74:$M$78)</f>
        <v>26.494313858389226</v>
      </c>
      <c r="D63" s="2">
        <f>PRODUCTIVITIES!$E$46</f>
        <v>753.4091755495233</v>
      </c>
      <c r="E63" s="37">
        <f>'WAGE RATES'!$D$6</f>
        <v>50.10717457546064</v>
      </c>
      <c r="F63" s="41">
        <f>E63*100/D63</f>
        <v>6.6507252900010618</v>
      </c>
      <c r="G63" s="41">
        <f>PIGGYBACKS!$B$12</f>
        <v>1.3622907328394676</v>
      </c>
      <c r="H63" s="41">
        <f>'WAGE RATES'!$D$10</f>
        <v>1.0285306172213804</v>
      </c>
      <c r="I63" s="41">
        <f>(H63-1)*F63</f>
        <v>0.18974929749357441</v>
      </c>
      <c r="J63" s="41">
        <f>F63*G63+I63</f>
        <v>9.2499707267231006</v>
      </c>
      <c r="K63" s="41">
        <f ca="1">C63*$J63/'3D AUTO MODEL'!$G$6</f>
        <v>2.4507162761471496E-2</v>
      </c>
    </row>
    <row r="64" spans="1:11" x14ac:dyDescent="0.25">
      <c r="A64" s="35"/>
      <c r="F64" s="41"/>
      <c r="H64" s="41"/>
      <c r="I64" s="41"/>
      <c r="J64" s="41"/>
      <c r="K64" s="41"/>
    </row>
    <row r="65" spans="1:11" x14ac:dyDescent="0.25">
      <c r="A65" s="1" t="s">
        <v>233</v>
      </c>
      <c r="F65" s="41"/>
      <c r="H65" s="41"/>
      <c r="I65" s="41"/>
      <c r="J65" s="41"/>
      <c r="K65" s="41"/>
    </row>
    <row r="66" spans="1:11" x14ac:dyDescent="0.25">
      <c r="A66" s="35"/>
      <c r="B66" t="s">
        <v>225</v>
      </c>
      <c r="C66" s="2">
        <f ca="1">SUM('3D AUTO MODEL'!$B$83:$B$87)+SUM('3D AUTO MODEL'!$B$122:$B$126)</f>
        <v>9464.6584076743202</v>
      </c>
      <c r="D66" s="2">
        <f>PRODUCTIVITIES!$E$28*'COVERAGE FACTORS'!$C$25+PRODUCTIVITIES!$E$22*(1-'COVERAGE FACTORS'!$C$25)</f>
        <v>1858.2572281195687</v>
      </c>
      <c r="E66" s="37">
        <f>'WAGE RATES'!$D$6</f>
        <v>50.10717457546064</v>
      </c>
      <c r="F66" s="41">
        <f>E66*100/D66</f>
        <v>2.6964606308118992</v>
      </c>
      <c r="G66" s="41">
        <f>PIGGYBACKS!$B$8</f>
        <v>1.6305774272183733</v>
      </c>
      <c r="H66" s="41">
        <f>'WAGE RATES'!$D$10</f>
        <v>1.0285306172213804</v>
      </c>
      <c r="I66" s="41">
        <f>(H66-1)*F66</f>
        <v>7.693168611021621E-2</v>
      </c>
      <c r="J66" s="41">
        <f>F66*G66+I66</f>
        <v>4.473719524095114</v>
      </c>
      <c r="K66" s="41">
        <f ca="1">C66*$J66/'3D AUTO MODEL'!$G$6</f>
        <v>4.234222710730366</v>
      </c>
    </row>
    <row r="67" spans="1:11" x14ac:dyDescent="0.25">
      <c r="A67" s="35"/>
      <c r="B67" t="s">
        <v>226</v>
      </c>
      <c r="C67" s="2">
        <f ca="1">SUM('3D AUTO MODEL'!$A$83:$A$87)+SUM('3D AUTO MODEL'!$A$122:$A$126)</f>
        <v>580.18032333283827</v>
      </c>
      <c r="D67" s="2">
        <f>PRODUCTIVITIES!$E$16</f>
        <v>888.0117100682927</v>
      </c>
      <c r="E67" s="37">
        <f>'WAGE RATES'!$D$5</f>
        <v>54.142360316355024</v>
      </c>
      <c r="F67" s="41">
        <f>E67*100/D67</f>
        <v>6.0970322465895403</v>
      </c>
      <c r="G67" s="41">
        <f>PIGGYBACKS!$B$9</f>
        <v>1.2615773174013249</v>
      </c>
      <c r="H67" s="41">
        <f>'WAGE RATES'!$D$10</f>
        <v>1.0285306172213804</v>
      </c>
      <c r="I67" s="41">
        <f>(H67-1)*F67</f>
        <v>0.17395209321385913</v>
      </c>
      <c r="J67" s="41">
        <f>F67*G67+I67</f>
        <v>7.8658296789756648</v>
      </c>
      <c r="K67" s="41">
        <f ca="1">C67*$J67/'3D AUTO MODEL'!$G$6</f>
        <v>0.45635996064291451</v>
      </c>
    </row>
    <row r="68" spans="1:11" x14ac:dyDescent="0.25">
      <c r="B68" t="s">
        <v>227</v>
      </c>
      <c r="C68" s="2">
        <f>SUM('3D AUTO MODEL'!$H$83:$H$87)</f>
        <v>0</v>
      </c>
      <c r="D68" s="2">
        <f>PRODUCTIVITIES!$E$35</f>
        <v>1.0273268954181221</v>
      </c>
      <c r="E68" s="37">
        <f>'WAGE RATES'!$D$6</f>
        <v>50.10717457546064</v>
      </c>
      <c r="F68" s="41">
        <f>E68*100/D68</f>
        <v>4877.4323731753384</v>
      </c>
      <c r="G68" s="41">
        <f>PIGGYBACKS!$B$10</f>
        <v>1.6305774272183733</v>
      </c>
      <c r="H68" s="41">
        <f>'WAGE RATES'!$D$10</f>
        <v>1.0285306172213804</v>
      </c>
      <c r="I68" s="41">
        <f>(H68-1)*F68</f>
        <v>139.15615606223454</v>
      </c>
      <c r="J68" s="41">
        <f>F68*G68+I68</f>
        <v>8092.1872865460828</v>
      </c>
      <c r="K68" s="41">
        <f ca="1">C68*$J68/'3D AUTO MODEL'!$G$6</f>
        <v>0</v>
      </c>
    </row>
    <row r="69" spans="1:11" x14ac:dyDescent="0.25">
      <c r="B69" t="s">
        <v>228</v>
      </c>
      <c r="C69" s="2">
        <f>SUM('3D AUTO MODEL'!$G$83:$G$87)</f>
        <v>0</v>
      </c>
      <c r="D69" s="2">
        <f>PRODUCTIVITIES!$E$41</f>
        <v>1.0273268954181221</v>
      </c>
      <c r="E69" s="37">
        <f>'WAGE RATES'!$D$6</f>
        <v>50.10717457546064</v>
      </c>
      <c r="F69" s="41">
        <f>E69*100/D69</f>
        <v>4877.4323731753384</v>
      </c>
      <c r="G69" s="41">
        <f>PIGGYBACKS!$B$10</f>
        <v>1.6305774272183733</v>
      </c>
      <c r="H69" s="41">
        <f>'WAGE RATES'!$D$10</f>
        <v>1.0285306172213804</v>
      </c>
      <c r="I69" s="41">
        <f>(H69-1)*F69</f>
        <v>139.15615606223454</v>
      </c>
      <c r="J69" s="41">
        <f>F69*G69+I69</f>
        <v>8092.1872865460828</v>
      </c>
      <c r="K69" s="41">
        <f ca="1">C69*$J69/'3D AUTO MODEL'!$G$6</f>
        <v>0</v>
      </c>
    </row>
    <row r="70" spans="1:11" x14ac:dyDescent="0.25">
      <c r="B70" t="s">
        <v>200</v>
      </c>
      <c r="C70" s="2">
        <f ca="1">SUM('3D AUTO MODEL'!$M$83:$M$87)</f>
        <v>1090.8285772733282</v>
      </c>
      <c r="D70" s="2">
        <f>PRODUCTIVITIES!$E$47</f>
        <v>675.89315757280178</v>
      </c>
      <c r="E70" s="37">
        <f>'WAGE RATES'!$D$6</f>
        <v>50.10717457546064</v>
      </c>
      <c r="F70" s="41">
        <f>E70*100/D70</f>
        <v>7.4134756379840256</v>
      </c>
      <c r="G70" s="41">
        <f>PIGGYBACKS!$B$12</f>
        <v>1.3622907328394676</v>
      </c>
      <c r="H70" s="41">
        <f>'WAGE RATES'!$D$10</f>
        <v>1.0285306172213804</v>
      </c>
      <c r="I70" s="41">
        <f>(H70-1)*F70</f>
        <v>0.21151103570735105</v>
      </c>
      <c r="J70" s="41">
        <f>F70*G70+I70</f>
        <v>10.310820195464149</v>
      </c>
      <c r="K70" s="41">
        <f ca="1">C70*$J70/'3D AUTO MODEL'!$G$6</f>
        <v>1.1247337324339279</v>
      </c>
    </row>
    <row r="71" spans="1:11" x14ac:dyDescent="0.25">
      <c r="F71" s="41"/>
      <c r="H71" s="41"/>
      <c r="I71" s="41"/>
      <c r="J71" s="41"/>
      <c r="K71" s="41"/>
    </row>
    <row r="72" spans="1:11" x14ac:dyDescent="0.25">
      <c r="A72" s="1" t="s">
        <v>234</v>
      </c>
      <c r="F72" s="41"/>
      <c r="H72" s="41"/>
      <c r="I72" s="41"/>
      <c r="J72" s="41"/>
      <c r="K72" s="41"/>
    </row>
    <row r="73" spans="1:11" x14ac:dyDescent="0.25">
      <c r="B73" t="s">
        <v>99</v>
      </c>
      <c r="C73" s="2">
        <v>0</v>
      </c>
      <c r="D73" s="2">
        <v>0</v>
      </c>
      <c r="E73" s="37">
        <v>0</v>
      </c>
      <c r="F73" s="41">
        <v>0</v>
      </c>
      <c r="G73" s="41">
        <v>0</v>
      </c>
      <c r="H73" s="41">
        <v>0</v>
      </c>
      <c r="I73" s="41">
        <v>0</v>
      </c>
      <c r="J73" s="41">
        <v>0</v>
      </c>
      <c r="K73" s="41">
        <f ca="1">C73*$J73/'MADC NONAUTO MODEL'!$G$6</f>
        <v>0</v>
      </c>
    </row>
    <row r="74" spans="1:11" x14ac:dyDescent="0.25">
      <c r="B74" t="s">
        <v>226</v>
      </c>
      <c r="C74" s="2">
        <f ca="1">SUM('3D AUTO MODEL'!$A$95:$A$99)</f>
        <v>0</v>
      </c>
      <c r="D74" s="2">
        <f>PRODUCTIVITIES!E16</f>
        <v>888.0117100682927</v>
      </c>
      <c r="E74" s="37">
        <f>'WAGE RATES'!D5</f>
        <v>54.142360316355024</v>
      </c>
      <c r="F74" s="41">
        <f>E74*100/D74</f>
        <v>6.0970322465895403</v>
      </c>
      <c r="G74" s="41">
        <f>PIGGYBACKS!B9</f>
        <v>1.2615773174013249</v>
      </c>
      <c r="H74" s="41">
        <f>'WAGE RATES'!$D$10</f>
        <v>1.0285306172213804</v>
      </c>
      <c r="I74" s="41">
        <f>(H74-1)*F74</f>
        <v>0.17395209321385913</v>
      </c>
      <c r="J74" s="41">
        <f>F74*G74+I74</f>
        <v>7.8658296789756648</v>
      </c>
      <c r="K74" s="41">
        <f ca="1">C74*$J74/'3D AUTO MODEL'!$G$6</f>
        <v>0</v>
      </c>
    </row>
    <row r="75" spans="1:11" x14ac:dyDescent="0.25">
      <c r="F75" s="41"/>
      <c r="H75" s="41"/>
      <c r="I75" s="41"/>
      <c r="J75" s="41"/>
    </row>
    <row r="76" spans="1:11" ht="13.8" thickBot="1" x14ac:dyDescent="0.3">
      <c r="F76" s="41"/>
      <c r="H76" s="41"/>
      <c r="I76" s="41"/>
      <c r="J76" s="41"/>
      <c r="K76" s="40" t="str">
        <f>"(10)"</f>
        <v>(10)</v>
      </c>
    </row>
    <row r="77" spans="1:11" ht="13.8" thickBot="1" x14ac:dyDescent="0.3">
      <c r="F77" s="41"/>
      <c r="H77" s="41"/>
      <c r="I77" s="41"/>
      <c r="J77" s="136" t="s">
        <v>205</v>
      </c>
      <c r="K77" s="137">
        <f ca="1">SUM(K11:K74)</f>
        <v>12.925919162108599</v>
      </c>
    </row>
    <row r="81" spans="1:8" x14ac:dyDescent="0.25">
      <c r="A81" s="139" t="str">
        <f>"(1)"</f>
        <v>(1)</v>
      </c>
      <c r="B81" s="1" t="s">
        <v>330</v>
      </c>
      <c r="F81" s="139" t="str">
        <f>"(6)"</f>
        <v>(6)</v>
      </c>
      <c r="G81" s="1" t="s">
        <v>236</v>
      </c>
      <c r="H81" s="33"/>
    </row>
    <row r="82" spans="1:8" x14ac:dyDescent="0.25">
      <c r="A82" s="139" t="str">
        <f>"(2)"</f>
        <v>(2)</v>
      </c>
      <c r="B82" s="1" t="s">
        <v>237</v>
      </c>
      <c r="F82" s="138" t="str">
        <f>"(7)"</f>
        <v>(7)</v>
      </c>
      <c r="G82" s="140" t="s">
        <v>209</v>
      </c>
      <c r="H82" s="33"/>
    </row>
    <row r="83" spans="1:8" x14ac:dyDescent="0.25">
      <c r="A83" s="139" t="str">
        <f>"(3)"</f>
        <v>(3)</v>
      </c>
      <c r="B83" s="1" t="s">
        <v>236</v>
      </c>
      <c r="F83" s="138" t="str">
        <f>"(8)"</f>
        <v>(8)</v>
      </c>
      <c r="G83" s="140" t="s">
        <v>211</v>
      </c>
      <c r="H83" s="33"/>
    </row>
    <row r="84" spans="1:8" x14ac:dyDescent="0.25">
      <c r="A84" s="139" t="str">
        <f>"(4)"</f>
        <v>(4)</v>
      </c>
      <c r="B84" s="1" t="s">
        <v>213</v>
      </c>
      <c r="F84" s="138" t="str">
        <f>"(9)"</f>
        <v>(9)</v>
      </c>
      <c r="G84" s="140" t="s">
        <v>212</v>
      </c>
      <c r="H84" s="33"/>
    </row>
    <row r="85" spans="1:8" x14ac:dyDescent="0.25">
      <c r="A85" s="139" t="str">
        <f>"(5)"</f>
        <v>(5)</v>
      </c>
      <c r="B85" s="1" t="s">
        <v>238</v>
      </c>
      <c r="F85" s="138" t="str">
        <f>"(10)"</f>
        <v>(10)</v>
      </c>
      <c r="G85" s="140" t="s">
        <v>214</v>
      </c>
      <c r="H85" s="33"/>
    </row>
    <row r="86" spans="1:8" x14ac:dyDescent="0.25">
      <c r="G86" s="140"/>
      <c r="H86" s="33"/>
    </row>
  </sheetData>
  <phoneticPr fontId="29" type="noConversion"/>
  <printOptions horizontalCentered="1"/>
  <pageMargins left="0.75" right="0.75" top="1" bottom="1" header="0.5" footer="0.5"/>
  <pageSetup scale="60" orientation="portrait" r:id="rId1"/>
  <headerFooter alignWithMargins="0">
    <oddFooter>&amp;CTab '&amp;A'&amp;RPage 23</oddFooter>
  </headerFooter>
  <ignoredErrors>
    <ignoredError sqref="E32 E39 E46 E53 E60 E67" formula="1"/>
  </ignoredErrors>
</worksheet>
</file>

<file path=xl/worksheets/sheet2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2"/>
  <dimension ref="A1:AD128"/>
  <sheetViews>
    <sheetView zoomScale="70" workbookViewId="0"/>
  </sheetViews>
  <sheetFormatPr defaultRowHeight="13.2" x14ac:dyDescent="0.25"/>
  <cols>
    <col min="1" max="3" width="10.77734375" style="19" customWidth="1"/>
    <col min="4" max="4" width="10.77734375" style="58" customWidth="1"/>
    <col min="5" max="6" width="10.77734375" style="19" customWidth="1"/>
    <col min="7" max="7" width="15.77734375" style="19" customWidth="1"/>
    <col min="8" max="8" width="10.77734375" style="19" customWidth="1"/>
    <col min="9" max="9" width="10.77734375" style="58" customWidth="1"/>
    <col min="10" max="12" width="10.77734375" style="19" customWidth="1"/>
    <col min="13" max="13" width="10.77734375" customWidth="1"/>
    <col min="14" max="14" width="10.77734375" style="19" customWidth="1"/>
    <col min="15" max="16" width="10.77734375" style="58" customWidth="1"/>
    <col min="17" max="18" width="10.77734375" style="19" customWidth="1"/>
    <col min="19" max="19" width="10.77734375" customWidth="1"/>
    <col min="20" max="20" width="10.77734375" style="19" customWidth="1"/>
    <col min="21" max="21" width="10.77734375" style="58" customWidth="1"/>
    <col min="22" max="30" width="10.77734375" style="19" customWidth="1"/>
    <col min="31" max="34" width="10.77734375" customWidth="1"/>
  </cols>
  <sheetData>
    <row r="1" spans="1:30" ht="28.2" x14ac:dyDescent="0.5">
      <c r="A1" s="56" t="str">
        <f>'3D AUTO COST'!A1</f>
        <v>3-DIGIT AUTO PRESORT</v>
      </c>
    </row>
    <row r="2" spans="1:30" ht="22.8" x14ac:dyDescent="0.4">
      <c r="A2" s="57" t="s">
        <v>239</v>
      </c>
    </row>
    <row r="6" spans="1:30" ht="17.399999999999999" x14ac:dyDescent="0.3">
      <c r="A6" s="47" t="s">
        <v>240</v>
      </c>
      <c r="B6" s="17"/>
      <c r="C6" s="48">
        <f>SUM(C11:C16)+SUM(G11:G16)+SUM(K11:K16)+SUM(O11:O16)</f>
        <v>10000.000000000002</v>
      </c>
      <c r="E6" s="47" t="s">
        <v>241</v>
      </c>
      <c r="F6" s="17"/>
      <c r="G6" s="48">
        <f ca="1">D88+J88+O88+D100+D127</f>
        <v>9999.9999999999818</v>
      </c>
      <c r="H6" s="17"/>
      <c r="J6" s="17"/>
      <c r="K6" s="17"/>
      <c r="O6" s="47"/>
      <c r="P6" s="47"/>
      <c r="Q6" s="17"/>
      <c r="R6" s="17"/>
      <c r="V6" s="17"/>
      <c r="W6" s="17"/>
      <c r="X6" s="17"/>
      <c r="Y6" s="17"/>
      <c r="AA6" s="17"/>
      <c r="AC6" s="17"/>
      <c r="AD6" s="17"/>
    </row>
    <row r="9" spans="1:30" x14ac:dyDescent="0.25">
      <c r="E9" s="17"/>
      <c r="H9" s="17"/>
      <c r="J9" s="17"/>
      <c r="K9" s="17"/>
      <c r="N9" s="17"/>
      <c r="Q9" s="17"/>
      <c r="R9" s="17"/>
      <c r="V9" s="17"/>
      <c r="W9" s="17"/>
      <c r="X9" s="17"/>
      <c r="Y9" s="17"/>
      <c r="AA9" s="17"/>
      <c r="AC9" s="17"/>
      <c r="AD9" s="17"/>
    </row>
    <row r="10" spans="1:30" ht="17.399999999999999" x14ac:dyDescent="0.3">
      <c r="A10" s="49" t="s">
        <v>242</v>
      </c>
      <c r="E10" s="17"/>
      <c r="G10" s="18"/>
      <c r="H10" s="26"/>
      <c r="J10" s="17"/>
      <c r="K10" s="17"/>
      <c r="N10" s="17"/>
      <c r="O10" s="60"/>
      <c r="Q10" s="17"/>
      <c r="R10" s="17"/>
      <c r="V10" s="17"/>
      <c r="W10" s="17"/>
      <c r="X10" s="17"/>
      <c r="Y10" s="17"/>
      <c r="AA10" s="17"/>
      <c r="AC10" s="17"/>
      <c r="AD10" s="17"/>
    </row>
    <row r="11" spans="1:30" x14ac:dyDescent="0.25">
      <c r="A11" s="25"/>
      <c r="B11" s="66" t="s">
        <v>243</v>
      </c>
      <c r="C11" s="67">
        <f>'ENTRY PROFILE'!H59</f>
        <v>10.519291034932776</v>
      </c>
      <c r="D11" s="59"/>
      <c r="E11" s="28"/>
      <c r="F11" s="61" t="s">
        <v>244</v>
      </c>
      <c r="G11" s="63">
        <v>0</v>
      </c>
      <c r="I11" s="27"/>
      <c r="J11" s="72" t="s">
        <v>245</v>
      </c>
      <c r="K11" s="73">
        <f>'ENTRY PROFILE'!H63</f>
        <v>0</v>
      </c>
      <c r="L11" s="59"/>
      <c r="M11" s="28"/>
      <c r="N11" s="78" t="s">
        <v>246</v>
      </c>
      <c r="O11" s="79">
        <v>0</v>
      </c>
      <c r="P11" s="141"/>
      <c r="Q11" s="17"/>
      <c r="R11" s="17"/>
      <c r="V11" s="17"/>
      <c r="W11" s="17"/>
      <c r="X11" s="17"/>
      <c r="Y11" s="17"/>
      <c r="AA11" s="17"/>
      <c r="AC11" s="17"/>
      <c r="AD11" s="17"/>
    </row>
    <row r="12" spans="1:30" x14ac:dyDescent="0.25">
      <c r="A12" s="21"/>
      <c r="B12" s="68" t="s">
        <v>247</v>
      </c>
      <c r="C12" s="69">
        <v>0</v>
      </c>
      <c r="E12" s="17"/>
      <c r="F12" s="62" t="s">
        <v>248</v>
      </c>
      <c r="G12" s="63">
        <v>0</v>
      </c>
      <c r="I12" s="19"/>
      <c r="J12" s="74" t="s">
        <v>249</v>
      </c>
      <c r="K12" s="75">
        <v>0</v>
      </c>
      <c r="L12" s="58"/>
      <c r="M12" s="17"/>
      <c r="N12" s="80" t="s">
        <v>250</v>
      </c>
      <c r="O12" s="81">
        <v>0</v>
      </c>
      <c r="P12" s="141"/>
      <c r="Q12" s="17"/>
      <c r="R12" s="17"/>
      <c r="V12" s="17"/>
      <c r="W12" s="17"/>
      <c r="X12" s="17"/>
      <c r="Y12" s="17"/>
      <c r="AA12" s="17"/>
      <c r="AC12" s="17"/>
      <c r="AD12" s="17"/>
    </row>
    <row r="13" spans="1:30" x14ac:dyDescent="0.25">
      <c r="A13" s="21"/>
      <c r="B13" s="68" t="s">
        <v>251</v>
      </c>
      <c r="C13" s="69">
        <f>'ENTRY PROFILE'!L59+'ENTRY PROFILE'!L60</f>
        <v>67.590956520177187</v>
      </c>
      <c r="E13" s="17"/>
      <c r="F13" s="62" t="s">
        <v>252</v>
      </c>
      <c r="G13" s="63">
        <v>0</v>
      </c>
      <c r="I13" s="19"/>
      <c r="J13" s="74" t="s">
        <v>253</v>
      </c>
      <c r="K13" s="75">
        <f>'ENTRY PROFILE'!L63+'ENTRY PROFILE'!L64</f>
        <v>0</v>
      </c>
      <c r="L13" s="58"/>
      <c r="M13" s="17"/>
      <c r="N13" s="80" t="s">
        <v>254</v>
      </c>
      <c r="O13" s="81">
        <v>0</v>
      </c>
      <c r="P13" s="141"/>
      <c r="Q13" s="17"/>
      <c r="R13" s="17"/>
      <c r="V13" s="17"/>
      <c r="W13" s="17"/>
      <c r="X13" s="17"/>
      <c r="Y13" s="17"/>
      <c r="AA13" s="17"/>
      <c r="AC13" s="17"/>
      <c r="AD13" s="17"/>
    </row>
    <row r="14" spans="1:30" x14ac:dyDescent="0.25">
      <c r="A14" s="21"/>
      <c r="B14" s="68" t="s">
        <v>255</v>
      </c>
      <c r="C14" s="69">
        <f>'ENTRY PROFILE'!I59+'ENTRY PROFILE'!M59+'ENTRY PROFILE'!M60+'ENTRY PROFILE'!Q59+'ENTRY PROFILE'!Q60+'ENTRY PROFILE'!Q61+'ENTRY PROFILE'!P59+'ENTRY PROFILE'!P60+'ENTRY PROFILE'!P61+'ENTRY PROFILE'!X62</f>
        <v>9921.8897524448912</v>
      </c>
      <c r="E14" s="17"/>
      <c r="F14" s="62" t="s">
        <v>256</v>
      </c>
      <c r="G14" s="63">
        <v>0</v>
      </c>
      <c r="I14" s="19"/>
      <c r="J14" s="74" t="s">
        <v>257</v>
      </c>
      <c r="K14" s="75">
        <f>'ENTRY PROFILE'!I63+'ENTRY PROFILE'!M63+'ENTRY PROFILE'!M64+'ENTRY PROFILE'!Q63+'ENTRY PROFILE'!Q64+'ENTRY PROFILE'!Q65+'ENTRY PROFILE'!P63+'ENTRY PROFILE'!P64+'ENTRY PROFILE'!P65+'ENTRY PROFILE'!X66</f>
        <v>0</v>
      </c>
      <c r="L14" s="58"/>
      <c r="M14" s="17"/>
      <c r="N14" s="80" t="s">
        <v>258</v>
      </c>
      <c r="O14" s="81">
        <v>0</v>
      </c>
      <c r="P14" s="141"/>
      <c r="Q14" s="17"/>
      <c r="R14" s="17"/>
      <c r="V14" s="17"/>
      <c r="W14" s="17"/>
      <c r="X14" s="17"/>
      <c r="Y14" s="17"/>
      <c r="AA14" s="17"/>
      <c r="AC14" s="17"/>
      <c r="AD14" s="17"/>
    </row>
    <row r="15" spans="1:30" x14ac:dyDescent="0.25">
      <c r="A15" s="21"/>
      <c r="B15" s="68" t="s">
        <v>259</v>
      </c>
      <c r="C15" s="69">
        <v>0</v>
      </c>
      <c r="E15" s="17"/>
      <c r="F15" s="62" t="s">
        <v>260</v>
      </c>
      <c r="G15" s="63">
        <v>0</v>
      </c>
      <c r="I15" s="19"/>
      <c r="J15" s="74" t="s">
        <v>261</v>
      </c>
      <c r="K15" s="75">
        <v>0</v>
      </c>
      <c r="L15" s="58"/>
      <c r="M15" s="17"/>
      <c r="N15" s="80" t="s">
        <v>262</v>
      </c>
      <c r="O15" s="81">
        <v>0</v>
      </c>
      <c r="P15" s="141"/>
      <c r="Q15" s="17"/>
      <c r="R15" s="17"/>
      <c r="V15" s="17"/>
      <c r="W15" s="17"/>
      <c r="X15" s="17"/>
      <c r="Y15" s="17"/>
      <c r="AA15" s="17"/>
      <c r="AC15" s="17"/>
      <c r="AD15" s="17"/>
    </row>
    <row r="16" spans="1:30" x14ac:dyDescent="0.25">
      <c r="A16" s="20"/>
      <c r="B16" s="70" t="s">
        <v>263</v>
      </c>
      <c r="C16" s="71">
        <v>0</v>
      </c>
      <c r="D16" s="60"/>
      <c r="E16" s="26"/>
      <c r="F16" s="64" t="s">
        <v>264</v>
      </c>
      <c r="G16" s="65">
        <v>0</v>
      </c>
      <c r="H16" s="18"/>
      <c r="I16" s="18"/>
      <c r="J16" s="76" t="s">
        <v>265</v>
      </c>
      <c r="K16" s="77">
        <v>0</v>
      </c>
      <c r="L16" s="60"/>
      <c r="M16" s="26"/>
      <c r="N16" s="82" t="s">
        <v>266</v>
      </c>
      <c r="O16" s="83">
        <v>0</v>
      </c>
      <c r="P16" s="141"/>
      <c r="Q16" s="17"/>
      <c r="R16" s="17"/>
      <c r="V16" s="17"/>
      <c r="W16" s="17"/>
      <c r="X16" s="17"/>
      <c r="Y16" s="17"/>
      <c r="AA16" s="17"/>
      <c r="AC16" s="17"/>
      <c r="AD16" s="17"/>
    </row>
    <row r="20" spans="1:30" x14ac:dyDescent="0.25">
      <c r="A20" s="103"/>
      <c r="B20" s="105"/>
      <c r="C20" s="105"/>
      <c r="D20" s="106"/>
      <c r="E20" s="105"/>
      <c r="F20" s="105"/>
      <c r="G20" s="103"/>
      <c r="H20" s="104"/>
      <c r="I20" s="105"/>
      <c r="J20" s="106"/>
      <c r="K20" s="105"/>
      <c r="L20" s="105"/>
      <c r="M20" s="104"/>
      <c r="N20" s="105"/>
      <c r="O20" s="106"/>
      <c r="P20" s="105"/>
      <c r="Q20" s="107"/>
      <c r="S20" s="19"/>
      <c r="U20" s="19"/>
      <c r="Y20"/>
      <c r="Z20"/>
      <c r="AA20"/>
      <c r="AB20"/>
      <c r="AC20"/>
      <c r="AD20"/>
    </row>
    <row r="21" spans="1:30" s="125" customFormat="1" ht="22.8" x14ac:dyDescent="0.4">
      <c r="A21" s="177"/>
      <c r="B21" s="123"/>
      <c r="C21" s="127" t="s">
        <v>267</v>
      </c>
      <c r="D21" s="123"/>
      <c r="E21" s="57"/>
      <c r="F21" s="127"/>
      <c r="G21" s="122"/>
      <c r="H21" s="57"/>
      <c r="I21" s="123"/>
      <c r="J21" s="57"/>
      <c r="K21" s="57"/>
      <c r="L21" s="127" t="s">
        <v>268</v>
      </c>
      <c r="M21" s="57"/>
      <c r="N21" s="123"/>
      <c r="O21" s="57"/>
      <c r="P21" s="57"/>
      <c r="Q21" s="124"/>
      <c r="R21" s="57"/>
      <c r="S21" s="57"/>
      <c r="T21" s="57"/>
      <c r="U21" s="57"/>
      <c r="V21" s="57"/>
      <c r="W21" s="57"/>
      <c r="X21" s="57"/>
    </row>
    <row r="22" spans="1:30" s="125" customFormat="1" ht="22.8" x14ac:dyDescent="0.4">
      <c r="A22" s="122"/>
      <c r="B22" s="57"/>
      <c r="C22" s="57"/>
      <c r="D22" s="123"/>
      <c r="E22" s="57"/>
      <c r="F22" s="127"/>
      <c r="G22" s="122"/>
      <c r="H22" s="57"/>
      <c r="I22" s="123"/>
      <c r="J22" s="57"/>
      <c r="K22" s="57"/>
      <c r="M22" s="57"/>
      <c r="N22" s="123"/>
      <c r="O22" s="57"/>
      <c r="P22" s="57"/>
      <c r="Q22" s="124"/>
      <c r="R22" s="57"/>
      <c r="S22" s="57"/>
      <c r="T22" s="57"/>
      <c r="U22" s="57"/>
      <c r="V22" s="57"/>
      <c r="W22" s="57"/>
      <c r="X22" s="57"/>
    </row>
    <row r="23" spans="1:30" x14ac:dyDescent="0.25">
      <c r="A23" s="113"/>
      <c r="D23" s="96">
        <f>SUM(A25:A29)*(1-'ACCEPT RATES'!G14)+SUM(C25:C29)*SUM('ACCEPT RATES'!I14:J14)</f>
        <v>0.49213554719881247</v>
      </c>
      <c r="E23" s="23" t="s">
        <v>269</v>
      </c>
      <c r="G23" s="121"/>
      <c r="I23" s="23"/>
      <c r="J23" s="96">
        <f>SUM(G25:G29)*(1-'ACCEPT RATES'!E19)</f>
        <v>0</v>
      </c>
      <c r="K23" s="23" t="s">
        <v>269</v>
      </c>
      <c r="L23"/>
      <c r="M23" s="19"/>
      <c r="P23" s="23"/>
      <c r="Q23" s="108"/>
      <c r="S23" s="19"/>
      <c r="U23" s="19"/>
      <c r="Y23"/>
      <c r="Z23"/>
      <c r="AA23"/>
      <c r="AB23"/>
      <c r="AC23"/>
      <c r="AD23"/>
    </row>
    <row r="24" spans="1:30" x14ac:dyDescent="0.25">
      <c r="A24" s="126" t="s">
        <v>270</v>
      </c>
      <c r="B24" s="86" t="s">
        <v>271</v>
      </c>
      <c r="C24" s="87"/>
      <c r="D24" s="119"/>
      <c r="E24" s="23" t="s">
        <v>272</v>
      </c>
      <c r="G24" s="126" t="s">
        <v>273</v>
      </c>
      <c r="H24" s="86" t="s">
        <v>274</v>
      </c>
      <c r="I24" s="87"/>
      <c r="J24" s="99"/>
      <c r="K24" s="22" t="s">
        <v>272</v>
      </c>
      <c r="L24"/>
      <c r="M24" s="86" t="s">
        <v>275</v>
      </c>
      <c r="N24" s="87"/>
      <c r="P24" s="19"/>
      <c r="Q24" s="108"/>
      <c r="S24" s="19"/>
      <c r="U24" s="19"/>
      <c r="Y24"/>
      <c r="Z24"/>
      <c r="AA24"/>
      <c r="AB24"/>
      <c r="AC24"/>
      <c r="AD24"/>
    </row>
    <row r="25" spans="1:30" x14ac:dyDescent="0.25">
      <c r="A25" s="120">
        <f>B25*(1-'ACCEPT RATES'!C14)</f>
        <v>0.65301982341677245</v>
      </c>
      <c r="B25" s="29">
        <f>C25*(1+'ACCEPT RATES'!F14)</f>
        <v>10.652911368271031</v>
      </c>
      <c r="C25" s="50">
        <f>C11*('COVERAGE FACTORS'!C15+'COVERAGE FACTORS'!C19)</f>
        <v>10.519242589830439</v>
      </c>
      <c r="E25" s="23" t="s">
        <v>200</v>
      </c>
      <c r="G25" s="178">
        <f>H25*(1-'ACCEPT RATES'!C19)</f>
        <v>0</v>
      </c>
      <c r="H25" s="29">
        <f>I25</f>
        <v>0</v>
      </c>
      <c r="I25" s="50">
        <f>C11*'COVERAGE FACTORS'!C17</f>
        <v>0</v>
      </c>
      <c r="J25" s="22"/>
      <c r="K25" s="22" t="s">
        <v>200</v>
      </c>
      <c r="L25"/>
      <c r="M25" s="29">
        <f>N25</f>
        <v>4.8445102341325899E-5</v>
      </c>
      <c r="N25" s="50">
        <f>C11*'COVERAGE FACTORS'!C21</f>
        <v>4.8445102341325899E-5</v>
      </c>
      <c r="P25" s="19"/>
      <c r="Q25" s="108"/>
      <c r="S25" s="19"/>
      <c r="U25" s="19"/>
      <c r="Y25"/>
      <c r="Z25"/>
      <c r="AA25"/>
      <c r="AB25"/>
      <c r="AC25"/>
      <c r="AD25"/>
    </row>
    <row r="26" spans="1:30" x14ac:dyDescent="0.25">
      <c r="A26" s="179">
        <f>B26*(1-'ACCEPT RATES'!D14)</f>
        <v>0</v>
      </c>
      <c r="B26" s="85">
        <f>C26*(1+'ACCEPT RATES'!F14)</f>
        <v>0</v>
      </c>
      <c r="C26" s="84">
        <f>G11*('COVERAGE FACTORS'!C15+'COVERAGE FACTORS'!C19)</f>
        <v>0</v>
      </c>
      <c r="G26" s="179">
        <f>H26*(1-'ACCEPT RATES'!D19)</f>
        <v>0</v>
      </c>
      <c r="H26" s="85">
        <f>I26</f>
        <v>0</v>
      </c>
      <c r="I26" s="84">
        <f>G11*'COVERAGE FACTORS'!C17</f>
        <v>0</v>
      </c>
      <c r="J26" s="58"/>
      <c r="L26"/>
      <c r="M26" s="85">
        <f>N26</f>
        <v>0</v>
      </c>
      <c r="N26" s="84">
        <f>G11*'COVERAGE FACTORS'!C21</f>
        <v>0</v>
      </c>
      <c r="P26" s="19"/>
      <c r="Q26" s="108"/>
      <c r="S26" s="19"/>
      <c r="U26" s="19"/>
      <c r="Y26"/>
      <c r="Z26"/>
      <c r="AA26"/>
      <c r="AB26"/>
      <c r="AC26"/>
      <c r="AD26"/>
    </row>
    <row r="27" spans="1:30" x14ac:dyDescent="0.25">
      <c r="A27" s="121"/>
      <c r="B27" s="85"/>
      <c r="C27" s="84"/>
      <c r="G27" s="109">
        <f>H27*(1-'ACCEPT RATES'!C19)</f>
        <v>0</v>
      </c>
      <c r="H27" s="89">
        <f>I27</f>
        <v>0</v>
      </c>
      <c r="I27" s="90">
        <f>K11*('COVERAGE FACTORS'!C17+'COVERAGE FACTORS'!C19)</f>
        <v>0</v>
      </c>
      <c r="J27" s="58"/>
      <c r="L27"/>
      <c r="M27" s="89">
        <f>N27</f>
        <v>0</v>
      </c>
      <c r="N27" s="90">
        <f>K11*(1-('COVERAGE FACTORS'!C17+'COVERAGE FACTORS'!C19))</f>
        <v>0</v>
      </c>
      <c r="P27" s="19"/>
      <c r="Q27" s="108"/>
      <c r="S27" s="19"/>
      <c r="U27" s="19"/>
      <c r="Y27"/>
      <c r="Z27"/>
      <c r="AA27"/>
      <c r="AB27"/>
      <c r="AC27"/>
      <c r="AD27"/>
    </row>
    <row r="28" spans="1:30" x14ac:dyDescent="0.25">
      <c r="A28" s="121"/>
      <c r="B28" s="85"/>
      <c r="C28" s="84"/>
      <c r="G28" s="110">
        <f>H28*(1-'ACCEPT RATES'!D19)</f>
        <v>0</v>
      </c>
      <c r="H28" s="94">
        <f>I28</f>
        <v>0</v>
      </c>
      <c r="I28" s="92">
        <f>O11*('COVERAGE FACTORS'!C17+'COVERAGE FACTORS'!C19)</f>
        <v>0</v>
      </c>
      <c r="J28" s="58"/>
      <c r="L28"/>
      <c r="M28" s="94">
        <f>N28</f>
        <v>0</v>
      </c>
      <c r="N28" s="92">
        <f>O11*(1-('COVERAGE FACTORS'!C17+'COVERAGE FACTORS'!C19))</f>
        <v>0</v>
      </c>
      <c r="P28" s="19"/>
      <c r="Q28" s="108"/>
      <c r="S28" s="19"/>
      <c r="U28" s="19"/>
      <c r="Y28"/>
      <c r="Z28"/>
      <c r="AA28"/>
      <c r="AB28"/>
      <c r="AC28"/>
      <c r="AD28"/>
    </row>
    <row r="29" spans="1:30" x14ac:dyDescent="0.25">
      <c r="A29" s="180"/>
      <c r="B29" s="20"/>
      <c r="C29" s="34"/>
      <c r="G29" s="111"/>
      <c r="H29" s="44"/>
      <c r="I29" s="34"/>
      <c r="J29" s="58"/>
      <c r="L29"/>
      <c r="M29" s="101">
        <f>N29</f>
        <v>0.49213554719881247</v>
      </c>
      <c r="N29" s="100">
        <f>D23+J23</f>
        <v>0.49213554719881247</v>
      </c>
      <c r="P29" s="19"/>
      <c r="Q29" s="108"/>
      <c r="S29" s="19"/>
      <c r="U29" s="19"/>
      <c r="Y29"/>
      <c r="Z29"/>
      <c r="AA29"/>
      <c r="AB29"/>
      <c r="AC29"/>
      <c r="AD29"/>
    </row>
    <row r="30" spans="1:30" x14ac:dyDescent="0.25">
      <c r="A30" s="113"/>
      <c r="C30" s="97"/>
      <c r="D30" s="364">
        <f>(SUM(C25:C29)-D23)*'PIECE DENSITIES'!C6</f>
        <v>1.2839735802803784</v>
      </c>
      <c r="E30" s="23" t="s">
        <v>276</v>
      </c>
      <c r="G30" s="113"/>
      <c r="I30" s="98"/>
      <c r="J30" s="181">
        <f>(SUM(I25:I29)-J23)*'PIECE DENSITIES'!C11</f>
        <v>0</v>
      </c>
      <c r="K30" s="23" t="s">
        <v>277</v>
      </c>
      <c r="L30"/>
      <c r="M30" s="19"/>
      <c r="O30" s="95">
        <f>SUM(N25:N29)*'PIECE DENSITIES'!C16</f>
        <v>4.40395061955614E-2</v>
      </c>
      <c r="P30" s="23" t="s">
        <v>278</v>
      </c>
      <c r="Q30" s="108"/>
      <c r="S30" s="19"/>
      <c r="U30" s="19"/>
      <c r="Y30"/>
      <c r="Z30"/>
      <c r="AA30"/>
      <c r="AB30"/>
      <c r="AC30"/>
      <c r="AD30"/>
    </row>
    <row r="31" spans="1:30" x14ac:dyDescent="0.25">
      <c r="A31" s="113"/>
      <c r="C31" s="97"/>
      <c r="D31" s="364">
        <f>(SUM(C25:C29)-D23)*'PIECE DENSITIES'!D6</f>
        <v>5.1971411306556607</v>
      </c>
      <c r="E31" s="23" t="s">
        <v>279</v>
      </c>
      <c r="G31" s="113"/>
      <c r="I31" s="98"/>
      <c r="J31" s="181">
        <f>(SUM(I25:I29)-J23)*'PIECE DENSITIES'!D11</f>
        <v>0</v>
      </c>
      <c r="K31" s="23" t="s">
        <v>280</v>
      </c>
      <c r="L31"/>
      <c r="M31" s="19"/>
      <c r="O31" s="95">
        <f>SUM(N25:N29)*'PIECE DENSITIES'!D16</f>
        <v>0.28578750504179651</v>
      </c>
      <c r="P31" s="23" t="s">
        <v>281</v>
      </c>
      <c r="Q31" s="108"/>
      <c r="S31" s="19"/>
      <c r="U31" s="19"/>
      <c r="Y31"/>
      <c r="Z31"/>
      <c r="AA31"/>
      <c r="AB31"/>
      <c r="AC31"/>
      <c r="AD31"/>
    </row>
    <row r="32" spans="1:30" x14ac:dyDescent="0.25">
      <c r="A32" s="113"/>
      <c r="C32" s="88"/>
      <c r="D32" s="365">
        <f>(SUM(C25:C29)-D23)*'PIECE DENSITIES'!E6</f>
        <v>2.8068254092888272</v>
      </c>
      <c r="E32" s="23" t="s">
        <v>282</v>
      </c>
      <c r="G32" s="113"/>
      <c r="I32" s="93"/>
      <c r="J32" s="182">
        <f>(SUM(I25:I29)-J23)*'PIECE DENSITIES'!E11</f>
        <v>0</v>
      </c>
      <c r="K32" s="23" t="s">
        <v>283</v>
      </c>
      <c r="L32"/>
      <c r="M32" s="19"/>
      <c r="N32" s="45"/>
      <c r="O32" s="96">
        <f>SUM(N25:N29)*'PIECE DENSITIES'!E16</f>
        <v>0.12590414365740535</v>
      </c>
      <c r="P32" s="23" t="s">
        <v>284</v>
      </c>
      <c r="Q32" s="108"/>
      <c r="S32" s="19"/>
      <c r="U32" s="19"/>
      <c r="Y32"/>
      <c r="Z32"/>
      <c r="AA32"/>
      <c r="AB32"/>
      <c r="AC32"/>
      <c r="AD32"/>
    </row>
    <row r="33" spans="1:30" x14ac:dyDescent="0.25">
      <c r="A33" s="113"/>
      <c r="C33" s="88"/>
      <c r="D33" s="365">
        <f>(SUM(C25:C29)-D23)*'PIECE DENSITIES'!F6</f>
        <v>0.73916692240676141</v>
      </c>
      <c r="E33" s="23" t="s">
        <v>285</v>
      </c>
      <c r="G33" s="113"/>
      <c r="I33" s="93"/>
      <c r="J33" s="182">
        <f>(SUM(I25:I29)-J23)*'PIECE DENSITIES'!F11</f>
        <v>0</v>
      </c>
      <c r="K33" s="23" t="s">
        <v>286</v>
      </c>
      <c r="L33"/>
      <c r="M33" s="19"/>
      <c r="N33" s="45"/>
      <c r="O33" s="96">
        <f>SUM(N25:N29)*'PIECE DENSITIES'!F16</f>
        <v>3.6452837406390541E-2</v>
      </c>
      <c r="P33" s="23" t="s">
        <v>287</v>
      </c>
      <c r="Q33" s="108"/>
      <c r="S33" s="19"/>
      <c r="U33" s="19"/>
      <c r="Y33"/>
      <c r="Z33"/>
      <c r="AA33"/>
      <c r="AB33"/>
      <c r="AC33"/>
      <c r="AD33"/>
    </row>
    <row r="34" spans="1:30" x14ac:dyDescent="0.25">
      <c r="A34" s="113"/>
      <c r="C34" s="88"/>
      <c r="D34" s="365">
        <f>(SUM(C25:C29)-D23)*'PIECE DENSITIES'!G6</f>
        <v>0</v>
      </c>
      <c r="E34" s="23" t="s">
        <v>288</v>
      </c>
      <c r="G34" s="113"/>
      <c r="I34" s="93"/>
      <c r="J34" s="182">
        <f>(SUM(I25:I29)-J23)*'PIECE DENSITIES'!G11</f>
        <v>0</v>
      </c>
      <c r="K34" s="23" t="s">
        <v>289</v>
      </c>
      <c r="L34"/>
      <c r="M34" s="19"/>
      <c r="N34" s="45"/>
      <c r="O34" s="96">
        <f>SUM(N25:N29)*'PIECE DENSITIES'!G16</f>
        <v>0</v>
      </c>
      <c r="P34" s="23" t="s">
        <v>290</v>
      </c>
      <c r="Q34" s="108"/>
      <c r="S34" s="19"/>
      <c r="U34" s="19"/>
      <c r="Y34"/>
      <c r="Z34"/>
      <c r="AA34"/>
      <c r="AB34"/>
      <c r="AC34"/>
      <c r="AD34"/>
    </row>
    <row r="35" spans="1:30" x14ac:dyDescent="0.25">
      <c r="A35" s="113"/>
      <c r="G35" s="113"/>
      <c r="I35" s="19"/>
      <c r="J35" s="58"/>
      <c r="L35"/>
      <c r="M35" s="19"/>
      <c r="P35" s="19"/>
      <c r="Q35" s="108"/>
      <c r="S35" s="19"/>
      <c r="U35" s="19"/>
      <c r="Y35"/>
      <c r="Z35"/>
      <c r="AA35"/>
      <c r="AB35"/>
      <c r="AC35"/>
      <c r="AD35"/>
    </row>
    <row r="36" spans="1:30" x14ac:dyDescent="0.25">
      <c r="A36" s="113"/>
      <c r="D36" s="96">
        <f>SUM(A38:A42)*(1-'ACCEPT RATES'!G15)+SUM(C38:C42)*SUM('ACCEPT RATES'!I15:J15)</f>
        <v>0.11915173186287567</v>
      </c>
      <c r="E36" s="23" t="s">
        <v>269</v>
      </c>
      <c r="G36" s="121"/>
      <c r="I36" s="23"/>
      <c r="J36" s="96">
        <f>SUM(G38:G42)*(1-'ACCEPT RATES'!E20)</f>
        <v>0</v>
      </c>
      <c r="K36" s="23" t="s">
        <v>269</v>
      </c>
      <c r="L36"/>
      <c r="M36" s="19"/>
      <c r="P36" s="23"/>
      <c r="Q36" s="108"/>
      <c r="S36" s="19"/>
      <c r="U36" s="19"/>
      <c r="Y36"/>
      <c r="Z36"/>
      <c r="AA36"/>
      <c r="AB36"/>
      <c r="AC36"/>
      <c r="AD36"/>
    </row>
    <row r="37" spans="1:30" x14ac:dyDescent="0.25">
      <c r="A37" s="126" t="s">
        <v>270</v>
      </c>
      <c r="B37" s="86" t="s">
        <v>291</v>
      </c>
      <c r="C37" s="87"/>
      <c r="D37" s="119"/>
      <c r="E37" s="23" t="s">
        <v>292</v>
      </c>
      <c r="G37" s="126" t="s">
        <v>273</v>
      </c>
      <c r="H37" s="86" t="s">
        <v>293</v>
      </c>
      <c r="I37" s="87"/>
      <c r="J37" s="99"/>
      <c r="K37" s="22" t="s">
        <v>292</v>
      </c>
      <c r="L37"/>
      <c r="M37" s="86" t="s">
        <v>278</v>
      </c>
      <c r="N37" s="87"/>
      <c r="P37" s="19"/>
      <c r="Q37" s="108"/>
      <c r="S37" s="19"/>
      <c r="U37" s="19"/>
      <c r="Y37"/>
      <c r="Z37"/>
      <c r="AA37"/>
      <c r="AB37"/>
      <c r="AC37"/>
      <c r="AD37"/>
    </row>
    <row r="38" spans="1:30" x14ac:dyDescent="0.25">
      <c r="A38" s="120">
        <f>B38*(1-'ACCEPT RATES'!C15)</f>
        <v>0</v>
      </c>
      <c r="B38" s="29">
        <f>C38*(1+'ACCEPT RATES'!F15+'PIECE DENSITIES'!C7)</f>
        <v>0</v>
      </c>
      <c r="C38" s="50">
        <f>C12*('COVERAGE FACTORS'!C15+'COVERAGE FACTORS'!C19)</f>
        <v>0</v>
      </c>
      <c r="E38" s="23" t="s">
        <v>200</v>
      </c>
      <c r="G38" s="178">
        <f>H38*(1-'ACCEPT RATES'!C20)</f>
        <v>0</v>
      </c>
      <c r="H38" s="29">
        <f>I38*(1+'PIECE DENSITIES'!C12)</f>
        <v>0</v>
      </c>
      <c r="I38" s="50">
        <f>C12*'COVERAGE FACTORS'!C17</f>
        <v>0</v>
      </c>
      <c r="J38" s="22"/>
      <c r="K38" s="22" t="s">
        <v>200</v>
      </c>
      <c r="L38"/>
      <c r="M38" s="29">
        <f>N38</f>
        <v>0</v>
      </c>
      <c r="N38" s="50">
        <f>C12*'COVERAGE FACTORS'!C21</f>
        <v>0</v>
      </c>
      <c r="P38" s="19"/>
      <c r="Q38" s="108"/>
      <c r="S38" s="19"/>
      <c r="U38" s="19"/>
      <c r="Y38"/>
      <c r="Z38"/>
      <c r="AA38"/>
      <c r="AB38"/>
      <c r="AC38"/>
      <c r="AD38"/>
    </row>
    <row r="39" spans="1:30" x14ac:dyDescent="0.25">
      <c r="A39" s="179">
        <f>B39*(1-'ACCEPT RATES'!D15)</f>
        <v>0</v>
      </c>
      <c r="B39" s="85">
        <f>C39*(1+'ACCEPT RATES'!F15+'PIECE DENSITIES'!C7)</f>
        <v>0</v>
      </c>
      <c r="C39" s="84">
        <f>G12*('COVERAGE FACTORS'!C15+'COVERAGE FACTORS'!C19)</f>
        <v>0</v>
      </c>
      <c r="G39" s="179">
        <f>H39*(1-'ACCEPT RATES'!D20)</f>
        <v>0</v>
      </c>
      <c r="H39" s="85">
        <f>I39*(1+'PIECE DENSITIES'!C12)</f>
        <v>0</v>
      </c>
      <c r="I39" s="84">
        <f>G12*'COVERAGE FACTORS'!C17</f>
        <v>0</v>
      </c>
      <c r="J39" s="58"/>
      <c r="L39"/>
      <c r="M39" s="85">
        <f>N39</f>
        <v>0</v>
      </c>
      <c r="N39" s="84">
        <f>G12*'COVERAGE FACTORS'!C21</f>
        <v>0</v>
      </c>
      <c r="P39" s="19"/>
      <c r="Q39" s="108"/>
      <c r="S39" s="19"/>
      <c r="U39" s="19"/>
      <c r="Y39"/>
      <c r="Z39"/>
      <c r="AA39"/>
      <c r="AB39"/>
      <c r="AC39"/>
      <c r="AD39"/>
    </row>
    <row r="40" spans="1:30" x14ac:dyDescent="0.25">
      <c r="A40" s="121"/>
      <c r="B40" s="85"/>
      <c r="C40" s="84"/>
      <c r="G40" s="109">
        <f>H40*(1-'ACCEPT RATES'!C20)</f>
        <v>0</v>
      </c>
      <c r="H40" s="89">
        <f>I40*(1+'PIECE DENSITIES'!C12)</f>
        <v>0</v>
      </c>
      <c r="I40" s="90">
        <f>K12*('COVERAGE FACTORS'!C17+'COVERAGE FACTORS'!C19)</f>
        <v>0</v>
      </c>
      <c r="J40" s="58"/>
      <c r="L40"/>
      <c r="M40" s="89">
        <f>N40</f>
        <v>0</v>
      </c>
      <c r="N40" s="90">
        <f>K12*(1-('COVERAGE FACTORS'!C17+'COVERAGE FACTORS'!C19))</f>
        <v>0</v>
      </c>
      <c r="P40" s="19"/>
      <c r="Q40" s="108"/>
      <c r="S40" s="19"/>
      <c r="U40" s="19"/>
      <c r="Y40"/>
      <c r="Z40"/>
      <c r="AA40"/>
      <c r="AB40"/>
      <c r="AC40"/>
      <c r="AD40"/>
    </row>
    <row r="41" spans="1:30" x14ac:dyDescent="0.25">
      <c r="A41" s="121"/>
      <c r="B41" s="85"/>
      <c r="C41" s="84"/>
      <c r="G41" s="110">
        <f>H41*(1-'ACCEPT RATES'!D20)</f>
        <v>0</v>
      </c>
      <c r="H41" s="94">
        <f>I41*(1+'PIECE DENSITIES'!C12)</f>
        <v>0</v>
      </c>
      <c r="I41" s="92">
        <f>O12*('COVERAGE FACTORS'!C17+'COVERAGE FACTORS'!C19)</f>
        <v>0</v>
      </c>
      <c r="J41" s="58"/>
      <c r="L41"/>
      <c r="M41" s="94">
        <f>N41</f>
        <v>0</v>
      </c>
      <c r="N41" s="92">
        <f>O12*(1-('COVERAGE FACTORS'!C17+'COVERAGE FACTORS'!C19))</f>
        <v>0</v>
      </c>
      <c r="P41" s="19"/>
      <c r="Q41" s="108"/>
      <c r="S41" s="19"/>
      <c r="U41" s="19"/>
      <c r="Y41"/>
      <c r="Z41"/>
      <c r="AA41"/>
      <c r="AB41"/>
      <c r="AC41"/>
      <c r="AD41"/>
    </row>
    <row r="42" spans="1:30" x14ac:dyDescent="0.25">
      <c r="A42" s="183">
        <f>B42*(1-'ACCEPT RATES'!C15)</f>
        <v>8.0604825183368797E-2</v>
      </c>
      <c r="B42" s="187">
        <f>C42*(1+'ACCEPT RATES'!F15+'PIECE DENSITIES'!C7)</f>
        <v>1.3149310752016505</v>
      </c>
      <c r="C42" s="188">
        <f>D30</f>
        <v>1.2839735802803784</v>
      </c>
      <c r="G42" s="184">
        <f>IF(SUM(C11:C16)&gt;0,H42*(1-'ACCEPT RATES'!C20),H42*(1-'ACCEPT RATES'!D20))</f>
        <v>0</v>
      </c>
      <c r="H42" s="185">
        <f>I42*(1+'PIECE DENSITIES'!C12)</f>
        <v>0</v>
      </c>
      <c r="I42" s="186">
        <f>J30</f>
        <v>0</v>
      </c>
      <c r="J42" s="58"/>
      <c r="L42"/>
      <c r="M42" s="101">
        <f>N42</f>
        <v>0.16319123805843708</v>
      </c>
      <c r="N42" s="100">
        <f>D36+J36+O30</f>
        <v>0.16319123805843708</v>
      </c>
      <c r="P42" s="19"/>
      <c r="Q42" s="108"/>
      <c r="S42" s="19"/>
      <c r="U42" s="19"/>
      <c r="Y42"/>
      <c r="Z42"/>
      <c r="AA42"/>
      <c r="AB42"/>
      <c r="AC42"/>
      <c r="AD42"/>
    </row>
    <row r="43" spans="1:30" x14ac:dyDescent="0.25">
      <c r="A43" s="113"/>
      <c r="C43" s="97"/>
      <c r="D43" s="364">
        <f>(SUM(C38:C42)-D36)*'PIECE DENSITIES'!D7</f>
        <v>0.96190252086662842</v>
      </c>
      <c r="E43" s="23" t="s">
        <v>279</v>
      </c>
      <c r="G43" s="113"/>
      <c r="I43" s="98"/>
      <c r="J43" s="181">
        <f>(SUM(I38:I42)-J36)*'PIECE DENSITIES'!D12</f>
        <v>0</v>
      </c>
      <c r="K43" s="23" t="s">
        <v>280</v>
      </c>
      <c r="L43"/>
      <c r="M43" s="19"/>
      <c r="O43" s="95">
        <f>SUM(N38:N42)*'PIECE DENSITIES'!D17</f>
        <v>0.11551387610741196</v>
      </c>
      <c r="P43" s="23" t="s">
        <v>281</v>
      </c>
      <c r="Q43" s="108"/>
      <c r="S43" s="19"/>
      <c r="U43" s="19"/>
      <c r="Y43"/>
      <c r="Z43"/>
      <c r="AA43"/>
      <c r="AB43"/>
      <c r="AC43"/>
      <c r="AD43"/>
    </row>
    <row r="44" spans="1:30" x14ac:dyDescent="0.25">
      <c r="A44" s="113"/>
      <c r="C44" s="97"/>
      <c r="D44" s="364">
        <f>(SUM(C38:C42)-D36)*'PIECE DENSITIES'!E7</f>
        <v>8.0390619728369098E-2</v>
      </c>
      <c r="E44" s="23" t="s">
        <v>282</v>
      </c>
      <c r="G44" s="113"/>
      <c r="I44" s="98"/>
      <c r="J44" s="181">
        <f>(SUM(I38:I42)-J36)*'PIECE DENSITIES'!E12</f>
        <v>0</v>
      </c>
      <c r="K44" s="23" t="s">
        <v>283</v>
      </c>
      <c r="L44"/>
      <c r="M44" s="19"/>
      <c r="O44" s="95">
        <f>SUM(N38:N42)*'PIECE DENSITIES'!E17</f>
        <v>5.0642119079832642E-4</v>
      </c>
      <c r="P44" s="23" t="s">
        <v>284</v>
      </c>
      <c r="Q44" s="108"/>
      <c r="S44" s="19"/>
      <c r="U44" s="19"/>
      <c r="Y44"/>
      <c r="Z44"/>
      <c r="AA44"/>
      <c r="AB44"/>
      <c r="AC44"/>
      <c r="AD44"/>
    </row>
    <row r="45" spans="1:30" x14ac:dyDescent="0.25">
      <c r="A45" s="113"/>
      <c r="C45" s="88"/>
      <c r="D45" s="365">
        <f>(SUM(C38:C42)-D36)*'PIECE DENSITIES'!F7</f>
        <v>8.5630681001514063E-3</v>
      </c>
      <c r="E45" s="23" t="s">
        <v>285</v>
      </c>
      <c r="G45" s="113"/>
      <c r="I45" s="93"/>
      <c r="J45" s="182">
        <f>(SUM(I38:I42)-J36)*'PIECE DENSITIES'!F12</f>
        <v>0</v>
      </c>
      <c r="K45" s="23" t="s">
        <v>286</v>
      </c>
      <c r="L45"/>
      <c r="M45" s="19"/>
      <c r="N45" s="45"/>
      <c r="O45" s="96">
        <f>SUM(N38:N42)*'PIECE DENSITIES'!F17</f>
        <v>3.2418931347955853E-3</v>
      </c>
      <c r="P45" s="23" t="s">
        <v>287</v>
      </c>
      <c r="Q45" s="108"/>
      <c r="S45" s="19"/>
      <c r="U45" s="19"/>
      <c r="Y45"/>
      <c r="Z45"/>
      <c r="AA45"/>
      <c r="AB45"/>
      <c r="AC45"/>
      <c r="AD45"/>
    </row>
    <row r="46" spans="1:30" x14ac:dyDescent="0.25">
      <c r="A46" s="113"/>
      <c r="C46" s="88"/>
      <c r="D46" s="365">
        <f>(SUM(C38:C42)-D36)*'PIECE DENSITIES'!G7</f>
        <v>0.11396563972235386</v>
      </c>
      <c r="E46" s="23" t="s">
        <v>288</v>
      </c>
      <c r="G46" s="113"/>
      <c r="I46" s="93"/>
      <c r="J46" s="182">
        <f>(SUM(I38:I42)-J36)*'PIECE DENSITIES'!G12</f>
        <v>0</v>
      </c>
      <c r="K46" s="23" t="s">
        <v>289</v>
      </c>
      <c r="L46"/>
      <c r="M46" s="19"/>
      <c r="N46" s="45"/>
      <c r="O46" s="96">
        <f>SUM(N38:N42)*'PIECE DENSITIES'!G17</f>
        <v>4.3929047625431206E-2</v>
      </c>
      <c r="P46" s="23" t="s">
        <v>290</v>
      </c>
      <c r="Q46" s="108"/>
      <c r="S46" s="19"/>
      <c r="U46" s="19"/>
      <c r="Y46"/>
      <c r="Z46"/>
      <c r="AA46"/>
      <c r="AB46"/>
      <c r="AC46"/>
      <c r="AD46"/>
    </row>
    <row r="47" spans="1:30" x14ac:dyDescent="0.25">
      <c r="A47" s="113"/>
      <c r="C47" s="97"/>
      <c r="G47" s="113"/>
      <c r="I47" s="98"/>
      <c r="J47" s="91"/>
      <c r="L47"/>
      <c r="M47" s="19"/>
      <c r="O47" s="96"/>
      <c r="P47" s="19"/>
      <c r="Q47" s="108"/>
      <c r="S47" s="19"/>
      <c r="U47" s="19"/>
      <c r="Y47"/>
      <c r="Z47"/>
      <c r="AA47"/>
      <c r="AB47"/>
      <c r="AC47"/>
      <c r="AD47"/>
    </row>
    <row r="48" spans="1:30" x14ac:dyDescent="0.25">
      <c r="A48" s="103"/>
      <c r="B48" s="105"/>
      <c r="C48" s="128"/>
      <c r="D48" s="106"/>
      <c r="E48" s="105"/>
      <c r="F48" s="105"/>
      <c r="G48" s="103"/>
      <c r="H48" s="105"/>
      <c r="I48" s="129"/>
      <c r="J48" s="130"/>
      <c r="K48" s="105"/>
      <c r="L48" s="104"/>
      <c r="M48" s="105"/>
      <c r="N48" s="105"/>
      <c r="O48" s="131"/>
      <c r="P48" s="105"/>
      <c r="Q48" s="107"/>
      <c r="S48" s="19"/>
      <c r="U48" s="19"/>
      <c r="Y48"/>
      <c r="Z48"/>
      <c r="AA48"/>
      <c r="AB48"/>
      <c r="AC48"/>
      <c r="AD48"/>
    </row>
    <row r="49" spans="1:30" s="125" customFormat="1" ht="22.8" x14ac:dyDescent="0.4">
      <c r="A49" s="177"/>
      <c r="B49" s="57"/>
      <c r="C49" s="127" t="s">
        <v>294</v>
      </c>
      <c r="D49" s="123"/>
      <c r="E49" s="57"/>
      <c r="F49" s="127"/>
      <c r="G49" s="122"/>
      <c r="H49" s="57"/>
      <c r="I49" s="123"/>
      <c r="J49" s="57"/>
      <c r="K49" s="57"/>
      <c r="L49" s="127" t="s">
        <v>295</v>
      </c>
      <c r="M49" s="57"/>
      <c r="N49" s="123"/>
      <c r="O49" s="57"/>
      <c r="P49" s="57"/>
      <c r="Q49" s="124"/>
      <c r="R49" s="57"/>
      <c r="S49" s="57"/>
      <c r="T49" s="57"/>
      <c r="U49" s="57"/>
      <c r="V49" s="57"/>
      <c r="W49" s="57"/>
      <c r="X49" s="57"/>
    </row>
    <row r="50" spans="1:30" x14ac:dyDescent="0.25">
      <c r="A50" s="113"/>
      <c r="C50" s="97"/>
      <c r="G50" s="113"/>
      <c r="I50" s="98"/>
      <c r="J50" s="91"/>
      <c r="L50"/>
      <c r="M50" s="19"/>
      <c r="O50" s="96"/>
      <c r="P50" s="19"/>
      <c r="Q50" s="108"/>
      <c r="S50" s="19"/>
      <c r="U50" s="19"/>
      <c r="Y50"/>
      <c r="Z50"/>
      <c r="AA50"/>
      <c r="AB50"/>
      <c r="AC50"/>
      <c r="AD50"/>
    </row>
    <row r="51" spans="1:30" x14ac:dyDescent="0.25">
      <c r="A51" s="113"/>
      <c r="D51" s="96">
        <f>SUM(A53:A57)*(1-'ACCEPT RATES'!G16)+SUM(C53:C57)*SUM('ACCEPT RATES'!I16:J16)</f>
        <v>5.3194180467641647</v>
      </c>
      <c r="E51" s="23" t="s">
        <v>269</v>
      </c>
      <c r="G51" s="121"/>
      <c r="I51" s="23"/>
      <c r="J51" s="96">
        <f>SUM(G53:G57)*(1-'ACCEPT RATES'!E21)</f>
        <v>0</v>
      </c>
      <c r="K51" s="23" t="s">
        <v>269</v>
      </c>
      <c r="L51"/>
      <c r="M51" s="19"/>
      <c r="P51" s="23"/>
      <c r="Q51" s="108"/>
      <c r="S51" s="19"/>
      <c r="U51" s="19"/>
      <c r="Y51"/>
      <c r="Z51"/>
      <c r="AA51"/>
      <c r="AB51"/>
      <c r="AC51"/>
      <c r="AD51"/>
    </row>
    <row r="52" spans="1:30" x14ac:dyDescent="0.25">
      <c r="A52" s="126" t="s">
        <v>270</v>
      </c>
      <c r="B52" s="86" t="s">
        <v>296</v>
      </c>
      <c r="C52" s="87"/>
      <c r="D52" s="119"/>
      <c r="E52" s="23" t="s">
        <v>297</v>
      </c>
      <c r="G52" s="126" t="s">
        <v>273</v>
      </c>
      <c r="H52" s="86" t="s">
        <v>298</v>
      </c>
      <c r="I52" s="87"/>
      <c r="J52" s="99"/>
      <c r="K52" s="22" t="s">
        <v>297</v>
      </c>
      <c r="L52"/>
      <c r="M52" s="86" t="s">
        <v>281</v>
      </c>
      <c r="N52" s="87"/>
      <c r="P52" s="19"/>
      <c r="Q52" s="108"/>
      <c r="S52" s="19"/>
      <c r="U52" s="19"/>
      <c r="Y52"/>
      <c r="Z52"/>
      <c r="AA52"/>
      <c r="AB52"/>
      <c r="AC52"/>
      <c r="AD52"/>
    </row>
    <row r="53" spans="1:30" x14ac:dyDescent="0.25">
      <c r="A53" s="120">
        <f>B53*(1-'ACCEPT RATES'!C16)</f>
        <v>4.1629591257326766</v>
      </c>
      <c r="B53" s="29">
        <f>C53*(1+'ACCEPT RATES'!F16+'PIECE DENSITIES'!D8)</f>
        <v>67.911620759269923</v>
      </c>
      <c r="C53" s="50">
        <f>C13*('COVERAGE FACTORS'!C39+'COVERAGE FACTORS'!C43)</f>
        <v>67.183882838965886</v>
      </c>
      <c r="E53" s="23" t="s">
        <v>200</v>
      </c>
      <c r="G53" s="178">
        <f>H53*(1-'ACCEPT RATES'!C21)</f>
        <v>0</v>
      </c>
      <c r="H53" s="29">
        <f>I53*(1+'PIECE DENSITIES'!D13)</f>
        <v>0</v>
      </c>
      <c r="I53" s="50">
        <f>C13*'COVERAGE FACTORS'!C41</f>
        <v>0</v>
      </c>
      <c r="J53" s="112"/>
      <c r="K53" s="22" t="s">
        <v>200</v>
      </c>
      <c r="L53"/>
      <c r="M53" s="29">
        <f>N53</f>
        <v>0.40707368121124016</v>
      </c>
      <c r="N53" s="50">
        <f>C13*'COVERAGE FACTORS'!C45</f>
        <v>0.40707368121124016</v>
      </c>
      <c r="P53" s="19"/>
      <c r="Q53" s="108"/>
      <c r="S53" s="19"/>
      <c r="U53" s="19"/>
      <c r="Y53"/>
      <c r="Z53"/>
      <c r="AA53"/>
      <c r="AB53"/>
      <c r="AC53"/>
      <c r="AD53"/>
    </row>
    <row r="54" spans="1:30" x14ac:dyDescent="0.25">
      <c r="A54" s="179">
        <f>B54*(1-'ACCEPT RATES'!D16)</f>
        <v>0</v>
      </c>
      <c r="B54" s="85">
        <f>C54*(1+'ACCEPT RATES'!F16+'PIECE DENSITIES'!D8)</f>
        <v>0</v>
      </c>
      <c r="C54" s="84">
        <f>G13*('COVERAGE FACTORS'!C39+'COVERAGE FACTORS'!C43)</f>
        <v>0</v>
      </c>
      <c r="G54" s="179">
        <f>H54*(1-'ACCEPT RATES'!D21)</f>
        <v>0</v>
      </c>
      <c r="H54" s="85">
        <f>I54*(1+'PIECE DENSITIES'!D13)</f>
        <v>0</v>
      </c>
      <c r="I54" s="84">
        <f>G13*'COVERAGE FACTORS'!C41</f>
        <v>0</v>
      </c>
      <c r="J54" s="58"/>
      <c r="L54"/>
      <c r="M54" s="85">
        <f>N54</f>
        <v>0</v>
      </c>
      <c r="N54" s="84">
        <f>G13*'COVERAGE FACTORS'!C45</f>
        <v>0</v>
      </c>
      <c r="P54" s="19"/>
      <c r="Q54" s="108"/>
      <c r="S54" s="19"/>
      <c r="U54" s="19"/>
      <c r="Y54"/>
      <c r="Z54"/>
      <c r="AA54"/>
      <c r="AB54"/>
      <c r="AC54"/>
      <c r="AD54"/>
    </row>
    <row r="55" spans="1:30" x14ac:dyDescent="0.25">
      <c r="A55" s="121"/>
      <c r="B55" s="85"/>
      <c r="C55" s="84"/>
      <c r="G55" s="109">
        <f>H55*(1-'ACCEPT RATES'!C21)</f>
        <v>0</v>
      </c>
      <c r="H55" s="89">
        <f>I55*(1+'PIECE DENSITIES'!D13)</f>
        <v>0</v>
      </c>
      <c r="I55" s="90">
        <f>K13*('COVERAGE FACTORS'!C41+'COVERAGE FACTORS'!C43)</f>
        <v>0</v>
      </c>
      <c r="J55" s="58"/>
      <c r="L55"/>
      <c r="M55" s="89">
        <f>N55</f>
        <v>0</v>
      </c>
      <c r="N55" s="90">
        <f>K13*(1-('COVERAGE FACTORS'!C41+'COVERAGE FACTORS'!C43))</f>
        <v>0</v>
      </c>
      <c r="P55" s="19"/>
      <c r="Q55" s="108"/>
      <c r="S55" s="19"/>
      <c r="U55" s="19"/>
      <c r="Y55"/>
      <c r="Z55"/>
      <c r="AA55"/>
      <c r="AB55"/>
      <c r="AC55"/>
      <c r="AD55"/>
    </row>
    <row r="56" spans="1:30" x14ac:dyDescent="0.25">
      <c r="A56" s="121"/>
      <c r="B56" s="85"/>
      <c r="C56" s="84"/>
      <c r="G56" s="110">
        <f>H56*(1-'ACCEPT RATES'!D21)</f>
        <v>0</v>
      </c>
      <c r="H56" s="94">
        <f>I56*(1+'PIECE DENSITIES'!D13)</f>
        <v>0</v>
      </c>
      <c r="I56" s="92">
        <f>O13*('COVERAGE FACTORS'!C41+'COVERAGE FACTORS'!C43)</f>
        <v>0</v>
      </c>
      <c r="J56" s="58"/>
      <c r="L56"/>
      <c r="M56" s="94">
        <f>N56</f>
        <v>0</v>
      </c>
      <c r="N56" s="92">
        <f>O13*(1-('COVERAGE FACTORS'!C41+'COVERAGE FACTORS'!C43))</f>
        <v>0</v>
      </c>
      <c r="P56" s="19"/>
      <c r="Q56" s="108"/>
      <c r="S56" s="19"/>
      <c r="U56" s="19"/>
      <c r="Y56"/>
      <c r="Z56"/>
      <c r="AA56"/>
      <c r="AB56"/>
      <c r="AC56"/>
      <c r="AD56"/>
    </row>
    <row r="57" spans="1:30" x14ac:dyDescent="0.25">
      <c r="A57" s="183">
        <f>B57*(1-'ACCEPT RATES'!C16)</f>
        <v>0.37933842476747071</v>
      </c>
      <c r="B57" s="187">
        <f>C57*(1+'ACCEPT RATES'!F16+'PIECE DENSITIES'!D8)</f>
        <v>6.1882633156272746</v>
      </c>
      <c r="C57" s="188">
        <f>(D31+D43)*('COVERAGE FACTORS'!C39+'COVERAGE FACTORS'!C43)</f>
        <v>6.1219501600103312</v>
      </c>
      <c r="G57" s="184">
        <f>IF(SUM(C11:C16)&gt;0,H57*(1-'ACCEPT RATES'!C21),H57*(1-'ACCEPT RATES'!D21))</f>
        <v>0</v>
      </c>
      <c r="H57" s="185">
        <f>I57*(1+'PIECE DENSITIES'!D13)</f>
        <v>0</v>
      </c>
      <c r="I57" s="186">
        <f>(D31+D43)*'COVERAGE FACTORS'!C41+(J31+J43)*('COVERAGE FACTORS'!C41+'COVERAGE FACTORS'!C43)</f>
        <v>0</v>
      </c>
      <c r="J57" s="58"/>
      <c r="L57"/>
      <c r="M57" s="101">
        <f>N57</f>
        <v>5.7578129194253256</v>
      </c>
      <c r="N57" s="100">
        <f>D51+J51+O31+O43+(D31+D43)*'COVERAGE FACTORS'!C45+(J31+J43)*(1-('COVERAGE FACTORS'!C41+'COVERAGE FACTORS'!C43))</f>
        <v>5.7578129194253256</v>
      </c>
      <c r="P57" s="19"/>
      <c r="Q57" s="108"/>
      <c r="S57" s="19"/>
      <c r="U57" s="19"/>
      <c r="Y57"/>
      <c r="Z57"/>
      <c r="AA57"/>
      <c r="AB57"/>
      <c r="AC57"/>
      <c r="AD57"/>
    </row>
    <row r="58" spans="1:30" x14ac:dyDescent="0.25">
      <c r="A58" s="113"/>
      <c r="C58" s="97"/>
      <c r="D58" s="364">
        <f>(SUM(C53:C57)-D51)*'PIECE DENSITIES'!E8</f>
        <v>13.525268191052465</v>
      </c>
      <c r="E58" s="23" t="s">
        <v>282</v>
      </c>
      <c r="G58" s="113"/>
      <c r="I58" s="98"/>
      <c r="J58" s="181">
        <f>(SUM(I53:I57)-J51)*'PIECE DENSITIES'!E13</f>
        <v>0</v>
      </c>
      <c r="K58" s="23" t="s">
        <v>283</v>
      </c>
      <c r="L58"/>
      <c r="M58" s="19"/>
      <c r="O58" s="95">
        <f>SUM(N53:N57)*'PIECE DENSITIES'!E18</f>
        <v>1.6291567828689675</v>
      </c>
      <c r="P58" s="23" t="s">
        <v>284</v>
      </c>
      <c r="Q58" s="108"/>
      <c r="S58" s="19"/>
      <c r="U58" s="19"/>
      <c r="Y58"/>
      <c r="Z58"/>
      <c r="AA58"/>
      <c r="AB58"/>
      <c r="AC58"/>
      <c r="AD58"/>
    </row>
    <row r="59" spans="1:30" x14ac:dyDescent="0.25">
      <c r="A59" s="113"/>
      <c r="C59" s="97"/>
      <c r="D59" s="364">
        <f>(SUM(C53:C57)-D51)*'PIECE DENSITIES'!F8</f>
        <v>4.3911769131382092</v>
      </c>
      <c r="E59" s="23" t="s">
        <v>285</v>
      </c>
      <c r="G59" s="113"/>
      <c r="I59" s="98"/>
      <c r="J59" s="181">
        <f>(SUM(I53:I57)-J51)*'PIECE DENSITIES'!F13</f>
        <v>0</v>
      </c>
      <c r="K59" s="23" t="s">
        <v>286</v>
      </c>
      <c r="L59"/>
      <c r="M59" s="19"/>
      <c r="O59" s="95">
        <f>SUM(N53:N57)*'PIECE DENSITIES'!F18</f>
        <v>0.25569941008706376</v>
      </c>
      <c r="P59" s="23" t="s">
        <v>287</v>
      </c>
      <c r="Q59" s="108"/>
      <c r="S59" s="19"/>
      <c r="U59" s="19"/>
      <c r="Y59"/>
      <c r="Z59"/>
      <c r="AA59"/>
      <c r="AB59"/>
      <c r="AC59"/>
      <c r="AD59"/>
    </row>
    <row r="60" spans="1:30" x14ac:dyDescent="0.25">
      <c r="A60" s="113"/>
      <c r="C60" s="88"/>
      <c r="D60" s="365">
        <f>(SUM(C53:C57)-D51)*'PIECE DENSITIES'!G8</f>
        <v>50.069969848021373</v>
      </c>
      <c r="E60" s="23" t="s">
        <v>288</v>
      </c>
      <c r="G60" s="113"/>
      <c r="I60" s="93"/>
      <c r="J60" s="182">
        <f>(SUM(I53:I57)-J51)*'PIECE DENSITIES'!G13</f>
        <v>0</v>
      </c>
      <c r="K60" s="23" t="s">
        <v>289</v>
      </c>
      <c r="L60"/>
      <c r="M60" s="19"/>
      <c r="N60" s="45"/>
      <c r="O60" s="96">
        <f>SUM(N53:N57)*'PIECE DENSITIES'!G18</f>
        <v>4.2800304076805347</v>
      </c>
      <c r="P60" s="23" t="s">
        <v>290</v>
      </c>
      <c r="Q60" s="108"/>
      <c r="S60" s="19"/>
      <c r="U60" s="19"/>
      <c r="Y60"/>
      <c r="Z60"/>
      <c r="AA60"/>
      <c r="AB60"/>
      <c r="AC60"/>
      <c r="AD60"/>
    </row>
    <row r="61" spans="1:30" x14ac:dyDescent="0.25">
      <c r="A61" s="113"/>
      <c r="C61" s="97"/>
      <c r="G61" s="113"/>
      <c r="I61" s="98"/>
      <c r="J61" s="91"/>
      <c r="L61"/>
      <c r="M61" s="19"/>
      <c r="O61" s="96"/>
      <c r="P61" s="19"/>
      <c r="Q61" s="108"/>
      <c r="S61" s="19"/>
      <c r="U61" s="19"/>
      <c r="Y61"/>
      <c r="Z61"/>
      <c r="AA61"/>
      <c r="AB61"/>
      <c r="AC61"/>
      <c r="AD61"/>
    </row>
    <row r="62" spans="1:30" x14ac:dyDescent="0.25">
      <c r="A62" s="113"/>
      <c r="D62" s="96">
        <f>SUM(A64:A68)*(1-'ACCEPT RATES'!G17)+SUM(C64:C68)*SUM('ACCEPT RATES'!I17:J17)</f>
        <v>491.60817262618741</v>
      </c>
      <c r="E62" s="23" t="s">
        <v>269</v>
      </c>
      <c r="G62" s="121"/>
      <c r="I62" s="23"/>
      <c r="J62" s="96">
        <f>SUM(G64:G68)*(1-'ACCEPT RATES'!E22)</f>
        <v>0</v>
      </c>
      <c r="K62" s="23" t="s">
        <v>269</v>
      </c>
      <c r="L62"/>
      <c r="M62" s="19"/>
      <c r="P62" s="23"/>
      <c r="Q62" s="108"/>
      <c r="S62" s="19"/>
      <c r="U62" s="19"/>
      <c r="Y62"/>
      <c r="Z62"/>
      <c r="AA62"/>
      <c r="AB62"/>
      <c r="AC62"/>
      <c r="AD62"/>
    </row>
    <row r="63" spans="1:30" x14ac:dyDescent="0.25">
      <c r="A63" s="126" t="s">
        <v>270</v>
      </c>
      <c r="B63" s="86" t="s">
        <v>299</v>
      </c>
      <c r="C63" s="87"/>
      <c r="D63" s="119"/>
      <c r="E63" s="23" t="s">
        <v>300</v>
      </c>
      <c r="G63" s="126" t="s">
        <v>273</v>
      </c>
      <c r="H63" s="86" t="s">
        <v>301</v>
      </c>
      <c r="I63" s="87"/>
      <c r="J63" s="99"/>
      <c r="K63" s="22" t="s">
        <v>300</v>
      </c>
      <c r="L63"/>
      <c r="M63" s="86" t="s">
        <v>284</v>
      </c>
      <c r="N63" s="87"/>
      <c r="P63" s="19"/>
      <c r="Q63" s="108"/>
      <c r="S63" s="19"/>
      <c r="U63" s="19"/>
      <c r="Y63"/>
      <c r="Z63"/>
      <c r="AA63"/>
      <c r="AB63"/>
      <c r="AC63"/>
      <c r="AD63"/>
    </row>
    <row r="64" spans="1:30" x14ac:dyDescent="0.25">
      <c r="A64" s="120">
        <f>B64*(1-'ACCEPT RATES'!C17)</f>
        <v>642.06899217022556</v>
      </c>
      <c r="B64" s="29">
        <f>C64*(1+'ACCEPT RATES'!F17+'PIECE DENSITIES'!E9)</f>
        <v>10474.267121197534</v>
      </c>
      <c r="C64" s="50">
        <f>C14*('COVERAGE FACTORS'!C39+'COVERAGE FACTORS'!C43)</f>
        <v>9862.1341224902426</v>
      </c>
      <c r="E64" s="23" t="s">
        <v>200</v>
      </c>
      <c r="G64" s="178">
        <f>H64*(1-'ACCEPT RATES'!C22)</f>
        <v>0</v>
      </c>
      <c r="H64" s="29">
        <f>I64*(1+'PIECE DENSITIES'!E14)</f>
        <v>0</v>
      </c>
      <c r="I64" s="50">
        <f>C14*'COVERAGE FACTORS'!C41</f>
        <v>0</v>
      </c>
      <c r="J64" s="112"/>
      <c r="K64" s="22" t="s">
        <v>200</v>
      </c>
      <c r="L64"/>
      <c r="M64" s="29">
        <f>N64</f>
        <v>59.755629954639296</v>
      </c>
      <c r="N64" s="50">
        <f>C14*'COVERAGE FACTORS'!C45</f>
        <v>59.755629954639296</v>
      </c>
      <c r="P64" s="19"/>
      <c r="Q64" s="108"/>
      <c r="S64" s="19"/>
      <c r="U64" s="19"/>
      <c r="Y64"/>
      <c r="Z64"/>
      <c r="AA64"/>
      <c r="AB64"/>
      <c r="AC64"/>
      <c r="AD64"/>
    </row>
    <row r="65" spans="1:30" x14ac:dyDescent="0.25">
      <c r="A65" s="179">
        <f>B65*(1-'ACCEPT RATES'!D17)</f>
        <v>0</v>
      </c>
      <c r="B65" s="85">
        <f>C65*(1+'ACCEPT RATES'!F17+'PIECE DENSITIES'!E9)</f>
        <v>0</v>
      </c>
      <c r="C65" s="84">
        <f>G14*('COVERAGE FACTORS'!C39+'COVERAGE FACTORS'!C43)</f>
        <v>0</v>
      </c>
      <c r="G65" s="179">
        <f>H65*(1-'ACCEPT RATES'!D22)</f>
        <v>0</v>
      </c>
      <c r="H65" s="85">
        <f>I65*(1+'PIECE DENSITIES'!E14)</f>
        <v>0</v>
      </c>
      <c r="I65" s="84">
        <f>G14*'COVERAGE FACTORS'!C41</f>
        <v>0</v>
      </c>
      <c r="J65" s="58"/>
      <c r="L65"/>
      <c r="M65" s="85">
        <f>N65</f>
        <v>0</v>
      </c>
      <c r="N65" s="84">
        <f>G14*'COVERAGE FACTORS'!C45</f>
        <v>0</v>
      </c>
      <c r="P65" s="19"/>
      <c r="Q65" s="108"/>
      <c r="S65" s="19"/>
      <c r="U65" s="19"/>
      <c r="Y65"/>
      <c r="Z65"/>
      <c r="AA65"/>
      <c r="AB65"/>
      <c r="AC65"/>
      <c r="AD65"/>
    </row>
    <row r="66" spans="1:30" x14ac:dyDescent="0.25">
      <c r="A66" s="121"/>
      <c r="B66" s="85"/>
      <c r="C66" s="84"/>
      <c r="G66" s="109">
        <f>H66*(1-'ACCEPT RATES'!C22)</f>
        <v>0</v>
      </c>
      <c r="H66" s="89">
        <f>I66*(1+'PIECE DENSITIES'!E14)</f>
        <v>0</v>
      </c>
      <c r="I66" s="90">
        <f>K14*('COVERAGE FACTORS'!C41+'COVERAGE FACTORS'!C43)</f>
        <v>0</v>
      </c>
      <c r="J66" s="58"/>
      <c r="L66"/>
      <c r="M66" s="89">
        <f>N66</f>
        <v>0</v>
      </c>
      <c r="N66" s="90">
        <f>K14*(1-('COVERAGE FACTORS'!C41+'COVERAGE FACTORS'!C43))</f>
        <v>0</v>
      </c>
      <c r="P66" s="19"/>
      <c r="Q66" s="108"/>
      <c r="S66" s="19"/>
      <c r="U66" s="19"/>
      <c r="Y66"/>
      <c r="Z66"/>
      <c r="AA66"/>
      <c r="AB66"/>
      <c r="AC66"/>
      <c r="AD66"/>
    </row>
    <row r="67" spans="1:30" x14ac:dyDescent="0.25">
      <c r="A67" s="121"/>
      <c r="B67" s="85"/>
      <c r="C67" s="84"/>
      <c r="G67" s="110">
        <f>H67*(1-'ACCEPT RATES'!D22)</f>
        <v>0</v>
      </c>
      <c r="H67" s="94">
        <f>I67*(1+'PIECE DENSITIES'!E14)</f>
        <v>0</v>
      </c>
      <c r="I67" s="92">
        <f>O14*('COVERAGE FACTORS'!C41+'COVERAGE FACTORS'!C43)</f>
        <v>0</v>
      </c>
      <c r="J67" s="58"/>
      <c r="L67"/>
      <c r="M67" s="94">
        <f>N67</f>
        <v>0</v>
      </c>
      <c r="N67" s="92">
        <f>O14*(1-('COVERAGE FACTORS'!C41+'COVERAGE FACTORS'!C43))</f>
        <v>0</v>
      </c>
      <c r="P67" s="19"/>
      <c r="Q67" s="108"/>
      <c r="S67" s="19"/>
      <c r="U67" s="19"/>
      <c r="Y67"/>
      <c r="Z67"/>
      <c r="AA67"/>
      <c r="AB67"/>
      <c r="AC67"/>
      <c r="AD67"/>
    </row>
    <row r="68" spans="1:30" x14ac:dyDescent="0.25">
      <c r="A68" s="183">
        <f>B68*(1-'ACCEPT RATES'!C17)</f>
        <v>1.062090737260325</v>
      </c>
      <c r="B68" s="187">
        <f>C68*(1+'ACCEPT RATES'!F17+'PIECE DENSITIES'!E9)</f>
        <v>17.326209838311126</v>
      </c>
      <c r="C68" s="188">
        <f>(D32+D44+D58)*('COVERAGE FACTORS'!C39+'COVERAGE FACTORS'!C43)</f>
        <v>16.31363829876225</v>
      </c>
      <c r="G68" s="184">
        <f>IF(SUM(C11:C16)&gt;0, H68*(1-'ACCEPT RATES'!C22),H68*(1-'ACCEPT RATES'!D22))</f>
        <v>0</v>
      </c>
      <c r="H68" s="185">
        <f>I68*(1+'PIECE DENSITIES'!E14)</f>
        <v>0</v>
      </c>
      <c r="I68" s="186">
        <f>(D32+D44+D58)*'COVERAGE FACTORS'!C41+(J32+J44+J58)*('COVERAGE FACTORS'!C41+'COVERAGE FACTORS'!C43)</f>
        <v>0</v>
      </c>
      <c r="J68" s="58"/>
      <c r="L68"/>
      <c r="M68" s="101">
        <f>N68</f>
        <v>493.46258589521193</v>
      </c>
      <c r="N68" s="100">
        <f>D62+J62+O32+O44+O58+(D32+D44+D58)*'COVERAGE FACTORS'!C45+(J32+J44+J58)*(1-('COVERAGE FACTORS'!C41+'COVERAGE FACTORS'!C43))</f>
        <v>493.46258589521193</v>
      </c>
      <c r="P68" s="19"/>
      <c r="Q68" s="108"/>
      <c r="S68" s="19"/>
      <c r="U68" s="19"/>
      <c r="Y68"/>
      <c r="Z68"/>
      <c r="AA68"/>
      <c r="AB68"/>
      <c r="AC68"/>
      <c r="AD68"/>
    </row>
    <row r="69" spans="1:30" x14ac:dyDescent="0.25">
      <c r="A69" s="113"/>
      <c r="C69" s="97"/>
      <c r="D69" s="364">
        <f>(SUM(C64:C68)-D62)*'PIECE DENSITIES'!F9</f>
        <v>210.00210560421678</v>
      </c>
      <c r="E69" s="23" t="s">
        <v>285</v>
      </c>
      <c r="G69" s="113"/>
      <c r="I69" s="98"/>
      <c r="J69" s="181">
        <f>(SUM(I64:I68)-J62)*'PIECE DENSITIES'!F14</f>
        <v>0</v>
      </c>
      <c r="K69" s="23" t="s">
        <v>286</v>
      </c>
      <c r="L69"/>
      <c r="M69" s="19"/>
      <c r="O69" s="95">
        <f>SUM(N64:N68)*'PIECE DENSITIES'!F19</f>
        <v>14.31055367379253</v>
      </c>
      <c r="P69" s="23" t="s">
        <v>287</v>
      </c>
      <c r="Q69" s="108"/>
      <c r="S69" s="19"/>
      <c r="U69" s="19"/>
      <c r="Y69"/>
      <c r="Z69"/>
      <c r="AA69"/>
      <c r="AB69"/>
      <c r="AC69"/>
      <c r="AD69"/>
    </row>
    <row r="70" spans="1:30" x14ac:dyDescent="0.25">
      <c r="A70" s="113"/>
      <c r="C70" s="97"/>
      <c r="D70" s="364">
        <f>(SUM(C64:C68)-D62)*'PIECE DENSITIES'!G9</f>
        <v>9176.8374825585997</v>
      </c>
      <c r="E70" s="23" t="s">
        <v>288</v>
      </c>
      <c r="G70" s="113"/>
      <c r="I70" s="98"/>
      <c r="J70" s="181">
        <f>(SUM(I64:I68)-J62)*'PIECE DENSITIES'!G14</f>
        <v>0</v>
      </c>
      <c r="K70" s="23" t="s">
        <v>289</v>
      </c>
      <c r="L70"/>
      <c r="M70" s="19"/>
      <c r="O70" s="95">
        <f>SUM(N64:N68)*'PIECE DENSITIES'!G19</f>
        <v>538.90766217605881</v>
      </c>
      <c r="P70" s="23" t="s">
        <v>290</v>
      </c>
      <c r="Q70" s="108"/>
      <c r="S70" s="19"/>
      <c r="U70" s="19"/>
      <c r="Y70"/>
      <c r="Z70"/>
      <c r="AA70"/>
      <c r="AB70"/>
      <c r="AC70"/>
      <c r="AD70"/>
    </row>
    <row r="71" spans="1:30" x14ac:dyDescent="0.25">
      <c r="A71" s="113"/>
      <c r="C71" s="97"/>
      <c r="G71" s="113"/>
      <c r="I71" s="98"/>
      <c r="J71" s="91"/>
      <c r="L71"/>
      <c r="M71" s="19"/>
      <c r="O71" s="96"/>
      <c r="P71" s="19"/>
      <c r="Q71" s="108"/>
      <c r="S71" s="19"/>
      <c r="U71" s="19"/>
      <c r="Y71"/>
      <c r="Z71"/>
      <c r="AA71"/>
      <c r="AB71"/>
      <c r="AC71"/>
      <c r="AD71"/>
    </row>
    <row r="72" spans="1:30" x14ac:dyDescent="0.25">
      <c r="A72" s="113"/>
      <c r="D72" s="96">
        <f>SUM(A74:A78)*(1-'ACCEPT RATES'!G17)+SUM(C74:C78)*SUM('ACCEPT RATES'!I17:J17)</f>
        <v>10.592656551901339</v>
      </c>
      <c r="E72" s="23" t="s">
        <v>269</v>
      </c>
      <c r="G72" s="121"/>
      <c r="I72" s="23"/>
      <c r="J72" s="96">
        <f>SUM(G74:G78)*(1-'ACCEPT RATES'!E22)</f>
        <v>0</v>
      </c>
      <c r="K72" s="23" t="s">
        <v>269</v>
      </c>
      <c r="L72"/>
      <c r="M72" s="19"/>
      <c r="P72" s="23"/>
      <c r="Q72" s="108"/>
      <c r="S72" s="19"/>
      <c r="U72" s="19"/>
      <c r="Y72"/>
      <c r="Z72"/>
      <c r="AA72"/>
      <c r="AB72"/>
      <c r="AC72"/>
      <c r="AD72"/>
    </row>
    <row r="73" spans="1:30" x14ac:dyDescent="0.25">
      <c r="A73" s="126" t="s">
        <v>270</v>
      </c>
      <c r="B73" s="86" t="s">
        <v>302</v>
      </c>
      <c r="C73" s="87"/>
      <c r="D73" s="119"/>
      <c r="E73" s="23" t="s">
        <v>303</v>
      </c>
      <c r="G73" s="126" t="s">
        <v>273</v>
      </c>
      <c r="H73" s="86" t="s">
        <v>304</v>
      </c>
      <c r="I73" s="87"/>
      <c r="J73" s="99"/>
      <c r="K73" s="22" t="s">
        <v>303</v>
      </c>
      <c r="L73"/>
      <c r="M73" s="86" t="s">
        <v>287</v>
      </c>
      <c r="N73" s="87"/>
      <c r="P73" s="19"/>
      <c r="Q73" s="108"/>
      <c r="S73" s="19"/>
      <c r="U73" s="19"/>
      <c r="Y73"/>
      <c r="Z73"/>
      <c r="AA73"/>
      <c r="AB73"/>
      <c r="AC73"/>
      <c r="AD73"/>
    </row>
    <row r="74" spans="1:30" x14ac:dyDescent="0.25">
      <c r="A74" s="120">
        <f>B74*(1-'ACCEPT RATES'!C17)</f>
        <v>0</v>
      </c>
      <c r="B74" s="29">
        <f>C74*(1+'ACCEPT RATES'!F17)</f>
        <v>0</v>
      </c>
      <c r="C74" s="50">
        <f>C15*('COVERAGE FACTORS'!C39+'COVERAGE FACTORS'!C43)</f>
        <v>0</v>
      </c>
      <c r="E74" s="23" t="s">
        <v>200</v>
      </c>
      <c r="G74" s="178">
        <f>H74*(1-'ACCEPT RATES'!C22)</f>
        <v>0</v>
      </c>
      <c r="H74" s="29">
        <f>I74</f>
        <v>0</v>
      </c>
      <c r="I74" s="50">
        <f>C15*'COVERAGE FACTORS'!C41</f>
        <v>0</v>
      </c>
      <c r="J74" s="112"/>
      <c r="K74" s="22" t="s">
        <v>200</v>
      </c>
      <c r="L74"/>
      <c r="M74" s="29">
        <f>N74</f>
        <v>0</v>
      </c>
      <c r="N74" s="50">
        <f>C15*'COVERAGE FACTORS'!C45</f>
        <v>0</v>
      </c>
      <c r="P74" s="19"/>
      <c r="Q74" s="108"/>
      <c r="S74" s="19"/>
      <c r="U74" s="19"/>
      <c r="Y74"/>
      <c r="Z74"/>
      <c r="AA74"/>
      <c r="AB74"/>
      <c r="AC74"/>
      <c r="AD74"/>
    </row>
    <row r="75" spans="1:30" x14ac:dyDescent="0.25">
      <c r="A75" s="179">
        <f>B75*(1-'ACCEPT RATES'!D17)</f>
        <v>0</v>
      </c>
      <c r="B75" s="85">
        <f>C75*(1+'ACCEPT RATES'!F17)</f>
        <v>0</v>
      </c>
      <c r="C75" s="84">
        <f>G15*('COVERAGE FACTORS'!C39+'COVERAGE FACTORS'!C43)</f>
        <v>0</v>
      </c>
      <c r="G75" s="179">
        <f>H75*(1-'ACCEPT RATES'!D22)</f>
        <v>0</v>
      </c>
      <c r="H75" s="85">
        <f>I75</f>
        <v>0</v>
      </c>
      <c r="I75" s="84">
        <f>G15*'COVERAGE FACTORS'!C41</f>
        <v>0</v>
      </c>
      <c r="J75" s="58"/>
      <c r="L75"/>
      <c r="M75" s="85">
        <f>N75</f>
        <v>0</v>
      </c>
      <c r="N75" s="84">
        <f>G15*'COVERAGE FACTORS'!C45</f>
        <v>0</v>
      </c>
      <c r="P75" s="19"/>
      <c r="Q75" s="108"/>
      <c r="S75" s="19"/>
      <c r="U75" s="19"/>
      <c r="Y75"/>
      <c r="Z75"/>
      <c r="AA75"/>
      <c r="AB75"/>
      <c r="AC75"/>
      <c r="AD75"/>
    </row>
    <row r="76" spans="1:30" x14ac:dyDescent="0.25">
      <c r="A76" s="121"/>
      <c r="B76" s="85"/>
      <c r="C76" s="84"/>
      <c r="G76" s="109">
        <f>H76*(1-'ACCEPT RATES'!C22)</f>
        <v>0</v>
      </c>
      <c r="H76" s="89">
        <f>I76</f>
        <v>0</v>
      </c>
      <c r="I76" s="90">
        <f>K15*('COVERAGE FACTORS'!C41+'COVERAGE FACTORS'!C43)</f>
        <v>0</v>
      </c>
      <c r="J76" s="58"/>
      <c r="L76"/>
      <c r="M76" s="89">
        <f>N76</f>
        <v>0</v>
      </c>
      <c r="N76" s="90">
        <f>K15*(1-('COVERAGE FACTORS'!C41+'COVERAGE FACTORS'!C43))</f>
        <v>0</v>
      </c>
      <c r="P76" s="19"/>
      <c r="Q76" s="108"/>
      <c r="S76" s="19"/>
      <c r="U76" s="19"/>
      <c r="Y76"/>
      <c r="Z76"/>
      <c r="AA76"/>
      <c r="AB76"/>
      <c r="AC76"/>
      <c r="AD76"/>
    </row>
    <row r="77" spans="1:30" x14ac:dyDescent="0.25">
      <c r="A77" s="121"/>
      <c r="B77" s="85"/>
      <c r="C77" s="84"/>
      <c r="G77" s="110">
        <f>H77*(1-'ACCEPT RATES'!D22)</f>
        <v>0</v>
      </c>
      <c r="H77" s="94">
        <f>I77</f>
        <v>0</v>
      </c>
      <c r="I77" s="92">
        <f>O15*('COVERAGE FACTORS'!C41+'COVERAGE FACTORS'!C43)</f>
        <v>0</v>
      </c>
      <c r="J77" s="58"/>
      <c r="L77"/>
      <c r="M77" s="94">
        <f>N77</f>
        <v>0</v>
      </c>
      <c r="N77" s="92">
        <f>O15*(1-('COVERAGE FACTORS'!C41+'COVERAGE FACTORS'!C43))</f>
        <v>0</v>
      </c>
      <c r="P77" s="19"/>
      <c r="Q77" s="108"/>
      <c r="S77" s="19"/>
      <c r="U77" s="19"/>
      <c r="Y77"/>
      <c r="Z77"/>
      <c r="AA77"/>
      <c r="AB77"/>
      <c r="AC77"/>
      <c r="AD77"/>
    </row>
    <row r="78" spans="1:30" x14ac:dyDescent="0.25">
      <c r="A78" s="183">
        <f>B78*(1-'ACCEPT RATES'!C17)</f>
        <v>13.236156377333039</v>
      </c>
      <c r="B78" s="187">
        <f>C78*(1+'ACCEPT RATES'!F17)</f>
        <v>215.9254523186388</v>
      </c>
      <c r="C78" s="188">
        <f>(D33+D45+D59+D69)*('COVERAGE FACTORS'!C39+'COVERAGE FACTORS'!C43)</f>
        <v>213.84530301579457</v>
      </c>
      <c r="G78" s="184">
        <f>IF(SUM(C11:C16)&gt;0,H78*(1-'ACCEPT RATES'!C22),H78*(1-'ACCEPT RATES'!D22))</f>
        <v>0</v>
      </c>
      <c r="H78" s="185">
        <f>I78</f>
        <v>0</v>
      </c>
      <c r="I78" s="186">
        <f>(D33+D45+D59+D69)*'COVERAGE FACTORS'!C41+(J33+J45+J59+J69)*('COVERAGE FACTORS'!C41+'COVERAGE FACTORS'!C43)</f>
        <v>0</v>
      </c>
      <c r="J78" s="58"/>
      <c r="L78"/>
      <c r="M78" s="101">
        <f ca="1">N78</f>
        <v>26.494313858389226</v>
      </c>
      <c r="N78" s="100">
        <f ca="1">D72+J72+O33+O45+O59+O69+(D33+D45+D59+D69)*'COVERAGE FACTORS'!C45+(J33+J45+J59+J69)*(1-('COVERAGE FACTORS'!C41+'COVERAGE FACTORS'!C43))+D106</f>
        <v>26.494313858389226</v>
      </c>
      <c r="P78" s="19"/>
      <c r="Q78" s="108"/>
      <c r="S78" s="19"/>
      <c r="U78" s="19"/>
      <c r="Y78"/>
      <c r="Z78"/>
      <c r="AA78"/>
      <c r="AB78"/>
      <c r="AC78"/>
      <c r="AD78"/>
    </row>
    <row r="79" spans="1:30" x14ac:dyDescent="0.25">
      <c r="A79" s="113"/>
      <c r="C79" s="97"/>
      <c r="D79" s="364">
        <f>SUM(C74:C78)-D72</f>
        <v>203.25264646389323</v>
      </c>
      <c r="E79" s="23" t="s">
        <v>288</v>
      </c>
      <c r="G79" s="113"/>
      <c r="I79" s="98"/>
      <c r="J79" s="181">
        <f>SUM(I74:I78)-J72</f>
        <v>0</v>
      </c>
      <c r="K79" s="23" t="s">
        <v>289</v>
      </c>
      <c r="L79"/>
      <c r="M79" s="19"/>
      <c r="O79" s="95">
        <f ca="1">SUM(N74:N78)</f>
        <v>26.494313858389226</v>
      </c>
      <c r="P79" s="23" t="s">
        <v>290</v>
      </c>
      <c r="Q79" s="108"/>
      <c r="S79" s="19"/>
      <c r="U79" s="19"/>
      <c r="Y79"/>
      <c r="Z79"/>
      <c r="AA79"/>
      <c r="AB79"/>
      <c r="AC79"/>
      <c r="AD79"/>
    </row>
    <row r="80" spans="1:30" x14ac:dyDescent="0.25">
      <c r="A80" s="113"/>
      <c r="C80" s="97"/>
      <c r="E80" s="23"/>
      <c r="G80" s="113"/>
      <c r="I80" s="98"/>
      <c r="J80" s="91"/>
      <c r="K80" s="23"/>
      <c r="L80"/>
      <c r="M80" s="19"/>
      <c r="O80" s="96"/>
      <c r="P80" s="23"/>
      <c r="Q80" s="108"/>
      <c r="S80" s="19"/>
      <c r="U80" s="19"/>
      <c r="Y80"/>
      <c r="Z80"/>
      <c r="AA80"/>
      <c r="AB80"/>
      <c r="AC80"/>
      <c r="AD80"/>
    </row>
    <row r="81" spans="1:30" x14ac:dyDescent="0.25">
      <c r="A81" s="113"/>
      <c r="D81" s="96">
        <f>SUM(A83:A87)*(1-'ACCEPT RATES'!G17)+SUM(C83:C87)*SUM('ACCEPT RATES'!I17:J17)</f>
        <v>464.30781928205943</v>
      </c>
      <c r="E81" s="23" t="s">
        <v>269</v>
      </c>
      <c r="G81" s="121"/>
      <c r="I81" s="23"/>
      <c r="J81" s="96">
        <f>I85*(1-'ACCEPT RATES'!C22)</f>
        <v>0</v>
      </c>
      <c r="K81" s="23" t="s">
        <v>269</v>
      </c>
      <c r="L81"/>
      <c r="M81" s="19"/>
      <c r="P81" s="23"/>
      <c r="Q81" s="108"/>
      <c r="S81" s="19"/>
      <c r="U81" s="19"/>
      <c r="Y81"/>
      <c r="Z81"/>
      <c r="AA81"/>
      <c r="AB81"/>
      <c r="AC81"/>
      <c r="AD81"/>
    </row>
    <row r="82" spans="1:30" x14ac:dyDescent="0.25">
      <c r="A82" s="126" t="s">
        <v>270</v>
      </c>
      <c r="B82" s="86" t="s">
        <v>305</v>
      </c>
      <c r="C82" s="87"/>
      <c r="D82" s="119"/>
      <c r="E82" s="23" t="s">
        <v>306</v>
      </c>
      <c r="G82" s="126" t="s">
        <v>273</v>
      </c>
      <c r="H82" s="86" t="s">
        <v>307</v>
      </c>
      <c r="I82" s="87"/>
      <c r="J82" s="99"/>
      <c r="K82" s="22" t="s">
        <v>306</v>
      </c>
      <c r="L82"/>
      <c r="M82" s="86" t="s">
        <v>290</v>
      </c>
      <c r="N82" s="87"/>
      <c r="P82" s="19"/>
      <c r="Q82" s="108"/>
      <c r="S82" s="19"/>
      <c r="U82" s="19"/>
      <c r="Y82"/>
      <c r="Z82"/>
      <c r="AA82"/>
      <c r="AB82"/>
      <c r="AC82"/>
      <c r="AD82"/>
    </row>
    <row r="83" spans="1:30" x14ac:dyDescent="0.25">
      <c r="A83" s="120">
        <f>B83*(1-'ACCEPT RATES'!C17)</f>
        <v>0</v>
      </c>
      <c r="B83" s="29">
        <f>C83*(1+'ACCEPT RATES'!F17)</f>
        <v>0</v>
      </c>
      <c r="C83" s="50">
        <f>C16*('COVERAGE FACTORS'!C55+'COVERAGE FACTORS'!C59)</f>
        <v>0</v>
      </c>
      <c r="E83" s="23" t="s">
        <v>200</v>
      </c>
      <c r="G83" s="178">
        <v>0</v>
      </c>
      <c r="H83" s="29">
        <f>I83</f>
        <v>0</v>
      </c>
      <c r="I83" s="50">
        <f>C16*'COVERAGE FACTORS'!C57</f>
        <v>0</v>
      </c>
      <c r="J83" s="112"/>
      <c r="K83" s="22" t="s">
        <v>200</v>
      </c>
      <c r="L83"/>
      <c r="M83" s="29">
        <f>N83</f>
        <v>0</v>
      </c>
      <c r="N83" s="50">
        <f>C16*'COVERAGE FACTORS'!C61</f>
        <v>0</v>
      </c>
      <c r="P83" s="19"/>
      <c r="Q83" s="108"/>
      <c r="S83" s="19"/>
      <c r="U83" s="19"/>
      <c r="Y83"/>
      <c r="Z83"/>
      <c r="AA83"/>
      <c r="AB83"/>
      <c r="AC83"/>
      <c r="AD83"/>
    </row>
    <row r="84" spans="1:30" x14ac:dyDescent="0.25">
      <c r="A84" s="179">
        <f>B84*(1-'ACCEPT RATES'!D17)</f>
        <v>0</v>
      </c>
      <c r="B84" s="85">
        <f>C84*(1+'ACCEPT RATES'!F17)</f>
        <v>0</v>
      </c>
      <c r="C84" s="84">
        <f>G16*('COVERAGE FACTORS'!C55+'COVERAGE FACTORS'!C59)</f>
        <v>0</v>
      </c>
      <c r="G84" s="179">
        <v>0</v>
      </c>
      <c r="H84" s="85">
        <f>I84</f>
        <v>0</v>
      </c>
      <c r="I84" s="84">
        <f>G16*'COVERAGE FACTORS'!C57</f>
        <v>0</v>
      </c>
      <c r="J84" s="58"/>
      <c r="L84"/>
      <c r="M84" s="85">
        <f>N84</f>
        <v>0</v>
      </c>
      <c r="N84" s="84">
        <f>G16*'COVERAGE FACTORS'!C61</f>
        <v>0</v>
      </c>
      <c r="P84" s="19"/>
      <c r="Q84" s="108"/>
      <c r="S84" s="19"/>
      <c r="U84" s="19"/>
      <c r="Y84"/>
      <c r="Z84"/>
      <c r="AA84"/>
      <c r="AB84"/>
      <c r="AC84"/>
      <c r="AD84"/>
    </row>
    <row r="85" spans="1:30" x14ac:dyDescent="0.25">
      <c r="A85" s="121"/>
      <c r="B85" s="85"/>
      <c r="C85" s="84"/>
      <c r="G85" s="109">
        <v>0</v>
      </c>
      <c r="H85" s="89">
        <f>I85</f>
        <v>0</v>
      </c>
      <c r="I85" s="90">
        <f>K16*('COVERAGE FACTORS'!C57+'COVERAGE FACTORS'!C59)</f>
        <v>0</v>
      </c>
      <c r="J85" s="58"/>
      <c r="L85"/>
      <c r="M85" s="89">
        <f>N85</f>
        <v>0</v>
      </c>
      <c r="N85" s="90">
        <f>K16*(1-('COVERAGE FACTORS'!C57+'COVERAGE FACTORS'!C59+'COVERAGE FACTORS'!C53))</f>
        <v>0</v>
      </c>
      <c r="P85" s="19"/>
      <c r="Q85" s="108"/>
      <c r="S85" s="19"/>
      <c r="U85" s="19"/>
      <c r="Y85"/>
      <c r="Z85"/>
      <c r="AA85"/>
      <c r="AB85"/>
      <c r="AC85"/>
      <c r="AD85"/>
    </row>
    <row r="86" spans="1:30" x14ac:dyDescent="0.25">
      <c r="A86" s="121"/>
      <c r="B86" s="85"/>
      <c r="C86" s="84"/>
      <c r="G86" s="110">
        <v>0</v>
      </c>
      <c r="H86" s="94">
        <f>I86</f>
        <v>0</v>
      </c>
      <c r="I86" s="92">
        <f>O16*('COVERAGE FACTORS'!C57+'COVERAGE FACTORS'!C59)</f>
        <v>0</v>
      </c>
      <c r="J86" s="58"/>
      <c r="L86"/>
      <c r="M86" s="94">
        <f>N86</f>
        <v>0</v>
      </c>
      <c r="N86" s="92">
        <f>O16*(1-('COVERAGE FACTORS'!C57+'COVERAGE FACTORS'!C59+'COVERAGE FACTORS'!C53))</f>
        <v>0</v>
      </c>
      <c r="P86" s="19"/>
      <c r="Q86" s="108"/>
      <c r="S86" s="19"/>
      <c r="U86" s="19"/>
      <c r="Y86"/>
      <c r="Z86"/>
      <c r="AA86"/>
      <c r="AB86"/>
      <c r="AC86"/>
      <c r="AD86"/>
    </row>
    <row r="87" spans="1:30" x14ac:dyDescent="0.25">
      <c r="A87" s="183">
        <f>B87*(1-'ACCEPT RATES'!C17)</f>
        <v>580.18032333283827</v>
      </c>
      <c r="B87" s="187">
        <f>C87*(1+'ACCEPT RATES'!F17)</f>
        <v>9464.6584076743202</v>
      </c>
      <c r="C87" s="188">
        <f>(D34+D46+D60+D70+D79)*('COVERAGE FACTORS'!C55+'COVERAGE FACTORS'!C59)</f>
        <v>9373.4792420087124</v>
      </c>
      <c r="G87" s="184">
        <v>0</v>
      </c>
      <c r="H87" s="185">
        <f>I87</f>
        <v>0</v>
      </c>
      <c r="I87" s="186">
        <f>(D34+D46+D60+D70+D79)*'COVERAGE FACTORS'!C57+(J34+J46+J60+J70+J79)*('COVERAGE FACTORS'!C57+'COVERAGE FACTORS'!C59)</f>
        <v>0</v>
      </c>
      <c r="J87" s="182"/>
      <c r="L87"/>
      <c r="M87" s="101">
        <f ca="1">N87</f>
        <v>1090.8285772733282</v>
      </c>
      <c r="N87" s="100">
        <f ca="1">D81+J81+(O34+O46+O60+O70+O79)+(D34+D46+D60+D70+D79)*'COVERAGE FACTORS'!C61+(J34+J46+J60+J70+J79)*(1-('COVERAGE FACTORS'!C57+'COVERAGE FACTORS'!C59))+D120</f>
        <v>1090.8285772733282</v>
      </c>
      <c r="P87" s="19"/>
      <c r="Q87" s="108"/>
      <c r="S87" s="19"/>
      <c r="U87" s="19"/>
      <c r="Y87"/>
      <c r="Z87"/>
      <c r="AA87"/>
      <c r="AB87"/>
      <c r="AC87"/>
      <c r="AD87"/>
    </row>
    <row r="88" spans="1:30" x14ac:dyDescent="0.25">
      <c r="A88" s="113"/>
      <c r="C88" s="97"/>
      <c r="D88" s="102">
        <f>SUM(C83:C87)-D81</f>
        <v>8909.171422726653</v>
      </c>
      <c r="E88" s="23"/>
      <c r="G88" s="366"/>
      <c r="H88" s="367"/>
      <c r="I88" s="367"/>
      <c r="J88" s="368">
        <f>SUM(I83:I87)-J81</f>
        <v>0</v>
      </c>
      <c r="K88" s="23"/>
      <c r="L88"/>
      <c r="M88" s="19"/>
      <c r="O88" s="189">
        <f ca="1">SUM(N83:N87)</f>
        <v>1090.8285772733282</v>
      </c>
      <c r="P88" s="23"/>
      <c r="Q88" s="108"/>
      <c r="S88" s="19"/>
      <c r="U88" s="19"/>
      <c r="Y88"/>
      <c r="Z88"/>
      <c r="AA88"/>
      <c r="AB88"/>
      <c r="AC88"/>
      <c r="AD88"/>
    </row>
    <row r="89" spans="1:30" x14ac:dyDescent="0.25">
      <c r="A89" s="113"/>
      <c r="C89" s="97"/>
      <c r="D89" s="22" t="s">
        <v>308</v>
      </c>
      <c r="E89" s="23"/>
      <c r="G89" s="113"/>
      <c r="I89" s="98"/>
      <c r="J89" s="22" t="s">
        <v>308</v>
      </c>
      <c r="K89" s="23"/>
      <c r="L89"/>
      <c r="M89" s="19"/>
      <c r="O89" s="22" t="s">
        <v>308</v>
      </c>
      <c r="P89" s="23"/>
      <c r="Q89" s="108"/>
      <c r="S89" s="19"/>
      <c r="U89" s="19"/>
      <c r="Y89"/>
      <c r="Z89"/>
      <c r="AA89"/>
      <c r="AB89"/>
      <c r="AC89"/>
      <c r="AD89"/>
    </row>
    <row r="90" spans="1:30" x14ac:dyDescent="0.25">
      <c r="A90" s="113"/>
      <c r="G90" s="113"/>
      <c r="H90"/>
      <c r="I90" s="19"/>
      <c r="J90" s="58"/>
      <c r="P90" s="19"/>
      <c r="Q90" s="108"/>
      <c r="S90" s="19"/>
      <c r="U90" s="19"/>
      <c r="Y90"/>
      <c r="Z90"/>
      <c r="AA90"/>
      <c r="AB90"/>
      <c r="AC90"/>
      <c r="AD90"/>
    </row>
    <row r="91" spans="1:30" x14ac:dyDescent="0.25">
      <c r="A91" s="113"/>
      <c r="D91" s="437" t="s">
        <v>269</v>
      </c>
      <c r="E91" s="437"/>
      <c r="G91" s="113"/>
      <c r="H91"/>
      <c r="I91" s="19"/>
      <c r="J91" s="58"/>
      <c r="P91" s="19"/>
      <c r="Q91" s="108"/>
      <c r="S91" s="19"/>
      <c r="U91" s="19"/>
      <c r="Y91"/>
      <c r="Z91"/>
      <c r="AA91"/>
      <c r="AB91"/>
      <c r="AC91"/>
      <c r="AD91"/>
    </row>
    <row r="92" spans="1:30" x14ac:dyDescent="0.25">
      <c r="A92" s="114"/>
      <c r="B92" s="116"/>
      <c r="C92" s="116"/>
      <c r="D92" s="22" t="s">
        <v>309</v>
      </c>
      <c r="E92" s="23" t="s">
        <v>310</v>
      </c>
      <c r="F92" s="116"/>
      <c r="G92" s="114"/>
      <c r="H92" s="115"/>
      <c r="I92" s="116"/>
      <c r="J92" s="117"/>
      <c r="K92" s="116"/>
      <c r="L92" s="116"/>
      <c r="M92" s="115"/>
      <c r="N92" s="116"/>
      <c r="O92" s="117"/>
      <c r="P92" s="116"/>
      <c r="Q92" s="118"/>
      <c r="S92" s="19"/>
      <c r="U92" s="19"/>
      <c r="Y92"/>
      <c r="Z92"/>
      <c r="AA92"/>
      <c r="AB92"/>
      <c r="AC92"/>
      <c r="AD92"/>
    </row>
    <row r="93" spans="1:30" x14ac:dyDescent="0.25">
      <c r="D93" s="266">
        <f ca="1">SUM(A95:A99)*(1-'ACCEPT RATES'!G24)+SUM(B95:B99)*'ACCEPT RATES'!J24</f>
        <v>0</v>
      </c>
      <c r="E93" s="267">
        <f ca="1">SUM(B95:B99)*'ACCEPT RATES'!I24</f>
        <v>0</v>
      </c>
    </row>
    <row r="94" spans="1:30" x14ac:dyDescent="0.25">
      <c r="A94" s="23" t="s">
        <v>270</v>
      </c>
      <c r="B94" s="213" t="s">
        <v>99</v>
      </c>
      <c r="C94" s="212"/>
      <c r="E94" s="23" t="s">
        <v>306</v>
      </c>
    </row>
    <row r="95" spans="1:30" x14ac:dyDescent="0.25">
      <c r="A95" s="50">
        <f>B95*(1-'ACCEPT RATES'!C24)</f>
        <v>0</v>
      </c>
      <c r="B95" s="29">
        <f>C95*(1+'ACCEPT RATES'!F17)</f>
        <v>0</v>
      </c>
      <c r="C95" s="50">
        <f>C16*'COVERAGE FACTORS'!C53</f>
        <v>0</v>
      </c>
      <c r="E95" s="23" t="s">
        <v>200</v>
      </c>
    </row>
    <row r="96" spans="1:30" x14ac:dyDescent="0.25">
      <c r="A96" s="84">
        <f>B96*(1-'ACCEPT RATES'!D24)</f>
        <v>0</v>
      </c>
      <c r="B96" s="85">
        <f>C96*(1+'ACCEPT RATES'!F17)</f>
        <v>0</v>
      </c>
      <c r="C96" s="84">
        <f>G16*'COVERAGE FACTORS'!C53</f>
        <v>0</v>
      </c>
    </row>
    <row r="97" spans="1:11" x14ac:dyDescent="0.25">
      <c r="A97" s="90">
        <f>B97*(1-'ACCEPT RATES'!C24)</f>
        <v>0</v>
      </c>
      <c r="B97" s="89">
        <f>C97*(1+'ACCEPT RATES'!F17)</f>
        <v>0</v>
      </c>
      <c r="C97" s="90">
        <f>K16*'COVERAGE FACTORS'!C53</f>
        <v>0</v>
      </c>
    </row>
    <row r="98" spans="1:11" x14ac:dyDescent="0.25">
      <c r="A98" s="92">
        <f>B98*(1-'ACCEPT RATES'!D24)</f>
        <v>0</v>
      </c>
      <c r="B98" s="94">
        <f>C98*(1+'ACCEPT RATES'!F17)</f>
        <v>0</v>
      </c>
      <c r="C98" s="92">
        <f>O16*'COVERAGE FACTORS'!C53</f>
        <v>0</v>
      </c>
    </row>
    <row r="99" spans="1:11" x14ac:dyDescent="0.25">
      <c r="A99" s="214">
        <f ca="1">B99*(1-'ACCEPT RATES'!C24)</f>
        <v>0</v>
      </c>
      <c r="B99" s="215">
        <f ca="1">C99*(1+'ACCEPT RATES'!F17)</f>
        <v>0</v>
      </c>
      <c r="C99" s="214">
        <f ca="1">(D16+D34+D46+D60+D70+D79)*'COVERAGE FACTORS'!C53+D114</f>
        <v>0</v>
      </c>
    </row>
    <row r="100" spans="1:11" x14ac:dyDescent="0.25">
      <c r="D100" s="369">
        <f ca="1">SUM(C95:C99)-D93-E93</f>
        <v>0</v>
      </c>
    </row>
    <row r="101" spans="1:11" x14ac:dyDescent="0.25">
      <c r="D101" s="22" t="s">
        <v>311</v>
      </c>
    </row>
    <row r="105" spans="1:11" x14ac:dyDescent="0.25">
      <c r="D105" s="22"/>
    </row>
    <row r="106" spans="1:11" x14ac:dyDescent="0.25">
      <c r="A106" s="113"/>
      <c r="D106" s="258">
        <f ca="1">A112*(1-'ACCEPT RATES'!G17)+B112*('ACCEPT RATES'!I17+'ACCEPT RATES'!J17)</f>
        <v>0</v>
      </c>
      <c r="E106" s="23" t="s">
        <v>269</v>
      </c>
      <c r="G106" s="438" t="s">
        <v>312</v>
      </c>
      <c r="H106" s="438"/>
      <c r="I106" s="438"/>
      <c r="J106" s="438"/>
      <c r="K106" s="438"/>
    </row>
    <row r="107" spans="1:11" x14ac:dyDescent="0.25">
      <c r="A107" s="126" t="s">
        <v>270</v>
      </c>
      <c r="B107" s="86" t="s">
        <v>313</v>
      </c>
      <c r="C107" s="87"/>
      <c r="D107"/>
      <c r="E107" s="23" t="s">
        <v>303</v>
      </c>
      <c r="G107" s="438"/>
      <c r="H107" s="438"/>
      <c r="I107" s="438"/>
      <c r="J107" s="438"/>
      <c r="K107" s="438"/>
    </row>
    <row r="108" spans="1:11" x14ac:dyDescent="0.25">
      <c r="A108" s="50"/>
      <c r="B108" s="29"/>
      <c r="C108" s="50"/>
      <c r="E108" s="23" t="s">
        <v>200</v>
      </c>
      <c r="G108" s="438"/>
      <c r="H108" s="438"/>
      <c r="I108" s="438"/>
      <c r="J108" s="438"/>
      <c r="K108" s="438"/>
    </row>
    <row r="109" spans="1:11" x14ac:dyDescent="0.25">
      <c r="A109" s="179"/>
      <c r="B109" s="85"/>
      <c r="C109" s="84"/>
      <c r="G109" s="438"/>
      <c r="H109" s="438"/>
      <c r="I109" s="438"/>
      <c r="J109" s="438"/>
      <c r="K109" s="438"/>
    </row>
    <row r="110" spans="1:11" x14ac:dyDescent="0.25">
      <c r="A110" s="121"/>
      <c r="B110" s="85"/>
      <c r="C110" s="84"/>
      <c r="G110" s="438"/>
      <c r="H110" s="438"/>
      <c r="I110" s="438"/>
      <c r="J110" s="438"/>
      <c r="K110" s="438"/>
    </row>
    <row r="111" spans="1:11" x14ac:dyDescent="0.25">
      <c r="A111" s="121"/>
      <c r="B111" s="85"/>
      <c r="C111" s="84"/>
      <c r="G111" s="438"/>
      <c r="H111" s="438"/>
      <c r="I111" s="438"/>
      <c r="J111" s="438"/>
      <c r="K111" s="438"/>
    </row>
    <row r="112" spans="1:11" x14ac:dyDescent="0.25">
      <c r="A112" s="259">
        <f ca="1">B112*(1-'ACCEPT RATES'!$C$17)</f>
        <v>0</v>
      </c>
      <c r="B112" s="260">
        <f ca="1">C112*(1+'ACCEPT RATES'!$F$17)</f>
        <v>0</v>
      </c>
      <c r="C112" s="261">
        <f ca="1">E93</f>
        <v>0</v>
      </c>
      <c r="G112" s="438"/>
      <c r="H112" s="438"/>
      <c r="I112" s="438"/>
      <c r="J112" s="438"/>
      <c r="K112" s="438"/>
    </row>
    <row r="113" spans="1:11" x14ac:dyDescent="0.25">
      <c r="A113" s="113"/>
      <c r="C113" s="119"/>
      <c r="D113" s="370">
        <f ca="1">($C$112-$D$106)*(1-'COVERAGE FACTORS'!$C$66)</f>
        <v>0</v>
      </c>
      <c r="E113" s="23" t="s">
        <v>288</v>
      </c>
      <c r="G113" s="438"/>
      <c r="H113" s="438"/>
      <c r="I113" s="438"/>
      <c r="J113" s="438"/>
      <c r="K113" s="438"/>
    </row>
    <row r="114" spans="1:11" x14ac:dyDescent="0.25">
      <c r="A114" s="113"/>
      <c r="C114" s="119"/>
      <c r="D114" s="370">
        <f ca="1">($C$112-$D$106)*'COVERAGE FACTORS'!$C$66</f>
        <v>0</v>
      </c>
      <c r="E114" s="23" t="s">
        <v>99</v>
      </c>
    </row>
    <row r="115" spans="1:11" x14ac:dyDescent="0.25">
      <c r="A115" s="113"/>
      <c r="C115" s="97"/>
      <c r="E115" s="23"/>
    </row>
    <row r="116" spans="1:11" x14ac:dyDescent="0.25">
      <c r="A116" s="113"/>
      <c r="C116" s="97"/>
      <c r="E116" s="23"/>
    </row>
    <row r="117" spans="1:11" x14ac:dyDescent="0.25">
      <c r="A117" s="113"/>
      <c r="C117" s="97"/>
      <c r="E117" s="23"/>
    </row>
    <row r="118" spans="1:11" x14ac:dyDescent="0.25">
      <c r="A118" s="113"/>
      <c r="C118" s="97"/>
      <c r="E118" s="23"/>
    </row>
    <row r="119" spans="1:11" x14ac:dyDescent="0.25">
      <c r="A119" s="113"/>
      <c r="C119" s="97"/>
      <c r="E119" s="23"/>
    </row>
    <row r="120" spans="1:11" x14ac:dyDescent="0.25">
      <c r="A120" s="121"/>
      <c r="D120" s="262">
        <f ca="1">A126*'ACCEPT RATES'!H17+B126*('ACCEPT RATES'!I17+'ACCEPT RATES'!J17)</f>
        <v>0</v>
      </c>
      <c r="E120" s="23" t="s">
        <v>269</v>
      </c>
    </row>
    <row r="121" spans="1:11" x14ac:dyDescent="0.25">
      <c r="A121" s="126" t="s">
        <v>270</v>
      </c>
      <c r="B121" s="86" t="s">
        <v>314</v>
      </c>
      <c r="C121" s="87"/>
      <c r="D121" s="119"/>
      <c r="E121" s="23" t="s">
        <v>306</v>
      </c>
    </row>
    <row r="122" spans="1:11" x14ac:dyDescent="0.25">
      <c r="A122" s="263"/>
      <c r="B122" s="29"/>
      <c r="C122" s="50"/>
      <c r="E122" s="23" t="s">
        <v>200</v>
      </c>
    </row>
    <row r="123" spans="1:11" x14ac:dyDescent="0.25">
      <c r="A123" s="179"/>
      <c r="B123" s="85"/>
      <c r="C123" s="84"/>
    </row>
    <row r="124" spans="1:11" x14ac:dyDescent="0.25">
      <c r="A124" s="121"/>
      <c r="B124" s="85"/>
      <c r="C124" s="84"/>
    </row>
    <row r="125" spans="1:11" x14ac:dyDescent="0.25">
      <c r="A125" s="121"/>
      <c r="B125" s="85"/>
      <c r="C125" s="84"/>
    </row>
    <row r="126" spans="1:11" x14ac:dyDescent="0.25">
      <c r="A126" s="264">
        <f ca="1">B126*(1-'ACCEPT RATES'!$C$17)</f>
        <v>0</v>
      </c>
      <c r="B126" s="260">
        <f ca="1">C126*(1+'ACCEPT RATES'!$F$17)</f>
        <v>0</v>
      </c>
      <c r="C126" s="261">
        <f ca="1">$D$93+$D$113</f>
        <v>0</v>
      </c>
    </row>
    <row r="127" spans="1:11" x14ac:dyDescent="0.25">
      <c r="A127" s="121"/>
      <c r="C127" s="119"/>
      <c r="D127" s="265">
        <f ca="1">C126-D120</f>
        <v>0</v>
      </c>
      <c r="E127" s="23"/>
    </row>
    <row r="128" spans="1:11" x14ac:dyDescent="0.25">
      <c r="A128" s="121"/>
      <c r="D128" s="22" t="s">
        <v>308</v>
      </c>
      <c r="E128" s="23"/>
    </row>
  </sheetData>
  <mergeCells count="2">
    <mergeCell ref="D91:E91"/>
    <mergeCell ref="G106:K113"/>
  </mergeCells>
  <phoneticPr fontId="42" type="noConversion"/>
  <pageMargins left="0.75" right="0.75" top="1" bottom="1" header="0.5" footer="0.5"/>
  <pageSetup orientation="portrait" horizontalDpi="300" verticalDpi="0" copies="0" r:id="rId1"/>
  <headerFooter alignWithMargins="0"/>
  <drawing r:id="rId2"/>
</worksheet>
</file>

<file path=xl/worksheets/sheet2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4">
    <pageSetUpPr fitToPage="1"/>
  </sheetPr>
  <dimension ref="A1:K86"/>
  <sheetViews>
    <sheetView zoomScale="75" workbookViewId="0"/>
  </sheetViews>
  <sheetFormatPr defaultRowHeight="13.2" x14ac:dyDescent="0.25"/>
  <cols>
    <col min="1" max="1" width="5.77734375" customWidth="1"/>
    <col min="2" max="2" width="25.77734375" customWidth="1"/>
    <col min="3" max="4" width="10.77734375" style="2" customWidth="1"/>
    <col min="5" max="5" width="10.77734375" style="37" customWidth="1"/>
    <col min="6" max="6" width="10.77734375" style="132" customWidth="1"/>
    <col min="7" max="7" width="10.77734375" style="41" customWidth="1"/>
    <col min="8" max="9" width="10.77734375" style="30" customWidth="1"/>
    <col min="10" max="10" width="10.77734375" style="132" customWidth="1"/>
    <col min="11" max="26" width="9.77734375" customWidth="1"/>
  </cols>
  <sheetData>
    <row r="1" spans="1:11" ht="22.8" x14ac:dyDescent="0.4">
      <c r="A1" s="125" t="s">
        <v>331</v>
      </c>
    </row>
    <row r="2" spans="1:11" ht="17.399999999999999" x14ac:dyDescent="0.3">
      <c r="A2" s="4" t="s">
        <v>181</v>
      </c>
    </row>
    <row r="3" spans="1:11" s="6" customFormat="1" ht="12.75" customHeight="1" x14ac:dyDescent="0.25">
      <c r="A3" s="1"/>
      <c r="B3" s="146"/>
      <c r="C3" s="268"/>
      <c r="D3" s="268"/>
      <c r="E3" s="269"/>
      <c r="F3" s="270"/>
      <c r="G3" s="241"/>
      <c r="H3" s="145"/>
      <c r="I3" s="145"/>
      <c r="J3" s="270"/>
      <c r="K3" s="146"/>
    </row>
    <row r="4" spans="1:11" s="6" customFormat="1" ht="12.75" customHeight="1" x14ac:dyDescent="0.25">
      <c r="A4" s="1"/>
      <c r="B4" s="146"/>
      <c r="C4" s="16" t="str">
        <f>"(1)"</f>
        <v>(1)</v>
      </c>
      <c r="D4" s="16" t="str">
        <f>"(2)"</f>
        <v>(2)</v>
      </c>
      <c r="E4" s="38" t="str">
        <f>"(3)"</f>
        <v>(3)</v>
      </c>
      <c r="F4" s="16" t="str">
        <f>"(4)"</f>
        <v>(4)</v>
      </c>
      <c r="G4" s="40" t="str">
        <f>"(5)"</f>
        <v>(5)</v>
      </c>
      <c r="H4" s="16" t="str">
        <f>"(6)"</f>
        <v>(6)</v>
      </c>
      <c r="I4" s="16" t="str">
        <f>"(7)"</f>
        <v>(7)</v>
      </c>
      <c r="J4" s="16" t="str">
        <f>"(8)"</f>
        <v>(8)</v>
      </c>
      <c r="K4" s="16" t="str">
        <f>"(9)"</f>
        <v>(9)</v>
      </c>
    </row>
    <row r="5" spans="1:11" s="6" customFormat="1" ht="12.75" customHeight="1" x14ac:dyDescent="0.25">
      <c r="A5" s="1"/>
      <c r="B5" s="146"/>
      <c r="C5" s="268"/>
      <c r="D5" s="268"/>
      <c r="E5" s="269"/>
      <c r="F5" s="270"/>
      <c r="G5" s="241"/>
      <c r="H5" s="145"/>
      <c r="I5" s="145"/>
      <c r="J5" s="270"/>
      <c r="K5" s="1"/>
    </row>
    <row r="6" spans="1:11" x14ac:dyDescent="0.25">
      <c r="D6" s="16" t="s">
        <v>182</v>
      </c>
      <c r="F6" s="133" t="s">
        <v>183</v>
      </c>
      <c r="H6" s="31" t="s">
        <v>184</v>
      </c>
      <c r="I6" s="31" t="s">
        <v>184</v>
      </c>
      <c r="J6" s="133" t="s">
        <v>8</v>
      </c>
      <c r="K6" s="133" t="s">
        <v>185</v>
      </c>
    </row>
    <row r="7" spans="1:11" x14ac:dyDescent="0.25">
      <c r="C7" s="134"/>
      <c r="D7" s="16" t="s">
        <v>186</v>
      </c>
      <c r="E7" s="38" t="s">
        <v>187</v>
      </c>
      <c r="F7" s="133" t="s">
        <v>188</v>
      </c>
      <c r="G7" s="40" t="s">
        <v>189</v>
      </c>
      <c r="H7" s="31" t="s">
        <v>190</v>
      </c>
      <c r="I7" s="31" t="s">
        <v>190</v>
      </c>
      <c r="J7" s="133" t="s">
        <v>188</v>
      </c>
      <c r="K7" s="133" t="s">
        <v>188</v>
      </c>
    </row>
    <row r="8" spans="1:11" x14ac:dyDescent="0.25">
      <c r="A8" s="35" t="s">
        <v>191</v>
      </c>
      <c r="C8" s="134" t="s">
        <v>17</v>
      </c>
      <c r="D8" s="134" t="s">
        <v>192</v>
      </c>
      <c r="E8" s="39" t="s">
        <v>193</v>
      </c>
      <c r="F8" s="135" t="s">
        <v>194</v>
      </c>
      <c r="G8" s="42" t="s">
        <v>195</v>
      </c>
      <c r="H8" s="36" t="s">
        <v>195</v>
      </c>
      <c r="I8" s="36" t="s">
        <v>196</v>
      </c>
      <c r="J8" s="135" t="s">
        <v>194</v>
      </c>
      <c r="K8" s="135" t="s">
        <v>194</v>
      </c>
    </row>
    <row r="9" spans="1:11" x14ac:dyDescent="0.25">
      <c r="A9" s="35"/>
      <c r="C9" s="134"/>
      <c r="D9" s="134"/>
      <c r="E9" s="39"/>
      <c r="F9" s="135"/>
      <c r="G9" s="42"/>
      <c r="H9" s="36"/>
      <c r="I9" s="36"/>
      <c r="J9" s="135"/>
    </row>
    <row r="10" spans="1:11" x14ac:dyDescent="0.25">
      <c r="A10" s="1" t="s">
        <v>220</v>
      </c>
      <c r="C10" s="134"/>
      <c r="D10" s="134"/>
      <c r="E10" s="39"/>
      <c r="F10" s="135"/>
      <c r="G10" s="42"/>
      <c r="H10" s="36"/>
      <c r="I10" s="36"/>
      <c r="J10" s="135"/>
    </row>
    <row r="11" spans="1:11" x14ac:dyDescent="0.25">
      <c r="A11" s="35"/>
      <c r="B11" t="s">
        <v>198</v>
      </c>
      <c r="C11" s="326">
        <f>'BUNDLE SORT'!$F$82*('COVERAGE FACTORS'!$C$7/('COVERAGE FACTORS'!$C$7+'COVERAGE FACTORS'!$C$9))</f>
        <v>0</v>
      </c>
      <c r="D11" s="326">
        <f>PRODUCTIVITIES!$E$8</f>
        <v>175.66894168226426</v>
      </c>
      <c r="E11" s="269">
        <f>'WAGE RATES'!$D$6</f>
        <v>50.10717457546064</v>
      </c>
      <c r="F11" s="41">
        <f>E11*100/D11</f>
        <v>28.523638894626252</v>
      </c>
      <c r="G11" s="241">
        <f>PIGGYBACKS!$B$5</f>
        <v>1.8052502472456198</v>
      </c>
      <c r="H11" s="241">
        <f>'WAGE RATES'!$D$10</f>
        <v>1.0285306172213804</v>
      </c>
      <c r="I11" s="41">
        <f>(H11-1)*F11</f>
        <v>0.81379702306345936</v>
      </c>
      <c r="J11" s="41">
        <f>F11*G11+I11</f>
        <v>52.30610318993228</v>
      </c>
      <c r="K11" s="41">
        <f ca="1">C11*$J11/'5D AUTO MODEL'!$G$6</f>
        <v>0</v>
      </c>
    </row>
    <row r="12" spans="1:11" x14ac:dyDescent="0.25">
      <c r="A12" s="35"/>
      <c r="B12" t="s">
        <v>199</v>
      </c>
      <c r="C12" s="326">
        <f>'BUNDLE SORT'!$F$82*('COVERAGE FACTORS'!$C$9/('COVERAGE FACTORS'!$C$7+'COVERAGE FACTORS'!$C$9))</f>
        <v>0</v>
      </c>
      <c r="D12" s="326">
        <f>PRODUCTIVITIES!$E$10</f>
        <v>194.60202715898563</v>
      </c>
      <c r="E12" s="269">
        <f>'WAGE RATES'!$D$6</f>
        <v>50.10717457546064</v>
      </c>
      <c r="F12" s="41">
        <f>E12*100/D12</f>
        <v>25.748536799426127</v>
      </c>
      <c r="G12" s="241">
        <f>PIGGYBACKS!$B$6</f>
        <v>1.6056412614911089</v>
      </c>
      <c r="H12" s="241">
        <f>'WAGE RATES'!$D$10</f>
        <v>1.0285306172213804</v>
      </c>
      <c r="I12" s="41">
        <f>(H12-1)*F12</f>
        <v>0.73462164743505387</v>
      </c>
      <c r="J12" s="41">
        <f>F12*G12+I12</f>
        <v>42.077534755615858</v>
      </c>
      <c r="K12" s="41">
        <f ca="1">C12*$J12/'5D AUTO MODEL'!$G$6</f>
        <v>0</v>
      </c>
    </row>
    <row r="13" spans="1:11" x14ac:dyDescent="0.25">
      <c r="A13" s="35"/>
      <c r="B13" t="s">
        <v>200</v>
      </c>
      <c r="C13" s="326">
        <f>'BUNDLE SORT'!$G$82</f>
        <v>222.95190455520975</v>
      </c>
      <c r="D13" s="326">
        <f>PRODUCTIVITIES!$E$12</f>
        <v>388.77898659935892</v>
      </c>
      <c r="E13" s="269">
        <f>'WAGE RATES'!$D$6</f>
        <v>50.10717457546064</v>
      </c>
      <c r="F13" s="41">
        <f>E13*100/D13</f>
        <v>12.888344355683154</v>
      </c>
      <c r="G13" s="241">
        <f>PIGGYBACKS!$B$7</f>
        <v>1.5985378657336238</v>
      </c>
      <c r="H13" s="241">
        <f>'WAGE RATES'!$D$10</f>
        <v>1.0285306172213804</v>
      </c>
      <c r="I13" s="41">
        <f>(H13-1)*F13</f>
        <v>0.36771241942933458</v>
      </c>
      <c r="J13" s="41">
        <f>F13*G13+I13</f>
        <v>20.970218898603079</v>
      </c>
      <c r="K13" s="41">
        <f ca="1">C13*$J13/'5D AUTO MODEL'!$G$6</f>
        <v>0.46753502423832149</v>
      </c>
    </row>
    <row r="14" spans="1:11" x14ac:dyDescent="0.25">
      <c r="A14" s="35"/>
      <c r="C14" s="326"/>
      <c r="D14" s="326"/>
      <c r="E14" s="269"/>
      <c r="F14" s="270"/>
      <c r="G14" s="241"/>
      <c r="H14" s="241"/>
      <c r="I14" s="145"/>
      <c r="J14" s="270"/>
      <c r="K14" s="41"/>
    </row>
    <row r="15" spans="1:11" x14ac:dyDescent="0.25">
      <c r="A15" s="1" t="s">
        <v>221</v>
      </c>
      <c r="C15" s="326"/>
      <c r="D15" s="326"/>
      <c r="E15" s="269"/>
      <c r="F15" s="270"/>
      <c r="G15" s="241"/>
      <c r="H15" s="241"/>
      <c r="I15" s="145"/>
      <c r="J15" s="270"/>
      <c r="K15" s="41"/>
    </row>
    <row r="16" spans="1:11" s="6" customFormat="1" x14ac:dyDescent="0.25">
      <c r="A16" s="146"/>
      <c r="B16" s="146" t="s">
        <v>198</v>
      </c>
      <c r="C16" s="326">
        <f>'BUNDLE SORT'!$J$82*('COVERAGE FACTORS'!$C$31/('COVERAGE FACTORS'!$C$31+'COVERAGE FACTORS'!$C$33))</f>
        <v>109.65998454249772</v>
      </c>
      <c r="D16" s="326">
        <f>PRODUCTIVITIES!$E$9</f>
        <v>204.15275198997298</v>
      </c>
      <c r="E16" s="269">
        <f>'WAGE RATES'!$D$6</f>
        <v>50.10717457546064</v>
      </c>
      <c r="F16" s="41">
        <f>E16*100/D16</f>
        <v>24.543962345372481</v>
      </c>
      <c r="G16" s="241">
        <f>PIGGYBACKS!$B$5</f>
        <v>1.8052502472456198</v>
      </c>
      <c r="H16" s="241">
        <f>'WAGE RATES'!$D$10</f>
        <v>1.0285306172213804</v>
      </c>
      <c r="I16" s="41">
        <f>(H16-1)*F16</f>
        <v>0.70025439477179607</v>
      </c>
      <c r="J16" s="41">
        <f>F16*G16+I16</f>
        <v>45.008248487142652</v>
      </c>
      <c r="K16" s="41">
        <f ca="1">C16*$J16/'5D AUTO MODEL'!$G$6</f>
        <v>0.49356038333849656</v>
      </c>
    </row>
    <row r="17" spans="1:11" x14ac:dyDescent="0.25">
      <c r="A17" s="1"/>
      <c r="B17" t="s">
        <v>199</v>
      </c>
      <c r="C17" s="326">
        <f>'BUNDLE SORT'!$J$82*('COVERAGE FACTORS'!$C$33/('COVERAGE FACTORS'!$C$31+'COVERAGE FACTORS'!$C$33))</f>
        <v>133.05340652781976</v>
      </c>
      <c r="D17" s="326">
        <f>PRODUCTIVITIES!$E$11</f>
        <v>163.71090696460584</v>
      </c>
      <c r="E17" s="269">
        <f>'WAGE RATES'!$D$6</f>
        <v>50.10717457546064</v>
      </c>
      <c r="F17" s="41">
        <f>E17*100/D17</f>
        <v>30.607108288938726</v>
      </c>
      <c r="G17" s="241">
        <f>PIGGYBACKS!$B$6</f>
        <v>1.6056412614911089</v>
      </c>
      <c r="H17" s="241">
        <f>'WAGE RATES'!$D$10</f>
        <v>1.0285306172213804</v>
      </c>
      <c r="I17" s="41">
        <f>(H17-1)*F17</f>
        <v>0.87323969084504982</v>
      </c>
      <c r="J17" s="41">
        <f>F17*G17+I17</f>
        <v>50.017275654491598</v>
      </c>
      <c r="K17" s="41">
        <f ca="1">C17*$J17/'5D AUTO MODEL'!$G$6</f>
        <v>0.66549689110710997</v>
      </c>
    </row>
    <row r="18" spans="1:11" x14ac:dyDescent="0.25">
      <c r="A18" s="1"/>
      <c r="B18" t="s">
        <v>200</v>
      </c>
      <c r="C18" s="326">
        <f>'BUNDLE SORT'!$K$82</f>
        <v>0</v>
      </c>
      <c r="D18" s="326">
        <f>PRODUCTIVITIES!$E$13</f>
        <v>388.77898659935892</v>
      </c>
      <c r="E18" s="269">
        <f>'WAGE RATES'!$D$6</f>
        <v>50.10717457546064</v>
      </c>
      <c r="F18" s="41">
        <f>E18*100/D18</f>
        <v>12.888344355683154</v>
      </c>
      <c r="G18" s="241">
        <f>PIGGYBACKS!$B$7</f>
        <v>1.5985378657336238</v>
      </c>
      <c r="H18" s="241">
        <f>'WAGE RATES'!$D$10</f>
        <v>1.0285306172213804</v>
      </c>
      <c r="I18" s="41">
        <f>(H18-1)*F18</f>
        <v>0.36771241942933458</v>
      </c>
      <c r="J18" s="41">
        <f>F18*G18+I18</f>
        <v>20.970218898603079</v>
      </c>
      <c r="K18" s="41">
        <f ca="1">C18*$J18/'5D AUTO MODEL'!$G$6</f>
        <v>0</v>
      </c>
    </row>
    <row r="19" spans="1:11" x14ac:dyDescent="0.25">
      <c r="A19" s="1"/>
      <c r="C19" s="326"/>
      <c r="D19" s="326"/>
      <c r="E19" s="269"/>
      <c r="F19" s="270"/>
      <c r="G19" s="241"/>
      <c r="H19" s="241"/>
      <c r="I19" s="145"/>
      <c r="J19" s="270"/>
      <c r="K19" s="41"/>
    </row>
    <row r="20" spans="1:11" x14ac:dyDescent="0.25">
      <c r="A20" s="1" t="s">
        <v>222</v>
      </c>
      <c r="C20" s="326"/>
      <c r="D20" s="326"/>
      <c r="E20" s="269"/>
      <c r="F20" s="270"/>
      <c r="G20" s="241"/>
      <c r="H20" s="241"/>
      <c r="I20" s="145"/>
      <c r="J20" s="270"/>
      <c r="K20" s="41"/>
    </row>
    <row r="21" spans="1:11" x14ac:dyDescent="0.25">
      <c r="A21" s="1"/>
      <c r="B21" t="s">
        <v>198</v>
      </c>
      <c r="C21" s="326">
        <f>'BUNDLE SORT'!$N$82*('COVERAGE FACTORS'!$C$31/('COVERAGE FACTORS'!$C$31+'COVERAGE FACTORS'!$C$33))</f>
        <v>86.956283915145363</v>
      </c>
      <c r="D21" s="326">
        <f>PRODUCTIVITIES!$E$9</f>
        <v>204.15275198997298</v>
      </c>
      <c r="E21" s="269">
        <f>'WAGE RATES'!$D$6</f>
        <v>50.10717457546064</v>
      </c>
      <c r="F21" s="41">
        <f>E21*100/D21</f>
        <v>24.543962345372481</v>
      </c>
      <c r="G21" s="241">
        <f>PIGGYBACKS!$B$5</f>
        <v>1.8052502472456198</v>
      </c>
      <c r="H21" s="241">
        <f>'WAGE RATES'!$D$10</f>
        <v>1.0285306172213804</v>
      </c>
      <c r="I21" s="41">
        <f>(H21-1)*F21</f>
        <v>0.70025439477179607</v>
      </c>
      <c r="J21" s="41">
        <f>F21*G21+I21</f>
        <v>45.008248487142652</v>
      </c>
      <c r="K21" s="41">
        <f ca="1">C21*$J21/'5D AUTO MODEL'!$G$6</f>
        <v>0.39137500339713927</v>
      </c>
    </row>
    <row r="22" spans="1:11" x14ac:dyDescent="0.25">
      <c r="A22" s="1"/>
      <c r="B22" t="s">
        <v>199</v>
      </c>
      <c r="C22" s="326">
        <f>'BUNDLE SORT'!$N$82*('COVERAGE FACTORS'!$C$33/('COVERAGE FACTORS'!$C$31+'COVERAGE FACTORS'!$C$33))</f>
        <v>105.50639635943564</v>
      </c>
      <c r="D22" s="326">
        <f>PRODUCTIVITIES!$E$11</f>
        <v>163.71090696460584</v>
      </c>
      <c r="E22" s="269">
        <f>'WAGE RATES'!$D$6</f>
        <v>50.10717457546064</v>
      </c>
      <c r="F22" s="41">
        <f>E22*100/D22</f>
        <v>30.607108288938726</v>
      </c>
      <c r="G22" s="241">
        <f>PIGGYBACKS!$B$6</f>
        <v>1.6056412614911089</v>
      </c>
      <c r="H22" s="241">
        <f>'WAGE RATES'!$D$10</f>
        <v>1.0285306172213804</v>
      </c>
      <c r="I22" s="41">
        <f>(H22-1)*F22</f>
        <v>0.87323969084504982</v>
      </c>
      <c r="J22" s="41">
        <f>F22*G22+I22</f>
        <v>50.017275654491598</v>
      </c>
      <c r="K22" s="41">
        <f ca="1">C22*$J22/'5D AUTO MODEL'!$G$6</f>
        <v>0.52771425100219471</v>
      </c>
    </row>
    <row r="23" spans="1:11" x14ac:dyDescent="0.25">
      <c r="A23" s="1"/>
      <c r="B23" t="s">
        <v>200</v>
      </c>
      <c r="C23" s="326">
        <f>'BUNDLE SORT'!$O$82</f>
        <v>6.1134073875694535</v>
      </c>
      <c r="D23" s="326">
        <f>PRODUCTIVITIES!$E$14</f>
        <v>388.77898659935892</v>
      </c>
      <c r="E23" s="269">
        <f>'WAGE RATES'!$D$6</f>
        <v>50.10717457546064</v>
      </c>
      <c r="F23" s="41">
        <f>E23*100/D23</f>
        <v>12.888344355683154</v>
      </c>
      <c r="G23" s="241">
        <f>PIGGYBACKS!$B$7</f>
        <v>1.5985378657336238</v>
      </c>
      <c r="H23" s="241">
        <f>'WAGE RATES'!$D$10</f>
        <v>1.0285306172213804</v>
      </c>
      <c r="I23" s="41">
        <f>(H23-1)*F23</f>
        <v>0.36771241942933458</v>
      </c>
      <c r="J23" s="41">
        <f>F23*G23+I23</f>
        <v>20.970218898603079</v>
      </c>
      <c r="K23" s="41">
        <f ca="1">C23*$J23/'5D AUTO MODEL'!$G$6</f>
        <v>1.2819949113366877E-2</v>
      </c>
    </row>
    <row r="24" spans="1:11" x14ac:dyDescent="0.25">
      <c r="A24" s="1"/>
      <c r="C24" s="326"/>
      <c r="D24" s="326"/>
      <c r="E24" s="269"/>
      <c r="F24" s="270"/>
      <c r="G24" s="241"/>
      <c r="H24" s="241"/>
      <c r="I24" s="145"/>
      <c r="J24" s="270"/>
      <c r="K24" s="41"/>
    </row>
    <row r="25" spans="1:11" x14ac:dyDescent="0.25">
      <c r="A25" s="1" t="s">
        <v>223</v>
      </c>
      <c r="C25" s="326"/>
      <c r="D25" s="326"/>
      <c r="E25" s="269"/>
      <c r="F25" s="270"/>
      <c r="G25" s="241"/>
      <c r="H25" s="241"/>
      <c r="I25" s="145"/>
      <c r="J25" s="270"/>
      <c r="K25" s="41"/>
    </row>
    <row r="26" spans="1:11" x14ac:dyDescent="0.25">
      <c r="A26" s="1"/>
      <c r="B26" t="s">
        <v>198</v>
      </c>
      <c r="C26" s="326">
        <f>'BUNDLE SORT'!$R$82*('COVERAGE FACTORS'!$C$31/('COVERAGE FACTORS'!$C$31+'COVERAGE FACTORS'!$C$33))</f>
        <v>0</v>
      </c>
      <c r="D26" s="326">
        <f>PRODUCTIVITIES!$E$9</f>
        <v>204.15275198997298</v>
      </c>
      <c r="E26" s="269">
        <f>'WAGE RATES'!$D$6</f>
        <v>50.10717457546064</v>
      </c>
      <c r="F26" s="41">
        <f>E26*100/D26</f>
        <v>24.543962345372481</v>
      </c>
      <c r="G26" s="241">
        <f>PIGGYBACKS!$B$5</f>
        <v>1.8052502472456198</v>
      </c>
      <c r="H26" s="241">
        <f>'WAGE RATES'!$D$10</f>
        <v>1.0285306172213804</v>
      </c>
      <c r="I26" s="41">
        <f>(H26-1)*F26</f>
        <v>0.70025439477179607</v>
      </c>
      <c r="J26" s="41">
        <f>F26*G26+I26</f>
        <v>45.008248487142652</v>
      </c>
      <c r="K26" s="41">
        <f ca="1">C26*$J26/'5D AUTO MODEL'!$G$6</f>
        <v>0</v>
      </c>
    </row>
    <row r="27" spans="1:11" x14ac:dyDescent="0.25">
      <c r="A27" s="1"/>
      <c r="B27" t="s">
        <v>199</v>
      </c>
      <c r="C27" s="326">
        <f>'BUNDLE SORT'!$R$82*('COVERAGE FACTORS'!$C$33/('COVERAGE FACTORS'!$C$31+'COVERAGE FACTORS'!$C$33))</f>
        <v>0</v>
      </c>
      <c r="D27" s="326">
        <f>PRODUCTIVITIES!$E$11</f>
        <v>163.71090696460584</v>
      </c>
      <c r="E27" s="269">
        <f>'WAGE RATES'!$D$6</f>
        <v>50.10717457546064</v>
      </c>
      <c r="F27" s="41">
        <f>E27*100/D27</f>
        <v>30.607108288938726</v>
      </c>
      <c r="G27" s="241">
        <f>PIGGYBACKS!$B$6</f>
        <v>1.6056412614911089</v>
      </c>
      <c r="H27" s="241">
        <f>'WAGE RATES'!$D$10</f>
        <v>1.0285306172213804</v>
      </c>
      <c r="I27" s="41">
        <f>(H27-1)*F27</f>
        <v>0.87323969084504982</v>
      </c>
      <c r="J27" s="41">
        <f>F27*G27+I27</f>
        <v>50.017275654491598</v>
      </c>
      <c r="K27" s="41">
        <f ca="1">C27*$J27/'5D AUTO MODEL'!$G$6</f>
        <v>0</v>
      </c>
    </row>
    <row r="28" spans="1:11" x14ac:dyDescent="0.25">
      <c r="A28" s="1"/>
      <c r="B28" t="s">
        <v>200</v>
      </c>
      <c r="C28" s="326">
        <f>'BUNDLE SORT'!$S$82</f>
        <v>0</v>
      </c>
      <c r="D28" s="326">
        <f>PRODUCTIVITIES!E15</f>
        <v>279.13830142253454</v>
      </c>
      <c r="E28" s="269">
        <f>'WAGE RATES'!$D$6</f>
        <v>50.10717457546064</v>
      </c>
      <c r="F28" s="41">
        <f>E28*100/D28</f>
        <v>17.950662564078904</v>
      </c>
      <c r="G28" s="241">
        <f>PIGGYBACKS!$B$7</f>
        <v>1.5985378657336238</v>
      </c>
      <c r="H28" s="241">
        <f>'WAGE RATES'!$D$10</f>
        <v>1.0285306172213804</v>
      </c>
      <c r="I28" s="41">
        <f>(H28-1)*F28</f>
        <v>0.51214348248589792</v>
      </c>
      <c r="J28" s="41">
        <f>F28*G28+I28</f>
        <v>29.206957306173045</v>
      </c>
      <c r="K28" s="41">
        <f ca="1">C28*$J28/'5D AUTO MODEL'!$G$6</f>
        <v>0</v>
      </c>
    </row>
    <row r="29" spans="1:11" x14ac:dyDescent="0.25">
      <c r="A29" s="1"/>
      <c r="C29" s="363"/>
      <c r="D29" s="363"/>
      <c r="E29" s="269"/>
      <c r="F29" s="270"/>
      <c r="G29" s="241"/>
      <c r="H29" s="145"/>
      <c r="I29" s="145"/>
      <c r="J29" s="270"/>
      <c r="K29" s="41"/>
    </row>
    <row r="30" spans="1:11" x14ac:dyDescent="0.25">
      <c r="A30" s="1" t="s">
        <v>224</v>
      </c>
      <c r="F30" s="41"/>
      <c r="G30" s="241"/>
      <c r="H30" s="41"/>
      <c r="I30" s="41"/>
      <c r="J30" s="41"/>
      <c r="K30" s="41"/>
    </row>
    <row r="31" spans="1:11" x14ac:dyDescent="0.25">
      <c r="A31" s="35"/>
      <c r="B31" t="s">
        <v>225</v>
      </c>
      <c r="C31" s="2">
        <f>SUM('5D AUTO MODEL'!$B$25:$B$29)</f>
        <v>15.827246793789092</v>
      </c>
      <c r="D31" s="2">
        <f>PRODUCTIVITIES!$E$23*'COVERAGE FACTORS'!$C$25+PRODUCTIVITIES!$E$17*(1-'COVERAGE FACTORS'!$C$25)</f>
        <v>1572.5270916832678</v>
      </c>
      <c r="E31" s="37">
        <f>'WAGE RATES'!$D$6</f>
        <v>50.10717457546064</v>
      </c>
      <c r="F31" s="41">
        <f>E31*100/D31</f>
        <v>3.1864108949515657</v>
      </c>
      <c r="G31" s="41">
        <f>PIGGYBACKS!$B$8</f>
        <v>1.6305774272183733</v>
      </c>
      <c r="H31" s="41">
        <f>'WAGE RATES'!$D$10</f>
        <v>1.0285306172213804</v>
      </c>
      <c r="I31" s="41">
        <f>(H31-1)*F31</f>
        <v>9.0910269553899262E-2</v>
      </c>
      <c r="J31" s="41">
        <f>F31*G31+I31</f>
        <v>5.2865999487046178</v>
      </c>
      <c r="K31" s="41">
        <f ca="1">C31*$J31/'5D AUTO MODEL'!$G$6</f>
        <v>8.3672322088180831E-3</v>
      </c>
    </row>
    <row r="32" spans="1:11" x14ac:dyDescent="0.25">
      <c r="A32" s="35"/>
      <c r="B32" t="s">
        <v>226</v>
      </c>
      <c r="C32" s="2">
        <f>SUM('5D AUTO MODEL'!$A$25:$A$29)</f>
        <v>0.97020481529935843</v>
      </c>
      <c r="D32" s="2">
        <f>PRODUCTIVITIES!$E$16</f>
        <v>888.0117100682927</v>
      </c>
      <c r="E32" s="37">
        <f>'WAGE RATES'!$D$5</f>
        <v>54.142360316355024</v>
      </c>
      <c r="F32" s="41">
        <f>E32*100/D32</f>
        <v>6.0970322465895403</v>
      </c>
      <c r="G32" s="41">
        <f>PIGGYBACKS!$B$9</f>
        <v>1.2615773174013249</v>
      </c>
      <c r="H32" s="41">
        <f>'WAGE RATES'!$D$10</f>
        <v>1.0285306172213804</v>
      </c>
      <c r="I32" s="41">
        <f>(H32-1)*F32</f>
        <v>0.17395209321385913</v>
      </c>
      <c r="J32" s="41">
        <f>F32*G32+I32</f>
        <v>7.8658296789756648</v>
      </c>
      <c r="K32" s="41">
        <f ca="1">C32*$J32/'5D AUTO MODEL'!$G$6</f>
        <v>7.6314658308668042E-4</v>
      </c>
    </row>
    <row r="33" spans="1:11" x14ac:dyDescent="0.25">
      <c r="A33" s="35"/>
      <c r="B33" t="s">
        <v>227</v>
      </c>
      <c r="C33" s="2">
        <f>SUM('5D AUTO MODEL'!$H$25:$H$29)</f>
        <v>0</v>
      </c>
      <c r="D33" s="2">
        <f>PRODUCTIVITIES!$E$30</f>
        <v>1.0273268954181221</v>
      </c>
      <c r="E33" s="37">
        <f>'WAGE RATES'!$D$6</f>
        <v>50.10717457546064</v>
      </c>
      <c r="F33" s="41">
        <f>E33*100/D33</f>
        <v>4877.4323731753384</v>
      </c>
      <c r="G33" s="41">
        <f>PIGGYBACKS!$B$10</f>
        <v>1.6305774272183733</v>
      </c>
      <c r="H33" s="41">
        <f>'WAGE RATES'!$D$10</f>
        <v>1.0285306172213804</v>
      </c>
      <c r="I33" s="41">
        <f>(H33-1)*F33</f>
        <v>139.15615606223454</v>
      </c>
      <c r="J33" s="41">
        <f>F33*G33+I33</f>
        <v>8092.1872865460828</v>
      </c>
      <c r="K33" s="41">
        <f ca="1">C33*$J33/'5D AUTO MODEL'!$G$6</f>
        <v>0</v>
      </c>
    </row>
    <row r="34" spans="1:11" x14ac:dyDescent="0.25">
      <c r="B34" t="s">
        <v>228</v>
      </c>
      <c r="C34" s="2">
        <f>SUM('5D AUTO MODEL'!$G$25:$G$29)</f>
        <v>0</v>
      </c>
      <c r="D34" s="2">
        <f>PRODUCTIVITIES!$E$36</f>
        <v>1.0273268954181221</v>
      </c>
      <c r="E34" s="37">
        <f>'WAGE RATES'!$D$6</f>
        <v>50.10717457546064</v>
      </c>
      <c r="F34" s="41">
        <f>E34*100/D34</f>
        <v>4877.4323731753384</v>
      </c>
      <c r="G34" s="41">
        <f>PIGGYBACKS!$B$10</f>
        <v>1.6305774272183733</v>
      </c>
      <c r="H34" s="41">
        <f>'WAGE RATES'!$D$10</f>
        <v>1.0285306172213804</v>
      </c>
      <c r="I34" s="41">
        <f>(H34-1)*F34</f>
        <v>139.15615606223454</v>
      </c>
      <c r="J34" s="41">
        <f>F34*G34+I34</f>
        <v>8092.1872865460828</v>
      </c>
      <c r="K34" s="41">
        <f ca="1">C34*$J34/'5D AUTO MODEL'!$G$6</f>
        <v>0</v>
      </c>
    </row>
    <row r="35" spans="1:11" x14ac:dyDescent="0.25">
      <c r="B35" t="s">
        <v>200</v>
      </c>
      <c r="C35" s="2">
        <f>SUM('5D AUTO MODEL'!$M$25:$M$29)</f>
        <v>0.73124775423406674</v>
      </c>
      <c r="D35" s="2">
        <f>PRODUCTIVITIES!$E$42</f>
        <v>620.26371981497391</v>
      </c>
      <c r="E35" s="37">
        <f>'WAGE RATES'!$D$6</f>
        <v>50.10717457546064</v>
      </c>
      <c r="F35" s="41">
        <f>E35*100/D35</f>
        <v>8.0783661811475493</v>
      </c>
      <c r="G35" s="41">
        <f>PIGGYBACKS!$B$12</f>
        <v>1.3622907328394676</v>
      </c>
      <c r="H35" s="41">
        <f>'WAGE RATES'!$D$10</f>
        <v>1.0285306172213804</v>
      </c>
      <c r="I35" s="41">
        <f>(H35-1)*F35</f>
        <v>0.23048077328846525</v>
      </c>
      <c r="J35" s="41">
        <f>F35*G35+I35</f>
        <v>11.235564158349531</v>
      </c>
      <c r="K35" s="41">
        <f ca="1">C35*$J35/'5D AUTO MODEL'!$G$6</f>
        <v>8.215981058345875E-4</v>
      </c>
    </row>
    <row r="36" spans="1:11" x14ac:dyDescent="0.25">
      <c r="F36" s="41"/>
      <c r="H36" s="41"/>
      <c r="I36" s="41"/>
      <c r="J36" s="41"/>
      <c r="K36" s="41"/>
    </row>
    <row r="37" spans="1:11" x14ac:dyDescent="0.25">
      <c r="A37" s="1" t="s">
        <v>229</v>
      </c>
      <c r="F37" s="41"/>
      <c r="H37" s="41"/>
      <c r="I37" s="41"/>
      <c r="J37" s="41"/>
      <c r="K37" s="41"/>
    </row>
    <row r="38" spans="1:11" x14ac:dyDescent="0.25">
      <c r="A38" s="35"/>
      <c r="B38" t="s">
        <v>225</v>
      </c>
      <c r="C38" s="2">
        <f>SUM('5D AUTO MODEL'!$B$38:$B$42)</f>
        <v>1.9536198063212378</v>
      </c>
      <c r="D38" s="2">
        <f>PRODUCTIVITIES!$E$24*'COVERAGE FACTORS'!$C$25+PRODUCTIVITIES!$E$18*(1-'COVERAGE FACTORS'!$C$25)</f>
        <v>2267.7698382210328</v>
      </c>
      <c r="E38" s="37">
        <f>'WAGE RATES'!$D$6</f>
        <v>50.10717457546064</v>
      </c>
      <c r="F38" s="41">
        <f>E38*100/D38</f>
        <v>2.2095352769471326</v>
      </c>
      <c r="G38" s="41">
        <f>PIGGYBACKS!$B$8</f>
        <v>1.6305774272183733</v>
      </c>
      <c r="H38" s="41">
        <f>'WAGE RATES'!$D$10</f>
        <v>1.0285306172213804</v>
      </c>
      <c r="I38" s="41">
        <f>(H38-1)*F38</f>
        <v>6.3039405223715358E-2</v>
      </c>
      <c r="J38" s="41">
        <f>F38*G38+I38</f>
        <v>3.6658577524564069</v>
      </c>
      <c r="K38" s="41">
        <f ca="1">C38*$J38/'5D AUTO MODEL'!$G$6</f>
        <v>7.1616923123551013E-4</v>
      </c>
    </row>
    <row r="39" spans="1:11" x14ac:dyDescent="0.25">
      <c r="A39" s="35"/>
      <c r="B39" t="s">
        <v>226</v>
      </c>
      <c r="C39" s="2">
        <f>SUM('5D AUTO MODEL'!$A$38:$A$42)</f>
        <v>0.11975622595970765</v>
      </c>
      <c r="D39" s="2">
        <f>PRODUCTIVITIES!$E$16</f>
        <v>888.0117100682927</v>
      </c>
      <c r="E39" s="37">
        <f>'WAGE RATES'!$D$5</f>
        <v>54.142360316355024</v>
      </c>
      <c r="F39" s="41">
        <f>E39*100/D39</f>
        <v>6.0970322465895403</v>
      </c>
      <c r="G39" s="41">
        <f>PIGGYBACKS!$B$9</f>
        <v>1.2615773174013249</v>
      </c>
      <c r="H39" s="41">
        <f>'WAGE RATES'!$D$10</f>
        <v>1.0285306172213804</v>
      </c>
      <c r="I39" s="41">
        <f>(H39-1)*F39</f>
        <v>0.17395209321385913</v>
      </c>
      <c r="J39" s="41">
        <f>F39*G39+I39</f>
        <v>7.8658296789756648</v>
      </c>
      <c r="K39" s="41">
        <f ca="1">C39*$J39/'5D AUTO MODEL'!$G$6</f>
        <v>9.4198207639598544E-5</v>
      </c>
    </row>
    <row r="40" spans="1:11" x14ac:dyDescent="0.25">
      <c r="B40" t="s">
        <v>227</v>
      </c>
      <c r="C40" s="2">
        <f>SUM('5D AUTO MODEL'!$H$38:$H$42)</f>
        <v>0</v>
      </c>
      <c r="D40" s="2">
        <f>PRODUCTIVITIES!$E$31</f>
        <v>1.0273268954181221</v>
      </c>
      <c r="E40" s="37">
        <f>'WAGE RATES'!$D$6</f>
        <v>50.10717457546064</v>
      </c>
      <c r="F40" s="41">
        <f>E40*100/D40</f>
        <v>4877.4323731753384</v>
      </c>
      <c r="G40" s="41">
        <f>PIGGYBACKS!$B$10</f>
        <v>1.6305774272183733</v>
      </c>
      <c r="H40" s="41">
        <f>'WAGE RATES'!$D$10</f>
        <v>1.0285306172213804</v>
      </c>
      <c r="I40" s="41">
        <f>(H40-1)*F40</f>
        <v>139.15615606223454</v>
      </c>
      <c r="J40" s="41">
        <f>F40*G40+I40</f>
        <v>8092.1872865460828</v>
      </c>
      <c r="K40" s="41">
        <f ca="1">C40*$J40/'5D AUTO MODEL'!$G$6</f>
        <v>0</v>
      </c>
    </row>
    <row r="41" spans="1:11" x14ac:dyDescent="0.25">
      <c r="B41" t="s">
        <v>228</v>
      </c>
      <c r="C41" s="2">
        <f>SUM('5D AUTO MODEL'!$G$38:$G$42)</f>
        <v>0</v>
      </c>
      <c r="D41" s="2">
        <f>PRODUCTIVITIES!$E$37</f>
        <v>1.0273268954181221</v>
      </c>
      <c r="E41" s="37">
        <f>'WAGE RATES'!$D$6</f>
        <v>50.10717457546064</v>
      </c>
      <c r="F41" s="41">
        <f>E41*100/D41</f>
        <v>4877.4323731753384</v>
      </c>
      <c r="G41" s="41">
        <f>PIGGYBACKS!$B$10</f>
        <v>1.6305774272183733</v>
      </c>
      <c r="H41" s="41">
        <f>'WAGE RATES'!$D$10</f>
        <v>1.0285306172213804</v>
      </c>
      <c r="I41" s="41">
        <f>(H41-1)*F41</f>
        <v>139.15615606223454</v>
      </c>
      <c r="J41" s="41">
        <f>F41*G41+I41</f>
        <v>8092.1872865460828</v>
      </c>
      <c r="K41" s="41">
        <f ca="1">C41*$J41/'5D AUTO MODEL'!$G$6</f>
        <v>0</v>
      </c>
    </row>
    <row r="42" spans="1:11" x14ac:dyDescent="0.25">
      <c r="B42" t="s">
        <v>200</v>
      </c>
      <c r="C42" s="2">
        <f>SUM('5D AUTO MODEL'!$M$38:$M$42)</f>
        <v>0.24245653700149672</v>
      </c>
      <c r="D42" s="2">
        <f>PRODUCTIVITIES!$E$43</f>
        <v>490.6212884367572</v>
      </c>
      <c r="E42" s="37">
        <f>'WAGE RATES'!$D$6</f>
        <v>50.10717457546064</v>
      </c>
      <c r="F42" s="41">
        <f>E42*100/D42</f>
        <v>10.213004563074444</v>
      </c>
      <c r="G42" s="41">
        <f>PIGGYBACKS!$B$12</f>
        <v>1.3622907328394676</v>
      </c>
      <c r="H42" s="41">
        <f>'WAGE RATES'!$D$10</f>
        <v>1.0285306172213804</v>
      </c>
      <c r="I42" s="41">
        <f>(H42-1)*F42</f>
        <v>0.29138332386928828</v>
      </c>
      <c r="J42" s="41">
        <f>F42*G42+I42</f>
        <v>14.204464794592798</v>
      </c>
      <c r="K42" s="41">
        <f ca="1">C42*$J42/'5D AUTO MODEL'!$G$6</f>
        <v>3.4439653440566503E-4</v>
      </c>
    </row>
    <row r="43" spans="1:11" x14ac:dyDescent="0.25">
      <c r="F43" s="41"/>
      <c r="H43" s="41"/>
      <c r="I43" s="41"/>
      <c r="J43" s="41"/>
      <c r="K43" s="41"/>
    </row>
    <row r="44" spans="1:11" x14ac:dyDescent="0.25">
      <c r="A44" s="1" t="s">
        <v>230</v>
      </c>
      <c r="F44" s="41"/>
      <c r="H44" s="41"/>
      <c r="I44" s="41"/>
      <c r="J44" s="41"/>
      <c r="K44" s="41"/>
    </row>
    <row r="45" spans="1:11" x14ac:dyDescent="0.25">
      <c r="A45" s="35"/>
      <c r="B45" t="s">
        <v>225</v>
      </c>
      <c r="C45" s="2">
        <f>SUM('5D AUTO MODEL'!$B$53:$B$57)</f>
        <v>100.2731518597742</v>
      </c>
      <c r="D45" s="2">
        <f>PRODUCTIVITIES!$E$25*'COVERAGE FACTORS'!$C$25+PRODUCTIVITIES!$E$19*(1-'COVERAGE FACTORS'!$C$25)</f>
        <v>1572.97537151239</v>
      </c>
      <c r="E45" s="37">
        <f>'WAGE RATES'!$D$6</f>
        <v>50.10717457546064</v>
      </c>
      <c r="F45" s="41">
        <f>E45*100/D45</f>
        <v>3.1855028046169225</v>
      </c>
      <c r="G45" s="41">
        <f>PIGGYBACKS!$B$8</f>
        <v>1.6305774272183733</v>
      </c>
      <c r="H45" s="41">
        <f>'WAGE RATES'!$D$10</f>
        <v>1.0285306172213804</v>
      </c>
      <c r="I45" s="41">
        <f>(H45-1)*F45</f>
        <v>9.0884361176159112E-2</v>
      </c>
      <c r="J45" s="41">
        <f>F45*G45+I45</f>
        <v>5.285093328725333</v>
      </c>
      <c r="K45" s="41">
        <f ca="1">C45*$J45/'5D AUTO MODEL'!$G$6</f>
        <v>5.2995296594435547E-2</v>
      </c>
    </row>
    <row r="46" spans="1:11" x14ac:dyDescent="0.25">
      <c r="A46" s="35"/>
      <c r="B46" t="s">
        <v>226</v>
      </c>
      <c r="C46" s="2">
        <f>SUM('5D AUTO MODEL'!$A$53:$A$57)</f>
        <v>6.1467099140561459</v>
      </c>
      <c r="D46" s="2">
        <f>PRODUCTIVITIES!$E$16</f>
        <v>888.0117100682927</v>
      </c>
      <c r="E46" s="37">
        <f>'WAGE RATES'!$D$5</f>
        <v>54.142360316355024</v>
      </c>
      <c r="F46" s="41">
        <f>E46*100/D46</f>
        <v>6.0970322465895403</v>
      </c>
      <c r="G46" s="41">
        <f>PIGGYBACKS!$B$9</f>
        <v>1.2615773174013249</v>
      </c>
      <c r="H46" s="41">
        <f>'WAGE RATES'!$D$10</f>
        <v>1.0285306172213804</v>
      </c>
      <c r="I46" s="41">
        <f>(H46-1)*F46</f>
        <v>0.17395209321385913</v>
      </c>
      <c r="J46" s="41">
        <f>F46*G46+I46</f>
        <v>7.8658296789756648</v>
      </c>
      <c r="K46" s="41">
        <f ca="1">C46*$J46/'5D AUTO MODEL'!$G$6</f>
        <v>4.834897327003684E-3</v>
      </c>
    </row>
    <row r="47" spans="1:11" x14ac:dyDescent="0.25">
      <c r="B47" t="s">
        <v>227</v>
      </c>
      <c r="C47" s="2">
        <f>SUM('5D AUTO MODEL'!$H$53:$H$57)</f>
        <v>0</v>
      </c>
      <c r="D47" s="2">
        <f>PRODUCTIVITIES!$E$32</f>
        <v>1.0273268954181221</v>
      </c>
      <c r="E47" s="37">
        <f>'WAGE RATES'!$D$6</f>
        <v>50.10717457546064</v>
      </c>
      <c r="F47" s="41">
        <f>E47*100/D47</f>
        <v>4877.4323731753384</v>
      </c>
      <c r="G47" s="41">
        <f>PIGGYBACKS!$B$10</f>
        <v>1.6305774272183733</v>
      </c>
      <c r="H47" s="41">
        <f>'WAGE RATES'!$D$10</f>
        <v>1.0285306172213804</v>
      </c>
      <c r="I47" s="41">
        <f>(H47-1)*F47</f>
        <v>139.15615606223454</v>
      </c>
      <c r="J47" s="41">
        <f>F47*G47+I47</f>
        <v>8092.1872865460828</v>
      </c>
      <c r="K47" s="41">
        <f ca="1">C47*$J47/'5D AUTO MODEL'!$G$6</f>
        <v>0</v>
      </c>
    </row>
    <row r="48" spans="1:11" x14ac:dyDescent="0.25">
      <c r="B48" t="s">
        <v>228</v>
      </c>
      <c r="C48" s="2">
        <f>SUM('5D AUTO MODEL'!$G$53:$G$57)</f>
        <v>0</v>
      </c>
      <c r="D48" s="2">
        <f>PRODUCTIVITIES!$E$38</f>
        <v>1.0273268954181221</v>
      </c>
      <c r="E48" s="37">
        <f>'WAGE RATES'!$D$6</f>
        <v>50.10717457546064</v>
      </c>
      <c r="F48" s="41">
        <f>E48*100/D48</f>
        <v>4877.4323731753384</v>
      </c>
      <c r="G48" s="41">
        <f>PIGGYBACKS!$B$10</f>
        <v>1.6305774272183733</v>
      </c>
      <c r="H48" s="41">
        <f>'WAGE RATES'!$D$10</f>
        <v>1.0285306172213804</v>
      </c>
      <c r="I48" s="41">
        <f>(H48-1)*F48</f>
        <v>139.15615606223454</v>
      </c>
      <c r="J48" s="41">
        <f>F48*G48+I48</f>
        <v>8092.1872865460828</v>
      </c>
      <c r="K48" s="41">
        <f ca="1">C48*$J48/'5D AUTO MODEL'!$G$6</f>
        <v>0</v>
      </c>
    </row>
    <row r="49" spans="1:11" x14ac:dyDescent="0.25">
      <c r="B49" t="s">
        <v>200</v>
      </c>
      <c r="C49" s="2">
        <f>SUM('5D AUTO MODEL'!$M$53:$M$57)</f>
        <v>8.3955975928503985</v>
      </c>
      <c r="D49" s="2">
        <f>PRODUCTIVITIES!$E$44</f>
        <v>692.96374405746178</v>
      </c>
      <c r="E49" s="37">
        <f>'WAGE RATES'!$D$6</f>
        <v>50.10717457546064</v>
      </c>
      <c r="F49" s="41">
        <f>E49*100/D49</f>
        <v>7.2308508208628108</v>
      </c>
      <c r="G49" s="41">
        <f>PIGGYBACKS!$B$12</f>
        <v>1.3622907328394676</v>
      </c>
      <c r="H49" s="41">
        <f>'WAGE RATES'!$D$10</f>
        <v>1.0285306172213804</v>
      </c>
      <c r="I49" s="41">
        <f>(H49-1)*F49</f>
        <v>0.20630063695494108</v>
      </c>
      <c r="J49" s="41">
        <f>F49*G49+I49</f>
        <v>10.056821700761006</v>
      </c>
      <c r="K49" s="41">
        <f ca="1">C49*$J49/'5D AUTO MODEL'!$G$6</f>
        <v>8.4433028062634845E-3</v>
      </c>
    </row>
    <row r="50" spans="1:11" x14ac:dyDescent="0.25">
      <c r="F50" s="41"/>
      <c r="H50" s="41"/>
      <c r="I50" s="41"/>
      <c r="J50" s="41"/>
      <c r="K50" s="41"/>
    </row>
    <row r="51" spans="1:11" x14ac:dyDescent="0.25">
      <c r="A51" s="1" t="s">
        <v>231</v>
      </c>
      <c r="F51" s="41"/>
      <c r="H51" s="41"/>
      <c r="I51" s="41"/>
      <c r="J51" s="41"/>
      <c r="K51" s="41"/>
    </row>
    <row r="52" spans="1:11" x14ac:dyDescent="0.25">
      <c r="A52" s="35"/>
      <c r="B52" t="s">
        <v>225</v>
      </c>
      <c r="C52" s="2">
        <f>SUM('5D AUTO MODEL'!$B$64:$B$68)</f>
        <v>48.222157488670106</v>
      </c>
      <c r="D52" s="2">
        <f>PRODUCTIVITIES!$E$26*'COVERAGE FACTORS'!$C$25+PRODUCTIVITIES!$E$20*(1-'COVERAGE FACTORS'!$C$25)</f>
        <v>2073.5491608992547</v>
      </c>
      <c r="E52" s="37">
        <f>'WAGE RATES'!$D$6</f>
        <v>50.10717457546064</v>
      </c>
      <c r="F52" s="41">
        <f>E52*100/D52</f>
        <v>2.4164932049997896</v>
      </c>
      <c r="G52" s="41">
        <f>PIGGYBACKS!$B$8</f>
        <v>1.6305774272183733</v>
      </c>
      <c r="H52" s="41">
        <f>'WAGE RATES'!$D$10</f>
        <v>1.0285306172213804</v>
      </c>
      <c r="I52" s="41">
        <f>(H52-1)*F52</f>
        <v>6.8944042649915702E-2</v>
      </c>
      <c r="J52" s="41">
        <f>F52*G52+I52</f>
        <v>4.0092233157491535</v>
      </c>
      <c r="K52" s="41">
        <f ca="1">C52*$J52/'5D AUTO MODEL'!$G$6</f>
        <v>1.9333339813930404E-2</v>
      </c>
    </row>
    <row r="53" spans="1:11" x14ac:dyDescent="0.25">
      <c r="A53" s="35"/>
      <c r="B53" t="s">
        <v>226</v>
      </c>
      <c r="C53" s="2">
        <f>SUM('5D AUTO MODEL'!$A$64:$A$68)</f>
        <v>2.9560017613417897</v>
      </c>
      <c r="D53" s="2">
        <f>PRODUCTIVITIES!$E$16</f>
        <v>888.0117100682927</v>
      </c>
      <c r="E53" s="37">
        <f>'WAGE RATES'!$D$5</f>
        <v>54.142360316355024</v>
      </c>
      <c r="F53" s="41">
        <f>E53*100/D53</f>
        <v>6.0970322465895403</v>
      </c>
      <c r="G53" s="41">
        <f>PIGGYBACKS!$B$9</f>
        <v>1.2615773174013249</v>
      </c>
      <c r="H53" s="41">
        <f>'WAGE RATES'!$D$10</f>
        <v>1.0285306172213804</v>
      </c>
      <c r="I53" s="41">
        <f>(H53-1)*F53</f>
        <v>0.17395209321385913</v>
      </c>
      <c r="J53" s="41">
        <f>F53*G53+I53</f>
        <v>7.8658296789756648</v>
      </c>
      <c r="K53" s="41">
        <f ca="1">C53*$J53/'5D AUTO MODEL'!$G$6</f>
        <v>2.3251406385466611E-3</v>
      </c>
    </row>
    <row r="54" spans="1:11" x14ac:dyDescent="0.25">
      <c r="B54" t="s">
        <v>227</v>
      </c>
      <c r="C54" s="2">
        <f>SUM('5D AUTO MODEL'!$H$64:$H$68)</f>
        <v>0</v>
      </c>
      <c r="D54" s="2">
        <f>PRODUCTIVITIES!$E$33</f>
        <v>1.0273268954181221</v>
      </c>
      <c r="E54" s="37">
        <f>'WAGE RATES'!$D$6</f>
        <v>50.10717457546064</v>
      </c>
      <c r="F54" s="41">
        <f>E54*100/D54</f>
        <v>4877.4323731753384</v>
      </c>
      <c r="G54" s="41">
        <f>PIGGYBACKS!$B$10</f>
        <v>1.6305774272183733</v>
      </c>
      <c r="H54" s="41">
        <f>'WAGE RATES'!$D$10</f>
        <v>1.0285306172213804</v>
      </c>
      <c r="I54" s="41">
        <f>(H54-1)*F54</f>
        <v>139.15615606223454</v>
      </c>
      <c r="J54" s="41">
        <f>F54*G54+I54</f>
        <v>8092.1872865460828</v>
      </c>
      <c r="K54" s="41">
        <f ca="1">C54*$J54/'5D AUTO MODEL'!$G$6</f>
        <v>0</v>
      </c>
    </row>
    <row r="55" spans="1:11" x14ac:dyDescent="0.25">
      <c r="B55" t="s">
        <v>228</v>
      </c>
      <c r="C55" s="2">
        <f>SUM('5D AUTO MODEL'!$G$64:$G$68)</f>
        <v>0</v>
      </c>
      <c r="D55" s="2">
        <f>PRODUCTIVITIES!$E$39</f>
        <v>1.0273268954181221</v>
      </c>
      <c r="E55" s="37">
        <f>'WAGE RATES'!$D$6</f>
        <v>50.10717457546064</v>
      </c>
      <c r="F55" s="41">
        <f>E55*100/D55</f>
        <v>4877.4323731753384</v>
      </c>
      <c r="G55" s="41">
        <f>PIGGYBACKS!$B$10</f>
        <v>1.6305774272183733</v>
      </c>
      <c r="H55" s="41">
        <f>'WAGE RATES'!$D$10</f>
        <v>1.0285306172213804</v>
      </c>
      <c r="I55" s="41">
        <f>(H55-1)*F55</f>
        <v>139.15615606223454</v>
      </c>
      <c r="J55" s="41">
        <f>F55*G55+I55</f>
        <v>8092.1872865460828</v>
      </c>
      <c r="K55" s="41">
        <f ca="1">C55*$J55/'5D AUTO MODEL'!$G$6</f>
        <v>0</v>
      </c>
    </row>
    <row r="56" spans="1:11" x14ac:dyDescent="0.25">
      <c r="B56" t="s">
        <v>200</v>
      </c>
      <c r="C56" s="2">
        <f>SUM('5D AUTO MODEL'!$M$64:$M$68)</f>
        <v>4.9411330632860198</v>
      </c>
      <c r="D56" s="2">
        <f>PRODUCTIVITIES!$E$45</f>
        <v>600.65917211803048</v>
      </c>
      <c r="E56" s="37">
        <f>'WAGE RATES'!$D$6</f>
        <v>50.10717457546064</v>
      </c>
      <c r="F56" s="41">
        <f>E56*100/D56</f>
        <v>8.3420310387959073</v>
      </c>
      <c r="G56" s="41">
        <f>PIGGYBACKS!$B$12</f>
        <v>1.3622907328394676</v>
      </c>
      <c r="H56" s="41">
        <f>'WAGE RATES'!$D$10</f>
        <v>1.0285306172213804</v>
      </c>
      <c r="I56" s="41">
        <f>(H56-1)*F56</f>
        <v>0.2380032944167603</v>
      </c>
      <c r="J56" s="41">
        <f>F56*G56+I56</f>
        <v>11.602274871627621</v>
      </c>
      <c r="K56" s="41">
        <f ca="1">C56*$J56/'5D AUTO MODEL'!$G$6</f>
        <v>5.7328383977531859E-3</v>
      </c>
    </row>
    <row r="57" spans="1:11" x14ac:dyDescent="0.25">
      <c r="F57" s="41"/>
      <c r="H57" s="41"/>
      <c r="I57" s="41"/>
      <c r="J57" s="41"/>
      <c r="K57" s="41"/>
    </row>
    <row r="58" spans="1:11" x14ac:dyDescent="0.25">
      <c r="A58" s="1" t="s">
        <v>232</v>
      </c>
      <c r="F58" s="41"/>
      <c r="H58" s="41"/>
      <c r="I58" s="41"/>
      <c r="J58" s="41"/>
      <c r="K58" s="41"/>
    </row>
    <row r="59" spans="1:11" x14ac:dyDescent="0.25">
      <c r="A59" s="35"/>
      <c r="B59" t="s">
        <v>225</v>
      </c>
      <c r="C59" s="2">
        <f ca="1">SUM('5D AUTO MODEL'!$B$74:$B$78)+SUM('5D AUTO MODEL'!$B$108:$B$112)</f>
        <v>8.0475905404906314</v>
      </c>
      <c r="D59" s="2">
        <f>PRODUCTIVITIES!$E$27*'COVERAGE FACTORS'!$C$25+PRODUCTIVITIES!$E$21*(1-'COVERAGE FACTORS'!$C$25)</f>
        <v>1117.4154005483335</v>
      </c>
      <c r="E59" s="37">
        <f>'WAGE RATES'!$D$6</f>
        <v>50.10717457546064</v>
      </c>
      <c r="F59" s="41">
        <f>E59*100/D59</f>
        <v>4.4842029697167458</v>
      </c>
      <c r="G59" s="41">
        <f>PIGGYBACKS!$B$8</f>
        <v>1.6305774272183733</v>
      </c>
      <c r="H59" s="41">
        <f>'WAGE RATES'!$D$10</f>
        <v>1.0285306172213804</v>
      </c>
      <c r="I59" s="41">
        <f>(H59-1)*F59</f>
        <v>0.1279370784719657</v>
      </c>
      <c r="J59" s="41">
        <f>F59*G59+I59</f>
        <v>7.4397772199576861</v>
      </c>
      <c r="K59" s="41">
        <f ca="1">C59*$J59/'5D AUTO MODEL'!$G$6</f>
        <v>5.9872280778689221E-3</v>
      </c>
    </row>
    <row r="60" spans="1:11" x14ac:dyDescent="0.25">
      <c r="A60" s="35"/>
      <c r="B60" t="s">
        <v>226</v>
      </c>
      <c r="C60" s="2">
        <f ca="1">SUM('5D AUTO MODEL'!$A$74:$A$78)+SUM('5D AUTO MODEL'!$A$108:$A$112)</f>
        <v>0.4933145477333119</v>
      </c>
      <c r="D60" s="2">
        <f>PRODUCTIVITIES!$E$16</f>
        <v>888.0117100682927</v>
      </c>
      <c r="E60" s="37">
        <f>'WAGE RATES'!$D$5</f>
        <v>54.142360316355024</v>
      </c>
      <c r="F60" s="41">
        <f>E60*100/D60</f>
        <v>6.0970322465895403</v>
      </c>
      <c r="G60" s="41">
        <f>PIGGYBACKS!$B$9</f>
        <v>1.2615773174013249</v>
      </c>
      <c r="H60" s="41">
        <f>'WAGE RATES'!$D$10</f>
        <v>1.0285306172213804</v>
      </c>
      <c r="I60" s="41">
        <f>(H60-1)*F60</f>
        <v>0.17395209321385913</v>
      </c>
      <c r="J60" s="41">
        <f>F60*G60+I60</f>
        <v>7.8658296789756648</v>
      </c>
      <c r="K60" s="41">
        <f ca="1">C60*$J60/'5D AUTO MODEL'!$G$6</f>
        <v>3.8803282106311459E-4</v>
      </c>
    </row>
    <row r="61" spans="1:11" x14ac:dyDescent="0.25">
      <c r="B61" t="s">
        <v>227</v>
      </c>
      <c r="C61" s="2">
        <f>SUM('5D AUTO MODEL'!$H$74:$H$78)</f>
        <v>0</v>
      </c>
      <c r="D61" s="2">
        <f>PRODUCTIVITIES!$E$34</f>
        <v>1.0273268954181221</v>
      </c>
      <c r="E61" s="37">
        <f>'WAGE RATES'!$D$6</f>
        <v>50.10717457546064</v>
      </c>
      <c r="F61" s="41">
        <f>E61*100/D61</f>
        <v>4877.4323731753384</v>
      </c>
      <c r="G61" s="41">
        <f>PIGGYBACKS!$B$10</f>
        <v>1.6305774272183733</v>
      </c>
      <c r="H61" s="41">
        <f>'WAGE RATES'!$D$10</f>
        <v>1.0285306172213804</v>
      </c>
      <c r="I61" s="41">
        <f>(H61-1)*F61</f>
        <v>139.15615606223454</v>
      </c>
      <c r="J61" s="41">
        <f>F61*G61+I61</f>
        <v>8092.1872865460828</v>
      </c>
      <c r="K61" s="41">
        <f ca="1">C61*$J61/'5D AUTO MODEL'!$G$6</f>
        <v>0</v>
      </c>
    </row>
    <row r="62" spans="1:11" x14ac:dyDescent="0.25">
      <c r="B62" t="s">
        <v>228</v>
      </c>
      <c r="C62" s="2">
        <f>SUM('5D AUTO MODEL'!$G$74:$G$78)</f>
        <v>0</v>
      </c>
      <c r="D62" s="2">
        <f>PRODUCTIVITIES!$E$40</f>
        <v>1.0273268954181221</v>
      </c>
      <c r="E62" s="37">
        <f>'WAGE RATES'!$D$6</f>
        <v>50.10717457546064</v>
      </c>
      <c r="F62" s="41">
        <f>E62*100/D62</f>
        <v>4877.4323731753384</v>
      </c>
      <c r="G62" s="41">
        <f>PIGGYBACKS!$B$10</f>
        <v>1.6305774272183733</v>
      </c>
      <c r="H62" s="41">
        <f>'WAGE RATES'!$D$10</f>
        <v>1.0285306172213804</v>
      </c>
      <c r="I62" s="41">
        <f>(H62-1)*F62</f>
        <v>139.15615606223454</v>
      </c>
      <c r="J62" s="41">
        <f>F62*G62+I62</f>
        <v>8092.1872865460828</v>
      </c>
      <c r="K62" s="41">
        <f ca="1">C62*$J62/'5D AUTO MODEL'!$G$6</f>
        <v>0</v>
      </c>
    </row>
    <row r="63" spans="1:11" x14ac:dyDescent="0.25">
      <c r="B63" t="s">
        <v>200</v>
      </c>
      <c r="C63" s="2">
        <f ca="1">SUM('5D AUTO MODEL'!$M$74:$M$78)</f>
        <v>0.97809577843193696</v>
      </c>
      <c r="D63" s="2">
        <f>PRODUCTIVITIES!$E$46</f>
        <v>753.4091755495233</v>
      </c>
      <c r="E63" s="37">
        <f>'WAGE RATES'!$D$6</f>
        <v>50.10717457546064</v>
      </c>
      <c r="F63" s="41">
        <f>E63*100/D63</f>
        <v>6.6507252900010618</v>
      </c>
      <c r="G63" s="41">
        <f>PIGGYBACKS!$B$12</f>
        <v>1.3622907328394676</v>
      </c>
      <c r="H63" s="41">
        <f>'WAGE RATES'!$D$10</f>
        <v>1.0285306172213804</v>
      </c>
      <c r="I63" s="41">
        <f>(H63-1)*F63</f>
        <v>0.18974929749357441</v>
      </c>
      <c r="J63" s="41">
        <f>F63*G63+I63</f>
        <v>9.2499707267231006</v>
      </c>
      <c r="K63" s="41">
        <f ca="1">C63*$J63/'5D AUTO MODEL'!$G$6</f>
        <v>9.0473573184268697E-4</v>
      </c>
    </row>
    <row r="64" spans="1:11" x14ac:dyDescent="0.25">
      <c r="A64" s="35"/>
      <c r="F64" s="41"/>
      <c r="H64" s="41"/>
      <c r="I64" s="41"/>
      <c r="J64" s="41"/>
      <c r="K64" s="41"/>
    </row>
    <row r="65" spans="1:11" x14ac:dyDescent="0.25">
      <c r="A65" s="1" t="s">
        <v>233</v>
      </c>
      <c r="F65" s="41"/>
      <c r="H65" s="41"/>
      <c r="I65" s="41"/>
      <c r="J65" s="41"/>
      <c r="K65" s="41"/>
    </row>
    <row r="66" spans="1:11" x14ac:dyDescent="0.25">
      <c r="A66" s="35"/>
      <c r="B66" t="s">
        <v>225</v>
      </c>
      <c r="C66" s="2">
        <f ca="1">SUM('5D AUTO MODEL'!$B$83:$B$87)+SUM('5D AUTO MODEL'!$B$122:$B$126)</f>
        <v>10024.733650299109</v>
      </c>
      <c r="D66" s="2">
        <f>PRODUCTIVITIES!$E$28*'COVERAGE FACTORS'!$C$25+PRODUCTIVITIES!$E$22*(1-'COVERAGE FACTORS'!$C$25)</f>
        <v>1858.2572281195687</v>
      </c>
      <c r="E66" s="37">
        <f>'WAGE RATES'!$D$6</f>
        <v>50.10717457546064</v>
      </c>
      <c r="F66" s="41">
        <f>E66*100/D66</f>
        <v>2.6964606308118992</v>
      </c>
      <c r="G66" s="41">
        <f>PIGGYBACKS!$B$8</f>
        <v>1.6305774272183733</v>
      </c>
      <c r="H66" s="41">
        <f>'WAGE RATES'!$D$10</f>
        <v>1.0285306172213804</v>
      </c>
      <c r="I66" s="41">
        <f>(H66-1)*F66</f>
        <v>7.693168611021621E-2</v>
      </c>
      <c r="J66" s="41">
        <f>F66*G66+I66</f>
        <v>4.473719524095114</v>
      </c>
      <c r="K66" s="41">
        <f ca="1">C66*$J66/'5D AUTO MODEL'!$G$6</f>
        <v>4.4847846655196459</v>
      </c>
    </row>
    <row r="67" spans="1:11" x14ac:dyDescent="0.25">
      <c r="A67" s="35"/>
      <c r="B67" t="s">
        <v>226</v>
      </c>
      <c r="C67" s="2">
        <f ca="1">SUM('5D AUTO MODEL'!$A$83:$A$87)+SUM('5D AUTO MODEL'!$A$122:$A$126)</f>
        <v>614.51274415145861</v>
      </c>
      <c r="D67" s="2">
        <f>PRODUCTIVITIES!$E$16</f>
        <v>888.0117100682927</v>
      </c>
      <c r="E67" s="37">
        <f>'WAGE RATES'!$D$5</f>
        <v>54.142360316355024</v>
      </c>
      <c r="F67" s="41">
        <f>E67*100/D67</f>
        <v>6.0970322465895403</v>
      </c>
      <c r="G67" s="41">
        <f>PIGGYBACKS!$B$9</f>
        <v>1.2615773174013249</v>
      </c>
      <c r="H67" s="41">
        <f>'WAGE RATES'!$D$10</f>
        <v>1.0285306172213804</v>
      </c>
      <c r="I67" s="41">
        <f>(H67-1)*F67</f>
        <v>0.17395209321385913</v>
      </c>
      <c r="J67" s="41">
        <f>F67*G67+I67</f>
        <v>7.8658296789756648</v>
      </c>
      <c r="K67" s="41">
        <f ca="1">C67*$J67/'5D AUTO MODEL'!$G$6</f>
        <v>0.48336525810553271</v>
      </c>
    </row>
    <row r="68" spans="1:11" x14ac:dyDescent="0.25">
      <c r="B68" t="s">
        <v>227</v>
      </c>
      <c r="C68" s="2">
        <f>SUM('5D AUTO MODEL'!$H$83:$H$87)</f>
        <v>0</v>
      </c>
      <c r="D68" s="2">
        <f>PRODUCTIVITIES!$E$35</f>
        <v>1.0273268954181221</v>
      </c>
      <c r="E68" s="37">
        <f>'WAGE RATES'!$D$6</f>
        <v>50.10717457546064</v>
      </c>
      <c r="F68" s="41">
        <f>E68*100/D68</f>
        <v>4877.4323731753384</v>
      </c>
      <c r="G68" s="41">
        <f>PIGGYBACKS!$B$10</f>
        <v>1.6305774272183733</v>
      </c>
      <c r="H68" s="41">
        <f>'WAGE RATES'!$D$10</f>
        <v>1.0285306172213804</v>
      </c>
      <c r="I68" s="41">
        <f>(H68-1)*F68</f>
        <v>139.15615606223454</v>
      </c>
      <c r="J68" s="41">
        <f>F68*G68+I68</f>
        <v>8092.1872865460828</v>
      </c>
      <c r="K68" s="41">
        <f ca="1">C68*$J68/'5D AUTO MODEL'!$G$6</f>
        <v>0</v>
      </c>
    </row>
    <row r="69" spans="1:11" x14ac:dyDescent="0.25">
      <c r="B69" t="s">
        <v>228</v>
      </c>
      <c r="C69" s="2">
        <f>SUM('5D AUTO MODEL'!$G$83:$G$87)</f>
        <v>0</v>
      </c>
      <c r="D69" s="2">
        <f>PRODUCTIVITIES!$E$41</f>
        <v>1.0273268954181221</v>
      </c>
      <c r="E69" s="37">
        <f>'WAGE RATES'!$D$6</f>
        <v>50.10717457546064</v>
      </c>
      <c r="F69" s="41">
        <f>E69*100/D69</f>
        <v>4877.4323731753384</v>
      </c>
      <c r="G69" s="41">
        <f>PIGGYBACKS!$B$10</f>
        <v>1.6305774272183733</v>
      </c>
      <c r="H69" s="41">
        <f>'WAGE RATES'!$D$10</f>
        <v>1.0285306172213804</v>
      </c>
      <c r="I69" s="41">
        <f>(H69-1)*F69</f>
        <v>139.15615606223454</v>
      </c>
      <c r="J69" s="41">
        <f>F69*G69+I69</f>
        <v>8092.1872865460828</v>
      </c>
      <c r="K69" s="41">
        <f ca="1">C69*$J69/'5D AUTO MODEL'!$G$6</f>
        <v>0</v>
      </c>
    </row>
    <row r="70" spans="1:11" x14ac:dyDescent="0.25">
      <c r="B70" t="s">
        <v>200</v>
      </c>
      <c r="C70" s="2">
        <f ca="1">SUM('5D AUTO MODEL'!$M$83:$M$87)</f>
        <v>563.62451651996219</v>
      </c>
      <c r="D70" s="2">
        <f>PRODUCTIVITIES!$E$47</f>
        <v>675.89315757280178</v>
      </c>
      <c r="E70" s="37">
        <f>'WAGE RATES'!$D$6</f>
        <v>50.10717457546064</v>
      </c>
      <c r="F70" s="41">
        <f>E70*100/D70</f>
        <v>7.4134756379840256</v>
      </c>
      <c r="G70" s="41">
        <f>PIGGYBACKS!$B$12</f>
        <v>1.3622907328394676</v>
      </c>
      <c r="H70" s="41">
        <f>'WAGE RATES'!$D$10</f>
        <v>1.0285306172213804</v>
      </c>
      <c r="I70" s="41">
        <f>(H70-1)*F70</f>
        <v>0.21151103570735105</v>
      </c>
      <c r="J70" s="41">
        <f>F70*G70+I70</f>
        <v>10.310820195464149</v>
      </c>
      <c r="K70" s="41">
        <f ca="1">C70*$J70/'5D AUTO MODEL'!$G$6</f>
        <v>0.581143104759275</v>
      </c>
    </row>
    <row r="71" spans="1:11" x14ac:dyDescent="0.25">
      <c r="F71" s="41"/>
      <c r="H71" s="41"/>
      <c r="I71" s="41"/>
      <c r="J71" s="41"/>
      <c r="K71" s="41"/>
    </row>
    <row r="72" spans="1:11" x14ac:dyDescent="0.25">
      <c r="A72" s="1" t="s">
        <v>234</v>
      </c>
      <c r="F72" s="41"/>
      <c r="H72" s="41"/>
      <c r="I72" s="41"/>
      <c r="J72" s="41"/>
      <c r="K72" s="41"/>
    </row>
    <row r="73" spans="1:11" x14ac:dyDescent="0.25">
      <c r="B73" t="s">
        <v>99</v>
      </c>
      <c r="C73" s="2">
        <v>0</v>
      </c>
      <c r="D73" s="2">
        <v>0</v>
      </c>
      <c r="E73" s="37">
        <v>0</v>
      </c>
      <c r="F73" s="41">
        <v>0</v>
      </c>
      <c r="G73" s="41">
        <v>0</v>
      </c>
      <c r="H73" s="41">
        <v>0</v>
      </c>
      <c r="I73" s="41">
        <v>0</v>
      </c>
      <c r="J73" s="41">
        <v>0</v>
      </c>
      <c r="K73" s="41">
        <f ca="1">C73*$J73/'MADC NONAUTO MODEL'!$G$6</f>
        <v>0</v>
      </c>
    </row>
    <row r="74" spans="1:11" x14ac:dyDescent="0.25">
      <c r="B74" t="s">
        <v>226</v>
      </c>
      <c r="C74" s="2">
        <f ca="1">SUM('5D AUTO MODEL'!$A$95:$A$99)</f>
        <v>0</v>
      </c>
      <c r="D74" s="2">
        <f>PRODUCTIVITIES!E16</f>
        <v>888.0117100682927</v>
      </c>
      <c r="E74" s="37">
        <f>'WAGE RATES'!D5</f>
        <v>54.142360316355024</v>
      </c>
      <c r="F74" s="41">
        <f>E74*100/D74</f>
        <v>6.0970322465895403</v>
      </c>
      <c r="G74" s="41">
        <f>PIGGYBACKS!B9</f>
        <v>1.2615773174013249</v>
      </c>
      <c r="H74" s="41">
        <f>'WAGE RATES'!$D$10</f>
        <v>1.0285306172213804</v>
      </c>
      <c r="I74" s="41">
        <f>(H74-1)*F74</f>
        <v>0.17395209321385913</v>
      </c>
      <c r="J74" s="41">
        <f>F74*G74+I74</f>
        <v>7.8658296789756648</v>
      </c>
      <c r="K74" s="41">
        <f ca="1">C74*$J74/'5D AUTO MODEL'!$G$6</f>
        <v>0</v>
      </c>
    </row>
    <row r="75" spans="1:11" x14ac:dyDescent="0.25">
      <c r="F75" s="41"/>
      <c r="H75" s="41"/>
      <c r="I75" s="41"/>
      <c r="J75" s="41"/>
    </row>
    <row r="76" spans="1:11" ht="13.8" thickBot="1" x14ac:dyDescent="0.3">
      <c r="F76" s="41"/>
      <c r="H76" s="41"/>
      <c r="I76" s="41"/>
      <c r="J76" s="41"/>
      <c r="K76" s="40" t="str">
        <f>"(10)"</f>
        <v>(10)</v>
      </c>
    </row>
    <row r="77" spans="1:11" ht="13.8" thickBot="1" x14ac:dyDescent="0.3">
      <c r="F77" s="41"/>
      <c r="H77" s="41"/>
      <c r="I77" s="41"/>
      <c r="J77" s="136" t="s">
        <v>205</v>
      </c>
      <c r="K77" s="137">
        <f ca="1">SUM(K11:K74)</f>
        <v>8.2198460836608085</v>
      </c>
    </row>
    <row r="81" spans="1:8" x14ac:dyDescent="0.25">
      <c r="A81" s="139" t="str">
        <f>"(1)"</f>
        <v>(1)</v>
      </c>
      <c r="B81" s="1" t="s">
        <v>332</v>
      </c>
      <c r="F81" s="139" t="str">
        <f>"(6)"</f>
        <v>(6)</v>
      </c>
      <c r="G81" s="1" t="s">
        <v>236</v>
      </c>
      <c r="H81" s="33"/>
    </row>
    <row r="82" spans="1:8" x14ac:dyDescent="0.25">
      <c r="A82" s="139" t="str">
        <f>"(2)"</f>
        <v>(2)</v>
      </c>
      <c r="B82" s="1" t="s">
        <v>237</v>
      </c>
      <c r="F82" s="138" t="str">
        <f>"(7)"</f>
        <v>(7)</v>
      </c>
      <c r="G82" s="140" t="s">
        <v>209</v>
      </c>
      <c r="H82" s="33"/>
    </row>
    <row r="83" spans="1:8" x14ac:dyDescent="0.25">
      <c r="A83" s="139" t="str">
        <f>"(3)"</f>
        <v>(3)</v>
      </c>
      <c r="B83" s="1" t="s">
        <v>236</v>
      </c>
      <c r="F83" s="138" t="str">
        <f>"(8)"</f>
        <v>(8)</v>
      </c>
      <c r="G83" s="140" t="s">
        <v>211</v>
      </c>
      <c r="H83" s="33"/>
    </row>
    <row r="84" spans="1:8" x14ac:dyDescent="0.25">
      <c r="A84" s="139" t="str">
        <f>"(4)"</f>
        <v>(4)</v>
      </c>
      <c r="B84" s="1" t="s">
        <v>213</v>
      </c>
      <c r="F84" s="138" t="str">
        <f>"(9)"</f>
        <v>(9)</v>
      </c>
      <c r="G84" s="140" t="s">
        <v>212</v>
      </c>
      <c r="H84" s="33"/>
    </row>
    <row r="85" spans="1:8" x14ac:dyDescent="0.25">
      <c r="A85" s="139" t="str">
        <f>"(5)"</f>
        <v>(5)</v>
      </c>
      <c r="B85" s="1" t="s">
        <v>238</v>
      </c>
      <c r="F85" s="138" t="str">
        <f>"(10)"</f>
        <v>(10)</v>
      </c>
      <c r="G85" s="140" t="s">
        <v>214</v>
      </c>
      <c r="H85" s="33"/>
    </row>
    <row r="86" spans="1:8" x14ac:dyDescent="0.25">
      <c r="G86" s="140"/>
      <c r="H86" s="33"/>
    </row>
  </sheetData>
  <phoneticPr fontId="29" type="noConversion"/>
  <printOptions horizontalCentered="1"/>
  <pageMargins left="0.75" right="0.75" top="1" bottom="1" header="0.5" footer="0.5"/>
  <pageSetup scale="60" orientation="portrait" r:id="rId1"/>
  <headerFooter alignWithMargins="0">
    <oddFooter>&amp;CTab '&amp;A'&amp;RPage 25</oddFooter>
  </headerFooter>
  <ignoredErrors>
    <ignoredError sqref="E32 E39 E46 E53 E60 E67" formula="1"/>
  </ignoredErrors>
</worksheet>
</file>

<file path=xl/worksheets/sheet2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35"/>
  <dimension ref="A1:AD128"/>
  <sheetViews>
    <sheetView zoomScale="75" zoomScaleNormal="75" workbookViewId="0"/>
  </sheetViews>
  <sheetFormatPr defaultRowHeight="13.2" x14ac:dyDescent="0.25"/>
  <cols>
    <col min="1" max="3" width="10.77734375" style="19" customWidth="1"/>
    <col min="4" max="4" width="10.77734375" style="58" customWidth="1"/>
    <col min="5" max="6" width="10.77734375" style="19" customWidth="1"/>
    <col min="7" max="7" width="15.77734375" style="19" customWidth="1"/>
    <col min="8" max="8" width="10.77734375" style="19" customWidth="1"/>
    <col min="9" max="9" width="10.77734375" style="58" customWidth="1"/>
    <col min="10" max="12" width="10.77734375" style="19" customWidth="1"/>
    <col min="13" max="13" width="10.77734375" customWidth="1"/>
    <col min="14" max="14" width="10.77734375" style="19" customWidth="1"/>
    <col min="15" max="16" width="10.77734375" style="58" customWidth="1"/>
    <col min="17" max="18" width="10.77734375" style="19" customWidth="1"/>
    <col min="19" max="19" width="10.77734375" customWidth="1"/>
    <col min="20" max="20" width="10.77734375" style="19" customWidth="1"/>
    <col min="21" max="21" width="10.77734375" style="58" customWidth="1"/>
    <col min="22" max="30" width="10.77734375" style="19" customWidth="1"/>
    <col min="31" max="34" width="10.77734375" customWidth="1"/>
  </cols>
  <sheetData>
    <row r="1" spans="1:30" ht="28.2" x14ac:dyDescent="0.5">
      <c r="A1" s="56" t="str">
        <f>'5D AUTO COST'!A1</f>
        <v>5-DIGIT AUTO PRESORT</v>
      </c>
    </row>
    <row r="2" spans="1:30" ht="22.8" x14ac:dyDescent="0.4">
      <c r="A2" s="57" t="s">
        <v>239</v>
      </c>
    </row>
    <row r="6" spans="1:30" ht="17.399999999999999" x14ac:dyDescent="0.3">
      <c r="A6" s="47" t="s">
        <v>240</v>
      </c>
      <c r="B6" s="17"/>
      <c r="C6" s="48">
        <f>SUM(C11:C16)+SUM(G11:G16)+SUM(K11:K16)+SUM(O11:O16)</f>
        <v>10000</v>
      </c>
      <c r="E6" s="47" t="s">
        <v>241</v>
      </c>
      <c r="F6" s="17"/>
      <c r="G6" s="48">
        <f ca="1">D88+J88+O88+D100+D127</f>
        <v>9999.9999999999891</v>
      </c>
      <c r="H6" s="17"/>
      <c r="J6" s="17"/>
      <c r="K6" s="17"/>
      <c r="O6" s="47"/>
      <c r="P6" s="47"/>
      <c r="Q6" s="17"/>
      <c r="R6" s="17"/>
      <c r="V6" s="17"/>
      <c r="W6" s="17"/>
      <c r="X6" s="17"/>
      <c r="Y6" s="17"/>
      <c r="AA6" s="17"/>
      <c r="AC6" s="17"/>
      <c r="AD6" s="17"/>
    </row>
    <row r="9" spans="1:30" x14ac:dyDescent="0.25">
      <c r="E9" s="17"/>
      <c r="H9" s="17"/>
      <c r="J9" s="17"/>
      <c r="K9" s="17"/>
      <c r="N9" s="17"/>
      <c r="Q9" s="17"/>
      <c r="R9" s="17"/>
      <c r="V9" s="17"/>
      <c r="W9" s="17"/>
      <c r="X9" s="17"/>
      <c r="Y9" s="17"/>
      <c r="AA9" s="17"/>
      <c r="AC9" s="17"/>
      <c r="AD9" s="17"/>
    </row>
    <row r="10" spans="1:30" ht="17.399999999999999" x14ac:dyDescent="0.3">
      <c r="A10" s="49" t="s">
        <v>242</v>
      </c>
      <c r="E10" s="17"/>
      <c r="G10" s="18"/>
      <c r="H10" s="26"/>
      <c r="J10" s="17"/>
      <c r="K10" s="17"/>
      <c r="N10" s="17"/>
      <c r="O10" s="60"/>
      <c r="Q10" s="17"/>
      <c r="R10" s="17"/>
      <c r="V10" s="17"/>
      <c r="W10" s="17"/>
      <c r="X10" s="17"/>
      <c r="Y10" s="17"/>
      <c r="AA10" s="17"/>
      <c r="AC10" s="17"/>
      <c r="AD10" s="17"/>
    </row>
    <row r="11" spans="1:30" x14ac:dyDescent="0.25">
      <c r="A11" s="25"/>
      <c r="B11" s="66" t="s">
        <v>243</v>
      </c>
      <c r="C11" s="67">
        <f>'ENTRY PROFILE'!H72</f>
        <v>15.628724350552416</v>
      </c>
      <c r="D11" s="59"/>
      <c r="E11" s="28"/>
      <c r="F11" s="61" t="s">
        <v>244</v>
      </c>
      <c r="G11" s="63">
        <v>0</v>
      </c>
      <c r="I11" s="27"/>
      <c r="J11" s="72" t="s">
        <v>245</v>
      </c>
      <c r="K11" s="73">
        <f>'ENTRY PROFILE'!H77</f>
        <v>0</v>
      </c>
      <c r="L11" s="59"/>
      <c r="M11" s="28"/>
      <c r="N11" s="78" t="s">
        <v>246</v>
      </c>
      <c r="O11" s="79">
        <v>0</v>
      </c>
      <c r="P11" s="141"/>
      <c r="Q11" s="17"/>
      <c r="R11" s="17"/>
      <c r="V11" s="17"/>
      <c r="W11" s="17"/>
      <c r="X11" s="17"/>
      <c r="Y11" s="17"/>
      <c r="AA11" s="17"/>
      <c r="AC11" s="17"/>
      <c r="AD11" s="17"/>
    </row>
    <row r="12" spans="1:30" x14ac:dyDescent="0.25">
      <c r="A12" s="21"/>
      <c r="B12" s="68" t="s">
        <v>247</v>
      </c>
      <c r="C12" s="69">
        <v>0</v>
      </c>
      <c r="E12" s="17"/>
      <c r="F12" s="62" t="s">
        <v>248</v>
      </c>
      <c r="G12" s="63">
        <v>0</v>
      </c>
      <c r="I12" s="19"/>
      <c r="J12" s="74" t="s">
        <v>249</v>
      </c>
      <c r="K12" s="75">
        <v>0</v>
      </c>
      <c r="L12" s="58"/>
      <c r="M12" s="17"/>
      <c r="N12" s="80" t="s">
        <v>250</v>
      </c>
      <c r="O12" s="81">
        <v>0</v>
      </c>
      <c r="P12" s="141"/>
      <c r="Q12" s="17"/>
      <c r="R12" s="17"/>
      <c r="V12" s="17"/>
      <c r="W12" s="17"/>
      <c r="X12" s="17"/>
      <c r="Y12" s="17"/>
      <c r="AA12" s="17"/>
      <c r="AC12" s="17"/>
      <c r="AD12" s="17"/>
    </row>
    <row r="13" spans="1:30" x14ac:dyDescent="0.25">
      <c r="A13" s="21"/>
      <c r="B13" s="68" t="s">
        <v>251</v>
      </c>
      <c r="C13" s="69">
        <f>'ENTRY PROFILE'!L72+'ENTRY PROFILE'!L73</f>
        <v>90.64906709809479</v>
      </c>
      <c r="E13" s="17"/>
      <c r="F13" s="62" t="s">
        <v>252</v>
      </c>
      <c r="G13" s="63">
        <v>0</v>
      </c>
      <c r="I13" s="19"/>
      <c r="J13" s="74" t="s">
        <v>253</v>
      </c>
      <c r="K13" s="75">
        <f>'ENTRY PROFILE'!L77+'ENTRY PROFILE'!L78</f>
        <v>0</v>
      </c>
      <c r="L13" s="58"/>
      <c r="M13" s="17"/>
      <c r="N13" s="80" t="s">
        <v>254</v>
      </c>
      <c r="O13" s="81">
        <v>0</v>
      </c>
      <c r="P13" s="141"/>
      <c r="Q13" s="17"/>
      <c r="R13" s="17"/>
      <c r="V13" s="17"/>
      <c r="W13" s="17"/>
      <c r="X13" s="17"/>
      <c r="Y13" s="17"/>
      <c r="AA13" s="17"/>
      <c r="AC13" s="17"/>
      <c r="AD13" s="17"/>
    </row>
    <row r="14" spans="1:30" x14ac:dyDescent="0.25">
      <c r="A14" s="21"/>
      <c r="B14" s="68" t="s">
        <v>255</v>
      </c>
      <c r="C14" s="69">
        <f>'ENTRY PROFILE'!P72+'ENTRY PROFILE'!P73+'ENTRY PROFILE'!P74</f>
        <v>23.086878855126059</v>
      </c>
      <c r="E14" s="17"/>
      <c r="F14" s="62" t="s">
        <v>256</v>
      </c>
      <c r="G14" s="63">
        <v>0</v>
      </c>
      <c r="I14" s="19"/>
      <c r="J14" s="74" t="s">
        <v>257</v>
      </c>
      <c r="K14" s="75">
        <f>'ENTRY PROFILE'!P77+'ENTRY PROFILE'!P78+'ENTRY PROFILE'!P79</f>
        <v>0</v>
      </c>
      <c r="L14" s="58"/>
      <c r="M14" s="17"/>
      <c r="N14" s="80" t="s">
        <v>258</v>
      </c>
      <c r="O14" s="81">
        <v>0</v>
      </c>
      <c r="P14" s="141"/>
      <c r="Q14" s="17"/>
      <c r="R14" s="17"/>
      <c r="V14" s="17"/>
      <c r="W14" s="17"/>
      <c r="X14" s="17"/>
      <c r="Y14" s="17"/>
      <c r="AA14" s="17"/>
      <c r="AC14" s="17"/>
      <c r="AD14" s="17"/>
    </row>
    <row r="15" spans="1:30" x14ac:dyDescent="0.25">
      <c r="A15" s="21"/>
      <c r="B15" s="68" t="s">
        <v>259</v>
      </c>
      <c r="C15" s="69">
        <v>0</v>
      </c>
      <c r="E15" s="17"/>
      <c r="F15" s="62" t="s">
        <v>260</v>
      </c>
      <c r="G15" s="63">
        <v>0</v>
      </c>
      <c r="I15" s="19"/>
      <c r="J15" s="74" t="s">
        <v>261</v>
      </c>
      <c r="K15" s="75">
        <v>0</v>
      </c>
      <c r="L15" s="58"/>
      <c r="M15" s="17"/>
      <c r="N15" s="80" t="s">
        <v>262</v>
      </c>
      <c r="O15" s="81">
        <v>0</v>
      </c>
      <c r="P15" s="141"/>
      <c r="Q15" s="17"/>
      <c r="R15" s="17"/>
      <c r="V15" s="17"/>
      <c r="W15" s="17"/>
      <c r="X15" s="17"/>
      <c r="Y15" s="17"/>
      <c r="AA15" s="17"/>
      <c r="AC15" s="17"/>
      <c r="AD15" s="17"/>
    </row>
    <row r="16" spans="1:30" x14ac:dyDescent="0.25">
      <c r="A16" s="20"/>
      <c r="B16" s="70" t="s">
        <v>263</v>
      </c>
      <c r="C16" s="71">
        <f>'ENTRY PROFILE'!I72+'ENTRY PROFILE'!M72+'ENTRY PROFILE'!M73+'ENTRY PROFILE'!Q72+'ENTRY PROFILE'!Q73+'ENTRY PROFILE'!Q74+'ENTRY PROFILE'!X75+'ENTRY PROFILE'!X76</f>
        <v>9870.6353296962261</v>
      </c>
      <c r="D16" s="60"/>
      <c r="E16" s="26"/>
      <c r="F16" s="64" t="s">
        <v>264</v>
      </c>
      <c r="G16" s="65">
        <v>0</v>
      </c>
      <c r="H16" s="18"/>
      <c r="I16" s="18"/>
      <c r="J16" s="76" t="s">
        <v>265</v>
      </c>
      <c r="K16" s="77">
        <f>'ENTRY PROFILE'!I77+'ENTRY PROFILE'!M77+'ENTRY PROFILE'!M78+'ENTRY PROFILE'!Q77+'ENTRY PROFILE'!Q78+'ENTRY PROFILE'!Q79+'ENTRY PROFILE'!X80+'ENTRY PROFILE'!X81</f>
        <v>0</v>
      </c>
      <c r="L16" s="60"/>
      <c r="M16" s="26"/>
      <c r="N16" s="82" t="s">
        <v>266</v>
      </c>
      <c r="O16" s="83">
        <v>0</v>
      </c>
      <c r="P16" s="141"/>
      <c r="Q16" s="17"/>
      <c r="R16" s="17"/>
      <c r="V16" s="17"/>
      <c r="W16" s="17"/>
      <c r="X16" s="17"/>
      <c r="Y16" s="17"/>
      <c r="AA16" s="17"/>
      <c r="AC16" s="17"/>
      <c r="AD16" s="17"/>
    </row>
    <row r="20" spans="1:30" x14ac:dyDescent="0.25">
      <c r="A20" s="103"/>
      <c r="B20" s="105"/>
      <c r="C20" s="105"/>
      <c r="D20" s="106"/>
      <c r="E20" s="105"/>
      <c r="F20" s="105"/>
      <c r="G20" s="103"/>
      <c r="H20" s="104"/>
      <c r="I20" s="105"/>
      <c r="J20" s="106"/>
      <c r="K20" s="105"/>
      <c r="L20" s="105"/>
      <c r="M20" s="104"/>
      <c r="N20" s="105"/>
      <c r="O20" s="106"/>
      <c r="P20" s="105"/>
      <c r="Q20" s="107"/>
      <c r="S20" s="19"/>
      <c r="U20" s="19"/>
      <c r="Y20"/>
      <c r="Z20"/>
      <c r="AA20"/>
      <c r="AB20"/>
      <c r="AC20"/>
      <c r="AD20"/>
    </row>
    <row r="21" spans="1:30" s="125" customFormat="1" ht="22.8" x14ac:dyDescent="0.4">
      <c r="A21" s="177"/>
      <c r="B21" s="123"/>
      <c r="C21" s="127" t="s">
        <v>267</v>
      </c>
      <c r="D21" s="123"/>
      <c r="E21" s="57"/>
      <c r="F21" s="127"/>
      <c r="G21" s="122"/>
      <c r="H21" s="57"/>
      <c r="I21" s="123"/>
      <c r="J21" s="57"/>
      <c r="K21" s="57"/>
      <c r="L21" s="127" t="s">
        <v>268</v>
      </c>
      <c r="M21" s="57"/>
      <c r="N21" s="123"/>
      <c r="O21" s="57"/>
      <c r="P21" s="57"/>
      <c r="Q21" s="124"/>
      <c r="R21" s="57"/>
      <c r="S21" s="57"/>
      <c r="T21" s="57"/>
      <c r="U21" s="57"/>
      <c r="V21" s="57"/>
      <c r="W21" s="57"/>
      <c r="X21" s="57"/>
    </row>
    <row r="22" spans="1:30" s="125" customFormat="1" ht="22.8" x14ac:dyDescent="0.4">
      <c r="A22" s="122"/>
      <c r="B22" s="57"/>
      <c r="C22" s="57"/>
      <c r="D22" s="123"/>
      <c r="E22" s="57"/>
      <c r="F22" s="127"/>
      <c r="G22" s="122"/>
      <c r="H22" s="57"/>
      <c r="I22" s="123"/>
      <c r="J22" s="57"/>
      <c r="K22" s="57"/>
      <c r="M22" s="57"/>
      <c r="N22" s="123"/>
      <c r="O22" s="57"/>
      <c r="P22" s="57"/>
      <c r="Q22" s="124"/>
      <c r="R22" s="57"/>
      <c r="S22" s="57"/>
      <c r="T22" s="57"/>
      <c r="U22" s="57"/>
      <c r="V22" s="57"/>
      <c r="W22" s="57"/>
      <c r="X22" s="57"/>
    </row>
    <row r="23" spans="1:30" x14ac:dyDescent="0.25">
      <c r="A23" s="113"/>
      <c r="D23" s="96">
        <f>SUM(A25:A29)*(1-'ACCEPT RATES'!G14)+SUM(C25:C29)*SUM('ACCEPT RATES'!I14:J14)</f>
        <v>0.73117577836153769</v>
      </c>
      <c r="E23" s="23" t="s">
        <v>269</v>
      </c>
      <c r="G23" s="121"/>
      <c r="I23" s="23"/>
      <c r="J23" s="96">
        <f>SUM(G25:G29)*(1-'ACCEPT RATES'!E19)</f>
        <v>0</v>
      </c>
      <c r="K23" s="23" t="s">
        <v>269</v>
      </c>
      <c r="L23"/>
      <c r="M23" s="19"/>
      <c r="P23" s="23"/>
      <c r="Q23" s="108"/>
      <c r="S23" s="19"/>
      <c r="U23" s="19"/>
      <c r="Y23"/>
      <c r="Z23"/>
      <c r="AA23"/>
      <c r="AB23"/>
      <c r="AC23"/>
      <c r="AD23"/>
    </row>
    <row r="24" spans="1:30" x14ac:dyDescent="0.25">
      <c r="A24" s="126" t="s">
        <v>270</v>
      </c>
      <c r="B24" s="86" t="s">
        <v>271</v>
      </c>
      <c r="C24" s="87"/>
      <c r="D24" s="119"/>
      <c r="E24" s="23" t="s">
        <v>272</v>
      </c>
      <c r="G24" s="126" t="s">
        <v>273</v>
      </c>
      <c r="H24" s="86" t="s">
        <v>274</v>
      </c>
      <c r="I24" s="87"/>
      <c r="J24" s="99"/>
      <c r="K24" s="22" t="s">
        <v>272</v>
      </c>
      <c r="L24"/>
      <c r="M24" s="86" t="s">
        <v>275</v>
      </c>
      <c r="N24" s="87"/>
      <c r="P24" s="19"/>
      <c r="Q24" s="108"/>
      <c r="S24" s="19"/>
      <c r="U24" s="19"/>
      <c r="Y24"/>
      <c r="Z24"/>
      <c r="AA24"/>
      <c r="AB24"/>
      <c r="AC24"/>
      <c r="AD24"/>
    </row>
    <row r="25" spans="1:30" x14ac:dyDescent="0.25">
      <c r="A25" s="120">
        <f>B25*(1-'ACCEPT RATES'!C14)</f>
        <v>0.97020481529935843</v>
      </c>
      <c r="B25" s="29">
        <f>C25*(1+'ACCEPT RATES'!F14)</f>
        <v>15.827246793789092</v>
      </c>
      <c r="C25" s="50">
        <f>C11*('COVERAGE FACTORS'!C15+'COVERAGE FACTORS'!C19)</f>
        <v>15.628652374679893</v>
      </c>
      <c r="E25" s="23" t="s">
        <v>200</v>
      </c>
      <c r="G25" s="178">
        <f>H25*(1-'ACCEPT RATES'!C19)</f>
        <v>0</v>
      </c>
      <c r="H25" s="29">
        <f>I25</f>
        <v>0</v>
      </c>
      <c r="I25" s="50">
        <f>C11*'COVERAGE FACTORS'!C17</f>
        <v>0</v>
      </c>
      <c r="J25" s="22"/>
      <c r="K25" s="22" t="s">
        <v>200</v>
      </c>
      <c r="L25"/>
      <c r="M25" s="29">
        <f>N25</f>
        <v>7.1975872529105527E-5</v>
      </c>
      <c r="N25" s="50">
        <f>C11*'COVERAGE FACTORS'!C21</f>
        <v>7.1975872529105527E-5</v>
      </c>
      <c r="P25" s="19"/>
      <c r="Q25" s="108"/>
      <c r="S25" s="19"/>
      <c r="U25" s="19"/>
      <c r="Y25"/>
      <c r="Z25"/>
      <c r="AA25"/>
      <c r="AB25"/>
      <c r="AC25"/>
      <c r="AD25"/>
    </row>
    <row r="26" spans="1:30" x14ac:dyDescent="0.25">
      <c r="A26" s="179">
        <f>B26*(1-'ACCEPT RATES'!D14)</f>
        <v>0</v>
      </c>
      <c r="B26" s="85">
        <f>C26*(1+'ACCEPT RATES'!F14)</f>
        <v>0</v>
      </c>
      <c r="C26" s="84">
        <f>G11*('COVERAGE FACTORS'!C15+'COVERAGE FACTORS'!C19)</f>
        <v>0</v>
      </c>
      <c r="G26" s="179">
        <f>H26*(1-'ACCEPT RATES'!D19)</f>
        <v>0</v>
      </c>
      <c r="H26" s="85">
        <f>I26</f>
        <v>0</v>
      </c>
      <c r="I26" s="84">
        <f>G11*'COVERAGE FACTORS'!C17</f>
        <v>0</v>
      </c>
      <c r="J26" s="58"/>
      <c r="L26"/>
      <c r="M26" s="85">
        <f>N26</f>
        <v>0</v>
      </c>
      <c r="N26" s="84">
        <f>G11*'COVERAGE FACTORS'!C21</f>
        <v>0</v>
      </c>
      <c r="P26" s="19"/>
      <c r="Q26" s="108"/>
      <c r="S26" s="19"/>
      <c r="U26" s="19"/>
      <c r="Y26"/>
      <c r="Z26"/>
      <c r="AA26"/>
      <c r="AB26"/>
      <c r="AC26"/>
      <c r="AD26"/>
    </row>
    <row r="27" spans="1:30" x14ac:dyDescent="0.25">
      <c r="A27" s="121"/>
      <c r="B27" s="85"/>
      <c r="C27" s="84"/>
      <c r="G27" s="109">
        <f>H27*(1-'ACCEPT RATES'!C19)</f>
        <v>0</v>
      </c>
      <c r="H27" s="89">
        <f>I27</f>
        <v>0</v>
      </c>
      <c r="I27" s="90">
        <f>K11*('COVERAGE FACTORS'!C17+'COVERAGE FACTORS'!C19)</f>
        <v>0</v>
      </c>
      <c r="J27" s="58"/>
      <c r="L27"/>
      <c r="M27" s="89">
        <f>N27</f>
        <v>0</v>
      </c>
      <c r="N27" s="90">
        <f>K11*(1-('COVERAGE FACTORS'!C17+'COVERAGE FACTORS'!C19))</f>
        <v>0</v>
      </c>
      <c r="P27" s="19"/>
      <c r="Q27" s="108"/>
      <c r="S27" s="19"/>
      <c r="U27" s="19"/>
      <c r="Y27"/>
      <c r="Z27"/>
      <c r="AA27"/>
      <c r="AB27"/>
      <c r="AC27"/>
      <c r="AD27"/>
    </row>
    <row r="28" spans="1:30" x14ac:dyDescent="0.25">
      <c r="A28" s="121"/>
      <c r="B28" s="85"/>
      <c r="C28" s="84"/>
      <c r="G28" s="110">
        <f>H28*(1-'ACCEPT RATES'!D19)</f>
        <v>0</v>
      </c>
      <c r="H28" s="94">
        <f>I28</f>
        <v>0</v>
      </c>
      <c r="I28" s="92">
        <f>O11*('COVERAGE FACTORS'!C17+'COVERAGE FACTORS'!C19)</f>
        <v>0</v>
      </c>
      <c r="J28" s="58"/>
      <c r="L28"/>
      <c r="M28" s="94">
        <f>N28</f>
        <v>0</v>
      </c>
      <c r="N28" s="92">
        <f>O11*(1-('COVERAGE FACTORS'!C17+'COVERAGE FACTORS'!C19))</f>
        <v>0</v>
      </c>
      <c r="P28" s="19"/>
      <c r="Q28" s="108"/>
      <c r="S28" s="19"/>
      <c r="U28" s="19"/>
      <c r="Y28"/>
      <c r="Z28"/>
      <c r="AA28"/>
      <c r="AB28"/>
      <c r="AC28"/>
      <c r="AD28"/>
    </row>
    <row r="29" spans="1:30" x14ac:dyDescent="0.25">
      <c r="A29" s="180"/>
      <c r="B29" s="20"/>
      <c r="C29" s="34"/>
      <c r="G29" s="111"/>
      <c r="H29" s="44"/>
      <c r="I29" s="34"/>
      <c r="J29" s="58"/>
      <c r="L29"/>
      <c r="M29" s="101">
        <f>N29</f>
        <v>0.73117577836153769</v>
      </c>
      <c r="N29" s="100">
        <f>D23+J23</f>
        <v>0.73117577836153769</v>
      </c>
      <c r="P29" s="19"/>
      <c r="Q29" s="108"/>
      <c r="S29" s="19"/>
      <c r="U29" s="19"/>
      <c r="Y29"/>
      <c r="Z29"/>
      <c r="AA29"/>
      <c r="AB29"/>
      <c r="AC29"/>
      <c r="AD29"/>
    </row>
    <row r="30" spans="1:30" x14ac:dyDescent="0.25">
      <c r="A30" s="113"/>
      <c r="C30" s="97"/>
      <c r="D30" s="364">
        <f>(SUM(C25:C29)-D23)*'PIECE DENSITIES'!C6</f>
        <v>1.9076256273312771</v>
      </c>
      <c r="E30" s="23" t="s">
        <v>276</v>
      </c>
      <c r="G30" s="113"/>
      <c r="I30" s="98"/>
      <c r="J30" s="181">
        <f>(SUM(I25:I29)-J23)*'PIECE DENSITIES'!C11</f>
        <v>0</v>
      </c>
      <c r="K30" s="23" t="s">
        <v>277</v>
      </c>
      <c r="L30"/>
      <c r="M30" s="19"/>
      <c r="O30" s="95">
        <f>SUM(N25:N29)*'PIECE DENSITIES'!C16</f>
        <v>6.5430388852177321E-2</v>
      </c>
      <c r="P30" s="23" t="s">
        <v>278</v>
      </c>
      <c r="Q30" s="108"/>
      <c r="S30" s="19"/>
      <c r="U30" s="19"/>
      <c r="Y30"/>
      <c r="Z30"/>
      <c r="AA30"/>
      <c r="AB30"/>
      <c r="AC30"/>
      <c r="AD30"/>
    </row>
    <row r="31" spans="1:30" x14ac:dyDescent="0.25">
      <c r="A31" s="113"/>
      <c r="C31" s="97"/>
      <c r="D31" s="364">
        <f>(SUM(C25:C29)-D23)*'PIECE DENSITIES'!D6</f>
        <v>7.7214981382492667</v>
      </c>
      <c r="E31" s="23" t="s">
        <v>279</v>
      </c>
      <c r="G31" s="113"/>
      <c r="I31" s="98"/>
      <c r="J31" s="181">
        <f>(SUM(I25:I29)-J23)*'PIECE DENSITIES'!D11</f>
        <v>0</v>
      </c>
      <c r="K31" s="23" t="s">
        <v>280</v>
      </c>
      <c r="L31"/>
      <c r="M31" s="19"/>
      <c r="O31" s="95">
        <f>SUM(N25:N29)*'PIECE DENSITIES'!D16</f>
        <v>0.42460030094213375</v>
      </c>
      <c r="P31" s="23" t="s">
        <v>281</v>
      </c>
      <c r="Q31" s="108"/>
      <c r="S31" s="19"/>
      <c r="U31" s="19"/>
      <c r="Y31"/>
      <c r="Z31"/>
      <c r="AA31"/>
      <c r="AB31"/>
      <c r="AC31"/>
      <c r="AD31"/>
    </row>
    <row r="32" spans="1:30" x14ac:dyDescent="0.25">
      <c r="A32" s="113"/>
      <c r="C32" s="88"/>
      <c r="D32" s="365">
        <f>(SUM(C25:C29)-D23)*'PIECE DENSITIES'!E6</f>
        <v>4.1701575207137411</v>
      </c>
      <c r="E32" s="23" t="s">
        <v>282</v>
      </c>
      <c r="G32" s="113"/>
      <c r="I32" s="93"/>
      <c r="J32" s="182">
        <f>(SUM(I25:I29)-J23)*'PIECE DENSITIES'!E11</f>
        <v>0</v>
      </c>
      <c r="K32" s="23" t="s">
        <v>283</v>
      </c>
      <c r="L32"/>
      <c r="M32" s="19"/>
      <c r="N32" s="45"/>
      <c r="O32" s="96">
        <f>SUM(N25:N29)*'PIECE DENSITIES'!E16</f>
        <v>0.18705834350237799</v>
      </c>
      <c r="P32" s="23" t="s">
        <v>284</v>
      </c>
      <c r="Q32" s="108"/>
      <c r="S32" s="19"/>
      <c r="U32" s="19"/>
      <c r="Y32"/>
      <c r="Z32"/>
      <c r="AA32"/>
      <c r="AB32"/>
      <c r="AC32"/>
      <c r="AD32"/>
    </row>
    <row r="33" spans="1:30" x14ac:dyDescent="0.25">
      <c r="A33" s="113"/>
      <c r="C33" s="88"/>
      <c r="D33" s="365">
        <f>(SUM(C25:C29)-D23)*'PIECE DENSITIES'!F6</f>
        <v>1.098195310024072</v>
      </c>
      <c r="E33" s="23" t="s">
        <v>285</v>
      </c>
      <c r="G33" s="113"/>
      <c r="I33" s="93"/>
      <c r="J33" s="182">
        <f>(SUM(I25:I29)-J23)*'PIECE DENSITIES'!F11</f>
        <v>0</v>
      </c>
      <c r="K33" s="23" t="s">
        <v>286</v>
      </c>
      <c r="L33"/>
      <c r="M33" s="19"/>
      <c r="N33" s="45"/>
      <c r="O33" s="96">
        <f>SUM(N25:N29)*'PIECE DENSITIES'!F16</f>
        <v>5.4158720937377745E-2</v>
      </c>
      <c r="P33" s="23" t="s">
        <v>287</v>
      </c>
      <c r="Q33" s="108"/>
      <c r="S33" s="19"/>
      <c r="U33" s="19"/>
      <c r="Y33"/>
      <c r="Z33"/>
      <c r="AA33"/>
      <c r="AB33"/>
      <c r="AC33"/>
      <c r="AD33"/>
    </row>
    <row r="34" spans="1:30" x14ac:dyDescent="0.25">
      <c r="A34" s="113"/>
      <c r="C34" s="88"/>
      <c r="D34" s="365">
        <f>(SUM(C25:C29)-D23)*'PIECE DENSITIES'!G6</f>
        <v>0</v>
      </c>
      <c r="E34" s="23" t="s">
        <v>288</v>
      </c>
      <c r="G34" s="113"/>
      <c r="I34" s="93"/>
      <c r="J34" s="182">
        <f>(SUM(I25:I29)-J23)*'PIECE DENSITIES'!G11</f>
        <v>0</v>
      </c>
      <c r="K34" s="23" t="s">
        <v>289</v>
      </c>
      <c r="L34"/>
      <c r="M34" s="19"/>
      <c r="N34" s="45"/>
      <c r="O34" s="96">
        <f>SUM(N25:N29)*'PIECE DENSITIES'!G16</f>
        <v>0</v>
      </c>
      <c r="P34" s="23" t="s">
        <v>290</v>
      </c>
      <c r="Q34" s="108"/>
      <c r="S34" s="19"/>
      <c r="U34" s="19"/>
      <c r="Y34"/>
      <c r="Z34"/>
      <c r="AA34"/>
      <c r="AB34"/>
      <c r="AC34"/>
      <c r="AD34"/>
    </row>
    <row r="35" spans="1:30" x14ac:dyDescent="0.25">
      <c r="A35" s="113"/>
      <c r="G35" s="113"/>
      <c r="I35" s="19"/>
      <c r="J35" s="58"/>
      <c r="L35"/>
      <c r="M35" s="19"/>
      <c r="P35" s="19"/>
      <c r="Q35" s="108"/>
      <c r="S35" s="19"/>
      <c r="U35" s="19"/>
      <c r="Y35"/>
      <c r="Z35"/>
      <c r="AA35"/>
      <c r="AB35"/>
      <c r="AC35"/>
      <c r="AD35"/>
    </row>
    <row r="36" spans="1:30" x14ac:dyDescent="0.25">
      <c r="A36" s="113"/>
      <c r="D36" s="96">
        <f>SUM(A38:A42)*(1-'ACCEPT RATES'!G15)+SUM(C38:C42)*SUM('ACCEPT RATES'!I15:J15)</f>
        <v>0.17702614814931941</v>
      </c>
      <c r="E36" s="23" t="s">
        <v>269</v>
      </c>
      <c r="G36" s="121"/>
      <c r="I36" s="23"/>
      <c r="J36" s="96">
        <f>SUM(G38:G42)*(1-'ACCEPT RATES'!E20)</f>
        <v>0</v>
      </c>
      <c r="K36" s="23" t="s">
        <v>269</v>
      </c>
      <c r="L36"/>
      <c r="M36" s="19"/>
      <c r="P36" s="23"/>
      <c r="Q36" s="108"/>
      <c r="S36" s="19"/>
      <c r="U36" s="19"/>
      <c r="Y36"/>
      <c r="Z36"/>
      <c r="AA36"/>
      <c r="AB36"/>
      <c r="AC36"/>
      <c r="AD36"/>
    </row>
    <row r="37" spans="1:30" x14ac:dyDescent="0.25">
      <c r="A37" s="126" t="s">
        <v>270</v>
      </c>
      <c r="B37" s="86" t="s">
        <v>291</v>
      </c>
      <c r="C37" s="87"/>
      <c r="D37" s="119"/>
      <c r="E37" s="23" t="s">
        <v>292</v>
      </c>
      <c r="G37" s="126" t="s">
        <v>273</v>
      </c>
      <c r="H37" s="86" t="s">
        <v>293</v>
      </c>
      <c r="I37" s="87"/>
      <c r="J37" s="99"/>
      <c r="K37" s="22" t="s">
        <v>292</v>
      </c>
      <c r="L37"/>
      <c r="M37" s="86" t="s">
        <v>278</v>
      </c>
      <c r="N37" s="87"/>
      <c r="P37" s="19"/>
      <c r="Q37" s="108"/>
      <c r="S37" s="19"/>
      <c r="U37" s="19"/>
      <c r="Y37"/>
      <c r="Z37"/>
      <c r="AA37"/>
      <c r="AB37"/>
      <c r="AC37"/>
      <c r="AD37"/>
    </row>
    <row r="38" spans="1:30" x14ac:dyDescent="0.25">
      <c r="A38" s="120">
        <f>B38*(1-'ACCEPT RATES'!C15)</f>
        <v>0</v>
      </c>
      <c r="B38" s="29">
        <f>C38*(1+'ACCEPT RATES'!F15+'PIECE DENSITIES'!C7)</f>
        <v>0</v>
      </c>
      <c r="C38" s="50">
        <f>C12*('COVERAGE FACTORS'!C15+'COVERAGE FACTORS'!C19)</f>
        <v>0</v>
      </c>
      <c r="E38" s="23" t="s">
        <v>200</v>
      </c>
      <c r="G38" s="178">
        <f>H38*(1-'ACCEPT RATES'!C20)</f>
        <v>0</v>
      </c>
      <c r="H38" s="29">
        <f>I38*(1+'PIECE DENSITIES'!C12)</f>
        <v>0</v>
      </c>
      <c r="I38" s="50">
        <f>C12*'COVERAGE FACTORS'!C17</f>
        <v>0</v>
      </c>
      <c r="J38" s="22"/>
      <c r="K38" s="22" t="s">
        <v>200</v>
      </c>
      <c r="L38"/>
      <c r="M38" s="29">
        <f>N38</f>
        <v>0</v>
      </c>
      <c r="N38" s="50">
        <f>C12*'COVERAGE FACTORS'!C21</f>
        <v>0</v>
      </c>
      <c r="P38" s="19"/>
      <c r="Q38" s="108"/>
      <c r="S38" s="19"/>
      <c r="U38" s="19"/>
      <c r="Y38"/>
      <c r="Z38"/>
      <c r="AA38"/>
      <c r="AB38"/>
      <c r="AC38"/>
      <c r="AD38"/>
    </row>
    <row r="39" spans="1:30" x14ac:dyDescent="0.25">
      <c r="A39" s="179">
        <f>B39*(1-'ACCEPT RATES'!D15)</f>
        <v>0</v>
      </c>
      <c r="B39" s="85">
        <f>C39*(1+'ACCEPT RATES'!F15+'PIECE DENSITIES'!C7)</f>
        <v>0</v>
      </c>
      <c r="C39" s="84">
        <f>G12*('COVERAGE FACTORS'!C15+'COVERAGE FACTORS'!C19)</f>
        <v>0</v>
      </c>
      <c r="G39" s="179">
        <f>H39*(1-'ACCEPT RATES'!D20)</f>
        <v>0</v>
      </c>
      <c r="H39" s="85">
        <f>I39*(1+'PIECE DENSITIES'!C12)</f>
        <v>0</v>
      </c>
      <c r="I39" s="84">
        <f>G12*'COVERAGE FACTORS'!C17</f>
        <v>0</v>
      </c>
      <c r="J39" s="58"/>
      <c r="L39"/>
      <c r="M39" s="85">
        <f>N39</f>
        <v>0</v>
      </c>
      <c r="N39" s="84">
        <f>G12*'COVERAGE FACTORS'!C21</f>
        <v>0</v>
      </c>
      <c r="P39" s="19"/>
      <c r="Q39" s="108"/>
      <c r="S39" s="19"/>
      <c r="U39" s="19"/>
      <c r="Y39"/>
      <c r="Z39"/>
      <c r="AA39"/>
      <c r="AB39"/>
      <c r="AC39"/>
      <c r="AD39"/>
    </row>
    <row r="40" spans="1:30" x14ac:dyDescent="0.25">
      <c r="A40" s="121"/>
      <c r="B40" s="85"/>
      <c r="C40" s="84"/>
      <c r="G40" s="109">
        <f>H40*(1-'ACCEPT RATES'!C20)</f>
        <v>0</v>
      </c>
      <c r="H40" s="89">
        <f>I40*(1+'PIECE DENSITIES'!C12)</f>
        <v>0</v>
      </c>
      <c r="I40" s="90">
        <f>K12*('COVERAGE FACTORS'!C17+'COVERAGE FACTORS'!C19)</f>
        <v>0</v>
      </c>
      <c r="J40" s="58"/>
      <c r="L40"/>
      <c r="M40" s="89">
        <f>N40</f>
        <v>0</v>
      </c>
      <c r="N40" s="90">
        <f>K12*(1-('COVERAGE FACTORS'!C17+'COVERAGE FACTORS'!C19))</f>
        <v>0</v>
      </c>
      <c r="P40" s="19"/>
      <c r="Q40" s="108"/>
      <c r="S40" s="19"/>
      <c r="U40" s="19"/>
      <c r="Y40"/>
      <c r="Z40"/>
      <c r="AA40"/>
      <c r="AB40"/>
      <c r="AC40"/>
      <c r="AD40"/>
    </row>
    <row r="41" spans="1:30" x14ac:dyDescent="0.25">
      <c r="A41" s="121"/>
      <c r="B41" s="85"/>
      <c r="C41" s="84"/>
      <c r="G41" s="110">
        <f>H41*(1-'ACCEPT RATES'!D20)</f>
        <v>0</v>
      </c>
      <c r="H41" s="94">
        <f>I41*(1+'PIECE DENSITIES'!C12)</f>
        <v>0</v>
      </c>
      <c r="I41" s="92">
        <f>O12*('COVERAGE FACTORS'!C17+'COVERAGE FACTORS'!C19)</f>
        <v>0</v>
      </c>
      <c r="J41" s="58"/>
      <c r="L41"/>
      <c r="M41" s="94">
        <f>N41</f>
        <v>0</v>
      </c>
      <c r="N41" s="92">
        <f>O12*(1-('COVERAGE FACTORS'!C17+'COVERAGE FACTORS'!C19))</f>
        <v>0</v>
      </c>
      <c r="P41" s="19"/>
      <c r="Q41" s="108"/>
      <c r="S41" s="19"/>
      <c r="U41" s="19"/>
      <c r="Y41"/>
      <c r="Z41"/>
      <c r="AA41"/>
      <c r="AB41"/>
      <c r="AC41"/>
      <c r="AD41"/>
    </row>
    <row r="42" spans="1:30" x14ac:dyDescent="0.25">
      <c r="A42" s="183">
        <f>B42*(1-'ACCEPT RATES'!C15)</f>
        <v>0.11975622595970765</v>
      </c>
      <c r="B42" s="187">
        <f>C42*(1+'ACCEPT RATES'!F15+'PIECE DENSITIES'!C7)</f>
        <v>1.9536198063212378</v>
      </c>
      <c r="C42" s="188">
        <f>D30</f>
        <v>1.9076256273312771</v>
      </c>
      <c r="G42" s="184">
        <f>IF(SUM(C11:C16)&gt;0,H42*(1-'ACCEPT RATES'!C20),H42*(1-'ACCEPT RATES'!D20))</f>
        <v>0</v>
      </c>
      <c r="H42" s="185">
        <f>I42*(1+'PIECE DENSITIES'!C12)</f>
        <v>0</v>
      </c>
      <c r="I42" s="186">
        <f>J30</f>
        <v>0</v>
      </c>
      <c r="J42" s="58"/>
      <c r="L42"/>
      <c r="M42" s="101">
        <f>N42</f>
        <v>0.24245653700149672</v>
      </c>
      <c r="N42" s="100">
        <f>D36+J36+O30</f>
        <v>0.24245653700149672</v>
      </c>
      <c r="P42" s="19"/>
      <c r="Q42" s="108"/>
      <c r="S42" s="19"/>
      <c r="U42" s="19"/>
      <c r="Y42"/>
      <c r="Z42"/>
      <c r="AA42"/>
      <c r="AB42"/>
      <c r="AC42"/>
      <c r="AD42"/>
    </row>
    <row r="43" spans="1:30" x14ac:dyDescent="0.25">
      <c r="A43" s="113"/>
      <c r="C43" s="97"/>
      <c r="D43" s="364">
        <f>(SUM(C38:C42)-D36)*'PIECE DENSITIES'!D7</f>
        <v>1.4291181126943788</v>
      </c>
      <c r="E43" s="23" t="s">
        <v>279</v>
      </c>
      <c r="G43" s="113"/>
      <c r="I43" s="98"/>
      <c r="J43" s="181">
        <f>(SUM(I38:I42)-J36)*'PIECE DENSITIES'!D12</f>
        <v>0</v>
      </c>
      <c r="K43" s="23" t="s">
        <v>280</v>
      </c>
      <c r="L43"/>
      <c r="M43" s="19"/>
      <c r="O43" s="95">
        <f>SUM(N38:N42)*'PIECE DENSITIES'!D17</f>
        <v>0.1716213119640283</v>
      </c>
      <c r="P43" s="23" t="s">
        <v>281</v>
      </c>
      <c r="Q43" s="108"/>
      <c r="S43" s="19"/>
      <c r="U43" s="19"/>
      <c r="Y43"/>
      <c r="Z43"/>
      <c r="AA43"/>
      <c r="AB43"/>
      <c r="AC43"/>
      <c r="AD43"/>
    </row>
    <row r="44" spans="1:30" x14ac:dyDescent="0.25">
      <c r="A44" s="113"/>
      <c r="C44" s="97"/>
      <c r="D44" s="364">
        <f>(SUM(C38:C42)-D36)*'PIECE DENSITIES'!E7</f>
        <v>0.11943797656443399</v>
      </c>
      <c r="E44" s="23" t="s">
        <v>282</v>
      </c>
      <c r="G44" s="113"/>
      <c r="I44" s="98"/>
      <c r="J44" s="181">
        <f>(SUM(I38:I42)-J36)*'PIECE DENSITIES'!E12</f>
        <v>0</v>
      </c>
      <c r="K44" s="23" t="s">
        <v>283</v>
      </c>
      <c r="L44"/>
      <c r="M44" s="19"/>
      <c r="O44" s="95">
        <f>SUM(N38:N42)*'PIECE DENSITIES'!E17</f>
        <v>7.5240024921661779E-4</v>
      </c>
      <c r="P44" s="23" t="s">
        <v>284</v>
      </c>
      <c r="Q44" s="108"/>
      <c r="S44" s="19"/>
      <c r="U44" s="19"/>
      <c r="Y44"/>
      <c r="Z44"/>
      <c r="AA44"/>
      <c r="AB44"/>
      <c r="AC44"/>
      <c r="AD44"/>
    </row>
    <row r="45" spans="1:30" x14ac:dyDescent="0.25">
      <c r="A45" s="113"/>
      <c r="C45" s="88"/>
      <c r="D45" s="365">
        <f>(SUM(C38:C42)-D36)*'PIECE DENSITIES'!F7</f>
        <v>1.2722324203014135E-2</v>
      </c>
      <c r="E45" s="23" t="s">
        <v>285</v>
      </c>
      <c r="G45" s="113"/>
      <c r="I45" s="93"/>
      <c r="J45" s="182">
        <f>(SUM(I38:I42)-J36)*'PIECE DENSITIES'!F12</f>
        <v>0</v>
      </c>
      <c r="K45" s="23" t="s">
        <v>286</v>
      </c>
      <c r="L45"/>
      <c r="M45" s="19"/>
      <c r="N45" s="45"/>
      <c r="O45" s="96">
        <f>SUM(N38:N42)*'PIECE DENSITIES'!F17</f>
        <v>4.8165464772685846E-3</v>
      </c>
      <c r="P45" s="23" t="s">
        <v>287</v>
      </c>
      <c r="Q45" s="108"/>
      <c r="S45" s="19"/>
      <c r="U45" s="19"/>
      <c r="Y45"/>
      <c r="Z45"/>
      <c r="AA45"/>
      <c r="AB45"/>
      <c r="AC45"/>
      <c r="AD45"/>
    </row>
    <row r="46" spans="1:30" x14ac:dyDescent="0.25">
      <c r="A46" s="113"/>
      <c r="C46" s="88"/>
      <c r="D46" s="365">
        <f>(SUM(C38:C42)-D36)*'PIECE DENSITIES'!G7</f>
        <v>0.16932106572013078</v>
      </c>
      <c r="E46" s="23" t="s">
        <v>288</v>
      </c>
      <c r="G46" s="113"/>
      <c r="I46" s="93"/>
      <c r="J46" s="182">
        <f>(SUM(I38:I42)-J36)*'PIECE DENSITIES'!G12</f>
        <v>0</v>
      </c>
      <c r="K46" s="23" t="s">
        <v>289</v>
      </c>
      <c r="L46"/>
      <c r="M46" s="19"/>
      <c r="N46" s="45"/>
      <c r="O46" s="96">
        <f>SUM(N38:N42)*'PIECE DENSITIES'!G17</f>
        <v>6.5266278310983236E-2</v>
      </c>
      <c r="P46" s="23" t="s">
        <v>290</v>
      </c>
      <c r="Q46" s="108"/>
      <c r="S46" s="19"/>
      <c r="U46" s="19"/>
      <c r="Y46"/>
      <c r="Z46"/>
      <c r="AA46"/>
      <c r="AB46"/>
      <c r="AC46"/>
      <c r="AD46"/>
    </row>
    <row r="47" spans="1:30" x14ac:dyDescent="0.25">
      <c r="A47" s="113"/>
      <c r="C47" s="97"/>
      <c r="G47" s="113"/>
      <c r="I47" s="98"/>
      <c r="J47" s="91"/>
      <c r="L47"/>
      <c r="M47" s="19"/>
      <c r="O47" s="96"/>
      <c r="P47" s="19"/>
      <c r="Q47" s="108"/>
      <c r="S47" s="19"/>
      <c r="U47" s="19"/>
      <c r="Y47"/>
      <c r="Z47"/>
      <c r="AA47"/>
      <c r="AB47"/>
      <c r="AC47"/>
      <c r="AD47"/>
    </row>
    <row r="48" spans="1:30" x14ac:dyDescent="0.25">
      <c r="A48" s="103"/>
      <c r="B48" s="105"/>
      <c r="C48" s="128"/>
      <c r="D48" s="106"/>
      <c r="E48" s="105"/>
      <c r="F48" s="105"/>
      <c r="G48" s="103"/>
      <c r="H48" s="105"/>
      <c r="I48" s="129"/>
      <c r="J48" s="130"/>
      <c r="K48" s="105"/>
      <c r="L48" s="104"/>
      <c r="M48" s="105"/>
      <c r="N48" s="105"/>
      <c r="O48" s="131"/>
      <c r="P48" s="105"/>
      <c r="Q48" s="107"/>
      <c r="S48" s="19"/>
      <c r="U48" s="19"/>
      <c r="Y48"/>
      <c r="Z48"/>
      <c r="AA48"/>
      <c r="AB48"/>
      <c r="AC48"/>
      <c r="AD48"/>
    </row>
    <row r="49" spans="1:30" s="125" customFormat="1" ht="22.8" x14ac:dyDescent="0.4">
      <c r="A49" s="177"/>
      <c r="B49" s="57"/>
      <c r="C49" s="127" t="s">
        <v>294</v>
      </c>
      <c r="D49" s="123"/>
      <c r="E49" s="57"/>
      <c r="F49" s="127"/>
      <c r="G49" s="122"/>
      <c r="H49" s="57"/>
      <c r="I49" s="123"/>
      <c r="J49" s="57"/>
      <c r="K49" s="57"/>
      <c r="L49" s="127" t="s">
        <v>295</v>
      </c>
      <c r="M49" s="57"/>
      <c r="N49" s="123"/>
      <c r="O49" s="57"/>
      <c r="P49" s="57"/>
      <c r="Q49" s="124"/>
      <c r="R49" s="57"/>
      <c r="S49" s="57"/>
      <c r="T49" s="57"/>
      <c r="U49" s="57"/>
      <c r="V49" s="57"/>
      <c r="W49" s="57"/>
      <c r="X49" s="57"/>
    </row>
    <row r="50" spans="1:30" x14ac:dyDescent="0.25">
      <c r="A50" s="113"/>
      <c r="C50" s="97"/>
      <c r="G50" s="113"/>
      <c r="I50" s="98"/>
      <c r="J50" s="91"/>
      <c r="L50"/>
      <c r="M50" s="19"/>
      <c r="O50" s="96"/>
      <c r="P50" s="19"/>
      <c r="Q50" s="108"/>
      <c r="S50" s="19"/>
      <c r="U50" s="19"/>
      <c r="Y50"/>
      <c r="Z50"/>
      <c r="AA50"/>
      <c r="AB50"/>
      <c r="AC50"/>
      <c r="AD50"/>
    </row>
    <row r="51" spans="1:30" x14ac:dyDescent="0.25">
      <c r="A51" s="113"/>
      <c r="D51" s="96">
        <f>SUM(A53:A57)*(1-'ACCEPT RATES'!G16)+SUM(C53:C57)*SUM('ACCEPT RATES'!I16:J16)</f>
        <v>7.1983218363698445</v>
      </c>
      <c r="E51" s="23" t="s">
        <v>269</v>
      </c>
      <c r="G51" s="121"/>
      <c r="I51" s="23"/>
      <c r="J51" s="96">
        <f>SUM(G53:G57)*(1-'ACCEPT RATES'!E21)</f>
        <v>0</v>
      </c>
      <c r="K51" s="23" t="s">
        <v>269</v>
      </c>
      <c r="L51"/>
      <c r="M51" s="19"/>
      <c r="P51" s="23"/>
      <c r="Q51" s="108"/>
      <c r="S51" s="19"/>
      <c r="U51" s="19"/>
      <c r="Y51"/>
      <c r="Z51"/>
      <c r="AA51"/>
      <c r="AB51"/>
      <c r="AC51"/>
      <c r="AD51"/>
    </row>
    <row r="52" spans="1:30" x14ac:dyDescent="0.25">
      <c r="A52" s="126" t="s">
        <v>270</v>
      </c>
      <c r="B52" s="86" t="s">
        <v>296</v>
      </c>
      <c r="C52" s="87"/>
      <c r="D52" s="119"/>
      <c r="E52" s="23" t="s">
        <v>297</v>
      </c>
      <c r="G52" s="126" t="s">
        <v>273</v>
      </c>
      <c r="H52" s="86" t="s">
        <v>298</v>
      </c>
      <c r="I52" s="87"/>
      <c r="J52" s="99"/>
      <c r="K52" s="22" t="s">
        <v>297</v>
      </c>
      <c r="L52"/>
      <c r="M52" s="86" t="s">
        <v>281</v>
      </c>
      <c r="N52" s="87"/>
      <c r="P52" s="19"/>
      <c r="Q52" s="108"/>
      <c r="S52" s="19"/>
      <c r="U52" s="19"/>
      <c r="Y52"/>
      <c r="Z52"/>
      <c r="AA52"/>
      <c r="AB52"/>
      <c r="AC52"/>
      <c r="AD52"/>
    </row>
    <row r="53" spans="1:30" x14ac:dyDescent="0.25">
      <c r="A53" s="120">
        <f>B53*(1-'ACCEPT RATES'!C16)</f>
        <v>5.5831191115414347</v>
      </c>
      <c r="B53" s="29">
        <f>C53*(1+'ACCEPT RATES'!F16+'PIECE DENSITIES'!D8)</f>
        <v>91.079123360381871</v>
      </c>
      <c r="C53" s="50">
        <f>C13*('COVERAGE FACTORS'!C39+'COVERAGE FACTORS'!C43)</f>
        <v>90.103123508274805</v>
      </c>
      <c r="E53" s="23" t="s">
        <v>200</v>
      </c>
      <c r="G53" s="178">
        <f>H53*(1-'ACCEPT RATES'!C21)</f>
        <v>0</v>
      </c>
      <c r="H53" s="29">
        <f>I53*(1+'PIECE DENSITIES'!D13)</f>
        <v>0</v>
      </c>
      <c r="I53" s="50">
        <f>C13*'COVERAGE FACTORS'!C41</f>
        <v>0</v>
      </c>
      <c r="J53" s="112"/>
      <c r="K53" s="22" t="s">
        <v>200</v>
      </c>
      <c r="L53"/>
      <c r="M53" s="29">
        <f>N53</f>
        <v>0.54594358981989777</v>
      </c>
      <c r="N53" s="50">
        <f>C13*'COVERAGE FACTORS'!C45</f>
        <v>0.54594358981989777</v>
      </c>
      <c r="P53" s="19"/>
      <c r="Q53" s="108"/>
      <c r="S53" s="19"/>
      <c r="U53" s="19"/>
      <c r="Y53"/>
      <c r="Z53"/>
      <c r="AA53"/>
      <c r="AB53"/>
      <c r="AC53"/>
      <c r="AD53"/>
    </row>
    <row r="54" spans="1:30" x14ac:dyDescent="0.25">
      <c r="A54" s="179">
        <f>B54*(1-'ACCEPT RATES'!D16)</f>
        <v>0</v>
      </c>
      <c r="B54" s="85">
        <f>C54*(1+'ACCEPT RATES'!F16+'PIECE DENSITIES'!D8)</f>
        <v>0</v>
      </c>
      <c r="C54" s="84">
        <f>G13*('COVERAGE FACTORS'!C39+'COVERAGE FACTORS'!C43)</f>
        <v>0</v>
      </c>
      <c r="G54" s="179">
        <f>H54*(1-'ACCEPT RATES'!D21)</f>
        <v>0</v>
      </c>
      <c r="H54" s="85">
        <f>I54*(1+'PIECE DENSITIES'!D13)</f>
        <v>0</v>
      </c>
      <c r="I54" s="84">
        <f>G13*'COVERAGE FACTORS'!C41</f>
        <v>0</v>
      </c>
      <c r="J54" s="58"/>
      <c r="L54"/>
      <c r="M54" s="85">
        <f>N54</f>
        <v>0</v>
      </c>
      <c r="N54" s="84">
        <f>G13*'COVERAGE FACTORS'!C45</f>
        <v>0</v>
      </c>
      <c r="P54" s="19"/>
      <c r="Q54" s="108"/>
      <c r="S54" s="19"/>
      <c r="U54" s="19"/>
      <c r="Y54"/>
      <c r="Z54"/>
      <c r="AA54"/>
      <c r="AB54"/>
      <c r="AC54"/>
      <c r="AD54"/>
    </row>
    <row r="55" spans="1:30" x14ac:dyDescent="0.25">
      <c r="A55" s="121"/>
      <c r="B55" s="85"/>
      <c r="C55" s="84"/>
      <c r="G55" s="109">
        <f>H55*(1-'ACCEPT RATES'!C21)</f>
        <v>0</v>
      </c>
      <c r="H55" s="89">
        <f>I55*(1+'PIECE DENSITIES'!D13)</f>
        <v>0</v>
      </c>
      <c r="I55" s="90">
        <f>K13*('COVERAGE FACTORS'!C41+'COVERAGE FACTORS'!C43)</f>
        <v>0</v>
      </c>
      <c r="J55" s="58"/>
      <c r="L55"/>
      <c r="M55" s="89">
        <f>N55</f>
        <v>0</v>
      </c>
      <c r="N55" s="90">
        <f>K13*(1-('COVERAGE FACTORS'!C41+'COVERAGE FACTORS'!C43))</f>
        <v>0</v>
      </c>
      <c r="P55" s="19"/>
      <c r="Q55" s="108"/>
      <c r="S55" s="19"/>
      <c r="U55" s="19"/>
      <c r="Y55"/>
      <c r="Z55"/>
      <c r="AA55"/>
      <c r="AB55"/>
      <c r="AC55"/>
      <c r="AD55"/>
    </row>
    <row r="56" spans="1:30" x14ac:dyDescent="0.25">
      <c r="A56" s="121"/>
      <c r="B56" s="85"/>
      <c r="C56" s="84"/>
      <c r="G56" s="110">
        <f>H56*(1-'ACCEPT RATES'!D21)</f>
        <v>0</v>
      </c>
      <c r="H56" s="94">
        <f>I56*(1+'PIECE DENSITIES'!D13)</f>
        <v>0</v>
      </c>
      <c r="I56" s="92">
        <f>O13*('COVERAGE FACTORS'!C41+'COVERAGE FACTORS'!C43)</f>
        <v>0</v>
      </c>
      <c r="J56" s="58"/>
      <c r="L56"/>
      <c r="M56" s="94">
        <f>N56</f>
        <v>0</v>
      </c>
      <c r="N56" s="92">
        <f>O13*(1-('COVERAGE FACTORS'!C41+'COVERAGE FACTORS'!C43))</f>
        <v>0</v>
      </c>
      <c r="P56" s="19"/>
      <c r="Q56" s="108"/>
      <c r="S56" s="19"/>
      <c r="U56" s="19"/>
      <c r="Y56"/>
      <c r="Z56"/>
      <c r="AA56"/>
      <c r="AB56"/>
      <c r="AC56"/>
      <c r="AD56"/>
    </row>
    <row r="57" spans="1:30" x14ac:dyDescent="0.25">
      <c r="A57" s="183">
        <f>B57*(1-'ACCEPT RATES'!C16)</f>
        <v>0.56359080251471083</v>
      </c>
      <c r="B57" s="187">
        <f>C57*(1+'ACCEPT RATES'!F16+'PIECE DENSITIES'!D8)</f>
        <v>9.1940284993923349</v>
      </c>
      <c r="C57" s="188">
        <f>(D31+D43)*('COVERAGE FACTORS'!C39+'COVERAGE FACTORS'!C43)</f>
        <v>9.0955056971891413</v>
      </c>
      <c r="G57" s="184">
        <f>IF(SUM(C11:C16)&gt;0,H57*(1-'ACCEPT RATES'!C21),H57*(1-'ACCEPT RATES'!D21))</f>
        <v>0</v>
      </c>
      <c r="H57" s="185">
        <f>I57*(1+'PIECE DENSITIES'!D13)</f>
        <v>0</v>
      </c>
      <c r="I57" s="186">
        <f>(D31+D43)*'COVERAGE FACTORS'!C41+(J31+J43)*('COVERAGE FACTORS'!C41+'COVERAGE FACTORS'!C43)</f>
        <v>0</v>
      </c>
      <c r="J57" s="58"/>
      <c r="L57"/>
      <c r="M57" s="101">
        <f>N57</f>
        <v>7.8496540030305013</v>
      </c>
      <c r="N57" s="100">
        <f>D51+J51+O31+O43+(D31+D43)*'COVERAGE FACTORS'!C45+(J31+J43)*(1-('COVERAGE FACTORS'!C41+'COVERAGE FACTORS'!C43))</f>
        <v>7.8496540030305013</v>
      </c>
      <c r="P57" s="19"/>
      <c r="Q57" s="108"/>
      <c r="S57" s="19"/>
      <c r="U57" s="19"/>
      <c r="Y57"/>
      <c r="Z57"/>
      <c r="AA57"/>
      <c r="AB57"/>
      <c r="AC57"/>
      <c r="AD57"/>
    </row>
    <row r="58" spans="1:30" x14ac:dyDescent="0.25">
      <c r="A58" s="113"/>
      <c r="C58" s="97"/>
      <c r="D58" s="364">
        <f>(SUM(C53:C57)-D51)*'PIECE DENSITIES'!E8</f>
        <v>18.302609892004199</v>
      </c>
      <c r="E58" s="23" t="s">
        <v>282</v>
      </c>
      <c r="G58" s="113"/>
      <c r="I58" s="98"/>
      <c r="J58" s="181">
        <f>(SUM(I53:I57)-J51)*'PIECE DENSITIES'!E13</f>
        <v>0</v>
      </c>
      <c r="K58" s="23" t="s">
        <v>283</v>
      </c>
      <c r="L58"/>
      <c r="M58" s="19"/>
      <c r="O58" s="95">
        <f>SUM(N53:N57)*'PIECE DENSITIES'!E18</f>
        <v>2.2186530995101004</v>
      </c>
      <c r="P58" s="23" t="s">
        <v>284</v>
      </c>
      <c r="Q58" s="108"/>
      <c r="S58" s="19"/>
      <c r="U58" s="19"/>
      <c r="Y58"/>
      <c r="Z58"/>
      <c r="AA58"/>
      <c r="AB58"/>
      <c r="AC58"/>
      <c r="AD58"/>
    </row>
    <row r="59" spans="1:30" x14ac:dyDescent="0.25">
      <c r="A59" s="113"/>
      <c r="C59" s="97"/>
      <c r="D59" s="364">
        <f>(SUM(C53:C57)-D51)*'PIECE DENSITIES'!F8</f>
        <v>5.9422110432613806</v>
      </c>
      <c r="E59" s="23" t="s">
        <v>285</v>
      </c>
      <c r="G59" s="113"/>
      <c r="I59" s="98"/>
      <c r="J59" s="181">
        <f>(SUM(I53:I57)-J51)*'PIECE DENSITIES'!F13</f>
        <v>0</v>
      </c>
      <c r="K59" s="23" t="s">
        <v>286</v>
      </c>
      <c r="L59"/>
      <c r="M59" s="19"/>
      <c r="O59" s="95">
        <f>SUM(N53:N57)*'PIECE DENSITIES'!F18</f>
        <v>0.34822203405956459</v>
      </c>
      <c r="P59" s="23" t="s">
        <v>287</v>
      </c>
      <c r="Q59" s="108"/>
      <c r="S59" s="19"/>
      <c r="U59" s="19"/>
      <c r="Y59"/>
      <c r="Z59"/>
      <c r="AA59"/>
      <c r="AB59"/>
      <c r="AC59"/>
      <c r="AD59"/>
    </row>
    <row r="60" spans="1:30" x14ac:dyDescent="0.25">
      <c r="A60" s="113"/>
      <c r="C60" s="88"/>
      <c r="D60" s="365">
        <f>(SUM(C53:C57)-D51)*'PIECE DENSITIES'!G8</f>
        <v>67.755486433828523</v>
      </c>
      <c r="E60" s="23" t="s">
        <v>288</v>
      </c>
      <c r="G60" s="113"/>
      <c r="I60" s="93"/>
      <c r="J60" s="182">
        <f>(SUM(I53:I57)-J51)*'PIECE DENSITIES'!G13</f>
        <v>0</v>
      </c>
      <c r="K60" s="23" t="s">
        <v>289</v>
      </c>
      <c r="L60"/>
      <c r="M60" s="19"/>
      <c r="N60" s="45"/>
      <c r="O60" s="96">
        <f>SUM(N53:N57)*'PIECE DENSITIES'!G18</f>
        <v>5.8287224592807334</v>
      </c>
      <c r="P60" s="23" t="s">
        <v>290</v>
      </c>
      <c r="Q60" s="108"/>
      <c r="S60" s="19"/>
      <c r="U60" s="19"/>
      <c r="Y60"/>
      <c r="Z60"/>
      <c r="AA60"/>
      <c r="AB60"/>
      <c r="AC60"/>
      <c r="AD60"/>
    </row>
    <row r="61" spans="1:30" x14ac:dyDescent="0.25">
      <c r="A61" s="113"/>
      <c r="C61" s="97"/>
      <c r="G61" s="113"/>
      <c r="I61" s="98"/>
      <c r="J61" s="91"/>
      <c r="L61"/>
      <c r="M61" s="19"/>
      <c r="O61" s="96"/>
      <c r="P61" s="19"/>
      <c r="Q61" s="108"/>
      <c r="S61" s="19"/>
      <c r="U61" s="19"/>
      <c r="Y61"/>
      <c r="Z61"/>
      <c r="AA61"/>
      <c r="AB61"/>
      <c r="AC61"/>
      <c r="AD61"/>
    </row>
    <row r="62" spans="1:30" x14ac:dyDescent="0.25">
      <c r="A62" s="113"/>
      <c r="D62" s="96">
        <f>SUM(A64:A68)*(1-'ACCEPT RATES'!G17)+SUM(C64:C68)*SUM('ACCEPT RATES'!I17:J17)</f>
        <v>2.2595621060692381</v>
      </c>
      <c r="E62" s="23" t="s">
        <v>269</v>
      </c>
      <c r="G62" s="121"/>
      <c r="I62" s="23"/>
      <c r="J62" s="96">
        <f>SUM(G64:G68)*(1-'ACCEPT RATES'!E22)</f>
        <v>0</v>
      </c>
      <c r="K62" s="23" t="s">
        <v>269</v>
      </c>
      <c r="L62"/>
      <c r="M62" s="19"/>
      <c r="P62" s="23"/>
      <c r="Q62" s="108"/>
      <c r="S62" s="19"/>
      <c r="U62" s="19"/>
      <c r="Y62"/>
      <c r="Z62"/>
      <c r="AA62"/>
      <c r="AB62"/>
      <c r="AC62"/>
      <c r="AD62"/>
    </row>
    <row r="63" spans="1:30" x14ac:dyDescent="0.25">
      <c r="A63" s="126" t="s">
        <v>270</v>
      </c>
      <c r="B63" s="86" t="s">
        <v>299</v>
      </c>
      <c r="C63" s="87"/>
      <c r="D63" s="119"/>
      <c r="E63" s="23" t="s">
        <v>300</v>
      </c>
      <c r="G63" s="126" t="s">
        <v>273</v>
      </c>
      <c r="H63" s="86" t="s">
        <v>301</v>
      </c>
      <c r="I63" s="87"/>
      <c r="J63" s="99"/>
      <c r="K63" s="22" t="s">
        <v>300</v>
      </c>
      <c r="L63"/>
      <c r="M63" s="86" t="s">
        <v>284</v>
      </c>
      <c r="N63" s="87"/>
      <c r="P63" s="19"/>
      <c r="Q63" s="108"/>
      <c r="S63" s="19"/>
      <c r="U63" s="19"/>
      <c r="Y63"/>
      <c r="Z63"/>
      <c r="AA63"/>
      <c r="AB63"/>
      <c r="AC63"/>
      <c r="AD63"/>
    </row>
    <row r="64" spans="1:30" x14ac:dyDescent="0.25">
      <c r="A64" s="120">
        <f>B64*(1-'ACCEPT RATES'!C17)</f>
        <v>1.4940066266322096</v>
      </c>
      <c r="B64" s="29">
        <f>C64*(1+'ACCEPT RATES'!F17+'PIECE DENSITIES'!E9)</f>
        <v>24.372185355489375</v>
      </c>
      <c r="C64" s="50">
        <f>C14*('COVERAGE FACTORS'!C39+'COVERAGE FACTORS'!C43)</f>
        <v>22.947835686526574</v>
      </c>
      <c r="E64" s="23" t="s">
        <v>200</v>
      </c>
      <c r="G64" s="178">
        <f>H64*(1-'ACCEPT RATES'!C22)</f>
        <v>0</v>
      </c>
      <c r="H64" s="29">
        <f>I64*(1+'PIECE DENSITIES'!E14)</f>
        <v>0</v>
      </c>
      <c r="I64" s="50">
        <f>C14*'COVERAGE FACTORS'!C41</f>
        <v>0</v>
      </c>
      <c r="J64" s="112"/>
      <c r="K64" s="22" t="s">
        <v>200</v>
      </c>
      <c r="L64"/>
      <c r="M64" s="29">
        <f>N64</f>
        <v>0.13904316859946503</v>
      </c>
      <c r="N64" s="50">
        <f>C14*'COVERAGE FACTORS'!C45</f>
        <v>0.13904316859946503</v>
      </c>
      <c r="P64" s="19"/>
      <c r="Q64" s="108"/>
      <c r="S64" s="19"/>
      <c r="U64" s="19"/>
      <c r="Y64"/>
      <c r="Z64"/>
      <c r="AA64"/>
      <c r="AB64"/>
      <c r="AC64"/>
      <c r="AD64"/>
    </row>
    <row r="65" spans="1:30" x14ac:dyDescent="0.25">
      <c r="A65" s="179">
        <f>B65*(1-'ACCEPT RATES'!D17)</f>
        <v>0</v>
      </c>
      <c r="B65" s="85">
        <f>C65*(1+'ACCEPT RATES'!F17+'PIECE DENSITIES'!E9)</f>
        <v>0</v>
      </c>
      <c r="C65" s="84">
        <f>G14*('COVERAGE FACTORS'!C39+'COVERAGE FACTORS'!C43)</f>
        <v>0</v>
      </c>
      <c r="G65" s="179">
        <f>H65*(1-'ACCEPT RATES'!D22)</f>
        <v>0</v>
      </c>
      <c r="H65" s="85">
        <f>I65*(1+'PIECE DENSITIES'!E14)</f>
        <v>0</v>
      </c>
      <c r="I65" s="84">
        <f>G14*'COVERAGE FACTORS'!C41</f>
        <v>0</v>
      </c>
      <c r="J65" s="58"/>
      <c r="L65"/>
      <c r="M65" s="85">
        <f>N65</f>
        <v>0</v>
      </c>
      <c r="N65" s="84">
        <f>G14*'COVERAGE FACTORS'!C45</f>
        <v>0</v>
      </c>
      <c r="P65" s="19"/>
      <c r="Q65" s="108"/>
      <c r="S65" s="19"/>
      <c r="U65" s="19"/>
      <c r="Y65"/>
      <c r="Z65"/>
      <c r="AA65"/>
      <c r="AB65"/>
      <c r="AC65"/>
      <c r="AD65"/>
    </row>
    <row r="66" spans="1:30" x14ac:dyDescent="0.25">
      <c r="A66" s="121"/>
      <c r="B66" s="85"/>
      <c r="C66" s="84"/>
      <c r="G66" s="109">
        <f>H66*(1-'ACCEPT RATES'!C22)</f>
        <v>0</v>
      </c>
      <c r="H66" s="89">
        <f>I66*(1+'PIECE DENSITIES'!E14)</f>
        <v>0</v>
      </c>
      <c r="I66" s="90">
        <f>K14*('COVERAGE FACTORS'!C41+'COVERAGE FACTORS'!C43)</f>
        <v>0</v>
      </c>
      <c r="J66" s="58"/>
      <c r="L66"/>
      <c r="M66" s="89">
        <f>N66</f>
        <v>0</v>
      </c>
      <c r="N66" s="90">
        <f>K14*(1-('COVERAGE FACTORS'!C41+'COVERAGE FACTORS'!C43))</f>
        <v>0</v>
      </c>
      <c r="P66" s="19"/>
      <c r="Q66" s="108"/>
      <c r="S66" s="19"/>
      <c r="U66" s="19"/>
      <c r="Y66"/>
      <c r="Z66"/>
      <c r="AA66"/>
      <c r="AB66"/>
      <c r="AC66"/>
      <c r="AD66"/>
    </row>
    <row r="67" spans="1:30" x14ac:dyDescent="0.25">
      <c r="A67" s="121"/>
      <c r="B67" s="85"/>
      <c r="C67" s="84"/>
      <c r="G67" s="110">
        <f>H67*(1-'ACCEPT RATES'!D22)</f>
        <v>0</v>
      </c>
      <c r="H67" s="94">
        <f>I67*(1+'PIECE DENSITIES'!E14)</f>
        <v>0</v>
      </c>
      <c r="I67" s="92">
        <f>O14*('COVERAGE FACTORS'!C41+'COVERAGE FACTORS'!C43)</f>
        <v>0</v>
      </c>
      <c r="J67" s="58"/>
      <c r="L67"/>
      <c r="M67" s="94">
        <f>N67</f>
        <v>0</v>
      </c>
      <c r="N67" s="92">
        <f>O14*(1-('COVERAGE FACTORS'!C41+'COVERAGE FACTORS'!C43))</f>
        <v>0</v>
      </c>
      <c r="P67" s="19"/>
      <c r="Q67" s="108"/>
      <c r="S67" s="19"/>
      <c r="U67" s="19"/>
      <c r="Y67"/>
      <c r="Z67"/>
      <c r="AA67"/>
      <c r="AB67"/>
      <c r="AC67"/>
      <c r="AD67"/>
    </row>
    <row r="68" spans="1:30" x14ac:dyDescent="0.25">
      <c r="A68" s="183">
        <f>B68*(1-'ACCEPT RATES'!C17)</f>
        <v>1.4619951347095801</v>
      </c>
      <c r="B68" s="187">
        <f>C68*(1+'ACCEPT RATES'!F17+'PIECE DENSITIES'!E9)</f>
        <v>23.849972133180728</v>
      </c>
      <c r="C68" s="188">
        <f>(D32+D44+D58)*('COVERAGE FACTORS'!C39+'COVERAGE FACTORS'!C43)</f>
        <v>22.456141443926729</v>
      </c>
      <c r="G68" s="184">
        <f>IF(SUM(C11:C16)&gt;0, H68*(1-'ACCEPT RATES'!C22),H68*(1-'ACCEPT RATES'!D22))</f>
        <v>0</v>
      </c>
      <c r="H68" s="185">
        <f>I68*(1+'PIECE DENSITIES'!E14)</f>
        <v>0</v>
      </c>
      <c r="I68" s="186">
        <f>(D32+D44+D58)*'COVERAGE FACTORS'!C41+(J32+J44+J58)*('COVERAGE FACTORS'!C41+'COVERAGE FACTORS'!C43)</f>
        <v>0</v>
      </c>
      <c r="J68" s="58"/>
      <c r="L68"/>
      <c r="M68" s="101">
        <f>N68</f>
        <v>4.8020898946865547</v>
      </c>
      <c r="N68" s="100">
        <f>D62+J62+O32+O44+O58+(D32+D44+D58)*'COVERAGE FACTORS'!C45+(J32+J44+J58)*(1-('COVERAGE FACTORS'!C41+'COVERAGE FACTORS'!C43))</f>
        <v>4.8020898946865547</v>
      </c>
      <c r="P68" s="19"/>
      <c r="Q68" s="108"/>
      <c r="S68" s="19"/>
      <c r="U68" s="19"/>
      <c r="Y68"/>
      <c r="Z68"/>
      <c r="AA68"/>
      <c r="AB68"/>
      <c r="AC68"/>
      <c r="AD68"/>
    </row>
    <row r="69" spans="1:30" x14ac:dyDescent="0.25">
      <c r="A69" s="113"/>
      <c r="C69" s="97"/>
      <c r="D69" s="364">
        <f>(SUM(C64:C68)-D62)*'PIECE DENSITIES'!F9</f>
        <v>0.96522561348639757</v>
      </c>
      <c r="E69" s="23" t="s">
        <v>285</v>
      </c>
      <c r="G69" s="113"/>
      <c r="I69" s="98"/>
      <c r="J69" s="181">
        <f>(SUM(I64:I68)-J62)*'PIECE DENSITIES'!F14</f>
        <v>0</v>
      </c>
      <c r="K69" s="23" t="s">
        <v>286</v>
      </c>
      <c r="L69"/>
      <c r="M69" s="19"/>
      <c r="O69" s="95">
        <f>SUM(N64:N68)*'PIECE DENSITIES'!F19</f>
        <v>0.12781638038234255</v>
      </c>
      <c r="P69" s="23" t="s">
        <v>287</v>
      </c>
      <c r="Q69" s="108"/>
      <c r="S69" s="19"/>
      <c r="U69" s="19"/>
      <c r="Y69"/>
      <c r="Z69"/>
      <c r="AA69"/>
      <c r="AB69"/>
      <c r="AC69"/>
      <c r="AD69"/>
    </row>
    <row r="70" spans="1:30" x14ac:dyDescent="0.25">
      <c r="A70" s="113"/>
      <c r="C70" s="97"/>
      <c r="D70" s="364">
        <f>(SUM(C64:C68)-D62)*'PIECE DENSITIES'!G9</f>
        <v>42.179189410897663</v>
      </c>
      <c r="E70" s="23" t="s">
        <v>288</v>
      </c>
      <c r="G70" s="113"/>
      <c r="I70" s="98"/>
      <c r="J70" s="181">
        <f>(SUM(I64:I68)-J62)*'PIECE DENSITIES'!G14</f>
        <v>0</v>
      </c>
      <c r="K70" s="23" t="s">
        <v>289</v>
      </c>
      <c r="L70"/>
      <c r="M70" s="19"/>
      <c r="O70" s="95">
        <f>SUM(N64:N68)*'PIECE DENSITIES'!G19</f>
        <v>4.8133166829036771</v>
      </c>
      <c r="P70" s="23" t="s">
        <v>290</v>
      </c>
      <c r="Q70" s="108"/>
      <c r="S70" s="19"/>
      <c r="U70" s="19"/>
      <c r="Y70"/>
      <c r="Z70"/>
      <c r="AA70"/>
      <c r="AB70"/>
      <c r="AC70"/>
      <c r="AD70"/>
    </row>
    <row r="71" spans="1:30" x14ac:dyDescent="0.25">
      <c r="A71" s="113"/>
      <c r="C71" s="97"/>
      <c r="G71" s="113"/>
      <c r="I71" s="98"/>
      <c r="J71" s="91"/>
      <c r="L71"/>
      <c r="M71" s="19"/>
      <c r="O71" s="96"/>
      <c r="P71" s="19"/>
      <c r="Q71" s="108"/>
      <c r="S71" s="19"/>
      <c r="U71" s="19"/>
      <c r="Y71"/>
      <c r="Z71"/>
      <c r="AA71"/>
      <c r="AB71"/>
      <c r="AC71"/>
      <c r="AD71"/>
    </row>
    <row r="72" spans="1:30" x14ac:dyDescent="0.25">
      <c r="A72" s="113"/>
      <c r="D72" s="96">
        <f>SUM(A74:A78)*(1-'ACCEPT RATES'!G17)+SUM(C74:C78)*SUM('ACCEPT RATES'!I17:J17)</f>
        <v>0.39479071017506395</v>
      </c>
      <c r="E72" s="23" t="s">
        <v>269</v>
      </c>
      <c r="G72" s="121"/>
      <c r="I72" s="23"/>
      <c r="J72" s="96">
        <f>SUM(G74:G78)*(1-'ACCEPT RATES'!E22)</f>
        <v>0</v>
      </c>
      <c r="K72" s="23" t="s">
        <v>269</v>
      </c>
      <c r="L72"/>
      <c r="M72" s="19"/>
      <c r="P72" s="23"/>
      <c r="Q72" s="108"/>
      <c r="S72" s="19"/>
      <c r="U72" s="19"/>
      <c r="Y72"/>
      <c r="Z72"/>
      <c r="AA72"/>
      <c r="AB72"/>
      <c r="AC72"/>
      <c r="AD72"/>
    </row>
    <row r="73" spans="1:30" x14ac:dyDescent="0.25">
      <c r="A73" s="126" t="s">
        <v>270</v>
      </c>
      <c r="B73" s="86" t="s">
        <v>302</v>
      </c>
      <c r="C73" s="87"/>
      <c r="D73" s="119"/>
      <c r="E73" s="23" t="s">
        <v>303</v>
      </c>
      <c r="G73" s="126" t="s">
        <v>273</v>
      </c>
      <c r="H73" s="86" t="s">
        <v>304</v>
      </c>
      <c r="I73" s="87"/>
      <c r="J73" s="99"/>
      <c r="K73" s="22" t="s">
        <v>303</v>
      </c>
      <c r="L73"/>
      <c r="M73" s="86" t="s">
        <v>287</v>
      </c>
      <c r="N73" s="87"/>
      <c r="P73" s="19"/>
      <c r="Q73" s="108"/>
      <c r="S73" s="19"/>
      <c r="U73" s="19"/>
      <c r="Y73"/>
      <c r="Z73"/>
      <c r="AA73"/>
      <c r="AB73"/>
      <c r="AC73"/>
      <c r="AD73"/>
    </row>
    <row r="74" spans="1:30" x14ac:dyDescent="0.25">
      <c r="A74" s="120">
        <f>B74*(1-'ACCEPT RATES'!C17)</f>
        <v>0</v>
      </c>
      <c r="B74" s="29">
        <f>C74*(1+'ACCEPT RATES'!F17)</f>
        <v>0</v>
      </c>
      <c r="C74" s="50">
        <f>C15*('COVERAGE FACTORS'!C39+'COVERAGE FACTORS'!C43)</f>
        <v>0</v>
      </c>
      <c r="E74" s="23" t="s">
        <v>200</v>
      </c>
      <c r="G74" s="178">
        <f>H74*(1-'ACCEPT RATES'!C22)</f>
        <v>0</v>
      </c>
      <c r="H74" s="29">
        <f>I74</f>
        <v>0</v>
      </c>
      <c r="I74" s="50">
        <f>C15*'COVERAGE FACTORS'!C41</f>
        <v>0</v>
      </c>
      <c r="J74" s="112"/>
      <c r="K74" s="22" t="s">
        <v>200</v>
      </c>
      <c r="L74"/>
      <c r="M74" s="29">
        <f>N74</f>
        <v>0</v>
      </c>
      <c r="N74" s="50">
        <f>C15*'COVERAGE FACTORS'!C45</f>
        <v>0</v>
      </c>
      <c r="P74" s="19"/>
      <c r="Q74" s="108"/>
      <c r="S74" s="19"/>
      <c r="U74" s="19"/>
      <c r="Y74"/>
      <c r="Z74"/>
      <c r="AA74"/>
      <c r="AB74"/>
      <c r="AC74"/>
      <c r="AD74"/>
    </row>
    <row r="75" spans="1:30" x14ac:dyDescent="0.25">
      <c r="A75" s="179">
        <f>B75*(1-'ACCEPT RATES'!D17)</f>
        <v>0</v>
      </c>
      <c r="B75" s="85">
        <f>C75*(1+'ACCEPT RATES'!F17)</f>
        <v>0</v>
      </c>
      <c r="C75" s="84">
        <f>G15*('COVERAGE FACTORS'!C39+'COVERAGE FACTORS'!C43)</f>
        <v>0</v>
      </c>
      <c r="G75" s="179">
        <f>H75*(1-'ACCEPT RATES'!D22)</f>
        <v>0</v>
      </c>
      <c r="H75" s="85">
        <f>I75</f>
        <v>0</v>
      </c>
      <c r="I75" s="84">
        <f>G15*'COVERAGE FACTORS'!C41</f>
        <v>0</v>
      </c>
      <c r="J75" s="58"/>
      <c r="L75"/>
      <c r="M75" s="85">
        <f>N75</f>
        <v>0</v>
      </c>
      <c r="N75" s="84">
        <f>G15*'COVERAGE FACTORS'!C45</f>
        <v>0</v>
      </c>
      <c r="P75" s="19"/>
      <c r="Q75" s="108"/>
      <c r="S75" s="19"/>
      <c r="U75" s="19"/>
      <c r="Y75"/>
      <c r="Z75"/>
      <c r="AA75"/>
      <c r="AB75"/>
      <c r="AC75"/>
      <c r="AD75"/>
    </row>
    <row r="76" spans="1:30" x14ac:dyDescent="0.25">
      <c r="A76" s="121"/>
      <c r="B76" s="85"/>
      <c r="C76" s="84"/>
      <c r="G76" s="109">
        <f>H76*(1-'ACCEPT RATES'!C22)</f>
        <v>0</v>
      </c>
      <c r="H76" s="89">
        <f>I76</f>
        <v>0</v>
      </c>
      <c r="I76" s="90">
        <f>K15*('COVERAGE FACTORS'!C41+'COVERAGE FACTORS'!C43)</f>
        <v>0</v>
      </c>
      <c r="J76" s="58"/>
      <c r="L76"/>
      <c r="M76" s="89">
        <f>N76</f>
        <v>0</v>
      </c>
      <c r="N76" s="90">
        <f>K15*(1-('COVERAGE FACTORS'!C41+'COVERAGE FACTORS'!C43))</f>
        <v>0</v>
      </c>
      <c r="P76" s="19"/>
      <c r="Q76" s="108"/>
      <c r="S76" s="19"/>
      <c r="U76" s="19"/>
      <c r="Y76"/>
      <c r="Z76"/>
      <c r="AA76"/>
      <c r="AB76"/>
      <c r="AC76"/>
      <c r="AD76"/>
    </row>
    <row r="77" spans="1:30" x14ac:dyDescent="0.25">
      <c r="A77" s="121"/>
      <c r="B77" s="85"/>
      <c r="C77" s="84"/>
      <c r="G77" s="110">
        <f>H77*(1-'ACCEPT RATES'!D22)</f>
        <v>0</v>
      </c>
      <c r="H77" s="94">
        <f>I77</f>
        <v>0</v>
      </c>
      <c r="I77" s="92">
        <f>O15*('COVERAGE FACTORS'!C41+'COVERAGE FACTORS'!C43)</f>
        <v>0</v>
      </c>
      <c r="J77" s="58"/>
      <c r="L77"/>
      <c r="M77" s="94">
        <f>N77</f>
        <v>0</v>
      </c>
      <c r="N77" s="92">
        <f>O15*(1-('COVERAGE FACTORS'!C41+'COVERAGE FACTORS'!C43))</f>
        <v>0</v>
      </c>
      <c r="P77" s="19"/>
      <c r="Q77" s="108"/>
      <c r="S77" s="19"/>
      <c r="U77" s="19"/>
      <c r="Y77"/>
      <c r="Z77"/>
      <c r="AA77"/>
      <c r="AB77"/>
      <c r="AC77"/>
      <c r="AD77"/>
    </row>
    <row r="78" spans="1:30" x14ac:dyDescent="0.25">
      <c r="A78" s="183">
        <f>B78*(1-'ACCEPT RATES'!C17)</f>
        <v>0.4933145477333119</v>
      </c>
      <c r="B78" s="187">
        <f>C78*(1+'ACCEPT RATES'!F17)</f>
        <v>8.0475905404906314</v>
      </c>
      <c r="C78" s="188">
        <f>(D33+D45+D59+D69)*('COVERAGE FACTORS'!C39+'COVERAGE FACTORS'!C43)</f>
        <v>7.9700629045745366</v>
      </c>
      <c r="G78" s="184">
        <f>IF(SUM(C11:C16)&gt;0,H78*(1-'ACCEPT RATES'!C22),H78*(1-'ACCEPT RATES'!D22))</f>
        <v>0</v>
      </c>
      <c r="H78" s="185">
        <f>I78</f>
        <v>0</v>
      </c>
      <c r="I78" s="186">
        <f>(D33+D45+D59+D69)*'COVERAGE FACTORS'!C41+(J33+J45+J59+J69)*('COVERAGE FACTORS'!C41+'COVERAGE FACTORS'!C43)</f>
        <v>0</v>
      </c>
      <c r="J78" s="58"/>
      <c r="L78"/>
      <c r="M78" s="101">
        <f ca="1">N78</f>
        <v>0.97809577843193696</v>
      </c>
      <c r="N78" s="100">
        <f ca="1">D72+J72+O33+O45+O59+O69+(D33+D45+D59+D69)*'COVERAGE FACTORS'!C45+(J33+J45+J59+J69)*(1-('COVERAGE FACTORS'!C41+'COVERAGE FACTORS'!C43))+D106</f>
        <v>0.97809577843193696</v>
      </c>
      <c r="P78" s="19"/>
      <c r="Q78" s="108"/>
      <c r="S78" s="19"/>
      <c r="U78" s="19"/>
      <c r="Y78"/>
      <c r="Z78"/>
      <c r="AA78"/>
      <c r="AB78"/>
      <c r="AC78"/>
      <c r="AD78"/>
    </row>
    <row r="79" spans="1:30" x14ac:dyDescent="0.25">
      <c r="A79" s="113"/>
      <c r="C79" s="97"/>
      <c r="D79" s="364">
        <f>SUM(C74:C78)-D72</f>
        <v>7.5752721943994725</v>
      </c>
      <c r="E79" s="23" t="s">
        <v>288</v>
      </c>
      <c r="G79" s="113"/>
      <c r="I79" s="98"/>
      <c r="J79" s="181">
        <f>SUM(I74:I78)-J72</f>
        <v>0</v>
      </c>
      <c r="K79" s="23" t="s">
        <v>289</v>
      </c>
      <c r="L79"/>
      <c r="M79" s="19"/>
      <c r="O79" s="95">
        <f ca="1">SUM(N74:N78)</f>
        <v>0.97809577843193696</v>
      </c>
      <c r="P79" s="23" t="s">
        <v>290</v>
      </c>
      <c r="Q79" s="108"/>
      <c r="S79" s="19"/>
      <c r="U79" s="19"/>
      <c r="Y79"/>
      <c r="Z79"/>
      <c r="AA79"/>
      <c r="AB79"/>
      <c r="AC79"/>
      <c r="AD79"/>
    </row>
    <row r="80" spans="1:30" x14ac:dyDescent="0.25">
      <c r="A80" s="113"/>
      <c r="C80" s="97"/>
      <c r="E80" s="23"/>
      <c r="G80" s="113"/>
      <c r="I80" s="98"/>
      <c r="J80" s="91"/>
      <c r="K80" s="23"/>
      <c r="L80"/>
      <c r="M80" s="19"/>
      <c r="O80" s="96"/>
      <c r="P80" s="23"/>
      <c r="Q80" s="108"/>
      <c r="S80" s="19"/>
      <c r="U80" s="19"/>
      <c r="Y80"/>
      <c r="Z80"/>
      <c r="AA80"/>
      <c r="AB80"/>
      <c r="AC80"/>
      <c r="AD80"/>
    </row>
    <row r="81" spans="1:30" x14ac:dyDescent="0.25">
      <c r="A81" s="113"/>
      <c r="D81" s="96">
        <f>SUM(A83:A87)*(1-'ACCEPT RATES'!G17)+SUM(C83:C87)*SUM('ACCEPT RATES'!I17:J17)</f>
        <v>491.78343470692568</v>
      </c>
      <c r="E81" s="23" t="s">
        <v>269</v>
      </c>
      <c r="G81" s="121"/>
      <c r="I81" s="23"/>
      <c r="J81" s="96">
        <f>I85*(1-'ACCEPT RATES'!C22)</f>
        <v>0</v>
      </c>
      <c r="K81" s="23" t="s">
        <v>269</v>
      </c>
      <c r="L81"/>
      <c r="M81" s="19"/>
      <c r="P81" s="23"/>
      <c r="Q81" s="108"/>
      <c r="S81" s="19"/>
      <c r="U81" s="19"/>
      <c r="Y81"/>
      <c r="Z81"/>
      <c r="AA81"/>
      <c r="AB81"/>
      <c r="AC81"/>
      <c r="AD81"/>
    </row>
    <row r="82" spans="1:30" x14ac:dyDescent="0.25">
      <c r="A82" s="126" t="s">
        <v>270</v>
      </c>
      <c r="B82" s="86" t="s">
        <v>305</v>
      </c>
      <c r="C82" s="87"/>
      <c r="D82" s="119"/>
      <c r="E82" s="23" t="s">
        <v>306</v>
      </c>
      <c r="G82" s="126" t="s">
        <v>273</v>
      </c>
      <c r="H82" s="86" t="s">
        <v>307</v>
      </c>
      <c r="I82" s="87"/>
      <c r="J82" s="99"/>
      <c r="K82" s="22" t="s">
        <v>306</v>
      </c>
      <c r="L82"/>
      <c r="M82" s="86" t="s">
        <v>290</v>
      </c>
      <c r="N82" s="87"/>
      <c r="P82" s="19"/>
      <c r="Q82" s="108"/>
      <c r="S82" s="19"/>
      <c r="U82" s="19"/>
      <c r="Y82"/>
      <c r="Z82"/>
      <c r="AA82"/>
      <c r="AB82"/>
      <c r="AC82"/>
      <c r="AD82"/>
    </row>
    <row r="83" spans="1:30" x14ac:dyDescent="0.25">
      <c r="A83" s="120">
        <f>B83*(1-'ACCEPT RATES'!C17)</f>
        <v>607.27274286074669</v>
      </c>
      <c r="B83" s="29">
        <f>C83*(1+'ACCEPT RATES'!F17)</f>
        <v>9906.6253030630742</v>
      </c>
      <c r="C83" s="50">
        <f>C16*('COVERAGE FACTORS'!C55+'COVERAGE FACTORS'!C59)</f>
        <v>9811.1883849210863</v>
      </c>
      <c r="E83" s="23" t="s">
        <v>200</v>
      </c>
      <c r="G83" s="178">
        <v>0</v>
      </c>
      <c r="H83" s="29">
        <f>I83</f>
        <v>0</v>
      </c>
      <c r="I83" s="50">
        <f>C16*'COVERAGE FACTORS'!C57</f>
        <v>0</v>
      </c>
      <c r="J83" s="112"/>
      <c r="K83" s="22" t="s">
        <v>200</v>
      </c>
      <c r="L83"/>
      <c r="M83" s="29">
        <f>N83</f>
        <v>59.446944775129701</v>
      </c>
      <c r="N83" s="50">
        <f>C16*'COVERAGE FACTORS'!C61</f>
        <v>59.446944775129701</v>
      </c>
      <c r="P83" s="19"/>
      <c r="Q83" s="108"/>
      <c r="S83" s="19"/>
      <c r="U83" s="19"/>
      <c r="Y83"/>
      <c r="Z83"/>
      <c r="AA83"/>
      <c r="AB83"/>
      <c r="AC83"/>
      <c r="AD83"/>
    </row>
    <row r="84" spans="1:30" x14ac:dyDescent="0.25">
      <c r="A84" s="179">
        <f>B84*(1-'ACCEPT RATES'!D17)</f>
        <v>0</v>
      </c>
      <c r="B84" s="85">
        <f>C84*(1+'ACCEPT RATES'!F17)</f>
        <v>0</v>
      </c>
      <c r="C84" s="84">
        <f>G16*('COVERAGE FACTORS'!C55+'COVERAGE FACTORS'!C59)</f>
        <v>0</v>
      </c>
      <c r="G84" s="179">
        <v>0</v>
      </c>
      <c r="H84" s="85">
        <f>I84</f>
        <v>0</v>
      </c>
      <c r="I84" s="84">
        <f>G16*'COVERAGE FACTORS'!C57</f>
        <v>0</v>
      </c>
      <c r="J84" s="58"/>
      <c r="L84"/>
      <c r="M84" s="85">
        <f>N84</f>
        <v>0</v>
      </c>
      <c r="N84" s="84">
        <f>G16*'COVERAGE FACTORS'!C61</f>
        <v>0</v>
      </c>
      <c r="P84" s="19"/>
      <c r="Q84" s="108"/>
      <c r="S84" s="19"/>
      <c r="U84" s="19"/>
      <c r="Y84"/>
      <c r="Z84"/>
      <c r="AA84"/>
      <c r="AB84"/>
      <c r="AC84"/>
      <c r="AD84"/>
    </row>
    <row r="85" spans="1:30" x14ac:dyDescent="0.25">
      <c r="A85" s="121"/>
      <c r="B85" s="85"/>
      <c r="C85" s="84"/>
      <c r="G85" s="109">
        <v>0</v>
      </c>
      <c r="H85" s="89">
        <f>I85</f>
        <v>0</v>
      </c>
      <c r="I85" s="90">
        <f>K16*('COVERAGE FACTORS'!C57+'COVERAGE FACTORS'!C59)</f>
        <v>0</v>
      </c>
      <c r="J85" s="58"/>
      <c r="L85"/>
      <c r="M85" s="89">
        <f>N85</f>
        <v>0</v>
      </c>
      <c r="N85" s="90">
        <f>K16*(1-('COVERAGE FACTORS'!C57+'COVERAGE FACTORS'!C59+'COVERAGE FACTORS'!C53))</f>
        <v>0</v>
      </c>
      <c r="P85" s="19"/>
      <c r="Q85" s="108"/>
      <c r="S85" s="19"/>
      <c r="U85" s="19"/>
      <c r="Y85"/>
      <c r="Z85"/>
      <c r="AA85"/>
      <c r="AB85"/>
      <c r="AC85"/>
      <c r="AD85"/>
    </row>
    <row r="86" spans="1:30" x14ac:dyDescent="0.25">
      <c r="A86" s="121"/>
      <c r="B86" s="85"/>
      <c r="C86" s="84"/>
      <c r="G86" s="110">
        <v>0</v>
      </c>
      <c r="H86" s="94">
        <f>I86</f>
        <v>0</v>
      </c>
      <c r="I86" s="92">
        <f>O16*('COVERAGE FACTORS'!C57+'COVERAGE FACTORS'!C59)</f>
        <v>0</v>
      </c>
      <c r="J86" s="58"/>
      <c r="L86"/>
      <c r="M86" s="94">
        <f>N86</f>
        <v>0</v>
      </c>
      <c r="N86" s="92">
        <f>O16*(1-('COVERAGE FACTORS'!C57+'COVERAGE FACTORS'!C59+'COVERAGE FACTORS'!C53))</f>
        <v>0</v>
      </c>
      <c r="P86" s="19"/>
      <c r="Q86" s="108"/>
      <c r="S86" s="19"/>
      <c r="U86" s="19"/>
      <c r="Y86"/>
      <c r="Z86"/>
      <c r="AA86"/>
      <c r="AB86"/>
      <c r="AC86"/>
      <c r="AD86"/>
    </row>
    <row r="87" spans="1:30" x14ac:dyDescent="0.25">
      <c r="A87" s="183">
        <f>B87*(1-'ACCEPT RATES'!C17)</f>
        <v>7.2400012907119491</v>
      </c>
      <c r="B87" s="187">
        <f>C87*(1+'ACCEPT RATES'!F17)</f>
        <v>118.10834723603475</v>
      </c>
      <c r="C87" s="188">
        <f>(D34+D46+D60+D70+D79)*('COVERAGE FACTORS'!C55+'COVERAGE FACTORS'!C59)</f>
        <v>116.97053326586614</v>
      </c>
      <c r="G87" s="184">
        <v>0</v>
      </c>
      <c r="H87" s="185">
        <f>I87</f>
        <v>0</v>
      </c>
      <c r="I87" s="186">
        <f>(D34+D46+D60+D70+D79)*'COVERAGE FACTORS'!C57+(J34+J46+J60+J70+J79)*('COVERAGE FACTORS'!C57+'COVERAGE FACTORS'!C59)</f>
        <v>0</v>
      </c>
      <c r="J87" s="182"/>
      <c r="L87"/>
      <c r="M87" s="101">
        <f ca="1">N87</f>
        <v>504.17757174483251</v>
      </c>
      <c r="N87" s="100">
        <f ca="1">D81+J81+(O34+O46+O60+O70+O79)+(D34+D46+D60+D70+D79)*'COVERAGE FACTORS'!C61+(J34+J46+J60+J70+J79)*(1-('COVERAGE FACTORS'!C57+'COVERAGE FACTORS'!C59))+D120</f>
        <v>504.17757174483251</v>
      </c>
      <c r="P87" s="19"/>
      <c r="Q87" s="108"/>
      <c r="S87" s="19"/>
      <c r="U87" s="19"/>
      <c r="Y87"/>
      <c r="Z87"/>
      <c r="AA87"/>
      <c r="AB87"/>
      <c r="AC87"/>
      <c r="AD87"/>
    </row>
    <row r="88" spans="1:30" x14ac:dyDescent="0.25">
      <c r="A88" s="113"/>
      <c r="C88" s="97"/>
      <c r="D88" s="102">
        <f>SUM(C83:C87)-D81</f>
        <v>9436.3754834800275</v>
      </c>
      <c r="E88" s="23"/>
      <c r="G88" s="366"/>
      <c r="H88" s="367"/>
      <c r="I88" s="367"/>
      <c r="J88" s="368">
        <f>SUM(I83:I87)-J81</f>
        <v>0</v>
      </c>
      <c r="K88" s="23"/>
      <c r="L88"/>
      <c r="M88" s="19"/>
      <c r="O88" s="189">
        <f ca="1">SUM(N83:N87)</f>
        <v>563.62451651996219</v>
      </c>
      <c r="P88" s="23"/>
      <c r="Q88" s="108"/>
      <c r="S88" s="19"/>
      <c r="U88" s="19"/>
      <c r="Y88"/>
      <c r="Z88"/>
      <c r="AA88"/>
      <c r="AB88"/>
      <c r="AC88"/>
      <c r="AD88"/>
    </row>
    <row r="89" spans="1:30" x14ac:dyDescent="0.25">
      <c r="A89" s="113"/>
      <c r="C89" s="97"/>
      <c r="D89" s="22" t="s">
        <v>308</v>
      </c>
      <c r="E89" s="23"/>
      <c r="G89" s="113"/>
      <c r="I89" s="98"/>
      <c r="J89" s="22" t="s">
        <v>308</v>
      </c>
      <c r="K89" s="23"/>
      <c r="L89"/>
      <c r="M89" s="19"/>
      <c r="O89" s="22" t="s">
        <v>308</v>
      </c>
      <c r="P89" s="23"/>
      <c r="Q89" s="108"/>
      <c r="S89" s="19"/>
      <c r="U89" s="19"/>
      <c r="Y89"/>
      <c r="Z89"/>
      <c r="AA89"/>
      <c r="AB89"/>
      <c r="AC89"/>
      <c r="AD89"/>
    </row>
    <row r="90" spans="1:30" x14ac:dyDescent="0.25">
      <c r="A90" s="113"/>
      <c r="G90" s="113"/>
      <c r="H90"/>
      <c r="I90" s="19"/>
      <c r="J90" s="58"/>
      <c r="P90" s="19"/>
      <c r="Q90" s="108"/>
      <c r="S90" s="19"/>
      <c r="U90" s="19"/>
      <c r="Y90"/>
      <c r="Z90"/>
      <c r="AA90"/>
      <c r="AB90"/>
      <c r="AC90"/>
      <c r="AD90"/>
    </row>
    <row r="91" spans="1:30" x14ac:dyDescent="0.25">
      <c r="A91" s="113"/>
      <c r="D91" s="437" t="s">
        <v>269</v>
      </c>
      <c r="E91" s="437"/>
      <c r="G91" s="113"/>
      <c r="H91"/>
      <c r="I91" s="19"/>
      <c r="J91" s="58"/>
      <c r="P91" s="19"/>
      <c r="Q91" s="108"/>
      <c r="S91" s="19"/>
      <c r="U91" s="19"/>
      <c r="Y91"/>
      <c r="Z91"/>
      <c r="AA91"/>
      <c r="AB91"/>
      <c r="AC91"/>
      <c r="AD91"/>
    </row>
    <row r="92" spans="1:30" x14ac:dyDescent="0.25">
      <c r="A92" s="114"/>
      <c r="B92" s="116"/>
      <c r="C92" s="116"/>
      <c r="D92" s="22" t="s">
        <v>309</v>
      </c>
      <c r="E92" s="23" t="s">
        <v>310</v>
      </c>
      <c r="F92" s="116"/>
      <c r="G92" s="114"/>
      <c r="H92" s="115"/>
      <c r="I92" s="116"/>
      <c r="J92" s="117"/>
      <c r="K92" s="116"/>
      <c r="L92" s="116"/>
      <c r="M92" s="115"/>
      <c r="N92" s="116"/>
      <c r="O92" s="117"/>
      <c r="P92" s="116"/>
      <c r="Q92" s="118"/>
      <c r="S92" s="19"/>
      <c r="U92" s="19"/>
      <c r="Y92"/>
      <c r="Z92"/>
      <c r="AA92"/>
      <c r="AB92"/>
      <c r="AC92"/>
      <c r="AD92"/>
    </row>
    <row r="93" spans="1:30" x14ac:dyDescent="0.25">
      <c r="D93" s="266">
        <f ca="1">SUM(A95:A99)*(1-'ACCEPT RATES'!G24)+SUM(B95:B99)*'ACCEPT RATES'!J24</f>
        <v>0</v>
      </c>
      <c r="E93" s="267">
        <f ca="1">SUM(B95:B99)*'ACCEPT RATES'!I24</f>
        <v>0</v>
      </c>
    </row>
    <row r="94" spans="1:30" x14ac:dyDescent="0.25">
      <c r="A94" s="23" t="s">
        <v>270</v>
      </c>
      <c r="B94" s="213" t="s">
        <v>99</v>
      </c>
      <c r="C94" s="212"/>
      <c r="E94" s="23" t="s">
        <v>306</v>
      </c>
    </row>
    <row r="95" spans="1:30" x14ac:dyDescent="0.25">
      <c r="A95" s="50">
        <f>B95*(1-'ACCEPT RATES'!C24)</f>
        <v>0</v>
      </c>
      <c r="B95" s="29">
        <f>C95*(1+'ACCEPT RATES'!F17)</f>
        <v>0</v>
      </c>
      <c r="C95" s="50">
        <f>C16*'COVERAGE FACTORS'!C53</f>
        <v>0</v>
      </c>
      <c r="E95" s="23" t="s">
        <v>200</v>
      </c>
    </row>
    <row r="96" spans="1:30" x14ac:dyDescent="0.25">
      <c r="A96" s="84">
        <f>B96*(1-'ACCEPT RATES'!D24)</f>
        <v>0</v>
      </c>
      <c r="B96" s="85">
        <f>C96*(1+'ACCEPT RATES'!F17)</f>
        <v>0</v>
      </c>
      <c r="C96" s="84">
        <f>G16*'COVERAGE FACTORS'!C53</f>
        <v>0</v>
      </c>
    </row>
    <row r="97" spans="1:11" x14ac:dyDescent="0.25">
      <c r="A97" s="90">
        <f>B97*(1-'ACCEPT RATES'!C24)</f>
        <v>0</v>
      </c>
      <c r="B97" s="89">
        <f>C97*(1+'ACCEPT RATES'!F17)</f>
        <v>0</v>
      </c>
      <c r="C97" s="90">
        <f>K16*'COVERAGE FACTORS'!C53</f>
        <v>0</v>
      </c>
    </row>
    <row r="98" spans="1:11" x14ac:dyDescent="0.25">
      <c r="A98" s="92">
        <f>B98*(1-'ACCEPT RATES'!D24)</f>
        <v>0</v>
      </c>
      <c r="B98" s="94">
        <f>C98*(1+'ACCEPT RATES'!F17)</f>
        <v>0</v>
      </c>
      <c r="C98" s="92">
        <f>O16*'COVERAGE FACTORS'!C53</f>
        <v>0</v>
      </c>
    </row>
    <row r="99" spans="1:11" x14ac:dyDescent="0.25">
      <c r="A99" s="214">
        <f ca="1">B99*(1-'ACCEPT RATES'!C24)</f>
        <v>0</v>
      </c>
      <c r="B99" s="215">
        <f ca="1">C99*(1+'ACCEPT RATES'!F17)</f>
        <v>0</v>
      </c>
      <c r="C99" s="214">
        <f ca="1">(D16+D34+D46+D60+D70+D79)*'COVERAGE FACTORS'!C53+D114</f>
        <v>0</v>
      </c>
    </row>
    <row r="100" spans="1:11" x14ac:dyDescent="0.25">
      <c r="D100" s="369">
        <f ca="1">SUM(C95:C99)-D93-E93</f>
        <v>0</v>
      </c>
    </row>
    <row r="101" spans="1:11" x14ac:dyDescent="0.25">
      <c r="D101" s="22" t="s">
        <v>311</v>
      </c>
    </row>
    <row r="105" spans="1:11" x14ac:dyDescent="0.25">
      <c r="D105" s="22"/>
    </row>
    <row r="106" spans="1:11" x14ac:dyDescent="0.25">
      <c r="A106" s="113"/>
      <c r="D106" s="258">
        <f ca="1">A112*(1-'ACCEPT RATES'!G17)+B112*('ACCEPT RATES'!I17+'ACCEPT RATES'!J17)</f>
        <v>0</v>
      </c>
      <c r="E106" s="23" t="s">
        <v>269</v>
      </c>
      <c r="G106" s="438" t="s">
        <v>312</v>
      </c>
      <c r="H106" s="438"/>
      <c r="I106" s="438"/>
      <c r="J106" s="438"/>
      <c r="K106" s="438"/>
    </row>
    <row r="107" spans="1:11" x14ac:dyDescent="0.25">
      <c r="A107" s="126" t="s">
        <v>270</v>
      </c>
      <c r="B107" s="86" t="s">
        <v>313</v>
      </c>
      <c r="C107" s="87"/>
      <c r="D107"/>
      <c r="E107" s="23" t="s">
        <v>303</v>
      </c>
      <c r="G107" s="438"/>
      <c r="H107" s="438"/>
      <c r="I107" s="438"/>
      <c r="J107" s="438"/>
      <c r="K107" s="438"/>
    </row>
    <row r="108" spans="1:11" x14ac:dyDescent="0.25">
      <c r="A108" s="50"/>
      <c r="B108" s="29"/>
      <c r="C108" s="50"/>
      <c r="E108" s="23" t="s">
        <v>200</v>
      </c>
      <c r="G108" s="438"/>
      <c r="H108" s="438"/>
      <c r="I108" s="438"/>
      <c r="J108" s="438"/>
      <c r="K108" s="438"/>
    </row>
    <row r="109" spans="1:11" x14ac:dyDescent="0.25">
      <c r="A109" s="179"/>
      <c r="B109" s="85"/>
      <c r="C109" s="84"/>
      <c r="G109" s="438"/>
      <c r="H109" s="438"/>
      <c r="I109" s="438"/>
      <c r="J109" s="438"/>
      <c r="K109" s="438"/>
    </row>
    <row r="110" spans="1:11" x14ac:dyDescent="0.25">
      <c r="A110" s="121"/>
      <c r="B110" s="85"/>
      <c r="C110" s="84"/>
      <c r="G110" s="438"/>
      <c r="H110" s="438"/>
      <c r="I110" s="438"/>
      <c r="J110" s="438"/>
      <c r="K110" s="438"/>
    </row>
    <row r="111" spans="1:11" x14ac:dyDescent="0.25">
      <c r="A111" s="121"/>
      <c r="B111" s="85"/>
      <c r="C111" s="84"/>
      <c r="G111" s="438"/>
      <c r="H111" s="438"/>
      <c r="I111" s="438"/>
      <c r="J111" s="438"/>
      <c r="K111" s="438"/>
    </row>
    <row r="112" spans="1:11" x14ac:dyDescent="0.25">
      <c r="A112" s="259">
        <f ca="1">B112*(1-'ACCEPT RATES'!$C$17)</f>
        <v>0</v>
      </c>
      <c r="B112" s="260">
        <f ca="1">C112*(1+'ACCEPT RATES'!$F$17)</f>
        <v>0</v>
      </c>
      <c r="C112" s="261">
        <f ca="1">E93</f>
        <v>0</v>
      </c>
      <c r="G112" s="438"/>
      <c r="H112" s="438"/>
      <c r="I112" s="438"/>
      <c r="J112" s="438"/>
      <c r="K112" s="438"/>
    </row>
    <row r="113" spans="1:11" x14ac:dyDescent="0.25">
      <c r="A113" s="113"/>
      <c r="C113" s="119"/>
      <c r="D113" s="370">
        <f ca="1">($C$112-$D$106)*(1-'COVERAGE FACTORS'!$C$66)</f>
        <v>0</v>
      </c>
      <c r="E113" s="23" t="s">
        <v>288</v>
      </c>
      <c r="G113" s="438"/>
      <c r="H113" s="438"/>
      <c r="I113" s="438"/>
      <c r="J113" s="438"/>
      <c r="K113" s="438"/>
    </row>
    <row r="114" spans="1:11" x14ac:dyDescent="0.25">
      <c r="A114" s="113"/>
      <c r="C114" s="119"/>
      <c r="D114" s="370">
        <f ca="1">($C$112-$D$106)*'COVERAGE FACTORS'!$C$66</f>
        <v>0</v>
      </c>
      <c r="E114" s="23" t="s">
        <v>99</v>
      </c>
    </row>
    <row r="115" spans="1:11" x14ac:dyDescent="0.25">
      <c r="A115" s="113"/>
      <c r="C115" s="97"/>
      <c r="E115" s="23"/>
    </row>
    <row r="116" spans="1:11" x14ac:dyDescent="0.25">
      <c r="A116" s="113"/>
      <c r="C116" s="97"/>
      <c r="E116" s="23"/>
    </row>
    <row r="117" spans="1:11" x14ac:dyDescent="0.25">
      <c r="A117" s="113"/>
      <c r="C117" s="97"/>
      <c r="E117" s="23"/>
    </row>
    <row r="118" spans="1:11" x14ac:dyDescent="0.25">
      <c r="A118" s="113"/>
      <c r="C118" s="97"/>
      <c r="E118" s="23"/>
    </row>
    <row r="119" spans="1:11" x14ac:dyDescent="0.25">
      <c r="A119" s="113"/>
      <c r="C119" s="97"/>
      <c r="E119" s="23"/>
    </row>
    <row r="120" spans="1:11" x14ac:dyDescent="0.25">
      <c r="A120" s="121"/>
      <c r="D120" s="262">
        <f ca="1">A126*'ACCEPT RATES'!H17+B126*('ACCEPT RATES'!I17+'ACCEPT RATES'!J17)</f>
        <v>0</v>
      </c>
      <c r="E120" s="23" t="s">
        <v>269</v>
      </c>
    </row>
    <row r="121" spans="1:11" x14ac:dyDescent="0.25">
      <c r="A121" s="126" t="s">
        <v>270</v>
      </c>
      <c r="B121" s="86" t="s">
        <v>314</v>
      </c>
      <c r="C121" s="87"/>
      <c r="D121" s="119"/>
      <c r="E121" s="23" t="s">
        <v>306</v>
      </c>
    </row>
    <row r="122" spans="1:11" x14ac:dyDescent="0.25">
      <c r="A122" s="263"/>
      <c r="B122" s="29"/>
      <c r="C122" s="50"/>
      <c r="E122" s="23" t="s">
        <v>200</v>
      </c>
    </row>
    <row r="123" spans="1:11" x14ac:dyDescent="0.25">
      <c r="A123" s="179"/>
      <c r="B123" s="85"/>
      <c r="C123" s="84"/>
    </row>
    <row r="124" spans="1:11" x14ac:dyDescent="0.25">
      <c r="A124" s="121"/>
      <c r="B124" s="85"/>
      <c r="C124" s="84"/>
    </row>
    <row r="125" spans="1:11" x14ac:dyDescent="0.25">
      <c r="A125" s="121"/>
      <c r="B125" s="85"/>
      <c r="C125" s="84"/>
    </row>
    <row r="126" spans="1:11" x14ac:dyDescent="0.25">
      <c r="A126" s="264">
        <f ca="1">B126*(1-'ACCEPT RATES'!$C$17)</f>
        <v>0</v>
      </c>
      <c r="B126" s="260">
        <f ca="1">C126*(1+'ACCEPT RATES'!$F$17)</f>
        <v>0</v>
      </c>
      <c r="C126" s="261">
        <f ca="1">$D$93+$D$113</f>
        <v>0</v>
      </c>
    </row>
    <row r="127" spans="1:11" x14ac:dyDescent="0.25">
      <c r="A127" s="121"/>
      <c r="C127" s="119"/>
      <c r="D127" s="265">
        <f ca="1">C126-D120</f>
        <v>0</v>
      </c>
      <c r="E127" s="23"/>
    </row>
    <row r="128" spans="1:11" x14ac:dyDescent="0.25">
      <c r="A128" s="121"/>
      <c r="D128" s="22" t="s">
        <v>308</v>
      </c>
      <c r="E128" s="23"/>
    </row>
  </sheetData>
  <mergeCells count="2">
    <mergeCell ref="D91:E91"/>
    <mergeCell ref="G106:K113"/>
  </mergeCells>
  <phoneticPr fontId="42" type="noConversion"/>
  <pageMargins left="0.75" right="0.75" top="1" bottom="1" header="0.5" footer="0.5"/>
  <pageSetup orientation="portrait" horizontalDpi="300" verticalDpi="0" copies="0" r:id="rId1"/>
  <headerFooter alignWithMargins="0"/>
  <drawing r:id="rId2"/>
</worksheet>
</file>

<file path=xl/worksheets/sheet2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37">
    <pageSetUpPr fitToPage="1"/>
  </sheetPr>
  <dimension ref="A1:L91"/>
  <sheetViews>
    <sheetView zoomScaleNormal="100" workbookViewId="0"/>
  </sheetViews>
  <sheetFormatPr defaultRowHeight="13.2" x14ac:dyDescent="0.25"/>
  <cols>
    <col min="1" max="2" width="20.77734375" customWidth="1"/>
    <col min="3" max="3" width="16.77734375" style="12" customWidth="1"/>
    <col min="4" max="4" width="10.77734375" style="12" customWidth="1"/>
    <col min="5" max="5" width="2.21875" style="12" customWidth="1"/>
    <col min="6" max="6" width="24" customWidth="1"/>
    <col min="8" max="8" width="16.5546875" bestFit="1" customWidth="1"/>
    <col min="9" max="9" width="10.21875" customWidth="1"/>
    <col min="10" max="10" width="14.5546875" customWidth="1"/>
    <col min="11" max="11" width="12.21875" customWidth="1"/>
  </cols>
  <sheetData>
    <row r="1" spans="1:10" ht="17.399999999999999" x14ac:dyDescent="0.3">
      <c r="A1" s="4" t="s">
        <v>333</v>
      </c>
      <c r="E1" s="278"/>
    </row>
    <row r="2" spans="1:10" x14ac:dyDescent="0.25">
      <c r="A2" s="1" t="s">
        <v>568</v>
      </c>
      <c r="D2" s="278"/>
    </row>
    <row r="3" spans="1:10" x14ac:dyDescent="0.25">
      <c r="A3" s="1"/>
      <c r="D3" s="278"/>
    </row>
    <row r="4" spans="1:10" x14ac:dyDescent="0.25">
      <c r="A4" s="1" t="s">
        <v>334</v>
      </c>
      <c r="C4" s="279"/>
      <c r="D4" s="279"/>
      <c r="E4" s="279"/>
    </row>
    <row r="5" spans="1:10" x14ac:dyDescent="0.25">
      <c r="A5" s="1" t="s">
        <v>335</v>
      </c>
      <c r="B5" s="1" t="s">
        <v>336</v>
      </c>
      <c r="C5" s="13" t="s">
        <v>337</v>
      </c>
      <c r="D5" s="13"/>
      <c r="E5" s="13"/>
    </row>
    <row r="6" spans="1:10" x14ac:dyDescent="0.25">
      <c r="B6" s="24"/>
    </row>
    <row r="7" spans="1:10" x14ac:dyDescent="0.25">
      <c r="A7" t="s">
        <v>338</v>
      </c>
      <c r="B7" s="24" t="s">
        <v>198</v>
      </c>
      <c r="C7" s="12">
        <f>[3]FY25!C6</f>
        <v>0.41322614567088495</v>
      </c>
      <c r="G7" s="423"/>
      <c r="H7" s="12"/>
      <c r="I7" s="12"/>
      <c r="J7" s="12"/>
    </row>
    <row r="8" spans="1:10" x14ac:dyDescent="0.25">
      <c r="B8" s="24"/>
      <c r="G8" s="423"/>
      <c r="H8" s="12"/>
      <c r="I8" s="12"/>
      <c r="J8" s="12"/>
    </row>
    <row r="9" spans="1:10" x14ac:dyDescent="0.25">
      <c r="A9" t="s">
        <v>338</v>
      </c>
      <c r="B9" s="24" t="s">
        <v>199</v>
      </c>
      <c r="C9" s="12">
        <f>[3]FY25!C8</f>
        <v>0.57953240690519603</v>
      </c>
      <c r="G9" s="423"/>
      <c r="H9" s="12"/>
      <c r="I9" s="12"/>
      <c r="J9" s="12"/>
    </row>
    <row r="10" spans="1:10" x14ac:dyDescent="0.25">
      <c r="B10" s="24"/>
      <c r="G10" s="423"/>
      <c r="H10" s="12"/>
      <c r="I10" s="12"/>
      <c r="J10" s="12"/>
    </row>
    <row r="11" spans="1:10" x14ac:dyDescent="0.25">
      <c r="A11" t="s">
        <v>338</v>
      </c>
      <c r="B11" s="24" t="s">
        <v>339</v>
      </c>
      <c r="C11" s="12">
        <f>[3]FY25!C10</f>
        <v>7.2414474239187072E-3</v>
      </c>
      <c r="G11" s="423"/>
      <c r="H11" s="12"/>
      <c r="I11" s="12"/>
      <c r="J11" s="12"/>
    </row>
    <row r="12" spans="1:10" x14ac:dyDescent="0.25">
      <c r="G12" s="231"/>
      <c r="H12" s="12"/>
      <c r="I12" s="12"/>
      <c r="J12" s="12"/>
    </row>
    <row r="13" spans="1:10" x14ac:dyDescent="0.25">
      <c r="B13" s="139" t="s">
        <v>340</v>
      </c>
      <c r="C13" s="12">
        <f>[3]FY25!C12</f>
        <v>0.99999999999999967</v>
      </c>
      <c r="D13" s="13"/>
      <c r="E13" s="13"/>
      <c r="F13" s="1"/>
      <c r="G13" s="424"/>
      <c r="H13" s="13"/>
      <c r="I13" s="13"/>
      <c r="J13" s="13"/>
    </row>
    <row r="14" spans="1:10" x14ac:dyDescent="0.25">
      <c r="G14" s="231"/>
      <c r="H14" s="12"/>
      <c r="I14" s="12"/>
      <c r="J14" s="12"/>
    </row>
    <row r="15" spans="1:10" x14ac:dyDescent="0.25">
      <c r="A15" t="s">
        <v>163</v>
      </c>
      <c r="B15" s="24" t="s">
        <v>341</v>
      </c>
      <c r="C15" s="12">
        <f>[3]FY25!C14</f>
        <v>0.99999539464188447</v>
      </c>
      <c r="G15" s="423"/>
      <c r="H15" s="12"/>
      <c r="I15" s="12"/>
      <c r="J15" s="12"/>
    </row>
    <row r="16" spans="1:10" x14ac:dyDescent="0.25">
      <c r="B16" s="24"/>
      <c r="G16" s="423"/>
      <c r="H16" s="12"/>
      <c r="I16" s="12"/>
      <c r="J16" s="12"/>
    </row>
    <row r="17" spans="1:11" x14ac:dyDescent="0.25">
      <c r="A17" t="s">
        <v>163</v>
      </c>
      <c r="B17" s="24" t="s">
        <v>342</v>
      </c>
      <c r="C17" s="12">
        <f>[3]FY25!C16</f>
        <v>0</v>
      </c>
      <c r="G17" s="423"/>
      <c r="H17" s="12"/>
      <c r="I17" s="12"/>
      <c r="J17" s="12"/>
    </row>
    <row r="18" spans="1:11" x14ac:dyDescent="0.25">
      <c r="B18" s="24"/>
      <c r="G18" s="423"/>
      <c r="H18" s="12"/>
      <c r="I18" s="12"/>
      <c r="J18" s="12"/>
    </row>
    <row r="19" spans="1:11" x14ac:dyDescent="0.25">
      <c r="A19" t="s">
        <v>163</v>
      </c>
      <c r="B19" s="24" t="s">
        <v>343</v>
      </c>
      <c r="C19" s="12">
        <f>[3]FY25!C18</f>
        <v>0</v>
      </c>
      <c r="G19" s="423"/>
      <c r="H19" s="12"/>
      <c r="I19" s="12"/>
      <c r="J19" s="12"/>
    </row>
    <row r="20" spans="1:11" x14ac:dyDescent="0.25">
      <c r="B20" s="24"/>
      <c r="G20" s="423"/>
      <c r="H20" s="12"/>
      <c r="I20" s="12"/>
      <c r="J20" s="12"/>
    </row>
    <row r="21" spans="1:11" x14ac:dyDescent="0.25">
      <c r="A21" t="s">
        <v>163</v>
      </c>
      <c r="B21" s="24" t="s">
        <v>200</v>
      </c>
      <c r="C21" s="12">
        <f>[3]FY25!C20</f>
        <v>4.6053581159079979E-6</v>
      </c>
      <c r="G21" s="423"/>
      <c r="H21" s="12"/>
      <c r="I21" s="12"/>
      <c r="J21" s="12"/>
    </row>
    <row r="22" spans="1:11" x14ac:dyDescent="0.25">
      <c r="B22" s="24"/>
      <c r="G22" s="423"/>
      <c r="H22" s="12"/>
      <c r="I22" s="12"/>
      <c r="J22" s="12"/>
    </row>
    <row r="23" spans="1:11" x14ac:dyDescent="0.25">
      <c r="B23" s="139" t="s">
        <v>8</v>
      </c>
      <c r="C23" s="13">
        <f>[3]FY25!C22</f>
        <v>1.0000000000000004</v>
      </c>
      <c r="D23" s="13"/>
      <c r="E23" s="13"/>
      <c r="G23" s="424"/>
      <c r="H23" s="13"/>
      <c r="I23" s="13"/>
      <c r="J23" s="13"/>
    </row>
    <row r="24" spans="1:11" x14ac:dyDescent="0.25">
      <c r="G24" s="231"/>
      <c r="H24" s="12"/>
      <c r="I24" s="12"/>
      <c r="J24" s="12"/>
    </row>
    <row r="25" spans="1:11" x14ac:dyDescent="0.25">
      <c r="A25" t="s">
        <v>163</v>
      </c>
      <c r="B25" s="24" t="s">
        <v>344</v>
      </c>
      <c r="C25" s="12">
        <f>[3]FY25!C24</f>
        <v>0.77083131522657944</v>
      </c>
      <c r="G25" s="423"/>
      <c r="H25" s="12"/>
      <c r="I25" s="12"/>
      <c r="J25" s="12"/>
    </row>
    <row r="26" spans="1:11" x14ac:dyDescent="0.25">
      <c r="G26" s="231"/>
      <c r="H26" s="12"/>
      <c r="I26" s="12"/>
      <c r="J26" s="12"/>
    </row>
    <row r="27" spans="1:11" x14ac:dyDescent="0.25">
      <c r="G27" s="231"/>
      <c r="H27" s="12"/>
      <c r="I27" s="12"/>
      <c r="J27" s="12"/>
    </row>
    <row r="28" spans="1:11" x14ac:dyDescent="0.25">
      <c r="A28" s="1" t="s">
        <v>345</v>
      </c>
      <c r="G28" s="231"/>
      <c r="H28" s="12"/>
      <c r="I28" s="12"/>
      <c r="J28" s="12"/>
    </row>
    <row r="29" spans="1:11" x14ac:dyDescent="0.25">
      <c r="A29" s="1" t="s">
        <v>335</v>
      </c>
      <c r="B29" s="1" t="s">
        <v>336</v>
      </c>
      <c r="C29" s="13" t="str">
        <f>[4]FY24!C28</f>
        <v>First-Class</v>
      </c>
      <c r="D29" s="13"/>
      <c r="E29" s="13"/>
      <c r="G29" s="425"/>
      <c r="H29" s="13"/>
      <c r="I29" s="13"/>
      <c r="J29" s="13"/>
      <c r="K29" s="35"/>
    </row>
    <row r="30" spans="1:11" x14ac:dyDescent="0.25">
      <c r="G30" s="231"/>
      <c r="H30" s="12"/>
      <c r="I30" s="12"/>
      <c r="J30" s="12"/>
    </row>
    <row r="31" spans="1:11" x14ac:dyDescent="0.25">
      <c r="A31" t="s">
        <v>338</v>
      </c>
      <c r="B31" s="24" t="s">
        <v>198</v>
      </c>
      <c r="C31" s="12">
        <f>[3]FY25!C30</f>
        <v>0.43789906901121634</v>
      </c>
      <c r="G31" s="423"/>
      <c r="H31" s="12"/>
      <c r="I31" s="12"/>
      <c r="J31" s="12"/>
    </row>
    <row r="32" spans="1:11" x14ac:dyDescent="0.25">
      <c r="B32" s="24"/>
      <c r="G32" s="423"/>
      <c r="H32" s="12"/>
      <c r="I32" s="12"/>
      <c r="J32" s="12"/>
    </row>
    <row r="33" spans="1:10" x14ac:dyDescent="0.25">
      <c r="A33" t="s">
        <v>338</v>
      </c>
      <c r="B33" s="24" t="s">
        <v>199</v>
      </c>
      <c r="C33" s="12">
        <f>[3]FY25!C32</f>
        <v>0.53131470964892846</v>
      </c>
      <c r="G33" s="423"/>
      <c r="H33" s="12"/>
      <c r="I33" s="12"/>
      <c r="J33" s="12"/>
    </row>
    <row r="34" spans="1:10" x14ac:dyDescent="0.25">
      <c r="B34" s="24"/>
      <c r="G34" s="423"/>
      <c r="H34" s="12"/>
      <c r="I34" s="12"/>
      <c r="J34" s="12"/>
    </row>
    <row r="35" spans="1:10" x14ac:dyDescent="0.25">
      <c r="A35" t="s">
        <v>338</v>
      </c>
      <c r="B35" s="24" t="s">
        <v>200</v>
      </c>
      <c r="C35" s="12">
        <f>[3]FY25!C34</f>
        <v>3.0786221339854355E-2</v>
      </c>
      <c r="G35" s="423"/>
      <c r="H35" s="12"/>
      <c r="I35" s="12"/>
      <c r="J35" s="12"/>
    </row>
    <row r="36" spans="1:10" x14ac:dyDescent="0.25">
      <c r="G36" s="231"/>
      <c r="H36" s="12"/>
      <c r="I36" s="12"/>
      <c r="J36" s="12"/>
    </row>
    <row r="37" spans="1:10" x14ac:dyDescent="0.25">
      <c r="B37" s="139" t="s">
        <v>340</v>
      </c>
      <c r="C37" s="12">
        <f>[3]FY25!C36</f>
        <v>0.99999999999999911</v>
      </c>
      <c r="D37" s="13"/>
      <c r="E37" s="13"/>
      <c r="G37" s="424"/>
      <c r="H37" s="13"/>
      <c r="I37" s="13"/>
      <c r="J37" s="13"/>
    </row>
    <row r="38" spans="1:10" x14ac:dyDescent="0.25">
      <c r="G38" s="231"/>
      <c r="H38" s="12"/>
      <c r="I38" s="12"/>
      <c r="J38" s="12"/>
    </row>
    <row r="39" spans="1:10" x14ac:dyDescent="0.25">
      <c r="A39" t="s">
        <v>163</v>
      </c>
      <c r="B39" s="24" t="s">
        <v>341</v>
      </c>
      <c r="C39" s="12">
        <f>[3]FY25!C38</f>
        <v>0.99397739428218057</v>
      </c>
      <c r="G39" s="423"/>
      <c r="H39" s="12"/>
      <c r="I39" s="12"/>
      <c r="J39" s="12"/>
    </row>
    <row r="40" spans="1:10" x14ac:dyDescent="0.25">
      <c r="B40" s="24"/>
      <c r="G40" s="423"/>
      <c r="H40" s="12"/>
      <c r="I40" s="12"/>
      <c r="J40" s="12"/>
    </row>
    <row r="41" spans="1:10" x14ac:dyDescent="0.25">
      <c r="A41" t="s">
        <v>163</v>
      </c>
      <c r="B41" s="24" t="s">
        <v>342</v>
      </c>
      <c r="C41" s="12">
        <f>[3]FY25!C40</f>
        <v>0</v>
      </c>
      <c r="G41" s="423"/>
      <c r="H41" s="12"/>
      <c r="I41" s="12"/>
      <c r="J41" s="12"/>
    </row>
    <row r="42" spans="1:10" x14ac:dyDescent="0.25">
      <c r="B42" s="24"/>
      <c r="G42" s="423"/>
      <c r="H42" s="12"/>
      <c r="I42" s="12"/>
      <c r="J42" s="12"/>
    </row>
    <row r="43" spans="1:10" x14ac:dyDescent="0.25">
      <c r="A43" t="s">
        <v>163</v>
      </c>
      <c r="B43" s="24" t="s">
        <v>343</v>
      </c>
      <c r="C43" s="12">
        <f>[3]FY25!C42</f>
        <v>0</v>
      </c>
      <c r="G43" s="423"/>
      <c r="H43" s="12"/>
      <c r="I43" s="12"/>
      <c r="J43" s="12"/>
    </row>
    <row r="44" spans="1:10" x14ac:dyDescent="0.25">
      <c r="B44" s="24"/>
      <c r="G44" s="423"/>
      <c r="H44" s="12"/>
      <c r="I44" s="12"/>
      <c r="J44" s="12"/>
    </row>
    <row r="45" spans="1:10" x14ac:dyDescent="0.25">
      <c r="A45" t="s">
        <v>163</v>
      </c>
      <c r="B45" s="24" t="s">
        <v>200</v>
      </c>
      <c r="C45" s="12">
        <f>[3]FY25!C44</f>
        <v>6.0226057178184916E-3</v>
      </c>
      <c r="G45" s="423"/>
      <c r="H45" s="12"/>
      <c r="I45" s="12"/>
      <c r="J45" s="12"/>
    </row>
    <row r="46" spans="1:10" x14ac:dyDescent="0.25">
      <c r="B46" s="24"/>
      <c r="G46" s="423"/>
      <c r="H46" s="12"/>
      <c r="I46" s="12"/>
      <c r="J46" s="12"/>
    </row>
    <row r="47" spans="1:10" x14ac:dyDescent="0.25">
      <c r="B47" s="139" t="s">
        <v>340</v>
      </c>
      <c r="C47" s="13">
        <f>[3]FY25!C46</f>
        <v>0.99999999999999911</v>
      </c>
      <c r="D47" s="13"/>
      <c r="E47" s="13"/>
      <c r="G47" s="424"/>
      <c r="H47" s="13"/>
      <c r="I47" s="13"/>
      <c r="J47" s="13"/>
    </row>
    <row r="48" spans="1:10" x14ac:dyDescent="0.25">
      <c r="G48" s="231"/>
      <c r="H48" s="12"/>
      <c r="I48" s="12"/>
      <c r="J48" s="12"/>
    </row>
    <row r="49" spans="1:10" x14ac:dyDescent="0.25">
      <c r="A49" t="s">
        <v>163</v>
      </c>
      <c r="B49" s="24" t="s">
        <v>344</v>
      </c>
      <c r="C49" s="12">
        <f>[3]FY25!C48</f>
        <v>0.77560774057682547</v>
      </c>
      <c r="G49" s="423"/>
      <c r="H49" s="217"/>
      <c r="I49" s="217"/>
      <c r="J49" s="217"/>
    </row>
    <row r="51" spans="1:10" x14ac:dyDescent="0.25">
      <c r="A51" s="1" t="s">
        <v>346</v>
      </c>
    </row>
    <row r="52" spans="1:10" x14ac:dyDescent="0.25">
      <c r="A52" s="1"/>
    </row>
    <row r="53" spans="1:10" x14ac:dyDescent="0.25">
      <c r="A53" t="s">
        <v>163</v>
      </c>
      <c r="B53" s="32" t="s">
        <v>99</v>
      </c>
      <c r="C53" s="12">
        <v>0</v>
      </c>
      <c r="F53" s="216"/>
    </row>
    <row r="55" spans="1:10" x14ac:dyDescent="0.25">
      <c r="A55" t="s">
        <v>163</v>
      </c>
      <c r="B55" t="s">
        <v>341</v>
      </c>
      <c r="C55" s="12">
        <f>($C39+C$43-C$53)*(C39/(C$39+C$43))</f>
        <v>0.99397739428218057</v>
      </c>
    </row>
    <row r="57" spans="1:10" x14ac:dyDescent="0.25">
      <c r="A57" t="s">
        <v>163</v>
      </c>
      <c r="B57" t="s">
        <v>342</v>
      </c>
      <c r="C57" s="12">
        <f>C41</f>
        <v>0</v>
      </c>
    </row>
    <row r="59" spans="1:10" x14ac:dyDescent="0.25">
      <c r="A59" t="s">
        <v>163</v>
      </c>
      <c r="B59" t="s">
        <v>343</v>
      </c>
      <c r="C59" s="12">
        <f>(C$39+C$43-C$53)*(C43/(C$39+C$43))</f>
        <v>0</v>
      </c>
    </row>
    <row r="61" spans="1:10" x14ac:dyDescent="0.25">
      <c r="A61" t="s">
        <v>163</v>
      </c>
      <c r="B61" t="s">
        <v>200</v>
      </c>
      <c r="C61" s="12">
        <f>C45</f>
        <v>6.0226057178184916E-3</v>
      </c>
    </row>
    <row r="63" spans="1:10" x14ac:dyDescent="0.25">
      <c r="B63" s="1" t="s">
        <v>340</v>
      </c>
      <c r="C63" s="13">
        <f>SUM(C53:C62)</f>
        <v>0.99999999999999911</v>
      </c>
      <c r="D63" s="13"/>
      <c r="E63" s="13"/>
    </row>
    <row r="65" spans="1:12" x14ac:dyDescent="0.25">
      <c r="A65" t="s">
        <v>347</v>
      </c>
      <c r="B65" s="32"/>
      <c r="C65" s="12">
        <f>C87</f>
        <v>0</v>
      </c>
      <c r="F65" s="216" t="s">
        <v>3</v>
      </c>
    </row>
    <row r="66" spans="1:12" x14ac:dyDescent="0.25">
      <c r="A66" t="s">
        <v>348</v>
      </c>
      <c r="C66" s="12">
        <v>0</v>
      </c>
      <c r="F66" s="1" t="s">
        <v>349</v>
      </c>
    </row>
    <row r="68" spans="1:12" ht="1.5" customHeight="1" x14ac:dyDescent="0.25"/>
    <row r="69" spans="1:12" ht="1.5" customHeight="1" x14ac:dyDescent="0.25"/>
    <row r="70" spans="1:12" ht="1.5" customHeight="1" x14ac:dyDescent="0.25">
      <c r="A70" s="1"/>
    </row>
    <row r="71" spans="1:12" ht="1.5" customHeight="1" x14ac:dyDescent="0.25">
      <c r="A71" s="332"/>
    </row>
    <row r="72" spans="1:12" ht="1.5" customHeight="1" x14ac:dyDescent="0.25">
      <c r="A72" s="1"/>
    </row>
    <row r="73" spans="1:12" ht="1.5" customHeight="1" x14ac:dyDescent="0.25"/>
    <row r="74" spans="1:12" ht="1.5" customHeight="1" x14ac:dyDescent="0.25">
      <c r="C74" s="146"/>
      <c r="D74"/>
    </row>
    <row r="75" spans="1:12" x14ac:dyDescent="0.25">
      <c r="C75"/>
      <c r="D75"/>
      <c r="J75" t="s">
        <v>350</v>
      </c>
    </row>
    <row r="76" spans="1:12" x14ac:dyDescent="0.25">
      <c r="C76"/>
      <c r="D76"/>
      <c r="I76" t="s">
        <v>351</v>
      </c>
      <c r="J76" t="s">
        <v>352</v>
      </c>
      <c r="K76" t="s">
        <v>353</v>
      </c>
      <c r="L76" t="s">
        <v>354</v>
      </c>
    </row>
    <row r="77" spans="1:12" x14ac:dyDescent="0.25">
      <c r="C77" s="2"/>
      <c r="D77" s="2"/>
      <c r="F77" s="2"/>
      <c r="I77" t="s">
        <v>355</v>
      </c>
    </row>
    <row r="78" spans="1:12" x14ac:dyDescent="0.25">
      <c r="C78" s="2"/>
      <c r="D78" s="2"/>
      <c r="F78" s="2"/>
      <c r="H78" t="s">
        <v>356</v>
      </c>
      <c r="I78" s="2">
        <v>0</v>
      </c>
      <c r="J78" s="257">
        <v>0</v>
      </c>
      <c r="K78" s="2">
        <v>0</v>
      </c>
      <c r="L78" s="426">
        <v>0</v>
      </c>
    </row>
    <row r="79" spans="1:12" x14ac:dyDescent="0.25">
      <c r="C79" s="2"/>
      <c r="D79" s="2"/>
      <c r="F79" s="2"/>
      <c r="H79" t="s">
        <v>8</v>
      </c>
      <c r="I79" s="2">
        <v>0</v>
      </c>
      <c r="J79" s="216" t="s">
        <v>5</v>
      </c>
      <c r="K79" s="414"/>
      <c r="L79" s="257"/>
    </row>
    <row r="80" spans="1:12" x14ac:dyDescent="0.25">
      <c r="C80" s="2"/>
      <c r="D80" s="2"/>
      <c r="F80" s="2"/>
    </row>
    <row r="81" spans="1:6" x14ac:dyDescent="0.25">
      <c r="C81" s="2"/>
      <c r="D81" s="2"/>
      <c r="F81" s="2"/>
    </row>
    <row r="82" spans="1:6" x14ac:dyDescent="0.25">
      <c r="C82" s="2"/>
      <c r="D82" s="2"/>
      <c r="F82" s="2"/>
    </row>
    <row r="83" spans="1:6" x14ac:dyDescent="0.25">
      <c r="C83" s="2"/>
      <c r="D83" s="2"/>
      <c r="F83" s="2"/>
    </row>
    <row r="84" spans="1:6" x14ac:dyDescent="0.25">
      <c r="C84"/>
      <c r="D84" s="2"/>
      <c r="F84" s="2"/>
    </row>
    <row r="85" spans="1:6" x14ac:dyDescent="0.25">
      <c r="A85" t="s">
        <v>357</v>
      </c>
      <c r="C85" s="2">
        <v>0</v>
      </c>
      <c r="D85" s="2"/>
      <c r="F85" s="333"/>
    </row>
    <row r="86" spans="1:6" x14ac:dyDescent="0.25">
      <c r="C86"/>
      <c r="D86"/>
    </row>
    <row r="87" spans="1:6" ht="54.6" x14ac:dyDescent="0.4">
      <c r="A87" s="334" t="s">
        <v>358</v>
      </c>
      <c r="C87" s="257">
        <v>0</v>
      </c>
      <c r="D87" s="216" t="s">
        <v>3</v>
      </c>
      <c r="F87" s="284"/>
    </row>
    <row r="88" spans="1:6" x14ac:dyDescent="0.25">
      <c r="C88"/>
      <c r="D88"/>
      <c r="E88"/>
    </row>
    <row r="89" spans="1:6" x14ac:dyDescent="0.25">
      <c r="C89"/>
      <c r="D89"/>
      <c r="E89"/>
    </row>
    <row r="90" spans="1:6" x14ac:dyDescent="0.25">
      <c r="A90" s="216" t="s">
        <v>3</v>
      </c>
      <c r="B90" t="s">
        <v>359</v>
      </c>
      <c r="C90"/>
      <c r="D90"/>
      <c r="E90"/>
    </row>
    <row r="91" spans="1:6" x14ac:dyDescent="0.25">
      <c r="A91" s="216" t="s">
        <v>360</v>
      </c>
      <c r="B91" t="s">
        <v>627</v>
      </c>
    </row>
  </sheetData>
  <phoneticPr fontId="29" type="noConversion"/>
  <printOptions horizontalCentered="1"/>
  <pageMargins left="0.75" right="0.75" top="1" bottom="1" header="0.5" footer="0.5"/>
  <pageSetup scale="83" orientation="portrait" r:id="rId1"/>
  <headerFooter alignWithMargins="0">
    <oddFooter>&amp;CTab '&amp;A'&amp;RPage 28</oddFooter>
  </headerFooter>
  <ignoredErrors>
    <ignoredError sqref="D87 A90:A91 F65 J79" numberStoredAsText="1"/>
  </ignoredErrors>
</worksheet>
</file>

<file path=xl/worksheets/sheet3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8">
    <pageSetUpPr fitToPage="1"/>
  </sheetPr>
  <dimension ref="A1:R62"/>
  <sheetViews>
    <sheetView zoomScaleNormal="100" workbookViewId="0"/>
  </sheetViews>
  <sheetFormatPr defaultRowHeight="13.2" x14ac:dyDescent="0.25"/>
  <cols>
    <col min="1" max="1" width="44.44140625" style="1" customWidth="1"/>
    <col min="2" max="2" width="10.77734375" style="33" customWidth="1"/>
    <col min="3" max="11" width="16.77734375" style="12" customWidth="1"/>
    <col min="13" max="18" width="9.21875" style="231" customWidth="1"/>
  </cols>
  <sheetData>
    <row r="1" spans="1:13" ht="17.399999999999999" x14ac:dyDescent="0.3">
      <c r="A1" s="4" t="s">
        <v>361</v>
      </c>
      <c r="B1" s="52"/>
      <c r="L1" s="32"/>
    </row>
    <row r="2" spans="1:13" ht="15.6" x14ac:dyDescent="0.3">
      <c r="A2" s="51"/>
      <c r="B2" s="52"/>
      <c r="L2" s="32"/>
    </row>
    <row r="3" spans="1:13" ht="15.6" x14ac:dyDescent="0.3">
      <c r="A3" s="51"/>
      <c r="B3" s="52"/>
      <c r="F3" s="231"/>
      <c r="L3" s="32"/>
    </row>
    <row r="4" spans="1:13" ht="15.6" x14ac:dyDescent="0.3">
      <c r="A4" s="51"/>
      <c r="B4" s="52"/>
      <c r="C4" s="13" t="str">
        <f>"(1)"</f>
        <v>(1)</v>
      </c>
      <c r="D4" s="13" t="str">
        <f>"(1)"</f>
        <v>(1)</v>
      </c>
      <c r="E4" s="13" t="str">
        <f>"(2)"</f>
        <v>(2)</v>
      </c>
      <c r="F4" s="13" t="str">
        <f>"(3)"</f>
        <v>(3)</v>
      </c>
      <c r="G4" s="13" t="str">
        <f>"(4)"</f>
        <v>(4)</v>
      </c>
      <c r="H4" s="275"/>
      <c r="I4" s="276" t="s">
        <v>24</v>
      </c>
      <c r="J4" s="276" t="s">
        <v>27</v>
      </c>
      <c r="L4" s="32"/>
    </row>
    <row r="5" spans="1:13" x14ac:dyDescent="0.25">
      <c r="C5" s="13" t="s">
        <v>362</v>
      </c>
      <c r="D5" s="13" t="s">
        <v>363</v>
      </c>
      <c r="F5" s="13" t="s">
        <v>364</v>
      </c>
      <c r="G5" s="13" t="s">
        <v>365</v>
      </c>
      <c r="H5" s="274"/>
      <c r="I5" s="275">
        <v>0</v>
      </c>
      <c r="J5" s="319">
        <f>1-I5</f>
        <v>1</v>
      </c>
      <c r="K5" s="13" t="s">
        <v>340</v>
      </c>
      <c r="L5" s="32"/>
    </row>
    <row r="6" spans="1:13" x14ac:dyDescent="0.25">
      <c r="B6" s="33" t="s">
        <v>366</v>
      </c>
      <c r="C6" s="13" t="s">
        <v>367</v>
      </c>
      <c r="D6" s="13" t="s">
        <v>368</v>
      </c>
      <c r="E6" s="13" t="s">
        <v>369</v>
      </c>
      <c r="F6" s="13" t="s">
        <v>370</v>
      </c>
      <c r="G6" s="13" t="s">
        <v>371</v>
      </c>
      <c r="H6" s="275" t="s">
        <v>372</v>
      </c>
      <c r="I6" s="275" t="s">
        <v>373</v>
      </c>
      <c r="J6" s="275" t="s">
        <v>374</v>
      </c>
      <c r="K6" s="13" t="s">
        <v>375</v>
      </c>
      <c r="L6" s="32"/>
    </row>
    <row r="7" spans="1:13" x14ac:dyDescent="0.25">
      <c r="A7" s="35" t="s">
        <v>376</v>
      </c>
      <c r="B7" s="54" t="s">
        <v>377</v>
      </c>
      <c r="C7" s="55" t="s">
        <v>375</v>
      </c>
      <c r="D7" s="55" t="s">
        <v>375</v>
      </c>
      <c r="E7" s="55" t="s">
        <v>375</v>
      </c>
      <c r="F7" s="55" t="s">
        <v>378</v>
      </c>
      <c r="G7" s="55" t="s">
        <v>379</v>
      </c>
      <c r="H7" s="275" t="s">
        <v>380</v>
      </c>
      <c r="I7" s="335" t="s">
        <v>381</v>
      </c>
      <c r="J7" s="335" t="s">
        <v>382</v>
      </c>
      <c r="K7" s="55" t="s">
        <v>379</v>
      </c>
      <c r="L7" s="32"/>
    </row>
    <row r="8" spans="1:13" x14ac:dyDescent="0.25">
      <c r="A8" s="1" t="str">
        <f>[5]Flats!$A$8</f>
        <v>APPS/APBS/LIPS/SPSS/EPPS/ADUS</v>
      </c>
      <c r="B8" s="33" t="s">
        <v>383</v>
      </c>
      <c r="C8" s="12" t="s">
        <v>384</v>
      </c>
      <c r="D8" s="12" t="s">
        <v>384</v>
      </c>
      <c r="E8" s="12" t="s">
        <v>384</v>
      </c>
      <c r="F8" s="12" t="s">
        <v>384</v>
      </c>
      <c r="G8" s="12" t="s">
        <v>384</v>
      </c>
      <c r="K8" s="12">
        <f>[6]Flats!$H$8</f>
        <v>0.84905640284582573</v>
      </c>
      <c r="L8" s="336" t="str">
        <f>"(5)"</f>
        <v>(5)</v>
      </c>
    </row>
    <row r="9" spans="1:13" x14ac:dyDescent="0.25">
      <c r="B9" s="33" t="s">
        <v>385</v>
      </c>
      <c r="L9" s="337"/>
      <c r="M9" s="300"/>
    </row>
    <row r="10" spans="1:13" x14ac:dyDescent="0.25">
      <c r="L10" s="337"/>
    </row>
    <row r="11" spans="1:13" x14ac:dyDescent="0.25">
      <c r="B11" s="33" t="s">
        <v>383</v>
      </c>
      <c r="C11" s="12" t="s">
        <v>384</v>
      </c>
      <c r="D11" s="12" t="s">
        <v>384</v>
      </c>
      <c r="E11" s="12" t="s">
        <v>384</v>
      </c>
      <c r="F11" s="12" t="s">
        <v>384</v>
      </c>
      <c r="G11" s="12" t="s">
        <v>384</v>
      </c>
      <c r="K11" s="12">
        <f>[6]Flats!$H$11</f>
        <v>0.88162885148614423</v>
      </c>
      <c r="L11" s="336" t="str">
        <f>"(5)"</f>
        <v>(5)</v>
      </c>
    </row>
    <row r="12" spans="1:13" x14ac:dyDescent="0.25">
      <c r="B12" s="33" t="s">
        <v>386</v>
      </c>
      <c r="L12" s="337"/>
    </row>
    <row r="13" spans="1:13" x14ac:dyDescent="0.25">
      <c r="L13" s="337"/>
    </row>
    <row r="14" spans="1:13" x14ac:dyDescent="0.25">
      <c r="A14" s="1" t="s">
        <v>96</v>
      </c>
      <c r="B14" s="33" t="s">
        <v>387</v>
      </c>
      <c r="C14" s="12">
        <v>0.93870034201525909</v>
      </c>
      <c r="D14" s="12">
        <v>0.73631576953672484</v>
      </c>
      <c r="E14" s="217" t="s">
        <v>384</v>
      </c>
      <c r="F14" s="217">
        <f>[6]Flats!F14</f>
        <v>1.2707072519633367E-2</v>
      </c>
      <c r="G14" s="217">
        <f>[6]Flats!G14</f>
        <v>0.92783966347078106</v>
      </c>
      <c r="H14" s="217">
        <f>(1-C14)*(1-G14)</f>
        <v>4.4234039493049266E-3</v>
      </c>
      <c r="I14" s="217">
        <f t="shared" ref="I14:J17" si="0">(1-$K14-$H14)*I$5</f>
        <v>0</v>
      </c>
      <c r="J14" s="217">
        <f t="shared" si="0"/>
        <v>4.230470142508428E-2</v>
      </c>
      <c r="K14" s="12">
        <f>[6]Flats!H14</f>
        <v>0.95327189462561079</v>
      </c>
      <c r="L14" s="336" t="str">
        <f>"(6)"</f>
        <v>(6)</v>
      </c>
    </row>
    <row r="15" spans="1:13" x14ac:dyDescent="0.25">
      <c r="B15" s="33" t="s">
        <v>388</v>
      </c>
      <c r="C15" s="12">
        <v>0.93870034201525909</v>
      </c>
      <c r="D15" s="12">
        <v>0.73631576953672484</v>
      </c>
      <c r="E15" s="217" t="s">
        <v>384</v>
      </c>
      <c r="F15" s="217">
        <f>[6]Flats!F15</f>
        <v>7.9879359908480909E-3</v>
      </c>
      <c r="G15" s="217">
        <f>[6]Flats!G15</f>
        <v>0.92783966347078106</v>
      </c>
      <c r="H15" s="217">
        <f>(1-C15)*(1-G15)</f>
        <v>4.4234039493049266E-3</v>
      </c>
      <c r="I15" s="217">
        <f t="shared" si="0"/>
        <v>0</v>
      </c>
      <c r="J15" s="217">
        <f t="shared" si="0"/>
        <v>8.8269153113739424E-2</v>
      </c>
      <c r="K15" s="12">
        <f>[6]Flats!H15</f>
        <v>0.90730744293695564</v>
      </c>
      <c r="L15" s="336" t="str">
        <f>"(6)"</f>
        <v>(6)</v>
      </c>
    </row>
    <row r="16" spans="1:13" x14ac:dyDescent="0.25">
      <c r="B16" s="33" t="s">
        <v>389</v>
      </c>
      <c r="C16" s="12">
        <v>0.93870034201525909</v>
      </c>
      <c r="D16" s="12">
        <v>0.73631576953672484</v>
      </c>
      <c r="E16" s="217" t="s">
        <v>384</v>
      </c>
      <c r="F16" s="217">
        <f>[6]Flats!F16</f>
        <v>1.005332231380021E-2</v>
      </c>
      <c r="G16" s="217">
        <f>[6]Flats!G16</f>
        <v>0.92783966347078106</v>
      </c>
      <c r="H16" s="217">
        <f>(1-C16)*(1-G16)</f>
        <v>4.4234039493049266E-3</v>
      </c>
      <c r="I16" s="217">
        <f t="shared" si="0"/>
        <v>0</v>
      </c>
      <c r="J16" s="217">
        <f t="shared" si="0"/>
        <v>6.8093412525220748E-2</v>
      </c>
      <c r="K16" s="12">
        <f>[6]Flats!H16</f>
        <v>0.92748318352547432</v>
      </c>
      <c r="L16" s="336" t="str">
        <f>"(6)"</f>
        <v>(6)</v>
      </c>
    </row>
    <row r="17" spans="1:13" x14ac:dyDescent="0.25">
      <c r="B17" s="33" t="s">
        <v>390</v>
      </c>
      <c r="C17" s="12">
        <v>0.93870034201525909</v>
      </c>
      <c r="D17" s="12">
        <v>0.73631576953672484</v>
      </c>
      <c r="E17" s="217" t="s">
        <v>384</v>
      </c>
      <c r="F17" s="217">
        <f>[6]Flats!F17</f>
        <v>9.7273555860640064E-3</v>
      </c>
      <c r="G17" s="217">
        <f>[6]Flats!G17</f>
        <v>0.92783966347078106</v>
      </c>
      <c r="H17" s="217">
        <f>(1-C17)*(1-G17)</f>
        <v>4.4234039493049266E-3</v>
      </c>
      <c r="I17" s="217">
        <f t="shared" si="0"/>
        <v>0</v>
      </c>
      <c r="J17" s="217">
        <f t="shared" si="0"/>
        <v>4.5067770567996969E-2</v>
      </c>
      <c r="K17" s="12">
        <f>[6]Flats!H17</f>
        <v>0.95050882548269811</v>
      </c>
      <c r="L17" s="336" t="str">
        <f>"(6)"</f>
        <v>(6)</v>
      </c>
    </row>
    <row r="18" spans="1:13" x14ac:dyDescent="0.25">
      <c r="E18" s="217"/>
      <c r="F18" s="217"/>
      <c r="G18" s="217"/>
      <c r="H18" s="217"/>
      <c r="I18" s="217"/>
      <c r="J18" s="217"/>
      <c r="L18" s="337"/>
      <c r="M18"/>
    </row>
    <row r="19" spans="1:13" x14ac:dyDescent="0.25">
      <c r="A19" s="1" t="s">
        <v>391</v>
      </c>
      <c r="B19" s="33" t="s">
        <v>387</v>
      </c>
      <c r="C19" s="12">
        <v>0.93870034201525909</v>
      </c>
      <c r="D19" s="12">
        <v>0.73631576953672484</v>
      </c>
      <c r="E19" s="217">
        <v>0.95665634674922606</v>
      </c>
      <c r="F19" s="217" t="s">
        <v>384</v>
      </c>
      <c r="G19" s="217" t="s">
        <v>384</v>
      </c>
      <c r="H19" s="217"/>
      <c r="I19" s="217"/>
      <c r="J19" s="217"/>
      <c r="K19" s="12" t="str">
        <f>[7]Flats!H19</f>
        <v>---</v>
      </c>
      <c r="L19" s="336" t="str">
        <f>"(6)"</f>
        <v>(6)</v>
      </c>
    </row>
    <row r="20" spans="1:13" x14ac:dyDescent="0.25">
      <c r="B20" s="33" t="s">
        <v>388</v>
      </c>
      <c r="C20" s="12">
        <v>0.93870034201525909</v>
      </c>
      <c r="D20" s="12">
        <v>0.73631576953672484</v>
      </c>
      <c r="E20" s="217">
        <v>0.95665634674922606</v>
      </c>
      <c r="F20" s="217" t="s">
        <v>384</v>
      </c>
      <c r="G20" s="217" t="s">
        <v>384</v>
      </c>
      <c r="H20" s="217"/>
      <c r="I20" s="217"/>
      <c r="J20" s="217"/>
      <c r="K20" s="12" t="str">
        <f>[7]Flats!H20</f>
        <v>---</v>
      </c>
      <c r="L20" s="336" t="str">
        <f>"(6)"</f>
        <v>(6)</v>
      </c>
    </row>
    <row r="21" spans="1:13" x14ac:dyDescent="0.25">
      <c r="B21" s="33" t="s">
        <v>389</v>
      </c>
      <c r="C21" s="12">
        <v>0.93870034201525909</v>
      </c>
      <c r="D21" s="12">
        <v>0.73631576953672484</v>
      </c>
      <c r="E21" s="217">
        <v>0.95665634674922595</v>
      </c>
      <c r="F21" s="217" t="s">
        <v>384</v>
      </c>
      <c r="G21" s="217" t="s">
        <v>384</v>
      </c>
      <c r="H21" s="217"/>
      <c r="I21" s="217"/>
      <c r="J21" s="217"/>
      <c r="L21" s="336" t="str">
        <f>"(6)"</f>
        <v>(6)</v>
      </c>
    </row>
    <row r="22" spans="1:13" x14ac:dyDescent="0.25">
      <c r="B22" s="33" t="s">
        <v>390</v>
      </c>
      <c r="C22" s="12">
        <v>0.93870034201525909</v>
      </c>
      <c r="D22" s="12">
        <v>0.73631576953672484</v>
      </c>
      <c r="E22" s="217">
        <v>0.95665634674922606</v>
      </c>
      <c r="F22" s="217" t="s">
        <v>384</v>
      </c>
      <c r="G22" s="217" t="s">
        <v>384</v>
      </c>
      <c r="H22" s="217"/>
      <c r="I22" s="217"/>
      <c r="J22" s="217"/>
      <c r="L22" s="336" t="str">
        <f>"(6)"</f>
        <v>(6)</v>
      </c>
    </row>
    <row r="23" spans="1:13" x14ac:dyDescent="0.25">
      <c r="C23" s="13"/>
      <c r="D23" s="13"/>
      <c r="L23" s="337"/>
    </row>
    <row r="24" spans="1:13" x14ac:dyDescent="0.25">
      <c r="A24" s="1" t="s">
        <v>99</v>
      </c>
      <c r="E24" s="338" t="s">
        <v>384</v>
      </c>
      <c r="F24" s="338"/>
      <c r="H24" s="217"/>
      <c r="I24" s="217"/>
      <c r="J24" s="217"/>
      <c r="L24" s="336" t="str">
        <f>"(7)"</f>
        <v>(7)</v>
      </c>
    </row>
    <row r="26" spans="1:13" x14ac:dyDescent="0.25">
      <c r="A26" s="35" t="s">
        <v>46</v>
      </c>
    </row>
    <row r="27" spans="1:13" x14ac:dyDescent="0.25">
      <c r="A27" s="1" t="s">
        <v>392</v>
      </c>
    </row>
    <row r="28" spans="1:13" x14ac:dyDescent="0.25">
      <c r="A28" s="158" t="s">
        <v>393</v>
      </c>
      <c r="E28" s="1" t="s">
        <v>394</v>
      </c>
    </row>
    <row r="29" spans="1:13" x14ac:dyDescent="0.25">
      <c r="A29" s="158" t="s">
        <v>395</v>
      </c>
      <c r="E29" s="1" t="s">
        <v>394</v>
      </c>
    </row>
    <row r="30" spans="1:13" x14ac:dyDescent="0.25">
      <c r="A30" s="158" t="s">
        <v>396</v>
      </c>
      <c r="E30" s="1" t="s">
        <v>397</v>
      </c>
    </row>
    <row r="31" spans="1:13" x14ac:dyDescent="0.25">
      <c r="A31" s="158" t="s">
        <v>398</v>
      </c>
      <c r="E31" s="1" t="s">
        <v>394</v>
      </c>
    </row>
    <row r="32" spans="1:13" x14ac:dyDescent="0.25">
      <c r="A32" s="158" t="s">
        <v>399</v>
      </c>
      <c r="E32" s="1" t="s">
        <v>394</v>
      </c>
    </row>
    <row r="33" spans="1:12" x14ac:dyDescent="0.25">
      <c r="A33" s="1" t="s">
        <v>400</v>
      </c>
      <c r="E33" s="1" t="s">
        <v>394</v>
      </c>
    </row>
    <row r="34" spans="1:12" x14ac:dyDescent="0.25">
      <c r="A34" s="272" t="s">
        <v>401</v>
      </c>
      <c r="B34" s="273"/>
      <c r="C34" s="274"/>
      <c r="D34" s="274"/>
      <c r="E34" s="1" t="s">
        <v>394</v>
      </c>
      <c r="G34" s="231"/>
      <c r="H34" s="231"/>
      <c r="I34" s="231"/>
      <c r="J34" s="231"/>
    </row>
    <row r="35" spans="1:12" x14ac:dyDescent="0.25">
      <c r="A35" s="272" t="s">
        <v>402</v>
      </c>
      <c r="B35" s="273"/>
      <c r="C35" s="274"/>
      <c r="D35" s="274"/>
      <c r="E35" s="1" t="s">
        <v>394</v>
      </c>
      <c r="F35" s="13"/>
      <c r="G35" s="231"/>
      <c r="H35" s="231"/>
      <c r="I35" s="231"/>
      <c r="J35" s="231"/>
      <c r="K35" s="231"/>
      <c r="L35" s="32"/>
    </row>
    <row r="36" spans="1:12" x14ac:dyDescent="0.25">
      <c r="C36" s="13"/>
      <c r="D36" s="13"/>
      <c r="E36" s="13"/>
      <c r="F36" s="13"/>
      <c r="G36" s="13"/>
      <c r="H36" s="13"/>
      <c r="J36" s="13"/>
      <c r="K36" s="13"/>
      <c r="L36" s="32"/>
    </row>
    <row r="37" spans="1:12" x14ac:dyDescent="0.25">
      <c r="C37" s="13"/>
      <c r="D37" s="13"/>
      <c r="E37" s="13"/>
      <c r="F37" s="13"/>
      <c r="G37" s="13"/>
      <c r="H37" s="13"/>
      <c r="J37" s="13"/>
      <c r="K37" s="13"/>
      <c r="L37" s="32"/>
    </row>
    <row r="38" spans="1:12" x14ac:dyDescent="0.25">
      <c r="A38" s="35"/>
      <c r="B38" s="54"/>
      <c r="C38" s="55"/>
      <c r="D38" s="55"/>
      <c r="E38" s="55"/>
      <c r="F38" s="55"/>
      <c r="G38" s="55"/>
      <c r="H38" s="55"/>
      <c r="J38" s="55"/>
      <c r="K38" s="55"/>
      <c r="L38" s="32"/>
    </row>
    <row r="39" spans="1:12" x14ac:dyDescent="0.25">
      <c r="L39" s="221"/>
    </row>
    <row r="40" spans="1:12" x14ac:dyDescent="0.25">
      <c r="A40" s="307"/>
      <c r="L40" s="32"/>
    </row>
    <row r="41" spans="1:12" x14ac:dyDescent="0.25">
      <c r="L41" s="32"/>
    </row>
    <row r="42" spans="1:12" x14ac:dyDescent="0.25">
      <c r="L42" s="221"/>
    </row>
    <row r="43" spans="1:12" x14ac:dyDescent="0.25">
      <c r="L43" s="32"/>
    </row>
    <row r="44" spans="1:12" x14ac:dyDescent="0.25">
      <c r="L44" s="32"/>
    </row>
    <row r="45" spans="1:12" x14ac:dyDescent="0.25">
      <c r="E45" s="217"/>
      <c r="F45" s="217"/>
      <c r="G45" s="217"/>
      <c r="H45" s="217"/>
      <c r="J45" s="217"/>
      <c r="K45" s="217"/>
    </row>
    <row r="46" spans="1:12" x14ac:dyDescent="0.25">
      <c r="E46" s="217"/>
      <c r="F46" s="217"/>
      <c r="G46" s="217"/>
      <c r="H46" s="217"/>
      <c r="J46" s="217"/>
      <c r="K46" s="217"/>
      <c r="L46" s="221"/>
    </row>
    <row r="47" spans="1:12" x14ac:dyDescent="0.25">
      <c r="E47" s="217"/>
      <c r="F47" s="217"/>
      <c r="G47" s="217"/>
      <c r="H47" s="217"/>
      <c r="J47" s="217"/>
      <c r="K47" s="217"/>
      <c r="L47" s="221"/>
    </row>
    <row r="48" spans="1:12" x14ac:dyDescent="0.25">
      <c r="E48" s="217"/>
      <c r="F48" s="217"/>
      <c r="G48" s="217"/>
      <c r="H48" s="217"/>
      <c r="J48" s="217"/>
      <c r="K48" s="217"/>
      <c r="L48" s="221"/>
    </row>
    <row r="49" spans="1:12" x14ac:dyDescent="0.25">
      <c r="E49" s="217"/>
      <c r="F49" s="217"/>
      <c r="G49" s="217"/>
      <c r="H49" s="217"/>
      <c r="J49" s="217"/>
      <c r="K49"/>
      <c r="L49" s="32"/>
    </row>
    <row r="50" spans="1:12" x14ac:dyDescent="0.25">
      <c r="E50" s="217"/>
      <c r="F50" s="217"/>
      <c r="G50" s="217"/>
      <c r="H50" s="217"/>
      <c r="J50" s="217"/>
      <c r="K50" s="217"/>
      <c r="L50" s="221"/>
    </row>
    <row r="51" spans="1:12" x14ac:dyDescent="0.25">
      <c r="E51" s="217"/>
      <c r="F51" s="217"/>
      <c r="G51" s="217"/>
      <c r="H51" s="217"/>
      <c r="I51" s="217"/>
      <c r="J51" s="217"/>
      <c r="K51" s="217"/>
      <c r="L51" s="221"/>
    </row>
    <row r="52" spans="1:12" x14ac:dyDescent="0.25">
      <c r="E52" s="217"/>
      <c r="F52" s="217"/>
      <c r="G52" s="217"/>
      <c r="H52" s="217"/>
      <c r="I52" s="217"/>
      <c r="J52" s="217"/>
      <c r="K52" s="217"/>
      <c r="L52" s="221"/>
    </row>
    <row r="53" spans="1:12" x14ac:dyDescent="0.25">
      <c r="E53" s="217"/>
      <c r="F53" s="217"/>
      <c r="G53" s="217"/>
      <c r="H53" s="217"/>
      <c r="I53" s="217"/>
      <c r="J53" s="217"/>
      <c r="K53" s="217"/>
      <c r="L53" s="221"/>
    </row>
    <row r="54" spans="1:12" x14ac:dyDescent="0.25">
      <c r="C54" s="13"/>
      <c r="D54" s="13"/>
      <c r="L54" s="32"/>
    </row>
    <row r="55" spans="1:12" x14ac:dyDescent="0.25">
      <c r="L55" s="221"/>
    </row>
    <row r="58" spans="1:12" x14ac:dyDescent="0.25">
      <c r="A58" s="158"/>
      <c r="E58" s="1"/>
    </row>
    <row r="59" spans="1:12" x14ac:dyDescent="0.25">
      <c r="A59" s="158"/>
      <c r="E59" s="1"/>
    </row>
    <row r="60" spans="1:12" x14ac:dyDescent="0.25">
      <c r="E60" s="1"/>
    </row>
    <row r="61" spans="1:12" x14ac:dyDescent="0.25">
      <c r="A61" s="158"/>
      <c r="E61" s="1"/>
    </row>
    <row r="62" spans="1:12" x14ac:dyDescent="0.25">
      <c r="A62" s="158"/>
      <c r="E62" s="1"/>
    </row>
  </sheetData>
  <phoneticPr fontId="29" type="noConversion"/>
  <printOptions horizontalCentered="1"/>
  <pageMargins left="0.75" right="0.75" top="1" bottom="1" header="0.5" footer="0.5"/>
  <pageSetup scale="63" orientation="portrait" r:id="rId1"/>
  <headerFooter alignWithMargins="0">
    <oddFooter>&amp;CTab '&amp;A'&amp;RPage 29</oddFooter>
  </headerFooter>
  <ignoredErrors>
    <ignoredError sqref="I4:J4" numberStoredAsText="1"/>
  </ignoredErrors>
</worksheet>
</file>

<file path=xl/worksheets/sheet3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9">
    <pageSetUpPr fitToPage="1"/>
  </sheetPr>
  <dimension ref="A1:L37"/>
  <sheetViews>
    <sheetView zoomScale="75" workbookViewId="0"/>
  </sheetViews>
  <sheetFormatPr defaultRowHeight="13.2" x14ac:dyDescent="0.25"/>
  <cols>
    <col min="1" max="1" width="15.77734375" style="1" customWidth="1"/>
    <col min="2" max="2" width="10.77734375" style="33" customWidth="1"/>
    <col min="3" max="7" width="10.77734375" style="12" customWidth="1"/>
    <col min="8" max="8" width="23.5546875" style="12" customWidth="1"/>
  </cols>
  <sheetData>
    <row r="1" spans="1:12" s="51" customFormat="1" ht="18" thickBot="1" x14ac:dyDescent="0.35">
      <c r="A1" s="4" t="s">
        <v>403</v>
      </c>
      <c r="B1" s="52"/>
      <c r="C1" s="53"/>
      <c r="D1" s="53"/>
      <c r="E1" s="53"/>
      <c r="F1" s="53"/>
      <c r="G1" s="53"/>
      <c r="H1" s="223"/>
    </row>
    <row r="2" spans="1:12" ht="24.75" customHeight="1" x14ac:dyDescent="0.3">
      <c r="A2" s="440" t="s">
        <v>404</v>
      </c>
      <c r="B2" s="441"/>
      <c r="C2" s="441"/>
      <c r="D2" s="441"/>
      <c r="E2" s="441"/>
      <c r="F2" s="441"/>
      <c r="G2" s="441"/>
      <c r="H2" s="442"/>
    </row>
    <row r="3" spans="1:12" ht="16.5" customHeight="1" x14ac:dyDescent="0.25">
      <c r="A3" s="249"/>
      <c r="H3" s="250"/>
    </row>
    <row r="4" spans="1:12" ht="18" customHeight="1" x14ac:dyDescent="0.25">
      <c r="A4" s="249"/>
      <c r="B4" s="33" t="s">
        <v>366</v>
      </c>
      <c r="H4" s="250"/>
    </row>
    <row r="5" spans="1:12" x14ac:dyDescent="0.25">
      <c r="A5" s="247" t="s">
        <v>376</v>
      </c>
      <c r="B5" s="54" t="s">
        <v>377</v>
      </c>
      <c r="C5" s="55" t="s">
        <v>388</v>
      </c>
      <c r="D5" s="55" t="s">
        <v>389</v>
      </c>
      <c r="E5" s="55" t="s">
        <v>390</v>
      </c>
      <c r="F5" s="55" t="s">
        <v>310</v>
      </c>
      <c r="G5" s="55" t="s">
        <v>309</v>
      </c>
      <c r="H5" s="248" t="s">
        <v>340</v>
      </c>
    </row>
    <row r="6" spans="1:12" x14ac:dyDescent="0.25">
      <c r="A6" s="249" t="s">
        <v>96</v>
      </c>
      <c r="B6" s="33" t="s">
        <v>387</v>
      </c>
      <c r="C6" s="12">
        <f>C24/SUM($C24:$F24)</f>
        <v>0.1280502516649506</v>
      </c>
      <c r="D6" s="12">
        <f>D24/SUM($C24:$F24)</f>
        <v>0.51830913029643533</v>
      </c>
      <c r="E6" s="12">
        <f>E24/SUM($C24:$F24)</f>
        <v>0.27992375042524453</v>
      </c>
      <c r="F6" s="12">
        <f>F24/SUM($C24:$F24)</f>
        <v>7.3716867613369583E-2</v>
      </c>
      <c r="G6" s="12">
        <f>0</f>
        <v>0</v>
      </c>
      <c r="H6" s="250">
        <f>SUM(C6:G6)</f>
        <v>1</v>
      </c>
    </row>
    <row r="7" spans="1:12" x14ac:dyDescent="0.25">
      <c r="A7" s="249"/>
      <c r="B7" s="33" t="s">
        <v>388</v>
      </c>
      <c r="C7" s="12">
        <f>'[8]AFSM100 OS'!K39</f>
        <v>1.6122758650167768E-2</v>
      </c>
      <c r="D7" s="12">
        <f>'[8]AFSM100 OS'!L39</f>
        <v>0.82579368010090526</v>
      </c>
      <c r="E7" s="12">
        <f>'[8]AFSM100 OS'!M39</f>
        <v>6.901537761983581E-2</v>
      </c>
      <c r="F7" s="12">
        <f>'[8]AFSM100 OS'!N39</f>
        <v>7.3513972216309054E-3</v>
      </c>
      <c r="G7" s="12">
        <f>'[8]AFSM100 OS'!O39</f>
        <v>9.7839545057628055E-2</v>
      </c>
      <c r="H7" s="250">
        <f>SUM(D7:G7)</f>
        <v>1</v>
      </c>
    </row>
    <row r="8" spans="1:12" x14ac:dyDescent="0.25">
      <c r="A8" s="249"/>
      <c r="B8" s="33" t="s">
        <v>389</v>
      </c>
      <c r="C8" s="12">
        <f>'[8]AFSM100 MMP'!K39</f>
        <v>2.0560691426449794E-3</v>
      </c>
      <c r="D8" s="12">
        <f>'[8]AFSM100 MMP'!L39</f>
        <v>7.7870896442113098E-4</v>
      </c>
      <c r="E8" s="12">
        <f>'[8]AFSM100 MMP'!M39</f>
        <v>0.1989407472148581</v>
      </c>
      <c r="F8" s="12">
        <f>'[8]AFSM100 MMP'!N39</f>
        <v>6.4589034680307633E-2</v>
      </c>
      <c r="G8" s="12">
        <f>'[8]AFSM100 MMP'!O39</f>
        <v>0.73647021810483426</v>
      </c>
      <c r="H8" s="250">
        <f>SUM(E8:G8)</f>
        <v>1</v>
      </c>
    </row>
    <row r="9" spans="1:12" x14ac:dyDescent="0.25">
      <c r="A9" s="249"/>
      <c r="B9" s="33" t="s">
        <v>390</v>
      </c>
      <c r="C9" s="12">
        <f>'[8]AFSM100 SCF'!K39</f>
        <v>0</v>
      </c>
      <c r="D9" s="12">
        <f>'[8]AFSM100 SCF'!L39</f>
        <v>1.7129560465742408E-3</v>
      </c>
      <c r="E9" s="12">
        <f>'[8]AFSM100 SCF'!M39</f>
        <v>5.2341664273577296E-2</v>
      </c>
      <c r="F9" s="12">
        <f>'[8]AFSM100 SCF'!N39</f>
        <v>2.2371971272315966E-2</v>
      </c>
      <c r="G9" s="12">
        <f>'[8]AFSM100 SCF'!O39</f>
        <v>0.97762802872768406</v>
      </c>
      <c r="H9" s="250">
        <f>SUM(F9:G9)</f>
        <v>1</v>
      </c>
    </row>
    <row r="10" spans="1:12" x14ac:dyDescent="0.25">
      <c r="A10" s="249"/>
      <c r="H10" s="250"/>
    </row>
    <row r="11" spans="1:12" x14ac:dyDescent="0.25">
      <c r="A11" s="249" t="s">
        <v>391</v>
      </c>
      <c r="B11" s="33" t="s">
        <v>387</v>
      </c>
      <c r="C11" s="12">
        <f>C29/SUM($C29:$F29)</f>
        <v>8.9477729638583706E-2</v>
      </c>
      <c r="D11" s="12">
        <f>D29/SUM($C29:$F29)</f>
        <v>0.58065176745311753</v>
      </c>
      <c r="E11" s="12">
        <f>E29/SUM($C29:$F29)</f>
        <v>0.25580706733015424</v>
      </c>
      <c r="F11" s="12">
        <f>F29/SUM($C29:$F29)</f>
        <v>7.406343557814464E-2</v>
      </c>
      <c r="G11" s="12">
        <f>0</f>
        <v>0</v>
      </c>
      <c r="H11" s="250">
        <f>SUM(C11:G11)</f>
        <v>1</v>
      </c>
      <c r="L11" s="246"/>
    </row>
    <row r="12" spans="1:12" x14ac:dyDescent="0.25">
      <c r="A12" s="249"/>
      <c r="B12" s="33" t="s">
        <v>388</v>
      </c>
      <c r="C12" s="12">
        <f>'[8]UFSM1000 OS'!K39</f>
        <v>0</v>
      </c>
      <c r="D12" s="12">
        <f>'[8]UFSM1000 OS'!L39</f>
        <v>0.70784361637141113</v>
      </c>
      <c r="E12" s="12">
        <f>'[8]UFSM1000 OS'!M39</f>
        <v>3.103237629810629E-3</v>
      </c>
      <c r="F12" s="12">
        <f>'[8]UFSM1000 OS'!N39</f>
        <v>1.9865607819181428E-2</v>
      </c>
      <c r="G12" s="12">
        <f>'[8]UFSM1000 OS'!O39</f>
        <v>0.26918753817959684</v>
      </c>
      <c r="H12" s="250">
        <f>SUM(D12:G12)</f>
        <v>1</v>
      </c>
    </row>
    <row r="13" spans="1:12" x14ac:dyDescent="0.25">
      <c r="A13" s="249"/>
      <c r="B13" s="33" t="s">
        <v>389</v>
      </c>
      <c r="C13" s="12">
        <f>'[8]UFSM1000 MMP'!K39</f>
        <v>0</v>
      </c>
      <c r="D13" s="12">
        <f>'[8]UFSM1000 MMP'!L39</f>
        <v>0</v>
      </c>
      <c r="E13" s="12">
        <f>'[8]UFSM1000 MMP'!M39</f>
        <v>0.26426386864938378</v>
      </c>
      <c r="F13" s="12">
        <f>'[8]UFSM1000 MMP'!N39</f>
        <v>4.1476741852909525E-2</v>
      </c>
      <c r="G13" s="12">
        <f>'[8]UFSM1000 MMP'!O39</f>
        <v>0.69425938949770671</v>
      </c>
      <c r="H13" s="250">
        <f>SUM(E13:G13)</f>
        <v>1</v>
      </c>
    </row>
    <row r="14" spans="1:12" x14ac:dyDescent="0.25">
      <c r="A14" s="249"/>
      <c r="B14" s="33" t="s">
        <v>390</v>
      </c>
      <c r="C14" s="12">
        <f>'[8]UFSM1000 SCF'!K39</f>
        <v>0</v>
      </c>
      <c r="D14" s="12">
        <f>'[8]UFSM1000 SCF'!L39</f>
        <v>8.3099485200515601E-3</v>
      </c>
      <c r="E14" s="12">
        <f>'[8]UFSM1000 SCF'!M39</f>
        <v>7.2635365043273586E-2</v>
      </c>
      <c r="F14" s="12">
        <f>'[8]UFSM1000 SCF'!N39</f>
        <v>2.5867828035649049E-2</v>
      </c>
      <c r="G14" s="12">
        <f>'[8]UFSM1000 SCF'!O39</f>
        <v>0.97413217196435098</v>
      </c>
      <c r="H14" s="250">
        <f>SUM(F14:G14)</f>
        <v>1</v>
      </c>
    </row>
    <row r="15" spans="1:12" ht="15.6" x14ac:dyDescent="0.3">
      <c r="A15" s="251"/>
      <c r="H15" s="250"/>
    </row>
    <row r="16" spans="1:12" x14ac:dyDescent="0.25">
      <c r="A16" s="249" t="s">
        <v>200</v>
      </c>
      <c r="B16" s="33" t="s">
        <v>387</v>
      </c>
      <c r="C16" s="12">
        <f>C34/SUM($C34:$F34)</f>
        <v>8.9477729638583706E-2</v>
      </c>
      <c r="D16" s="12">
        <f>D34/SUM($C34:$F34)</f>
        <v>0.58065176745311753</v>
      </c>
      <c r="E16" s="12">
        <f>E34/SUM($C34:$F34)</f>
        <v>0.25580706733015424</v>
      </c>
      <c r="F16" s="12">
        <f>F34/SUM($C34:$F34)</f>
        <v>7.406343557814464E-2</v>
      </c>
      <c r="G16" s="12">
        <f>0</f>
        <v>0</v>
      </c>
      <c r="H16" s="250">
        <v>1</v>
      </c>
    </row>
    <row r="17" spans="1:8" x14ac:dyDescent="0.25">
      <c r="A17" s="249"/>
      <c r="B17" s="33" t="s">
        <v>388</v>
      </c>
      <c r="C17" s="12">
        <f>C12</f>
        <v>0</v>
      </c>
      <c r="D17" s="12">
        <f>D12</f>
        <v>0.70784361637141113</v>
      </c>
      <c r="E17" s="12">
        <f>E12</f>
        <v>3.103237629810629E-3</v>
      </c>
      <c r="F17" s="12">
        <f>F12</f>
        <v>1.9865607819181428E-2</v>
      </c>
      <c r="G17" s="12">
        <f>G12</f>
        <v>0.26918753817959684</v>
      </c>
      <c r="H17" s="250">
        <v>1</v>
      </c>
    </row>
    <row r="18" spans="1:8" x14ac:dyDescent="0.25">
      <c r="A18" s="249"/>
      <c r="B18" s="33" t="s">
        <v>389</v>
      </c>
      <c r="C18" s="12">
        <f t="shared" ref="C18:G19" si="0">C13</f>
        <v>0</v>
      </c>
      <c r="D18" s="12">
        <f t="shared" si="0"/>
        <v>0</v>
      </c>
      <c r="E18" s="12">
        <f t="shared" si="0"/>
        <v>0.26426386864938378</v>
      </c>
      <c r="F18" s="12">
        <f t="shared" si="0"/>
        <v>4.1476741852909525E-2</v>
      </c>
      <c r="G18" s="12">
        <f t="shared" si="0"/>
        <v>0.69425938949770671</v>
      </c>
      <c r="H18" s="250">
        <v>1</v>
      </c>
    </row>
    <row r="19" spans="1:8" ht="13.8" thickBot="1" x14ac:dyDescent="0.3">
      <c r="A19" s="252"/>
      <c r="B19" s="166" t="s">
        <v>390</v>
      </c>
      <c r="C19" s="253">
        <f t="shared" si="0"/>
        <v>0</v>
      </c>
      <c r="D19" s="253">
        <v>0</v>
      </c>
      <c r="E19" s="253">
        <v>0</v>
      </c>
      <c r="F19" s="253">
        <f t="shared" si="0"/>
        <v>2.5867828035649049E-2</v>
      </c>
      <c r="G19" s="253">
        <f t="shared" si="0"/>
        <v>0.97413217196435098</v>
      </c>
      <c r="H19" s="254">
        <v>1</v>
      </c>
    </row>
    <row r="20" spans="1:8" ht="39.75" customHeight="1" x14ac:dyDescent="0.3">
      <c r="A20" s="443" t="s">
        <v>405</v>
      </c>
      <c r="B20" s="444"/>
      <c r="C20" s="444"/>
      <c r="D20" s="444"/>
      <c r="E20" s="444"/>
      <c r="F20" s="444"/>
      <c r="G20" s="444"/>
      <c r="H20" s="445"/>
    </row>
    <row r="21" spans="1:8" x14ac:dyDescent="0.25">
      <c r="A21" s="249"/>
      <c r="B21" s="1" t="s">
        <v>406</v>
      </c>
      <c r="H21" s="250"/>
    </row>
    <row r="22" spans="1:8" x14ac:dyDescent="0.25">
      <c r="A22" s="249"/>
      <c r="B22" s="33" t="s">
        <v>366</v>
      </c>
      <c r="H22" s="250"/>
    </row>
    <row r="23" spans="1:8" x14ac:dyDescent="0.25">
      <c r="A23" s="247" t="s">
        <v>376</v>
      </c>
      <c r="B23" s="54" t="s">
        <v>377</v>
      </c>
      <c r="C23" s="55" t="s">
        <v>388</v>
      </c>
      <c r="D23" s="55" t="s">
        <v>389</v>
      </c>
      <c r="E23" s="55" t="s">
        <v>390</v>
      </c>
      <c r="F23" s="55" t="s">
        <v>310</v>
      </c>
      <c r="G23" s="55" t="s">
        <v>309</v>
      </c>
      <c r="H23" s="248" t="s">
        <v>340</v>
      </c>
    </row>
    <row r="24" spans="1:8" x14ac:dyDescent="0.25">
      <c r="A24" s="249" t="s">
        <v>96</v>
      </c>
      <c r="B24" s="33" t="s">
        <v>387</v>
      </c>
      <c r="C24" s="12">
        <v>0.10106059753070376</v>
      </c>
      <c r="D24" s="12">
        <v>0.40906308056647539</v>
      </c>
      <c r="E24" s="12">
        <v>0.22092312286141352</v>
      </c>
      <c r="F24" s="12">
        <v>5.8179274091485933E-2</v>
      </c>
      <c r="G24" s="12">
        <v>0.21077392494992139</v>
      </c>
      <c r="H24" s="250">
        <v>1</v>
      </c>
    </row>
    <row r="25" spans="1:8" x14ac:dyDescent="0.25">
      <c r="A25" s="249"/>
      <c r="B25" s="33" t="s">
        <v>388</v>
      </c>
      <c r="C25" s="12">
        <v>1.6122758650167768E-2</v>
      </c>
      <c r="D25" s="12">
        <v>0.82579368010090526</v>
      </c>
      <c r="E25" s="12">
        <v>6.901537761983581E-2</v>
      </c>
      <c r="F25" s="12">
        <v>7.3513972216309054E-3</v>
      </c>
      <c r="G25" s="12">
        <v>9.7839545057628055E-2</v>
      </c>
      <c r="H25" s="250">
        <v>1</v>
      </c>
    </row>
    <row r="26" spans="1:8" x14ac:dyDescent="0.25">
      <c r="A26" s="249"/>
      <c r="B26" s="33" t="s">
        <v>389</v>
      </c>
      <c r="C26" s="12">
        <v>2.0560691426449794E-3</v>
      </c>
      <c r="D26" s="12">
        <v>7.7870896442113098E-4</v>
      </c>
      <c r="E26" s="12">
        <v>0.1989407472148581</v>
      </c>
      <c r="F26" s="12">
        <v>6.4589034680307633E-2</v>
      </c>
      <c r="G26" s="12">
        <v>0.73647021810483426</v>
      </c>
      <c r="H26" s="250">
        <v>1</v>
      </c>
    </row>
    <row r="27" spans="1:8" x14ac:dyDescent="0.25">
      <c r="A27" s="249"/>
      <c r="B27" s="33" t="s">
        <v>390</v>
      </c>
      <c r="C27" s="12">
        <v>0</v>
      </c>
      <c r="D27" s="12">
        <v>1.7129560465742408E-3</v>
      </c>
      <c r="E27" s="12">
        <v>5.2341664273577296E-2</v>
      </c>
      <c r="F27" s="12">
        <v>2.2371971272315966E-2</v>
      </c>
      <c r="G27" s="12">
        <v>0.97762802872768406</v>
      </c>
      <c r="H27" s="250">
        <v>1</v>
      </c>
    </row>
    <row r="28" spans="1:8" x14ac:dyDescent="0.25">
      <c r="A28" s="249"/>
      <c r="H28" s="250"/>
    </row>
    <row r="29" spans="1:8" x14ac:dyDescent="0.25">
      <c r="A29" s="249" t="s">
        <v>391</v>
      </c>
      <c r="B29" s="33" t="s">
        <v>387</v>
      </c>
      <c r="C29" s="12">
        <v>8.130793237510453E-2</v>
      </c>
      <c r="D29" s="12">
        <v>0.52763514264676736</v>
      </c>
      <c r="E29" s="12">
        <v>0.23245050825010191</v>
      </c>
      <c r="F29" s="12">
        <v>6.7301046146112445E-2</v>
      </c>
      <c r="G29" s="12">
        <v>9.1305370581913736E-2</v>
      </c>
      <c r="H29" s="250">
        <v>1</v>
      </c>
    </row>
    <row r="30" spans="1:8" x14ac:dyDescent="0.25">
      <c r="A30" s="249"/>
      <c r="B30" s="33" t="s">
        <v>388</v>
      </c>
      <c r="C30" s="12">
        <v>0</v>
      </c>
      <c r="D30" s="12">
        <v>0.70784361637141113</v>
      </c>
      <c r="E30" s="12">
        <v>3.103237629810629E-3</v>
      </c>
      <c r="F30" s="12">
        <v>1.9865607819181428E-2</v>
      </c>
      <c r="G30" s="12">
        <v>0.26918753817959684</v>
      </c>
      <c r="H30" s="250">
        <v>1</v>
      </c>
    </row>
    <row r="31" spans="1:8" x14ac:dyDescent="0.25">
      <c r="A31" s="249"/>
      <c r="B31" s="33" t="s">
        <v>389</v>
      </c>
      <c r="C31" s="12">
        <v>0</v>
      </c>
      <c r="D31" s="12">
        <v>0</v>
      </c>
      <c r="E31" s="12">
        <v>0.26426386864938378</v>
      </c>
      <c r="F31" s="12">
        <v>4.1476741852909525E-2</v>
      </c>
      <c r="G31" s="12">
        <v>0.69425938949770671</v>
      </c>
      <c r="H31" s="250">
        <v>1</v>
      </c>
    </row>
    <row r="32" spans="1:8" x14ac:dyDescent="0.25">
      <c r="A32" s="249"/>
      <c r="B32" s="33" t="s">
        <v>390</v>
      </c>
      <c r="C32" s="12">
        <v>0</v>
      </c>
      <c r="D32" s="12">
        <v>8.3099485200515601E-3</v>
      </c>
      <c r="E32" s="12">
        <v>7.2635365043273586E-2</v>
      </c>
      <c r="F32" s="12">
        <v>2.5867828035649049E-2</v>
      </c>
      <c r="G32" s="12">
        <v>0.97413217196435098</v>
      </c>
      <c r="H32" s="250">
        <v>1</v>
      </c>
    </row>
    <row r="33" spans="1:8" ht="15.6" x14ac:dyDescent="0.3">
      <c r="A33" s="251"/>
      <c r="H33" s="250"/>
    </row>
    <row r="34" spans="1:8" x14ac:dyDescent="0.25">
      <c r="A34" s="249" t="s">
        <v>200</v>
      </c>
      <c r="B34" s="33" t="s">
        <v>387</v>
      </c>
      <c r="C34" s="12">
        <v>8.130793237510453E-2</v>
      </c>
      <c r="D34" s="12">
        <v>0.52763514264676736</v>
      </c>
      <c r="E34" s="12">
        <v>0.23245050825010191</v>
      </c>
      <c r="F34" s="12">
        <v>6.7301046146112445E-2</v>
      </c>
      <c r="G34" s="12">
        <v>9.1305370581913736E-2</v>
      </c>
      <c r="H34" s="250">
        <v>1</v>
      </c>
    </row>
    <row r="35" spans="1:8" x14ac:dyDescent="0.25">
      <c r="A35" s="249"/>
      <c r="B35" s="33" t="s">
        <v>388</v>
      </c>
      <c r="C35" s="12">
        <v>0</v>
      </c>
      <c r="D35" s="12">
        <v>0.70784361637141113</v>
      </c>
      <c r="E35" s="12">
        <v>3.103237629810629E-3</v>
      </c>
      <c r="F35" s="12">
        <v>1.9865607819181428E-2</v>
      </c>
      <c r="G35" s="12">
        <v>0.26918753817959684</v>
      </c>
      <c r="H35" s="250">
        <v>1</v>
      </c>
    </row>
    <row r="36" spans="1:8" x14ac:dyDescent="0.25">
      <c r="A36" s="249"/>
      <c r="B36" s="33" t="s">
        <v>389</v>
      </c>
      <c r="C36" s="12">
        <v>0</v>
      </c>
      <c r="D36" s="12">
        <v>0</v>
      </c>
      <c r="E36" s="12">
        <v>0.26426386864938378</v>
      </c>
      <c r="F36" s="12">
        <v>4.1476741852909525E-2</v>
      </c>
      <c r="G36" s="12">
        <v>0.69425938949770671</v>
      </c>
      <c r="H36" s="250">
        <v>1</v>
      </c>
    </row>
    <row r="37" spans="1:8" ht="13.8" thickBot="1" x14ac:dyDescent="0.3">
      <c r="A37" s="252"/>
      <c r="B37" s="166" t="s">
        <v>390</v>
      </c>
      <c r="C37" s="253">
        <v>0</v>
      </c>
      <c r="D37" s="253">
        <v>0</v>
      </c>
      <c r="E37" s="253">
        <v>0</v>
      </c>
      <c r="F37" s="253">
        <v>2.5867828035649049E-2</v>
      </c>
      <c r="G37" s="253">
        <v>0.97413217196435098</v>
      </c>
      <c r="H37" s="254">
        <v>1</v>
      </c>
    </row>
  </sheetData>
  <mergeCells count="2">
    <mergeCell ref="A2:H2"/>
    <mergeCell ref="A20:H20"/>
  </mergeCells>
  <phoneticPr fontId="29" type="noConversion"/>
  <printOptions horizontalCentered="1"/>
  <pageMargins left="0.75" right="0.75" top="1" bottom="1" header="0.5" footer="0.5"/>
  <pageSetup orientation="portrait" r:id="rId1"/>
  <headerFooter alignWithMargins="0">
    <oddFooter>&amp;CTab '&amp;A'&amp;RPage 30</oddFooter>
  </headerFooter>
</worksheet>
</file>

<file path=xl/worksheets/sheet3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40">
    <tabColor rgb="FFFFFF00"/>
    <pageSetUpPr fitToPage="1"/>
  </sheetPr>
  <dimension ref="A1:O111"/>
  <sheetViews>
    <sheetView zoomScale="130" zoomScaleNormal="130" workbookViewId="0">
      <selection activeCell="C18" sqref="C18"/>
    </sheetView>
  </sheetViews>
  <sheetFormatPr defaultRowHeight="13.2" x14ac:dyDescent="0.25"/>
  <cols>
    <col min="1" max="1" width="35.77734375" customWidth="1"/>
    <col min="2" max="2" width="12.77734375" style="222" customWidth="1"/>
    <col min="3" max="3" width="12.77734375" style="17" customWidth="1"/>
    <col min="4" max="4" width="53.5546875" customWidth="1"/>
    <col min="5" max="5" width="12.77734375" style="30" customWidth="1"/>
    <col min="6" max="6" width="4.21875" customWidth="1"/>
    <col min="7" max="7" width="2.77734375" customWidth="1"/>
  </cols>
  <sheetData>
    <row r="1" spans="1:8" ht="17.399999999999999" x14ac:dyDescent="0.3">
      <c r="A1" s="4" t="s">
        <v>407</v>
      </c>
    </row>
    <row r="4" spans="1:8" x14ac:dyDescent="0.25">
      <c r="B4" s="339" t="str">
        <f>"(1)"</f>
        <v>(1)</v>
      </c>
      <c r="C4" s="340" t="str">
        <f>"(2)"</f>
        <v>(2)</v>
      </c>
      <c r="E4" s="340" t="str">
        <f>"(3)"</f>
        <v>(3)</v>
      </c>
    </row>
    <row r="5" spans="1:8" s="1" customFormat="1" x14ac:dyDescent="0.25">
      <c r="B5" s="339" t="s">
        <v>408</v>
      </c>
      <c r="C5" s="43" t="s">
        <v>409</v>
      </c>
      <c r="E5" s="31" t="s">
        <v>410</v>
      </c>
      <c r="G5" s="228"/>
    </row>
    <row r="6" spans="1:8" s="1" customFormat="1" x14ac:dyDescent="0.25">
      <c r="A6" s="1" t="s">
        <v>411</v>
      </c>
      <c r="B6" s="339" t="s">
        <v>195</v>
      </c>
      <c r="C6" s="43" t="s">
        <v>412</v>
      </c>
      <c r="D6" s="221" t="s">
        <v>413</v>
      </c>
      <c r="E6" s="13" t="s">
        <v>412</v>
      </c>
      <c r="G6" s="228"/>
    </row>
    <row r="7" spans="1:8" x14ac:dyDescent="0.25">
      <c r="A7" t="s">
        <v>607</v>
      </c>
      <c r="B7" s="12">
        <f>'[9]volume-variability factors'!$G$31</f>
        <v>0.94969999999999999</v>
      </c>
      <c r="C7" s="428">
        <f>'[10]FY25 Table'!$I$11</f>
        <v>85.837148173784783</v>
      </c>
      <c r="D7" s="146" t="s">
        <v>600</v>
      </c>
      <c r="E7" s="17">
        <f>C7/B7</f>
        <v>90.383434951863521</v>
      </c>
      <c r="G7" s="228"/>
    </row>
    <row r="8" spans="1:8" x14ac:dyDescent="0.25">
      <c r="A8" t="s">
        <v>414</v>
      </c>
      <c r="B8" s="12">
        <f>'[9]volume-variability factors'!$G$18</f>
        <v>0.96399999999999997</v>
      </c>
      <c r="C8" s="428">
        <f>B63</f>
        <v>169.34485978170275</v>
      </c>
      <c r="D8" s="414" t="s">
        <v>9</v>
      </c>
      <c r="E8" s="17">
        <f>C8/B8</f>
        <v>175.66894168226426</v>
      </c>
      <c r="G8" s="228"/>
      <c r="H8" s="17"/>
    </row>
    <row r="9" spans="1:8" x14ac:dyDescent="0.25">
      <c r="A9" t="s">
        <v>415</v>
      </c>
      <c r="B9" s="12">
        <f>B8</f>
        <v>0.96399999999999997</v>
      </c>
      <c r="C9" s="428">
        <f>C63</f>
        <v>196.80325291833395</v>
      </c>
      <c r="D9" s="414" t="s">
        <v>11</v>
      </c>
      <c r="E9" s="17">
        <f>C9/B9</f>
        <v>204.15275198997298</v>
      </c>
      <c r="G9" s="228"/>
      <c r="H9" s="17">
        <f>'[10]FY25 Table'!$J$38</f>
        <v>0.90347346195308265</v>
      </c>
    </row>
    <row r="10" spans="1:8" x14ac:dyDescent="0.25">
      <c r="A10" t="s">
        <v>416</v>
      </c>
      <c r="B10" s="12">
        <f>B8</f>
        <v>0.96399999999999997</v>
      </c>
      <c r="C10" s="428">
        <f>D63</f>
        <v>187.59635418126214</v>
      </c>
      <c r="D10" s="414" t="s">
        <v>12</v>
      </c>
      <c r="E10" s="17">
        <f>C10/B10</f>
        <v>194.60202715898563</v>
      </c>
      <c r="G10" s="228"/>
      <c r="H10" s="17"/>
    </row>
    <row r="11" spans="1:8" x14ac:dyDescent="0.25">
      <c r="A11" t="s">
        <v>417</v>
      </c>
      <c r="B11" s="12">
        <f>B8</f>
        <v>0.96399999999999997</v>
      </c>
      <c r="C11" s="428">
        <f>E63</f>
        <v>157.81731431388002</v>
      </c>
      <c r="D11" s="414" t="s">
        <v>13</v>
      </c>
      <c r="E11" s="17">
        <f>C11/B11</f>
        <v>163.71090696460584</v>
      </c>
      <c r="G11" s="228"/>
      <c r="H11" s="17"/>
    </row>
    <row r="12" spans="1:8" ht="12.6" customHeight="1" x14ac:dyDescent="0.25">
      <c r="A12" t="s">
        <v>418</v>
      </c>
      <c r="B12" s="12">
        <f>'[9]volume-variability factors'!$G$41</f>
        <v>0.94240000000000002</v>
      </c>
      <c r="C12" s="429">
        <f>E69</f>
        <v>366.38531697123585</v>
      </c>
      <c r="D12" s="446" t="s">
        <v>608</v>
      </c>
      <c r="E12" s="17">
        <f t="shared" ref="E12:E48" si="0">C12/B12</f>
        <v>388.77898659935892</v>
      </c>
      <c r="G12" s="228"/>
      <c r="H12" s="17"/>
    </row>
    <row r="13" spans="1:8" x14ac:dyDescent="0.25">
      <c r="A13" t="s">
        <v>419</v>
      </c>
      <c r="B13" s="12">
        <f>B12</f>
        <v>0.94240000000000002</v>
      </c>
      <c r="C13" s="428">
        <f>C12</f>
        <v>366.38531697123585</v>
      </c>
      <c r="D13" s="447"/>
      <c r="E13" s="17">
        <f t="shared" si="0"/>
        <v>388.77898659935892</v>
      </c>
      <c r="G13" s="228"/>
      <c r="H13" s="17"/>
    </row>
    <row r="14" spans="1:8" x14ac:dyDescent="0.25">
      <c r="A14" t="s">
        <v>420</v>
      </c>
      <c r="B14" s="12">
        <f>B12</f>
        <v>0.94240000000000002</v>
      </c>
      <c r="C14" s="428">
        <f>C12</f>
        <v>366.38531697123585</v>
      </c>
      <c r="D14" s="447"/>
      <c r="E14" s="17">
        <f t="shared" si="0"/>
        <v>388.77898659935892</v>
      </c>
      <c r="G14" s="228"/>
      <c r="H14" s="17"/>
    </row>
    <row r="15" spans="1:8" x14ac:dyDescent="0.25">
      <c r="A15" t="s">
        <v>421</v>
      </c>
      <c r="B15" s="12">
        <f>B12</f>
        <v>0.94240000000000002</v>
      </c>
      <c r="C15" s="429">
        <f>E70</f>
        <v>263.05993526059655</v>
      </c>
      <c r="D15" s="146" t="s">
        <v>609</v>
      </c>
      <c r="E15" s="17">
        <f t="shared" si="0"/>
        <v>279.13830142253454</v>
      </c>
      <c r="G15" s="228"/>
      <c r="H15" s="17"/>
    </row>
    <row r="16" spans="1:8" x14ac:dyDescent="0.25">
      <c r="A16" t="s">
        <v>226</v>
      </c>
      <c r="B16" s="12">
        <f>'[9]volume-variability factors'!$G$27</f>
        <v>0.873</v>
      </c>
      <c r="C16" s="428">
        <f>'[11]Prod Calc'!$E$10</f>
        <v>775.23422288961956</v>
      </c>
      <c r="D16" s="146" t="str">
        <f>D7</f>
        <v>USPS-FY25-23</v>
      </c>
      <c r="E16" s="17">
        <f t="shared" si="0"/>
        <v>888.0117100682927</v>
      </c>
      <c r="G16" s="228"/>
      <c r="H16" s="17"/>
    </row>
    <row r="17" spans="1:10" x14ac:dyDescent="0.25">
      <c r="A17" t="s">
        <v>422</v>
      </c>
      <c r="B17" s="12">
        <f>'[9]volume-variability factors'!$G$14</f>
        <v>0.97340000000000004</v>
      </c>
      <c r="C17" s="428">
        <f>'[10]FY25 Table'!I80</f>
        <v>1530.697871044493</v>
      </c>
      <c r="D17" t="str">
        <f>D16</f>
        <v>USPS-FY25-23</v>
      </c>
      <c r="E17" s="17">
        <f t="shared" si="0"/>
        <v>1572.5270916832678</v>
      </c>
      <c r="G17" s="228"/>
      <c r="H17" s="17"/>
    </row>
    <row r="18" spans="1:10" x14ac:dyDescent="0.25">
      <c r="A18" t="s">
        <v>423</v>
      </c>
      <c r="B18" s="12">
        <f>B17</f>
        <v>0.97340000000000004</v>
      </c>
      <c r="C18" s="428">
        <f>'[10]FY25 Table'!I81</f>
        <v>2207.4471605243534</v>
      </c>
      <c r="D18" t="str">
        <f t="shared" ref="D18:D41" si="1">D17</f>
        <v>USPS-FY25-23</v>
      </c>
      <c r="E18" s="17">
        <f t="shared" si="0"/>
        <v>2267.7698382210328</v>
      </c>
      <c r="G18" s="228"/>
      <c r="H18" s="17"/>
    </row>
    <row r="19" spans="1:10" x14ac:dyDescent="0.25">
      <c r="A19" t="s">
        <v>424</v>
      </c>
      <c r="B19" s="12">
        <f>B17</f>
        <v>0.97340000000000004</v>
      </c>
      <c r="C19" s="428">
        <f>'[10]FY25 Table'!I82</f>
        <v>1531.1342266301606</v>
      </c>
      <c r="D19" t="str">
        <f t="shared" si="1"/>
        <v>USPS-FY25-23</v>
      </c>
      <c r="E19" s="17">
        <f t="shared" si="0"/>
        <v>1572.97537151239</v>
      </c>
      <c r="G19" s="228"/>
      <c r="H19" s="17"/>
    </row>
    <row r="20" spans="1:10" x14ac:dyDescent="0.25">
      <c r="A20" t="s">
        <v>425</v>
      </c>
      <c r="B20" s="12">
        <f>B17</f>
        <v>0.97340000000000004</v>
      </c>
      <c r="C20" s="428">
        <f>'[10]FY25 Table'!I83</f>
        <v>2018.3927532193345</v>
      </c>
      <c r="D20" t="str">
        <f t="shared" si="1"/>
        <v>USPS-FY25-23</v>
      </c>
      <c r="E20" s="17">
        <f t="shared" si="0"/>
        <v>2073.5491608992547</v>
      </c>
      <c r="G20" s="228"/>
      <c r="H20" s="17"/>
    </row>
    <row r="21" spans="1:10" x14ac:dyDescent="0.25">
      <c r="A21" t="s">
        <v>426</v>
      </c>
      <c r="B21" s="12">
        <f>B17</f>
        <v>0.97340000000000004</v>
      </c>
      <c r="C21" s="428">
        <f>'[10]FY25 Table'!I84</f>
        <v>1087.692150893748</v>
      </c>
      <c r="D21" t="str">
        <f t="shared" si="1"/>
        <v>USPS-FY25-23</v>
      </c>
      <c r="E21" s="17">
        <f t="shared" si="0"/>
        <v>1117.4154005483335</v>
      </c>
      <c r="G21" s="228"/>
      <c r="H21" s="17"/>
    </row>
    <row r="22" spans="1:10" x14ac:dyDescent="0.25">
      <c r="A22" t="s">
        <v>427</v>
      </c>
      <c r="B22" s="12">
        <f>B17</f>
        <v>0.97340000000000004</v>
      </c>
      <c r="C22" s="428">
        <f>'[10]FY25 Table'!I85</f>
        <v>1808.8275858515883</v>
      </c>
      <c r="D22" t="str">
        <f t="shared" si="1"/>
        <v>USPS-FY25-23</v>
      </c>
      <c r="E22" s="17">
        <f t="shared" si="0"/>
        <v>1858.2572281195687</v>
      </c>
      <c r="G22" s="228"/>
      <c r="H22" s="17"/>
    </row>
    <row r="23" spans="1:10" x14ac:dyDescent="0.25">
      <c r="A23" t="s">
        <v>428</v>
      </c>
      <c r="B23" s="12">
        <f>B17</f>
        <v>0.97340000000000004</v>
      </c>
      <c r="C23" s="428">
        <f t="shared" ref="C23:C28" si="2">C17</f>
        <v>1530.697871044493</v>
      </c>
      <c r="D23" t="str">
        <f t="shared" si="1"/>
        <v>USPS-FY25-23</v>
      </c>
      <c r="E23" s="17">
        <f t="shared" si="0"/>
        <v>1572.5270916832678</v>
      </c>
      <c r="G23" s="228"/>
      <c r="H23" s="17"/>
    </row>
    <row r="24" spans="1:10" x14ac:dyDescent="0.25">
      <c r="A24" t="s">
        <v>429</v>
      </c>
      <c r="B24" s="12">
        <f>B17</f>
        <v>0.97340000000000004</v>
      </c>
      <c r="C24" s="428">
        <f t="shared" si="2"/>
        <v>2207.4471605243534</v>
      </c>
      <c r="D24" t="str">
        <f t="shared" si="1"/>
        <v>USPS-FY25-23</v>
      </c>
      <c r="E24" s="17">
        <f t="shared" si="0"/>
        <v>2267.7698382210328</v>
      </c>
      <c r="G24" s="228"/>
      <c r="H24" s="17"/>
    </row>
    <row r="25" spans="1:10" x14ac:dyDescent="0.25">
      <c r="A25" t="s">
        <v>430</v>
      </c>
      <c r="B25" s="12">
        <f>B17</f>
        <v>0.97340000000000004</v>
      </c>
      <c r="C25" s="428">
        <f t="shared" si="2"/>
        <v>1531.1342266301606</v>
      </c>
      <c r="D25" t="str">
        <f t="shared" si="1"/>
        <v>USPS-FY25-23</v>
      </c>
      <c r="E25" s="17">
        <f t="shared" si="0"/>
        <v>1572.97537151239</v>
      </c>
      <c r="G25" s="228"/>
      <c r="H25" s="17"/>
    </row>
    <row r="26" spans="1:10" x14ac:dyDescent="0.25">
      <c r="A26" t="s">
        <v>431</v>
      </c>
      <c r="B26" s="12">
        <f>B17</f>
        <v>0.97340000000000004</v>
      </c>
      <c r="C26" s="428">
        <f t="shared" si="2"/>
        <v>2018.3927532193345</v>
      </c>
      <c r="D26" t="str">
        <f t="shared" si="1"/>
        <v>USPS-FY25-23</v>
      </c>
      <c r="E26" s="17">
        <f t="shared" si="0"/>
        <v>2073.5491608992547</v>
      </c>
      <c r="G26" s="228"/>
      <c r="H26" s="17"/>
    </row>
    <row r="27" spans="1:10" x14ac:dyDescent="0.25">
      <c r="A27" t="s">
        <v>432</v>
      </c>
      <c r="B27" s="12">
        <f>B17</f>
        <v>0.97340000000000004</v>
      </c>
      <c r="C27" s="428">
        <f t="shared" si="2"/>
        <v>1087.692150893748</v>
      </c>
      <c r="D27" t="str">
        <f t="shared" si="1"/>
        <v>USPS-FY25-23</v>
      </c>
      <c r="E27" s="17">
        <f t="shared" si="0"/>
        <v>1117.4154005483335</v>
      </c>
      <c r="G27" s="228"/>
      <c r="H27" s="17"/>
    </row>
    <row r="28" spans="1:10" x14ac:dyDescent="0.25">
      <c r="A28" t="s">
        <v>433</v>
      </c>
      <c r="B28" s="12">
        <f>B17</f>
        <v>0.97340000000000004</v>
      </c>
      <c r="C28" s="428">
        <f t="shared" si="2"/>
        <v>1808.8275858515883</v>
      </c>
      <c r="D28" t="str">
        <f t="shared" si="1"/>
        <v>USPS-FY25-23</v>
      </c>
      <c r="E28" s="17">
        <f t="shared" si="0"/>
        <v>1858.2572281195687</v>
      </c>
      <c r="G28" s="228"/>
      <c r="H28" s="17"/>
    </row>
    <row r="29" spans="1:10" x14ac:dyDescent="0.25">
      <c r="A29" t="s">
        <v>99</v>
      </c>
      <c r="B29" s="415">
        <v>1</v>
      </c>
      <c r="C29" s="17">
        <v>1</v>
      </c>
      <c r="D29" t="str">
        <f t="shared" si="1"/>
        <v>USPS-FY25-23</v>
      </c>
      <c r="E29" s="17">
        <f t="shared" si="0"/>
        <v>1</v>
      </c>
      <c r="G29" s="228"/>
      <c r="H29" s="17"/>
    </row>
    <row r="30" spans="1:10" x14ac:dyDescent="0.25">
      <c r="A30" t="s">
        <v>434</v>
      </c>
      <c r="B30" s="12">
        <f>B17</f>
        <v>0.97340000000000004</v>
      </c>
      <c r="C30" s="17">
        <v>1</v>
      </c>
      <c r="D30" t="str">
        <f t="shared" si="1"/>
        <v>USPS-FY25-23</v>
      </c>
      <c r="E30" s="17">
        <f t="shared" si="0"/>
        <v>1.0273268954181221</v>
      </c>
      <c r="F30" s="17"/>
      <c r="G30" s="228"/>
      <c r="H30" s="17"/>
      <c r="J30" s="19"/>
    </row>
    <row r="31" spans="1:10" x14ac:dyDescent="0.25">
      <c r="A31" t="s">
        <v>434</v>
      </c>
      <c r="B31" s="12">
        <f>B30</f>
        <v>0.97340000000000004</v>
      </c>
      <c r="C31" s="17">
        <v>1</v>
      </c>
      <c r="D31" t="str">
        <f t="shared" si="1"/>
        <v>USPS-FY25-23</v>
      </c>
      <c r="E31" s="17">
        <f t="shared" si="0"/>
        <v>1.0273268954181221</v>
      </c>
      <c r="F31" s="17"/>
      <c r="G31" s="228"/>
      <c r="H31" s="17"/>
      <c r="J31" s="19"/>
    </row>
    <row r="32" spans="1:10" x14ac:dyDescent="0.25">
      <c r="A32" t="s">
        <v>435</v>
      </c>
      <c r="B32" s="12">
        <f>B30</f>
        <v>0.97340000000000004</v>
      </c>
      <c r="C32" s="17">
        <v>1</v>
      </c>
      <c r="D32" t="str">
        <f t="shared" si="1"/>
        <v>USPS-FY25-23</v>
      </c>
      <c r="E32" s="17">
        <f t="shared" si="0"/>
        <v>1.0273268954181221</v>
      </c>
      <c r="F32" s="17"/>
      <c r="G32" s="228"/>
      <c r="H32" s="17"/>
      <c r="J32" s="19"/>
    </row>
    <row r="33" spans="1:10" x14ac:dyDescent="0.25">
      <c r="A33" t="s">
        <v>435</v>
      </c>
      <c r="B33" s="12">
        <f>B30</f>
        <v>0.97340000000000004</v>
      </c>
      <c r="C33" s="17">
        <v>1</v>
      </c>
      <c r="D33" t="str">
        <f t="shared" si="1"/>
        <v>USPS-FY25-23</v>
      </c>
      <c r="E33" s="17">
        <f t="shared" si="0"/>
        <v>1.0273268954181221</v>
      </c>
      <c r="F33" s="17"/>
      <c r="G33" s="228"/>
      <c r="H33" s="17"/>
      <c r="J33" s="19"/>
    </row>
    <row r="34" spans="1:10" x14ac:dyDescent="0.25">
      <c r="A34" t="s">
        <v>435</v>
      </c>
      <c r="B34" s="12">
        <f>B30</f>
        <v>0.97340000000000004</v>
      </c>
      <c r="C34" s="17">
        <v>1</v>
      </c>
      <c r="D34" t="str">
        <f t="shared" si="1"/>
        <v>USPS-FY25-23</v>
      </c>
      <c r="E34" s="17">
        <f t="shared" si="0"/>
        <v>1.0273268954181221</v>
      </c>
      <c r="F34" s="17"/>
      <c r="G34" s="228"/>
      <c r="H34" s="17"/>
      <c r="J34" s="19"/>
    </row>
    <row r="35" spans="1:10" x14ac:dyDescent="0.25">
      <c r="A35" t="s">
        <v>435</v>
      </c>
      <c r="B35" s="12">
        <f>B30</f>
        <v>0.97340000000000004</v>
      </c>
      <c r="C35" s="17">
        <v>1</v>
      </c>
      <c r="D35" t="str">
        <f t="shared" si="1"/>
        <v>USPS-FY25-23</v>
      </c>
      <c r="E35" s="17">
        <f t="shared" si="0"/>
        <v>1.0273268954181221</v>
      </c>
      <c r="F35" s="17"/>
      <c r="G35" s="228"/>
      <c r="H35" s="17"/>
      <c r="J35" s="19"/>
    </row>
    <row r="36" spans="1:10" x14ac:dyDescent="0.25">
      <c r="A36" t="s">
        <v>434</v>
      </c>
      <c r="B36" s="12">
        <f>B30</f>
        <v>0.97340000000000004</v>
      </c>
      <c r="C36" s="17">
        <v>1</v>
      </c>
      <c r="D36" t="str">
        <f t="shared" si="1"/>
        <v>USPS-FY25-23</v>
      </c>
      <c r="E36" s="17">
        <f t="shared" si="0"/>
        <v>1.0273268954181221</v>
      </c>
      <c r="G36" s="228"/>
      <c r="H36" s="17"/>
      <c r="J36" s="19"/>
    </row>
    <row r="37" spans="1:10" x14ac:dyDescent="0.25">
      <c r="A37" t="s">
        <v>434</v>
      </c>
      <c r="B37" s="12">
        <f>B30</f>
        <v>0.97340000000000004</v>
      </c>
      <c r="C37" s="17">
        <v>1</v>
      </c>
      <c r="D37" t="str">
        <f t="shared" si="1"/>
        <v>USPS-FY25-23</v>
      </c>
      <c r="E37" s="17">
        <f t="shared" si="0"/>
        <v>1.0273268954181221</v>
      </c>
      <c r="G37" s="228"/>
      <c r="H37" s="17"/>
      <c r="J37" s="19"/>
    </row>
    <row r="38" spans="1:10" x14ac:dyDescent="0.25">
      <c r="A38" t="s">
        <v>435</v>
      </c>
      <c r="B38" s="12">
        <f>B30</f>
        <v>0.97340000000000004</v>
      </c>
      <c r="C38" s="17">
        <v>1</v>
      </c>
      <c r="D38" t="str">
        <f t="shared" si="1"/>
        <v>USPS-FY25-23</v>
      </c>
      <c r="E38" s="17">
        <f t="shared" si="0"/>
        <v>1.0273268954181221</v>
      </c>
      <c r="G38" s="228"/>
      <c r="H38" s="17"/>
    </row>
    <row r="39" spans="1:10" x14ac:dyDescent="0.25">
      <c r="A39" t="s">
        <v>435</v>
      </c>
      <c r="B39" s="12">
        <f>B30</f>
        <v>0.97340000000000004</v>
      </c>
      <c r="C39" s="17">
        <v>1</v>
      </c>
      <c r="D39" t="str">
        <f t="shared" si="1"/>
        <v>USPS-FY25-23</v>
      </c>
      <c r="E39" s="17">
        <f t="shared" si="0"/>
        <v>1.0273268954181221</v>
      </c>
      <c r="G39" s="228"/>
      <c r="H39" s="17"/>
    </row>
    <row r="40" spans="1:10" x14ac:dyDescent="0.25">
      <c r="A40" t="s">
        <v>435</v>
      </c>
      <c r="B40" s="12">
        <f>B30</f>
        <v>0.97340000000000004</v>
      </c>
      <c r="C40" s="17">
        <v>1</v>
      </c>
      <c r="D40" t="str">
        <f t="shared" si="1"/>
        <v>USPS-FY25-23</v>
      </c>
      <c r="E40" s="17">
        <f t="shared" si="0"/>
        <v>1.0273268954181221</v>
      </c>
      <c r="G40" s="228"/>
      <c r="H40" s="17"/>
    </row>
    <row r="41" spans="1:10" x14ac:dyDescent="0.25">
      <c r="A41" t="s">
        <v>435</v>
      </c>
      <c r="B41" s="12">
        <f>B30</f>
        <v>0.97340000000000004</v>
      </c>
      <c r="C41" s="17">
        <v>1</v>
      </c>
      <c r="D41" t="str">
        <f t="shared" si="1"/>
        <v>USPS-FY25-23</v>
      </c>
      <c r="E41" s="17">
        <f t="shared" si="0"/>
        <v>1.0273268954181221</v>
      </c>
      <c r="G41" s="228"/>
      <c r="H41" s="17"/>
    </row>
    <row r="42" spans="1:10" x14ac:dyDescent="0.25">
      <c r="A42" t="s">
        <v>436</v>
      </c>
      <c r="B42" s="12">
        <f>'[9]volume-variability factors'!$G$22</f>
        <v>0.96760000000000002</v>
      </c>
      <c r="C42" s="17">
        <f>[12]Table!$I$51</f>
        <v>600.16717529296875</v>
      </c>
      <c r="D42" t="s">
        <v>437</v>
      </c>
      <c r="E42" s="17">
        <f t="shared" si="0"/>
        <v>620.26371981497391</v>
      </c>
      <c r="G42" s="228"/>
      <c r="H42" s="17"/>
    </row>
    <row r="43" spans="1:10" x14ac:dyDescent="0.25">
      <c r="A43" t="s">
        <v>438</v>
      </c>
      <c r="B43" s="12">
        <f>B42</f>
        <v>0.96760000000000002</v>
      </c>
      <c r="C43" s="17">
        <f>[12]Table!$I$52</f>
        <v>474.72515869140625</v>
      </c>
      <c r="D43" t="s">
        <v>437</v>
      </c>
      <c r="E43" s="17">
        <f t="shared" si="0"/>
        <v>490.6212884367572</v>
      </c>
      <c r="G43" s="228"/>
      <c r="H43" s="17"/>
    </row>
    <row r="44" spans="1:10" x14ac:dyDescent="0.25">
      <c r="A44" t="s">
        <v>439</v>
      </c>
      <c r="B44" s="12">
        <f>B42</f>
        <v>0.96760000000000002</v>
      </c>
      <c r="C44" s="17">
        <f>[12]Table!$I$53</f>
        <v>670.51171875</v>
      </c>
      <c r="D44" t="s">
        <v>437</v>
      </c>
      <c r="E44" s="17">
        <f t="shared" si="0"/>
        <v>692.96374405746178</v>
      </c>
      <c r="G44" s="228"/>
      <c r="H44" s="17"/>
    </row>
    <row r="45" spans="1:10" x14ac:dyDescent="0.25">
      <c r="A45" t="s">
        <v>440</v>
      </c>
      <c r="B45" s="12">
        <f>B42</f>
        <v>0.96760000000000002</v>
      </c>
      <c r="C45" s="17">
        <f>[12]Table!$I$54</f>
        <v>581.19781494140625</v>
      </c>
      <c r="D45" t="s">
        <v>437</v>
      </c>
      <c r="E45" s="17">
        <f t="shared" si="0"/>
        <v>600.65917211803048</v>
      </c>
      <c r="G45" s="228"/>
      <c r="H45" s="17"/>
    </row>
    <row r="46" spans="1:10" x14ac:dyDescent="0.25">
      <c r="A46" t="s">
        <v>441</v>
      </c>
      <c r="B46" s="12">
        <f>B42</f>
        <v>0.96760000000000002</v>
      </c>
      <c r="C46" s="17">
        <f>[12]Table!$I$55</f>
        <v>728.99871826171875</v>
      </c>
      <c r="D46" t="s">
        <v>437</v>
      </c>
      <c r="E46" s="17">
        <f t="shared" si="0"/>
        <v>753.4091755495233</v>
      </c>
      <c r="G46" s="228"/>
      <c r="H46" s="17"/>
    </row>
    <row r="47" spans="1:10" ht="14.4" x14ac:dyDescent="0.25">
      <c r="A47" t="s">
        <v>442</v>
      </c>
      <c r="B47" s="12">
        <f>'[9]volume-variability factors'!$G$88</f>
        <v>0.9738</v>
      </c>
      <c r="C47" s="17">
        <f>'[13]FY25 F4 Manual Productivity'!$D$4</f>
        <v>658.18475684439443</v>
      </c>
      <c r="D47" s="416" t="s">
        <v>443</v>
      </c>
      <c r="E47" s="17">
        <f t="shared" si="0"/>
        <v>675.89315757280178</v>
      </c>
      <c r="G47" s="228"/>
      <c r="H47" s="17"/>
    </row>
    <row r="48" spans="1:10" ht="43.5" customHeight="1" x14ac:dyDescent="0.25">
      <c r="A48" t="s">
        <v>444</v>
      </c>
      <c r="B48" s="12">
        <f>'[9]volume-variability factors'!$G$90</f>
        <v>0.96150000000000002</v>
      </c>
      <c r="C48" s="17">
        <f>'[13]FY25 F4 Manual Productivity'!$D$6</f>
        <v>295.82991061998308</v>
      </c>
      <c r="D48" s="417" t="str">
        <f>D15</f>
        <v>Manual bundle sorting - DU includes Overhead factors From USPS-FY25-11 PER cost model sheet 'ACR Modifications Cell H23</v>
      </c>
      <c r="E48" s="17">
        <f t="shared" si="0"/>
        <v>307.67541406134484</v>
      </c>
      <c r="G48" s="228"/>
      <c r="H48" s="17"/>
    </row>
    <row r="49" spans="1:15" x14ac:dyDescent="0.25">
      <c r="D49" s="341"/>
      <c r="G49" s="228"/>
    </row>
    <row r="50" spans="1:15" ht="26.4" x14ac:dyDescent="0.25">
      <c r="A50" s="5" t="s">
        <v>445</v>
      </c>
      <c r="B50"/>
      <c r="C50"/>
      <c r="E50"/>
      <c r="G50" s="228"/>
    </row>
    <row r="51" spans="1:15" x14ac:dyDescent="0.25">
      <c r="A51" s="334"/>
      <c r="B51"/>
      <c r="C51"/>
      <c r="E51"/>
      <c r="G51" s="228"/>
    </row>
    <row r="52" spans="1:15" ht="39.6" x14ac:dyDescent="0.25">
      <c r="A52" s="334" t="s">
        <v>446</v>
      </c>
      <c r="B52" s="418">
        <f>'[14]NON 5D-CONTAINER AVE BUN SIZE'!$E$31</f>
        <v>25.091147345874898</v>
      </c>
      <c r="C52" s="216" t="s">
        <v>24</v>
      </c>
      <c r="E52"/>
      <c r="G52" s="228"/>
    </row>
    <row r="53" spans="1:15" x14ac:dyDescent="0.25">
      <c r="A53" s="334"/>
      <c r="B53"/>
      <c r="C53"/>
      <c r="E53"/>
      <c r="G53" s="228"/>
    </row>
    <row r="54" spans="1:15" ht="26.4" x14ac:dyDescent="0.25">
      <c r="A54" s="334" t="s">
        <v>447</v>
      </c>
      <c r="B54" s="334" t="s">
        <v>448</v>
      </c>
      <c r="C54" s="334" t="s">
        <v>449</v>
      </c>
      <c r="D54" s="334" t="s">
        <v>450</v>
      </c>
      <c r="E54" s="334"/>
      <c r="G54" s="228"/>
    </row>
    <row r="55" spans="1:15" x14ac:dyDescent="0.25">
      <c r="A55" s="334" t="s">
        <v>198</v>
      </c>
      <c r="B55" s="231">
        <f>'[15]Single Piece Sort'!$Q$31</f>
        <v>3.8148671809604358E-2</v>
      </c>
      <c r="C55" s="231">
        <f>B55/(B$52-B$52*B55+B55)</f>
        <v>1.5782107694052583E-3</v>
      </c>
      <c r="D55" s="419">
        <f>1/(1-C55+B$52*C55)</f>
        <v>0.96337173183251423</v>
      </c>
      <c r="E55"/>
      <c r="G55" s="228"/>
    </row>
    <row r="56" spans="1:15" x14ac:dyDescent="0.25">
      <c r="A56" s="334" t="s">
        <v>142</v>
      </c>
      <c r="B56" s="231">
        <f>'[15]Single Piece Sort'!$Q$59</f>
        <v>5.1729357444902091E-2</v>
      </c>
      <c r="C56" s="231">
        <f>B56/(B$52-B$52*B56+B56)</f>
        <v>2.1694071769114837E-3</v>
      </c>
      <c r="D56" s="419">
        <f>1/(1-C56+B$52*C56)</f>
        <v>0.95033230026774962</v>
      </c>
      <c r="E56"/>
      <c r="F56" s="2"/>
      <c r="G56" s="228"/>
    </row>
    <row r="57" spans="1:15" x14ac:dyDescent="0.25">
      <c r="B57" s="338"/>
      <c r="G57" s="228"/>
    </row>
    <row r="58" spans="1:15" ht="26.4" x14ac:dyDescent="0.25">
      <c r="A58" s="5" t="s">
        <v>451</v>
      </c>
      <c r="B58" s="310"/>
      <c r="C58" s="310"/>
      <c r="D58" s="310"/>
      <c r="E58" s="310"/>
      <c r="G58" s="228"/>
      <c r="H58" s="257"/>
      <c r="I58" s="257"/>
      <c r="J58" s="257"/>
      <c r="K58" s="257"/>
    </row>
    <row r="59" spans="1:15" ht="39.6" x14ac:dyDescent="0.25">
      <c r="A59" s="334" t="s">
        <v>452</v>
      </c>
      <c r="B59" s="420"/>
      <c r="C59" s="421"/>
      <c r="D59" s="283"/>
      <c r="E59" s="283"/>
      <c r="G59" s="228"/>
      <c r="H59" s="283"/>
      <c r="I59" s="283"/>
      <c r="J59" s="283"/>
      <c r="K59" s="283"/>
    </row>
    <row r="60" spans="1:15" x14ac:dyDescent="0.25">
      <c r="A60" s="334"/>
      <c r="B60" t="s">
        <v>453</v>
      </c>
      <c r="C60" t="s">
        <v>454</v>
      </c>
      <c r="D60" s="24" t="s">
        <v>455</v>
      </c>
      <c r="E60" s="24" t="s">
        <v>456</v>
      </c>
      <c r="G60" s="228"/>
      <c r="O60" t="s">
        <v>45</v>
      </c>
    </row>
    <row r="61" spans="1:15" x14ac:dyDescent="0.25">
      <c r="A61" t="s">
        <v>457</v>
      </c>
      <c r="B61" s="310">
        <f>1-('[10]FY25 Table'!$G$61
/'[10]FY25 Table'!$F$61)</f>
        <v>0.1773298504165205</v>
      </c>
      <c r="C61" s="310">
        <f>1-('[10]FY25 Table'!$G$62/'[10]FY25 Table'!$F$62)</f>
        <v>0.1571257270474461</v>
      </c>
      <c r="D61" s="310">
        <f>1-('[10]FY25 Table'!$G$58
/'[10]FY25 Table'!$F$58)</f>
        <v>0.12281019536139637</v>
      </c>
      <c r="E61" s="310">
        <f>1-(('[10]FY25 Table'!$G$59
+'[10]FY25 Table'!$G$60)/
('[10]FY25 Table'!$F$59
+'[10]FY25 Table'!$F$60))</f>
        <v>0.10765400213008303</v>
      </c>
      <c r="G61" s="228"/>
      <c r="H61" s="231"/>
    </row>
    <row r="62" spans="1:15" x14ac:dyDescent="0.25">
      <c r="A62" s="334" t="s">
        <v>412</v>
      </c>
      <c r="B62" s="342">
        <f>D55*
'[10]FY25 Table'!$I$61</f>
        <v>199.37475843559875</v>
      </c>
      <c r="C62" s="421">
        <f>D55*
'[10]FY25 Table'!$I$62</f>
        <v>227.72610711842958</v>
      </c>
      <c r="D62" s="422">
        <f>D56*('[10]FY25 Table'!$F$58)/('[10]FY25 Table'!$H$58)</f>
        <v>210.63509908734864</v>
      </c>
      <c r="E62" s="422">
        <f>D56*('[10]FY25 Table'!$F$59+'[10]FY25 Table'!$F$60)/('[10]FY25 Table'!$H$59+'[10]FY25 Table'!$H$60)</f>
        <v>174.80697980519042</v>
      </c>
      <c r="G62" s="228"/>
      <c r="H62" s="19"/>
    </row>
    <row r="63" spans="1:15" ht="26.4" x14ac:dyDescent="0.25">
      <c r="A63" s="334" t="s">
        <v>458</v>
      </c>
      <c r="B63" s="342">
        <f>B62/(1+B61)</f>
        <v>169.34485978170275</v>
      </c>
      <c r="C63" s="245">
        <f>C62/(1+C61)</f>
        <v>196.80325291833395</v>
      </c>
      <c r="D63" s="245">
        <f>D62/(1+D61)</f>
        <v>187.59635418126214</v>
      </c>
      <c r="E63" s="245">
        <f>E62/(1+E61)</f>
        <v>157.81731431388002</v>
      </c>
      <c r="G63" s="228"/>
    </row>
    <row r="64" spans="1:15" x14ac:dyDescent="0.25">
      <c r="B64" s="343" t="s">
        <v>9</v>
      </c>
      <c r="C64" s="344" t="s">
        <v>11</v>
      </c>
      <c r="D64" s="345" t="s">
        <v>12</v>
      </c>
      <c r="E64" s="345" t="s">
        <v>13</v>
      </c>
      <c r="G64" s="228"/>
    </row>
    <row r="65" spans="1:7" x14ac:dyDescent="0.25">
      <c r="G65" s="228"/>
    </row>
    <row r="66" spans="1:7" x14ac:dyDescent="0.25">
      <c r="G66" s="228"/>
    </row>
    <row r="67" spans="1:7" x14ac:dyDescent="0.25">
      <c r="A67" s="400"/>
      <c r="B67" s="401"/>
      <c r="C67" s="272"/>
      <c r="D67" s="402"/>
      <c r="E67" s="403" t="s">
        <v>616</v>
      </c>
      <c r="G67" s="228"/>
    </row>
    <row r="68" spans="1:7" x14ac:dyDescent="0.25">
      <c r="A68" s="400" t="s">
        <v>617</v>
      </c>
      <c r="B68" s="401"/>
      <c r="C68" s="403" t="s">
        <v>618</v>
      </c>
      <c r="D68" s="402" t="s">
        <v>619</v>
      </c>
      <c r="E68" s="403" t="s">
        <v>620</v>
      </c>
      <c r="G68" s="228"/>
    </row>
    <row r="69" spans="1:7" ht="26.4" x14ac:dyDescent="0.25">
      <c r="A69" s="400" t="s">
        <v>621</v>
      </c>
      <c r="B69" s="404"/>
      <c r="C69" s="405">
        <f>'[16]Table 1'!$C$17</f>
        <v>502.61938508845128</v>
      </c>
      <c r="D69" s="406">
        <f>'[17] MODS ovh factors'!$G$63</f>
        <v>1.3718327722393713</v>
      </c>
      <c r="E69" s="407">
        <f>C69/D69</f>
        <v>366.38531697123585</v>
      </c>
      <c r="G69" s="228"/>
    </row>
    <row r="70" spans="1:7" ht="26.4" x14ac:dyDescent="0.25">
      <c r="A70" s="400" t="s">
        <v>622</v>
      </c>
      <c r="B70" s="404"/>
      <c r="C70" s="405">
        <f>'[16]Table 1'!$C$18</f>
        <v>431.40924386370864</v>
      </c>
      <c r="D70" s="406">
        <f>'[17] nonmods OVH Factors'!$G$10</f>
        <v>1.639965597331799</v>
      </c>
      <c r="E70" s="407">
        <f>C70/D70</f>
        <v>263.05993526059655</v>
      </c>
      <c r="G70" s="228"/>
    </row>
    <row r="71" spans="1:7" x14ac:dyDescent="0.25">
      <c r="G71" s="228"/>
    </row>
    <row r="72" spans="1:7" x14ac:dyDescent="0.25">
      <c r="A72" s="216" t="s">
        <v>570</v>
      </c>
      <c r="G72" s="228"/>
    </row>
    <row r="73" spans="1:7" x14ac:dyDescent="0.25">
      <c r="A73" s="1" t="s">
        <v>459</v>
      </c>
      <c r="G73" s="228"/>
    </row>
    <row r="74" spans="1:7" x14ac:dyDescent="0.25">
      <c r="A74" s="1" t="s">
        <v>460</v>
      </c>
      <c r="G74" s="228"/>
    </row>
    <row r="75" spans="1:7" x14ac:dyDescent="0.25">
      <c r="A75" s="216" t="s">
        <v>461</v>
      </c>
      <c r="G75" s="228"/>
    </row>
    <row r="76" spans="1:7" x14ac:dyDescent="0.25">
      <c r="A76" s="216" t="s">
        <v>462</v>
      </c>
      <c r="G76" s="228"/>
    </row>
    <row r="77" spans="1:7" x14ac:dyDescent="0.25">
      <c r="A77" s="216" t="s">
        <v>463</v>
      </c>
      <c r="G77" s="228"/>
    </row>
    <row r="78" spans="1:7" x14ac:dyDescent="0.25">
      <c r="A78" s="216" t="s">
        <v>464</v>
      </c>
      <c r="G78" s="228"/>
    </row>
    <row r="79" spans="1:7" x14ac:dyDescent="0.25">
      <c r="A79" s="216" t="s">
        <v>569</v>
      </c>
      <c r="G79" s="228"/>
    </row>
    <row r="80" spans="1:7" x14ac:dyDescent="0.25">
      <c r="A80" s="1" t="s">
        <v>623</v>
      </c>
      <c r="G80" s="228"/>
    </row>
    <row r="81" spans="1:7" x14ac:dyDescent="0.25">
      <c r="A81" s="1" t="s">
        <v>624</v>
      </c>
      <c r="B81"/>
      <c r="C81"/>
      <c r="E81"/>
      <c r="G81" s="228"/>
    </row>
    <row r="82" spans="1:7" x14ac:dyDescent="0.25">
      <c r="A82" s="1" t="s">
        <v>625</v>
      </c>
      <c r="B82"/>
      <c r="C82"/>
      <c r="E82"/>
      <c r="G82" s="228"/>
    </row>
    <row r="83" spans="1:7" x14ac:dyDescent="0.25">
      <c r="B83"/>
      <c r="C83"/>
      <c r="E83"/>
      <c r="G83" s="228"/>
    </row>
    <row r="84" spans="1:7" x14ac:dyDescent="0.25">
      <c r="G84" s="228"/>
    </row>
    <row r="85" spans="1:7" x14ac:dyDescent="0.25">
      <c r="G85" s="228"/>
    </row>
    <row r="86" spans="1:7" x14ac:dyDescent="0.25">
      <c r="G86" s="228"/>
    </row>
    <row r="87" spans="1:7" x14ac:dyDescent="0.25">
      <c r="G87" s="228"/>
    </row>
    <row r="88" spans="1:7" x14ac:dyDescent="0.25">
      <c r="G88" s="228"/>
    </row>
    <row r="89" spans="1:7" x14ac:dyDescent="0.25">
      <c r="G89" s="228"/>
    </row>
    <row r="90" spans="1:7" x14ac:dyDescent="0.25">
      <c r="G90" s="228"/>
    </row>
    <row r="91" spans="1:7" x14ac:dyDescent="0.25">
      <c r="G91" s="228"/>
    </row>
    <row r="92" spans="1:7" x14ac:dyDescent="0.25">
      <c r="G92" s="228"/>
    </row>
    <row r="93" spans="1:7" x14ac:dyDescent="0.25">
      <c r="G93" s="228"/>
    </row>
    <row r="94" spans="1:7" x14ac:dyDescent="0.25">
      <c r="G94" s="228"/>
    </row>
    <row r="95" spans="1:7" x14ac:dyDescent="0.25">
      <c r="G95" s="228"/>
    </row>
    <row r="96" spans="1:7" x14ac:dyDescent="0.25">
      <c r="G96" s="228"/>
    </row>
    <row r="97" spans="7:7" x14ac:dyDescent="0.25">
      <c r="G97" s="228"/>
    </row>
    <row r="98" spans="7:7" x14ac:dyDescent="0.25">
      <c r="G98" s="228"/>
    </row>
    <row r="99" spans="7:7" x14ac:dyDescent="0.25">
      <c r="G99" s="228"/>
    </row>
    <row r="100" spans="7:7" x14ac:dyDescent="0.25">
      <c r="G100" s="228"/>
    </row>
    <row r="101" spans="7:7" x14ac:dyDescent="0.25">
      <c r="G101" s="228"/>
    </row>
    <row r="102" spans="7:7" x14ac:dyDescent="0.25">
      <c r="G102" s="228"/>
    </row>
    <row r="103" spans="7:7" x14ac:dyDescent="0.25">
      <c r="G103" s="228"/>
    </row>
    <row r="104" spans="7:7" x14ac:dyDescent="0.25">
      <c r="G104" s="228"/>
    </row>
    <row r="105" spans="7:7" x14ac:dyDescent="0.25">
      <c r="G105" s="228"/>
    </row>
    <row r="106" spans="7:7" x14ac:dyDescent="0.25">
      <c r="G106" s="228"/>
    </row>
    <row r="107" spans="7:7" x14ac:dyDescent="0.25">
      <c r="G107" s="228"/>
    </row>
    <row r="108" spans="7:7" x14ac:dyDescent="0.25">
      <c r="G108" s="228"/>
    </row>
    <row r="109" spans="7:7" x14ac:dyDescent="0.25">
      <c r="G109" s="228"/>
    </row>
    <row r="110" spans="7:7" x14ac:dyDescent="0.25">
      <c r="G110" s="228"/>
    </row>
    <row r="111" spans="7:7" x14ac:dyDescent="0.25">
      <c r="G111" s="228"/>
    </row>
  </sheetData>
  <mergeCells count="1">
    <mergeCell ref="D12:D14"/>
  </mergeCells>
  <phoneticPr fontId="29" type="noConversion"/>
  <printOptions horizontalCentered="1"/>
  <pageMargins left="0.75" right="0.75" top="1" bottom="1" header="0.5" footer="0.5"/>
  <pageSetup scale="65" orientation="portrait" r:id="rId1"/>
  <headerFooter alignWithMargins="0">
    <oddFooter>&amp;CTab '&amp;A'&amp;RPage 31</oddFooter>
  </headerFooter>
</worksheet>
</file>

<file path=xl/worksheets/sheet3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41">
    <pageSetUpPr fitToPage="1"/>
  </sheetPr>
  <dimension ref="A1:I39"/>
  <sheetViews>
    <sheetView zoomScale="160" zoomScaleNormal="160" workbookViewId="0"/>
  </sheetViews>
  <sheetFormatPr defaultRowHeight="13.2" x14ac:dyDescent="0.25"/>
  <cols>
    <col min="1" max="1" width="50.77734375" customWidth="1"/>
    <col min="2" max="2" width="20.77734375" style="30" customWidth="1"/>
    <col min="3" max="3" width="11.21875" style="37" customWidth="1"/>
    <col min="4" max="4" width="11" customWidth="1"/>
    <col min="6" max="6" width="14" customWidth="1"/>
  </cols>
  <sheetData>
    <row r="1" spans="1:9" ht="17.399999999999999" x14ac:dyDescent="0.3">
      <c r="A1" s="4" t="s">
        <v>465</v>
      </c>
    </row>
    <row r="2" spans="1:9" ht="17.399999999999999" x14ac:dyDescent="0.3">
      <c r="A2" s="4"/>
    </row>
    <row r="3" spans="1:9" x14ac:dyDescent="0.25">
      <c r="D3" s="38" t="s">
        <v>187</v>
      </c>
    </row>
    <row r="4" spans="1:9" x14ac:dyDescent="0.25">
      <c r="A4" s="35" t="s">
        <v>411</v>
      </c>
      <c r="B4" s="36" t="s">
        <v>79</v>
      </c>
      <c r="D4" s="39" t="s">
        <v>193</v>
      </c>
    </row>
    <row r="5" spans="1:9" x14ac:dyDescent="0.25">
      <c r="A5" t="s">
        <v>466</v>
      </c>
      <c r="B5" s="145" t="s">
        <v>573</v>
      </c>
      <c r="D5" s="411">
        <f>'[9]Disaggregated wage rates'!$C$6</f>
        <v>54.142360316355024</v>
      </c>
    </row>
    <row r="6" spans="1:9" x14ac:dyDescent="0.25">
      <c r="A6" t="s">
        <v>467</v>
      </c>
      <c r="B6" s="145" t="str">
        <f>B5</f>
        <v>USPS-FY25-7 -  Part 8</v>
      </c>
      <c r="D6" s="411">
        <f>'[9]Disaggregated wage rates'!$C$8</f>
        <v>50.10717457546064</v>
      </c>
    </row>
    <row r="7" spans="1:9" ht="39.6" x14ac:dyDescent="0.25">
      <c r="B7" s="145"/>
      <c r="C7" s="412" t="s">
        <v>610</v>
      </c>
      <c r="D7" s="399" t="s">
        <v>626</v>
      </c>
    </row>
    <row r="8" spans="1:9" x14ac:dyDescent="0.25">
      <c r="A8" t="s">
        <v>611</v>
      </c>
      <c r="B8" s="145" t="s">
        <v>574</v>
      </c>
      <c r="C8" s="413">
        <f>'[9]Premium Pay Fctrs'!C10</f>
        <v>1.0126974442214889</v>
      </c>
      <c r="D8" s="413">
        <f>'[9]Premium Pay Fctrs'!D10</f>
        <v>1.0124488075687152</v>
      </c>
    </row>
    <row r="9" spans="1:9" x14ac:dyDescent="0.25">
      <c r="A9" t="s">
        <v>612</v>
      </c>
      <c r="B9" s="145" t="s">
        <v>573</v>
      </c>
      <c r="C9" s="413">
        <f>'[9]Premium Pay Fctrs'!C9</f>
        <v>1.0210631968009072</v>
      </c>
      <c r="D9" s="413">
        <f>'[9]Premium Pay Fctrs'!D9</f>
        <v>1.0209228242204351</v>
      </c>
    </row>
    <row r="10" spans="1:9" x14ac:dyDescent="0.25">
      <c r="A10" t="s">
        <v>613</v>
      </c>
      <c r="B10" s="145" t="s">
        <v>614</v>
      </c>
      <c r="C10" s="413">
        <f>'[9]Premium Pay Fctrs'!C12</f>
        <v>1.0289187345367075</v>
      </c>
      <c r="D10" s="413">
        <f>'[9]Premium Pay Fctrs'!D12</f>
        <v>1.0285306172213804</v>
      </c>
    </row>
    <row r="11" spans="1:9" x14ac:dyDescent="0.25">
      <c r="F11" s="223"/>
    </row>
    <row r="12" spans="1:9" x14ac:dyDescent="0.25">
      <c r="F12" s="224"/>
      <c r="G12" s="448"/>
      <c r="H12" s="448"/>
      <c r="I12" s="30"/>
    </row>
    <row r="13" spans="1:9" x14ac:dyDescent="0.25">
      <c r="F13" s="224"/>
      <c r="G13" s="31"/>
      <c r="H13" s="31"/>
    </row>
    <row r="14" spans="1:9" x14ac:dyDescent="0.25">
      <c r="F14" s="173"/>
    </row>
    <row r="15" spans="1:9" x14ac:dyDescent="0.25">
      <c r="F15" s="168"/>
      <c r="G15" s="371"/>
      <c r="H15" s="372"/>
    </row>
    <row r="16" spans="1:9" x14ac:dyDescent="0.25">
      <c r="F16" s="168"/>
      <c r="G16" s="371"/>
      <c r="H16" s="372"/>
    </row>
    <row r="17" spans="6:8" x14ac:dyDescent="0.25">
      <c r="F17" s="168"/>
      <c r="G17" s="371"/>
      <c r="H17" s="372"/>
    </row>
    <row r="18" spans="6:8" x14ac:dyDescent="0.25">
      <c r="F18" s="168"/>
      <c r="G18" s="371"/>
      <c r="H18" s="372"/>
    </row>
    <row r="19" spans="6:8" x14ac:dyDescent="0.25">
      <c r="F19" s="225"/>
      <c r="G19" s="371"/>
      <c r="H19" s="372"/>
    </row>
    <row r="20" spans="6:8" x14ac:dyDescent="0.25">
      <c r="F20" s="225"/>
      <c r="G20" s="371"/>
      <c r="H20" s="372"/>
    </row>
    <row r="21" spans="6:8" x14ac:dyDescent="0.25">
      <c r="F21" s="225"/>
      <c r="G21" s="371"/>
      <c r="H21" s="372"/>
    </row>
    <row r="22" spans="6:8" x14ac:dyDescent="0.25">
      <c r="F22" s="225"/>
      <c r="G22" s="373"/>
      <c r="H22" s="372"/>
    </row>
    <row r="23" spans="6:8" x14ac:dyDescent="0.25">
      <c r="F23" s="225"/>
      <c r="G23" s="146"/>
      <c r="H23" s="146"/>
    </row>
    <row r="24" spans="6:8" x14ac:dyDescent="0.25">
      <c r="F24" s="226"/>
      <c r="G24" s="371"/>
      <c r="H24" s="372"/>
    </row>
    <row r="25" spans="6:8" x14ac:dyDescent="0.25">
      <c r="F25" s="226"/>
      <c r="G25" s="371"/>
      <c r="H25" s="372"/>
    </row>
    <row r="26" spans="6:8" x14ac:dyDescent="0.25">
      <c r="F26" s="225"/>
      <c r="G26" s="371"/>
      <c r="H26" s="372"/>
    </row>
    <row r="27" spans="6:8" x14ac:dyDescent="0.25">
      <c r="F27" s="225"/>
      <c r="G27" s="146"/>
      <c r="H27" s="146"/>
    </row>
    <row r="28" spans="6:8" x14ac:dyDescent="0.25">
      <c r="F28" s="168"/>
      <c r="G28" s="371"/>
      <c r="H28" s="372"/>
    </row>
    <row r="29" spans="6:8" x14ac:dyDescent="0.25">
      <c r="F29" s="168"/>
      <c r="G29" s="371"/>
      <c r="H29" s="372"/>
    </row>
    <row r="30" spans="6:8" x14ac:dyDescent="0.25">
      <c r="F30" s="225"/>
      <c r="G30" s="371"/>
      <c r="H30" s="372"/>
    </row>
    <row r="31" spans="6:8" x14ac:dyDescent="0.25">
      <c r="F31" s="227"/>
      <c r="G31" s="146"/>
      <c r="H31" s="146"/>
    </row>
    <row r="32" spans="6:8" x14ac:dyDescent="0.25">
      <c r="F32" s="168"/>
      <c r="G32" s="371"/>
      <c r="H32" s="372"/>
    </row>
    <row r="33" spans="6:9" x14ac:dyDescent="0.25">
      <c r="F33" s="168"/>
      <c r="G33" s="371"/>
      <c r="H33" s="372"/>
    </row>
    <row r="34" spans="6:9" x14ac:dyDescent="0.25">
      <c r="F34" s="168"/>
      <c r="G34" s="371"/>
      <c r="H34" s="372"/>
    </row>
    <row r="35" spans="6:9" x14ac:dyDescent="0.25">
      <c r="F35" s="227"/>
      <c r="G35" s="371"/>
      <c r="H35" s="372"/>
    </row>
    <row r="36" spans="6:9" x14ac:dyDescent="0.25">
      <c r="F36" s="225"/>
      <c r="G36" s="371"/>
      <c r="H36" s="372"/>
    </row>
    <row r="37" spans="6:9" x14ac:dyDescent="0.25">
      <c r="F37" s="225"/>
      <c r="G37" s="371"/>
      <c r="H37" s="372"/>
    </row>
    <row r="38" spans="6:9" x14ac:dyDescent="0.25">
      <c r="F38" s="173"/>
      <c r="G38" s="371"/>
      <c r="H38" s="372"/>
    </row>
    <row r="39" spans="6:9" x14ac:dyDescent="0.25">
      <c r="F39" s="173"/>
      <c r="G39" s="371"/>
      <c r="H39" s="372"/>
      <c r="I39" s="173"/>
    </row>
  </sheetData>
  <mergeCells count="1">
    <mergeCell ref="G12:H12"/>
  </mergeCells>
  <phoneticPr fontId="29" type="noConversion"/>
  <printOptions horizontalCentered="1"/>
  <pageMargins left="0.75" right="0.75" top="1" bottom="1" header="0.5" footer="0.5"/>
  <pageSetup scale="69" orientation="portrait" r:id="rId1"/>
  <headerFooter alignWithMargins="0">
    <oddFooter>&amp;CTab '&amp;A'&amp;RPage 32</oddFooter>
  </headerFooter>
</worksheet>
</file>

<file path=xl/worksheets/sheet3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42">
    <pageSetUpPr fitToPage="1"/>
  </sheetPr>
  <dimension ref="A1:G14"/>
  <sheetViews>
    <sheetView zoomScale="160" zoomScaleNormal="160" workbookViewId="0"/>
  </sheetViews>
  <sheetFormatPr defaultRowHeight="13.2" x14ac:dyDescent="0.25"/>
  <cols>
    <col min="1" max="1" width="40.77734375" customWidth="1"/>
    <col min="2" max="2" width="10.77734375" style="41" customWidth="1"/>
    <col min="3" max="3" width="20.77734375" customWidth="1"/>
    <col min="5" max="5" width="24.5546875" customWidth="1"/>
  </cols>
  <sheetData>
    <row r="1" spans="1:7" ht="17.399999999999999" x14ac:dyDescent="0.3">
      <c r="A1" s="4" t="s">
        <v>468</v>
      </c>
    </row>
    <row r="2" spans="1:7" x14ac:dyDescent="0.25">
      <c r="A2" s="1" t="s">
        <v>571</v>
      </c>
    </row>
    <row r="3" spans="1:7" x14ac:dyDescent="0.25">
      <c r="B3" s="40" t="s">
        <v>189</v>
      </c>
    </row>
    <row r="4" spans="1:7" x14ac:dyDescent="0.25">
      <c r="A4" s="35" t="s">
        <v>411</v>
      </c>
      <c r="B4" s="42" t="s">
        <v>195</v>
      </c>
      <c r="C4" s="35"/>
    </row>
    <row r="5" spans="1:7" x14ac:dyDescent="0.25">
      <c r="A5" s="146" t="s">
        <v>198</v>
      </c>
      <c r="B5" s="241">
        <f>'[18]MP Piggybacks'!$J$84</f>
        <v>1.8052502472456198</v>
      </c>
      <c r="C5" s="146"/>
      <c r="D5" s="374"/>
      <c r="E5" s="146"/>
      <c r="F5" s="219"/>
      <c r="G5" s="146"/>
    </row>
    <row r="6" spans="1:7" x14ac:dyDescent="0.25">
      <c r="A6" t="s">
        <v>142</v>
      </c>
      <c r="B6" s="435">
        <f>'[18]MP Piggybacks'!$J$78</f>
        <v>1.6056412614911089</v>
      </c>
      <c r="C6" s="146"/>
      <c r="D6" s="374"/>
      <c r="F6" s="220"/>
      <c r="G6" s="146"/>
    </row>
    <row r="7" spans="1:7" x14ac:dyDescent="0.25">
      <c r="A7" t="s">
        <v>469</v>
      </c>
      <c r="B7" s="241">
        <f>'[18]MP Piggybacks'!$J$26</f>
        <v>1.5985378657336238</v>
      </c>
      <c r="C7" s="146"/>
      <c r="D7" s="374"/>
      <c r="F7" s="219"/>
      <c r="G7" s="146"/>
    </row>
    <row r="8" spans="1:7" x14ac:dyDescent="0.25">
      <c r="A8" t="s">
        <v>470</v>
      </c>
      <c r="B8" s="241">
        <f>'[18]MP Piggybacks'!$J$8</f>
        <v>1.6305774272183733</v>
      </c>
      <c r="C8" s="146"/>
      <c r="D8" s="374"/>
      <c r="F8" s="219"/>
      <c r="G8" s="146"/>
    </row>
    <row r="9" spans="1:7" x14ac:dyDescent="0.25">
      <c r="A9" t="s">
        <v>226</v>
      </c>
      <c r="B9" s="241">
        <f>'[18]MP Piggybacks'!$J$77</f>
        <v>1.2615773174013249</v>
      </c>
      <c r="C9" s="146"/>
      <c r="D9" s="374"/>
      <c r="F9" s="219"/>
      <c r="G9" s="146"/>
    </row>
    <row r="10" spans="1:7" x14ac:dyDescent="0.25">
      <c r="A10" t="s">
        <v>471</v>
      </c>
      <c r="B10" s="241">
        <f>B8</f>
        <v>1.6305774272183733</v>
      </c>
      <c r="C10" s="146"/>
      <c r="D10" s="374"/>
      <c r="F10" s="219"/>
      <c r="G10" s="146"/>
    </row>
    <row r="11" spans="1:7" x14ac:dyDescent="0.25">
      <c r="A11" t="s">
        <v>472</v>
      </c>
      <c r="B11" s="241">
        <v>1</v>
      </c>
      <c r="C11" s="146"/>
      <c r="D11" s="374"/>
      <c r="F11" s="219"/>
      <c r="G11" s="146"/>
    </row>
    <row r="12" spans="1:7" x14ac:dyDescent="0.25">
      <c r="A12" t="s">
        <v>473</v>
      </c>
      <c r="B12" s="241">
        <f>'[18]MP Piggybacks'!$J$14</f>
        <v>1.3622907328394676</v>
      </c>
      <c r="C12" s="146"/>
      <c r="D12" s="374"/>
      <c r="F12" s="219"/>
      <c r="G12" s="146"/>
    </row>
    <row r="13" spans="1:7" x14ac:dyDescent="0.25">
      <c r="A13" t="s">
        <v>474</v>
      </c>
      <c r="B13" s="241">
        <f>'[18]MP Piggybacks'!$J$16</f>
        <v>1.3208756008457678</v>
      </c>
      <c r="C13" s="146"/>
      <c r="D13" s="374"/>
    </row>
    <row r="14" spans="1:7" x14ac:dyDescent="0.25">
      <c r="A14" t="str">
        <f>'[19]MP Piggybacks'!$A$13</f>
        <v>Mechanized Tray Sorter &amp; Robotics</v>
      </c>
      <c r="B14" s="241">
        <f>'[18]MP Piggybacks'!$J$13</f>
        <v>1.5358044573278811</v>
      </c>
      <c r="D14" s="7"/>
    </row>
  </sheetData>
  <phoneticPr fontId="29" type="noConversion"/>
  <printOptions horizontalCentered="1"/>
  <pageMargins left="0.75" right="0.75" top="1" bottom="1" header="0.5" footer="0.5"/>
  <pageSetup orientation="portrait" r:id="rId1"/>
  <headerFooter alignWithMargins="0">
    <oddFooter>&amp;CTab '&amp;A'&amp;RPage 33</oddFooter>
  </headerFooter>
</worksheet>
</file>

<file path=xl/worksheets/sheet3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43">
    <pageSetUpPr fitToPage="1"/>
  </sheetPr>
  <dimension ref="A1:Y82"/>
  <sheetViews>
    <sheetView zoomScale="70" workbookViewId="0"/>
  </sheetViews>
  <sheetFormatPr defaultRowHeight="13.2" x14ac:dyDescent="0.25"/>
  <cols>
    <col min="1" max="1" width="25.77734375" customWidth="1"/>
    <col min="2" max="3" width="15.77734375" customWidth="1"/>
    <col min="4" max="4" width="20.77734375" customWidth="1"/>
    <col min="5" max="5" width="10.77734375" style="17" customWidth="1"/>
    <col min="6" max="23" width="9.21875" style="17" customWidth="1"/>
    <col min="24" max="24" width="12.77734375" style="43" customWidth="1"/>
  </cols>
  <sheetData>
    <row r="1" spans="1:24" ht="17.399999999999999" x14ac:dyDescent="0.3">
      <c r="A1" s="4" t="s">
        <v>500</v>
      </c>
    </row>
    <row r="2" spans="1:24" ht="15.6" x14ac:dyDescent="0.3">
      <c r="A2" s="51"/>
    </row>
    <row r="3" spans="1:24" x14ac:dyDescent="0.25">
      <c r="F3" s="43" t="s">
        <v>476</v>
      </c>
      <c r="G3" s="43" t="s">
        <v>476</v>
      </c>
      <c r="J3" s="43" t="s">
        <v>477</v>
      </c>
      <c r="K3" s="43" t="s">
        <v>477</v>
      </c>
      <c r="N3" s="43" t="s">
        <v>477</v>
      </c>
      <c r="O3" s="43" t="s">
        <v>477</v>
      </c>
      <c r="R3" s="43" t="s">
        <v>477</v>
      </c>
      <c r="S3" s="43" t="s">
        <v>477</v>
      </c>
      <c r="X3" s="43" t="s">
        <v>8</v>
      </c>
    </row>
    <row r="4" spans="1:24" x14ac:dyDescent="0.25">
      <c r="F4" s="43" t="s">
        <v>478</v>
      </c>
      <c r="G4" s="43" t="s">
        <v>478</v>
      </c>
      <c r="J4" s="43" t="s">
        <v>389</v>
      </c>
      <c r="K4" s="43" t="s">
        <v>389</v>
      </c>
      <c r="N4" s="43" t="s">
        <v>478</v>
      </c>
      <c r="O4" s="43" t="s">
        <v>478</v>
      </c>
      <c r="R4" s="43" t="s">
        <v>479</v>
      </c>
      <c r="S4" s="43" t="s">
        <v>479</v>
      </c>
      <c r="V4" s="43" t="s">
        <v>8</v>
      </c>
      <c r="W4" s="43" t="s">
        <v>8</v>
      </c>
      <c r="X4" s="43" t="s">
        <v>501</v>
      </c>
    </row>
    <row r="5" spans="1:24" x14ac:dyDescent="0.25">
      <c r="A5" s="35" t="s">
        <v>480</v>
      </c>
      <c r="B5" s="35" t="s">
        <v>481</v>
      </c>
      <c r="C5" s="54" t="s">
        <v>482</v>
      </c>
      <c r="D5" s="54" t="s">
        <v>483</v>
      </c>
      <c r="E5" s="191" t="s">
        <v>501</v>
      </c>
      <c r="F5" s="191" t="s">
        <v>484</v>
      </c>
      <c r="G5" s="191" t="s">
        <v>485</v>
      </c>
      <c r="H5" s="191" t="s">
        <v>486</v>
      </c>
      <c r="I5" s="191" t="s">
        <v>487</v>
      </c>
      <c r="J5" s="191" t="s">
        <v>484</v>
      </c>
      <c r="K5" s="191" t="s">
        <v>485</v>
      </c>
      <c r="L5" s="191" t="s">
        <v>486</v>
      </c>
      <c r="M5" s="191" t="s">
        <v>487</v>
      </c>
      <c r="N5" s="191" t="s">
        <v>484</v>
      </c>
      <c r="O5" s="191" t="s">
        <v>485</v>
      </c>
      <c r="P5" s="191" t="s">
        <v>486</v>
      </c>
      <c r="Q5" s="191" t="s">
        <v>487</v>
      </c>
      <c r="R5" s="191" t="s">
        <v>484</v>
      </c>
      <c r="S5" s="191" t="s">
        <v>485</v>
      </c>
      <c r="T5" s="191" t="s">
        <v>486</v>
      </c>
      <c r="U5" s="191" t="s">
        <v>487</v>
      </c>
      <c r="V5" s="191" t="s">
        <v>486</v>
      </c>
      <c r="W5" s="191" t="s">
        <v>487</v>
      </c>
      <c r="X5" s="191" t="s">
        <v>488</v>
      </c>
    </row>
    <row r="6" spans="1:24" x14ac:dyDescent="0.25">
      <c r="A6" t="s">
        <v>489</v>
      </c>
      <c r="B6" t="s">
        <v>96</v>
      </c>
      <c r="C6" s="32" t="s">
        <v>490</v>
      </c>
      <c r="D6" s="32" t="s">
        <v>490</v>
      </c>
      <c r="E6" s="17">
        <f>10000*('FY VOLUME NONAUTO'!E7/'FY VOLUME NONAUTO'!$E$35)</f>
        <v>246.08574489310178</v>
      </c>
      <c r="F6" s="17">
        <f>E6*'BUNDLE DATA'!$D$20*'BUNDLE DATA'!$C$20</f>
        <v>0</v>
      </c>
      <c r="G6" s="17">
        <f>E6*(1-'BUNDLE DATA'!$D$20)*'BUNDLE DATA'!$C$20</f>
        <v>246.08574489310178</v>
      </c>
      <c r="H6" s="17">
        <f>E6*'BUNDLE DATA'!$D$8</f>
        <v>1.5069046367746139</v>
      </c>
      <c r="I6" s="17">
        <f>E6*(1-'BUNDLE DATA'!$D$8)*'BUNDLE DENSITIES'!$E$7</f>
        <v>244.57884025632717</v>
      </c>
      <c r="J6" s="17">
        <v>0</v>
      </c>
      <c r="K6" s="17">
        <v>0</v>
      </c>
      <c r="L6" s="17">
        <v>0</v>
      </c>
      <c r="M6" s="17">
        <v>0</v>
      </c>
      <c r="N6" s="17">
        <v>0</v>
      </c>
      <c r="O6" s="17">
        <v>0</v>
      </c>
      <c r="P6" s="17">
        <v>0</v>
      </c>
      <c r="Q6" s="17">
        <v>0</v>
      </c>
      <c r="R6" s="17">
        <v>0</v>
      </c>
      <c r="S6" s="17">
        <v>0</v>
      </c>
      <c r="T6" s="17">
        <v>0</v>
      </c>
      <c r="U6" s="17">
        <v>0</v>
      </c>
      <c r="V6" s="17">
        <f t="shared" ref="V6:W33" si="0">H6+L6+P6+T6</f>
        <v>1.5069046367746139</v>
      </c>
      <c r="W6" s="17">
        <f t="shared" si="0"/>
        <v>244.57884025632717</v>
      </c>
      <c r="X6" s="43">
        <f>V6+W6</f>
        <v>246.08574489310178</v>
      </c>
    </row>
    <row r="7" spans="1:24" x14ac:dyDescent="0.25">
      <c r="A7" t="s">
        <v>489</v>
      </c>
      <c r="B7" t="s">
        <v>96</v>
      </c>
      <c r="C7" s="32" t="s">
        <v>490</v>
      </c>
      <c r="D7" s="32" t="s">
        <v>491</v>
      </c>
      <c r="E7" s="17">
        <f>10000*('FY VOLUME NONAUTO'!E8/'FY VOLUME NONAUTO'!$E$35)</f>
        <v>104.72979526175119</v>
      </c>
      <c r="F7" s="17">
        <f>E7*'BUNDLE DATA'!$D$22*'BUNDLE DATA'!$C$22</f>
        <v>0</v>
      </c>
      <c r="G7" s="17">
        <f>E7*(1-'BUNDLE DATA'!$D$22)*'BUNDLE DATA'!$C$22</f>
        <v>104.72979526175119</v>
      </c>
      <c r="H7" s="17">
        <f>E7*'BUNDLE DATA'!$D$8</f>
        <v>0.64131229607364704</v>
      </c>
      <c r="I7" s="17">
        <f>E7*(1-'BUNDLE DATA'!$D$8)*'BUNDLE DENSITIES'!$G$7</f>
        <v>3.1214086980783464</v>
      </c>
      <c r="J7" s="17">
        <f>E7*(1-'BUNDLE DATA'!$D$8)*'BUNDLE DENSITIES'!$G$8*'BUNDLE DATA'!$D$30*'BUNDLE DATA'!$C$30</f>
        <v>100.9670742675992</v>
      </c>
      <c r="K7" s="17">
        <f>E7*(1-'BUNDLE DATA'!$D$8)*'BUNDLE DENSITIES'!$G$8*(1-'BUNDLE DATA'!$D$30)*'BUNDLE DATA'!$C$30</f>
        <v>0</v>
      </c>
      <c r="L7" s="17">
        <f>E7*(1-'BUNDLE DATA'!$D$8)*'BUNDLE DENSITIES'!$G$8*'BUNDLE DATA'!$E$8</f>
        <v>3.7042418479991412</v>
      </c>
      <c r="M7" s="17">
        <f>E7*(1-'BUNDLE DATA'!$D$8)*'BUNDLE DENSITIES'!$G$8*(1-'BUNDLE DATA'!$E$8)*'BUNDLE DENSITIES'!$G$15</f>
        <v>97.262832419600059</v>
      </c>
      <c r="N7" s="17">
        <v>0</v>
      </c>
      <c r="O7" s="17">
        <v>0</v>
      </c>
      <c r="P7" s="17">
        <v>0</v>
      </c>
      <c r="Q7" s="17">
        <v>0</v>
      </c>
      <c r="R7" s="17">
        <v>0</v>
      </c>
      <c r="S7" s="17">
        <v>0</v>
      </c>
      <c r="T7" s="17">
        <v>0</v>
      </c>
      <c r="U7" s="17">
        <v>0</v>
      </c>
      <c r="V7" s="17">
        <f t="shared" si="0"/>
        <v>4.3455541440727883</v>
      </c>
      <c r="W7" s="17">
        <f t="shared" si="0"/>
        <v>100.3842411176784</v>
      </c>
      <c r="X7" s="43">
        <f t="shared" ref="X7:X30" si="1">V7+W7</f>
        <v>104.72979526175119</v>
      </c>
    </row>
    <row r="8" spans="1:24" x14ac:dyDescent="0.25">
      <c r="A8" t="s">
        <v>489</v>
      </c>
      <c r="B8" t="s">
        <v>96</v>
      </c>
      <c r="C8" s="32" t="s">
        <v>490</v>
      </c>
      <c r="D8" s="32" t="s">
        <v>492</v>
      </c>
      <c r="E8" s="17">
        <f>10000*('FY VOLUME NONAUTO'!E9/'FY VOLUME NONAUTO'!$E$35)</f>
        <v>148.10061283846474</v>
      </c>
      <c r="F8" s="17">
        <f>E8*'BUNDLE DATA'!$D$24*'BUNDLE DATA'!$C$24</f>
        <v>0</v>
      </c>
      <c r="G8" s="17">
        <f>E8*(1-'BUNDLE DATA'!$D$24)*'BUNDLE DATA'!$C$24</f>
        <v>148.10061283846474</v>
      </c>
      <c r="H8" s="17">
        <f>E8*'BUNDLE DATA'!$D$8</f>
        <v>0.90689324687372563</v>
      </c>
      <c r="I8" s="17">
        <f>E8*(1-'BUNDLE DATA'!$D$8)*'BUNDLE DENSITIES'!$I$7</f>
        <v>2.9930885596711314</v>
      </c>
      <c r="J8" s="17">
        <f>E8*(1-'BUNDLE DATA'!$D$8)*'BUNDLE DENSITIES'!$I$8*'BUNDLE DATA'!$D$32*'BUNDLE DATA'!$C$32</f>
        <v>143.6061775357401</v>
      </c>
      <c r="K8" s="17">
        <f>E8*(1-'BUNDLE DATA'!$D$8)*'BUNDLE DENSITIES'!$I$8*(1-'BUNDLE DATA'!$D$32)*'BUNDLE DATA'!$C$32</f>
        <v>0</v>
      </c>
      <c r="L8" s="17">
        <f>E8*(1-'BUNDLE DATA'!$D$8)*'BUNDLE DENSITIES'!$I$8*'BUNDLE DATA'!$E$8</f>
        <v>5.2685691480889876</v>
      </c>
      <c r="M8" s="17">
        <f>E8*(1-'BUNDLE DATA'!$D$8)*'BUNDLE DENSITIES'!$I$8*(1-'BUNDLE DATA'!$E$8)*'BUNDLE DENSITIES'!$I$15</f>
        <v>129.54790951357131</v>
      </c>
      <c r="N8" s="17">
        <f>E8*(1-'BUNDLE DATA'!$D$8)*('BUNDLE DENSITIES'!$I$9+'BUNDLE DENSITIES'!$I$8*(1-'BUNDLE DATA'!$E$8)*'BUNDLE DENSITIES'!$I$16)*'BUNDLE DATA'!$D$38*'BUNDLE DATA'!$C$38</f>
        <v>9.0952497783018558</v>
      </c>
      <c r="O8" s="17">
        <f>E8*(1-'BUNDLE DATA'!$D$8)*('BUNDLE DENSITIES'!$I$9+'BUNDLE DENSITIES'!$I$8*(1-'BUNDLE DATA'!$E$8)*'BUNDLE DENSITIES'!$I$16)*(1-'BUNDLE DATA'!$D$38)*'BUNDLE DATA'!$C$38</f>
        <v>0.28890259195773871</v>
      </c>
      <c r="P8" s="17">
        <f>E8*(1-'BUNDLE DATA'!$D$8)*('BUNDLE DENSITIES'!$I$9+'BUNDLE DENSITIES'!$I$8*(1-'BUNDLE DATA'!$E$8)*'BUNDLE DENSITIES'!$I$16)*'BUNDLE DATA'!$E$8</f>
        <v>0.34428223428348798</v>
      </c>
      <c r="Q8" s="17">
        <f>E8*(1-'BUNDLE DATA'!$D$8)*('BUNDLE DENSITIES'!$I$9+'BUNDLE DENSITIES'!$I$8*(1-'BUNDLE DATA'!$E$8)*'BUNDLE DENSITIES'!$I$16)*(1-'BUNDLE DATA'!$E$8)*'BUNDLE DENSITIES'!$I$22</f>
        <v>9.0398701359761056</v>
      </c>
      <c r="R8" s="17">
        <v>0</v>
      </c>
      <c r="S8" s="17">
        <v>0</v>
      </c>
      <c r="T8" s="17">
        <v>0</v>
      </c>
      <c r="U8" s="17">
        <v>0</v>
      </c>
      <c r="V8" s="17">
        <f t="shared" si="0"/>
        <v>6.5197446292462011</v>
      </c>
      <c r="W8" s="17">
        <f t="shared" si="0"/>
        <v>141.58086820921855</v>
      </c>
      <c r="X8" s="43">
        <f t="shared" si="1"/>
        <v>148.10061283846474</v>
      </c>
    </row>
    <row r="9" spans="1:24" x14ac:dyDescent="0.25">
      <c r="A9" t="s">
        <v>489</v>
      </c>
      <c r="B9" t="s">
        <v>96</v>
      </c>
      <c r="C9" s="32" t="s">
        <v>490</v>
      </c>
      <c r="D9" s="32" t="s">
        <v>493</v>
      </c>
      <c r="E9" s="17">
        <f>10000*('FY VOLUME NONAUTO'!E10/'FY VOLUME NONAUTO'!$E$35)</f>
        <v>88.527505456158067</v>
      </c>
      <c r="F9" s="17">
        <f>E9*'BUNDLE DATA'!$D$26*'BUNDLE DATA'!$C$26</f>
        <v>0</v>
      </c>
      <c r="G9" s="17">
        <f>E9*(1-'BUNDLE DATA'!$D$26)*'BUNDLE DATA'!$C$26</f>
        <v>88.527505456158067</v>
      </c>
      <c r="H9" s="17">
        <f>E9*'BUNDLE DATA'!$D$8</f>
        <v>0.5420976680787577</v>
      </c>
      <c r="I9" s="17">
        <f>E9*(1-'BUNDLE DATA'!$D$8)*('BUNDLE DENSITIES'!$K$7+'BUNDLE DENSITIES'!$K$10)</f>
        <v>3.5445603217591466</v>
      </c>
      <c r="J9" s="17">
        <f>E9*(1-'BUNDLE DATA'!$D$8)*'BUNDLE DENSITIES'!$K$8*'BUNDLE DATA'!$D$34*'BUNDLE DATA'!$C$34</f>
        <v>83.611842170462452</v>
      </c>
      <c r="K9" s="17">
        <f>E9*(1-'BUNDLE DATA'!$D$8)*'BUNDLE DENSITIES'!$K$8*(1-'BUNDLE DATA'!$D$34)*'BUNDLE DATA'!$C$34</f>
        <v>0</v>
      </c>
      <c r="L9" s="17">
        <f>E9*(1-'BUNDLE DATA'!$D$8)*'BUNDLE DENSITIES'!$K$8*'BUNDLE DATA'!$E$8</f>
        <v>3.0675196543306837</v>
      </c>
      <c r="M9" s="17">
        <f>E9*(1-'BUNDLE DATA'!$D$8)*'BUNDLE DENSITIES'!$K$8*(1-'BUNDLE DATA'!$E$8)*('BUNDLE DENSITIES'!$K$15+'BUNDLE DENSITIES'!$K$17)</f>
        <v>74.924128150798893</v>
      </c>
      <c r="N9" s="17">
        <f>E9*(1-'BUNDLE DATA'!$D$8)*('BUNDLE DENSITIES'!$K$9+'BUNDLE DENSITIES'!$K$8*(1-'BUNDLE DATA'!$E$8)*'BUNDLE DENSITIES'!$K$16)*'BUNDLE DATA'!$D$40*'BUNDLE DATA'!$C$40</f>
        <v>6.2506531729562607</v>
      </c>
      <c r="O9" s="17">
        <f>E9*(1-'BUNDLE DATA'!$D$8)*('BUNDLE DENSITIES'!$K$9+'BUNDLE DENSITIES'!$K$8*(1-'BUNDLE DATA'!$E$8)*'BUNDLE DENSITIES'!$K$16)*(1-'BUNDLE DATA'!$D$40)*'BUNDLE DATA'!$C$40</f>
        <v>0.19854648823433277</v>
      </c>
      <c r="P9" s="17">
        <f>E9*(1-'BUNDLE DATA'!$D$8)*('BUNDLE DENSITIES'!$K$9+'BUNDLE DENSITIES'!$K$8*(1-'BUNDLE DATA'!$E$8)*'BUNDLE DENSITIES'!$K$16)*'BUNDLE DATA'!$E$8</f>
        <v>0.23660579891389699</v>
      </c>
      <c r="Q9" s="17">
        <f>E9*(1-'BUNDLE DATA'!$D$8)*('BUNDLE DENSITIES'!$K$9+'BUNDLE DENSITIES'!$K$8*(1-'BUNDLE DATA'!$E$8)*'BUNDLE DENSITIES'!$K$16)*(1-'BUNDLE DATA'!$E$8)*('BUNDLE DENSITIES'!$K$22+'BUNDLE DENSITIES'!$K$23)</f>
        <v>6.2125938622766963</v>
      </c>
      <c r="R9" s="17">
        <v>0</v>
      </c>
      <c r="S9" s="17">
        <v>0</v>
      </c>
      <c r="T9" s="17">
        <v>0</v>
      </c>
      <c r="U9" s="17">
        <v>0</v>
      </c>
      <c r="V9" s="17">
        <f t="shared" si="0"/>
        <v>3.8462231213233382</v>
      </c>
      <c r="W9" s="17">
        <f t="shared" si="0"/>
        <v>84.681282334834734</v>
      </c>
      <c r="X9" s="43">
        <f t="shared" si="1"/>
        <v>88.527505456158067</v>
      </c>
    </row>
    <row r="10" spans="1:24" x14ac:dyDescent="0.25">
      <c r="A10" t="s">
        <v>489</v>
      </c>
      <c r="B10" t="s">
        <v>96</v>
      </c>
      <c r="C10" s="32" t="s">
        <v>490</v>
      </c>
      <c r="D10" s="32" t="s">
        <v>494</v>
      </c>
      <c r="E10" s="17">
        <f>10000*('FY VOLUME NONAUTO'!E11/'FY VOLUME NONAUTO'!$E$35)</f>
        <v>7269.3804049757064</v>
      </c>
      <c r="F10" s="17">
        <v>0</v>
      </c>
      <c r="G10" s="17">
        <v>0</v>
      </c>
      <c r="H10" s="17">
        <v>0</v>
      </c>
      <c r="I10" s="17">
        <v>0</v>
      </c>
      <c r="J10" s="17">
        <v>0</v>
      </c>
      <c r="K10" s="17">
        <v>0</v>
      </c>
      <c r="L10" s="17">
        <v>0</v>
      </c>
      <c r="M10" s="17">
        <v>0</v>
      </c>
      <c r="N10" s="17">
        <v>0</v>
      </c>
      <c r="O10" s="17">
        <v>0</v>
      </c>
      <c r="P10" s="17">
        <v>0</v>
      </c>
      <c r="Q10" s="17">
        <v>0</v>
      </c>
      <c r="R10" s="17">
        <v>0</v>
      </c>
      <c r="S10" s="17">
        <v>0</v>
      </c>
      <c r="T10" s="17">
        <v>0</v>
      </c>
      <c r="U10" s="17">
        <v>0</v>
      </c>
      <c r="V10" s="17">
        <f t="shared" si="0"/>
        <v>0</v>
      </c>
      <c r="W10" s="17">
        <f t="shared" si="0"/>
        <v>0</v>
      </c>
      <c r="X10" s="43">
        <f>E10</f>
        <v>7269.3804049757064</v>
      </c>
    </row>
    <row r="11" spans="1:24" x14ac:dyDescent="0.25">
      <c r="A11" t="s">
        <v>489</v>
      </c>
      <c r="B11" t="s">
        <v>96</v>
      </c>
      <c r="C11" s="32" t="s">
        <v>491</v>
      </c>
      <c r="D11" s="32" t="s">
        <v>491</v>
      </c>
      <c r="E11" s="17">
        <f>10000*('FY VOLUME NONAUTO'!E12/'FY VOLUME NONAUTO'!$E$35)</f>
        <v>14.299775172891501</v>
      </c>
      <c r="F11" s="17">
        <v>0</v>
      </c>
      <c r="G11" s="17">
        <v>0</v>
      </c>
      <c r="H11" s="17">
        <v>0</v>
      </c>
      <c r="I11" s="17">
        <v>0</v>
      </c>
      <c r="J11" s="17">
        <f>E11*'BUNDLE DATA'!$D$30*'BUNDLE DATA'!$C$30</f>
        <v>14.299775172891501</v>
      </c>
      <c r="K11" s="17">
        <f>E11*(1-'BUNDLE DATA'!$D$30)*'BUNDLE DATA'!$C$30</f>
        <v>0</v>
      </c>
      <c r="L11" s="17">
        <f>E11*'BUNDLE DATA'!$D$8</f>
        <v>8.7564590635776998E-2</v>
      </c>
      <c r="M11" s="17">
        <f>E11*(1-'BUNDLE DATA'!$D$8)*'BUNDLE DENSITIES'!$G$15</f>
        <v>14.212210582255723</v>
      </c>
      <c r="N11" s="17">
        <v>0</v>
      </c>
      <c r="O11" s="17">
        <v>0</v>
      </c>
      <c r="P11" s="17">
        <v>0</v>
      </c>
      <c r="Q11" s="17">
        <v>0</v>
      </c>
      <c r="R11" s="17">
        <v>0</v>
      </c>
      <c r="S11" s="17">
        <v>0</v>
      </c>
      <c r="T11" s="17">
        <v>0</v>
      </c>
      <c r="U11" s="17">
        <v>0</v>
      </c>
      <c r="V11" s="17">
        <f t="shared" si="0"/>
        <v>8.7564590635776998E-2</v>
      </c>
      <c r="W11" s="17">
        <f t="shared" si="0"/>
        <v>14.212210582255723</v>
      </c>
      <c r="X11" s="43">
        <f t="shared" si="1"/>
        <v>14.299775172891501</v>
      </c>
    </row>
    <row r="12" spans="1:24" x14ac:dyDescent="0.25">
      <c r="A12" t="s">
        <v>489</v>
      </c>
      <c r="B12" t="s">
        <v>96</v>
      </c>
      <c r="C12" s="32" t="s">
        <v>491</v>
      </c>
      <c r="D12" s="32" t="s">
        <v>492</v>
      </c>
      <c r="E12" s="17">
        <f>10000*('FY VOLUME NONAUTO'!E13/'FY VOLUME NONAUTO'!$E$35)</f>
        <v>75.391133959366641</v>
      </c>
      <c r="F12" s="17">
        <v>0</v>
      </c>
      <c r="G12" s="17">
        <v>0</v>
      </c>
      <c r="H12" s="17">
        <v>0</v>
      </c>
      <c r="I12" s="17">
        <v>0</v>
      </c>
      <c r="J12" s="17">
        <f>E12*'BUNDLE DATA'!$D$32*'BUNDLE DATA'!$C$32</f>
        <v>75.391133959366641</v>
      </c>
      <c r="K12" s="17">
        <f>E12*(1-'BUNDLE DATA'!$D$32)*'BUNDLE DATA'!$C$32</f>
        <v>0</v>
      </c>
      <c r="L12" s="17">
        <f>E12*'BUNDLE DATA'!$D$8</f>
        <v>0.4616571731305118</v>
      </c>
      <c r="M12" s="17">
        <f>E12*(1-'BUNDLE DATA'!$D$8)*'BUNDLE DENSITIES'!$I$15</f>
        <v>70.168605571101253</v>
      </c>
      <c r="N12" s="17">
        <f>E12*(1-'BUNDLE DATA'!$D$8)*'BUNDLE DENSITIES'!$I$16*'BUNDLE DATA'!$D$38*'BUNDLE DATA'!$C$38</f>
        <v>4.6143019801351786</v>
      </c>
      <c r="O12" s="17">
        <f>E12*(1-'BUNDLE DATA'!$D$8)*'BUNDLE DENSITIES'!$I$16*(1-'BUNDLE DATA'!$D$38)*'BUNDLE DATA'!$C$38</f>
        <v>0.14656923499968738</v>
      </c>
      <c r="P12" s="17">
        <f>E12*(1-'BUNDLE DATA'!$D$8)*'BUNDLE DENSITIES'!$I$16*'BUNDLE DATA'!$E$8</f>
        <v>0.17466504319315887</v>
      </c>
      <c r="Q12" s="17">
        <f>E12*(1-'BUNDLE DATA'!$D$8)*'BUNDLE DENSITIES'!$I$16*(1-'BUNDLE DATA'!$E$8)*'BUNDLE DENSITIES'!$I$22</f>
        <v>4.5862061719417078</v>
      </c>
      <c r="R12" s="17">
        <v>0</v>
      </c>
      <c r="S12" s="17">
        <v>0</v>
      </c>
      <c r="T12" s="17">
        <v>0</v>
      </c>
      <c r="U12" s="17">
        <v>0</v>
      </c>
      <c r="V12" s="17">
        <f t="shared" si="0"/>
        <v>0.6363222163236707</v>
      </c>
      <c r="W12" s="17">
        <f t="shared" si="0"/>
        <v>74.754811743042964</v>
      </c>
      <c r="X12" s="43">
        <f t="shared" si="1"/>
        <v>75.391133959366641</v>
      </c>
    </row>
    <row r="13" spans="1:24" x14ac:dyDescent="0.25">
      <c r="A13" t="s">
        <v>489</v>
      </c>
      <c r="B13" t="s">
        <v>96</v>
      </c>
      <c r="C13" s="32" t="s">
        <v>491</v>
      </c>
      <c r="D13" s="32" t="s">
        <v>493</v>
      </c>
      <c r="E13" s="17">
        <f>10000*('FY VOLUME NONAUTO'!E14/'FY VOLUME NONAUTO'!$E$35)</f>
        <v>31.179362877430055</v>
      </c>
      <c r="F13" s="17">
        <v>0</v>
      </c>
      <c r="G13" s="17">
        <v>0</v>
      </c>
      <c r="H13" s="17">
        <v>0</v>
      </c>
      <c r="I13" s="17">
        <v>0</v>
      </c>
      <c r="J13" s="17">
        <f>E13*'BUNDLE DATA'!$D$34*'BUNDLE DATA'!$C$34</f>
        <v>31.179362877430055</v>
      </c>
      <c r="K13" s="17">
        <f>E13*(1-'BUNDLE DATA'!$D$34)*'BUNDLE DATA'!$C$34</f>
        <v>0</v>
      </c>
      <c r="L13" s="17">
        <f>E13*'BUNDLE DATA'!$D$8</f>
        <v>0.19092664840089513</v>
      </c>
      <c r="M13" s="17">
        <f>E13*(1-'BUNDLE DATA'!$D$8)*('BUNDLE DENSITIES'!$K$15+'BUNDLE DENSITIES'!$K$17)</f>
        <v>28.826135656571243</v>
      </c>
      <c r="N13" s="17">
        <f>E13*(1-'BUNDLE DATA'!$D$8)*'BUNDLE DENSITIES'!$K$16*'BUNDLE DATA'!$D$40*'BUNDLE DATA'!$C$40</f>
        <v>2.0957315084309314</v>
      </c>
      <c r="O13" s="17">
        <f>E13*(1-'BUNDLE DATA'!$D$8)*'BUNDLE DENSITIES'!$K$16*(1-'BUNDLE DATA'!$D$40)*'BUNDLE DATA'!$C$40</f>
        <v>6.6569064026985023E-2</v>
      </c>
      <c r="P13" s="17">
        <f>E13*(1-'BUNDLE DATA'!$D$8)*'BUNDLE DENSITIES'!$K$16*'BUNDLE DATA'!$E$8</f>
        <v>7.9329665899029206E-2</v>
      </c>
      <c r="Q13" s="17">
        <f>E13*(1-'BUNDLE DATA'!$D$8)*'BUNDLE DENSITIES'!$K$16*(1-'BUNDLE DATA'!$E$8)*('BUNDLE DENSITIES'!$K$22+'BUNDLE DENSITIES'!$K$23)</f>
        <v>2.0829709065588871</v>
      </c>
      <c r="R13" s="17">
        <v>0</v>
      </c>
      <c r="S13" s="17">
        <v>0</v>
      </c>
      <c r="T13" s="17">
        <v>0</v>
      </c>
      <c r="U13" s="17">
        <v>0</v>
      </c>
      <c r="V13" s="17">
        <f t="shared" si="0"/>
        <v>0.27025631429992436</v>
      </c>
      <c r="W13" s="17">
        <f t="shared" si="0"/>
        <v>30.90910656313013</v>
      </c>
      <c r="X13" s="43">
        <f t="shared" si="1"/>
        <v>31.179362877430055</v>
      </c>
    </row>
    <row r="14" spans="1:24" x14ac:dyDescent="0.25">
      <c r="A14" t="s">
        <v>489</v>
      </c>
      <c r="B14" t="s">
        <v>96</v>
      </c>
      <c r="C14" s="32" t="s">
        <v>491</v>
      </c>
      <c r="D14" s="32" t="s">
        <v>494</v>
      </c>
      <c r="E14" s="17">
        <f>10000*('FY VOLUME NONAUTO'!E15/'FY VOLUME NONAUTO'!$E$35)</f>
        <v>443.20530718544705</v>
      </c>
      <c r="F14" s="17">
        <v>0</v>
      </c>
      <c r="G14" s="17">
        <v>0</v>
      </c>
      <c r="H14" s="17">
        <v>0</v>
      </c>
      <c r="I14" s="17">
        <v>0</v>
      </c>
      <c r="J14" s="17">
        <v>0</v>
      </c>
      <c r="K14" s="17">
        <v>0</v>
      </c>
      <c r="L14" s="17">
        <v>0</v>
      </c>
      <c r="M14" s="17">
        <v>0</v>
      </c>
      <c r="N14" s="17">
        <v>0</v>
      </c>
      <c r="O14" s="17">
        <v>0</v>
      </c>
      <c r="P14" s="17">
        <v>0</v>
      </c>
      <c r="Q14" s="17">
        <v>0</v>
      </c>
      <c r="R14" s="17">
        <v>0</v>
      </c>
      <c r="S14" s="17">
        <v>0</v>
      </c>
      <c r="T14" s="17">
        <v>0</v>
      </c>
      <c r="U14" s="17">
        <v>0</v>
      </c>
      <c r="V14" s="17">
        <f t="shared" si="0"/>
        <v>0</v>
      </c>
      <c r="W14" s="17">
        <f t="shared" si="0"/>
        <v>0</v>
      </c>
      <c r="X14" s="43">
        <f>E14</f>
        <v>443.20530718544705</v>
      </c>
    </row>
    <row r="15" spans="1:24" x14ac:dyDescent="0.25">
      <c r="A15" t="s">
        <v>489</v>
      </c>
      <c r="B15" t="s">
        <v>96</v>
      </c>
      <c r="C15" s="32" t="s">
        <v>492</v>
      </c>
      <c r="D15" s="32" t="s">
        <v>492</v>
      </c>
      <c r="E15" s="17">
        <f>10000*('FY VOLUME NONAUTO'!E16/'FY VOLUME NONAUTO'!$E$35)</f>
        <v>209.48305969995289</v>
      </c>
      <c r="F15" s="17">
        <v>0</v>
      </c>
      <c r="G15" s="17">
        <v>0</v>
      </c>
      <c r="H15" s="17">
        <v>0</v>
      </c>
      <c r="I15" s="17">
        <v>0</v>
      </c>
      <c r="J15" s="17">
        <v>0</v>
      </c>
      <c r="K15" s="17">
        <v>0</v>
      </c>
      <c r="L15" s="17">
        <v>0</v>
      </c>
      <c r="M15" s="17">
        <v>0</v>
      </c>
      <c r="N15" s="17">
        <f>E15*'BUNDLE DATA'!$D$38*'BUNDLE DATA'!$C$38</f>
        <v>203.03386785708003</v>
      </c>
      <c r="O15" s="17">
        <f>E15*(1-'BUNDLE DATA'!$D$38)*'BUNDLE DATA'!$C$38</f>
        <v>6.4491918428728505</v>
      </c>
      <c r="P15" s="17">
        <f>E15*'BUNDLE DATA'!$D$8</f>
        <v>1.2827683055136652</v>
      </c>
      <c r="Q15" s="17">
        <f>E15*(1-'BUNDLE DATA'!$D$8)*'BUNDLE DENSITIES'!$I$22</f>
        <v>208.20029139443923</v>
      </c>
      <c r="R15" s="17">
        <v>0</v>
      </c>
      <c r="S15" s="17">
        <v>0</v>
      </c>
      <c r="T15" s="17">
        <v>0</v>
      </c>
      <c r="U15" s="17">
        <v>0</v>
      </c>
      <c r="V15" s="17">
        <f t="shared" si="0"/>
        <v>1.2827683055136652</v>
      </c>
      <c r="W15" s="17">
        <f t="shared" si="0"/>
        <v>208.20029139443923</v>
      </c>
      <c r="X15" s="43">
        <f t="shared" si="1"/>
        <v>209.48305969995289</v>
      </c>
    </row>
    <row r="16" spans="1:24" x14ac:dyDescent="0.25">
      <c r="A16" t="s">
        <v>489</v>
      </c>
      <c r="B16" t="s">
        <v>96</v>
      </c>
      <c r="C16" s="32" t="s">
        <v>492</v>
      </c>
      <c r="D16" s="32" t="s">
        <v>493</v>
      </c>
      <c r="E16" s="17">
        <f>10000*('FY VOLUME NONAUTO'!E17/'FY VOLUME NONAUTO'!$E$35)</f>
        <v>452.51740020362115</v>
      </c>
      <c r="F16" s="17">
        <v>0</v>
      </c>
      <c r="G16" s="17">
        <v>0</v>
      </c>
      <c r="H16" s="17">
        <v>0</v>
      </c>
      <c r="I16" s="17">
        <v>0</v>
      </c>
      <c r="J16" s="17">
        <v>0</v>
      </c>
      <c r="K16" s="17">
        <v>0</v>
      </c>
      <c r="L16" s="17">
        <v>0</v>
      </c>
      <c r="M16" s="17">
        <v>0</v>
      </c>
      <c r="N16" s="17">
        <f>E16*'BUNDLE DATA'!$D$40*'BUNDLE DATA'!$C$40</f>
        <v>438.5860993608166</v>
      </c>
      <c r="O16" s="17">
        <f>E16*(1-'BUNDLE DATA'!$D$40)*'BUNDLE DATA'!$C$40</f>
        <v>13.931300842804518</v>
      </c>
      <c r="P16" s="17">
        <f>E16*'BUNDLE DATA'!$D$8</f>
        <v>2.7709876851430137</v>
      </c>
      <c r="Q16" s="17">
        <f>E16*(1-'BUNDLE DATA'!$D$8)*('BUNDLE DENSITIES'!$K$22+'BUNDLE DENSITIES'!$K$23)</f>
        <v>449.74641251847811</v>
      </c>
      <c r="R16" s="17">
        <v>0</v>
      </c>
      <c r="S16" s="17">
        <v>0</v>
      </c>
      <c r="T16" s="17">
        <v>0</v>
      </c>
      <c r="U16" s="17">
        <v>0</v>
      </c>
      <c r="V16" s="17">
        <f t="shared" si="0"/>
        <v>2.7709876851430137</v>
      </c>
      <c r="W16" s="17">
        <f t="shared" si="0"/>
        <v>449.74641251847811</v>
      </c>
      <c r="X16" s="43">
        <f t="shared" si="1"/>
        <v>452.51740020362115</v>
      </c>
    </row>
    <row r="17" spans="1:24" x14ac:dyDescent="0.25">
      <c r="A17" t="s">
        <v>489</v>
      </c>
      <c r="B17" s="190" t="s">
        <v>96</v>
      </c>
      <c r="C17" s="32" t="s">
        <v>492</v>
      </c>
      <c r="D17" s="32" t="s">
        <v>494</v>
      </c>
      <c r="E17" s="17">
        <f>10000*('FY VOLUME NONAUTO'!E18/'FY VOLUME NONAUTO'!$E$35)</f>
        <v>128.52553304889085</v>
      </c>
      <c r="F17" s="17">
        <v>0</v>
      </c>
      <c r="G17" s="17">
        <v>0</v>
      </c>
      <c r="H17" s="17">
        <v>0</v>
      </c>
      <c r="I17" s="17">
        <v>0</v>
      </c>
      <c r="J17" s="17">
        <v>0</v>
      </c>
      <c r="K17" s="17">
        <v>0</v>
      </c>
      <c r="L17" s="17">
        <v>0</v>
      </c>
      <c r="M17" s="17">
        <v>0</v>
      </c>
      <c r="N17" s="17">
        <v>0</v>
      </c>
      <c r="O17" s="17">
        <v>0</v>
      </c>
      <c r="P17" s="17">
        <v>0</v>
      </c>
      <c r="Q17" s="17">
        <v>0</v>
      </c>
      <c r="R17" s="17">
        <v>0</v>
      </c>
      <c r="S17" s="17">
        <v>0</v>
      </c>
      <c r="T17" s="17">
        <v>0</v>
      </c>
      <c r="U17" s="17">
        <v>0</v>
      </c>
      <c r="V17" s="17">
        <f t="shared" si="0"/>
        <v>0</v>
      </c>
      <c r="W17" s="17">
        <f t="shared" si="0"/>
        <v>0</v>
      </c>
      <c r="X17" s="43">
        <f>E17</f>
        <v>128.52553304889085</v>
      </c>
    </row>
    <row r="18" spans="1:24" x14ac:dyDescent="0.25">
      <c r="A18" t="s">
        <v>489</v>
      </c>
      <c r="B18" s="190" t="s">
        <v>96</v>
      </c>
      <c r="C18" s="32" t="s">
        <v>493</v>
      </c>
      <c r="D18" s="32" t="s">
        <v>493</v>
      </c>
      <c r="E18" s="17">
        <f>10000*('FY VOLUME NONAUTO'!E19/'FY VOLUME NONAUTO'!$E$35)</f>
        <v>743.4241509011531</v>
      </c>
      <c r="F18" s="17">
        <v>0</v>
      </c>
      <c r="G18" s="17">
        <v>0</v>
      </c>
      <c r="H18" s="17">
        <v>0</v>
      </c>
      <c r="I18" s="17">
        <v>0</v>
      </c>
      <c r="J18" s="17">
        <v>0</v>
      </c>
      <c r="K18" s="17">
        <v>0</v>
      </c>
      <c r="L18" s="17">
        <v>0</v>
      </c>
      <c r="M18" s="17">
        <v>0</v>
      </c>
      <c r="N18" s="17">
        <v>0</v>
      </c>
      <c r="O18" s="17">
        <v>0</v>
      </c>
      <c r="P18" s="17">
        <v>0</v>
      </c>
      <c r="Q18" s="17">
        <v>0</v>
      </c>
      <c r="R18" s="17">
        <v>0</v>
      </c>
      <c r="S18" s="17">
        <v>0</v>
      </c>
      <c r="T18" s="17">
        <v>0</v>
      </c>
      <c r="U18" s="17">
        <v>0</v>
      </c>
      <c r="V18" s="17">
        <f t="shared" si="0"/>
        <v>0</v>
      </c>
      <c r="W18" s="17">
        <f t="shared" si="0"/>
        <v>0</v>
      </c>
      <c r="X18" s="43">
        <f>E18</f>
        <v>743.4241509011531</v>
      </c>
    </row>
    <row r="19" spans="1:24" x14ac:dyDescent="0.25">
      <c r="A19" t="s">
        <v>489</v>
      </c>
      <c r="B19" t="s">
        <v>96</v>
      </c>
      <c r="C19" s="32" t="s">
        <v>493</v>
      </c>
      <c r="D19" s="32" t="s">
        <v>494</v>
      </c>
      <c r="E19" s="17">
        <f>10000*('FY VOLUME NONAUTO'!E20/'FY VOLUME NONAUTO'!$E$35)</f>
        <v>45.150213526066359</v>
      </c>
      <c r="F19" s="17">
        <v>0</v>
      </c>
      <c r="G19" s="17">
        <v>0</v>
      </c>
      <c r="H19" s="17">
        <v>0</v>
      </c>
      <c r="I19" s="17">
        <v>0</v>
      </c>
      <c r="J19" s="17">
        <v>0</v>
      </c>
      <c r="K19" s="17">
        <v>0</v>
      </c>
      <c r="L19" s="17">
        <v>0</v>
      </c>
      <c r="M19" s="17">
        <v>0</v>
      </c>
      <c r="N19" s="17">
        <v>0</v>
      </c>
      <c r="O19" s="17">
        <v>0</v>
      </c>
      <c r="P19" s="17">
        <v>0</v>
      </c>
      <c r="Q19" s="17">
        <v>0</v>
      </c>
      <c r="R19" s="17">
        <v>0</v>
      </c>
      <c r="S19" s="17">
        <v>0</v>
      </c>
      <c r="T19" s="17">
        <v>0</v>
      </c>
      <c r="U19" s="17">
        <v>0</v>
      </c>
      <c r="V19" s="17">
        <f t="shared" si="0"/>
        <v>0</v>
      </c>
      <c r="W19" s="17">
        <f t="shared" si="0"/>
        <v>0</v>
      </c>
      <c r="X19" s="43">
        <f>E19</f>
        <v>45.150213526066359</v>
      </c>
    </row>
    <row r="20" spans="1:24" x14ac:dyDescent="0.25">
      <c r="A20" t="s">
        <v>489</v>
      </c>
      <c r="B20" t="s">
        <v>391</v>
      </c>
      <c r="C20" s="32" t="s">
        <v>490</v>
      </c>
      <c r="D20" s="32" t="s">
        <v>490</v>
      </c>
      <c r="E20" s="17">
        <f>10000*('FY VOLUME NONAUTO'!E21/'FY VOLUME NONAUTO'!$E$35)</f>
        <v>0</v>
      </c>
      <c r="F20" s="17">
        <f>E20*'BUNDLE DATA'!$D$20*'BUNDLE DATA'!$C$20</f>
        <v>0</v>
      </c>
      <c r="G20" s="17">
        <f>E20*(1-'BUNDLE DATA'!$D$20)*'BUNDLE DATA'!$C$20</f>
        <v>0</v>
      </c>
      <c r="H20" s="17">
        <f>E20*'BUNDLE DATA'!$D$10</f>
        <v>0</v>
      </c>
      <c r="I20" s="17">
        <f>E20*(1-'BUNDLE DATA'!$D$10)*'BUNDLE DENSITIES'!$E$7</f>
        <v>0</v>
      </c>
      <c r="J20" s="17">
        <v>0</v>
      </c>
      <c r="K20" s="17">
        <v>0</v>
      </c>
      <c r="L20" s="17">
        <v>0</v>
      </c>
      <c r="M20" s="17">
        <v>0</v>
      </c>
      <c r="N20" s="17">
        <v>0</v>
      </c>
      <c r="O20" s="17">
        <v>0</v>
      </c>
      <c r="P20" s="17">
        <v>0</v>
      </c>
      <c r="Q20" s="17">
        <v>0</v>
      </c>
      <c r="R20" s="17">
        <v>0</v>
      </c>
      <c r="S20" s="17">
        <v>0</v>
      </c>
      <c r="T20" s="17">
        <v>0</v>
      </c>
      <c r="U20" s="17">
        <v>0</v>
      </c>
      <c r="V20" s="17">
        <f t="shared" si="0"/>
        <v>0</v>
      </c>
      <c r="W20" s="17">
        <f t="shared" si="0"/>
        <v>0</v>
      </c>
      <c r="X20" s="43">
        <f t="shared" si="1"/>
        <v>0</v>
      </c>
    </row>
    <row r="21" spans="1:24" x14ac:dyDescent="0.25">
      <c r="A21" t="s">
        <v>489</v>
      </c>
      <c r="B21" t="s">
        <v>391</v>
      </c>
      <c r="C21" s="32" t="s">
        <v>490</v>
      </c>
      <c r="D21" s="32" t="s">
        <v>491</v>
      </c>
      <c r="E21" s="17">
        <f>10000*('FY VOLUME NONAUTO'!E22/'FY VOLUME NONAUTO'!$E$35)</f>
        <v>0</v>
      </c>
      <c r="F21" s="17">
        <f>E21*'BUNDLE DATA'!$D$22*'BUNDLE DATA'!$C$22</f>
        <v>0</v>
      </c>
      <c r="G21" s="17">
        <f>E21*(1-'BUNDLE DATA'!$D$22)*'BUNDLE DATA'!$C$22</f>
        <v>0</v>
      </c>
      <c r="H21" s="17">
        <f>E21*'BUNDLE DATA'!$D$10</f>
        <v>0</v>
      </c>
      <c r="I21" s="17">
        <f>E21*(1-'BUNDLE DATA'!$D$10)*'BUNDLE DENSITIES'!$G$7</f>
        <v>0</v>
      </c>
      <c r="J21" s="17">
        <f>E21*(1-'BUNDLE DATA'!$D$10)*'BUNDLE DENSITIES'!$G$8*'BUNDLE DATA'!$D$30*'BUNDLE DATA'!$C$30</f>
        <v>0</v>
      </c>
      <c r="K21" s="17">
        <f>E21*(1-'BUNDLE DATA'!$D$10)*'BUNDLE DENSITIES'!$G$8*(1-'BUNDLE DATA'!$D$30)*'BUNDLE DATA'!$C$30</f>
        <v>0</v>
      </c>
      <c r="L21" s="17">
        <f>E21*(1-'BUNDLE DATA'!$D$10)*'BUNDLE DENSITIES'!$G$8*'BUNDLE DATA'!$E$10</f>
        <v>0</v>
      </c>
      <c r="M21" s="17">
        <f>E21*(1-'BUNDLE DATA'!$D$10)*'BUNDLE DENSITIES'!$G$8*(1-'BUNDLE DATA'!$E$10)*'BUNDLE DENSITIES'!$G$15</f>
        <v>0</v>
      </c>
      <c r="N21" s="17">
        <v>0</v>
      </c>
      <c r="O21" s="17">
        <v>0</v>
      </c>
      <c r="P21" s="17">
        <v>0</v>
      </c>
      <c r="Q21" s="17">
        <v>0</v>
      </c>
      <c r="R21" s="17">
        <v>0</v>
      </c>
      <c r="S21" s="17">
        <v>0</v>
      </c>
      <c r="T21" s="17">
        <v>0</v>
      </c>
      <c r="U21" s="17">
        <v>0</v>
      </c>
      <c r="V21" s="17">
        <f t="shared" si="0"/>
        <v>0</v>
      </c>
      <c r="W21" s="17">
        <f t="shared" si="0"/>
        <v>0</v>
      </c>
      <c r="X21" s="43">
        <f t="shared" si="1"/>
        <v>0</v>
      </c>
    </row>
    <row r="22" spans="1:24" x14ac:dyDescent="0.25">
      <c r="A22" t="s">
        <v>489</v>
      </c>
      <c r="B22" t="s">
        <v>391</v>
      </c>
      <c r="C22" s="32" t="s">
        <v>490</v>
      </c>
      <c r="D22" s="32" t="s">
        <v>492</v>
      </c>
      <c r="E22" s="17">
        <f>10000*('FY VOLUME NONAUTO'!E23/'FY VOLUME NONAUTO'!$E$35)</f>
        <v>0</v>
      </c>
      <c r="F22" s="17">
        <f>E22*'BUNDLE DATA'!$D$24*'BUNDLE DATA'!$C$24</f>
        <v>0</v>
      </c>
      <c r="G22" s="17">
        <f>E22*(1-'BUNDLE DATA'!$D$24)*'BUNDLE DATA'!$C$24</f>
        <v>0</v>
      </c>
      <c r="H22" s="17">
        <f>E22*'BUNDLE DATA'!$D$10</f>
        <v>0</v>
      </c>
      <c r="I22" s="17">
        <f>E22*(1-'BUNDLE DATA'!$D$10)*'BUNDLE DENSITIES'!$I$7</f>
        <v>0</v>
      </c>
      <c r="J22" s="17">
        <f>E22*(1-'BUNDLE DATA'!$D$10)*'BUNDLE DENSITIES'!$I$8*'BUNDLE DATA'!$D$32*'BUNDLE DATA'!$C$32</f>
        <v>0</v>
      </c>
      <c r="K22" s="17">
        <f>E22*(1-'BUNDLE DATA'!$D$10)*'BUNDLE DENSITIES'!$I$8*(1-'BUNDLE DATA'!$D$32)*'BUNDLE DATA'!$C$32</f>
        <v>0</v>
      </c>
      <c r="L22" s="17">
        <f>E22*(1-'BUNDLE DATA'!$D$10)*'BUNDLE DENSITIES'!$I$8*'BUNDLE DATA'!$E$10</f>
        <v>0</v>
      </c>
      <c r="M22" s="17">
        <f>E22*(1-'BUNDLE DATA'!$D$10)*'BUNDLE DENSITIES'!$I$8*(1-'BUNDLE DATA'!$E$10)*'BUNDLE DENSITIES'!$I$15</f>
        <v>0</v>
      </c>
      <c r="N22" s="17">
        <f>E22*(1-'BUNDLE DATA'!$D$10)*('BUNDLE DENSITIES'!$I$9+'BUNDLE DENSITIES'!$I$8*(1-'BUNDLE DATA'!$E$10)*'BUNDLE DENSITIES'!$I$16)*'BUNDLE DATA'!$D$38*'BUNDLE DATA'!$C$38</f>
        <v>0</v>
      </c>
      <c r="O22" s="17">
        <f>E22*(1-'BUNDLE DATA'!$D$10)*('BUNDLE DENSITIES'!$I$9+'BUNDLE DENSITIES'!$I$8*(1-'BUNDLE DATA'!$E$10)*'BUNDLE DENSITIES'!$I$16)*(1-'BUNDLE DATA'!$D$38)*'BUNDLE DATA'!$C$38</f>
        <v>0</v>
      </c>
      <c r="P22" s="17">
        <f>E22*(1-'BUNDLE DATA'!$D$10)*('BUNDLE DENSITIES'!$I$9+'BUNDLE DENSITIES'!$I$8*(1-'BUNDLE DATA'!$E$10)*'BUNDLE DENSITIES'!$I$16)*'BUNDLE DATA'!$E$10</f>
        <v>0</v>
      </c>
      <c r="Q22" s="17">
        <f>E22*(1-'BUNDLE DATA'!$D$10)*('BUNDLE DENSITIES'!$I$9+'BUNDLE DENSITIES'!$I$8*(1-'BUNDLE DATA'!$E$10)*'BUNDLE DENSITIES'!$I$16)*(1-'BUNDLE DATA'!$E$10)*'BUNDLE DENSITIES'!$I$22</f>
        <v>0</v>
      </c>
      <c r="R22" s="17">
        <v>0</v>
      </c>
      <c r="S22" s="17">
        <v>0</v>
      </c>
      <c r="T22" s="17">
        <v>0</v>
      </c>
      <c r="U22" s="17">
        <v>0</v>
      </c>
      <c r="V22" s="17">
        <f t="shared" si="0"/>
        <v>0</v>
      </c>
      <c r="W22" s="17">
        <f t="shared" si="0"/>
        <v>0</v>
      </c>
      <c r="X22" s="43">
        <f t="shared" si="1"/>
        <v>0</v>
      </c>
    </row>
    <row r="23" spans="1:24" x14ac:dyDescent="0.25">
      <c r="A23" t="s">
        <v>489</v>
      </c>
      <c r="B23" t="s">
        <v>391</v>
      </c>
      <c r="C23" s="32" t="s">
        <v>490</v>
      </c>
      <c r="D23" s="32" t="s">
        <v>493</v>
      </c>
      <c r="E23" s="17">
        <f>10000*('FY VOLUME NONAUTO'!E24/'FY VOLUME NONAUTO'!$E$35)</f>
        <v>0</v>
      </c>
      <c r="F23" s="17">
        <f>E23*'BUNDLE DATA'!$D$26*'BUNDLE DATA'!$C$26</f>
        <v>0</v>
      </c>
      <c r="G23" s="17">
        <f>E23*(1-'BUNDLE DATA'!$D$26)*'BUNDLE DATA'!$C$26</f>
        <v>0</v>
      </c>
      <c r="H23" s="17">
        <f>E23*'BUNDLE DATA'!$D$10</f>
        <v>0</v>
      </c>
      <c r="I23" s="17">
        <f>E23*(1-'BUNDLE DATA'!$D$10)*'BUNDLE DENSITIES'!$K$7</f>
        <v>0</v>
      </c>
      <c r="J23" s="17">
        <f>E23*(1-'BUNDLE DATA'!$D$10)*'BUNDLE DENSITIES'!$K$8*'BUNDLE DATA'!$D$34*'BUNDLE DATA'!$C$34</f>
        <v>0</v>
      </c>
      <c r="K23" s="17">
        <f>E23*(1-'BUNDLE DATA'!$D$10)*'BUNDLE DENSITIES'!$K$8*(1-'BUNDLE DATA'!$D$34)*'BUNDLE DATA'!$C$34</f>
        <v>0</v>
      </c>
      <c r="L23" s="17">
        <f>E23*(1-'BUNDLE DATA'!$D$10)*'BUNDLE DENSITIES'!$K$8*'BUNDLE DATA'!$E$10</f>
        <v>0</v>
      </c>
      <c r="M23" s="17">
        <f>E23*(1-'BUNDLE DATA'!$D$10)*'BUNDLE DENSITIES'!$K$8*(1-'BUNDLE DATA'!$E$10)*'BUNDLE DENSITIES'!$K$15</f>
        <v>0</v>
      </c>
      <c r="N23" s="17">
        <v>0</v>
      </c>
      <c r="O23" s="17">
        <v>0</v>
      </c>
      <c r="P23" s="17">
        <v>0</v>
      </c>
      <c r="Q23" s="17">
        <v>0</v>
      </c>
      <c r="R23" s="17">
        <v>0</v>
      </c>
      <c r="S23" s="17">
        <v>0</v>
      </c>
      <c r="T23" s="17">
        <v>0</v>
      </c>
      <c r="U23" s="17">
        <v>0</v>
      </c>
      <c r="V23" s="17">
        <f t="shared" si="0"/>
        <v>0</v>
      </c>
      <c r="W23" s="17">
        <f t="shared" si="0"/>
        <v>0</v>
      </c>
      <c r="X23" s="43">
        <f t="shared" si="1"/>
        <v>0</v>
      </c>
    </row>
    <row r="24" spans="1:24" x14ac:dyDescent="0.25">
      <c r="A24" t="s">
        <v>489</v>
      </c>
      <c r="B24" t="s">
        <v>391</v>
      </c>
      <c r="C24" s="32" t="s">
        <v>490</v>
      </c>
      <c r="D24" s="32" t="s">
        <v>494</v>
      </c>
      <c r="E24" s="17">
        <f>10000*('FY VOLUME NONAUTO'!E25/'FY VOLUME NONAUTO'!$E$35)</f>
        <v>0</v>
      </c>
      <c r="F24" s="17">
        <v>0</v>
      </c>
      <c r="G24" s="17">
        <v>0</v>
      </c>
      <c r="H24" s="17">
        <v>0</v>
      </c>
      <c r="I24" s="17">
        <v>0</v>
      </c>
      <c r="J24" s="17">
        <v>0</v>
      </c>
      <c r="K24" s="17">
        <v>0</v>
      </c>
      <c r="L24" s="17">
        <v>0</v>
      </c>
      <c r="M24" s="17">
        <v>0</v>
      </c>
      <c r="N24" s="17">
        <v>0</v>
      </c>
      <c r="O24" s="17">
        <v>0</v>
      </c>
      <c r="P24" s="17">
        <v>0</v>
      </c>
      <c r="Q24" s="17">
        <v>0</v>
      </c>
      <c r="R24" s="17">
        <v>0</v>
      </c>
      <c r="S24" s="17">
        <v>0</v>
      </c>
      <c r="T24" s="17">
        <v>0</v>
      </c>
      <c r="U24" s="17">
        <v>0</v>
      </c>
      <c r="V24" s="17">
        <f t="shared" si="0"/>
        <v>0</v>
      </c>
      <c r="W24" s="17">
        <f t="shared" si="0"/>
        <v>0</v>
      </c>
      <c r="X24" s="43">
        <f>E24</f>
        <v>0</v>
      </c>
    </row>
    <row r="25" spans="1:24" x14ac:dyDescent="0.25">
      <c r="A25" t="s">
        <v>489</v>
      </c>
      <c r="B25" t="s">
        <v>391</v>
      </c>
      <c r="C25" s="32" t="s">
        <v>491</v>
      </c>
      <c r="D25" s="32" t="s">
        <v>491</v>
      </c>
      <c r="E25" s="17">
        <f>10000*('FY VOLUME NONAUTO'!E26/'FY VOLUME NONAUTO'!$E$35)</f>
        <v>0</v>
      </c>
      <c r="F25" s="17">
        <v>0</v>
      </c>
      <c r="G25" s="17">
        <v>0</v>
      </c>
      <c r="H25" s="17">
        <v>0</v>
      </c>
      <c r="I25" s="17">
        <v>0</v>
      </c>
      <c r="J25" s="17">
        <f>E25*'BUNDLE DATA'!$D$30*'BUNDLE DATA'!$C$30</f>
        <v>0</v>
      </c>
      <c r="K25" s="17">
        <f>E25*(1-'BUNDLE DATA'!$D$30)*'BUNDLE DATA'!$C$30</f>
        <v>0</v>
      </c>
      <c r="L25" s="17">
        <f>E25*'BUNDLE DATA'!$D$10</f>
        <v>0</v>
      </c>
      <c r="M25" s="17">
        <f>E25*(1-'BUNDLE DATA'!$D$10)*'BUNDLE DENSITIES'!$G$15</f>
        <v>0</v>
      </c>
      <c r="N25" s="17">
        <v>0</v>
      </c>
      <c r="O25" s="17">
        <v>0</v>
      </c>
      <c r="P25" s="17">
        <v>0</v>
      </c>
      <c r="Q25" s="17">
        <v>0</v>
      </c>
      <c r="R25" s="17">
        <v>0</v>
      </c>
      <c r="S25" s="17">
        <v>0</v>
      </c>
      <c r="T25" s="17">
        <v>0</v>
      </c>
      <c r="U25" s="17">
        <v>0</v>
      </c>
      <c r="V25" s="17">
        <f t="shared" si="0"/>
        <v>0</v>
      </c>
      <c r="W25" s="17">
        <f t="shared" si="0"/>
        <v>0</v>
      </c>
      <c r="X25" s="43">
        <f t="shared" si="1"/>
        <v>0</v>
      </c>
    </row>
    <row r="26" spans="1:24" x14ac:dyDescent="0.25">
      <c r="A26" t="s">
        <v>489</v>
      </c>
      <c r="B26" t="s">
        <v>391</v>
      </c>
      <c r="C26" s="32" t="s">
        <v>491</v>
      </c>
      <c r="D26" s="32" t="s">
        <v>492</v>
      </c>
      <c r="E26" s="17">
        <f>10000*('FY VOLUME NONAUTO'!E27/'FY VOLUME NONAUTO'!$E$35)</f>
        <v>0</v>
      </c>
      <c r="F26" s="17">
        <v>0</v>
      </c>
      <c r="G26" s="17">
        <v>0</v>
      </c>
      <c r="H26" s="17">
        <v>0</v>
      </c>
      <c r="I26" s="17">
        <v>0</v>
      </c>
      <c r="J26" s="17">
        <f>E26*'BUNDLE DATA'!$D$32*'BUNDLE DATA'!$C$32</f>
        <v>0</v>
      </c>
      <c r="K26" s="17">
        <f>E26*(1-'BUNDLE DATA'!$D$32)*'BUNDLE DATA'!$C$32</f>
        <v>0</v>
      </c>
      <c r="L26" s="17">
        <f>E26*'BUNDLE DATA'!$D$10</f>
        <v>0</v>
      </c>
      <c r="M26" s="17">
        <f>E26*(1-'BUNDLE DATA'!$D$10)*'BUNDLE DENSITIES'!$I$15</f>
        <v>0</v>
      </c>
      <c r="N26" s="17">
        <f>E26*(1-'BUNDLE DATA'!$D$10)*'BUNDLE DENSITIES'!$I$16*'BUNDLE DATA'!$D$38*'BUNDLE DATA'!$C$38</f>
        <v>0</v>
      </c>
      <c r="O26" s="17">
        <f>E26*(1-'BUNDLE DATA'!$D$10)*'BUNDLE DENSITIES'!$I$16*(1-'BUNDLE DATA'!$D$38)*'BUNDLE DATA'!$C$38</f>
        <v>0</v>
      </c>
      <c r="P26" s="17">
        <f>E26*(1-'BUNDLE DATA'!$D$10)*'BUNDLE DENSITIES'!$I$16*'BUNDLE DATA'!$E$10</f>
        <v>0</v>
      </c>
      <c r="Q26" s="17">
        <f>E26*(1-'BUNDLE DATA'!$D$10)*'BUNDLE DENSITIES'!$I$16*(1-'BUNDLE DATA'!$E$10)*'BUNDLE DENSITIES'!$I$22</f>
        <v>0</v>
      </c>
      <c r="R26" s="17">
        <v>0</v>
      </c>
      <c r="S26" s="17">
        <v>0</v>
      </c>
      <c r="T26" s="17">
        <v>0</v>
      </c>
      <c r="U26" s="17">
        <v>0</v>
      </c>
      <c r="V26" s="17">
        <f t="shared" si="0"/>
        <v>0</v>
      </c>
      <c r="W26" s="17">
        <f t="shared" si="0"/>
        <v>0</v>
      </c>
      <c r="X26" s="43">
        <f t="shared" si="1"/>
        <v>0</v>
      </c>
    </row>
    <row r="27" spans="1:24" x14ac:dyDescent="0.25">
      <c r="A27" t="s">
        <v>489</v>
      </c>
      <c r="B27" t="s">
        <v>391</v>
      </c>
      <c r="C27" s="32" t="s">
        <v>491</v>
      </c>
      <c r="D27" s="32" t="s">
        <v>493</v>
      </c>
      <c r="E27" s="17">
        <f>10000*('FY VOLUME NONAUTO'!E28/'FY VOLUME NONAUTO'!$E$35)</f>
        <v>0</v>
      </c>
      <c r="F27" s="17">
        <v>0</v>
      </c>
      <c r="G27" s="17">
        <v>0</v>
      </c>
      <c r="H27" s="17">
        <v>0</v>
      </c>
      <c r="I27" s="17">
        <v>0</v>
      </c>
      <c r="J27" s="17">
        <f>E27*'BUNDLE DATA'!$D$34*'BUNDLE DATA'!$C$34</f>
        <v>0</v>
      </c>
      <c r="K27" s="17">
        <f>E27*(1-'BUNDLE DATA'!$D$34)*'BUNDLE DATA'!$C$34</f>
        <v>0</v>
      </c>
      <c r="L27" s="17">
        <f>E27*'BUNDLE DATA'!$D$10</f>
        <v>0</v>
      </c>
      <c r="M27" s="17">
        <f>E27*(1-'BUNDLE DATA'!$D$10)*('BUNDLE DENSITIES'!$K$15+'BUNDLE DENSITIES'!$K$17)</f>
        <v>0</v>
      </c>
      <c r="N27" s="17">
        <f>E27*(1-'BUNDLE DATA'!$D$10)*'BUNDLE DENSITIES'!$K$16*'BUNDLE DATA'!$D$40*'BUNDLE DATA'!$C$40</f>
        <v>0</v>
      </c>
      <c r="O27" s="17">
        <f>E27*(1-'BUNDLE DATA'!$D$10)*'BUNDLE DENSITIES'!$K$16*(1-'BUNDLE DATA'!$D$40)*'BUNDLE DATA'!$C$40</f>
        <v>0</v>
      </c>
      <c r="P27" s="17">
        <f>E27*(1-'BUNDLE DATA'!$D$10)*'BUNDLE DENSITIES'!$K$16*'BUNDLE DATA'!$E$10</f>
        <v>0</v>
      </c>
      <c r="Q27" s="17">
        <f>E27*(1-'BUNDLE DATA'!$D$10)*'BUNDLE DENSITIES'!$K$16*(1-'BUNDLE DATA'!$E$10)*('BUNDLE DENSITIES'!$K$22+'BUNDLE DENSITIES'!$K$23)</f>
        <v>0</v>
      </c>
      <c r="R27" s="17">
        <v>0</v>
      </c>
      <c r="S27" s="17">
        <v>0</v>
      </c>
      <c r="T27" s="17">
        <v>0</v>
      </c>
      <c r="U27" s="17">
        <v>0</v>
      </c>
      <c r="V27" s="17">
        <f t="shared" si="0"/>
        <v>0</v>
      </c>
      <c r="W27" s="17">
        <f t="shared" si="0"/>
        <v>0</v>
      </c>
      <c r="X27" s="43">
        <f t="shared" si="1"/>
        <v>0</v>
      </c>
    </row>
    <row r="28" spans="1:24" x14ac:dyDescent="0.25">
      <c r="A28" t="s">
        <v>489</v>
      </c>
      <c r="B28" t="s">
        <v>391</v>
      </c>
      <c r="C28" s="32" t="s">
        <v>491</v>
      </c>
      <c r="D28" s="32" t="s">
        <v>494</v>
      </c>
      <c r="E28" s="17">
        <f>10000*('FY VOLUME NONAUTO'!E29/'FY VOLUME NONAUTO'!$E$35)</f>
        <v>0</v>
      </c>
      <c r="F28" s="17">
        <v>0</v>
      </c>
      <c r="G28" s="17">
        <v>0</v>
      </c>
      <c r="H28" s="17">
        <v>0</v>
      </c>
      <c r="I28" s="17">
        <v>0</v>
      </c>
      <c r="J28" s="17">
        <v>0</v>
      </c>
      <c r="K28" s="17">
        <v>0</v>
      </c>
      <c r="L28" s="17">
        <v>0</v>
      </c>
      <c r="M28" s="17">
        <v>0</v>
      </c>
      <c r="N28" s="17">
        <v>0</v>
      </c>
      <c r="O28" s="17">
        <v>0</v>
      </c>
      <c r="P28" s="17">
        <v>0</v>
      </c>
      <c r="Q28" s="17">
        <v>0</v>
      </c>
      <c r="R28" s="17">
        <v>0</v>
      </c>
      <c r="S28" s="17">
        <v>0</v>
      </c>
      <c r="T28" s="17">
        <v>0</v>
      </c>
      <c r="U28" s="17">
        <v>0</v>
      </c>
      <c r="V28" s="17">
        <f t="shared" si="0"/>
        <v>0</v>
      </c>
      <c r="W28" s="17">
        <f t="shared" si="0"/>
        <v>0</v>
      </c>
      <c r="X28" s="43">
        <f>E28</f>
        <v>0</v>
      </c>
    </row>
    <row r="29" spans="1:24" x14ac:dyDescent="0.25">
      <c r="A29" t="s">
        <v>489</v>
      </c>
      <c r="B29" t="s">
        <v>391</v>
      </c>
      <c r="C29" s="32" t="s">
        <v>492</v>
      </c>
      <c r="D29" s="32" t="s">
        <v>492</v>
      </c>
      <c r="E29" s="17">
        <f>10000*('FY VOLUME NONAUTO'!E30/'FY VOLUME NONAUTO'!$E$35)</f>
        <v>0</v>
      </c>
      <c r="F29" s="17">
        <v>0</v>
      </c>
      <c r="G29" s="17">
        <v>0</v>
      </c>
      <c r="H29" s="17">
        <v>0</v>
      </c>
      <c r="I29" s="17">
        <v>0</v>
      </c>
      <c r="J29" s="17">
        <v>0</v>
      </c>
      <c r="K29" s="17">
        <v>0</v>
      </c>
      <c r="L29" s="17">
        <v>0</v>
      </c>
      <c r="M29" s="17">
        <v>0</v>
      </c>
      <c r="N29" s="17">
        <f>E29*'BUNDLE DATA'!$D$38*'BUNDLE DATA'!$C$38</f>
        <v>0</v>
      </c>
      <c r="O29" s="17">
        <f>E29*(1-'BUNDLE DATA'!$D$38)*'BUNDLE DATA'!$C$38</f>
        <v>0</v>
      </c>
      <c r="P29" s="17">
        <f>E29*'BUNDLE DATA'!$D$10</f>
        <v>0</v>
      </c>
      <c r="Q29" s="17">
        <f>E29*(1-'BUNDLE DATA'!$D$10)*'BUNDLE DENSITIES'!$I$22</f>
        <v>0</v>
      </c>
      <c r="R29" s="17">
        <v>0</v>
      </c>
      <c r="S29" s="17">
        <v>0</v>
      </c>
      <c r="T29" s="17">
        <v>0</v>
      </c>
      <c r="U29" s="17">
        <v>0</v>
      </c>
      <c r="V29" s="17">
        <f t="shared" si="0"/>
        <v>0</v>
      </c>
      <c r="W29" s="17">
        <f t="shared" si="0"/>
        <v>0</v>
      </c>
      <c r="X29" s="43">
        <f t="shared" si="1"/>
        <v>0</v>
      </c>
    </row>
    <row r="30" spans="1:24" x14ac:dyDescent="0.25">
      <c r="A30" t="s">
        <v>489</v>
      </c>
      <c r="B30" t="s">
        <v>391</v>
      </c>
      <c r="C30" s="32" t="s">
        <v>492</v>
      </c>
      <c r="D30" s="32" t="s">
        <v>493</v>
      </c>
      <c r="E30" s="17">
        <f>10000*('FY VOLUME NONAUTO'!E31/'FY VOLUME NONAUTO'!$E$35)</f>
        <v>0</v>
      </c>
      <c r="F30" s="17">
        <v>0</v>
      </c>
      <c r="G30" s="17">
        <v>0</v>
      </c>
      <c r="H30" s="17">
        <v>0</v>
      </c>
      <c r="I30" s="17">
        <v>0</v>
      </c>
      <c r="J30" s="17">
        <v>0</v>
      </c>
      <c r="K30" s="17">
        <v>0</v>
      </c>
      <c r="L30" s="17">
        <v>0</v>
      </c>
      <c r="M30" s="17">
        <v>0</v>
      </c>
      <c r="N30" s="17">
        <f>E30*'BUNDLE DATA'!$D$40*'BUNDLE DATA'!$C$40</f>
        <v>0</v>
      </c>
      <c r="O30" s="17">
        <f>E30*(1-'BUNDLE DATA'!$D$40)*'BUNDLE DATA'!$C$40</f>
        <v>0</v>
      </c>
      <c r="P30" s="17">
        <f>E30*'BUNDLE DATA'!$D$10</f>
        <v>0</v>
      </c>
      <c r="Q30" s="17">
        <f>E30*(1-'BUNDLE DATA'!$D$10)*('BUNDLE DENSITIES'!$K$22+'BUNDLE DENSITIES'!$K$23)</f>
        <v>0</v>
      </c>
      <c r="R30" s="17">
        <v>0</v>
      </c>
      <c r="S30" s="17">
        <v>0</v>
      </c>
      <c r="T30" s="17">
        <v>0</v>
      </c>
      <c r="U30" s="17">
        <v>0</v>
      </c>
      <c r="V30" s="17">
        <f t="shared" si="0"/>
        <v>0</v>
      </c>
      <c r="W30" s="17">
        <f t="shared" si="0"/>
        <v>0</v>
      </c>
      <c r="X30" s="43">
        <f t="shared" si="1"/>
        <v>0</v>
      </c>
    </row>
    <row r="31" spans="1:24" x14ac:dyDescent="0.25">
      <c r="A31" t="s">
        <v>489</v>
      </c>
      <c r="B31" t="s">
        <v>391</v>
      </c>
      <c r="C31" s="32" t="s">
        <v>492</v>
      </c>
      <c r="D31" s="32" t="s">
        <v>494</v>
      </c>
      <c r="E31" s="17">
        <f>10000*('FY VOLUME NONAUTO'!E32/'FY VOLUME NONAUTO'!$E$35)</f>
        <v>0</v>
      </c>
      <c r="F31" s="17">
        <v>0</v>
      </c>
      <c r="G31" s="17">
        <v>0</v>
      </c>
      <c r="H31" s="17">
        <v>0</v>
      </c>
      <c r="I31" s="17">
        <v>0</v>
      </c>
      <c r="J31" s="17">
        <v>0</v>
      </c>
      <c r="K31" s="17">
        <v>0</v>
      </c>
      <c r="L31" s="17">
        <v>0</v>
      </c>
      <c r="M31" s="17">
        <v>0</v>
      </c>
      <c r="N31" s="17">
        <v>0</v>
      </c>
      <c r="O31" s="17">
        <v>0</v>
      </c>
      <c r="P31" s="17">
        <v>0</v>
      </c>
      <c r="Q31" s="17">
        <v>0</v>
      </c>
      <c r="R31" s="17">
        <v>0</v>
      </c>
      <c r="S31" s="17">
        <v>0</v>
      </c>
      <c r="T31" s="17">
        <v>0</v>
      </c>
      <c r="U31" s="17">
        <v>0</v>
      </c>
      <c r="V31" s="17">
        <f t="shared" si="0"/>
        <v>0</v>
      </c>
      <c r="W31" s="17">
        <f t="shared" si="0"/>
        <v>0</v>
      </c>
      <c r="X31" s="43">
        <f>E31</f>
        <v>0</v>
      </c>
    </row>
    <row r="32" spans="1:24" x14ac:dyDescent="0.25">
      <c r="A32" t="s">
        <v>489</v>
      </c>
      <c r="B32" t="s">
        <v>391</v>
      </c>
      <c r="C32" s="32" t="s">
        <v>493</v>
      </c>
      <c r="D32" s="32" t="s">
        <v>493</v>
      </c>
      <c r="E32" s="17">
        <f>10000*('FY VOLUME NONAUTO'!E33/'FY VOLUME NONAUTO'!$E$35)</f>
        <v>0</v>
      </c>
      <c r="F32" s="17">
        <v>0</v>
      </c>
      <c r="G32" s="17">
        <v>0</v>
      </c>
      <c r="H32" s="17">
        <v>0</v>
      </c>
      <c r="I32" s="17">
        <v>0</v>
      </c>
      <c r="J32" s="17">
        <v>0</v>
      </c>
      <c r="K32" s="17">
        <v>0</v>
      </c>
      <c r="L32" s="17">
        <v>0</v>
      </c>
      <c r="M32" s="17">
        <v>0</v>
      </c>
      <c r="N32" s="17">
        <v>0</v>
      </c>
      <c r="O32" s="17">
        <v>0</v>
      </c>
      <c r="P32" s="17">
        <v>0</v>
      </c>
      <c r="Q32" s="17">
        <v>0</v>
      </c>
      <c r="R32" s="17">
        <v>0</v>
      </c>
      <c r="S32" s="17">
        <v>0</v>
      </c>
      <c r="T32" s="17">
        <v>0</v>
      </c>
      <c r="U32" s="17">
        <v>0</v>
      </c>
      <c r="V32" s="17">
        <f t="shared" si="0"/>
        <v>0</v>
      </c>
      <c r="W32" s="17">
        <f t="shared" si="0"/>
        <v>0</v>
      </c>
      <c r="X32" s="43">
        <f>E32</f>
        <v>0</v>
      </c>
    </row>
    <row r="33" spans="1:25" x14ac:dyDescent="0.25">
      <c r="A33" t="s">
        <v>489</v>
      </c>
      <c r="B33" t="s">
        <v>391</v>
      </c>
      <c r="C33" s="32" t="s">
        <v>493</v>
      </c>
      <c r="D33" s="32" t="s">
        <v>494</v>
      </c>
      <c r="E33" s="17">
        <f>10000*('FY VOLUME NONAUTO'!E34/'FY VOLUME NONAUTO'!$E$35)</f>
        <v>0</v>
      </c>
      <c r="F33" s="17">
        <v>0</v>
      </c>
      <c r="G33" s="17">
        <v>0</v>
      </c>
      <c r="H33" s="17">
        <v>0</v>
      </c>
      <c r="I33" s="17">
        <v>0</v>
      </c>
      <c r="J33" s="17">
        <v>0</v>
      </c>
      <c r="K33" s="17">
        <v>0</v>
      </c>
      <c r="L33" s="17">
        <v>0</v>
      </c>
      <c r="M33" s="17">
        <v>0</v>
      </c>
      <c r="N33" s="17">
        <v>0</v>
      </c>
      <c r="O33" s="17">
        <v>0</v>
      </c>
      <c r="P33" s="17">
        <v>0</v>
      </c>
      <c r="Q33" s="17">
        <v>0</v>
      </c>
      <c r="R33" s="17">
        <v>0</v>
      </c>
      <c r="S33" s="17">
        <v>0</v>
      </c>
      <c r="T33" s="17">
        <v>0</v>
      </c>
      <c r="U33" s="17">
        <v>0</v>
      </c>
      <c r="V33" s="17">
        <f t="shared" si="0"/>
        <v>0</v>
      </c>
      <c r="W33" s="17">
        <f t="shared" si="0"/>
        <v>0</v>
      </c>
      <c r="X33" s="43">
        <f>E33</f>
        <v>0</v>
      </c>
    </row>
    <row r="34" spans="1:25" x14ac:dyDescent="0.25">
      <c r="A34" s="1" t="s">
        <v>8</v>
      </c>
      <c r="B34" s="1"/>
      <c r="C34" s="33"/>
      <c r="D34" s="33"/>
      <c r="E34" s="43">
        <f t="shared" ref="E34:X34" si="2">SUM(E6:E33)</f>
        <v>10000.000000000005</v>
      </c>
      <c r="F34" s="43">
        <f t="shared" si="2"/>
        <v>0</v>
      </c>
      <c r="G34" s="43">
        <f t="shared" si="2"/>
        <v>587.44365844947583</v>
      </c>
      <c r="H34" s="43">
        <f t="shared" si="2"/>
        <v>3.5972078478007443</v>
      </c>
      <c r="I34" s="43">
        <f t="shared" si="2"/>
        <v>254.23789783583578</v>
      </c>
      <c r="J34" s="43">
        <f t="shared" si="2"/>
        <v>449.05536598348993</v>
      </c>
      <c r="K34" s="43">
        <f t="shared" si="2"/>
        <v>0</v>
      </c>
      <c r="L34" s="43">
        <f t="shared" si="2"/>
        <v>12.780479062585997</v>
      </c>
      <c r="M34" s="43">
        <f t="shared" si="2"/>
        <v>414.94182189389846</v>
      </c>
      <c r="N34" s="43">
        <f t="shared" si="2"/>
        <v>663.67590365772082</v>
      </c>
      <c r="O34" s="43">
        <f t="shared" si="2"/>
        <v>21.081080064896113</v>
      </c>
      <c r="P34" s="43">
        <f t="shared" si="2"/>
        <v>4.8886387329462515</v>
      </c>
      <c r="Q34" s="43">
        <f t="shared" si="2"/>
        <v>679.86834498967073</v>
      </c>
      <c r="R34" s="43">
        <f t="shared" si="2"/>
        <v>0</v>
      </c>
      <c r="S34" s="43">
        <f t="shared" si="2"/>
        <v>0</v>
      </c>
      <c r="T34" s="43">
        <f t="shared" si="2"/>
        <v>0</v>
      </c>
      <c r="U34" s="43">
        <f t="shared" si="2"/>
        <v>0</v>
      </c>
      <c r="V34" s="43">
        <f t="shared" si="2"/>
        <v>21.266325643332991</v>
      </c>
      <c r="W34" s="43">
        <f t="shared" si="2"/>
        <v>1349.0480647194049</v>
      </c>
      <c r="X34" s="43">
        <f t="shared" si="2"/>
        <v>10000.000000000005</v>
      </c>
    </row>
    <row r="36" spans="1:25" x14ac:dyDescent="0.25">
      <c r="F36" s="43" t="s">
        <v>476</v>
      </c>
      <c r="G36" s="43" t="s">
        <v>476</v>
      </c>
      <c r="J36" s="43" t="s">
        <v>477</v>
      </c>
      <c r="K36" s="43" t="s">
        <v>477</v>
      </c>
      <c r="N36" s="43" t="s">
        <v>477</v>
      </c>
      <c r="O36" s="43" t="s">
        <v>477</v>
      </c>
      <c r="R36" s="43" t="s">
        <v>477</v>
      </c>
      <c r="S36" s="43" t="s">
        <v>477</v>
      </c>
      <c r="X36" s="43" t="s">
        <v>8</v>
      </c>
    </row>
    <row r="37" spans="1:25" x14ac:dyDescent="0.25">
      <c r="F37" s="43" t="s">
        <v>478</v>
      </c>
      <c r="G37" s="43" t="s">
        <v>478</v>
      </c>
      <c r="J37" s="43" t="s">
        <v>389</v>
      </c>
      <c r="K37" s="43" t="s">
        <v>389</v>
      </c>
      <c r="N37" s="43" t="s">
        <v>478</v>
      </c>
      <c r="O37" s="43" t="s">
        <v>478</v>
      </c>
      <c r="R37" s="43" t="s">
        <v>479</v>
      </c>
      <c r="S37" s="43" t="s">
        <v>479</v>
      </c>
      <c r="V37" s="43" t="s">
        <v>8</v>
      </c>
      <c r="W37" s="43" t="s">
        <v>8</v>
      </c>
      <c r="X37" s="43" t="s">
        <v>501</v>
      </c>
    </row>
    <row r="38" spans="1:25" x14ac:dyDescent="0.25">
      <c r="A38" s="35" t="s">
        <v>480</v>
      </c>
      <c r="B38" s="35" t="s">
        <v>481</v>
      </c>
      <c r="C38" s="54" t="s">
        <v>482</v>
      </c>
      <c r="D38" s="54" t="s">
        <v>483</v>
      </c>
      <c r="E38" s="191" t="s">
        <v>501</v>
      </c>
      <c r="F38" s="191" t="s">
        <v>484</v>
      </c>
      <c r="G38" s="191" t="s">
        <v>485</v>
      </c>
      <c r="H38" s="191" t="s">
        <v>486</v>
      </c>
      <c r="I38" s="191" t="s">
        <v>487</v>
      </c>
      <c r="J38" s="191" t="s">
        <v>484</v>
      </c>
      <c r="K38" s="191" t="s">
        <v>485</v>
      </c>
      <c r="L38" s="191" t="s">
        <v>486</v>
      </c>
      <c r="M38" s="191" t="s">
        <v>487</v>
      </c>
      <c r="N38" s="191" t="s">
        <v>484</v>
      </c>
      <c r="O38" s="191" t="s">
        <v>485</v>
      </c>
      <c r="P38" s="191" t="s">
        <v>486</v>
      </c>
      <c r="Q38" s="191" t="s">
        <v>487</v>
      </c>
      <c r="R38" s="191" t="s">
        <v>484</v>
      </c>
      <c r="S38" s="191" t="s">
        <v>485</v>
      </c>
      <c r="T38" s="191" t="s">
        <v>486</v>
      </c>
      <c r="U38" s="191" t="s">
        <v>487</v>
      </c>
      <c r="V38" s="191" t="s">
        <v>486</v>
      </c>
      <c r="W38" s="191" t="s">
        <v>487</v>
      </c>
      <c r="X38" s="191" t="s">
        <v>488</v>
      </c>
    </row>
    <row r="39" spans="1:25" x14ac:dyDescent="0.25">
      <c r="A39" t="s">
        <v>496</v>
      </c>
      <c r="B39" t="s">
        <v>96</v>
      </c>
      <c r="C39" s="32" t="s">
        <v>490</v>
      </c>
      <c r="D39" s="32" t="s">
        <v>490</v>
      </c>
      <c r="E39" s="17">
        <f>10000*('FY VOLUME AUTO'!E8/'FY VOLUME AUTO'!$E$12)</f>
        <v>1612.1179021701853</v>
      </c>
      <c r="F39" s="17">
        <f>E39*'BUNDLE DATA'!$D$20*'BUNDLE DATA'!$C$20</f>
        <v>0</v>
      </c>
      <c r="G39" s="17">
        <f>E39*(1-'BUNDLE DATA'!$D$20)*'BUNDLE DATA'!$C$20</f>
        <v>1612.1179021701853</v>
      </c>
      <c r="H39" s="17">
        <f>E39*'BUNDLE DATA'!$D$8</f>
        <v>9.8717946578453493</v>
      </c>
      <c r="I39" s="17">
        <f>E39*(1-'BUNDLE DATA'!$D$8)*'BUNDLE DENSITIES'!$E$7</f>
        <v>1602.2461075123399</v>
      </c>
      <c r="J39" s="17">
        <v>0</v>
      </c>
      <c r="K39" s="17">
        <v>0</v>
      </c>
      <c r="L39" s="17">
        <v>0</v>
      </c>
      <c r="M39" s="17">
        <v>0</v>
      </c>
      <c r="N39" s="17">
        <v>0</v>
      </c>
      <c r="O39" s="17">
        <v>0</v>
      </c>
      <c r="P39" s="17">
        <v>0</v>
      </c>
      <c r="Q39" s="17">
        <v>0</v>
      </c>
      <c r="R39" s="17">
        <v>0</v>
      </c>
      <c r="S39" s="17">
        <v>0</v>
      </c>
      <c r="T39" s="17">
        <v>0</v>
      </c>
      <c r="U39" s="17">
        <v>0</v>
      </c>
      <c r="V39" s="17">
        <f t="shared" ref="V39:W42" si="3">H39+L39+P39+T39</f>
        <v>9.8717946578453493</v>
      </c>
      <c r="W39" s="17">
        <f t="shared" si="3"/>
        <v>1602.2461075123399</v>
      </c>
      <c r="X39" s="43">
        <f>V39+W39</f>
        <v>1612.1179021701853</v>
      </c>
    </row>
    <row r="40" spans="1:25" x14ac:dyDescent="0.25">
      <c r="A40" t="s">
        <v>496</v>
      </c>
      <c r="B40" t="s">
        <v>96</v>
      </c>
      <c r="C40" s="32" t="s">
        <v>490</v>
      </c>
      <c r="D40" s="32" t="s">
        <v>494</v>
      </c>
      <c r="E40" s="17">
        <f>10000*('FY VOLUME AUTO'!E9/'FY VOLUME AUTO'!$E$12)</f>
        <v>8387.8820978298154</v>
      </c>
      <c r="F40" s="17">
        <v>0</v>
      </c>
      <c r="G40" s="17">
        <v>0</v>
      </c>
      <c r="H40" s="17">
        <v>0</v>
      </c>
      <c r="I40" s="17">
        <v>0</v>
      </c>
      <c r="J40" s="17">
        <v>0</v>
      </c>
      <c r="K40" s="17">
        <v>0</v>
      </c>
      <c r="L40" s="17">
        <v>0</v>
      </c>
      <c r="M40" s="17">
        <v>0</v>
      </c>
      <c r="N40" s="17">
        <v>0</v>
      </c>
      <c r="O40" s="17">
        <v>0</v>
      </c>
      <c r="P40" s="17">
        <v>0</v>
      </c>
      <c r="Q40" s="17">
        <v>0</v>
      </c>
      <c r="R40" s="17">
        <v>0</v>
      </c>
      <c r="S40" s="17">
        <v>0</v>
      </c>
      <c r="T40" s="17">
        <v>0</v>
      </c>
      <c r="U40" s="17">
        <v>0</v>
      </c>
      <c r="V40" s="17">
        <f t="shared" si="3"/>
        <v>0</v>
      </c>
      <c r="W40" s="17">
        <f t="shared" si="3"/>
        <v>0</v>
      </c>
      <c r="X40" s="43">
        <f>E40</f>
        <v>8387.8820978298154</v>
      </c>
    </row>
    <row r="41" spans="1:25" x14ac:dyDescent="0.25">
      <c r="A41" t="s">
        <v>496</v>
      </c>
      <c r="B41" t="s">
        <v>391</v>
      </c>
      <c r="C41" s="32" t="s">
        <v>490</v>
      </c>
      <c r="D41" s="32" t="s">
        <v>490</v>
      </c>
      <c r="E41" s="17">
        <f>10000*('FY VOLUME AUTO'!E10/'FY VOLUME AUTO'!$E$12)</f>
        <v>0</v>
      </c>
      <c r="F41" s="17">
        <f>E41*'BUNDLE DATA'!$D$20*'BUNDLE DATA'!$C$20</f>
        <v>0</v>
      </c>
      <c r="G41" s="17">
        <f>E41*(1-'BUNDLE DATA'!$D$20)*'BUNDLE DATA'!$C$20</f>
        <v>0</v>
      </c>
      <c r="H41" s="17">
        <f>E41*'BUNDLE DATA'!$D$10</f>
        <v>0</v>
      </c>
      <c r="I41" s="17">
        <f>E41*(1-'BUNDLE DATA'!$D$10)*'BUNDLE DENSITIES'!$E$7</f>
        <v>0</v>
      </c>
      <c r="J41" s="17">
        <v>0</v>
      </c>
      <c r="K41" s="17">
        <v>0</v>
      </c>
      <c r="L41" s="17">
        <v>0</v>
      </c>
      <c r="M41" s="17">
        <v>0</v>
      </c>
      <c r="N41" s="17">
        <v>0</v>
      </c>
      <c r="O41" s="17">
        <v>0</v>
      </c>
      <c r="P41" s="17">
        <v>0</v>
      </c>
      <c r="Q41" s="17">
        <v>0</v>
      </c>
      <c r="R41" s="17">
        <v>0</v>
      </c>
      <c r="S41" s="17">
        <v>0</v>
      </c>
      <c r="T41" s="17">
        <v>0</v>
      </c>
      <c r="U41" s="17">
        <v>0</v>
      </c>
      <c r="V41" s="17">
        <f t="shared" si="3"/>
        <v>0</v>
      </c>
      <c r="W41" s="17">
        <f t="shared" si="3"/>
        <v>0</v>
      </c>
      <c r="X41" s="43">
        <f>V41+W41</f>
        <v>0</v>
      </c>
    </row>
    <row r="42" spans="1:25" x14ac:dyDescent="0.25">
      <c r="A42" t="s">
        <v>496</v>
      </c>
      <c r="B42" t="s">
        <v>391</v>
      </c>
      <c r="C42" s="32" t="s">
        <v>490</v>
      </c>
      <c r="D42" s="32" t="s">
        <v>494</v>
      </c>
      <c r="E42" s="17">
        <f>10000*('FY VOLUME AUTO'!E11/'FY VOLUME AUTO'!$E$12)</f>
        <v>0</v>
      </c>
      <c r="F42" s="17">
        <v>0</v>
      </c>
      <c r="G42" s="17">
        <v>0</v>
      </c>
      <c r="H42" s="17">
        <v>0</v>
      </c>
      <c r="I42" s="17">
        <v>0</v>
      </c>
      <c r="J42" s="17">
        <v>0</v>
      </c>
      <c r="K42" s="17">
        <v>0</v>
      </c>
      <c r="L42" s="17">
        <v>0</v>
      </c>
      <c r="M42" s="17">
        <v>0</v>
      </c>
      <c r="N42" s="17">
        <v>0</v>
      </c>
      <c r="O42" s="17">
        <v>0</v>
      </c>
      <c r="P42" s="17">
        <v>0</v>
      </c>
      <c r="Q42" s="17">
        <v>0</v>
      </c>
      <c r="R42" s="17">
        <v>0</v>
      </c>
      <c r="S42" s="17">
        <v>0</v>
      </c>
      <c r="T42" s="17">
        <v>0</v>
      </c>
      <c r="U42" s="17">
        <v>0</v>
      </c>
      <c r="V42" s="17">
        <f t="shared" si="3"/>
        <v>0</v>
      </c>
      <c r="W42" s="17">
        <f t="shared" si="3"/>
        <v>0</v>
      </c>
      <c r="X42" s="43">
        <f>E42</f>
        <v>0</v>
      </c>
    </row>
    <row r="43" spans="1:25" s="1" customFormat="1" x14ac:dyDescent="0.25">
      <c r="A43" s="1" t="s">
        <v>8</v>
      </c>
      <c r="E43" s="43">
        <f t="shared" ref="E43:X43" si="4">SUM(E39:E42)</f>
        <v>10000</v>
      </c>
      <c r="F43" s="43">
        <f t="shared" si="4"/>
        <v>0</v>
      </c>
      <c r="G43" s="43">
        <f t="shared" si="4"/>
        <v>1612.1179021701853</v>
      </c>
      <c r="H43" s="43">
        <f t="shared" si="4"/>
        <v>9.8717946578453493</v>
      </c>
      <c r="I43" s="43">
        <f t="shared" si="4"/>
        <v>1602.2461075123399</v>
      </c>
      <c r="J43" s="43">
        <f t="shared" si="4"/>
        <v>0</v>
      </c>
      <c r="K43" s="43">
        <f t="shared" si="4"/>
        <v>0</v>
      </c>
      <c r="L43" s="43">
        <f t="shared" si="4"/>
        <v>0</v>
      </c>
      <c r="M43" s="43">
        <f t="shared" si="4"/>
        <v>0</v>
      </c>
      <c r="N43" s="43">
        <f t="shared" si="4"/>
        <v>0</v>
      </c>
      <c r="O43" s="43">
        <f t="shared" si="4"/>
        <v>0</v>
      </c>
      <c r="P43" s="43">
        <f t="shared" si="4"/>
        <v>0</v>
      </c>
      <c r="Q43" s="43">
        <f t="shared" si="4"/>
        <v>0</v>
      </c>
      <c r="R43" s="43">
        <f t="shared" si="4"/>
        <v>0</v>
      </c>
      <c r="S43" s="43">
        <f t="shared" si="4"/>
        <v>0</v>
      </c>
      <c r="T43" s="43">
        <f t="shared" si="4"/>
        <v>0</v>
      </c>
      <c r="U43" s="43">
        <f t="shared" si="4"/>
        <v>0</v>
      </c>
      <c r="V43" s="43">
        <f t="shared" si="4"/>
        <v>9.8717946578453493</v>
      </c>
      <c r="W43" s="43">
        <f t="shared" si="4"/>
        <v>1602.2461075123399</v>
      </c>
      <c r="X43" s="43">
        <f t="shared" si="4"/>
        <v>10000</v>
      </c>
      <c r="Y43"/>
    </row>
    <row r="45" spans="1:25" x14ac:dyDescent="0.25">
      <c r="F45" s="43" t="s">
        <v>476</v>
      </c>
      <c r="G45" s="43" t="s">
        <v>476</v>
      </c>
      <c r="J45" s="43" t="s">
        <v>477</v>
      </c>
      <c r="K45" s="43" t="s">
        <v>477</v>
      </c>
      <c r="N45" s="43" t="s">
        <v>477</v>
      </c>
      <c r="O45" s="43" t="s">
        <v>477</v>
      </c>
      <c r="R45" s="43" t="s">
        <v>477</v>
      </c>
      <c r="S45" s="43" t="s">
        <v>477</v>
      </c>
      <c r="X45" s="43" t="s">
        <v>8</v>
      </c>
    </row>
    <row r="46" spans="1:25" x14ac:dyDescent="0.25">
      <c r="F46" s="43" t="s">
        <v>478</v>
      </c>
      <c r="G46" s="43" t="s">
        <v>478</v>
      </c>
      <c r="J46" s="43" t="s">
        <v>389</v>
      </c>
      <c r="K46" s="43" t="s">
        <v>389</v>
      </c>
      <c r="N46" s="43" t="s">
        <v>478</v>
      </c>
      <c r="O46" s="43" t="s">
        <v>478</v>
      </c>
      <c r="R46" s="43" t="s">
        <v>479</v>
      </c>
      <c r="S46" s="43" t="s">
        <v>479</v>
      </c>
      <c r="V46" s="43" t="s">
        <v>8</v>
      </c>
      <c r="W46" s="43" t="s">
        <v>8</v>
      </c>
      <c r="X46" s="43" t="s">
        <v>501</v>
      </c>
    </row>
    <row r="47" spans="1:25" x14ac:dyDescent="0.25">
      <c r="A47" s="35" t="s">
        <v>480</v>
      </c>
      <c r="B47" s="35" t="s">
        <v>481</v>
      </c>
      <c r="C47" s="54" t="s">
        <v>482</v>
      </c>
      <c r="D47" s="54" t="s">
        <v>483</v>
      </c>
      <c r="E47" s="191" t="s">
        <v>501</v>
      </c>
      <c r="F47" s="191" t="s">
        <v>484</v>
      </c>
      <c r="G47" s="191" t="s">
        <v>485</v>
      </c>
      <c r="H47" s="191" t="s">
        <v>486</v>
      </c>
      <c r="I47" s="191" t="s">
        <v>487</v>
      </c>
      <c r="J47" s="191" t="s">
        <v>484</v>
      </c>
      <c r="K47" s="191" t="s">
        <v>485</v>
      </c>
      <c r="L47" s="191" t="s">
        <v>486</v>
      </c>
      <c r="M47" s="191" t="s">
        <v>487</v>
      </c>
      <c r="N47" s="191" t="s">
        <v>484</v>
      </c>
      <c r="O47" s="191" t="s">
        <v>485</v>
      </c>
      <c r="P47" s="191" t="s">
        <v>486</v>
      </c>
      <c r="Q47" s="191" t="s">
        <v>487</v>
      </c>
      <c r="R47" s="191" t="s">
        <v>484</v>
      </c>
      <c r="S47" s="191" t="s">
        <v>485</v>
      </c>
      <c r="T47" s="191" t="s">
        <v>486</v>
      </c>
      <c r="U47" s="191" t="s">
        <v>487</v>
      </c>
      <c r="V47" s="191" t="s">
        <v>486</v>
      </c>
      <c r="W47" s="191" t="s">
        <v>487</v>
      </c>
      <c r="X47" s="191" t="s">
        <v>488</v>
      </c>
    </row>
    <row r="48" spans="1:25" x14ac:dyDescent="0.25">
      <c r="A48" t="s">
        <v>497</v>
      </c>
      <c r="B48" t="s">
        <v>96</v>
      </c>
      <c r="C48" s="32" t="s">
        <v>490</v>
      </c>
      <c r="D48" s="32" t="s">
        <v>491</v>
      </c>
      <c r="E48" s="17">
        <f>10000*('FY VOLUME AUTO'!E17/'FY VOLUME AUTO'!$E$23)</f>
        <v>3084.4853254393252</v>
      </c>
      <c r="F48" s="17">
        <f>E48*'BUNDLE DATA'!$D$22*'BUNDLE DATA'!$C$22</f>
        <v>0</v>
      </c>
      <c r="G48" s="17">
        <f>E48*(1-'BUNDLE DATA'!$D$22)*'BUNDLE DATA'!$C$22</f>
        <v>3084.4853254393252</v>
      </c>
      <c r="H48" s="17">
        <f>E48*'BUNDLE DATA'!$D$8</f>
        <v>18.887828065729074</v>
      </c>
      <c r="I48" s="17">
        <f>E48*(1-'BUNDLE DATA'!$D$8)*'BUNDLE DENSITIES'!$G$7</f>
        <v>91.931234085373873</v>
      </c>
      <c r="J48" s="17">
        <f>E48*(1-'BUNDLE DATA'!$D$8)*'BUNDLE DENSITIES'!$G$8*'BUNDLE DATA'!$D$30*'BUNDLE DATA'!$C$30</f>
        <v>2973.6662632882221</v>
      </c>
      <c r="K48" s="17">
        <f>E48*(1-'BUNDLE DATA'!$D$8)*'BUNDLE DENSITIES'!$G$8*(1-'BUNDLE DATA'!$D$30)*'BUNDLE DATA'!$C$30</f>
        <v>0</v>
      </c>
      <c r="L48" s="17">
        <f>E48*(1-'BUNDLE DATA'!$D$8)*'BUNDLE DENSITIES'!$G$8*'BUNDLE DATA'!$E$8</f>
        <v>109.09674361031067</v>
      </c>
      <c r="M48" s="17">
        <f>E48*(1-'BUNDLE DATA'!$D$8)*'BUNDLE DENSITIES'!$G$8*(1-'BUNDLE DATA'!$E$8)*'BUNDLE DENSITIES'!$G$15</f>
        <v>2864.5695196779116</v>
      </c>
      <c r="N48" s="17">
        <v>0</v>
      </c>
      <c r="O48" s="17">
        <v>0</v>
      </c>
      <c r="P48" s="17">
        <v>0</v>
      </c>
      <c r="Q48" s="17">
        <v>0</v>
      </c>
      <c r="R48" s="17">
        <v>0</v>
      </c>
      <c r="S48" s="17">
        <v>0</v>
      </c>
      <c r="T48" s="17">
        <v>0</v>
      </c>
      <c r="U48" s="17">
        <v>0</v>
      </c>
      <c r="V48" s="17">
        <f t="shared" ref="V48:W53" si="5">H48+L48+P48+T48</f>
        <v>127.98457167603974</v>
      </c>
      <c r="W48" s="17">
        <f t="shared" si="5"/>
        <v>2956.5007537632855</v>
      </c>
      <c r="X48" s="43">
        <f>V48+W48</f>
        <v>3084.4853254393252</v>
      </c>
    </row>
    <row r="49" spans="1:25" x14ac:dyDescent="0.25">
      <c r="A49" t="s">
        <v>497</v>
      </c>
      <c r="B49" t="s">
        <v>96</v>
      </c>
      <c r="C49" s="32" t="s">
        <v>491</v>
      </c>
      <c r="D49" s="32" t="s">
        <v>491</v>
      </c>
      <c r="E49" s="17">
        <f>10000*('FY VOLUME AUTO'!E18/'FY VOLUME AUTO'!$E$23)</f>
        <v>272.29385101598336</v>
      </c>
      <c r="F49" s="17">
        <v>0</v>
      </c>
      <c r="G49" s="17">
        <v>0</v>
      </c>
      <c r="H49" s="17">
        <v>0</v>
      </c>
      <c r="I49" s="17">
        <f>F49*(1-'BUNDLE DATA'!$D$8)*'BUNDLE DENSITIES'!$G$15</f>
        <v>0</v>
      </c>
      <c r="J49" s="17">
        <f>E49*'BUNDLE DATA'!$D$30*'BUNDLE DATA'!$C$30</f>
        <v>272.29385101598336</v>
      </c>
      <c r="K49" s="17">
        <f>E49*(1-'BUNDLE DATA'!$D$30)*'BUNDLE DATA'!$C$30</f>
        <v>0</v>
      </c>
      <c r="L49" s="17">
        <f>E49*'BUNDLE DATA'!$D$8</f>
        <v>1.6673898231668896</v>
      </c>
      <c r="M49" s="17">
        <f>E49*(1-'BUNDLE DATA'!$D$8)*'BUNDLE DENSITIES'!$G$15</f>
        <v>270.62646119281646</v>
      </c>
      <c r="N49" s="17">
        <v>0</v>
      </c>
      <c r="O49" s="17">
        <v>0</v>
      </c>
      <c r="P49" s="17">
        <v>0</v>
      </c>
      <c r="Q49" s="17">
        <v>0</v>
      </c>
      <c r="R49" s="17">
        <v>0</v>
      </c>
      <c r="S49" s="17">
        <v>0</v>
      </c>
      <c r="T49" s="17">
        <v>0</v>
      </c>
      <c r="U49" s="17">
        <v>0</v>
      </c>
      <c r="V49" s="17">
        <f t="shared" si="5"/>
        <v>1.6673898231668896</v>
      </c>
      <c r="W49" s="17">
        <f t="shared" si="5"/>
        <v>270.62646119281646</v>
      </c>
      <c r="X49" s="43">
        <f>V49+W49</f>
        <v>272.29385101598336</v>
      </c>
    </row>
    <row r="50" spans="1:25" x14ac:dyDescent="0.25">
      <c r="A50" t="s">
        <v>497</v>
      </c>
      <c r="B50" t="s">
        <v>96</v>
      </c>
      <c r="C50" t="s">
        <v>491</v>
      </c>
      <c r="D50" t="s">
        <v>494</v>
      </c>
      <c r="E50" s="17">
        <f>10000*('FY VOLUME AUTO'!E19/'FY VOLUME AUTO'!$E$23)</f>
        <v>6643.2208235446924</v>
      </c>
      <c r="F50" s="17">
        <v>0</v>
      </c>
      <c r="G50" s="17">
        <v>0</v>
      </c>
      <c r="H50" s="17">
        <v>0</v>
      </c>
      <c r="I50" s="17">
        <v>0</v>
      </c>
      <c r="J50" s="17">
        <v>0</v>
      </c>
      <c r="K50" s="17">
        <v>0</v>
      </c>
      <c r="L50" s="17">
        <v>0</v>
      </c>
      <c r="M50" s="17">
        <v>0</v>
      </c>
      <c r="N50" s="17">
        <v>0</v>
      </c>
      <c r="O50" s="17">
        <v>0</v>
      </c>
      <c r="P50" s="17">
        <v>0</v>
      </c>
      <c r="Q50" s="17">
        <v>0</v>
      </c>
      <c r="R50" s="17">
        <v>0</v>
      </c>
      <c r="S50" s="17">
        <v>0</v>
      </c>
      <c r="T50" s="17">
        <v>0</v>
      </c>
      <c r="U50" s="17">
        <v>0</v>
      </c>
      <c r="V50" s="17">
        <f t="shared" si="5"/>
        <v>0</v>
      </c>
      <c r="W50" s="17">
        <f t="shared" si="5"/>
        <v>0</v>
      </c>
      <c r="X50" s="43">
        <f>E50</f>
        <v>6643.2208235446924</v>
      </c>
    </row>
    <row r="51" spans="1:25" x14ac:dyDescent="0.25">
      <c r="A51" t="s">
        <v>497</v>
      </c>
      <c r="B51" t="s">
        <v>391</v>
      </c>
      <c r="C51" s="32" t="s">
        <v>490</v>
      </c>
      <c r="D51" s="32" t="s">
        <v>491</v>
      </c>
      <c r="E51" s="17">
        <f>10000*('FY VOLUME AUTO'!E20/'FY VOLUME AUTO'!$E$23)</f>
        <v>0</v>
      </c>
      <c r="F51" s="17">
        <f>E51*'BUNDLE DATA'!$D$22*'BUNDLE DATA'!$C$22</f>
        <v>0</v>
      </c>
      <c r="G51" s="17">
        <f>E51*(1-'BUNDLE DATA'!$D$22)*'BUNDLE DATA'!$C$22</f>
        <v>0</v>
      </c>
      <c r="H51" s="17">
        <f>E51*'BUNDLE DATA'!$D$10</f>
        <v>0</v>
      </c>
      <c r="I51" s="17">
        <f>E51*(1-'BUNDLE DATA'!$D$10)*'BUNDLE DENSITIES'!$G$7</f>
        <v>0</v>
      </c>
      <c r="J51" s="17">
        <f>E51*(1-'BUNDLE DATA'!$D$10)*'BUNDLE DENSITIES'!$G$8*'BUNDLE DATA'!$D$30*'BUNDLE DATA'!$C$30</f>
        <v>0</v>
      </c>
      <c r="K51" s="17">
        <f>E51*(1-'BUNDLE DATA'!$D$10)*'BUNDLE DENSITIES'!$G$8*(1-'BUNDLE DATA'!$D$30)*'BUNDLE DATA'!$C$30</f>
        <v>0</v>
      </c>
      <c r="L51" s="17">
        <f>E51*(1-'BUNDLE DATA'!$D$10)*'BUNDLE DENSITIES'!$G$8*'BUNDLE DATA'!$E$8</f>
        <v>0</v>
      </c>
      <c r="M51" s="17">
        <f>E51*(1-'BUNDLE DATA'!$D$10)*'BUNDLE DENSITIES'!$G$8*(1-'BUNDLE DATA'!$E$10)*'BUNDLE DENSITIES'!$G$15</f>
        <v>0</v>
      </c>
      <c r="N51" s="17">
        <v>0</v>
      </c>
      <c r="O51" s="17">
        <v>0</v>
      </c>
      <c r="P51" s="17">
        <v>0</v>
      </c>
      <c r="Q51" s="17">
        <v>0</v>
      </c>
      <c r="R51" s="17">
        <v>0</v>
      </c>
      <c r="S51" s="17">
        <v>0</v>
      </c>
      <c r="T51" s="17">
        <v>0</v>
      </c>
      <c r="U51" s="17">
        <v>0</v>
      </c>
      <c r="V51" s="17">
        <f t="shared" si="5"/>
        <v>0</v>
      </c>
      <c r="W51" s="17">
        <f t="shared" si="5"/>
        <v>0</v>
      </c>
      <c r="X51" s="43">
        <f>V51+W51</f>
        <v>0</v>
      </c>
    </row>
    <row r="52" spans="1:25" x14ac:dyDescent="0.25">
      <c r="A52" t="s">
        <v>497</v>
      </c>
      <c r="B52" t="s">
        <v>391</v>
      </c>
      <c r="C52" t="s">
        <v>491</v>
      </c>
      <c r="D52" s="32" t="s">
        <v>491</v>
      </c>
      <c r="E52" s="17">
        <f>10000*('FY VOLUME AUTO'!E21/'FY VOLUME AUTO'!$E$23)</f>
        <v>0</v>
      </c>
      <c r="F52" s="17">
        <v>0</v>
      </c>
      <c r="G52" s="17">
        <v>0</v>
      </c>
      <c r="H52" s="17">
        <v>0</v>
      </c>
      <c r="I52" s="17">
        <v>0</v>
      </c>
      <c r="J52" s="17">
        <f>E52*'BUNDLE DATA'!$D$30*'BUNDLE DATA'!$C$30</f>
        <v>0</v>
      </c>
      <c r="K52" s="17">
        <f>E52*(1-'BUNDLE DATA'!$D$30)*'BUNDLE DATA'!$C$30</f>
        <v>0</v>
      </c>
      <c r="L52" s="17">
        <f>E52*'BUNDLE DATA'!$D$10</f>
        <v>0</v>
      </c>
      <c r="M52" s="17">
        <f>E52*(1-'BUNDLE DATA'!$D$10)*'BUNDLE DENSITIES'!$G$15</f>
        <v>0</v>
      </c>
      <c r="N52" s="17">
        <v>0</v>
      </c>
      <c r="O52" s="17">
        <v>0</v>
      </c>
      <c r="P52" s="17">
        <v>0</v>
      </c>
      <c r="Q52" s="17">
        <v>0</v>
      </c>
      <c r="R52" s="17">
        <v>0</v>
      </c>
      <c r="S52" s="17">
        <v>0</v>
      </c>
      <c r="T52" s="17">
        <v>0</v>
      </c>
      <c r="U52" s="17">
        <v>0</v>
      </c>
      <c r="V52" s="17">
        <f t="shared" si="5"/>
        <v>0</v>
      </c>
      <c r="W52" s="17">
        <f t="shared" si="5"/>
        <v>0</v>
      </c>
      <c r="X52" s="43">
        <f>V52+W52</f>
        <v>0</v>
      </c>
    </row>
    <row r="53" spans="1:25" x14ac:dyDescent="0.25">
      <c r="A53" t="s">
        <v>497</v>
      </c>
      <c r="B53" t="s">
        <v>391</v>
      </c>
      <c r="C53" t="s">
        <v>491</v>
      </c>
      <c r="D53" t="s">
        <v>494</v>
      </c>
      <c r="E53" s="17">
        <f>10000*('FY VOLUME AUTO'!E22/'FY VOLUME AUTO'!$E$23)</f>
        <v>0</v>
      </c>
      <c r="F53" s="17">
        <v>0</v>
      </c>
      <c r="G53" s="17">
        <v>0</v>
      </c>
      <c r="H53" s="17">
        <v>0</v>
      </c>
      <c r="I53" s="17">
        <v>0</v>
      </c>
      <c r="J53" s="17">
        <v>0</v>
      </c>
      <c r="K53" s="17">
        <v>0</v>
      </c>
      <c r="L53" s="17">
        <v>0</v>
      </c>
      <c r="M53" s="17">
        <v>0</v>
      </c>
      <c r="N53" s="17">
        <v>0</v>
      </c>
      <c r="O53" s="17">
        <v>0</v>
      </c>
      <c r="P53" s="17">
        <v>0</v>
      </c>
      <c r="Q53" s="17">
        <v>0</v>
      </c>
      <c r="R53" s="17">
        <v>0</v>
      </c>
      <c r="S53" s="17">
        <v>0</v>
      </c>
      <c r="T53" s="17">
        <v>0</v>
      </c>
      <c r="U53" s="17">
        <v>0</v>
      </c>
      <c r="V53" s="17">
        <f t="shared" si="5"/>
        <v>0</v>
      </c>
      <c r="W53" s="17">
        <f t="shared" si="5"/>
        <v>0</v>
      </c>
      <c r="X53" s="43">
        <f>E53</f>
        <v>0</v>
      </c>
    </row>
    <row r="54" spans="1:25" s="1" customFormat="1" x14ac:dyDescent="0.25">
      <c r="A54" s="1" t="s">
        <v>8</v>
      </c>
      <c r="E54" s="43">
        <f>SUM(E48:E53)</f>
        <v>10000</v>
      </c>
      <c r="F54" s="43">
        <f t="shared" ref="F54:X54" si="6">SUM(F48:F53)</f>
        <v>0</v>
      </c>
      <c r="G54" s="43">
        <f t="shared" si="6"/>
        <v>3084.4853254393252</v>
      </c>
      <c r="H54" s="43">
        <f t="shared" si="6"/>
        <v>18.887828065729074</v>
      </c>
      <c r="I54" s="43">
        <f t="shared" si="6"/>
        <v>91.931234085373873</v>
      </c>
      <c r="J54" s="43">
        <f t="shared" si="6"/>
        <v>3245.9601143042055</v>
      </c>
      <c r="K54" s="43">
        <f t="shared" si="6"/>
        <v>0</v>
      </c>
      <c r="L54" s="43">
        <f t="shared" si="6"/>
        <v>110.76413343347755</v>
      </c>
      <c r="M54" s="43">
        <f t="shared" si="6"/>
        <v>3135.1959808707279</v>
      </c>
      <c r="N54" s="43">
        <f t="shared" si="6"/>
        <v>0</v>
      </c>
      <c r="O54" s="43">
        <f t="shared" si="6"/>
        <v>0</v>
      </c>
      <c r="P54" s="43">
        <f t="shared" si="6"/>
        <v>0</v>
      </c>
      <c r="Q54" s="43">
        <f t="shared" si="6"/>
        <v>0</v>
      </c>
      <c r="R54" s="43">
        <f t="shared" si="6"/>
        <v>0</v>
      </c>
      <c r="S54" s="43">
        <f t="shared" si="6"/>
        <v>0</v>
      </c>
      <c r="T54" s="43">
        <f t="shared" si="6"/>
        <v>0</v>
      </c>
      <c r="U54" s="43">
        <f t="shared" si="6"/>
        <v>0</v>
      </c>
      <c r="V54" s="43">
        <f t="shared" si="6"/>
        <v>129.65196149920664</v>
      </c>
      <c r="W54" s="43">
        <f t="shared" si="6"/>
        <v>3227.1272149561019</v>
      </c>
      <c r="X54" s="43">
        <f t="shared" si="6"/>
        <v>10000</v>
      </c>
      <c r="Y54"/>
    </row>
    <row r="56" spans="1:25" x14ac:dyDescent="0.25">
      <c r="F56" s="43" t="s">
        <v>476</v>
      </c>
      <c r="G56" s="43" t="s">
        <v>476</v>
      </c>
      <c r="J56" s="43" t="s">
        <v>477</v>
      </c>
      <c r="K56" s="43" t="s">
        <v>477</v>
      </c>
      <c r="N56" s="43" t="s">
        <v>477</v>
      </c>
      <c r="O56" s="43" t="s">
        <v>477</v>
      </c>
      <c r="R56" s="43" t="s">
        <v>477</v>
      </c>
      <c r="S56" s="43" t="s">
        <v>477</v>
      </c>
      <c r="X56" s="43" t="s">
        <v>8</v>
      </c>
    </row>
    <row r="57" spans="1:25" x14ac:dyDescent="0.25">
      <c r="F57" s="43" t="s">
        <v>478</v>
      </c>
      <c r="G57" s="43" t="s">
        <v>478</v>
      </c>
      <c r="J57" s="43" t="s">
        <v>389</v>
      </c>
      <c r="K57" s="43" t="s">
        <v>389</v>
      </c>
      <c r="N57" s="43" t="s">
        <v>478</v>
      </c>
      <c r="O57" s="43" t="s">
        <v>478</v>
      </c>
      <c r="R57" s="43" t="s">
        <v>479</v>
      </c>
      <c r="S57" s="43" t="s">
        <v>479</v>
      </c>
      <c r="V57" s="43" t="s">
        <v>8</v>
      </c>
      <c r="W57" s="43" t="s">
        <v>8</v>
      </c>
      <c r="X57" s="43" t="s">
        <v>501</v>
      </c>
    </row>
    <row r="58" spans="1:25" x14ac:dyDescent="0.25">
      <c r="A58" s="35" t="s">
        <v>480</v>
      </c>
      <c r="B58" s="35" t="s">
        <v>481</v>
      </c>
      <c r="C58" s="54" t="s">
        <v>482</v>
      </c>
      <c r="D58" s="54" t="s">
        <v>483</v>
      </c>
      <c r="E58" s="191" t="s">
        <v>501</v>
      </c>
      <c r="F58" s="191" t="s">
        <v>484</v>
      </c>
      <c r="G58" s="191" t="s">
        <v>485</v>
      </c>
      <c r="H58" s="191" t="s">
        <v>486</v>
      </c>
      <c r="I58" s="191" t="s">
        <v>487</v>
      </c>
      <c r="J58" s="191" t="s">
        <v>484</v>
      </c>
      <c r="K58" s="191" t="s">
        <v>485</v>
      </c>
      <c r="L58" s="191" t="s">
        <v>486</v>
      </c>
      <c r="M58" s="191" t="s">
        <v>487</v>
      </c>
      <c r="N58" s="191" t="s">
        <v>484</v>
      </c>
      <c r="O58" s="191" t="s">
        <v>485</v>
      </c>
      <c r="P58" s="191" t="s">
        <v>486</v>
      </c>
      <c r="Q58" s="191" t="s">
        <v>487</v>
      </c>
      <c r="R58" s="191" t="s">
        <v>484</v>
      </c>
      <c r="S58" s="191" t="s">
        <v>485</v>
      </c>
      <c r="T58" s="191" t="s">
        <v>486</v>
      </c>
      <c r="U58" s="191" t="s">
        <v>487</v>
      </c>
      <c r="V58" s="191" t="s">
        <v>486</v>
      </c>
      <c r="W58" s="191" t="s">
        <v>487</v>
      </c>
      <c r="X58" s="191" t="s">
        <v>488</v>
      </c>
    </row>
    <row r="59" spans="1:25" x14ac:dyDescent="0.25">
      <c r="A59" t="s">
        <v>498</v>
      </c>
      <c r="B59" t="s">
        <v>96</v>
      </c>
      <c r="C59" s="32" t="s">
        <v>490</v>
      </c>
      <c r="D59" s="32" t="s">
        <v>492</v>
      </c>
      <c r="E59" s="17">
        <f>10000*('FY VOLUME AUTO'!E28/'FY VOLUME AUTO'!$E$36)</f>
        <v>1717.8575915855656</v>
      </c>
      <c r="F59" s="17">
        <f>E59*'BUNDLE DATA'!$D$24*'BUNDLE DATA'!$C$24</f>
        <v>0</v>
      </c>
      <c r="G59" s="17">
        <f>E59*(1-'BUNDLE DATA'!$D$24)*'BUNDLE DATA'!$C$24</f>
        <v>1717.8575915855656</v>
      </c>
      <c r="H59" s="17">
        <f>E59*'BUNDLE DATA'!$D$8</f>
        <v>10.519291034932776</v>
      </c>
      <c r="I59" s="17">
        <f>E59*(1-'BUNDLE DATA'!$D$8)*'BUNDLE DENSITIES'!$I$7</f>
        <v>34.717613965089249</v>
      </c>
      <c r="J59" s="17">
        <f>E59*(1-'BUNDLE DATA'!$D$8)*'BUNDLE DENSITIES'!$I$8*'BUNDLE DATA'!$D$32*'BUNDLE DATA'!$C$32</f>
        <v>1665.7254656159257</v>
      </c>
      <c r="K59" s="17">
        <f>E59*(1-'BUNDLE DATA'!$D$8)*'BUNDLE DENSITIES'!$I$8*(1-'BUNDLE DATA'!$D$32)*'BUNDLE DATA'!$C$32</f>
        <v>0</v>
      </c>
      <c r="L59" s="17">
        <f>E59*(1-'BUNDLE DATA'!$D$8)*'BUNDLE DENSITIES'!$I$8*'BUNDLE DATA'!$E$8</f>
        <v>61.111506119895843</v>
      </c>
      <c r="M59" s="17">
        <f>E59*(1-'BUNDLE DATA'!$D$8)*'BUNDLE DENSITIES'!$I$8*(1-'BUNDLE DATA'!$E$8)*'BUNDLE DENSITIES'!$I$15</f>
        <v>1502.6599523572595</v>
      </c>
      <c r="N59" s="17">
        <f>E59*(1-'BUNDLE DATA'!$D$8)*('BUNDLE DENSITIES'!$I$9+'BUNDLE DENSITIES'!$I$8*(1-'BUNDLE DATA'!$E$8)*'BUNDLE DENSITIES'!$I$16)*'BUNDLE DATA'!$D$38*'BUNDLE DATA'!$C$38</f>
        <v>105.49817167917089</v>
      </c>
      <c r="O59" s="17">
        <f>E59*(1-'BUNDLE DATA'!$D$8)*('BUNDLE DENSITIES'!$I$9+'BUNDLE DENSITIES'!$I$8*(1-'BUNDLE DATA'!$E$8)*'BUNDLE DENSITIES'!$I$16)*(1-'BUNDLE DATA'!$D$38)*'BUNDLE DATA'!$C$38</f>
        <v>3.3510564292172251</v>
      </c>
      <c r="P59" s="17">
        <f>E59*(1-'BUNDLE DATA'!$D$8)*('BUNDLE DENSITIES'!$I$9+'BUNDLE DENSITIES'!$I$8*(1-'BUNDLE DATA'!$E$8)*'BUNDLE DENSITIES'!$I$16)*'BUNDLE DATA'!$E$8</f>
        <v>3.9934193280956114</v>
      </c>
      <c r="Q59" s="17">
        <f>E59*(1-'BUNDLE DATA'!$D$8)*('BUNDLE DENSITIES'!$I$9+'BUNDLE DENSITIES'!$I$8*(1-'BUNDLE DATA'!$E$8)*'BUNDLE DENSITIES'!$I$16)*(1-'BUNDLE DATA'!$E$8)*'BUNDLE DENSITIES'!$I$22</f>
        <v>104.85580878029251</v>
      </c>
      <c r="R59" s="17">
        <v>0</v>
      </c>
      <c r="S59" s="17">
        <v>0</v>
      </c>
      <c r="T59" s="17">
        <v>0</v>
      </c>
      <c r="U59" s="17">
        <v>0</v>
      </c>
      <c r="V59" s="17">
        <f t="shared" ref="V59:W66" si="7">H59+L59+P59+T59</f>
        <v>75.624216482924226</v>
      </c>
      <c r="W59" s="17">
        <f t="shared" si="7"/>
        <v>1642.2333751026413</v>
      </c>
      <c r="X59" s="43">
        <f>V59+W59</f>
        <v>1717.8575915855654</v>
      </c>
    </row>
    <row r="60" spans="1:25" x14ac:dyDescent="0.25">
      <c r="A60" t="s">
        <v>498</v>
      </c>
      <c r="B60" t="s">
        <v>96</v>
      </c>
      <c r="C60" t="s">
        <v>491</v>
      </c>
      <c r="D60" t="s">
        <v>492</v>
      </c>
      <c r="E60" s="17">
        <f>10000*('FY VOLUME AUTO'!E29/'FY VOLUME AUTO'!$E$36)</f>
        <v>1058.1295852032256</v>
      </c>
      <c r="F60" s="17">
        <v>0</v>
      </c>
      <c r="G60" s="17">
        <v>0</v>
      </c>
      <c r="H60" s="17">
        <v>0</v>
      </c>
      <c r="I60" s="17">
        <v>0</v>
      </c>
      <c r="J60" s="17">
        <f>E60*'BUNDLE DATA'!$D$32*'BUNDLE DATA'!$C$32</f>
        <v>1058.1295852032256</v>
      </c>
      <c r="K60" s="17">
        <f>E60*(1-'BUNDLE DATA'!$D$32)*'BUNDLE DATA'!$C$32</f>
        <v>0</v>
      </c>
      <c r="L60" s="17">
        <f>E60*'BUNDLE DATA'!$D$8</f>
        <v>6.4794504002813378</v>
      </c>
      <c r="M60" s="17">
        <f>E60*(1-'BUNDLE DATA'!$D$8)*'BUNDLE DENSITIES'!$I$15</f>
        <v>984.83035879597037</v>
      </c>
      <c r="N60" s="17">
        <f>E60*(1-'BUNDLE DATA'!$D$8)*'BUNDLE DENSITIES'!$I$16*'BUNDLE DATA'!$D$38*'BUNDLE DATA'!$C$38</f>
        <v>64.762647592943537</v>
      </c>
      <c r="O60" s="17">
        <f>E60*(1-'BUNDLE DATA'!$D$8)*'BUNDLE DENSITIES'!$I$16*(1-'BUNDLE DATA'!$D$38)*'BUNDLE DATA'!$C$38</f>
        <v>2.0571284140302408</v>
      </c>
      <c r="P60" s="17">
        <f>E60*(1-'BUNDLE DATA'!$D$8)*'BUNDLE DENSITIES'!$I$16*'BUNDLE DATA'!$E$8</f>
        <v>2.4514586795191557</v>
      </c>
      <c r="Q60" s="17">
        <f>E60*(1-'BUNDLE DATA'!$D$8)*'BUNDLE DENSITIES'!$I$16*(1-'BUNDLE DATA'!$E$8)*'BUNDLE DENSITIES'!$I$22</f>
        <v>64.368317327454633</v>
      </c>
      <c r="R60" s="17">
        <v>0</v>
      </c>
      <c r="S60" s="17">
        <v>0</v>
      </c>
      <c r="T60" s="17">
        <v>0</v>
      </c>
      <c r="U60" s="17">
        <v>0</v>
      </c>
      <c r="V60" s="17">
        <f t="shared" si="7"/>
        <v>8.9309090798004931</v>
      </c>
      <c r="W60" s="17">
        <f t="shared" si="7"/>
        <v>1049.198676123425</v>
      </c>
      <c r="X60" s="43">
        <f>V60+W60</f>
        <v>1058.1295852032256</v>
      </c>
    </row>
    <row r="61" spans="1:25" x14ac:dyDescent="0.25">
      <c r="A61" t="s">
        <v>498</v>
      </c>
      <c r="B61" t="s">
        <v>96</v>
      </c>
      <c r="C61" t="s">
        <v>492</v>
      </c>
      <c r="D61" t="s">
        <v>492</v>
      </c>
      <c r="E61" s="17">
        <f>10000*('FY VOLUME AUTO'!E30/'FY VOLUME AUTO'!$E$36)</f>
        <v>585.98141353371648</v>
      </c>
      <c r="F61" s="17">
        <v>0</v>
      </c>
      <c r="G61" s="17">
        <v>0</v>
      </c>
      <c r="H61" s="17">
        <v>0</v>
      </c>
      <c r="I61" s="17">
        <v>0</v>
      </c>
      <c r="J61" s="17">
        <v>0</v>
      </c>
      <c r="K61" s="17">
        <v>0</v>
      </c>
      <c r="L61" s="17">
        <v>0</v>
      </c>
      <c r="M61" s="17">
        <v>0</v>
      </c>
      <c r="N61" s="17">
        <f>E61*'BUNDLE DATA'!$D$38*'BUNDLE DATA'!$C$38</f>
        <v>567.94126003562621</v>
      </c>
      <c r="O61" s="17">
        <f>E61*(1-'BUNDLE DATA'!$D$38)*'BUNDLE DATA'!$C$38</f>
        <v>18.04015349809022</v>
      </c>
      <c r="P61" s="17">
        <f>E61*'BUNDLE DATA'!$D$8</f>
        <v>3.5882537995091011</v>
      </c>
      <c r="Q61" s="17">
        <f>E61*(1-'BUNDLE DATA'!$D$8)*'BUNDLE DENSITIES'!$I$22</f>
        <v>582.39315973420742</v>
      </c>
      <c r="R61" s="17">
        <v>0</v>
      </c>
      <c r="S61" s="17">
        <v>0</v>
      </c>
      <c r="T61" s="17">
        <v>0</v>
      </c>
      <c r="U61" s="17">
        <v>0</v>
      </c>
      <c r="V61" s="17">
        <f t="shared" si="7"/>
        <v>3.5882537995091011</v>
      </c>
      <c r="W61" s="17">
        <f t="shared" si="7"/>
        <v>582.39315973420742</v>
      </c>
      <c r="X61" s="43">
        <f>V61+W61</f>
        <v>585.98141353371648</v>
      </c>
    </row>
    <row r="62" spans="1:25" x14ac:dyDescent="0.25">
      <c r="A62" t="s">
        <v>498</v>
      </c>
      <c r="B62" t="s">
        <v>96</v>
      </c>
      <c r="C62" t="s">
        <v>492</v>
      </c>
      <c r="D62" t="s">
        <v>494</v>
      </c>
      <c r="E62" s="17">
        <f>10000*('FY VOLUME AUTO'!E31/'FY VOLUME AUTO'!$E$36)</f>
        <v>6638.0314096774928</v>
      </c>
      <c r="F62" s="17">
        <v>0</v>
      </c>
      <c r="G62" s="17">
        <v>0</v>
      </c>
      <c r="H62" s="17">
        <v>0</v>
      </c>
      <c r="I62" s="17">
        <v>0</v>
      </c>
      <c r="J62" s="17">
        <v>0</v>
      </c>
      <c r="K62" s="17">
        <v>0</v>
      </c>
      <c r="L62" s="17">
        <v>0</v>
      </c>
      <c r="M62" s="17">
        <v>0</v>
      </c>
      <c r="N62" s="17">
        <v>0</v>
      </c>
      <c r="O62" s="17">
        <v>0</v>
      </c>
      <c r="P62" s="17">
        <v>0</v>
      </c>
      <c r="Q62" s="17">
        <v>0</v>
      </c>
      <c r="R62" s="17">
        <v>0</v>
      </c>
      <c r="S62" s="17">
        <v>0</v>
      </c>
      <c r="T62" s="17">
        <v>0</v>
      </c>
      <c r="U62" s="17">
        <v>0</v>
      </c>
      <c r="V62" s="17">
        <f t="shared" si="7"/>
        <v>0</v>
      </c>
      <c r="W62" s="17">
        <f t="shared" si="7"/>
        <v>0</v>
      </c>
      <c r="X62" s="43">
        <f>E62</f>
        <v>6638.0314096774928</v>
      </c>
    </row>
    <row r="63" spans="1:25" x14ac:dyDescent="0.25">
      <c r="A63" t="s">
        <v>498</v>
      </c>
      <c r="B63" t="s">
        <v>391</v>
      </c>
      <c r="C63" s="32" t="s">
        <v>490</v>
      </c>
      <c r="D63" s="32" t="s">
        <v>492</v>
      </c>
      <c r="E63" s="17">
        <f>10000*('FY VOLUME AUTO'!E32/'FY VOLUME AUTO'!$E$36)</f>
        <v>0</v>
      </c>
      <c r="F63" s="17">
        <f>E63*'BUNDLE DATA'!$D$24*'BUNDLE DATA'!$C$24</f>
        <v>0</v>
      </c>
      <c r="G63" s="17">
        <f>E63*(1-'BUNDLE DATA'!$D$24)*'BUNDLE DATA'!$C$24</f>
        <v>0</v>
      </c>
      <c r="H63" s="17">
        <f>E63*'BUNDLE DATA'!$D$10</f>
        <v>0</v>
      </c>
      <c r="I63" s="17">
        <f>E63*(1-'BUNDLE DATA'!$D$10)*'BUNDLE DENSITIES'!$I$7</f>
        <v>0</v>
      </c>
      <c r="J63" s="17">
        <f>E63*(1-'BUNDLE DATA'!$D$10)*'BUNDLE DENSITIES'!$I$8*'BUNDLE DATA'!$D$32*'BUNDLE DATA'!$C$32</f>
        <v>0</v>
      </c>
      <c r="K63" s="17">
        <f>E63*(1-'BUNDLE DATA'!$D$10)*'BUNDLE DENSITIES'!$I$8*(1-'BUNDLE DATA'!$D$32)*'BUNDLE DATA'!$C$32</f>
        <v>0</v>
      </c>
      <c r="L63" s="17">
        <f>E63*(1-'BUNDLE DATA'!$D$10)*'BUNDLE DENSITIES'!$I$8*'BUNDLE DATA'!$E$8</f>
        <v>0</v>
      </c>
      <c r="M63" s="17">
        <f>E63*(1-'BUNDLE DATA'!$D$10)*'BUNDLE DENSITIES'!$I$8*(1-'BUNDLE DATA'!$E$8)*'BUNDLE DENSITIES'!$I$15</f>
        <v>0</v>
      </c>
      <c r="N63" s="17">
        <f>E63*(1-'BUNDLE DATA'!$D$10)*('BUNDLE DENSITIES'!$I$9+'BUNDLE DENSITIES'!$I$8*(1-'BUNDLE DATA'!$E$10)*'BUNDLE DENSITIES'!$I$16)*'BUNDLE DATA'!$D$38*'BUNDLE DATA'!$C$38</f>
        <v>0</v>
      </c>
      <c r="O63" s="17">
        <f>E63*(1-'BUNDLE DATA'!$D$10)*('BUNDLE DENSITIES'!$I$9+'BUNDLE DENSITIES'!$I$8*(1-'BUNDLE DATA'!$E$10)*'BUNDLE DENSITIES'!$I$16)*(1-'BUNDLE DATA'!$D$38)*'BUNDLE DATA'!$C$38</f>
        <v>0</v>
      </c>
      <c r="P63" s="17">
        <f>E63*(1-'BUNDLE DATA'!$D$10)*('BUNDLE DENSITIES'!$I$9+'BUNDLE DENSITIES'!$I$8*(1-'BUNDLE DATA'!$E$10)*'BUNDLE DENSITIES'!$I$16)*'BUNDLE DATA'!$E$10</f>
        <v>0</v>
      </c>
      <c r="Q63" s="17">
        <f>E63*(1-'BUNDLE DATA'!$D$10)*('BUNDLE DENSITIES'!$I$9+'BUNDLE DENSITIES'!$I$8*(1-'BUNDLE DATA'!$E$10)*'BUNDLE DENSITIES'!$I$16)*(1-'BUNDLE DATA'!$E$10)*'BUNDLE DENSITIES'!$I$22</f>
        <v>0</v>
      </c>
      <c r="R63" s="17">
        <v>0</v>
      </c>
      <c r="S63" s="17">
        <v>0</v>
      </c>
      <c r="T63" s="17">
        <v>0</v>
      </c>
      <c r="U63" s="17">
        <v>0</v>
      </c>
      <c r="V63" s="17">
        <f t="shared" si="7"/>
        <v>0</v>
      </c>
      <c r="W63" s="17">
        <f t="shared" si="7"/>
        <v>0</v>
      </c>
      <c r="X63" s="43">
        <f>V63+W63</f>
        <v>0</v>
      </c>
    </row>
    <row r="64" spans="1:25" x14ac:dyDescent="0.25">
      <c r="A64" t="s">
        <v>498</v>
      </c>
      <c r="B64" t="s">
        <v>391</v>
      </c>
      <c r="C64" t="s">
        <v>491</v>
      </c>
      <c r="D64" t="s">
        <v>492</v>
      </c>
      <c r="E64" s="17">
        <f>10000*('FY VOLUME AUTO'!E33/'FY VOLUME AUTO'!$E$36)</f>
        <v>0</v>
      </c>
      <c r="F64" s="17">
        <v>0</v>
      </c>
      <c r="G64" s="17">
        <v>0</v>
      </c>
      <c r="H64" s="17">
        <v>0</v>
      </c>
      <c r="I64" s="17">
        <v>0</v>
      </c>
      <c r="J64" s="17">
        <f>E64*'BUNDLE DATA'!$D$32*'BUNDLE DATA'!$C$32</f>
        <v>0</v>
      </c>
      <c r="K64" s="17">
        <f>E64*(1-'BUNDLE DATA'!$D$32)*'BUNDLE DATA'!$C$32</f>
        <v>0</v>
      </c>
      <c r="L64" s="17">
        <f>E64*'BUNDLE DATA'!$D$10</f>
        <v>0</v>
      </c>
      <c r="M64" s="17">
        <f>E64*(1-'BUNDLE DATA'!$D$10)*'BUNDLE DENSITIES'!$I$15</f>
        <v>0</v>
      </c>
      <c r="N64" s="17">
        <f>E64*(1-'BUNDLE DATA'!$D$10)*'BUNDLE DENSITIES'!$I$16*'BUNDLE DATA'!$D$38*'BUNDLE DATA'!$C$38</f>
        <v>0</v>
      </c>
      <c r="O64" s="17">
        <f>E64*(1-'BUNDLE DATA'!$D$10)*'BUNDLE DENSITIES'!$I$16*(1-'BUNDLE DATA'!$D$38)*'BUNDLE DATA'!$C$38</f>
        <v>0</v>
      </c>
      <c r="P64" s="17">
        <f>E64*(1-'BUNDLE DATA'!$D$10)*'BUNDLE DENSITIES'!$I$16*'BUNDLE DATA'!$E$10</f>
        <v>0</v>
      </c>
      <c r="Q64" s="17">
        <f>E64*(1-'BUNDLE DATA'!$D$10)*'BUNDLE DENSITIES'!$I$16*(1-'BUNDLE DATA'!$E$10)*'BUNDLE DENSITIES'!$I$22</f>
        <v>0</v>
      </c>
      <c r="R64" s="17">
        <v>0</v>
      </c>
      <c r="S64" s="17">
        <v>0</v>
      </c>
      <c r="T64" s="17">
        <v>0</v>
      </c>
      <c r="U64" s="17">
        <v>0</v>
      </c>
      <c r="V64" s="17">
        <f t="shared" si="7"/>
        <v>0</v>
      </c>
      <c r="W64" s="17">
        <f t="shared" si="7"/>
        <v>0</v>
      </c>
      <c r="X64" s="43">
        <f>V64+W64</f>
        <v>0</v>
      </c>
    </row>
    <row r="65" spans="1:25" x14ac:dyDescent="0.25">
      <c r="A65" t="s">
        <v>498</v>
      </c>
      <c r="B65" t="s">
        <v>391</v>
      </c>
      <c r="C65" t="s">
        <v>492</v>
      </c>
      <c r="D65" t="s">
        <v>492</v>
      </c>
      <c r="E65" s="17">
        <f>10000*('FY VOLUME AUTO'!E34/'FY VOLUME AUTO'!$E$36)</f>
        <v>0</v>
      </c>
      <c r="F65" s="17">
        <v>0</v>
      </c>
      <c r="G65" s="17">
        <v>0</v>
      </c>
      <c r="H65" s="17">
        <v>0</v>
      </c>
      <c r="I65" s="17">
        <v>0</v>
      </c>
      <c r="J65" s="17">
        <v>0</v>
      </c>
      <c r="K65" s="17">
        <v>0</v>
      </c>
      <c r="L65" s="17">
        <v>0</v>
      </c>
      <c r="M65" s="17">
        <v>0</v>
      </c>
      <c r="N65" s="17">
        <f>E65*'BUNDLE DATA'!$D$38*'BUNDLE DATA'!$C$38</f>
        <v>0</v>
      </c>
      <c r="O65" s="17">
        <f>E65*(1-'BUNDLE DATA'!$D$38)*'BUNDLE DATA'!$C$38</f>
        <v>0</v>
      </c>
      <c r="P65" s="17">
        <f>E65*'BUNDLE DATA'!$D$10</f>
        <v>0</v>
      </c>
      <c r="Q65" s="17">
        <f>E65*(1-'BUNDLE DATA'!$D$10)*'BUNDLE DENSITIES'!$I$22</f>
        <v>0</v>
      </c>
      <c r="R65" s="17">
        <v>0</v>
      </c>
      <c r="S65" s="17">
        <v>0</v>
      </c>
      <c r="T65" s="17">
        <v>0</v>
      </c>
      <c r="U65" s="17">
        <v>0</v>
      </c>
      <c r="V65" s="17">
        <f t="shared" si="7"/>
        <v>0</v>
      </c>
      <c r="W65" s="17">
        <f t="shared" si="7"/>
        <v>0</v>
      </c>
      <c r="X65" s="43">
        <f>V65+W65</f>
        <v>0</v>
      </c>
    </row>
    <row r="66" spans="1:25" x14ac:dyDescent="0.25">
      <c r="A66" t="s">
        <v>498</v>
      </c>
      <c r="B66" t="s">
        <v>391</v>
      </c>
      <c r="C66" t="s">
        <v>492</v>
      </c>
      <c r="D66" t="s">
        <v>494</v>
      </c>
      <c r="E66" s="17">
        <f>10000*('FY VOLUME AUTO'!E35/'FY VOLUME AUTO'!$E$36)</f>
        <v>0</v>
      </c>
      <c r="F66" s="17">
        <v>0</v>
      </c>
      <c r="G66" s="17">
        <v>0</v>
      </c>
      <c r="H66" s="17">
        <v>0</v>
      </c>
      <c r="I66" s="17">
        <v>0</v>
      </c>
      <c r="J66" s="17">
        <v>0</v>
      </c>
      <c r="K66" s="17">
        <v>0</v>
      </c>
      <c r="L66" s="17">
        <v>0</v>
      </c>
      <c r="M66" s="17">
        <v>0</v>
      </c>
      <c r="N66" s="17">
        <v>0</v>
      </c>
      <c r="O66" s="17">
        <v>0</v>
      </c>
      <c r="P66" s="17">
        <v>0</v>
      </c>
      <c r="Q66" s="17">
        <v>0</v>
      </c>
      <c r="R66" s="17">
        <v>0</v>
      </c>
      <c r="S66" s="17">
        <v>0</v>
      </c>
      <c r="T66" s="17">
        <v>0</v>
      </c>
      <c r="U66" s="17">
        <v>0</v>
      </c>
      <c r="V66" s="17">
        <f t="shared" si="7"/>
        <v>0</v>
      </c>
      <c r="W66" s="17">
        <f t="shared" si="7"/>
        <v>0</v>
      </c>
      <c r="X66" s="43">
        <f>E66</f>
        <v>0</v>
      </c>
    </row>
    <row r="67" spans="1:25" s="1" customFormat="1" x14ac:dyDescent="0.25">
      <c r="A67" s="1" t="s">
        <v>8</v>
      </c>
      <c r="E67" s="43">
        <f>SUM(E59:E66)</f>
        <v>10000</v>
      </c>
      <c r="F67" s="43">
        <f t="shared" ref="F67:X67" si="8">SUM(F59:F66)</f>
        <v>0</v>
      </c>
      <c r="G67" s="43">
        <f t="shared" si="8"/>
        <v>1717.8575915855656</v>
      </c>
      <c r="H67" s="43">
        <f t="shared" si="8"/>
        <v>10.519291034932776</v>
      </c>
      <c r="I67" s="43">
        <f t="shared" si="8"/>
        <v>34.717613965089249</v>
      </c>
      <c r="J67" s="43">
        <f t="shared" si="8"/>
        <v>2723.8550508191511</v>
      </c>
      <c r="K67" s="43">
        <f t="shared" si="8"/>
        <v>0</v>
      </c>
      <c r="L67" s="43">
        <f t="shared" si="8"/>
        <v>67.590956520177187</v>
      </c>
      <c r="M67" s="43">
        <f t="shared" si="8"/>
        <v>2487.4903111532299</v>
      </c>
      <c r="N67" s="43">
        <f t="shared" si="8"/>
        <v>738.20207930774063</v>
      </c>
      <c r="O67" s="43">
        <f t="shared" si="8"/>
        <v>23.448338341337685</v>
      </c>
      <c r="P67" s="43">
        <f t="shared" si="8"/>
        <v>10.033131807123867</v>
      </c>
      <c r="Q67" s="43">
        <f t="shared" si="8"/>
        <v>751.61728584195453</v>
      </c>
      <c r="R67" s="43">
        <f t="shared" si="8"/>
        <v>0</v>
      </c>
      <c r="S67" s="43">
        <f t="shared" si="8"/>
        <v>0</v>
      </c>
      <c r="T67" s="43">
        <f t="shared" si="8"/>
        <v>0</v>
      </c>
      <c r="U67" s="43">
        <f t="shared" si="8"/>
        <v>0</v>
      </c>
      <c r="V67" s="43">
        <f t="shared" si="8"/>
        <v>88.14337936223383</v>
      </c>
      <c r="W67" s="43">
        <f t="shared" si="8"/>
        <v>3273.825210960274</v>
      </c>
      <c r="X67" s="43">
        <f t="shared" si="8"/>
        <v>10000</v>
      </c>
      <c r="Y67"/>
    </row>
    <row r="69" spans="1:25" x14ac:dyDescent="0.25">
      <c r="F69" s="43" t="s">
        <v>476</v>
      </c>
      <c r="G69" s="43" t="s">
        <v>476</v>
      </c>
      <c r="J69" s="43" t="s">
        <v>477</v>
      </c>
      <c r="K69" s="43" t="s">
        <v>477</v>
      </c>
      <c r="N69" s="43" t="s">
        <v>477</v>
      </c>
      <c r="O69" s="43" t="s">
        <v>477</v>
      </c>
      <c r="R69" s="43" t="s">
        <v>477</v>
      </c>
      <c r="S69" s="43" t="s">
        <v>477</v>
      </c>
      <c r="X69" s="43" t="s">
        <v>8</v>
      </c>
    </row>
    <row r="70" spans="1:25" x14ac:dyDescent="0.25">
      <c r="F70" s="43" t="s">
        <v>478</v>
      </c>
      <c r="G70" s="43" t="s">
        <v>478</v>
      </c>
      <c r="J70" s="43" t="s">
        <v>389</v>
      </c>
      <c r="K70" s="43" t="s">
        <v>389</v>
      </c>
      <c r="N70" s="43" t="s">
        <v>478</v>
      </c>
      <c r="O70" s="43" t="s">
        <v>478</v>
      </c>
      <c r="R70" s="43" t="s">
        <v>479</v>
      </c>
      <c r="S70" s="43" t="s">
        <v>479</v>
      </c>
      <c r="V70" s="43" t="s">
        <v>8</v>
      </c>
      <c r="W70" s="43" t="s">
        <v>8</v>
      </c>
      <c r="X70" s="43" t="s">
        <v>501</v>
      </c>
    </row>
    <row r="71" spans="1:25" x14ac:dyDescent="0.25">
      <c r="A71" s="35" t="s">
        <v>480</v>
      </c>
      <c r="B71" s="35" t="s">
        <v>481</v>
      </c>
      <c r="C71" s="54" t="s">
        <v>482</v>
      </c>
      <c r="D71" s="54" t="s">
        <v>483</v>
      </c>
      <c r="E71" s="191" t="s">
        <v>501</v>
      </c>
      <c r="F71" s="191" t="s">
        <v>484</v>
      </c>
      <c r="G71" s="191" t="s">
        <v>485</v>
      </c>
      <c r="H71" s="191" t="s">
        <v>486</v>
      </c>
      <c r="I71" s="191" t="s">
        <v>487</v>
      </c>
      <c r="J71" s="191" t="s">
        <v>484</v>
      </c>
      <c r="K71" s="191" t="s">
        <v>485</v>
      </c>
      <c r="L71" s="191" t="s">
        <v>486</v>
      </c>
      <c r="M71" s="191" t="s">
        <v>487</v>
      </c>
      <c r="N71" s="191" t="s">
        <v>484</v>
      </c>
      <c r="O71" s="191" t="s">
        <v>485</v>
      </c>
      <c r="P71" s="191" t="s">
        <v>486</v>
      </c>
      <c r="Q71" s="191" t="s">
        <v>487</v>
      </c>
      <c r="R71" s="191" t="s">
        <v>484</v>
      </c>
      <c r="S71" s="191" t="s">
        <v>485</v>
      </c>
      <c r="T71" s="191" t="s">
        <v>486</v>
      </c>
      <c r="U71" s="191" t="s">
        <v>487</v>
      </c>
      <c r="V71" s="191" t="s">
        <v>486</v>
      </c>
      <c r="W71" s="191" t="s">
        <v>487</v>
      </c>
      <c r="X71" s="191" t="s">
        <v>488</v>
      </c>
    </row>
    <row r="72" spans="1:25" x14ac:dyDescent="0.25">
      <c r="A72" t="s">
        <v>499</v>
      </c>
      <c r="B72" t="s">
        <v>96</v>
      </c>
      <c r="C72" s="32" t="s">
        <v>490</v>
      </c>
      <c r="D72" s="32" t="s">
        <v>493</v>
      </c>
      <c r="E72" s="17">
        <f>10000*('FY VOLUME AUTO'!E41/'FY VOLUME AUTO'!$E$51)</f>
        <v>2552.255915654132</v>
      </c>
      <c r="F72" s="17">
        <f>E72*'BUNDLE DATA'!$D$26*'BUNDLE DATA'!$C$26</f>
        <v>0</v>
      </c>
      <c r="G72" s="17">
        <f>E72*(1-'BUNDLE DATA'!$D$26)*'BUNDLE DATA'!$C$26</f>
        <v>2552.255915654132</v>
      </c>
      <c r="H72" s="17">
        <f>E72*'BUNDLE DATA'!$D$8</f>
        <v>15.628724350552416</v>
      </c>
      <c r="I72" s="17">
        <f>E72*(1-'BUNDLE DATA'!$D$8)*('BUNDLE DENSITIES'!$K$7+'BUNDLE DENSITIES'!$K$10)</f>
        <v>102.18999172051561</v>
      </c>
      <c r="J72" s="17">
        <f>E72*(1-'BUNDLE DATA'!$D$8)*'BUNDLE DENSITIES'!$K$8*'BUNDLE DATA'!$D$34*'BUNDLE DATA'!$C$34</f>
        <v>2410.5369026125441</v>
      </c>
      <c r="K72" s="17">
        <f>E72*(1-'BUNDLE DATA'!$D$8)*'BUNDLE DENSITIES'!$K$8*(1-'BUNDLE DATA'!$D$34)*'BUNDLE DATA'!$C$34</f>
        <v>0</v>
      </c>
      <c r="L72" s="17">
        <f>E72*(1-'BUNDLE DATA'!$D$8)*'BUNDLE DENSITIES'!$K$8*'BUNDLE DATA'!$E$8</f>
        <v>88.436866528765421</v>
      </c>
      <c r="M72" s="17">
        <f>E72*(1-'BUNDLE DATA'!$D$8)*'BUNDLE DENSITIES'!$K$8*(1-'BUNDLE DATA'!$E$8)*('BUNDLE DENSITIES'!$K$15+'BUNDLE DENSITIES'!$K$17)</f>
        <v>2160.0693288800094</v>
      </c>
      <c r="N72" s="17">
        <f>E72*(1-'BUNDLE DATA'!$D$8)*('BUNDLE DENSITIES'!$K$9+'BUNDLE DENSITIES'!$K$8*(1-'BUNDLE DATA'!$E$8)*'BUNDLE DENSITIES'!$K$16)*'BUNDLE DATA'!$D$40*'BUNDLE DATA'!$C$40</f>
        <v>180.20689112583776</v>
      </c>
      <c r="O72" s="17">
        <f>E72*(1-'BUNDLE DATA'!$D$8)*('BUNDLE DENSITIES'!$K$9+'BUNDLE DENSITIES'!$K$8*(1-'BUNDLE DATA'!$E$8)*'BUNDLE DENSITIES'!$K$16)*(1-'BUNDLE DATA'!$D$40)*'BUNDLE DATA'!$C$40</f>
        <v>5.7241130484512013</v>
      </c>
      <c r="P72" s="17">
        <f>E72*(1-'BUNDLE DATA'!$D$8)*('BUNDLE DENSITIES'!$K$9+'BUNDLE DENSITIES'!$K$8*(1-'BUNDLE DATA'!$E$8)*'BUNDLE DENSITIES'!$K$16)*'BUNDLE DATA'!$E$8</f>
        <v>6.821366386011265</v>
      </c>
      <c r="Q72" s="17">
        <f>E72*(1-'BUNDLE DATA'!$D$8)*('BUNDLE DENSITIES'!$K$9+'BUNDLE DENSITIES'!$K$8*(1-'BUNDLE DATA'!$E$8)*'BUNDLE DENSITIES'!$K$16)*(1-'BUNDLE DATA'!$E$8)*('BUNDLE DENSITIES'!$K$22+'BUNDLE DENSITIES'!$K$23)</f>
        <v>179.10963778827767</v>
      </c>
      <c r="R72" s="17">
        <v>0</v>
      </c>
      <c r="S72" s="17">
        <v>0</v>
      </c>
      <c r="T72" s="17">
        <v>0</v>
      </c>
      <c r="U72" s="17">
        <v>0</v>
      </c>
      <c r="V72" s="17">
        <f t="shared" ref="V72:V81" si="9">H72+L72+P72+T72</f>
        <v>110.8869572653291</v>
      </c>
      <c r="W72" s="17">
        <f t="shared" ref="W72:W81" si="10">I72+M72+Q72+U72</f>
        <v>2441.3689583888026</v>
      </c>
      <c r="X72" s="43">
        <f>V72+W72</f>
        <v>2552.255915654132</v>
      </c>
    </row>
    <row r="73" spans="1:25" x14ac:dyDescent="0.25">
      <c r="A73" t="s">
        <v>499</v>
      </c>
      <c r="B73" t="s">
        <v>96</v>
      </c>
      <c r="C73" t="s">
        <v>491</v>
      </c>
      <c r="D73" t="s">
        <v>493</v>
      </c>
      <c r="E73" s="17">
        <f>10000*('FY VOLUME AUTO'!E42/'FY VOLUME AUTO'!$E$51)</f>
        <v>361.26441691863067</v>
      </c>
      <c r="F73" s="17">
        <v>0</v>
      </c>
      <c r="G73" s="17">
        <v>0</v>
      </c>
      <c r="H73" s="17">
        <v>0</v>
      </c>
      <c r="I73" s="17">
        <v>0</v>
      </c>
      <c r="J73" s="17">
        <f>E73*'BUNDLE DATA'!$D$34*'BUNDLE DATA'!$C$34</f>
        <v>361.26441691863067</v>
      </c>
      <c r="K73" s="17">
        <f>E73*(1-'BUNDLE DATA'!$D$34)*'BUNDLE DATA'!$C$34</f>
        <v>0</v>
      </c>
      <c r="L73" s="17">
        <f>E73*'BUNDLE DATA'!$D$8</f>
        <v>2.21220056932937</v>
      </c>
      <c r="M73" s="17">
        <f>E73*(1-'BUNDLE DATA'!$D$8)*('BUNDLE DENSITIES'!$K$15+'BUNDLE DENSITIES'!$K$17)</f>
        <v>333.99839281279492</v>
      </c>
      <c r="N73" s="17">
        <f>E73*(1-'BUNDLE DATA'!$D$8)*'BUNDLE DENSITIES'!$K$16*'BUNDLE DATA'!$D$40*'BUNDLE DATA'!$C$40</f>
        <v>24.282510979701826</v>
      </c>
      <c r="O73" s="17">
        <f>E73*(1-'BUNDLE DATA'!$D$8)*'BUNDLE DENSITIES'!$K$16*(1-'BUNDLE DATA'!$D$40)*'BUNDLE DATA'!$C$40</f>
        <v>0.77131255680455946</v>
      </c>
      <c r="P73" s="17">
        <f>E73*(1-'BUNDLE DATA'!$D$8)*'BUNDLE DENSITIES'!$K$16*'BUNDLE DATA'!$E$8</f>
        <v>0.91916520578129179</v>
      </c>
      <c r="Q73" s="17">
        <f>E73*(1-'BUNDLE DATA'!$D$8)*'BUNDLE DENSITIES'!$K$16*(1-'BUNDLE DATA'!$E$8)*('BUNDLE DENSITIES'!$K$22+'BUNDLE DENSITIES'!$K$23)</f>
        <v>24.134658330725095</v>
      </c>
      <c r="R73" s="17">
        <v>0</v>
      </c>
      <c r="S73" s="17">
        <v>0</v>
      </c>
      <c r="T73" s="17">
        <v>0</v>
      </c>
      <c r="U73" s="17">
        <v>0</v>
      </c>
      <c r="V73" s="17">
        <f t="shared" si="9"/>
        <v>3.1313657751106616</v>
      </c>
      <c r="W73" s="17">
        <f t="shared" si="10"/>
        <v>358.13305114351999</v>
      </c>
      <c r="X73" s="43">
        <f>V73+W73</f>
        <v>361.26441691863067</v>
      </c>
    </row>
    <row r="74" spans="1:25" x14ac:dyDescent="0.25">
      <c r="A74" t="s">
        <v>499</v>
      </c>
      <c r="B74" t="s">
        <v>96</v>
      </c>
      <c r="C74" t="s">
        <v>492</v>
      </c>
      <c r="D74" t="s">
        <v>493</v>
      </c>
      <c r="E74" s="17">
        <f>10000*('FY VOLUME AUTO'!E43/'FY VOLUME AUTO'!$E$51)</f>
        <v>2506.1421974046848</v>
      </c>
      <c r="F74" s="17">
        <v>0</v>
      </c>
      <c r="G74" s="17">
        <v>0</v>
      </c>
      <c r="H74" s="17">
        <v>0</v>
      </c>
      <c r="I74" s="17">
        <v>0</v>
      </c>
      <c r="J74" s="17">
        <v>0</v>
      </c>
      <c r="K74" s="17">
        <v>0</v>
      </c>
      <c r="L74" s="17">
        <v>0</v>
      </c>
      <c r="M74" s="17">
        <v>0</v>
      </c>
      <c r="N74" s="17">
        <f>E74*'BUNDLE DATA'!$D$40*'BUNDLE DATA'!$C$40</f>
        <v>2428.9875490062332</v>
      </c>
      <c r="O74" s="17">
        <f>E74*(1-'BUNDLE DATA'!$D$40)*'BUNDLE DATA'!$C$40</f>
        <v>77.154648398451712</v>
      </c>
      <c r="P74" s="17">
        <f>E74*'BUNDLE DATA'!$D$8</f>
        <v>15.346347263333504</v>
      </c>
      <c r="Q74" s="17">
        <f>E74*(1-'BUNDLE DATA'!$D$8)*('BUNDLE DENSITIES'!$K$22+'BUNDLE DENSITIES'!$K$23)</f>
        <v>2490.7958501413514</v>
      </c>
      <c r="R74" s="17">
        <v>0</v>
      </c>
      <c r="S74" s="17">
        <v>0</v>
      </c>
      <c r="T74" s="17">
        <v>0</v>
      </c>
      <c r="U74" s="17">
        <v>0</v>
      </c>
      <c r="V74" s="17">
        <f t="shared" si="9"/>
        <v>15.346347263333504</v>
      </c>
      <c r="W74" s="17">
        <f t="shared" si="10"/>
        <v>2490.7958501413514</v>
      </c>
      <c r="X74" s="43">
        <f>V74+W74</f>
        <v>2506.1421974046848</v>
      </c>
    </row>
    <row r="75" spans="1:25" x14ac:dyDescent="0.25">
      <c r="A75" t="s">
        <v>499</v>
      </c>
      <c r="B75" t="s">
        <v>96</v>
      </c>
      <c r="C75" t="s">
        <v>493</v>
      </c>
      <c r="D75" t="s">
        <v>493</v>
      </c>
      <c r="E75" s="17">
        <f>10000*('FY VOLUME AUTO'!E44/'FY VOLUME AUTO'!$E$51)</f>
        <v>957.6658568350291</v>
      </c>
      <c r="F75" s="17">
        <v>0</v>
      </c>
      <c r="G75" s="17">
        <v>0</v>
      </c>
      <c r="H75" s="17">
        <v>0</v>
      </c>
      <c r="I75" s="17">
        <v>0</v>
      </c>
      <c r="J75" s="17">
        <v>0</v>
      </c>
      <c r="K75" s="17">
        <v>0</v>
      </c>
      <c r="L75" s="17">
        <v>0</v>
      </c>
      <c r="M75" s="17">
        <v>0</v>
      </c>
      <c r="N75" s="17">
        <v>0</v>
      </c>
      <c r="O75" s="17">
        <v>0</v>
      </c>
      <c r="P75" s="17">
        <v>0</v>
      </c>
      <c r="Q75" s="17">
        <v>0</v>
      </c>
      <c r="R75" s="17">
        <v>0</v>
      </c>
      <c r="S75" s="17">
        <v>0</v>
      </c>
      <c r="T75" s="17">
        <v>0</v>
      </c>
      <c r="U75" s="17">
        <v>0</v>
      </c>
      <c r="V75" s="17">
        <f t="shared" si="9"/>
        <v>0</v>
      </c>
      <c r="W75" s="17">
        <f t="shared" si="10"/>
        <v>0</v>
      </c>
      <c r="X75" s="43">
        <f>E75</f>
        <v>957.6658568350291</v>
      </c>
    </row>
    <row r="76" spans="1:25" x14ac:dyDescent="0.25">
      <c r="A76" t="s">
        <v>499</v>
      </c>
      <c r="B76" t="s">
        <v>96</v>
      </c>
      <c r="C76" t="s">
        <v>493</v>
      </c>
      <c r="D76" t="s">
        <v>494</v>
      </c>
      <c r="E76" s="17">
        <f>10000*('FY VOLUME AUTO'!E45/'FY VOLUME AUTO'!$E$51)</f>
        <v>3622.6716131875232</v>
      </c>
      <c r="F76" s="17">
        <v>0</v>
      </c>
      <c r="G76" s="17">
        <v>0</v>
      </c>
      <c r="H76" s="17">
        <v>0</v>
      </c>
      <c r="I76" s="17">
        <v>0</v>
      </c>
      <c r="J76" s="17">
        <v>0</v>
      </c>
      <c r="K76" s="17">
        <v>0</v>
      </c>
      <c r="L76" s="17">
        <v>0</v>
      </c>
      <c r="M76" s="17">
        <v>0</v>
      </c>
      <c r="N76" s="17">
        <v>0</v>
      </c>
      <c r="O76" s="17">
        <v>0</v>
      </c>
      <c r="P76" s="17">
        <v>0</v>
      </c>
      <c r="Q76" s="17">
        <v>0</v>
      </c>
      <c r="R76" s="17">
        <v>0</v>
      </c>
      <c r="S76" s="17">
        <v>0</v>
      </c>
      <c r="T76" s="17">
        <v>0</v>
      </c>
      <c r="U76" s="17">
        <v>0</v>
      </c>
      <c r="V76" s="17">
        <f t="shared" si="9"/>
        <v>0</v>
      </c>
      <c r="W76" s="17">
        <f t="shared" si="10"/>
        <v>0</v>
      </c>
      <c r="X76" s="43">
        <f>E76</f>
        <v>3622.6716131875232</v>
      </c>
    </row>
    <row r="77" spans="1:25" x14ac:dyDescent="0.25">
      <c r="A77" t="s">
        <v>499</v>
      </c>
      <c r="B77" t="s">
        <v>391</v>
      </c>
      <c r="C77" s="32" t="s">
        <v>490</v>
      </c>
      <c r="D77" s="32" t="s">
        <v>493</v>
      </c>
      <c r="E77" s="17">
        <f>10000*('FY VOLUME AUTO'!E46/'FY VOLUME AUTO'!$E$51)</f>
        <v>0</v>
      </c>
      <c r="F77" s="17">
        <f>E77*'BUNDLE DATA'!$D$26*'BUNDLE DATA'!$C$26</f>
        <v>0</v>
      </c>
      <c r="G77" s="17">
        <f>E77*(1-'BUNDLE DATA'!$D$26)*'BUNDLE DATA'!$C$26</f>
        <v>0</v>
      </c>
      <c r="H77" s="17">
        <f>E77*'BUNDLE DATA'!$D$10</f>
        <v>0</v>
      </c>
      <c r="I77" s="17">
        <f>E77*(1-'BUNDLE DATA'!$D$10)*('BUNDLE DENSITIES'!$K$7+'BUNDLE DENSITIES'!$K$10)</f>
        <v>0</v>
      </c>
      <c r="J77" s="17">
        <f>E77*(1-'BUNDLE DATA'!$D$10)*'BUNDLE DENSITIES'!$K$8*'BUNDLE DATA'!$D$34*'BUNDLE DATA'!$C$34</f>
        <v>0</v>
      </c>
      <c r="K77" s="17">
        <f>E77*(1-'BUNDLE DATA'!$D$10)*'BUNDLE DENSITIES'!$K$8*(1-'BUNDLE DATA'!$D$34)*'BUNDLE DATA'!$C$34</f>
        <v>0</v>
      </c>
      <c r="L77" s="17">
        <f>E77*(1-'BUNDLE DATA'!$D$10)*'BUNDLE DENSITIES'!$K$8*'BUNDLE DATA'!$E$8</f>
        <v>0</v>
      </c>
      <c r="M77" s="17">
        <f>E77*(1-'BUNDLE DATA'!$D$10)*'BUNDLE DENSITIES'!$K$8*(1-'BUNDLE DATA'!$E$8)*('BUNDLE DENSITIES'!$K$15+'BUNDLE DENSITIES'!$K$17)</f>
        <v>0</v>
      </c>
      <c r="N77" s="17">
        <f>E77*(1-'BUNDLE DATA'!$D$10)*('BUNDLE DENSITIES'!$K$9+'BUNDLE DENSITIES'!$K$8*(1-'BUNDLE DATA'!$E$10)*'BUNDLE DENSITIES'!$K$16)*'BUNDLE DATA'!$D$40*'BUNDLE DATA'!$C$40</f>
        <v>0</v>
      </c>
      <c r="O77" s="17">
        <f>E77*(1-'BUNDLE DATA'!$D$10)*('BUNDLE DENSITIES'!$K$9+'BUNDLE DENSITIES'!$K$8*(1-'BUNDLE DATA'!$E$10)*'BUNDLE DENSITIES'!$K$16)*(1-'BUNDLE DATA'!$D$40)*'BUNDLE DATA'!$C$40</f>
        <v>0</v>
      </c>
      <c r="P77" s="17">
        <f>E77*(1-'BUNDLE DATA'!$D$10)*('BUNDLE DENSITIES'!$K$9+'BUNDLE DENSITIES'!$K$8*(1-'BUNDLE DATA'!$E$10)*'BUNDLE DENSITIES'!$K$16)*'BUNDLE DATA'!$E$10</f>
        <v>0</v>
      </c>
      <c r="Q77" s="17">
        <f>E77*(1-'BUNDLE DATA'!$D$10)*('BUNDLE DENSITIES'!$K$9+'BUNDLE DENSITIES'!$K$8*(1-'BUNDLE DATA'!$E$10)*'BUNDLE DENSITIES'!$K$16)*(1-'BUNDLE DATA'!$E$10)*('BUNDLE DENSITIES'!$K$22+'BUNDLE DENSITIES'!$K$23)</f>
        <v>0</v>
      </c>
      <c r="R77" s="17">
        <v>0</v>
      </c>
      <c r="S77" s="17">
        <v>0</v>
      </c>
      <c r="T77" s="17">
        <v>0</v>
      </c>
      <c r="U77" s="17">
        <v>0</v>
      </c>
      <c r="V77" s="17">
        <f t="shared" si="9"/>
        <v>0</v>
      </c>
      <c r="W77" s="17">
        <f t="shared" si="10"/>
        <v>0</v>
      </c>
      <c r="X77" s="43">
        <f>V77+W77</f>
        <v>0</v>
      </c>
    </row>
    <row r="78" spans="1:25" x14ac:dyDescent="0.25">
      <c r="A78" t="s">
        <v>499</v>
      </c>
      <c r="B78" t="s">
        <v>391</v>
      </c>
      <c r="C78" t="s">
        <v>491</v>
      </c>
      <c r="D78" t="s">
        <v>493</v>
      </c>
      <c r="E78" s="17">
        <f>10000*('FY VOLUME AUTO'!E47/'FY VOLUME AUTO'!$E$51)</f>
        <v>0</v>
      </c>
      <c r="F78" s="17">
        <v>0</v>
      </c>
      <c r="G78" s="17">
        <v>0</v>
      </c>
      <c r="H78" s="17">
        <v>0</v>
      </c>
      <c r="I78" s="17">
        <v>0</v>
      </c>
      <c r="J78" s="17">
        <f>E78*'BUNDLE DATA'!$D$34*'BUNDLE DATA'!$C$34</f>
        <v>0</v>
      </c>
      <c r="K78" s="17">
        <f>E78*(1-'BUNDLE DATA'!$D$34)*'BUNDLE DATA'!$C$34</f>
        <v>0</v>
      </c>
      <c r="L78" s="17">
        <f>E78*'BUNDLE DATA'!$D$10</f>
        <v>0</v>
      </c>
      <c r="M78" s="17">
        <f>E78*(1-'BUNDLE DATA'!$D$10)*('BUNDLE DENSITIES'!$K$15+'BUNDLE DENSITIES'!$K$17)</f>
        <v>0</v>
      </c>
      <c r="N78" s="17">
        <f>E78*(1-'BUNDLE DATA'!$D$10)*'BUNDLE DENSITIES'!$K$16*'BUNDLE DATA'!$D$40*'BUNDLE DATA'!$C$40</f>
        <v>0</v>
      </c>
      <c r="O78" s="17">
        <f>E78*(1-'BUNDLE DATA'!$D$10)*'BUNDLE DENSITIES'!$K$16*(1-'BUNDLE DATA'!$D$40)*'BUNDLE DATA'!$C$40</f>
        <v>0</v>
      </c>
      <c r="P78" s="17">
        <f>E78*(1-'BUNDLE DATA'!$D$10)*'BUNDLE DENSITIES'!$K$16*'BUNDLE DATA'!$E$10</f>
        <v>0</v>
      </c>
      <c r="Q78" s="17">
        <f>E78*(1-'BUNDLE DATA'!$D$10)*'BUNDLE DENSITIES'!$K$16*(1-'BUNDLE DATA'!$E$10)*('BUNDLE DENSITIES'!$K$22+'BUNDLE DENSITIES'!$K$23)</f>
        <v>0</v>
      </c>
      <c r="R78" s="17">
        <v>0</v>
      </c>
      <c r="S78" s="17">
        <v>0</v>
      </c>
      <c r="T78" s="17">
        <v>0</v>
      </c>
      <c r="U78" s="17">
        <v>0</v>
      </c>
      <c r="V78" s="17">
        <f t="shared" si="9"/>
        <v>0</v>
      </c>
      <c r="W78" s="17">
        <f t="shared" si="10"/>
        <v>0</v>
      </c>
      <c r="X78" s="43">
        <f>V78+W78</f>
        <v>0</v>
      </c>
    </row>
    <row r="79" spans="1:25" x14ac:dyDescent="0.25">
      <c r="A79" t="s">
        <v>499</v>
      </c>
      <c r="B79" t="s">
        <v>391</v>
      </c>
      <c r="C79" t="s">
        <v>492</v>
      </c>
      <c r="D79" t="s">
        <v>493</v>
      </c>
      <c r="E79" s="17">
        <f>10000*('FY VOLUME AUTO'!E48/'FY VOLUME AUTO'!$E$51)</f>
        <v>0</v>
      </c>
      <c r="F79" s="17">
        <v>0</v>
      </c>
      <c r="G79" s="17">
        <v>0</v>
      </c>
      <c r="H79" s="17">
        <v>0</v>
      </c>
      <c r="I79" s="17">
        <v>0</v>
      </c>
      <c r="J79" s="17">
        <v>0</v>
      </c>
      <c r="K79" s="17">
        <v>0</v>
      </c>
      <c r="L79" s="17">
        <v>0</v>
      </c>
      <c r="M79" s="17">
        <v>0</v>
      </c>
      <c r="N79" s="17">
        <f>E79*'BUNDLE DATA'!$D$40*'BUNDLE DATA'!$C$40</f>
        <v>0</v>
      </c>
      <c r="O79" s="17">
        <f>E79*(1-'BUNDLE DATA'!$D$40)*'BUNDLE DATA'!$C$40</f>
        <v>0</v>
      </c>
      <c r="P79" s="17">
        <f>E79*'BUNDLE DATA'!$D$10</f>
        <v>0</v>
      </c>
      <c r="Q79" s="17">
        <f>E79*(1-'BUNDLE DATA'!$D$10)*('BUNDLE DENSITIES'!$K$22+'BUNDLE DENSITIES'!$K$23)</f>
        <v>0</v>
      </c>
      <c r="R79" s="17">
        <v>0</v>
      </c>
      <c r="S79" s="17">
        <v>0</v>
      </c>
      <c r="T79" s="17">
        <v>0</v>
      </c>
      <c r="U79" s="17">
        <v>0</v>
      </c>
      <c r="V79" s="17">
        <f t="shared" si="9"/>
        <v>0</v>
      </c>
      <c r="W79" s="17">
        <f t="shared" si="10"/>
        <v>0</v>
      </c>
      <c r="X79" s="43">
        <f>V79+W79</f>
        <v>0</v>
      </c>
    </row>
    <row r="80" spans="1:25" x14ac:dyDescent="0.25">
      <c r="A80" t="s">
        <v>499</v>
      </c>
      <c r="B80" t="s">
        <v>391</v>
      </c>
      <c r="C80" t="s">
        <v>493</v>
      </c>
      <c r="D80" t="s">
        <v>493</v>
      </c>
      <c r="E80" s="17">
        <f>10000*('FY VOLUME AUTO'!E49/'FY VOLUME AUTO'!$E$51)</f>
        <v>0</v>
      </c>
      <c r="F80" s="17">
        <v>0</v>
      </c>
      <c r="G80" s="17">
        <v>0</v>
      </c>
      <c r="H80" s="17">
        <v>0</v>
      </c>
      <c r="I80" s="17">
        <v>0</v>
      </c>
      <c r="J80" s="17">
        <v>0</v>
      </c>
      <c r="K80" s="17">
        <v>0</v>
      </c>
      <c r="L80" s="17">
        <v>0</v>
      </c>
      <c r="M80" s="17">
        <v>0</v>
      </c>
      <c r="N80" s="17">
        <v>0</v>
      </c>
      <c r="O80" s="17">
        <v>0</v>
      </c>
      <c r="P80" s="17">
        <v>0</v>
      </c>
      <c r="Q80" s="17">
        <v>0</v>
      </c>
      <c r="R80" s="17">
        <v>0</v>
      </c>
      <c r="S80" s="17">
        <v>0</v>
      </c>
      <c r="T80" s="17">
        <v>0</v>
      </c>
      <c r="U80" s="17">
        <v>0</v>
      </c>
      <c r="V80" s="17">
        <f t="shared" si="9"/>
        <v>0</v>
      </c>
      <c r="W80" s="17">
        <f t="shared" si="10"/>
        <v>0</v>
      </c>
      <c r="X80" s="43">
        <f>E80</f>
        <v>0</v>
      </c>
    </row>
    <row r="81" spans="1:25" x14ac:dyDescent="0.25">
      <c r="A81" t="s">
        <v>499</v>
      </c>
      <c r="B81" t="s">
        <v>391</v>
      </c>
      <c r="C81" t="s">
        <v>493</v>
      </c>
      <c r="D81" t="s">
        <v>494</v>
      </c>
      <c r="E81" s="17">
        <f>10000*('FY VOLUME AUTO'!E50/'FY VOLUME AUTO'!$E$51)</f>
        <v>0</v>
      </c>
      <c r="F81" s="17">
        <v>0</v>
      </c>
      <c r="G81" s="17">
        <v>0</v>
      </c>
      <c r="H81" s="17">
        <v>0</v>
      </c>
      <c r="I81" s="17">
        <v>0</v>
      </c>
      <c r="J81" s="17">
        <v>0</v>
      </c>
      <c r="K81" s="17">
        <v>0</v>
      </c>
      <c r="L81" s="17">
        <v>0</v>
      </c>
      <c r="M81" s="17">
        <v>0</v>
      </c>
      <c r="N81" s="17">
        <v>0</v>
      </c>
      <c r="O81" s="17">
        <v>0</v>
      </c>
      <c r="P81" s="17">
        <v>0</v>
      </c>
      <c r="Q81" s="17">
        <v>0</v>
      </c>
      <c r="R81" s="17">
        <v>0</v>
      </c>
      <c r="S81" s="17">
        <v>0</v>
      </c>
      <c r="T81" s="17">
        <v>0</v>
      </c>
      <c r="U81" s="17">
        <v>0</v>
      </c>
      <c r="V81" s="17">
        <f t="shared" si="9"/>
        <v>0</v>
      </c>
      <c r="W81" s="17">
        <f t="shared" si="10"/>
        <v>0</v>
      </c>
      <c r="X81" s="43">
        <f>E81</f>
        <v>0</v>
      </c>
    </row>
    <row r="82" spans="1:25" s="1" customFormat="1" x14ac:dyDescent="0.25">
      <c r="A82" s="1" t="s">
        <v>8</v>
      </c>
      <c r="E82" s="43">
        <f>SUM(E72:E81)</f>
        <v>10000</v>
      </c>
      <c r="F82" s="43">
        <f t="shared" ref="F82:X82" si="11">SUM(F72:F81)</f>
        <v>0</v>
      </c>
      <c r="G82" s="43">
        <f t="shared" si="11"/>
        <v>2552.255915654132</v>
      </c>
      <c r="H82" s="43">
        <f t="shared" si="11"/>
        <v>15.628724350552416</v>
      </c>
      <c r="I82" s="43">
        <f t="shared" si="11"/>
        <v>102.18999172051561</v>
      </c>
      <c r="J82" s="43">
        <f t="shared" si="11"/>
        <v>2771.8013195311746</v>
      </c>
      <c r="K82" s="43">
        <f t="shared" si="11"/>
        <v>0</v>
      </c>
      <c r="L82" s="43">
        <f t="shared" si="11"/>
        <v>90.64906709809479</v>
      </c>
      <c r="M82" s="43">
        <f t="shared" si="11"/>
        <v>2494.0677216928043</v>
      </c>
      <c r="N82" s="43">
        <f t="shared" si="11"/>
        <v>2633.4769511117729</v>
      </c>
      <c r="O82" s="43">
        <f t="shared" si="11"/>
        <v>83.650074003707473</v>
      </c>
      <c r="P82" s="43">
        <f t="shared" si="11"/>
        <v>23.086878855126059</v>
      </c>
      <c r="Q82" s="43">
        <f t="shared" si="11"/>
        <v>2694.040146260354</v>
      </c>
      <c r="R82" s="43">
        <f t="shared" si="11"/>
        <v>0</v>
      </c>
      <c r="S82" s="43">
        <f t="shared" si="11"/>
        <v>0</v>
      </c>
      <c r="T82" s="43">
        <f t="shared" si="11"/>
        <v>0</v>
      </c>
      <c r="U82" s="43">
        <f t="shared" si="11"/>
        <v>0</v>
      </c>
      <c r="V82" s="43">
        <f t="shared" si="11"/>
        <v>129.36467030377327</v>
      </c>
      <c r="W82" s="43">
        <f t="shared" si="11"/>
        <v>5290.2978596736739</v>
      </c>
      <c r="X82" s="43">
        <f t="shared" si="11"/>
        <v>10000</v>
      </c>
      <c r="Y82"/>
    </row>
  </sheetData>
  <phoneticPr fontId="29" type="noConversion"/>
  <printOptions horizontalCentered="1"/>
  <pageMargins left="0.75" right="0.75" top="1" bottom="1" header="0.5" footer="0.5"/>
  <pageSetup scale="34" orientation="portrait" r:id="rId1"/>
  <headerFooter alignWithMargins="0">
    <oddFooter>&amp;CTab '&amp;A'&amp;RPage 27</oddFooter>
  </headerFooter>
  <ignoredErrors>
    <ignoredError sqref="X40:X41 X32 X28 X24 X10 X14 X50 X62" formula="1"/>
  </ignoredErrors>
</worksheet>
</file>

<file path=xl/worksheets/sheet3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44">
    <pageSetUpPr fitToPage="1"/>
  </sheetPr>
  <dimension ref="A1:X82"/>
  <sheetViews>
    <sheetView zoomScale="85" zoomScaleNormal="85" workbookViewId="0"/>
  </sheetViews>
  <sheetFormatPr defaultRowHeight="13.2" x14ac:dyDescent="0.25"/>
  <cols>
    <col min="1" max="1" width="25.77734375" customWidth="1"/>
    <col min="2" max="3" width="15.77734375" customWidth="1"/>
    <col min="4" max="4" width="20.77734375" customWidth="1"/>
    <col min="5" max="5" width="10.77734375" style="17" customWidth="1"/>
    <col min="6" max="23" width="9.21875" style="17" customWidth="1"/>
    <col min="24" max="24" width="12.77734375" style="43" customWidth="1"/>
  </cols>
  <sheetData>
    <row r="1" spans="1:24" ht="17.399999999999999" x14ac:dyDescent="0.3">
      <c r="A1" s="4" t="s">
        <v>475</v>
      </c>
    </row>
    <row r="2" spans="1:24" ht="12" customHeight="1" x14ac:dyDescent="0.3">
      <c r="A2" s="51"/>
    </row>
    <row r="3" spans="1:24" x14ac:dyDescent="0.25">
      <c r="F3" s="43" t="s">
        <v>476</v>
      </c>
      <c r="G3" s="43" t="s">
        <v>476</v>
      </c>
      <c r="J3" s="43" t="s">
        <v>477</v>
      </c>
      <c r="K3" s="43" t="s">
        <v>477</v>
      </c>
      <c r="N3" s="43" t="s">
        <v>477</v>
      </c>
      <c r="O3" s="43" t="s">
        <v>477</v>
      </c>
      <c r="R3" s="43" t="s">
        <v>477</v>
      </c>
      <c r="S3" s="43" t="s">
        <v>477</v>
      </c>
      <c r="X3" s="43" t="s">
        <v>8</v>
      </c>
    </row>
    <row r="4" spans="1:24" x14ac:dyDescent="0.25">
      <c r="F4" s="43" t="s">
        <v>478</v>
      </c>
      <c r="G4" s="43" t="s">
        <v>478</v>
      </c>
      <c r="J4" s="43" t="s">
        <v>389</v>
      </c>
      <c r="K4" s="43" t="s">
        <v>389</v>
      </c>
      <c r="N4" s="43" t="s">
        <v>478</v>
      </c>
      <c r="O4" s="43" t="s">
        <v>478</v>
      </c>
      <c r="R4" s="43" t="s">
        <v>479</v>
      </c>
      <c r="S4" s="43" t="s">
        <v>479</v>
      </c>
      <c r="V4" s="43" t="s">
        <v>8</v>
      </c>
      <c r="W4" s="43" t="s">
        <v>8</v>
      </c>
      <c r="X4" s="43" t="s">
        <v>182</v>
      </c>
    </row>
    <row r="5" spans="1:24" x14ac:dyDescent="0.25">
      <c r="A5" s="35" t="s">
        <v>480</v>
      </c>
      <c r="B5" s="35" t="s">
        <v>481</v>
      </c>
      <c r="C5" s="54" t="s">
        <v>482</v>
      </c>
      <c r="D5" s="54" t="s">
        <v>483</v>
      </c>
      <c r="E5" s="191" t="s">
        <v>182</v>
      </c>
      <c r="F5" s="191" t="s">
        <v>484</v>
      </c>
      <c r="G5" s="191" t="s">
        <v>485</v>
      </c>
      <c r="H5" s="191" t="s">
        <v>486</v>
      </c>
      <c r="I5" s="191" t="s">
        <v>487</v>
      </c>
      <c r="J5" s="191" t="s">
        <v>484</v>
      </c>
      <c r="K5" s="191" t="s">
        <v>485</v>
      </c>
      <c r="L5" s="191" t="s">
        <v>486</v>
      </c>
      <c r="M5" s="191" t="s">
        <v>487</v>
      </c>
      <c r="N5" s="191" t="s">
        <v>484</v>
      </c>
      <c r="O5" s="191" t="s">
        <v>485</v>
      </c>
      <c r="P5" s="191" t="s">
        <v>486</v>
      </c>
      <c r="Q5" s="191" t="s">
        <v>487</v>
      </c>
      <c r="R5" s="191" t="s">
        <v>484</v>
      </c>
      <c r="S5" s="191" t="s">
        <v>485</v>
      </c>
      <c r="T5" s="191" t="s">
        <v>486</v>
      </c>
      <c r="U5" s="191" t="s">
        <v>487</v>
      </c>
      <c r="V5" s="191" t="s">
        <v>486</v>
      </c>
      <c r="W5" s="191" t="s">
        <v>487</v>
      </c>
      <c r="X5" s="191" t="s">
        <v>488</v>
      </c>
    </row>
    <row r="6" spans="1:24" x14ac:dyDescent="0.25">
      <c r="A6" t="s">
        <v>489</v>
      </c>
      <c r="B6" t="s">
        <v>96</v>
      </c>
      <c r="C6" s="32" t="s">
        <v>490</v>
      </c>
      <c r="D6" s="32" t="s">
        <v>490</v>
      </c>
      <c r="E6" s="17">
        <f>10000*('FY VOLUME NONAUTO'!E7/'FY VOLUME NONAUTO'!$E$35)/'FY VOLUME NONAUTO'!F7</f>
        <v>9.5051644312387591</v>
      </c>
      <c r="F6" s="17">
        <f>E6*'BUNDLE DATA'!$D$20*'BUNDLE DATA'!$C$20</f>
        <v>0</v>
      </c>
      <c r="G6" s="17">
        <f>E6*(1-'BUNDLE DATA'!$D$20)*'BUNDLE DATA'!$C$20</f>
        <v>9.5051644312387591</v>
      </c>
      <c r="H6" s="17">
        <f>E6*'BUNDLE DATA'!$D$8</f>
        <v>5.8204819466323873E-2</v>
      </c>
      <c r="I6" s="17">
        <f>E6*(1-'BUNDLE DATA'!$D$8)*'BUNDLE DENSITIES'!$E$7</f>
        <v>9.446959611772435</v>
      </c>
      <c r="J6" s="17">
        <v>0</v>
      </c>
      <c r="K6" s="17">
        <v>0</v>
      </c>
      <c r="L6" s="17">
        <v>0</v>
      </c>
      <c r="M6" s="17">
        <v>0</v>
      </c>
      <c r="N6" s="17">
        <v>0</v>
      </c>
      <c r="O6" s="17">
        <v>0</v>
      </c>
      <c r="P6" s="17">
        <v>0</v>
      </c>
      <c r="Q6" s="17">
        <v>0</v>
      </c>
      <c r="R6" s="17">
        <v>0</v>
      </c>
      <c r="S6" s="17">
        <v>0</v>
      </c>
      <c r="T6" s="17">
        <v>0</v>
      </c>
      <c r="U6" s="17">
        <v>0</v>
      </c>
      <c r="V6" s="17">
        <f t="shared" ref="V6:W33" si="0">H6+L6+P6+T6</f>
        <v>5.8204819466323873E-2</v>
      </c>
      <c r="W6" s="17">
        <f t="shared" si="0"/>
        <v>9.446959611772435</v>
      </c>
      <c r="X6" s="43">
        <f>V6+W6</f>
        <v>9.5051644312387591</v>
      </c>
    </row>
    <row r="7" spans="1:24" x14ac:dyDescent="0.25">
      <c r="A7" t="s">
        <v>489</v>
      </c>
      <c r="B7" t="s">
        <v>96</v>
      </c>
      <c r="C7" s="32" t="s">
        <v>490</v>
      </c>
      <c r="D7" s="32" t="s">
        <v>491</v>
      </c>
      <c r="E7" s="17">
        <f>10000*('FY VOLUME NONAUTO'!E8/'FY VOLUME NONAUTO'!$E$35)/'FY VOLUME NONAUTO'!F8</f>
        <v>8.1086132346899493</v>
      </c>
      <c r="F7" s="17">
        <f>E7*'BUNDLE DATA'!$D$22*'BUNDLE DATA'!$C$22</f>
        <v>0</v>
      </c>
      <c r="G7" s="17">
        <f>E7*(1-'BUNDLE DATA'!$D$22)*'BUNDLE DATA'!$C$22</f>
        <v>8.1086132346899493</v>
      </c>
      <c r="H7" s="17">
        <f>E7*'BUNDLE DATA'!$D$8</f>
        <v>4.9653046284635897E-2</v>
      </c>
      <c r="I7" s="17">
        <f>E7*(1-'BUNDLE DATA'!$D$8)*'BUNDLE DENSITIES'!$G$7</f>
        <v>0.24167235137676318</v>
      </c>
      <c r="J7" s="17">
        <f>E7*(1-'BUNDLE DATA'!$D$8)*'BUNDLE DENSITIES'!$G$8*'BUNDLE DATA'!$D$30*'BUNDLE DATA'!$C$30</f>
        <v>7.8172878370285499</v>
      </c>
      <c r="K7" s="17">
        <f>E7*(1-'BUNDLE DATA'!$D$8)*'BUNDLE DENSITIES'!$G$8*(1-'BUNDLE DATA'!$D$30)*'BUNDLE DATA'!$C$30</f>
        <v>0</v>
      </c>
      <c r="L7" s="17">
        <f>E7*(1-'BUNDLE DATA'!$D$8)*'BUNDLE DENSITIES'!$G$8*'BUNDLE DATA'!$E$8</f>
        <v>0.28679770067446947</v>
      </c>
      <c r="M7" s="17">
        <f>E7*(1-'BUNDLE DATA'!$D$8)*'BUNDLE DENSITIES'!$G$8*(1-'BUNDLE DATA'!$E$8)*'BUNDLE DENSITIES'!$G$15</f>
        <v>7.5304901363540804</v>
      </c>
      <c r="N7" s="17">
        <v>0</v>
      </c>
      <c r="O7" s="17">
        <v>0</v>
      </c>
      <c r="P7" s="17">
        <v>0</v>
      </c>
      <c r="Q7" s="17">
        <v>0</v>
      </c>
      <c r="R7" s="17">
        <v>0</v>
      </c>
      <c r="S7" s="17">
        <v>0</v>
      </c>
      <c r="T7" s="17">
        <v>0</v>
      </c>
      <c r="U7" s="17">
        <v>0</v>
      </c>
      <c r="V7" s="17">
        <f t="shared" si="0"/>
        <v>0.33645074695910537</v>
      </c>
      <c r="W7" s="17">
        <f t="shared" si="0"/>
        <v>7.7721624877308439</v>
      </c>
      <c r="X7" s="43">
        <f t="shared" ref="X7:X33" si="1">V7+W7</f>
        <v>8.1086132346899493</v>
      </c>
    </row>
    <row r="8" spans="1:24" x14ac:dyDescent="0.25">
      <c r="A8" t="s">
        <v>489</v>
      </c>
      <c r="B8" t="s">
        <v>96</v>
      </c>
      <c r="C8" s="32" t="s">
        <v>490</v>
      </c>
      <c r="D8" s="32" t="s">
        <v>492</v>
      </c>
      <c r="E8" s="17">
        <f>10000*('FY VOLUME NONAUTO'!E9/'FY VOLUME NONAUTO'!$E$35)/'FY VOLUME NONAUTO'!F9</f>
        <v>9.5699073744425931</v>
      </c>
      <c r="F8" s="17">
        <f>E8*'BUNDLE DATA'!$D$24*'BUNDLE DATA'!$C$24</f>
        <v>0</v>
      </c>
      <c r="G8" s="17">
        <f>E8*(1-'BUNDLE DATA'!$D$24)*'BUNDLE DATA'!$C$24</f>
        <v>9.5699073744425931</v>
      </c>
      <c r="H8" s="17">
        <f>E8*'BUNDLE DATA'!$D$8</f>
        <v>5.8601272504896565E-2</v>
      </c>
      <c r="I8" s="17">
        <f>E8*(1-'BUNDLE DATA'!$D$8)*'BUNDLE DENSITIES'!$I$7</f>
        <v>0.19340622385403933</v>
      </c>
      <c r="J8" s="17">
        <f>E8*(1-'BUNDLE DATA'!$D$8)*'BUNDLE DENSITIES'!$I$8*'BUNDLE DATA'!$D$32*'BUNDLE DATA'!$C$32</f>
        <v>9.2794877149749251</v>
      </c>
      <c r="K8" s="17">
        <f>E8*(1-'BUNDLE DATA'!$D$8)*'BUNDLE DENSITIES'!$I$8*(1-'BUNDLE DATA'!$D$32)*'BUNDLE DATA'!$C$32</f>
        <v>0</v>
      </c>
      <c r="L8" s="17">
        <f>E8*(1-'BUNDLE DATA'!$D$8)*'BUNDLE DENSITIES'!$I$8*'BUNDLE DATA'!$E$8</f>
        <v>0.34044233698108306</v>
      </c>
      <c r="M8" s="17">
        <f>E8*(1-'BUNDLE DATA'!$D$8)*'BUNDLE DENSITIES'!$I$8*(1-'BUNDLE DATA'!$E$8)*'BUNDLE DENSITIES'!$I$15</f>
        <v>8.3710760599604797</v>
      </c>
      <c r="N8" s="17">
        <f>E8*(1-'BUNDLE DATA'!$D$8)*('BUNDLE DENSITIES'!$I$9+'BUNDLE DENSITIES'!$I$8*(1-'BUNDLE DATA'!$E$8)*'BUNDLE DENSITIES'!$I$16)*'BUNDLE DATA'!$D$38*'BUNDLE DATA'!$C$38</f>
        <v>0.5877132866472653</v>
      </c>
      <c r="O8" s="17">
        <f>E8*(1-'BUNDLE DATA'!$D$8)*('BUNDLE DENSITIES'!$I$9+'BUNDLE DENSITIES'!$I$8*(1-'BUNDLE DATA'!$E$8)*'BUNDLE DENSITIES'!$I$16)*(1-'BUNDLE DATA'!$D$38)*'BUNDLE DATA'!$C$38</f>
        <v>1.8668194494829773E-2</v>
      </c>
      <c r="P8" s="17">
        <f>E8*(1-'BUNDLE DATA'!$D$8)*('BUNDLE DENSITIES'!$I$9+'BUNDLE DENSITIES'!$I$8*(1-'BUNDLE DATA'!$E$8)*'BUNDLE DENSITIES'!$I$16)*'BUNDLE DATA'!$E$8</f>
        <v>2.2246694524841369E-2</v>
      </c>
      <c r="Q8" s="17">
        <f>E8*(1-'BUNDLE DATA'!$D$8)*('BUNDLE DENSITIES'!$I$9+'BUNDLE DENSITIES'!$I$8*(1-'BUNDLE DATA'!$E$8)*'BUNDLE DENSITIES'!$I$16)*(1-'BUNDLE DATA'!$E$8)*'BUNDLE DENSITIES'!$I$22</f>
        <v>0.58413478661725371</v>
      </c>
      <c r="R8" s="17">
        <v>0</v>
      </c>
      <c r="S8" s="17">
        <v>0</v>
      </c>
      <c r="T8" s="17">
        <v>0</v>
      </c>
      <c r="U8" s="17">
        <v>0</v>
      </c>
      <c r="V8" s="17">
        <f t="shared" si="0"/>
        <v>0.42129030401082096</v>
      </c>
      <c r="W8" s="17">
        <f t="shared" si="0"/>
        <v>9.1486170704317722</v>
      </c>
      <c r="X8" s="43">
        <f t="shared" si="1"/>
        <v>9.5699073744425931</v>
      </c>
    </row>
    <row r="9" spans="1:24" x14ac:dyDescent="0.25">
      <c r="A9" t="s">
        <v>489</v>
      </c>
      <c r="B9" t="s">
        <v>96</v>
      </c>
      <c r="C9" s="32" t="s">
        <v>490</v>
      </c>
      <c r="D9" s="32" t="s">
        <v>493</v>
      </c>
      <c r="E9" s="17">
        <f>10000*('FY VOLUME NONAUTO'!E10/'FY VOLUME NONAUTO'!$E$35)/'FY VOLUME NONAUTO'!F10</f>
        <v>37.548007465403352</v>
      </c>
      <c r="F9" s="17">
        <f>E9*'BUNDLE DATA'!$D$26*'BUNDLE DATA'!$C$26</f>
        <v>0</v>
      </c>
      <c r="G9" s="17">
        <f>E9*(1-'BUNDLE DATA'!$D$26)*'BUNDLE DATA'!$C$26</f>
        <v>37.548007465403352</v>
      </c>
      <c r="H9" s="17">
        <f>E9*'BUNDLE DATA'!$D$8</f>
        <v>0.22992500673227823</v>
      </c>
      <c r="I9" s="17">
        <f>E9*(1-'BUNDLE DATA'!$D$8)*('BUNDLE DENSITIES'!$K$7+'BUNDLE DENSITIES'!$K$10)</f>
        <v>1.5033878650166681</v>
      </c>
      <c r="J9" s="17">
        <f>E9*(1-'BUNDLE DATA'!$D$8)*'BUNDLE DENSITIES'!$K$8*'BUNDLE DATA'!$D$34*'BUNDLE DATA'!$C$34</f>
        <v>35.463080743503163</v>
      </c>
      <c r="K9" s="17">
        <f>E9*(1-'BUNDLE DATA'!$D$8)*'BUNDLE DENSITIES'!$K$8*(1-'BUNDLE DATA'!$D$34)*'BUNDLE DATA'!$C$34</f>
        <v>0</v>
      </c>
      <c r="L9" s="17">
        <f>E9*(1-'BUNDLE DATA'!$D$8)*'BUNDLE DENSITIES'!$K$8*'BUNDLE DATA'!$E$8</f>
        <v>1.3010560987525037</v>
      </c>
      <c r="M9" s="17">
        <f>E9*(1-'BUNDLE DATA'!$D$8)*'BUNDLE DENSITIES'!$K$8*(1-'BUNDLE DATA'!$E$8)*('BUNDLE DENSITIES'!$K$15+'BUNDLE DENSITIES'!$K$17)</f>
        <v>31.778278498294011</v>
      </c>
      <c r="N9" s="17">
        <f>E9*(1-'BUNDLE DATA'!$D$8)*('BUNDLE DENSITIES'!$K$9+'BUNDLE DENSITIES'!$K$8*(1-'BUNDLE DATA'!$E$8)*'BUNDLE DENSITIES'!$K$16)*'BUNDLE DATA'!$D$40*'BUNDLE DATA'!$C$40</f>
        <v>2.6511485983081298</v>
      </c>
      <c r="O9" s="17">
        <f>E9*(1-'BUNDLE DATA'!$D$8)*('BUNDLE DENSITIES'!$K$9+'BUNDLE DENSITIES'!$K$8*(1-'BUNDLE DATA'!$E$8)*'BUNDLE DENSITIES'!$K$16)*(1-'BUNDLE DATA'!$D$40)*'BUNDLE DATA'!$C$40</f>
        <v>8.4211398299755949E-2</v>
      </c>
      <c r="P9" s="17">
        <f>E9*(1-'BUNDLE DATA'!$D$8)*('BUNDLE DENSITIES'!$K$9+'BUNDLE DENSITIES'!$K$8*(1-'BUNDLE DATA'!$E$8)*'BUNDLE DENSITIES'!$K$16)*'BUNDLE DATA'!$E$8</f>
        <v>0.10035385339504944</v>
      </c>
      <c r="Q9" s="17">
        <f>E9*(1-'BUNDLE DATA'!$D$8)*('BUNDLE DENSITIES'!$K$9+'BUNDLE DENSITIES'!$K$8*(1-'BUNDLE DATA'!$E$8)*'BUNDLE DENSITIES'!$K$16)*(1-'BUNDLE DATA'!$E$8)*('BUNDLE DENSITIES'!$K$22+'BUNDLE DENSITIES'!$K$23)</f>
        <v>2.6350061432128364</v>
      </c>
      <c r="R9" s="17">
        <v>0</v>
      </c>
      <c r="S9" s="17">
        <v>0</v>
      </c>
      <c r="T9" s="17">
        <v>0</v>
      </c>
      <c r="U9" s="17">
        <v>0</v>
      </c>
      <c r="V9" s="17">
        <f t="shared" si="0"/>
        <v>1.6313349588798314</v>
      </c>
      <c r="W9" s="17">
        <f t="shared" si="0"/>
        <v>35.916672506523511</v>
      </c>
      <c r="X9" s="43">
        <f t="shared" si="1"/>
        <v>37.548007465403344</v>
      </c>
    </row>
    <row r="10" spans="1:24" x14ac:dyDescent="0.25">
      <c r="A10" t="s">
        <v>489</v>
      </c>
      <c r="B10" t="s">
        <v>96</v>
      </c>
      <c r="C10" s="32" t="s">
        <v>490</v>
      </c>
      <c r="D10" s="32" t="s">
        <v>494</v>
      </c>
      <c r="E10" s="17" t="s">
        <v>495</v>
      </c>
      <c r="F10" s="17">
        <v>0</v>
      </c>
      <c r="G10" s="17">
        <v>0</v>
      </c>
      <c r="H10" s="17">
        <v>0</v>
      </c>
      <c r="I10" s="17">
        <v>0</v>
      </c>
      <c r="J10" s="17">
        <v>0</v>
      </c>
      <c r="K10" s="17">
        <v>0</v>
      </c>
      <c r="L10" s="17">
        <v>0</v>
      </c>
      <c r="M10" s="17">
        <v>0</v>
      </c>
      <c r="N10" s="17">
        <v>0</v>
      </c>
      <c r="O10" s="17">
        <v>0</v>
      </c>
      <c r="P10" s="17">
        <v>0</v>
      </c>
      <c r="Q10" s="17">
        <v>0</v>
      </c>
      <c r="R10" s="17">
        <v>0</v>
      </c>
      <c r="S10" s="17">
        <v>0</v>
      </c>
      <c r="T10" s="17">
        <v>0</v>
      </c>
      <c r="U10" s="17">
        <v>0</v>
      </c>
      <c r="V10" s="17">
        <f t="shared" si="0"/>
        <v>0</v>
      </c>
      <c r="W10" s="17">
        <f t="shared" si="0"/>
        <v>0</v>
      </c>
      <c r="X10" s="43">
        <f t="shared" si="1"/>
        <v>0</v>
      </c>
    </row>
    <row r="11" spans="1:24" x14ac:dyDescent="0.25">
      <c r="A11" t="s">
        <v>489</v>
      </c>
      <c r="B11" t="s">
        <v>96</v>
      </c>
      <c r="C11" s="32" t="s">
        <v>491</v>
      </c>
      <c r="D11" s="32" t="s">
        <v>491</v>
      </c>
      <c r="E11" s="17">
        <f>10000*('FY VOLUME NONAUTO'!E12/'FY VOLUME NONAUTO'!$E$35)/'FY VOLUME NONAUTO'!F12</f>
        <v>1.3624514967960115</v>
      </c>
      <c r="F11" s="17">
        <v>0</v>
      </c>
      <c r="G11" s="17">
        <v>0</v>
      </c>
      <c r="H11" s="17">
        <v>0</v>
      </c>
      <c r="I11" s="17">
        <v>0</v>
      </c>
      <c r="J11" s="17">
        <f>E11*'BUNDLE DATA'!$D$30*'BUNDLE DATA'!$C$30</f>
        <v>1.3624514967960115</v>
      </c>
      <c r="K11" s="17">
        <f>E11*(1-'BUNDLE DATA'!$D$30)*'BUNDLE DATA'!$C$30</f>
        <v>0</v>
      </c>
      <c r="L11" s="17">
        <f>E11*'BUNDLE DATA'!$D$8</f>
        <v>8.3429638673067821E-3</v>
      </c>
      <c r="M11" s="17">
        <f>E11*(1-'BUNDLE DATA'!$D$8)*'BUNDLE DENSITIES'!$G$15</f>
        <v>1.3541085329287048</v>
      </c>
      <c r="N11" s="17">
        <v>0</v>
      </c>
      <c r="O11" s="17">
        <v>0</v>
      </c>
      <c r="P11" s="17">
        <v>0</v>
      </c>
      <c r="Q11" s="17">
        <v>0</v>
      </c>
      <c r="R11" s="17">
        <v>0</v>
      </c>
      <c r="S11" s="17">
        <v>0</v>
      </c>
      <c r="T11" s="17">
        <v>0</v>
      </c>
      <c r="U11" s="17">
        <v>0</v>
      </c>
      <c r="V11" s="17">
        <f t="shared" si="0"/>
        <v>8.3429638673067821E-3</v>
      </c>
      <c r="W11" s="17">
        <f t="shared" si="0"/>
        <v>1.3541085329287048</v>
      </c>
      <c r="X11" s="43">
        <f t="shared" si="1"/>
        <v>1.3624514967960115</v>
      </c>
    </row>
    <row r="12" spans="1:24" x14ac:dyDescent="0.25">
      <c r="A12" t="s">
        <v>489</v>
      </c>
      <c r="B12" t="s">
        <v>96</v>
      </c>
      <c r="C12" s="32" t="s">
        <v>491</v>
      </c>
      <c r="D12" s="32" t="s">
        <v>492</v>
      </c>
      <c r="E12" s="17">
        <f>10000*('FY VOLUME NONAUTO'!E13/'FY VOLUME NONAUTO'!$E$35)/'FY VOLUME NONAUTO'!F13</f>
        <v>3.7696774219919948</v>
      </c>
      <c r="F12" s="17">
        <v>0</v>
      </c>
      <c r="G12" s="17">
        <v>0</v>
      </c>
      <c r="H12" s="17">
        <v>0</v>
      </c>
      <c r="I12" s="17">
        <v>0</v>
      </c>
      <c r="J12" s="17">
        <f>E12*'BUNDLE DATA'!$D$32*'BUNDLE DATA'!$C$32</f>
        <v>3.7696774219919948</v>
      </c>
      <c r="K12" s="17">
        <f>E12*(1-'BUNDLE DATA'!$D$32)*'BUNDLE DATA'!$C$32</f>
        <v>0</v>
      </c>
      <c r="L12" s="17">
        <f>E12*'BUNDLE DATA'!$D$8</f>
        <v>2.3083597909386851E-2</v>
      </c>
      <c r="M12" s="17">
        <f>E12*(1-'BUNDLE DATA'!$D$8)*'BUNDLE DENSITIES'!$I$15</f>
        <v>3.5085426397301038</v>
      </c>
      <c r="N12" s="17">
        <f>E12*(1-'BUNDLE DATA'!$D$8)*'BUNDLE DENSITIES'!$I$16*'BUNDLE DATA'!$D$38*'BUNDLE DATA'!$C$38</f>
        <v>0.23072248790081298</v>
      </c>
      <c r="O12" s="17">
        <f>E12*(1-'BUNDLE DATA'!$D$8)*'BUNDLE DENSITIES'!$I$16*(1-'BUNDLE DATA'!$D$38)*'BUNDLE DATA'!$C$38</f>
        <v>7.3286964516908583E-3</v>
      </c>
      <c r="P12" s="17">
        <f>E12*(1-'BUNDLE DATA'!$D$8)*'BUNDLE DENSITIES'!$I$16*'BUNDLE DATA'!$E$8</f>
        <v>8.7335318512569444E-3</v>
      </c>
      <c r="Q12" s="17">
        <f>E12*(1-'BUNDLE DATA'!$D$8)*'BUNDLE DENSITIES'!$I$16*(1-'BUNDLE DATA'!$E$8)*'BUNDLE DENSITIES'!$I$22</f>
        <v>0.22931765250124689</v>
      </c>
      <c r="R12" s="17">
        <v>0</v>
      </c>
      <c r="S12" s="17">
        <v>0</v>
      </c>
      <c r="T12" s="17">
        <v>0</v>
      </c>
      <c r="U12" s="17">
        <v>0</v>
      </c>
      <c r="V12" s="17">
        <f t="shared" si="0"/>
        <v>3.1817129760643797E-2</v>
      </c>
      <c r="W12" s="17">
        <f t="shared" si="0"/>
        <v>3.7378602922313506</v>
      </c>
      <c r="X12" s="43">
        <f t="shared" si="1"/>
        <v>3.7696774219919944</v>
      </c>
    </row>
    <row r="13" spans="1:24" x14ac:dyDescent="0.25">
      <c r="A13" t="s">
        <v>489</v>
      </c>
      <c r="B13" t="s">
        <v>96</v>
      </c>
      <c r="C13" s="32" t="s">
        <v>491</v>
      </c>
      <c r="D13" s="32" t="s">
        <v>493</v>
      </c>
      <c r="E13" s="17">
        <f>10000*('FY VOLUME NONAUTO'!E14/'FY VOLUME NONAUTO'!$E$35)/'FY VOLUME NONAUTO'!F14</f>
        <v>3.9839301536251712</v>
      </c>
      <c r="F13" s="17">
        <v>0</v>
      </c>
      <c r="G13" s="17">
        <v>0</v>
      </c>
      <c r="H13" s="17">
        <v>0</v>
      </c>
      <c r="I13" s="17">
        <v>0</v>
      </c>
      <c r="J13" s="17">
        <f>E13*'BUNDLE DATA'!$D$34*'BUNDLE DATA'!$C$34</f>
        <v>3.9839301536251712</v>
      </c>
      <c r="K13" s="17">
        <f>E13*(1-'BUNDLE DATA'!$D$34)*'BUNDLE DATA'!$C$34</f>
        <v>0</v>
      </c>
      <c r="L13" s="17">
        <f>E13*'BUNDLE DATA'!$D$8</f>
        <v>2.4395573273420668E-2</v>
      </c>
      <c r="M13" s="17">
        <f>E13*(1-'BUNDLE DATA'!$D$8)*('BUNDLE DENSITIES'!$K$15+'BUNDLE DENSITIES'!$K$17)</f>
        <v>3.6832475219637852</v>
      </c>
      <c r="N13" s="17">
        <f>E13*(1-'BUNDLE DATA'!$D$8)*'BUNDLE DENSITIES'!$K$16*'BUNDLE DATA'!$D$40*'BUNDLE DATA'!$C$40</f>
        <v>0.26778122385509551</v>
      </c>
      <c r="O13" s="17">
        <f>E13*(1-'BUNDLE DATA'!$D$8)*'BUNDLE DENSITIES'!$K$16*(1-'BUNDLE DATA'!$D$40)*'BUNDLE DATA'!$C$40</f>
        <v>8.5058345328693861E-3</v>
      </c>
      <c r="P13" s="17">
        <f>E13*(1-'BUNDLE DATA'!$D$8)*'BUNDLE DENSITIES'!$K$16*'BUNDLE DATA'!$E$8</f>
        <v>1.0136315141991854E-2</v>
      </c>
      <c r="Q13" s="17">
        <f>E13*(1-'BUNDLE DATA'!$D$8)*'BUNDLE DENSITIES'!$K$16*(1-'BUNDLE DATA'!$E$8)*('BUNDLE DENSITIES'!$K$22+'BUNDLE DENSITIES'!$K$23)</f>
        <v>0.26615074324597304</v>
      </c>
      <c r="R13" s="17">
        <v>0</v>
      </c>
      <c r="S13" s="17">
        <v>0</v>
      </c>
      <c r="T13" s="17">
        <v>0</v>
      </c>
      <c r="U13" s="17">
        <v>0</v>
      </c>
      <c r="V13" s="17">
        <f t="shared" si="0"/>
        <v>3.4531888415412521E-2</v>
      </c>
      <c r="W13" s="17">
        <f t="shared" si="0"/>
        <v>3.9493982652097581</v>
      </c>
      <c r="X13" s="43">
        <f t="shared" si="1"/>
        <v>3.9839301536251708</v>
      </c>
    </row>
    <row r="14" spans="1:24" x14ac:dyDescent="0.25">
      <c r="A14" t="s">
        <v>489</v>
      </c>
      <c r="B14" t="s">
        <v>96</v>
      </c>
      <c r="C14" s="32" t="s">
        <v>491</v>
      </c>
      <c r="D14" s="32" t="s">
        <v>494</v>
      </c>
      <c r="E14" s="17" t="s">
        <v>495</v>
      </c>
      <c r="F14" s="17">
        <v>0</v>
      </c>
      <c r="G14" s="17">
        <v>0</v>
      </c>
      <c r="H14" s="17">
        <v>0</v>
      </c>
      <c r="I14" s="17">
        <v>0</v>
      </c>
      <c r="J14" s="17">
        <v>0</v>
      </c>
      <c r="K14" s="17">
        <v>0</v>
      </c>
      <c r="L14" s="17">
        <v>0</v>
      </c>
      <c r="M14" s="17">
        <v>0</v>
      </c>
      <c r="N14" s="17">
        <v>0</v>
      </c>
      <c r="O14" s="17">
        <v>0</v>
      </c>
      <c r="P14" s="17">
        <v>0</v>
      </c>
      <c r="Q14" s="17">
        <v>0</v>
      </c>
      <c r="R14" s="17">
        <v>0</v>
      </c>
      <c r="S14" s="17">
        <v>0</v>
      </c>
      <c r="T14" s="17">
        <v>0</v>
      </c>
      <c r="U14" s="17">
        <v>0</v>
      </c>
      <c r="V14" s="17">
        <f t="shared" si="0"/>
        <v>0</v>
      </c>
      <c r="W14" s="17">
        <f t="shared" si="0"/>
        <v>0</v>
      </c>
      <c r="X14" s="43">
        <f t="shared" si="1"/>
        <v>0</v>
      </c>
    </row>
    <row r="15" spans="1:24" x14ac:dyDescent="0.25">
      <c r="A15" t="s">
        <v>489</v>
      </c>
      <c r="B15" t="s">
        <v>96</v>
      </c>
      <c r="C15" s="32" t="s">
        <v>492</v>
      </c>
      <c r="D15" s="32" t="s">
        <v>492</v>
      </c>
      <c r="E15" s="17">
        <f>10000*('FY VOLUME NONAUTO'!E16/'FY VOLUME NONAUTO'!$E$35)/'FY VOLUME NONAUTO'!F16</f>
        <v>13.321740512826015</v>
      </c>
      <c r="F15" s="17">
        <v>0</v>
      </c>
      <c r="G15" s="17">
        <v>0</v>
      </c>
      <c r="H15" s="17">
        <v>0</v>
      </c>
      <c r="I15" s="17">
        <v>0</v>
      </c>
      <c r="J15" s="17">
        <v>0</v>
      </c>
      <c r="K15" s="17">
        <v>0</v>
      </c>
      <c r="L15" s="17">
        <v>0</v>
      </c>
      <c r="M15" s="17">
        <v>0</v>
      </c>
      <c r="N15" s="17">
        <f>E15*'BUNDLE DATA'!$D$38*'BUNDLE DATA'!$C$38</f>
        <v>12.911614460766037</v>
      </c>
      <c r="O15" s="17">
        <f>E15*(1-'BUNDLE DATA'!$D$38)*'BUNDLE DATA'!$C$38</f>
        <v>0.41012605205997782</v>
      </c>
      <c r="P15" s="17">
        <f>E15*'BUNDLE DATA'!$D$8</f>
        <v>8.1575601046724719E-2</v>
      </c>
      <c r="Q15" s="17">
        <f>E15*(1-'BUNDLE DATA'!$D$8)*'BUNDLE DENSITIES'!$I$22</f>
        <v>13.24016491177929</v>
      </c>
      <c r="R15" s="17">
        <v>0</v>
      </c>
      <c r="S15" s="17">
        <v>0</v>
      </c>
      <c r="T15" s="17">
        <v>0</v>
      </c>
      <c r="U15" s="17">
        <v>0</v>
      </c>
      <c r="V15" s="17">
        <f t="shared" si="0"/>
        <v>8.1575601046724719E-2</v>
      </c>
      <c r="W15" s="17">
        <f t="shared" si="0"/>
        <v>13.24016491177929</v>
      </c>
      <c r="X15" s="43">
        <f t="shared" si="1"/>
        <v>13.321740512826015</v>
      </c>
    </row>
    <row r="16" spans="1:24" x14ac:dyDescent="0.25">
      <c r="A16" t="s">
        <v>489</v>
      </c>
      <c r="B16" t="s">
        <v>96</v>
      </c>
      <c r="C16" s="32" t="s">
        <v>492</v>
      </c>
      <c r="D16" s="32" t="s">
        <v>493</v>
      </c>
      <c r="E16" s="17">
        <f>10000*('FY VOLUME NONAUTO'!E17/'FY VOLUME NONAUTO'!$E$35)/'FY VOLUME NONAUTO'!F17</f>
        <v>28.980958713141426</v>
      </c>
      <c r="F16" s="17">
        <v>0</v>
      </c>
      <c r="G16" s="17">
        <v>0</v>
      </c>
      <c r="H16" s="17">
        <v>0</v>
      </c>
      <c r="I16" s="17">
        <v>0</v>
      </c>
      <c r="J16" s="17">
        <v>0</v>
      </c>
      <c r="K16" s="17">
        <v>0</v>
      </c>
      <c r="L16" s="17">
        <v>0</v>
      </c>
      <c r="M16" s="17">
        <v>0</v>
      </c>
      <c r="N16" s="17">
        <f>E16*'BUNDLE DATA'!$D$40*'BUNDLE DATA'!$C$40</f>
        <v>28.08874450355745</v>
      </c>
      <c r="O16" s="17">
        <f>E16*(1-'BUNDLE DATA'!$D$40)*'BUNDLE DATA'!$C$40</f>
        <v>0.89221420958397712</v>
      </c>
      <c r="P16" s="17">
        <f>E16*'BUNDLE DATA'!$D$8</f>
        <v>0.17746473320499376</v>
      </c>
      <c r="Q16" s="17">
        <f>E16*(1-'BUNDLE DATA'!$D$8)*('BUNDLE DENSITIES'!$K$22+'BUNDLE DENSITIES'!$K$23)</f>
        <v>28.803493979936434</v>
      </c>
      <c r="R16" s="17">
        <v>0</v>
      </c>
      <c r="S16" s="17">
        <v>0</v>
      </c>
      <c r="T16" s="17">
        <v>0</v>
      </c>
      <c r="U16" s="17">
        <v>0</v>
      </c>
      <c r="V16" s="17">
        <f t="shared" si="0"/>
        <v>0.17746473320499376</v>
      </c>
      <c r="W16" s="17">
        <f t="shared" si="0"/>
        <v>28.803493979936434</v>
      </c>
      <c r="X16" s="43">
        <f t="shared" si="1"/>
        <v>28.980958713141426</v>
      </c>
    </row>
    <row r="17" spans="1:24" x14ac:dyDescent="0.25">
      <c r="A17" t="s">
        <v>489</v>
      </c>
      <c r="B17" s="190" t="s">
        <v>96</v>
      </c>
      <c r="C17" s="32" t="s">
        <v>492</v>
      </c>
      <c r="D17" s="32" t="s">
        <v>494</v>
      </c>
      <c r="E17" s="17" t="s">
        <v>495</v>
      </c>
      <c r="F17" s="17">
        <v>0</v>
      </c>
      <c r="G17" s="17">
        <v>0</v>
      </c>
      <c r="H17" s="17">
        <v>0</v>
      </c>
      <c r="I17" s="17">
        <v>0</v>
      </c>
      <c r="J17" s="17">
        <v>0</v>
      </c>
      <c r="K17" s="17">
        <v>0</v>
      </c>
      <c r="L17" s="17">
        <v>0</v>
      </c>
      <c r="M17" s="17">
        <v>0</v>
      </c>
      <c r="N17" s="17">
        <v>0</v>
      </c>
      <c r="O17" s="17">
        <v>0</v>
      </c>
      <c r="P17" s="17">
        <v>0</v>
      </c>
      <c r="Q17" s="17">
        <v>0</v>
      </c>
      <c r="R17" s="17">
        <v>0</v>
      </c>
      <c r="S17" s="17">
        <v>0</v>
      </c>
      <c r="T17" s="17">
        <v>0</v>
      </c>
      <c r="U17" s="17">
        <v>0</v>
      </c>
      <c r="V17" s="17">
        <f t="shared" si="0"/>
        <v>0</v>
      </c>
      <c r="W17" s="17">
        <f t="shared" si="0"/>
        <v>0</v>
      </c>
      <c r="X17" s="43">
        <f t="shared" si="1"/>
        <v>0</v>
      </c>
    </row>
    <row r="18" spans="1:24" x14ac:dyDescent="0.25">
      <c r="A18" t="s">
        <v>489</v>
      </c>
      <c r="B18" s="190" t="s">
        <v>96</v>
      </c>
      <c r="C18" s="32" t="s">
        <v>493</v>
      </c>
      <c r="D18" s="32" t="s">
        <v>493</v>
      </c>
      <c r="E18" s="17">
        <v>0</v>
      </c>
      <c r="F18" s="17">
        <v>0</v>
      </c>
      <c r="G18" s="17">
        <v>0</v>
      </c>
      <c r="H18" s="17">
        <v>0</v>
      </c>
      <c r="I18" s="17">
        <v>0</v>
      </c>
      <c r="J18" s="17">
        <v>0</v>
      </c>
      <c r="K18" s="17">
        <v>0</v>
      </c>
      <c r="L18" s="17">
        <v>0</v>
      </c>
      <c r="M18" s="17">
        <v>0</v>
      </c>
      <c r="N18" s="17">
        <v>0</v>
      </c>
      <c r="O18" s="17">
        <v>0</v>
      </c>
      <c r="P18" s="17">
        <v>0</v>
      </c>
      <c r="Q18" s="17">
        <v>0</v>
      </c>
      <c r="R18" s="17">
        <v>0</v>
      </c>
      <c r="S18" s="17">
        <v>0</v>
      </c>
      <c r="T18" s="17">
        <v>0</v>
      </c>
      <c r="U18" s="17">
        <v>0</v>
      </c>
      <c r="V18" s="17">
        <f t="shared" si="0"/>
        <v>0</v>
      </c>
      <c r="W18" s="17">
        <f t="shared" si="0"/>
        <v>0</v>
      </c>
      <c r="X18" s="43">
        <f>E18</f>
        <v>0</v>
      </c>
    </row>
    <row r="19" spans="1:24" x14ac:dyDescent="0.25">
      <c r="A19" t="s">
        <v>489</v>
      </c>
      <c r="B19" t="s">
        <v>96</v>
      </c>
      <c r="C19" s="32" t="s">
        <v>493</v>
      </c>
      <c r="D19" s="32" t="s">
        <v>494</v>
      </c>
      <c r="E19" s="17" t="s">
        <v>495</v>
      </c>
      <c r="F19" s="17">
        <v>0</v>
      </c>
      <c r="G19" s="17">
        <v>0</v>
      </c>
      <c r="H19" s="17">
        <v>0</v>
      </c>
      <c r="I19" s="17">
        <v>0</v>
      </c>
      <c r="J19" s="17">
        <v>0</v>
      </c>
      <c r="K19" s="17">
        <v>0</v>
      </c>
      <c r="L19" s="17">
        <v>0</v>
      </c>
      <c r="M19" s="17">
        <v>0</v>
      </c>
      <c r="N19" s="17">
        <v>0</v>
      </c>
      <c r="O19" s="17">
        <v>0</v>
      </c>
      <c r="P19" s="17">
        <v>0</v>
      </c>
      <c r="Q19" s="17">
        <v>0</v>
      </c>
      <c r="R19" s="17">
        <v>0</v>
      </c>
      <c r="S19" s="17">
        <v>0</v>
      </c>
      <c r="T19" s="17">
        <v>0</v>
      </c>
      <c r="U19" s="17">
        <v>0</v>
      </c>
      <c r="V19" s="17">
        <f t="shared" si="0"/>
        <v>0</v>
      </c>
      <c r="W19" s="17">
        <f t="shared" si="0"/>
        <v>0</v>
      </c>
      <c r="X19" s="43">
        <f t="shared" si="1"/>
        <v>0</v>
      </c>
    </row>
    <row r="20" spans="1:24" x14ac:dyDescent="0.25">
      <c r="A20" t="s">
        <v>489</v>
      </c>
      <c r="B20" t="s">
        <v>391</v>
      </c>
      <c r="C20" s="32" t="s">
        <v>490</v>
      </c>
      <c r="D20" s="32" t="s">
        <v>490</v>
      </c>
      <c r="E20" s="17">
        <f>10000*('FY VOLUME NONAUTO'!E21/'FY VOLUME NONAUTO'!$E$35)/'FY VOLUME NONAUTO'!F21</f>
        <v>0</v>
      </c>
      <c r="F20" s="17">
        <f>E20*'BUNDLE DATA'!$D$20*'BUNDLE DATA'!$C$20</f>
        <v>0</v>
      </c>
      <c r="G20" s="17">
        <f>E20*(1-'BUNDLE DATA'!$D$20)*'BUNDLE DATA'!$C$20</f>
        <v>0</v>
      </c>
      <c r="H20" s="17">
        <f>E20*'BUNDLE DATA'!$D$10</f>
        <v>0</v>
      </c>
      <c r="I20" s="17">
        <f>E20*(1-'BUNDLE DATA'!$D$10)*'BUNDLE DENSITIES'!$E$7</f>
        <v>0</v>
      </c>
      <c r="J20" s="17">
        <v>0</v>
      </c>
      <c r="K20" s="17">
        <v>0</v>
      </c>
      <c r="L20" s="17">
        <v>0</v>
      </c>
      <c r="M20" s="17">
        <v>0</v>
      </c>
      <c r="N20" s="17">
        <v>0</v>
      </c>
      <c r="O20" s="17">
        <v>0</v>
      </c>
      <c r="P20" s="17">
        <v>0</v>
      </c>
      <c r="Q20" s="17">
        <v>0</v>
      </c>
      <c r="R20" s="17">
        <v>0</v>
      </c>
      <c r="S20" s="17">
        <v>0</v>
      </c>
      <c r="T20" s="17">
        <v>0</v>
      </c>
      <c r="U20" s="17">
        <v>0</v>
      </c>
      <c r="V20" s="17">
        <f t="shared" si="0"/>
        <v>0</v>
      </c>
      <c r="W20" s="17">
        <f t="shared" si="0"/>
        <v>0</v>
      </c>
      <c r="X20" s="43">
        <f t="shared" si="1"/>
        <v>0</v>
      </c>
    </row>
    <row r="21" spans="1:24" x14ac:dyDescent="0.25">
      <c r="A21" t="s">
        <v>489</v>
      </c>
      <c r="B21" t="s">
        <v>391</v>
      </c>
      <c r="C21" s="32" t="s">
        <v>490</v>
      </c>
      <c r="D21" s="32" t="s">
        <v>491</v>
      </c>
      <c r="E21" s="17">
        <f>10000*('FY VOLUME NONAUTO'!E22/'FY VOLUME NONAUTO'!$E$35)/'FY VOLUME NONAUTO'!F22</f>
        <v>0</v>
      </c>
      <c r="F21" s="17">
        <f>E21*'BUNDLE DATA'!$D$22*'BUNDLE DATA'!$C$22</f>
        <v>0</v>
      </c>
      <c r="G21" s="17">
        <f>E21*(1-'BUNDLE DATA'!$D$22)*'BUNDLE DATA'!$C$22</f>
        <v>0</v>
      </c>
      <c r="H21" s="17">
        <f>E21*'BUNDLE DATA'!$D$10</f>
        <v>0</v>
      </c>
      <c r="I21" s="17">
        <f>E21*(1-'BUNDLE DATA'!$D$10)*'BUNDLE DENSITIES'!$G$7</f>
        <v>0</v>
      </c>
      <c r="J21" s="17">
        <f>E21*(1-'BUNDLE DATA'!$D$10)*'BUNDLE DENSITIES'!$G$8*'BUNDLE DATA'!$D$30*'BUNDLE DATA'!$C$30</f>
        <v>0</v>
      </c>
      <c r="K21" s="17">
        <f>E21*(1-'BUNDLE DATA'!$D$10)*'BUNDLE DENSITIES'!$G$8*(1-'BUNDLE DATA'!$D$30)*'BUNDLE DATA'!$C$30</f>
        <v>0</v>
      </c>
      <c r="L21" s="17">
        <f>E21*(1-'BUNDLE DATA'!$D$10)*'BUNDLE DENSITIES'!$G$8*'BUNDLE DATA'!$E$10</f>
        <v>0</v>
      </c>
      <c r="M21" s="17">
        <f>E21*(1-'BUNDLE DATA'!$D$10)*'BUNDLE DENSITIES'!$G$8*(1-'BUNDLE DATA'!$E$10)*'BUNDLE DENSITIES'!$G$15</f>
        <v>0</v>
      </c>
      <c r="N21" s="17">
        <v>0</v>
      </c>
      <c r="O21" s="17">
        <v>0</v>
      </c>
      <c r="P21" s="17">
        <v>0</v>
      </c>
      <c r="Q21" s="17">
        <v>0</v>
      </c>
      <c r="R21" s="17">
        <v>0</v>
      </c>
      <c r="S21" s="17">
        <v>0</v>
      </c>
      <c r="T21" s="17">
        <v>0</v>
      </c>
      <c r="U21" s="17">
        <v>0</v>
      </c>
      <c r="V21" s="17">
        <f t="shared" si="0"/>
        <v>0</v>
      </c>
      <c r="W21" s="17">
        <f t="shared" si="0"/>
        <v>0</v>
      </c>
      <c r="X21" s="43">
        <f t="shared" si="1"/>
        <v>0</v>
      </c>
    </row>
    <row r="22" spans="1:24" x14ac:dyDescent="0.25">
      <c r="A22" t="s">
        <v>489</v>
      </c>
      <c r="B22" t="s">
        <v>391</v>
      </c>
      <c r="C22" s="32" t="s">
        <v>490</v>
      </c>
      <c r="D22" s="32" t="s">
        <v>492</v>
      </c>
      <c r="E22" s="17">
        <f>10000*('FY VOLUME NONAUTO'!E23/'FY VOLUME NONAUTO'!$E$35)/'FY VOLUME NONAUTO'!F23</f>
        <v>0</v>
      </c>
      <c r="F22" s="17">
        <f>E22*'BUNDLE DATA'!$D$24*'BUNDLE DATA'!$C$24</f>
        <v>0</v>
      </c>
      <c r="G22" s="17">
        <f>E22*(1-'BUNDLE DATA'!$D$24)*'BUNDLE DATA'!$C$24</f>
        <v>0</v>
      </c>
      <c r="H22" s="17">
        <f>E22*'BUNDLE DATA'!$D$10</f>
        <v>0</v>
      </c>
      <c r="I22" s="17">
        <f>E22*(1-'BUNDLE DATA'!$D$10)*'BUNDLE DENSITIES'!$I$7</f>
        <v>0</v>
      </c>
      <c r="J22" s="17">
        <f>E22*(1-'BUNDLE DATA'!$D$10)*'BUNDLE DENSITIES'!$I$8*'BUNDLE DATA'!$D$32*'BUNDLE DATA'!$C$32</f>
        <v>0</v>
      </c>
      <c r="K22" s="17">
        <f>E22*(1-'BUNDLE DATA'!$D$10)*'BUNDLE DENSITIES'!$I$8*(1-'BUNDLE DATA'!$D$32)*'BUNDLE DATA'!$C$32</f>
        <v>0</v>
      </c>
      <c r="L22" s="17">
        <f>E22*(1-'BUNDLE DATA'!$D$10)*'BUNDLE DENSITIES'!$I$8*'BUNDLE DATA'!$E$10</f>
        <v>0</v>
      </c>
      <c r="M22" s="17">
        <f>E22*(1-'BUNDLE DATA'!$D$10)*'BUNDLE DENSITIES'!$I$8*(1-'BUNDLE DATA'!$E$10)*'BUNDLE DENSITIES'!$I$15</f>
        <v>0</v>
      </c>
      <c r="N22" s="17">
        <f>E22*(1-'BUNDLE DATA'!$D$10)*('BUNDLE DENSITIES'!$I$9+'BUNDLE DENSITIES'!$I$8*(1-'BUNDLE DATA'!$E$10)*'BUNDLE DENSITIES'!$I$16)*'BUNDLE DATA'!$D$38*'BUNDLE DATA'!$C$38</f>
        <v>0</v>
      </c>
      <c r="O22" s="17">
        <f>E22*(1-'BUNDLE DATA'!$D$10)*('BUNDLE DENSITIES'!$I$9+'BUNDLE DENSITIES'!$I$8*(1-'BUNDLE DATA'!$E$10)*'BUNDLE DENSITIES'!$I$16)*(1-'BUNDLE DATA'!$D$38)*'BUNDLE DATA'!$C$38</f>
        <v>0</v>
      </c>
      <c r="P22" s="17">
        <f>E22*(1-'BUNDLE DATA'!$D$10)*('BUNDLE DENSITIES'!$I$9+'BUNDLE DENSITIES'!$I$8*(1-'BUNDLE DATA'!$E$10)*'BUNDLE DENSITIES'!$I$16)*'BUNDLE DATA'!$E$10</f>
        <v>0</v>
      </c>
      <c r="Q22" s="17">
        <f>E22*(1-'BUNDLE DATA'!$D$10)*('BUNDLE DENSITIES'!$I$9+'BUNDLE DENSITIES'!$I$8*(1-'BUNDLE DATA'!$E$10)*'BUNDLE DENSITIES'!$I$16)*(1-'BUNDLE DATA'!$E$10)*'BUNDLE DENSITIES'!$I$22</f>
        <v>0</v>
      </c>
      <c r="R22" s="17">
        <v>0</v>
      </c>
      <c r="S22" s="17">
        <v>0</v>
      </c>
      <c r="T22" s="17">
        <v>0</v>
      </c>
      <c r="U22" s="17">
        <v>0</v>
      </c>
      <c r="V22" s="17">
        <f t="shared" si="0"/>
        <v>0</v>
      </c>
      <c r="W22" s="17">
        <f t="shared" si="0"/>
        <v>0</v>
      </c>
      <c r="X22" s="43">
        <f t="shared" si="1"/>
        <v>0</v>
      </c>
    </row>
    <row r="23" spans="1:24" x14ac:dyDescent="0.25">
      <c r="A23" t="s">
        <v>489</v>
      </c>
      <c r="B23" t="s">
        <v>391</v>
      </c>
      <c r="C23" s="32" t="s">
        <v>490</v>
      </c>
      <c r="D23" s="32" t="s">
        <v>493</v>
      </c>
      <c r="E23" s="17">
        <v>0</v>
      </c>
      <c r="F23" s="17">
        <f>E23*'BUNDLE DATA'!$D$26*'BUNDLE DATA'!$C$26</f>
        <v>0</v>
      </c>
      <c r="G23" s="17">
        <f>E23*(1-'BUNDLE DATA'!$D$26)*'BUNDLE DATA'!$C$26</f>
        <v>0</v>
      </c>
      <c r="H23" s="17">
        <f>E23*'BUNDLE DATA'!$D$10</f>
        <v>0</v>
      </c>
      <c r="I23" s="17">
        <f>E23*(1-'BUNDLE DATA'!$D$10)*'BUNDLE DENSITIES'!$K$7</f>
        <v>0</v>
      </c>
      <c r="J23" s="17">
        <f>E23*(1-'BUNDLE DATA'!$D$10)*'BUNDLE DENSITIES'!$K$8*'BUNDLE DATA'!$D$34*'BUNDLE DATA'!$C$34</f>
        <v>0</v>
      </c>
      <c r="K23" s="17">
        <f>E23*(1-'BUNDLE DATA'!$D$10)*'BUNDLE DENSITIES'!$K$8*(1-'BUNDLE DATA'!$D$34)*'BUNDLE DATA'!$C$34</f>
        <v>0</v>
      </c>
      <c r="L23" s="17">
        <f>E23*(1-'BUNDLE DATA'!$D$10)*'BUNDLE DENSITIES'!$K$8*'BUNDLE DATA'!$E$10</f>
        <v>0</v>
      </c>
      <c r="M23" s="17">
        <f>E23*(1-'BUNDLE DATA'!$D$10)*'BUNDLE DENSITIES'!$K$8*(1-'BUNDLE DATA'!$E$10)*'BUNDLE DENSITIES'!$K$15</f>
        <v>0</v>
      </c>
      <c r="N23" s="17">
        <v>0</v>
      </c>
      <c r="O23" s="17">
        <v>0</v>
      </c>
      <c r="P23" s="17">
        <v>0</v>
      </c>
      <c r="Q23" s="17">
        <v>0</v>
      </c>
      <c r="R23" s="17">
        <v>0</v>
      </c>
      <c r="S23" s="17">
        <v>0</v>
      </c>
      <c r="T23" s="17">
        <v>0</v>
      </c>
      <c r="U23" s="17">
        <v>0</v>
      </c>
      <c r="V23" s="17">
        <f t="shared" si="0"/>
        <v>0</v>
      </c>
      <c r="W23" s="17">
        <f t="shared" si="0"/>
        <v>0</v>
      </c>
      <c r="X23" s="43">
        <f t="shared" si="1"/>
        <v>0</v>
      </c>
    </row>
    <row r="24" spans="1:24" x14ac:dyDescent="0.25">
      <c r="A24" t="s">
        <v>489</v>
      </c>
      <c r="B24" t="s">
        <v>391</v>
      </c>
      <c r="C24" s="32" t="s">
        <v>490</v>
      </c>
      <c r="D24" s="32" t="s">
        <v>494</v>
      </c>
      <c r="E24" s="17" t="s">
        <v>495</v>
      </c>
      <c r="F24" s="17">
        <v>0</v>
      </c>
      <c r="G24" s="17">
        <v>0</v>
      </c>
      <c r="H24" s="17">
        <v>0</v>
      </c>
      <c r="I24" s="17">
        <v>0</v>
      </c>
      <c r="J24" s="17">
        <v>0</v>
      </c>
      <c r="K24" s="17">
        <v>0</v>
      </c>
      <c r="L24" s="17">
        <v>0</v>
      </c>
      <c r="M24" s="17">
        <v>0</v>
      </c>
      <c r="N24" s="17">
        <v>0</v>
      </c>
      <c r="O24" s="17">
        <v>0</v>
      </c>
      <c r="P24" s="17">
        <v>0</v>
      </c>
      <c r="Q24" s="17">
        <v>0</v>
      </c>
      <c r="R24" s="17">
        <v>0</v>
      </c>
      <c r="S24" s="17">
        <v>0</v>
      </c>
      <c r="T24" s="17">
        <v>0</v>
      </c>
      <c r="U24" s="17">
        <v>0</v>
      </c>
      <c r="V24" s="17">
        <f t="shared" si="0"/>
        <v>0</v>
      </c>
      <c r="W24" s="17">
        <f t="shared" si="0"/>
        <v>0</v>
      </c>
      <c r="X24" s="43">
        <f t="shared" si="1"/>
        <v>0</v>
      </c>
    </row>
    <row r="25" spans="1:24" x14ac:dyDescent="0.25">
      <c r="A25" t="s">
        <v>489</v>
      </c>
      <c r="B25" t="s">
        <v>391</v>
      </c>
      <c r="C25" s="32" t="s">
        <v>491</v>
      </c>
      <c r="D25" s="32" t="s">
        <v>491</v>
      </c>
      <c r="E25" s="17">
        <f>10000*('FY VOLUME NONAUTO'!E26/'FY VOLUME NONAUTO'!$E$35)/'FY VOLUME NONAUTO'!F26</f>
        <v>0</v>
      </c>
      <c r="F25" s="17">
        <v>0</v>
      </c>
      <c r="G25" s="17">
        <v>0</v>
      </c>
      <c r="H25" s="17">
        <v>0</v>
      </c>
      <c r="I25" s="17">
        <v>0</v>
      </c>
      <c r="J25" s="17">
        <f>E25*'BUNDLE DATA'!$D$30*'BUNDLE DATA'!$C$30</f>
        <v>0</v>
      </c>
      <c r="K25" s="17">
        <f>E25*(1-'BUNDLE DATA'!$D$30)*'BUNDLE DATA'!$C$30</f>
        <v>0</v>
      </c>
      <c r="L25" s="17">
        <f>E25*'BUNDLE DATA'!$D$10</f>
        <v>0</v>
      </c>
      <c r="M25" s="17">
        <f>E25*(1-'BUNDLE DATA'!$D$10)*'BUNDLE DENSITIES'!$G$15</f>
        <v>0</v>
      </c>
      <c r="N25" s="17">
        <v>0</v>
      </c>
      <c r="O25" s="17">
        <v>0</v>
      </c>
      <c r="P25" s="17">
        <v>0</v>
      </c>
      <c r="Q25" s="17">
        <v>0</v>
      </c>
      <c r="R25" s="17">
        <v>0</v>
      </c>
      <c r="S25" s="17">
        <v>0</v>
      </c>
      <c r="T25" s="17">
        <v>0</v>
      </c>
      <c r="U25" s="17">
        <v>0</v>
      </c>
      <c r="V25" s="17">
        <f t="shared" si="0"/>
        <v>0</v>
      </c>
      <c r="W25" s="17">
        <f t="shared" si="0"/>
        <v>0</v>
      </c>
      <c r="X25" s="43">
        <f t="shared" si="1"/>
        <v>0</v>
      </c>
    </row>
    <row r="26" spans="1:24" x14ac:dyDescent="0.25">
      <c r="A26" t="s">
        <v>489</v>
      </c>
      <c r="B26" t="s">
        <v>391</v>
      </c>
      <c r="C26" s="32" t="s">
        <v>491</v>
      </c>
      <c r="D26" s="32" t="s">
        <v>492</v>
      </c>
      <c r="E26" s="17">
        <f>10000*('FY VOLUME NONAUTO'!E27/'FY VOLUME NONAUTO'!$E$35)/'FY VOLUME NONAUTO'!F27</f>
        <v>0</v>
      </c>
      <c r="F26" s="17">
        <v>0</v>
      </c>
      <c r="G26" s="17">
        <v>0</v>
      </c>
      <c r="H26" s="17">
        <v>0</v>
      </c>
      <c r="I26" s="17">
        <v>0</v>
      </c>
      <c r="J26" s="17">
        <f>E26*'BUNDLE DATA'!$D$32*'BUNDLE DATA'!$C$32</f>
        <v>0</v>
      </c>
      <c r="K26" s="17">
        <f>E26*(1-'BUNDLE DATA'!$D$32)*'BUNDLE DATA'!$C$32</f>
        <v>0</v>
      </c>
      <c r="L26" s="17">
        <f>E26*'BUNDLE DATA'!$D$10</f>
        <v>0</v>
      </c>
      <c r="M26" s="17">
        <f>E26*(1-'BUNDLE DATA'!$D$10)*'BUNDLE DENSITIES'!$I$15</f>
        <v>0</v>
      </c>
      <c r="N26" s="17">
        <f>E26*(1-'BUNDLE DATA'!$D$10)*'BUNDLE DENSITIES'!$I$16*'BUNDLE DATA'!$D$38*'BUNDLE DATA'!$C$38</f>
        <v>0</v>
      </c>
      <c r="O26" s="17">
        <f>E26*(1-'BUNDLE DATA'!$D$10)*'BUNDLE DENSITIES'!$I$16*(1-'BUNDLE DATA'!$D$38)*'BUNDLE DATA'!$C$38</f>
        <v>0</v>
      </c>
      <c r="P26" s="17">
        <f>E26*(1-'BUNDLE DATA'!$D$10)*'BUNDLE DENSITIES'!$I$16*'BUNDLE DATA'!$E$10</f>
        <v>0</v>
      </c>
      <c r="Q26" s="17">
        <f>E26*(1-'BUNDLE DATA'!$D$10)*'BUNDLE DENSITIES'!$I$16*(1-'BUNDLE DATA'!$E$10)*'BUNDLE DENSITIES'!$I$22</f>
        <v>0</v>
      </c>
      <c r="R26" s="17">
        <v>0</v>
      </c>
      <c r="S26" s="17">
        <v>0</v>
      </c>
      <c r="T26" s="17">
        <v>0</v>
      </c>
      <c r="U26" s="17">
        <v>0</v>
      </c>
      <c r="V26" s="17">
        <f t="shared" si="0"/>
        <v>0</v>
      </c>
      <c r="W26" s="17">
        <f t="shared" si="0"/>
        <v>0</v>
      </c>
      <c r="X26" s="43">
        <f t="shared" si="1"/>
        <v>0</v>
      </c>
    </row>
    <row r="27" spans="1:24" x14ac:dyDescent="0.25">
      <c r="A27" t="s">
        <v>489</v>
      </c>
      <c r="B27" t="s">
        <v>391</v>
      </c>
      <c r="C27" s="32" t="s">
        <v>491</v>
      </c>
      <c r="D27" s="32" t="s">
        <v>493</v>
      </c>
      <c r="E27" s="17">
        <f>10000*('FY VOLUME NONAUTO'!E28/'FY VOLUME NONAUTO'!$E$35)/'FY VOLUME NONAUTO'!F28</f>
        <v>0</v>
      </c>
      <c r="F27" s="17">
        <v>0</v>
      </c>
      <c r="G27" s="17">
        <v>0</v>
      </c>
      <c r="H27" s="17">
        <v>0</v>
      </c>
      <c r="I27" s="17">
        <v>0</v>
      </c>
      <c r="J27" s="17">
        <f>E27*'BUNDLE DATA'!$D$34*'BUNDLE DATA'!$C$34</f>
        <v>0</v>
      </c>
      <c r="K27" s="17">
        <f>E27*(1-'BUNDLE DATA'!$D$34)*'BUNDLE DATA'!$C$34</f>
        <v>0</v>
      </c>
      <c r="L27" s="17">
        <f>E27*'BUNDLE DATA'!$D$10</f>
        <v>0</v>
      </c>
      <c r="M27" s="17">
        <f>E27*(1-'BUNDLE DATA'!$D$10)*('BUNDLE DENSITIES'!$K$15+'BUNDLE DENSITIES'!$K$17)</f>
        <v>0</v>
      </c>
      <c r="N27" s="17">
        <f>E27*(1-'BUNDLE DATA'!$D$10)*'BUNDLE DENSITIES'!$K$16*'BUNDLE DATA'!$D$40*'BUNDLE DATA'!$C$40</f>
        <v>0</v>
      </c>
      <c r="O27" s="17">
        <f>E27*(1-'BUNDLE DATA'!$D$10)*'BUNDLE DENSITIES'!$K$16*(1-'BUNDLE DATA'!$D$40)*'BUNDLE DATA'!$C$40</f>
        <v>0</v>
      </c>
      <c r="P27" s="17">
        <f>E27*(1-'BUNDLE DATA'!$D$10)*'BUNDLE DENSITIES'!$K$16*'BUNDLE DATA'!$E$10</f>
        <v>0</v>
      </c>
      <c r="Q27" s="17">
        <f>E27*(1-'BUNDLE DATA'!$D$10)*'BUNDLE DENSITIES'!$K$16*(1-'BUNDLE DATA'!$E$10)*('BUNDLE DENSITIES'!$K$22+'BUNDLE DENSITIES'!$K$23)</f>
        <v>0</v>
      </c>
      <c r="R27" s="17">
        <v>0</v>
      </c>
      <c r="S27" s="17">
        <v>0</v>
      </c>
      <c r="T27" s="17">
        <v>0</v>
      </c>
      <c r="U27" s="17">
        <v>0</v>
      </c>
      <c r="V27" s="17">
        <f t="shared" si="0"/>
        <v>0</v>
      </c>
      <c r="W27" s="17">
        <f t="shared" si="0"/>
        <v>0</v>
      </c>
      <c r="X27" s="43">
        <f t="shared" si="1"/>
        <v>0</v>
      </c>
    </row>
    <row r="28" spans="1:24" x14ac:dyDescent="0.25">
      <c r="A28" t="s">
        <v>489</v>
      </c>
      <c r="B28" t="s">
        <v>391</v>
      </c>
      <c r="C28" s="32" t="s">
        <v>491</v>
      </c>
      <c r="D28" s="32" t="s">
        <v>494</v>
      </c>
      <c r="E28" s="17" t="s">
        <v>495</v>
      </c>
      <c r="F28" s="17">
        <v>0</v>
      </c>
      <c r="G28" s="17">
        <v>0</v>
      </c>
      <c r="H28" s="17">
        <v>0</v>
      </c>
      <c r="I28" s="17">
        <v>0</v>
      </c>
      <c r="J28" s="17">
        <v>0</v>
      </c>
      <c r="K28" s="17">
        <v>0</v>
      </c>
      <c r="L28" s="17">
        <v>0</v>
      </c>
      <c r="M28" s="17">
        <v>0</v>
      </c>
      <c r="N28" s="17">
        <v>0</v>
      </c>
      <c r="O28" s="17">
        <v>0</v>
      </c>
      <c r="P28" s="17">
        <v>0</v>
      </c>
      <c r="Q28" s="17">
        <v>0</v>
      </c>
      <c r="R28" s="17">
        <v>0</v>
      </c>
      <c r="S28" s="17">
        <v>0</v>
      </c>
      <c r="T28" s="17">
        <v>0</v>
      </c>
      <c r="U28" s="17">
        <v>0</v>
      </c>
      <c r="V28" s="17">
        <f t="shared" si="0"/>
        <v>0</v>
      </c>
      <c r="W28" s="17">
        <f t="shared" si="0"/>
        <v>0</v>
      </c>
      <c r="X28" s="43">
        <f t="shared" si="1"/>
        <v>0</v>
      </c>
    </row>
    <row r="29" spans="1:24" x14ac:dyDescent="0.25">
      <c r="A29" t="s">
        <v>489</v>
      </c>
      <c r="B29" t="s">
        <v>391</v>
      </c>
      <c r="C29" s="32" t="s">
        <v>492</v>
      </c>
      <c r="D29" s="32" t="s">
        <v>492</v>
      </c>
      <c r="E29" s="17">
        <f>10000*('FY VOLUME NONAUTO'!E30/'FY VOLUME NONAUTO'!$E$35)/'FY VOLUME NONAUTO'!F30</f>
        <v>0</v>
      </c>
      <c r="F29" s="17">
        <v>0</v>
      </c>
      <c r="G29" s="17">
        <v>0</v>
      </c>
      <c r="H29" s="17">
        <v>0</v>
      </c>
      <c r="I29" s="17">
        <v>0</v>
      </c>
      <c r="J29" s="17">
        <v>0</v>
      </c>
      <c r="K29" s="17">
        <v>0</v>
      </c>
      <c r="L29" s="17">
        <v>0</v>
      </c>
      <c r="M29" s="17">
        <v>0</v>
      </c>
      <c r="N29" s="17">
        <f>E29*'BUNDLE DATA'!$D$38*'BUNDLE DATA'!$C$38</f>
        <v>0</v>
      </c>
      <c r="O29" s="17">
        <f>E29*(1-'BUNDLE DATA'!$D$38)*'BUNDLE DATA'!$C$38</f>
        <v>0</v>
      </c>
      <c r="P29" s="17">
        <f>E29*'BUNDLE DATA'!$D$10</f>
        <v>0</v>
      </c>
      <c r="Q29" s="17">
        <f>E29*(1-'BUNDLE DATA'!$D$10)*'BUNDLE DENSITIES'!$I$22</f>
        <v>0</v>
      </c>
      <c r="R29" s="17">
        <v>0</v>
      </c>
      <c r="S29" s="17">
        <v>0</v>
      </c>
      <c r="T29" s="17">
        <v>0</v>
      </c>
      <c r="U29" s="17">
        <v>0</v>
      </c>
      <c r="V29" s="17">
        <f t="shared" si="0"/>
        <v>0</v>
      </c>
      <c r="W29" s="17">
        <f t="shared" si="0"/>
        <v>0</v>
      </c>
      <c r="X29" s="43">
        <f t="shared" si="1"/>
        <v>0</v>
      </c>
    </row>
    <row r="30" spans="1:24" x14ac:dyDescent="0.25">
      <c r="A30" t="s">
        <v>489</v>
      </c>
      <c r="B30" t="s">
        <v>391</v>
      </c>
      <c r="C30" s="32" t="s">
        <v>492</v>
      </c>
      <c r="D30" s="32" t="s">
        <v>493</v>
      </c>
      <c r="E30" s="17">
        <f>10000*('FY VOLUME NONAUTO'!E31/'FY VOLUME NONAUTO'!$E$35)/'FY VOLUME NONAUTO'!F31</f>
        <v>0</v>
      </c>
      <c r="F30" s="17">
        <v>0</v>
      </c>
      <c r="G30" s="17">
        <v>0</v>
      </c>
      <c r="H30" s="17">
        <v>0</v>
      </c>
      <c r="I30" s="17">
        <v>0</v>
      </c>
      <c r="J30" s="17">
        <v>0</v>
      </c>
      <c r="K30" s="17">
        <v>0</v>
      </c>
      <c r="L30" s="17">
        <v>0</v>
      </c>
      <c r="M30" s="17">
        <v>0</v>
      </c>
      <c r="N30" s="17">
        <f>E30*'BUNDLE DATA'!$D$40*'BUNDLE DATA'!$C$40</f>
        <v>0</v>
      </c>
      <c r="O30" s="17">
        <f>E30*(1-'BUNDLE DATA'!$D$40)*'BUNDLE DATA'!$C$40</f>
        <v>0</v>
      </c>
      <c r="P30" s="17">
        <f>E30*'BUNDLE DATA'!$D$10</f>
        <v>0</v>
      </c>
      <c r="Q30" s="17">
        <f>E30*(1-'BUNDLE DATA'!$D$10)*('BUNDLE DENSITIES'!$K$22+'BUNDLE DENSITIES'!$K$23)</f>
        <v>0</v>
      </c>
      <c r="R30" s="17">
        <v>0</v>
      </c>
      <c r="S30" s="17">
        <v>0</v>
      </c>
      <c r="T30" s="17">
        <v>0</v>
      </c>
      <c r="U30" s="17">
        <v>0</v>
      </c>
      <c r="V30" s="17">
        <f t="shared" si="0"/>
        <v>0</v>
      </c>
      <c r="W30" s="17">
        <f t="shared" si="0"/>
        <v>0</v>
      </c>
      <c r="X30" s="43">
        <f t="shared" si="1"/>
        <v>0</v>
      </c>
    </row>
    <row r="31" spans="1:24" x14ac:dyDescent="0.25">
      <c r="A31" t="s">
        <v>489</v>
      </c>
      <c r="B31" t="s">
        <v>391</v>
      </c>
      <c r="C31" s="32" t="s">
        <v>492</v>
      </c>
      <c r="D31" s="32" t="s">
        <v>494</v>
      </c>
      <c r="E31" s="17" t="s">
        <v>495</v>
      </c>
      <c r="F31" s="17">
        <v>0</v>
      </c>
      <c r="G31" s="17">
        <v>0</v>
      </c>
      <c r="H31" s="17">
        <v>0</v>
      </c>
      <c r="I31" s="17">
        <v>0</v>
      </c>
      <c r="J31" s="17">
        <v>0</v>
      </c>
      <c r="K31" s="17">
        <v>0</v>
      </c>
      <c r="L31" s="17">
        <v>0</v>
      </c>
      <c r="M31" s="17">
        <v>0</v>
      </c>
      <c r="N31" s="17">
        <v>0</v>
      </c>
      <c r="O31" s="17">
        <v>0</v>
      </c>
      <c r="P31" s="17">
        <v>0</v>
      </c>
      <c r="Q31" s="17">
        <v>0</v>
      </c>
      <c r="R31" s="17">
        <v>0</v>
      </c>
      <c r="S31" s="17">
        <v>0</v>
      </c>
      <c r="T31" s="17">
        <v>0</v>
      </c>
      <c r="U31" s="17">
        <v>0</v>
      </c>
      <c r="V31" s="17">
        <f t="shared" si="0"/>
        <v>0</v>
      </c>
      <c r="W31" s="17">
        <f t="shared" si="0"/>
        <v>0</v>
      </c>
      <c r="X31" s="43">
        <f t="shared" si="1"/>
        <v>0</v>
      </c>
    </row>
    <row r="32" spans="1:24" x14ac:dyDescent="0.25">
      <c r="A32" t="s">
        <v>489</v>
      </c>
      <c r="B32" t="s">
        <v>391</v>
      </c>
      <c r="C32" s="32" t="s">
        <v>493</v>
      </c>
      <c r="D32" s="32" t="s">
        <v>493</v>
      </c>
      <c r="E32" s="17">
        <f>10000*('FY VOLUME NONAUTO'!E33/'FY VOLUME NONAUTO'!$E$35)/'FY VOLUME NONAUTO'!F33</f>
        <v>0</v>
      </c>
      <c r="F32" s="17">
        <v>0</v>
      </c>
      <c r="G32" s="17">
        <v>0</v>
      </c>
      <c r="H32" s="17">
        <v>0</v>
      </c>
      <c r="I32" s="17">
        <v>0</v>
      </c>
      <c r="J32" s="17">
        <v>0</v>
      </c>
      <c r="K32" s="17">
        <v>0</v>
      </c>
      <c r="L32" s="17">
        <v>0</v>
      </c>
      <c r="M32" s="17">
        <v>0</v>
      </c>
      <c r="N32" s="17">
        <v>0</v>
      </c>
      <c r="O32" s="17">
        <v>0</v>
      </c>
      <c r="P32" s="17">
        <v>0</v>
      </c>
      <c r="Q32" s="17">
        <v>0</v>
      </c>
      <c r="R32" s="17">
        <v>0</v>
      </c>
      <c r="S32" s="17">
        <v>0</v>
      </c>
      <c r="T32" s="17">
        <v>0</v>
      </c>
      <c r="U32" s="17">
        <v>0</v>
      </c>
      <c r="V32" s="17">
        <f t="shared" si="0"/>
        <v>0</v>
      </c>
      <c r="W32" s="17">
        <f t="shared" si="0"/>
        <v>0</v>
      </c>
      <c r="X32" s="43">
        <f>E32</f>
        <v>0</v>
      </c>
    </row>
    <row r="33" spans="1:24" x14ac:dyDescent="0.25">
      <c r="A33" t="s">
        <v>489</v>
      </c>
      <c r="B33" t="s">
        <v>391</v>
      </c>
      <c r="C33" s="32" t="s">
        <v>493</v>
      </c>
      <c r="D33" s="32" t="s">
        <v>494</v>
      </c>
      <c r="E33" s="17" t="s">
        <v>495</v>
      </c>
      <c r="F33" s="17">
        <v>0</v>
      </c>
      <c r="G33" s="17">
        <v>0</v>
      </c>
      <c r="H33" s="17">
        <v>0</v>
      </c>
      <c r="I33" s="17">
        <v>0</v>
      </c>
      <c r="J33" s="17">
        <v>0</v>
      </c>
      <c r="K33" s="17">
        <v>0</v>
      </c>
      <c r="L33" s="17">
        <v>0</v>
      </c>
      <c r="M33" s="17">
        <v>0</v>
      </c>
      <c r="N33" s="17">
        <v>0</v>
      </c>
      <c r="O33" s="17">
        <v>0</v>
      </c>
      <c r="P33" s="17">
        <v>0</v>
      </c>
      <c r="Q33" s="17">
        <v>0</v>
      </c>
      <c r="R33" s="17">
        <v>0</v>
      </c>
      <c r="S33" s="17">
        <v>0</v>
      </c>
      <c r="T33" s="17">
        <v>0</v>
      </c>
      <c r="U33" s="17">
        <v>0</v>
      </c>
      <c r="V33" s="17">
        <f t="shared" si="0"/>
        <v>0</v>
      </c>
      <c r="W33" s="17">
        <f t="shared" si="0"/>
        <v>0</v>
      </c>
      <c r="X33" s="43">
        <f t="shared" si="1"/>
        <v>0</v>
      </c>
    </row>
    <row r="34" spans="1:24" x14ac:dyDescent="0.25">
      <c r="A34" s="1" t="s">
        <v>8</v>
      </c>
      <c r="B34" s="1"/>
      <c r="C34" s="33"/>
      <c r="D34" s="33"/>
      <c r="E34" s="43">
        <f t="shared" ref="E34:X34" si="2">SUM(E6:E33)</f>
        <v>116.15045080415527</v>
      </c>
      <c r="F34" s="43">
        <f t="shared" si="2"/>
        <v>0</v>
      </c>
      <c r="G34" s="43">
        <f t="shared" si="2"/>
        <v>64.731692505774646</v>
      </c>
      <c r="H34" s="43">
        <f t="shared" si="2"/>
        <v>0.39638414498813457</v>
      </c>
      <c r="I34" s="43">
        <f t="shared" si="2"/>
        <v>11.385426052019906</v>
      </c>
      <c r="J34" s="43">
        <f t="shared" si="2"/>
        <v>61.675915367919814</v>
      </c>
      <c r="K34" s="43">
        <f t="shared" si="2"/>
        <v>0</v>
      </c>
      <c r="L34" s="43">
        <f t="shared" si="2"/>
        <v>1.9841182714581704</v>
      </c>
      <c r="M34" s="43">
        <f t="shared" si="2"/>
        <v>56.225743389231162</v>
      </c>
      <c r="N34" s="43">
        <f t="shared" si="2"/>
        <v>44.737724561034796</v>
      </c>
      <c r="O34" s="43">
        <f t="shared" si="2"/>
        <v>1.4210543854231008</v>
      </c>
      <c r="P34" s="43">
        <f t="shared" si="2"/>
        <v>0.40051072916485808</v>
      </c>
      <c r="Q34" s="43">
        <f t="shared" si="2"/>
        <v>45.758268217293036</v>
      </c>
      <c r="R34" s="43">
        <f t="shared" si="2"/>
        <v>0</v>
      </c>
      <c r="S34" s="43">
        <f t="shared" si="2"/>
        <v>0</v>
      </c>
      <c r="T34" s="43">
        <f t="shared" si="2"/>
        <v>0</v>
      </c>
      <c r="U34" s="43">
        <f t="shared" si="2"/>
        <v>0</v>
      </c>
      <c r="V34" s="43">
        <f t="shared" si="2"/>
        <v>2.7810131456111633</v>
      </c>
      <c r="W34" s="43">
        <f t="shared" si="2"/>
        <v>113.36943765854409</v>
      </c>
      <c r="X34" s="40">
        <f t="shared" si="2"/>
        <v>116.15045080415527</v>
      </c>
    </row>
    <row r="36" spans="1:24" x14ac:dyDescent="0.25">
      <c r="F36" s="43" t="s">
        <v>476</v>
      </c>
      <c r="G36" s="43" t="s">
        <v>476</v>
      </c>
      <c r="J36" s="43" t="s">
        <v>477</v>
      </c>
      <c r="K36" s="43" t="s">
        <v>477</v>
      </c>
      <c r="N36" s="43" t="s">
        <v>477</v>
      </c>
      <c r="O36" s="43" t="s">
        <v>477</v>
      </c>
      <c r="R36" s="43" t="s">
        <v>477</v>
      </c>
      <c r="S36" s="43" t="s">
        <v>477</v>
      </c>
      <c r="X36" s="43" t="s">
        <v>8</v>
      </c>
    </row>
    <row r="37" spans="1:24" x14ac:dyDescent="0.25">
      <c r="F37" s="43" t="s">
        <v>478</v>
      </c>
      <c r="G37" s="43" t="s">
        <v>478</v>
      </c>
      <c r="J37" s="43" t="s">
        <v>389</v>
      </c>
      <c r="K37" s="43" t="s">
        <v>389</v>
      </c>
      <c r="N37" s="43" t="s">
        <v>478</v>
      </c>
      <c r="O37" s="43" t="s">
        <v>478</v>
      </c>
      <c r="R37" s="43" t="s">
        <v>479</v>
      </c>
      <c r="S37" s="43" t="s">
        <v>479</v>
      </c>
      <c r="V37" s="43" t="s">
        <v>8</v>
      </c>
      <c r="W37" s="43" t="s">
        <v>8</v>
      </c>
      <c r="X37" s="43" t="s">
        <v>182</v>
      </c>
    </row>
    <row r="38" spans="1:24" x14ac:dyDescent="0.25">
      <c r="A38" s="35" t="s">
        <v>480</v>
      </c>
      <c r="B38" s="35" t="s">
        <v>481</v>
      </c>
      <c r="C38" s="54" t="s">
        <v>482</v>
      </c>
      <c r="D38" s="54" t="s">
        <v>483</v>
      </c>
      <c r="E38" s="191" t="s">
        <v>182</v>
      </c>
      <c r="F38" s="191" t="s">
        <v>484</v>
      </c>
      <c r="G38" s="191" t="s">
        <v>485</v>
      </c>
      <c r="H38" s="191" t="s">
        <v>486</v>
      </c>
      <c r="I38" s="191" t="s">
        <v>487</v>
      </c>
      <c r="J38" s="191" t="s">
        <v>484</v>
      </c>
      <c r="K38" s="191" t="s">
        <v>485</v>
      </c>
      <c r="L38" s="191" t="s">
        <v>486</v>
      </c>
      <c r="M38" s="191" t="s">
        <v>487</v>
      </c>
      <c r="N38" s="191" t="s">
        <v>484</v>
      </c>
      <c r="O38" s="191" t="s">
        <v>485</v>
      </c>
      <c r="P38" s="191" t="s">
        <v>486</v>
      </c>
      <c r="Q38" s="191" t="s">
        <v>487</v>
      </c>
      <c r="R38" s="191" t="s">
        <v>484</v>
      </c>
      <c r="S38" s="191" t="s">
        <v>485</v>
      </c>
      <c r="T38" s="191" t="s">
        <v>486</v>
      </c>
      <c r="U38" s="191" t="s">
        <v>487</v>
      </c>
      <c r="V38" s="191" t="s">
        <v>486</v>
      </c>
      <c r="W38" s="191" t="s">
        <v>487</v>
      </c>
      <c r="X38" s="191" t="s">
        <v>488</v>
      </c>
    </row>
    <row r="39" spans="1:24" x14ac:dyDescent="0.25">
      <c r="A39" t="s">
        <v>496</v>
      </c>
      <c r="B39" t="s">
        <v>96</v>
      </c>
      <c r="C39" s="32" t="s">
        <v>490</v>
      </c>
      <c r="D39" s="32" t="s">
        <v>490</v>
      </c>
      <c r="E39" s="17">
        <f>10000*('FY VOLUME AUTO'!E8/'FY VOLUME AUTO'!$E$12)/'FY VOLUME AUTO'!F8</f>
        <v>83.911618250944343</v>
      </c>
      <c r="F39" s="17">
        <f>E39*'BUNDLE DATA'!$D$20*'BUNDLE DATA'!$C$20</f>
        <v>0</v>
      </c>
      <c r="G39" s="17">
        <f>E39*(1-'BUNDLE DATA'!$D$20)*'BUNDLE DATA'!$C$20</f>
        <v>83.911618250944343</v>
      </c>
      <c r="H39" s="17">
        <f>E39*'BUNDLE DATA'!$D$8</f>
        <v>0.51383230945188274</v>
      </c>
      <c r="I39" s="17">
        <f>E39*(1-'BUNDLE DATA'!$D$8)*'BUNDLE DENSITIES'!$E$7</f>
        <v>83.397785941492458</v>
      </c>
      <c r="J39" s="17">
        <v>0</v>
      </c>
      <c r="K39" s="17">
        <v>0</v>
      </c>
      <c r="L39" s="17">
        <v>0</v>
      </c>
      <c r="M39" s="17">
        <v>0</v>
      </c>
      <c r="N39" s="17">
        <v>0</v>
      </c>
      <c r="O39" s="17">
        <v>0</v>
      </c>
      <c r="P39" s="17">
        <v>0</v>
      </c>
      <c r="Q39" s="17">
        <v>0</v>
      </c>
      <c r="R39" s="17">
        <v>0</v>
      </c>
      <c r="S39" s="17">
        <v>0</v>
      </c>
      <c r="T39" s="17">
        <v>0</v>
      </c>
      <c r="U39" s="17">
        <v>0</v>
      </c>
      <c r="V39" s="17">
        <f t="shared" ref="V39:W42" si="3">H39+L39+P39+T39</f>
        <v>0.51383230945188274</v>
      </c>
      <c r="W39" s="17">
        <f t="shared" si="3"/>
        <v>83.397785941492458</v>
      </c>
      <c r="X39" s="43">
        <f>V39+W39</f>
        <v>83.911618250944343</v>
      </c>
    </row>
    <row r="40" spans="1:24" x14ac:dyDescent="0.25">
      <c r="A40" t="s">
        <v>496</v>
      </c>
      <c r="B40" t="s">
        <v>96</v>
      </c>
      <c r="C40" s="32" t="s">
        <v>490</v>
      </c>
      <c r="D40" s="32" t="s">
        <v>494</v>
      </c>
      <c r="E40" s="17" t="s">
        <v>495</v>
      </c>
      <c r="F40" s="17">
        <v>0</v>
      </c>
      <c r="G40" s="17">
        <v>0</v>
      </c>
      <c r="H40" s="17">
        <v>0</v>
      </c>
      <c r="I40" s="17">
        <v>0</v>
      </c>
      <c r="J40" s="17">
        <v>0</v>
      </c>
      <c r="K40" s="17">
        <v>0</v>
      </c>
      <c r="L40" s="17">
        <v>0</v>
      </c>
      <c r="M40" s="17">
        <v>0</v>
      </c>
      <c r="N40" s="17">
        <v>0</v>
      </c>
      <c r="O40" s="17">
        <v>0</v>
      </c>
      <c r="P40" s="17">
        <v>0</v>
      </c>
      <c r="Q40" s="17">
        <v>0</v>
      </c>
      <c r="R40" s="17">
        <v>0</v>
      </c>
      <c r="S40" s="17">
        <v>0</v>
      </c>
      <c r="T40" s="17">
        <v>0</v>
      </c>
      <c r="U40" s="17">
        <v>0</v>
      </c>
      <c r="V40" s="17">
        <f t="shared" si="3"/>
        <v>0</v>
      </c>
      <c r="W40" s="17">
        <f t="shared" si="3"/>
        <v>0</v>
      </c>
      <c r="X40" s="43">
        <v>0</v>
      </c>
    </row>
    <row r="41" spans="1:24" x14ac:dyDescent="0.25">
      <c r="A41" t="s">
        <v>496</v>
      </c>
      <c r="B41" t="s">
        <v>391</v>
      </c>
      <c r="C41" s="32" t="s">
        <v>490</v>
      </c>
      <c r="D41" s="32" t="s">
        <v>490</v>
      </c>
      <c r="E41" s="17">
        <f>10000*('FY VOLUME AUTO'!E10/'FY VOLUME AUTO'!$E$12)/'FY VOLUME AUTO'!F10</f>
        <v>0</v>
      </c>
      <c r="F41" s="17">
        <f>E41*'BUNDLE DATA'!$D$20*'BUNDLE DATA'!$C$20</f>
        <v>0</v>
      </c>
      <c r="G41" s="17">
        <f>E41*(1-'BUNDLE DATA'!$D$20)*'BUNDLE DATA'!$C$20</f>
        <v>0</v>
      </c>
      <c r="H41" s="17">
        <f>E41*'BUNDLE DATA'!$D$10</f>
        <v>0</v>
      </c>
      <c r="I41" s="17">
        <f>E41*(1-'BUNDLE DATA'!$D$10)*'BUNDLE DENSITIES'!$E$7</f>
        <v>0</v>
      </c>
      <c r="J41" s="17">
        <v>0</v>
      </c>
      <c r="K41" s="17">
        <v>0</v>
      </c>
      <c r="L41" s="17">
        <v>0</v>
      </c>
      <c r="M41" s="17">
        <v>0</v>
      </c>
      <c r="N41" s="17">
        <v>0</v>
      </c>
      <c r="O41" s="17">
        <v>0</v>
      </c>
      <c r="P41" s="17">
        <v>0</v>
      </c>
      <c r="Q41" s="17">
        <v>0</v>
      </c>
      <c r="R41" s="17">
        <v>0</v>
      </c>
      <c r="S41" s="17">
        <v>0</v>
      </c>
      <c r="T41" s="17">
        <v>0</v>
      </c>
      <c r="U41" s="17">
        <v>0</v>
      </c>
      <c r="V41" s="17">
        <f t="shared" si="3"/>
        <v>0</v>
      </c>
      <c r="W41" s="17">
        <f t="shared" si="3"/>
        <v>0</v>
      </c>
      <c r="X41" s="43">
        <f>V41+W41</f>
        <v>0</v>
      </c>
    </row>
    <row r="42" spans="1:24" x14ac:dyDescent="0.25">
      <c r="A42" t="s">
        <v>496</v>
      </c>
      <c r="B42" t="s">
        <v>391</v>
      </c>
      <c r="C42" s="32" t="s">
        <v>490</v>
      </c>
      <c r="D42" s="32" t="s">
        <v>494</v>
      </c>
      <c r="E42" s="17" t="s">
        <v>495</v>
      </c>
      <c r="F42" s="17">
        <v>0</v>
      </c>
      <c r="G42" s="17">
        <v>0</v>
      </c>
      <c r="H42" s="17">
        <v>0</v>
      </c>
      <c r="I42" s="17">
        <v>0</v>
      </c>
      <c r="J42" s="17">
        <v>0</v>
      </c>
      <c r="K42" s="17">
        <v>0</v>
      </c>
      <c r="L42" s="17">
        <v>0</v>
      </c>
      <c r="M42" s="17">
        <v>0</v>
      </c>
      <c r="N42" s="17">
        <v>0</v>
      </c>
      <c r="O42" s="17">
        <v>0</v>
      </c>
      <c r="P42" s="17">
        <v>0</v>
      </c>
      <c r="Q42" s="17">
        <v>0</v>
      </c>
      <c r="R42" s="17">
        <v>0</v>
      </c>
      <c r="S42" s="17">
        <v>0</v>
      </c>
      <c r="T42" s="17">
        <v>0</v>
      </c>
      <c r="U42" s="17">
        <v>0</v>
      </c>
      <c r="V42" s="17">
        <f t="shared" si="3"/>
        <v>0</v>
      </c>
      <c r="W42" s="17">
        <f t="shared" si="3"/>
        <v>0</v>
      </c>
      <c r="X42" s="43">
        <v>0</v>
      </c>
    </row>
    <row r="43" spans="1:24" s="1" customFormat="1" x14ac:dyDescent="0.25">
      <c r="A43" s="1" t="s">
        <v>8</v>
      </c>
      <c r="E43" s="43">
        <f>SUM(E39:E42)</f>
        <v>83.911618250944343</v>
      </c>
      <c r="F43" s="43">
        <f t="shared" ref="F43:X43" si="4">SUM(F39:F42)</f>
        <v>0</v>
      </c>
      <c r="G43" s="43">
        <f t="shared" si="4"/>
        <v>83.911618250944343</v>
      </c>
      <c r="H43" s="43">
        <f t="shared" si="4"/>
        <v>0.51383230945188274</v>
      </c>
      <c r="I43" s="43">
        <f t="shared" si="4"/>
        <v>83.397785941492458</v>
      </c>
      <c r="J43" s="43">
        <f t="shared" si="4"/>
        <v>0</v>
      </c>
      <c r="K43" s="43">
        <f t="shared" si="4"/>
        <v>0</v>
      </c>
      <c r="L43" s="43">
        <f t="shared" si="4"/>
        <v>0</v>
      </c>
      <c r="M43" s="43">
        <f t="shared" si="4"/>
        <v>0</v>
      </c>
      <c r="N43" s="43">
        <f t="shared" si="4"/>
        <v>0</v>
      </c>
      <c r="O43" s="43">
        <f t="shared" si="4"/>
        <v>0</v>
      </c>
      <c r="P43" s="43">
        <f t="shared" si="4"/>
        <v>0</v>
      </c>
      <c r="Q43" s="43">
        <f t="shared" si="4"/>
        <v>0</v>
      </c>
      <c r="R43" s="43">
        <f t="shared" si="4"/>
        <v>0</v>
      </c>
      <c r="S43" s="43">
        <f t="shared" si="4"/>
        <v>0</v>
      </c>
      <c r="T43" s="43">
        <f t="shared" si="4"/>
        <v>0</v>
      </c>
      <c r="U43" s="43">
        <f t="shared" si="4"/>
        <v>0</v>
      </c>
      <c r="V43" s="43">
        <f t="shared" si="4"/>
        <v>0.51383230945188274</v>
      </c>
      <c r="W43" s="43">
        <f t="shared" si="4"/>
        <v>83.397785941492458</v>
      </c>
      <c r="X43" s="40">
        <f t="shared" si="4"/>
        <v>83.911618250944343</v>
      </c>
    </row>
    <row r="45" spans="1:24" x14ac:dyDescent="0.25">
      <c r="F45" s="43" t="s">
        <v>476</v>
      </c>
      <c r="G45" s="43" t="s">
        <v>476</v>
      </c>
      <c r="J45" s="43" t="s">
        <v>477</v>
      </c>
      <c r="K45" s="43" t="s">
        <v>477</v>
      </c>
      <c r="N45" s="43" t="s">
        <v>477</v>
      </c>
      <c r="O45" s="43" t="s">
        <v>477</v>
      </c>
      <c r="R45" s="43" t="s">
        <v>477</v>
      </c>
      <c r="S45" s="43" t="s">
        <v>477</v>
      </c>
      <c r="X45" s="43" t="s">
        <v>8</v>
      </c>
    </row>
    <row r="46" spans="1:24" x14ac:dyDescent="0.25">
      <c r="F46" s="43" t="s">
        <v>478</v>
      </c>
      <c r="G46" s="43" t="s">
        <v>478</v>
      </c>
      <c r="J46" s="43" t="s">
        <v>389</v>
      </c>
      <c r="K46" s="43" t="s">
        <v>389</v>
      </c>
      <c r="N46" s="43" t="s">
        <v>478</v>
      </c>
      <c r="O46" s="43" t="s">
        <v>478</v>
      </c>
      <c r="R46" s="43" t="s">
        <v>479</v>
      </c>
      <c r="S46" s="43" t="s">
        <v>479</v>
      </c>
      <c r="V46" s="43" t="s">
        <v>8</v>
      </c>
      <c r="W46" s="43" t="s">
        <v>8</v>
      </c>
      <c r="X46" s="43" t="s">
        <v>182</v>
      </c>
    </row>
    <row r="47" spans="1:24" x14ac:dyDescent="0.25">
      <c r="A47" s="35" t="s">
        <v>480</v>
      </c>
      <c r="B47" s="35" t="s">
        <v>481</v>
      </c>
      <c r="C47" s="54" t="s">
        <v>482</v>
      </c>
      <c r="D47" s="54" t="s">
        <v>483</v>
      </c>
      <c r="E47" s="191" t="s">
        <v>182</v>
      </c>
      <c r="F47" s="191" t="s">
        <v>484</v>
      </c>
      <c r="G47" s="191" t="s">
        <v>485</v>
      </c>
      <c r="H47" s="191" t="s">
        <v>486</v>
      </c>
      <c r="I47" s="191" t="s">
        <v>487</v>
      </c>
      <c r="J47" s="191" t="s">
        <v>484</v>
      </c>
      <c r="K47" s="191" t="s">
        <v>485</v>
      </c>
      <c r="L47" s="191" t="s">
        <v>486</v>
      </c>
      <c r="M47" s="191" t="s">
        <v>487</v>
      </c>
      <c r="N47" s="191" t="s">
        <v>484</v>
      </c>
      <c r="O47" s="191" t="s">
        <v>485</v>
      </c>
      <c r="P47" s="191" t="s">
        <v>486</v>
      </c>
      <c r="Q47" s="191" t="s">
        <v>487</v>
      </c>
      <c r="R47" s="191" t="s">
        <v>484</v>
      </c>
      <c r="S47" s="191" t="s">
        <v>485</v>
      </c>
      <c r="T47" s="191" t="s">
        <v>486</v>
      </c>
      <c r="U47" s="191" t="s">
        <v>487</v>
      </c>
      <c r="V47" s="191" t="s">
        <v>486</v>
      </c>
      <c r="W47" s="191" t="s">
        <v>487</v>
      </c>
      <c r="X47" s="191" t="s">
        <v>488</v>
      </c>
    </row>
    <row r="48" spans="1:24" x14ac:dyDescent="0.25">
      <c r="A48" t="s">
        <v>497</v>
      </c>
      <c r="B48" t="s">
        <v>96</v>
      </c>
      <c r="C48" s="32" t="s">
        <v>490</v>
      </c>
      <c r="D48" s="32" t="s">
        <v>491</v>
      </c>
      <c r="E48" s="17">
        <f>10000*('FY VOLUME AUTO'!E17/'FY VOLUME AUTO'!$E$23)/'FY VOLUME AUTO'!F17</f>
        <v>282.01526176874671</v>
      </c>
      <c r="F48" s="17">
        <f>E48*'BUNDLE DATA'!$D$22*'BUNDLE DATA'!$C$22</f>
        <v>0</v>
      </c>
      <c r="G48" s="17">
        <f>E48*(1-'BUNDLE DATA'!$D$22)*'BUNDLE DATA'!$C$22</f>
        <v>282.01526176874671</v>
      </c>
      <c r="H48" s="17">
        <f>E48*'BUNDLE DATA'!$D$8</f>
        <v>1.7269188257334267</v>
      </c>
      <c r="I48" s="17">
        <f>E48*(1-'BUNDLE DATA'!$D$8)*'BUNDLE DENSITIES'!$G$7</f>
        <v>8.4052956360289972</v>
      </c>
      <c r="J48" s="17">
        <f>E48*(1-'BUNDLE DATA'!$D$8)*'BUNDLE DENSITIES'!$G$8*'BUNDLE DATA'!$D$30*'BUNDLE DATA'!$C$30</f>
        <v>271.88304730698428</v>
      </c>
      <c r="K48" s="17">
        <f>E48*(1-'BUNDLE DATA'!$D$8)*'BUNDLE DENSITIES'!$G$8*(1-'BUNDLE DATA'!$D$30)*'BUNDLE DATA'!$C$30</f>
        <v>0</v>
      </c>
      <c r="L48" s="17">
        <f>E48*(1-'BUNDLE DATA'!$D$8)*'BUNDLE DENSITIES'!$G$8*'BUNDLE DATA'!$E$8</f>
        <v>9.9747424484820506</v>
      </c>
      <c r="M48" s="17">
        <f>E48*(1-'BUNDLE DATA'!$D$8)*'BUNDLE DENSITIES'!$G$8*(1-'BUNDLE DATA'!$E$8)*'BUNDLE DENSITIES'!$G$15</f>
        <v>261.90830485850222</v>
      </c>
      <c r="N48" s="17">
        <v>0</v>
      </c>
      <c r="O48" s="17">
        <v>0</v>
      </c>
      <c r="P48" s="17">
        <v>0</v>
      </c>
      <c r="Q48" s="17">
        <v>0</v>
      </c>
      <c r="R48" s="17">
        <v>0</v>
      </c>
      <c r="S48" s="17">
        <v>0</v>
      </c>
      <c r="T48" s="17">
        <v>0</v>
      </c>
      <c r="U48" s="17">
        <v>0</v>
      </c>
      <c r="V48" s="17">
        <f t="shared" ref="V48:W53" si="5">H48+L48+P48+T48</f>
        <v>11.701661274215477</v>
      </c>
      <c r="W48" s="17">
        <f t="shared" si="5"/>
        <v>270.31360049453122</v>
      </c>
      <c r="X48" s="43">
        <f>V48+W48</f>
        <v>282.01526176874671</v>
      </c>
    </row>
    <row r="49" spans="1:24" x14ac:dyDescent="0.25">
      <c r="A49" t="s">
        <v>497</v>
      </c>
      <c r="B49" t="s">
        <v>96</v>
      </c>
      <c r="C49" s="32" t="s">
        <v>491</v>
      </c>
      <c r="D49" s="32" t="s">
        <v>491</v>
      </c>
      <c r="E49" s="17">
        <f>10000*('FY VOLUME AUTO'!E18/'FY VOLUME AUTO'!$E$23)/'FY VOLUME AUTO'!F18</f>
        <v>21.928187122632636</v>
      </c>
      <c r="F49" s="17">
        <v>0</v>
      </c>
      <c r="G49" s="17">
        <v>0</v>
      </c>
      <c r="H49" s="17">
        <v>0</v>
      </c>
      <c r="I49" s="17">
        <f>F49*(1-'BUNDLE DATA'!$D$8)*'BUNDLE DENSITIES'!$G$15</f>
        <v>0</v>
      </c>
      <c r="J49" s="17">
        <f>E49*'BUNDLE DATA'!$D$30*'BUNDLE DATA'!$C$30</f>
        <v>21.928187122632636</v>
      </c>
      <c r="K49" s="17">
        <f>E49*(1-'BUNDLE DATA'!$D$30)*'BUNDLE DATA'!$C$30</f>
        <v>0</v>
      </c>
      <c r="L49" s="17">
        <f>E49*'BUNDLE DATA'!$D$8</f>
        <v>0.13427712712701212</v>
      </c>
      <c r="M49" s="17">
        <f>E49*(1-'BUNDLE DATA'!$D$8)*'BUNDLE DENSITIES'!$G$15</f>
        <v>21.793909995505622</v>
      </c>
      <c r="N49" s="17">
        <v>0</v>
      </c>
      <c r="O49" s="17">
        <v>0</v>
      </c>
      <c r="P49" s="17">
        <v>0</v>
      </c>
      <c r="Q49" s="17">
        <v>0</v>
      </c>
      <c r="R49" s="17">
        <v>0</v>
      </c>
      <c r="S49" s="17">
        <v>0</v>
      </c>
      <c r="T49" s="17">
        <v>0</v>
      </c>
      <c r="U49" s="17">
        <v>0</v>
      </c>
      <c r="V49" s="17">
        <f t="shared" si="5"/>
        <v>0.13427712712701212</v>
      </c>
      <c r="W49" s="17">
        <f t="shared" si="5"/>
        <v>21.793909995505622</v>
      </c>
      <c r="X49" s="43">
        <f>V49+W49</f>
        <v>21.928187122632636</v>
      </c>
    </row>
    <row r="50" spans="1:24" x14ac:dyDescent="0.25">
      <c r="A50" t="s">
        <v>497</v>
      </c>
      <c r="B50" t="s">
        <v>96</v>
      </c>
      <c r="C50" t="s">
        <v>491</v>
      </c>
      <c r="D50" t="s">
        <v>494</v>
      </c>
      <c r="E50" s="17" t="s">
        <v>495</v>
      </c>
      <c r="F50" s="17">
        <v>0</v>
      </c>
      <c r="G50" s="17">
        <v>0</v>
      </c>
      <c r="H50" s="17">
        <v>0</v>
      </c>
      <c r="I50" s="17">
        <v>0</v>
      </c>
      <c r="J50" s="17">
        <v>0</v>
      </c>
      <c r="K50" s="17">
        <v>0</v>
      </c>
      <c r="L50" s="17">
        <v>0</v>
      </c>
      <c r="M50" s="17">
        <v>0</v>
      </c>
      <c r="N50" s="17">
        <v>0</v>
      </c>
      <c r="O50" s="17">
        <v>0</v>
      </c>
      <c r="P50" s="17">
        <v>0</v>
      </c>
      <c r="Q50" s="17">
        <v>0</v>
      </c>
      <c r="R50" s="17">
        <v>0</v>
      </c>
      <c r="S50" s="17">
        <v>0</v>
      </c>
      <c r="T50" s="17">
        <v>0</v>
      </c>
      <c r="U50" s="17">
        <v>0</v>
      </c>
      <c r="V50" s="17">
        <f t="shared" si="5"/>
        <v>0</v>
      </c>
      <c r="W50" s="17">
        <f t="shared" si="5"/>
        <v>0</v>
      </c>
      <c r="X50" s="43">
        <v>0</v>
      </c>
    </row>
    <row r="51" spans="1:24" x14ac:dyDescent="0.25">
      <c r="A51" t="s">
        <v>497</v>
      </c>
      <c r="B51" t="s">
        <v>391</v>
      </c>
      <c r="C51" s="32" t="s">
        <v>490</v>
      </c>
      <c r="D51" s="32" t="s">
        <v>491</v>
      </c>
      <c r="E51" s="17">
        <f>10000*('FY VOLUME AUTO'!E20/'FY VOLUME AUTO'!$E$23)/'FY VOLUME AUTO'!F20</f>
        <v>0</v>
      </c>
      <c r="F51" s="17">
        <f>E51*'BUNDLE DATA'!$D$22*'BUNDLE DATA'!$C$22</f>
        <v>0</v>
      </c>
      <c r="G51" s="17">
        <f>E51*(1-'BUNDLE DATA'!$D$22)*'BUNDLE DATA'!$C$22</f>
        <v>0</v>
      </c>
      <c r="H51" s="17">
        <f>E51*'BUNDLE DATA'!$D$10</f>
        <v>0</v>
      </c>
      <c r="I51" s="17">
        <f>E51*(1-'BUNDLE DATA'!$D$10)*'BUNDLE DENSITIES'!$G$7</f>
        <v>0</v>
      </c>
      <c r="J51" s="17">
        <f>E51*(1-'BUNDLE DATA'!$D$10)*'BUNDLE DENSITIES'!$G$8*'BUNDLE DATA'!$D$30*'BUNDLE DATA'!$C$30</f>
        <v>0</v>
      </c>
      <c r="K51" s="17">
        <f>E51*(1-'BUNDLE DATA'!$D$10)*'BUNDLE DENSITIES'!$G$8*(1-'BUNDLE DATA'!$D$30)*'BUNDLE DATA'!$C$30</f>
        <v>0</v>
      </c>
      <c r="L51" s="17">
        <f>E51*(1-'BUNDLE DATA'!$D$10)*'BUNDLE DENSITIES'!$G$8*'BUNDLE DATA'!$E$8</f>
        <v>0</v>
      </c>
      <c r="M51" s="17">
        <f>E51*(1-'BUNDLE DATA'!$D$10)*'BUNDLE DENSITIES'!$G$8*(1-'BUNDLE DATA'!$E$10)*'BUNDLE DENSITIES'!$G$15</f>
        <v>0</v>
      </c>
      <c r="N51" s="17">
        <v>0</v>
      </c>
      <c r="O51" s="17">
        <v>0</v>
      </c>
      <c r="P51" s="17">
        <v>0</v>
      </c>
      <c r="Q51" s="17">
        <v>0</v>
      </c>
      <c r="R51" s="17">
        <v>0</v>
      </c>
      <c r="S51" s="17">
        <v>0</v>
      </c>
      <c r="T51" s="17">
        <v>0</v>
      </c>
      <c r="U51" s="17">
        <v>0</v>
      </c>
      <c r="V51" s="17">
        <f t="shared" si="5"/>
        <v>0</v>
      </c>
      <c r="W51" s="17">
        <f t="shared" si="5"/>
        <v>0</v>
      </c>
      <c r="X51" s="43">
        <f>V51+W51</f>
        <v>0</v>
      </c>
    </row>
    <row r="52" spans="1:24" x14ac:dyDescent="0.25">
      <c r="A52" t="s">
        <v>497</v>
      </c>
      <c r="B52" t="s">
        <v>391</v>
      </c>
      <c r="C52" t="s">
        <v>491</v>
      </c>
      <c r="D52" s="32" t="s">
        <v>491</v>
      </c>
      <c r="E52" s="17">
        <f>10000*('FY VOLUME AUTO'!E21/'FY VOLUME AUTO'!$E$23)/'FY VOLUME AUTO'!F21</f>
        <v>0</v>
      </c>
      <c r="F52" s="17">
        <v>0</v>
      </c>
      <c r="G52" s="17">
        <v>0</v>
      </c>
      <c r="H52" s="17">
        <v>0</v>
      </c>
      <c r="I52" s="17">
        <v>0</v>
      </c>
      <c r="J52" s="17">
        <f>E52*'BUNDLE DATA'!$D$30*'BUNDLE DATA'!$C$30</f>
        <v>0</v>
      </c>
      <c r="K52" s="17">
        <f>E52*(1-'BUNDLE DATA'!$D$30)*'BUNDLE DATA'!$C$30</f>
        <v>0</v>
      </c>
      <c r="L52" s="17">
        <f>E52*'BUNDLE DATA'!$D$10</f>
        <v>0</v>
      </c>
      <c r="M52" s="17">
        <f>E52*(1-'BUNDLE DATA'!$D$10)*'BUNDLE DENSITIES'!$G$15</f>
        <v>0</v>
      </c>
      <c r="N52" s="17">
        <v>0</v>
      </c>
      <c r="O52" s="17">
        <v>0</v>
      </c>
      <c r="P52" s="17">
        <v>0</v>
      </c>
      <c r="Q52" s="17">
        <v>0</v>
      </c>
      <c r="R52" s="17">
        <v>0</v>
      </c>
      <c r="S52" s="17">
        <v>0</v>
      </c>
      <c r="T52" s="17">
        <v>0</v>
      </c>
      <c r="U52" s="17">
        <v>0</v>
      </c>
      <c r="V52" s="17">
        <f t="shared" si="5"/>
        <v>0</v>
      </c>
      <c r="W52" s="17">
        <f t="shared" si="5"/>
        <v>0</v>
      </c>
      <c r="X52" s="43">
        <f>V52+W52</f>
        <v>0</v>
      </c>
    </row>
    <row r="53" spans="1:24" x14ac:dyDescent="0.25">
      <c r="A53" t="s">
        <v>497</v>
      </c>
      <c r="B53" t="s">
        <v>391</v>
      </c>
      <c r="C53" t="s">
        <v>491</v>
      </c>
      <c r="D53" t="s">
        <v>494</v>
      </c>
      <c r="E53" s="17" t="s">
        <v>495</v>
      </c>
      <c r="F53" s="17">
        <v>0</v>
      </c>
      <c r="G53" s="17">
        <v>0</v>
      </c>
      <c r="H53" s="17">
        <v>0</v>
      </c>
      <c r="I53" s="17">
        <v>0</v>
      </c>
      <c r="J53" s="17">
        <v>0</v>
      </c>
      <c r="K53" s="17">
        <v>0</v>
      </c>
      <c r="L53" s="17">
        <v>0</v>
      </c>
      <c r="M53" s="17">
        <v>0</v>
      </c>
      <c r="N53" s="17">
        <v>0</v>
      </c>
      <c r="O53" s="17">
        <v>0</v>
      </c>
      <c r="P53" s="17">
        <v>0</v>
      </c>
      <c r="Q53" s="17">
        <v>0</v>
      </c>
      <c r="R53" s="17">
        <v>0</v>
      </c>
      <c r="S53" s="17">
        <v>0</v>
      </c>
      <c r="T53" s="17">
        <v>0</v>
      </c>
      <c r="U53" s="17">
        <v>0</v>
      </c>
      <c r="V53" s="17">
        <f t="shared" si="5"/>
        <v>0</v>
      </c>
      <c r="W53" s="17">
        <f t="shared" si="5"/>
        <v>0</v>
      </c>
      <c r="X53" s="43">
        <v>0</v>
      </c>
    </row>
    <row r="54" spans="1:24" s="1" customFormat="1" x14ac:dyDescent="0.25">
      <c r="A54" s="1" t="s">
        <v>8</v>
      </c>
      <c r="E54" s="43">
        <f>SUM(E48:E53)</f>
        <v>303.94344889137938</v>
      </c>
      <c r="F54" s="43">
        <f t="shared" ref="F54:X54" si="6">SUM(F48:F53)</f>
        <v>0</v>
      </c>
      <c r="G54" s="43">
        <f t="shared" si="6"/>
        <v>282.01526176874671</v>
      </c>
      <c r="H54" s="43">
        <f t="shared" si="6"/>
        <v>1.7269188257334267</v>
      </c>
      <c r="I54" s="43">
        <f t="shared" si="6"/>
        <v>8.4052956360289972</v>
      </c>
      <c r="J54" s="43">
        <f t="shared" si="6"/>
        <v>293.81123442961689</v>
      </c>
      <c r="K54" s="43">
        <f t="shared" si="6"/>
        <v>0</v>
      </c>
      <c r="L54" s="43">
        <f t="shared" si="6"/>
        <v>10.109019575609063</v>
      </c>
      <c r="M54" s="43">
        <f t="shared" si="6"/>
        <v>283.70221485400782</v>
      </c>
      <c r="N54" s="43">
        <f t="shared" si="6"/>
        <v>0</v>
      </c>
      <c r="O54" s="43">
        <f t="shared" si="6"/>
        <v>0</v>
      </c>
      <c r="P54" s="43">
        <f t="shared" si="6"/>
        <v>0</v>
      </c>
      <c r="Q54" s="43">
        <f t="shared" si="6"/>
        <v>0</v>
      </c>
      <c r="R54" s="43">
        <f t="shared" si="6"/>
        <v>0</v>
      </c>
      <c r="S54" s="43">
        <f t="shared" si="6"/>
        <v>0</v>
      </c>
      <c r="T54" s="43">
        <f t="shared" si="6"/>
        <v>0</v>
      </c>
      <c r="U54" s="43">
        <f t="shared" si="6"/>
        <v>0</v>
      </c>
      <c r="V54" s="43">
        <f t="shared" si="6"/>
        <v>11.835938401342489</v>
      </c>
      <c r="W54" s="43">
        <f t="shared" si="6"/>
        <v>292.10751049003682</v>
      </c>
      <c r="X54" s="40">
        <f t="shared" si="6"/>
        <v>303.94344889137938</v>
      </c>
    </row>
    <row r="56" spans="1:24" x14ac:dyDescent="0.25">
      <c r="F56" s="43" t="s">
        <v>476</v>
      </c>
      <c r="G56" s="43" t="s">
        <v>476</v>
      </c>
      <c r="J56" s="43" t="s">
        <v>477</v>
      </c>
      <c r="K56" s="43" t="s">
        <v>477</v>
      </c>
      <c r="N56" s="43" t="s">
        <v>477</v>
      </c>
      <c r="O56" s="43" t="s">
        <v>477</v>
      </c>
      <c r="R56" s="43" t="s">
        <v>477</v>
      </c>
      <c r="S56" s="43" t="s">
        <v>477</v>
      </c>
      <c r="X56" s="43" t="s">
        <v>8</v>
      </c>
    </row>
    <row r="57" spans="1:24" x14ac:dyDescent="0.25">
      <c r="F57" s="43" t="s">
        <v>478</v>
      </c>
      <c r="G57" s="43" t="s">
        <v>478</v>
      </c>
      <c r="J57" s="43" t="s">
        <v>389</v>
      </c>
      <c r="K57" s="43" t="s">
        <v>389</v>
      </c>
      <c r="N57" s="43" t="s">
        <v>478</v>
      </c>
      <c r="O57" s="43" t="s">
        <v>478</v>
      </c>
      <c r="R57" s="43" t="s">
        <v>479</v>
      </c>
      <c r="S57" s="43" t="s">
        <v>479</v>
      </c>
      <c r="V57" s="43" t="s">
        <v>8</v>
      </c>
      <c r="W57" s="43" t="s">
        <v>8</v>
      </c>
      <c r="X57" s="43" t="s">
        <v>182</v>
      </c>
    </row>
    <row r="58" spans="1:24" x14ac:dyDescent="0.25">
      <c r="A58" s="35" t="s">
        <v>480</v>
      </c>
      <c r="B58" s="35" t="s">
        <v>481</v>
      </c>
      <c r="C58" s="54" t="s">
        <v>482</v>
      </c>
      <c r="D58" s="54" t="s">
        <v>483</v>
      </c>
      <c r="E58" s="191" t="s">
        <v>182</v>
      </c>
      <c r="F58" s="191" t="s">
        <v>484</v>
      </c>
      <c r="G58" s="191" t="s">
        <v>485</v>
      </c>
      <c r="H58" s="191" t="s">
        <v>486</v>
      </c>
      <c r="I58" s="191" t="s">
        <v>487</v>
      </c>
      <c r="J58" s="191" t="s">
        <v>484</v>
      </c>
      <c r="K58" s="191" t="s">
        <v>485</v>
      </c>
      <c r="L58" s="191" t="s">
        <v>486</v>
      </c>
      <c r="M58" s="191" t="s">
        <v>487</v>
      </c>
      <c r="N58" s="191" t="s">
        <v>484</v>
      </c>
      <c r="O58" s="191" t="s">
        <v>485</v>
      </c>
      <c r="P58" s="191" t="s">
        <v>486</v>
      </c>
      <c r="Q58" s="191" t="s">
        <v>487</v>
      </c>
      <c r="R58" s="191" t="s">
        <v>484</v>
      </c>
      <c r="S58" s="191" t="s">
        <v>485</v>
      </c>
      <c r="T58" s="191" t="s">
        <v>486</v>
      </c>
      <c r="U58" s="191" t="s">
        <v>487</v>
      </c>
      <c r="V58" s="191" t="s">
        <v>486</v>
      </c>
      <c r="W58" s="191" t="s">
        <v>487</v>
      </c>
      <c r="X58" s="191" t="s">
        <v>488</v>
      </c>
    </row>
    <row r="59" spans="1:24" x14ac:dyDescent="0.25">
      <c r="A59" t="s">
        <v>498</v>
      </c>
      <c r="B59" t="s">
        <v>96</v>
      </c>
      <c r="C59" s="32" t="s">
        <v>490</v>
      </c>
      <c r="D59" s="32" t="s">
        <v>492</v>
      </c>
      <c r="E59" s="17">
        <f>10000*('FY VOLUME AUTO'!E28/'FY VOLUME AUTO'!$E$36)/'FY VOLUME AUTO'!F28</f>
        <v>138.39316889641205</v>
      </c>
      <c r="F59" s="17">
        <f>E59*'BUNDLE DATA'!$D$24*'BUNDLE DATA'!$C$24</f>
        <v>0</v>
      </c>
      <c r="G59" s="17">
        <f>E59*(1-'BUNDLE DATA'!$D$24)*'BUNDLE DATA'!$C$24</f>
        <v>138.39316889641205</v>
      </c>
      <c r="H59" s="17">
        <f>E59*'BUNDLE DATA'!$D$8</f>
        <v>0.84744976999186383</v>
      </c>
      <c r="I59" s="17">
        <f>E59*(1-'BUNDLE DATA'!$D$8)*'BUNDLE DENSITIES'!$I$7</f>
        <v>2.7969027448406574</v>
      </c>
      <c r="J59" s="17">
        <f>E59*(1-'BUNDLE DATA'!$D$8)*'BUNDLE DENSITIES'!$I$8*'BUNDLE DATA'!$D$32*'BUNDLE DATA'!$C$32</f>
        <v>134.19332709952229</v>
      </c>
      <c r="K59" s="17">
        <f>E59*(1-'BUNDLE DATA'!$D$8)*'BUNDLE DENSITIES'!$I$8*(1-'BUNDLE DATA'!$D$32)*'BUNDLE DATA'!$C$32</f>
        <v>0</v>
      </c>
      <c r="L59" s="17">
        <f>E59*(1-'BUNDLE DATA'!$D$8)*'BUNDLE DENSITIES'!$I$8*'BUNDLE DATA'!$E$8</f>
        <v>4.9232340500115335</v>
      </c>
      <c r="M59" s="17">
        <f>E59*(1-'BUNDLE DATA'!$D$8)*'BUNDLE DENSITIES'!$I$8*(1-'BUNDLE DATA'!$E$8)*'BUNDLE DENSITIES'!$I$15</f>
        <v>121.0565262214254</v>
      </c>
      <c r="N59" s="17">
        <f>E59*(1-'BUNDLE DATA'!$D$8)*('BUNDLE DENSITIES'!$I$9+'BUNDLE DENSITIES'!$I$8*(1-'BUNDLE DATA'!$E$8)*'BUNDLE DENSITIES'!$I$16)*'BUNDLE DATA'!$D$38*'BUNDLE DATA'!$C$38</f>
        <v>8.4990900077941323</v>
      </c>
      <c r="O59" s="17">
        <f>E59*(1-'BUNDLE DATA'!$D$8)*('BUNDLE DENSITIES'!$I$9+'BUNDLE DENSITIES'!$I$8*(1-'BUNDLE DATA'!$E$8)*'BUNDLE DENSITIES'!$I$16)*(1-'BUNDLE DATA'!$D$38)*'BUNDLE DATA'!$C$38</f>
        <v>0.26996610234845947</v>
      </c>
      <c r="P59" s="17">
        <f>E59*(1-'BUNDLE DATA'!$D$8)*('BUNDLE DENSITIES'!$I$9+'BUNDLE DENSITIES'!$I$8*(1-'BUNDLE DATA'!$E$8)*'BUNDLE DENSITIES'!$I$16)*'BUNDLE DATA'!$E$8</f>
        <v>0.3217158152424211</v>
      </c>
      <c r="Q59" s="17">
        <f>E59*(1-'BUNDLE DATA'!$D$8)*('BUNDLE DENSITIES'!$I$9+'BUNDLE DENSITIES'!$I$8*(1-'BUNDLE DATA'!$E$8)*'BUNDLE DENSITIES'!$I$16)*(1-'BUNDLE DATA'!$E$8)*'BUNDLE DENSITIES'!$I$22</f>
        <v>8.4473402949001706</v>
      </c>
      <c r="R59" s="17">
        <v>0</v>
      </c>
      <c r="S59" s="17">
        <v>0</v>
      </c>
      <c r="T59" s="17">
        <v>0</v>
      </c>
      <c r="U59" s="17">
        <v>0</v>
      </c>
      <c r="V59" s="17">
        <f t="shared" ref="V59:W66" si="7">H59+L59+P59+T59</f>
        <v>6.092399635245819</v>
      </c>
      <c r="W59" s="17">
        <f t="shared" si="7"/>
        <v>132.30076926116621</v>
      </c>
      <c r="X59" s="43">
        <f>V59+W59</f>
        <v>138.39316889641202</v>
      </c>
    </row>
    <row r="60" spans="1:24" x14ac:dyDescent="0.25">
      <c r="A60" t="s">
        <v>498</v>
      </c>
      <c r="B60" t="s">
        <v>96</v>
      </c>
      <c r="C60" t="s">
        <v>491</v>
      </c>
      <c r="D60" t="s">
        <v>492</v>
      </c>
      <c r="E60" s="17">
        <f>10000*('FY VOLUME AUTO'!E29/'FY VOLUME AUTO'!$E$36)/'FY VOLUME AUTO'!F29</f>
        <v>77.851709979835604</v>
      </c>
      <c r="F60" s="17">
        <v>0</v>
      </c>
      <c r="G60" s="17">
        <v>0</v>
      </c>
      <c r="H60" s="17">
        <v>0</v>
      </c>
      <c r="I60" s="17">
        <v>0</v>
      </c>
      <c r="J60" s="17">
        <f>E60*'BUNDLE DATA'!$D$32*'BUNDLE DATA'!$C$32</f>
        <v>77.851709979835604</v>
      </c>
      <c r="K60" s="17">
        <f>E60*(1-'BUNDLE DATA'!$D$32)*'BUNDLE DATA'!$C$32</f>
        <v>0</v>
      </c>
      <c r="L60" s="17">
        <f>E60*'BUNDLE DATA'!$D$8</f>
        <v>0.47672449617269685</v>
      </c>
      <c r="M60" s="17">
        <f>E60*(1-'BUNDLE DATA'!$D$8)*'BUNDLE DENSITIES'!$I$15</f>
        <v>72.458731467749175</v>
      </c>
      <c r="N60" s="17">
        <f>E60*(1-'BUNDLE DATA'!$D$8)*'BUNDLE DENSITIES'!$I$16*'BUNDLE DATA'!$D$38*'BUNDLE DATA'!$C$38</f>
        <v>4.7649011316168703</v>
      </c>
      <c r="O60" s="17">
        <f>E60*(1-'BUNDLE DATA'!$D$8)*'BUNDLE DENSITIES'!$I$16*(1-'BUNDLE DATA'!$D$38)*'BUNDLE DATA'!$C$38</f>
        <v>0.15135288429687249</v>
      </c>
      <c r="P60" s="17">
        <f>E60*(1-'BUNDLE DATA'!$D$8)*'BUNDLE DENSITIES'!$I$16*'BUNDLE DATA'!$E$8</f>
        <v>0.18036566864239142</v>
      </c>
      <c r="Q60" s="17">
        <f>E60*(1-'BUNDLE DATA'!$D$8)*'BUNDLE DENSITIES'!$I$16*(1-'BUNDLE DATA'!$E$8)*'BUNDLE DENSITIES'!$I$22</f>
        <v>4.7358883472713513</v>
      </c>
      <c r="R60" s="17">
        <v>0</v>
      </c>
      <c r="S60" s="17">
        <v>0</v>
      </c>
      <c r="T60" s="17">
        <v>0</v>
      </c>
      <c r="U60" s="17">
        <v>0</v>
      </c>
      <c r="V60" s="17">
        <f t="shared" si="7"/>
        <v>0.65709016481508831</v>
      </c>
      <c r="W60" s="17">
        <f t="shared" si="7"/>
        <v>77.19461981502053</v>
      </c>
      <c r="X60" s="43">
        <f>V60+W60</f>
        <v>77.851709979835618</v>
      </c>
    </row>
    <row r="61" spans="1:24" x14ac:dyDescent="0.25">
      <c r="A61" t="s">
        <v>498</v>
      </c>
      <c r="B61" t="s">
        <v>96</v>
      </c>
      <c r="C61" t="s">
        <v>492</v>
      </c>
      <c r="D61" t="s">
        <v>492</v>
      </c>
      <c r="E61" s="17">
        <f>10000*('FY VOLUME AUTO'!E30/'FY VOLUME AUTO'!$E$36)/'FY VOLUME AUTO'!F30</f>
        <v>29.307605226817735</v>
      </c>
      <c r="F61" s="17">
        <v>0</v>
      </c>
      <c r="G61" s="17">
        <v>0</v>
      </c>
      <c r="H61" s="17">
        <v>0</v>
      </c>
      <c r="I61" s="17">
        <v>0</v>
      </c>
      <c r="J61" s="17">
        <v>0</v>
      </c>
      <c r="K61" s="17">
        <v>0</v>
      </c>
      <c r="L61" s="17">
        <v>0</v>
      </c>
      <c r="M61" s="17">
        <v>0</v>
      </c>
      <c r="N61" s="17">
        <f>E61*'BUNDLE DATA'!$D$38*'BUNDLE DATA'!$C$38</f>
        <v>28.405334805363825</v>
      </c>
      <c r="O61" s="17">
        <f>E61*(1-'BUNDLE DATA'!$D$38)*'BUNDLE DATA'!$C$38</f>
        <v>0.90227042145390801</v>
      </c>
      <c r="P61" s="17">
        <f>E61*'BUNDLE DATA'!$D$8</f>
        <v>0.17946495124386844</v>
      </c>
      <c r="Q61" s="17">
        <f>E61*(1-'BUNDLE DATA'!$D$8)*'BUNDLE DENSITIES'!$I$22</f>
        <v>29.128140275573866</v>
      </c>
      <c r="R61" s="17">
        <v>0</v>
      </c>
      <c r="S61" s="17">
        <v>0</v>
      </c>
      <c r="T61" s="17">
        <v>0</v>
      </c>
      <c r="U61" s="17">
        <v>0</v>
      </c>
      <c r="V61" s="17">
        <f t="shared" si="7"/>
        <v>0.17946495124386844</v>
      </c>
      <c r="W61" s="17">
        <f t="shared" si="7"/>
        <v>29.128140275573866</v>
      </c>
      <c r="X61" s="43">
        <f>V61+W61</f>
        <v>29.307605226817735</v>
      </c>
    </row>
    <row r="62" spans="1:24" x14ac:dyDescent="0.25">
      <c r="A62" t="s">
        <v>498</v>
      </c>
      <c r="B62" t="s">
        <v>96</v>
      </c>
      <c r="C62" t="s">
        <v>492</v>
      </c>
      <c r="D62" t="s">
        <v>494</v>
      </c>
      <c r="E62" s="17" t="s">
        <v>495</v>
      </c>
      <c r="F62" s="17">
        <v>0</v>
      </c>
      <c r="G62" s="17">
        <v>0</v>
      </c>
      <c r="H62" s="17">
        <v>0</v>
      </c>
      <c r="I62" s="17">
        <v>0</v>
      </c>
      <c r="J62" s="17">
        <v>0</v>
      </c>
      <c r="K62" s="17">
        <v>0</v>
      </c>
      <c r="L62" s="17">
        <v>0</v>
      </c>
      <c r="M62" s="17">
        <v>0</v>
      </c>
      <c r="N62" s="17">
        <v>0</v>
      </c>
      <c r="O62" s="17">
        <v>0</v>
      </c>
      <c r="P62" s="17">
        <v>0</v>
      </c>
      <c r="Q62" s="17">
        <v>0</v>
      </c>
      <c r="R62" s="17">
        <v>0</v>
      </c>
      <c r="S62" s="17">
        <v>0</v>
      </c>
      <c r="T62" s="17">
        <v>0</v>
      </c>
      <c r="U62" s="17">
        <v>0</v>
      </c>
      <c r="V62" s="17">
        <f t="shared" si="7"/>
        <v>0</v>
      </c>
      <c r="W62" s="17">
        <f t="shared" si="7"/>
        <v>0</v>
      </c>
      <c r="X62" s="43">
        <f>0</f>
        <v>0</v>
      </c>
    </row>
    <row r="63" spans="1:24" x14ac:dyDescent="0.25">
      <c r="A63" t="s">
        <v>498</v>
      </c>
      <c r="B63" t="s">
        <v>391</v>
      </c>
      <c r="C63" s="32" t="s">
        <v>490</v>
      </c>
      <c r="D63" s="32" t="s">
        <v>492</v>
      </c>
      <c r="E63" s="17">
        <f>10000*('FY VOLUME AUTO'!E32/'FY VOLUME AUTO'!$E$36)/'FY VOLUME AUTO'!F32</f>
        <v>0</v>
      </c>
      <c r="F63" s="17">
        <f>E63*'BUNDLE DATA'!$D$24*'BUNDLE DATA'!$C$24</f>
        <v>0</v>
      </c>
      <c r="G63" s="17">
        <f>E63*(1-'BUNDLE DATA'!$D$24)*'BUNDLE DATA'!$C$24</f>
        <v>0</v>
      </c>
      <c r="H63" s="17">
        <f>E63*'BUNDLE DATA'!$D$10</f>
        <v>0</v>
      </c>
      <c r="I63" s="17">
        <f>E63*(1-'BUNDLE DATA'!$D$10)*'BUNDLE DENSITIES'!$I$7</f>
        <v>0</v>
      </c>
      <c r="J63" s="17">
        <f>E63*(1-'BUNDLE DATA'!$D$10)*'BUNDLE DENSITIES'!$I$8*'BUNDLE DATA'!$D$32*'BUNDLE DATA'!$C$32</f>
        <v>0</v>
      </c>
      <c r="K63" s="17">
        <f>E63*(1-'BUNDLE DATA'!$D$10)*'BUNDLE DENSITIES'!$I$8*(1-'BUNDLE DATA'!$D$32)*'BUNDLE DATA'!$C$32</f>
        <v>0</v>
      </c>
      <c r="L63" s="17">
        <f>E63*(1-'BUNDLE DATA'!$D$10)*'BUNDLE DENSITIES'!$I$8*'BUNDLE DATA'!$E$8</f>
        <v>0</v>
      </c>
      <c r="M63" s="17">
        <f>E63*(1-'BUNDLE DATA'!$D$10)*'BUNDLE DENSITIES'!$I$8*(1-'BUNDLE DATA'!$E$8)*'BUNDLE DENSITIES'!$I$15</f>
        <v>0</v>
      </c>
      <c r="N63" s="17">
        <f>E63*(1-'BUNDLE DATA'!$D$10)*('BUNDLE DENSITIES'!$I$9+'BUNDLE DENSITIES'!$I$8*(1-'BUNDLE DATA'!$E$10)*'BUNDLE DENSITIES'!$I$16)*'BUNDLE DATA'!$D$38*'BUNDLE DATA'!$C$38</f>
        <v>0</v>
      </c>
      <c r="O63" s="17">
        <f>E63*(1-'BUNDLE DATA'!$D$10)*('BUNDLE DENSITIES'!$I$9+'BUNDLE DENSITIES'!$I$8*(1-'BUNDLE DATA'!$E$10)*'BUNDLE DENSITIES'!$I$16)*(1-'BUNDLE DATA'!$D$38)*'BUNDLE DATA'!$C$38</f>
        <v>0</v>
      </c>
      <c r="P63" s="17">
        <f>E63*(1-'BUNDLE DATA'!$D$10)*('BUNDLE DENSITIES'!$I$9+'BUNDLE DENSITIES'!$I$8*(1-'BUNDLE DATA'!$E$10)*'BUNDLE DENSITIES'!$I$16)*'BUNDLE DATA'!$E$10</f>
        <v>0</v>
      </c>
      <c r="Q63" s="17">
        <f>E63*(1-'BUNDLE DATA'!$D$10)*('BUNDLE DENSITIES'!$I$9+'BUNDLE DENSITIES'!$I$8*(1-'BUNDLE DATA'!$E$10)*'BUNDLE DENSITIES'!$I$16)*(1-'BUNDLE DATA'!$E$10)*'BUNDLE DENSITIES'!$I$22</f>
        <v>0</v>
      </c>
      <c r="R63" s="17">
        <v>0</v>
      </c>
      <c r="S63" s="17">
        <v>0</v>
      </c>
      <c r="T63" s="17">
        <v>0</v>
      </c>
      <c r="U63" s="17">
        <v>0</v>
      </c>
      <c r="V63" s="17">
        <f t="shared" si="7"/>
        <v>0</v>
      </c>
      <c r="W63" s="17">
        <f t="shared" si="7"/>
        <v>0</v>
      </c>
      <c r="X63" s="43">
        <f>V63+W63</f>
        <v>0</v>
      </c>
    </row>
    <row r="64" spans="1:24" x14ac:dyDescent="0.25">
      <c r="A64" t="s">
        <v>498</v>
      </c>
      <c r="B64" t="s">
        <v>391</v>
      </c>
      <c r="C64" t="s">
        <v>491</v>
      </c>
      <c r="D64" t="s">
        <v>492</v>
      </c>
      <c r="E64" s="17">
        <f>10000*('FY VOLUME AUTO'!E33/'FY VOLUME AUTO'!$E$36)/'FY VOLUME AUTO'!F33</f>
        <v>0</v>
      </c>
      <c r="F64" s="17">
        <v>0</v>
      </c>
      <c r="G64" s="17">
        <v>0</v>
      </c>
      <c r="H64" s="17">
        <v>0</v>
      </c>
      <c r="I64" s="17">
        <v>0</v>
      </c>
      <c r="J64" s="17">
        <f>E64*'BUNDLE DATA'!$D$32*'BUNDLE DATA'!$C$32</f>
        <v>0</v>
      </c>
      <c r="K64" s="17">
        <f>E64*(1-'BUNDLE DATA'!$D$32)*'BUNDLE DATA'!$C$32</f>
        <v>0</v>
      </c>
      <c r="L64" s="17">
        <f>E64*'BUNDLE DATA'!$D$10</f>
        <v>0</v>
      </c>
      <c r="M64" s="17">
        <f>E64*(1-'BUNDLE DATA'!$D$10)*'BUNDLE DENSITIES'!$I$15</f>
        <v>0</v>
      </c>
      <c r="N64" s="17">
        <f>E64*(1-'BUNDLE DATA'!$D$10)*'BUNDLE DENSITIES'!$I$16*'BUNDLE DATA'!$D$38*'BUNDLE DATA'!$C$38</f>
        <v>0</v>
      </c>
      <c r="O64" s="17">
        <f>E64*(1-'BUNDLE DATA'!$D$10)*'BUNDLE DENSITIES'!$I$16*(1-'BUNDLE DATA'!$D$38)*'BUNDLE DATA'!$C$38</f>
        <v>0</v>
      </c>
      <c r="P64" s="17">
        <f>E64*(1-'BUNDLE DATA'!$D$10)*'BUNDLE DENSITIES'!$I$16*'BUNDLE DATA'!$E$10</f>
        <v>0</v>
      </c>
      <c r="Q64" s="17">
        <f>E64*(1-'BUNDLE DATA'!$D$10)*'BUNDLE DENSITIES'!$I$16*(1-'BUNDLE DATA'!$E$10)*'BUNDLE DENSITIES'!$I$22</f>
        <v>0</v>
      </c>
      <c r="R64" s="17">
        <v>0</v>
      </c>
      <c r="S64" s="17">
        <v>0</v>
      </c>
      <c r="T64" s="17">
        <v>0</v>
      </c>
      <c r="U64" s="17">
        <v>0</v>
      </c>
      <c r="V64" s="17">
        <f t="shared" si="7"/>
        <v>0</v>
      </c>
      <c r="W64" s="17">
        <f t="shared" si="7"/>
        <v>0</v>
      </c>
      <c r="X64" s="43">
        <f>V64+W64</f>
        <v>0</v>
      </c>
    </row>
    <row r="65" spans="1:24" x14ac:dyDescent="0.25">
      <c r="A65" t="s">
        <v>498</v>
      </c>
      <c r="B65" t="s">
        <v>391</v>
      </c>
      <c r="C65" t="s">
        <v>492</v>
      </c>
      <c r="D65" t="s">
        <v>492</v>
      </c>
      <c r="E65" s="17">
        <f>10000*('FY VOLUME AUTO'!E34/'FY VOLUME AUTO'!$E$36)/'FY VOLUME AUTO'!F34</f>
        <v>0</v>
      </c>
      <c r="F65" s="17">
        <v>0</v>
      </c>
      <c r="G65" s="17">
        <v>0</v>
      </c>
      <c r="H65" s="17">
        <v>0</v>
      </c>
      <c r="I65" s="17">
        <v>0</v>
      </c>
      <c r="J65" s="17">
        <v>0</v>
      </c>
      <c r="K65" s="17">
        <v>0</v>
      </c>
      <c r="L65" s="17">
        <v>0</v>
      </c>
      <c r="M65" s="17">
        <v>0</v>
      </c>
      <c r="N65" s="17">
        <f>E65*'BUNDLE DATA'!$D$38*'BUNDLE DATA'!$C$38</f>
        <v>0</v>
      </c>
      <c r="O65" s="17">
        <f>E65*(1-'BUNDLE DATA'!$D$38)*'BUNDLE DATA'!$C$38</f>
        <v>0</v>
      </c>
      <c r="P65" s="17">
        <f>E65*'BUNDLE DATA'!$D$10</f>
        <v>0</v>
      </c>
      <c r="Q65" s="17">
        <f>E65*(1-'BUNDLE DATA'!$D$10)*'BUNDLE DENSITIES'!$I$22</f>
        <v>0</v>
      </c>
      <c r="R65" s="17">
        <v>0</v>
      </c>
      <c r="S65" s="17">
        <v>0</v>
      </c>
      <c r="T65" s="17">
        <v>0</v>
      </c>
      <c r="U65" s="17">
        <v>0</v>
      </c>
      <c r="V65" s="17">
        <f t="shared" si="7"/>
        <v>0</v>
      </c>
      <c r="W65" s="17">
        <f t="shared" si="7"/>
        <v>0</v>
      </c>
      <c r="X65" s="43">
        <f>V65+W65</f>
        <v>0</v>
      </c>
    </row>
    <row r="66" spans="1:24" x14ac:dyDescent="0.25">
      <c r="A66" t="s">
        <v>498</v>
      </c>
      <c r="B66" t="s">
        <v>391</v>
      </c>
      <c r="C66" t="s">
        <v>492</v>
      </c>
      <c r="D66" t="s">
        <v>494</v>
      </c>
      <c r="E66" s="17" t="s">
        <v>495</v>
      </c>
      <c r="F66" s="17">
        <v>0</v>
      </c>
      <c r="G66" s="17">
        <v>0</v>
      </c>
      <c r="H66" s="17">
        <v>0</v>
      </c>
      <c r="I66" s="17">
        <v>0</v>
      </c>
      <c r="J66" s="17">
        <v>0</v>
      </c>
      <c r="K66" s="17">
        <v>0</v>
      </c>
      <c r="L66" s="17">
        <v>0</v>
      </c>
      <c r="M66" s="17">
        <v>0</v>
      </c>
      <c r="N66" s="17">
        <v>0</v>
      </c>
      <c r="O66" s="17">
        <v>0</v>
      </c>
      <c r="P66" s="17">
        <v>0</v>
      </c>
      <c r="Q66" s="17">
        <v>0</v>
      </c>
      <c r="R66" s="17">
        <v>0</v>
      </c>
      <c r="S66" s="17">
        <v>0</v>
      </c>
      <c r="T66" s="17">
        <v>0</v>
      </c>
      <c r="U66" s="17">
        <v>0</v>
      </c>
      <c r="V66" s="17">
        <f t="shared" si="7"/>
        <v>0</v>
      </c>
      <c r="W66" s="17">
        <f t="shared" si="7"/>
        <v>0</v>
      </c>
      <c r="X66" s="43">
        <v>0</v>
      </c>
    </row>
    <row r="67" spans="1:24" s="1" customFormat="1" x14ac:dyDescent="0.25">
      <c r="A67" s="1" t="s">
        <v>8</v>
      </c>
      <c r="E67" s="43">
        <f>SUM(E59:E66)</f>
        <v>245.55248410306538</v>
      </c>
      <c r="F67" s="43">
        <f t="shared" ref="F67:X67" si="8">SUM(F59:F66)</f>
        <v>0</v>
      </c>
      <c r="G67" s="43">
        <f t="shared" si="8"/>
        <v>138.39316889641205</v>
      </c>
      <c r="H67" s="43">
        <f t="shared" si="8"/>
        <v>0.84744976999186383</v>
      </c>
      <c r="I67" s="43">
        <f t="shared" si="8"/>
        <v>2.7969027448406574</v>
      </c>
      <c r="J67" s="43">
        <f t="shared" si="8"/>
        <v>212.04503707935788</v>
      </c>
      <c r="K67" s="43">
        <f t="shared" si="8"/>
        <v>0</v>
      </c>
      <c r="L67" s="43">
        <f t="shared" si="8"/>
        <v>5.3999585461842301</v>
      </c>
      <c r="M67" s="43">
        <f t="shared" si="8"/>
        <v>193.51525768917458</v>
      </c>
      <c r="N67" s="43">
        <f t="shared" si="8"/>
        <v>41.669325944774826</v>
      </c>
      <c r="O67" s="43">
        <f t="shared" si="8"/>
        <v>1.3235894080992399</v>
      </c>
      <c r="P67" s="43">
        <f t="shared" si="8"/>
        <v>0.68154643512868096</v>
      </c>
      <c r="Q67" s="43">
        <f t="shared" si="8"/>
        <v>42.311368917745384</v>
      </c>
      <c r="R67" s="43">
        <f t="shared" si="8"/>
        <v>0</v>
      </c>
      <c r="S67" s="43">
        <f t="shared" si="8"/>
        <v>0</v>
      </c>
      <c r="T67" s="43">
        <f t="shared" si="8"/>
        <v>0</v>
      </c>
      <c r="U67" s="43">
        <f t="shared" si="8"/>
        <v>0</v>
      </c>
      <c r="V67" s="43">
        <f t="shared" si="8"/>
        <v>6.9289547513047758</v>
      </c>
      <c r="W67" s="43">
        <f t="shared" si="8"/>
        <v>238.6235293517606</v>
      </c>
      <c r="X67" s="40">
        <f t="shared" si="8"/>
        <v>245.55248410306538</v>
      </c>
    </row>
    <row r="69" spans="1:24" x14ac:dyDescent="0.25">
      <c r="F69" s="43" t="s">
        <v>476</v>
      </c>
      <c r="G69" s="43" t="s">
        <v>476</v>
      </c>
      <c r="J69" s="43" t="s">
        <v>477</v>
      </c>
      <c r="K69" s="43" t="s">
        <v>477</v>
      </c>
      <c r="N69" s="43" t="s">
        <v>477</v>
      </c>
      <c r="O69" s="43" t="s">
        <v>477</v>
      </c>
      <c r="R69" s="43" t="s">
        <v>477</v>
      </c>
      <c r="S69" s="43" t="s">
        <v>477</v>
      </c>
      <c r="X69" s="43" t="s">
        <v>8</v>
      </c>
    </row>
    <row r="70" spans="1:24" x14ac:dyDescent="0.25">
      <c r="F70" s="43" t="s">
        <v>478</v>
      </c>
      <c r="G70" s="43" t="s">
        <v>478</v>
      </c>
      <c r="J70" s="43" t="s">
        <v>389</v>
      </c>
      <c r="K70" s="43" t="s">
        <v>389</v>
      </c>
      <c r="N70" s="43" t="s">
        <v>478</v>
      </c>
      <c r="O70" s="43" t="s">
        <v>478</v>
      </c>
      <c r="R70" s="43" t="s">
        <v>479</v>
      </c>
      <c r="S70" s="43" t="s">
        <v>479</v>
      </c>
      <c r="V70" s="43" t="s">
        <v>8</v>
      </c>
      <c r="W70" s="43" t="s">
        <v>8</v>
      </c>
      <c r="X70" s="43" t="s">
        <v>182</v>
      </c>
    </row>
    <row r="71" spans="1:24" x14ac:dyDescent="0.25">
      <c r="A71" s="35" t="s">
        <v>480</v>
      </c>
      <c r="B71" s="35" t="s">
        <v>481</v>
      </c>
      <c r="C71" s="54" t="s">
        <v>482</v>
      </c>
      <c r="D71" s="54" t="s">
        <v>483</v>
      </c>
      <c r="E71" s="191" t="s">
        <v>182</v>
      </c>
      <c r="F71" s="191" t="s">
        <v>484</v>
      </c>
      <c r="G71" s="191" t="s">
        <v>485</v>
      </c>
      <c r="H71" s="191" t="s">
        <v>486</v>
      </c>
      <c r="I71" s="191" t="s">
        <v>487</v>
      </c>
      <c r="J71" s="191" t="s">
        <v>484</v>
      </c>
      <c r="K71" s="191" t="s">
        <v>485</v>
      </c>
      <c r="L71" s="191" t="s">
        <v>486</v>
      </c>
      <c r="M71" s="191" t="s">
        <v>487</v>
      </c>
      <c r="N71" s="191" t="s">
        <v>484</v>
      </c>
      <c r="O71" s="191" t="s">
        <v>485</v>
      </c>
      <c r="P71" s="191" t="s">
        <v>486</v>
      </c>
      <c r="Q71" s="191" t="s">
        <v>487</v>
      </c>
      <c r="R71" s="191" t="s">
        <v>484</v>
      </c>
      <c r="S71" s="191" t="s">
        <v>485</v>
      </c>
      <c r="T71" s="191" t="s">
        <v>486</v>
      </c>
      <c r="U71" s="191" t="s">
        <v>487</v>
      </c>
      <c r="V71" s="191" t="s">
        <v>486</v>
      </c>
      <c r="W71" s="191" t="s">
        <v>487</v>
      </c>
      <c r="X71" s="191" t="s">
        <v>488</v>
      </c>
    </row>
    <row r="72" spans="1:24" x14ac:dyDescent="0.25">
      <c r="A72" t="s">
        <v>499</v>
      </c>
      <c r="B72" t="s">
        <v>96</v>
      </c>
      <c r="C72" s="32" t="s">
        <v>490</v>
      </c>
      <c r="D72" s="32" t="s">
        <v>493</v>
      </c>
      <c r="E72" s="17">
        <f>10000*('FY VOLUME AUTO'!E41/'FY VOLUME AUTO'!$E$51)/'FY VOLUME AUTO'!F41</f>
        <v>222.95190455520975</v>
      </c>
      <c r="F72" s="17">
        <f>E72*'BUNDLE DATA'!$D$26*'BUNDLE DATA'!$C$26</f>
        <v>0</v>
      </c>
      <c r="G72" s="17">
        <f>E72*(1-'BUNDLE DATA'!$D$26)*'BUNDLE DATA'!$C$26</f>
        <v>222.95190455520975</v>
      </c>
      <c r="H72" s="17">
        <f>E72*'BUNDLE DATA'!$D$8</f>
        <v>1.36524469915118</v>
      </c>
      <c r="I72" s="17">
        <f>E72*(1-'BUNDLE DATA'!$D$8)*('BUNDLE DENSITIES'!$K$7+'BUNDLE DENSITIES'!$K$10)</f>
        <v>8.9267902724130916</v>
      </c>
      <c r="J72" s="17">
        <f>E72*(1-'BUNDLE DATA'!$D$8)*'BUNDLE DENSITIES'!$K$8*'BUNDLE DATA'!$D$34*'BUNDLE DATA'!$C$34</f>
        <v>210.5720629901414</v>
      </c>
      <c r="K72" s="17">
        <f>E72*(1-'BUNDLE DATA'!$D$8)*'BUNDLE DENSITIES'!$K$8*(1-'BUNDLE DATA'!$D$34)*'BUNDLE DATA'!$C$34</f>
        <v>0</v>
      </c>
      <c r="L72" s="17">
        <f>E72*(1-'BUNDLE DATA'!$D$8)*'BUNDLE DENSITIES'!$K$8*'BUNDLE DATA'!$E$8</f>
        <v>7.7253882357756085</v>
      </c>
      <c r="M72" s="17">
        <f>E72*(1-'BUNDLE DATA'!$D$8)*'BUNDLE DENSITIES'!$K$8*(1-'BUNDLE DATA'!$E$8)*('BUNDLE DENSITIES'!$K$15+'BUNDLE DENSITIES'!$K$17)</f>
        <v>188.69250841628946</v>
      </c>
      <c r="N72" s="17">
        <f>E72*(1-'BUNDLE DATA'!$D$8)*('BUNDLE DENSITIES'!$K$9+'BUNDLE DENSITIES'!$K$8*(1-'BUNDLE DATA'!$E$8)*'BUNDLE DENSITIES'!$K$16)*'BUNDLE DATA'!$D$40*'BUNDLE DATA'!$C$40</f>
        <v>15.741943957912834</v>
      </c>
      <c r="O72" s="17">
        <f>E72*(1-'BUNDLE DATA'!$D$8)*('BUNDLE DENSITIES'!$K$9+'BUNDLE DENSITIES'!$K$8*(1-'BUNDLE DATA'!$E$8)*'BUNDLE DENSITIES'!$K$16)*(1-'BUNDLE DATA'!$D$40)*'BUNDLE DATA'!$C$40</f>
        <v>0.50002897366757126</v>
      </c>
      <c r="P72" s="17">
        <f>E72*(1-'BUNDLE DATA'!$D$8)*('BUNDLE DENSITIES'!$K$9+'BUNDLE DENSITIES'!$K$8*(1-'BUNDLE DATA'!$E$8)*'BUNDLE DENSITIES'!$K$16)*'BUNDLE DATA'!$E$8</f>
        <v>0.5958793622936186</v>
      </c>
      <c r="Q72" s="17">
        <f>E72*(1-'BUNDLE DATA'!$D$8)*('BUNDLE DENSITIES'!$K$9+'BUNDLE DENSITIES'!$K$8*(1-'BUNDLE DATA'!$E$8)*'BUNDLE DENSITIES'!$K$16)*(1-'BUNDLE DATA'!$E$8)*('BUNDLE DENSITIES'!$K$22+'BUNDLE DENSITIES'!$K$23)</f>
        <v>15.646093569286787</v>
      </c>
      <c r="R72" s="17">
        <v>0</v>
      </c>
      <c r="S72" s="17">
        <v>0</v>
      </c>
      <c r="T72" s="17">
        <v>0</v>
      </c>
      <c r="U72" s="17">
        <v>0</v>
      </c>
      <c r="V72" s="17">
        <f t="shared" ref="V72:V81" si="9">H72+L72+P72+T72</f>
        <v>9.686512297220407</v>
      </c>
      <c r="W72" s="17">
        <f t="shared" ref="W72:W81" si="10">I72+M72+Q72+U72</f>
        <v>213.26539225798933</v>
      </c>
      <c r="X72" s="43">
        <f t="shared" ref="X72:X81" si="11">V72+W72</f>
        <v>222.95190455520975</v>
      </c>
    </row>
    <row r="73" spans="1:24" x14ac:dyDescent="0.25">
      <c r="A73" t="s">
        <v>499</v>
      </c>
      <c r="B73" t="s">
        <v>96</v>
      </c>
      <c r="C73" t="s">
        <v>491</v>
      </c>
      <c r="D73" t="s">
        <v>493</v>
      </c>
      <c r="E73" s="17">
        <f>10000*('FY VOLUME AUTO'!E42/'FY VOLUME AUTO'!$E$51)/'FY VOLUME AUTO'!F42</f>
        <v>32.141328080176059</v>
      </c>
      <c r="F73" s="17">
        <v>0</v>
      </c>
      <c r="G73" s="17">
        <v>0</v>
      </c>
      <c r="H73" s="17">
        <v>0</v>
      </c>
      <c r="I73" s="17">
        <v>0</v>
      </c>
      <c r="J73" s="17">
        <f>E73*'BUNDLE DATA'!$D$34*'BUNDLE DATA'!$C$34</f>
        <v>32.141328080176059</v>
      </c>
      <c r="K73" s="17">
        <f>E73*(1-'BUNDLE DATA'!$D$34)*'BUNDLE DATA'!$C$34</f>
        <v>0</v>
      </c>
      <c r="L73" s="17">
        <f>E73*'BUNDLE DATA'!$D$8</f>
        <v>0.19681723676091362</v>
      </c>
      <c r="M73" s="17">
        <f>E73*(1-'BUNDLE DATA'!$D$8)*('BUNDLE DENSITIES'!$K$15+'BUNDLE DENSITIES'!$K$17)</f>
        <v>29.715497621415309</v>
      </c>
      <c r="N73" s="17">
        <f>E73*(1-'BUNDLE DATA'!$D$8)*'BUNDLE DENSITIES'!$K$16*'BUNDLE DATA'!$D$40*'BUNDLE DATA'!$C$40</f>
        <v>2.160390327577884</v>
      </c>
      <c r="O73" s="17">
        <f>E73*(1-'BUNDLE DATA'!$D$8)*'BUNDLE DENSITIES'!$K$16*(1-'BUNDLE DATA'!$D$40)*'BUNDLE DATA'!$C$40</f>
        <v>6.8622894421950714E-2</v>
      </c>
      <c r="P73" s="17">
        <f>E73*(1-'BUNDLE DATA'!$D$8)*'BUNDLE DENSITIES'!$K$16*'BUNDLE DATA'!$E$8</f>
        <v>8.1777194363299818E-2</v>
      </c>
      <c r="Q73" s="17">
        <f>E73*(1-'BUNDLE DATA'!$D$8)*'BUNDLE DENSITIES'!$K$16*(1-'BUNDLE DATA'!$E$8)*('BUNDLE DENSITIES'!$K$22+'BUNDLE DENSITIES'!$K$23)</f>
        <v>2.1472360276365348</v>
      </c>
      <c r="R73" s="17">
        <v>0</v>
      </c>
      <c r="S73" s="17">
        <v>0</v>
      </c>
      <c r="T73" s="17">
        <v>0</v>
      </c>
      <c r="U73" s="17">
        <v>0</v>
      </c>
      <c r="V73" s="17">
        <f t="shared" si="9"/>
        <v>0.27859443112421345</v>
      </c>
      <c r="W73" s="17">
        <f t="shared" si="10"/>
        <v>31.862733649051844</v>
      </c>
      <c r="X73" s="43">
        <f t="shared" si="11"/>
        <v>32.141328080176059</v>
      </c>
    </row>
    <row r="74" spans="1:24" x14ac:dyDescent="0.25">
      <c r="A74" t="s">
        <v>499</v>
      </c>
      <c r="B74" t="s">
        <v>96</v>
      </c>
      <c r="C74" t="s">
        <v>492</v>
      </c>
      <c r="D74" t="s">
        <v>493</v>
      </c>
      <c r="E74" s="17">
        <f>10000*('FY VOLUME AUTO'!E43/'FY VOLUME AUTO'!$E$51)/'FY VOLUME AUTO'!F43</f>
        <v>180.10510150857021</v>
      </c>
      <c r="F74" s="17">
        <v>0</v>
      </c>
      <c r="G74" s="17">
        <v>0</v>
      </c>
      <c r="H74" s="17">
        <v>0</v>
      </c>
      <c r="I74" s="17">
        <v>0</v>
      </c>
      <c r="J74" s="17">
        <v>0</v>
      </c>
      <c r="K74" s="17">
        <v>0</v>
      </c>
      <c r="L74" s="17">
        <v>0</v>
      </c>
      <c r="M74" s="17">
        <v>0</v>
      </c>
      <c r="N74" s="17">
        <f>E74*'BUNDLE DATA'!$D$40*'BUNDLE DATA'!$C$40</f>
        <v>174.56034598909028</v>
      </c>
      <c r="O74" s="17">
        <f>E74*(1-'BUNDLE DATA'!$D$40)*'BUNDLE DATA'!$C$40</f>
        <v>5.5447555194799314</v>
      </c>
      <c r="P74" s="17">
        <f>E74*'BUNDLE DATA'!$D$8</f>
        <v>1.1028725482978385</v>
      </c>
      <c r="Q74" s="17">
        <f>E74*(1-'BUNDLE DATA'!$D$8)*('BUNDLE DENSITIES'!$K$22+'BUNDLE DENSITIES'!$K$23)</f>
        <v>179.00222896027236</v>
      </c>
      <c r="R74" s="17">
        <v>0</v>
      </c>
      <c r="S74" s="17">
        <v>0</v>
      </c>
      <c r="T74" s="17">
        <v>0</v>
      </c>
      <c r="U74" s="17">
        <v>0</v>
      </c>
      <c r="V74" s="17">
        <f t="shared" si="9"/>
        <v>1.1028725482978385</v>
      </c>
      <c r="W74" s="17">
        <f t="shared" si="10"/>
        <v>179.00222896027236</v>
      </c>
      <c r="X74" s="43">
        <f t="shared" si="11"/>
        <v>180.10510150857019</v>
      </c>
    </row>
    <row r="75" spans="1:24" x14ac:dyDescent="0.25">
      <c r="A75" t="s">
        <v>499</v>
      </c>
      <c r="B75" t="s">
        <v>96</v>
      </c>
      <c r="C75" t="s">
        <v>493</v>
      </c>
      <c r="D75" t="s">
        <v>493</v>
      </c>
      <c r="E75" s="17">
        <f>10000*('FY VOLUME AUTO'!E44/'FY VOLUME AUTO'!$E$51)/'FY VOLUME AUTO'!F44</f>
        <v>30.233984730577994</v>
      </c>
      <c r="F75" s="17">
        <v>0</v>
      </c>
      <c r="G75" s="17">
        <v>0</v>
      </c>
      <c r="H75" s="17">
        <v>0</v>
      </c>
      <c r="I75" s="17">
        <v>0</v>
      </c>
      <c r="J75" s="17">
        <v>0</v>
      </c>
      <c r="K75" s="17">
        <v>0</v>
      </c>
      <c r="L75" s="17">
        <v>0</v>
      </c>
      <c r="M75" s="17">
        <v>0</v>
      </c>
      <c r="N75" s="17">
        <v>0</v>
      </c>
      <c r="O75" s="17">
        <v>0</v>
      </c>
      <c r="P75" s="17">
        <v>0</v>
      </c>
      <c r="Q75" s="17">
        <v>0</v>
      </c>
      <c r="R75" s="17">
        <v>0</v>
      </c>
      <c r="S75" s="17">
        <v>0</v>
      </c>
      <c r="T75" s="17">
        <v>0</v>
      </c>
      <c r="U75" s="17">
        <v>0</v>
      </c>
      <c r="V75" s="17">
        <f t="shared" si="9"/>
        <v>0</v>
      </c>
      <c r="W75" s="17">
        <f t="shared" si="10"/>
        <v>0</v>
      </c>
      <c r="X75" s="43">
        <f>E75</f>
        <v>30.233984730577994</v>
      </c>
    </row>
    <row r="76" spans="1:24" x14ac:dyDescent="0.25">
      <c r="A76" t="s">
        <v>499</v>
      </c>
      <c r="B76" t="s">
        <v>96</v>
      </c>
      <c r="C76" t="s">
        <v>493</v>
      </c>
      <c r="D76" t="s">
        <v>494</v>
      </c>
      <c r="E76" s="17" t="s">
        <v>495</v>
      </c>
      <c r="F76" s="17">
        <v>0</v>
      </c>
      <c r="G76" s="17">
        <v>0</v>
      </c>
      <c r="H76" s="17">
        <v>0</v>
      </c>
      <c r="I76" s="17">
        <v>0</v>
      </c>
      <c r="J76" s="17">
        <v>0</v>
      </c>
      <c r="K76" s="17">
        <v>0</v>
      </c>
      <c r="L76" s="17">
        <v>0</v>
      </c>
      <c r="M76" s="17">
        <v>0</v>
      </c>
      <c r="N76" s="17">
        <v>0</v>
      </c>
      <c r="O76" s="17">
        <v>0</v>
      </c>
      <c r="P76" s="17">
        <v>0</v>
      </c>
      <c r="Q76" s="17">
        <v>0</v>
      </c>
      <c r="R76" s="17">
        <v>0</v>
      </c>
      <c r="S76" s="17">
        <v>0</v>
      </c>
      <c r="T76" s="17">
        <v>0</v>
      </c>
      <c r="U76" s="17">
        <v>0</v>
      </c>
      <c r="V76" s="17">
        <f t="shared" si="9"/>
        <v>0</v>
      </c>
      <c r="W76" s="17">
        <f t="shared" si="10"/>
        <v>0</v>
      </c>
      <c r="X76" s="43">
        <f t="shared" si="11"/>
        <v>0</v>
      </c>
    </row>
    <row r="77" spans="1:24" x14ac:dyDescent="0.25">
      <c r="A77" t="s">
        <v>499</v>
      </c>
      <c r="B77" t="s">
        <v>391</v>
      </c>
      <c r="C77" s="32" t="s">
        <v>490</v>
      </c>
      <c r="D77" s="32" t="s">
        <v>493</v>
      </c>
      <c r="E77" s="17">
        <f>10000*('FY VOLUME AUTO'!E46/'FY VOLUME AUTO'!$E$51)/'FY VOLUME AUTO'!F46</f>
        <v>0</v>
      </c>
      <c r="F77" s="17">
        <f>E77*'BUNDLE DATA'!$D$26*'BUNDLE DATA'!$C$26</f>
        <v>0</v>
      </c>
      <c r="G77" s="17">
        <f>E77*(1-'BUNDLE DATA'!$D$26)*'BUNDLE DATA'!$C$26</f>
        <v>0</v>
      </c>
      <c r="H77" s="17">
        <f>E77*'BUNDLE DATA'!$D$10</f>
        <v>0</v>
      </c>
      <c r="I77" s="17">
        <f>E77*(1-'BUNDLE DATA'!$D$10)*('BUNDLE DENSITIES'!$K$7+'BUNDLE DENSITIES'!$K$10)</f>
        <v>0</v>
      </c>
      <c r="J77" s="17">
        <f>E77*(1-'BUNDLE DATA'!$D$10)*'BUNDLE DENSITIES'!$K$8*'BUNDLE DATA'!$D$34*'BUNDLE DATA'!$C$34</f>
        <v>0</v>
      </c>
      <c r="K77" s="17">
        <f>E77*(1-'BUNDLE DATA'!$D$10)*'BUNDLE DENSITIES'!$K$8*(1-'BUNDLE DATA'!$D$34)*'BUNDLE DATA'!$C$34</f>
        <v>0</v>
      </c>
      <c r="L77" s="17">
        <f>E77*(1-'BUNDLE DATA'!$D$10)*'BUNDLE DENSITIES'!$K$8*'BUNDLE DATA'!$E$8</f>
        <v>0</v>
      </c>
      <c r="M77" s="17">
        <f>E77*(1-'BUNDLE DATA'!$D$10)*'BUNDLE DENSITIES'!$K$8*(1-'BUNDLE DATA'!$E$8)*('BUNDLE DENSITIES'!$K$15+'BUNDLE DENSITIES'!$K$17)</f>
        <v>0</v>
      </c>
      <c r="N77" s="17">
        <f>E77*(1-'BUNDLE DATA'!$D$10)*('BUNDLE DENSITIES'!$K$9+'BUNDLE DENSITIES'!$K$8*(1-'BUNDLE DATA'!$E$10)*'BUNDLE DENSITIES'!$K$16)*'BUNDLE DATA'!$D$40*'BUNDLE DATA'!$C$40</f>
        <v>0</v>
      </c>
      <c r="O77" s="17">
        <f>E77*(1-'BUNDLE DATA'!$D$10)*('BUNDLE DENSITIES'!$K$9+'BUNDLE DENSITIES'!$K$8*(1-'BUNDLE DATA'!$E$10)*'BUNDLE DENSITIES'!$K$16)*(1-'BUNDLE DATA'!$D$40)*'BUNDLE DATA'!$C$40</f>
        <v>0</v>
      </c>
      <c r="P77" s="17">
        <f>E77*(1-'BUNDLE DATA'!$D$10)*('BUNDLE DENSITIES'!$K$9+'BUNDLE DENSITIES'!$K$8*(1-'BUNDLE DATA'!$E$10)*'BUNDLE DENSITIES'!$K$16)*'BUNDLE DATA'!$E$10</f>
        <v>0</v>
      </c>
      <c r="Q77" s="17">
        <f>E77*(1-'BUNDLE DATA'!$D$10)*('BUNDLE DENSITIES'!$K$9+'BUNDLE DENSITIES'!$K$8*(1-'BUNDLE DATA'!$E$10)*'BUNDLE DENSITIES'!$K$16)*(1-'BUNDLE DATA'!$E$10)*('BUNDLE DENSITIES'!$K$22+'BUNDLE DENSITIES'!$K$23)</f>
        <v>0</v>
      </c>
      <c r="R77" s="17">
        <v>0</v>
      </c>
      <c r="S77" s="17">
        <v>0</v>
      </c>
      <c r="T77" s="17">
        <v>0</v>
      </c>
      <c r="U77" s="17">
        <v>0</v>
      </c>
      <c r="V77" s="17">
        <f t="shared" si="9"/>
        <v>0</v>
      </c>
      <c r="W77" s="17">
        <f t="shared" si="10"/>
        <v>0</v>
      </c>
      <c r="X77" s="43">
        <f t="shared" si="11"/>
        <v>0</v>
      </c>
    </row>
    <row r="78" spans="1:24" x14ac:dyDescent="0.25">
      <c r="A78" t="s">
        <v>499</v>
      </c>
      <c r="B78" t="s">
        <v>391</v>
      </c>
      <c r="C78" t="s">
        <v>491</v>
      </c>
      <c r="D78" t="s">
        <v>493</v>
      </c>
      <c r="E78" s="17">
        <f>10000*('FY VOLUME AUTO'!E47/'FY VOLUME AUTO'!$E$51)/'FY VOLUME AUTO'!F47</f>
        <v>0</v>
      </c>
      <c r="F78" s="17">
        <v>0</v>
      </c>
      <c r="G78" s="17">
        <v>0</v>
      </c>
      <c r="H78" s="17">
        <v>0</v>
      </c>
      <c r="I78" s="17">
        <v>0</v>
      </c>
      <c r="J78" s="17">
        <f>E78*'BUNDLE DATA'!$D$34*'BUNDLE DATA'!$C$34</f>
        <v>0</v>
      </c>
      <c r="K78" s="17">
        <f>E78*(1-'BUNDLE DATA'!$D$34)*'BUNDLE DATA'!$C$34</f>
        <v>0</v>
      </c>
      <c r="L78" s="17">
        <f>E78*'BUNDLE DATA'!$D$10</f>
        <v>0</v>
      </c>
      <c r="M78" s="17">
        <f>E78*(1-'BUNDLE DATA'!$D$10)*('BUNDLE DENSITIES'!$K$15+'BUNDLE DENSITIES'!$K$17)</f>
        <v>0</v>
      </c>
      <c r="N78" s="17">
        <f>E78*(1-'BUNDLE DATA'!$D$10)*'BUNDLE DENSITIES'!$K$16*'BUNDLE DATA'!$D$40*'BUNDLE DATA'!$C$40</f>
        <v>0</v>
      </c>
      <c r="O78" s="17">
        <f>E78*(1-'BUNDLE DATA'!$D$10)*'BUNDLE DENSITIES'!$K$16*(1-'BUNDLE DATA'!$D$40)*'BUNDLE DATA'!$C$40</f>
        <v>0</v>
      </c>
      <c r="P78" s="17">
        <f>E78*(1-'BUNDLE DATA'!$D$10)*'BUNDLE DENSITIES'!$K$16*'BUNDLE DATA'!$E$10</f>
        <v>0</v>
      </c>
      <c r="Q78" s="17">
        <f>E78*(1-'BUNDLE DATA'!$D$10)*'BUNDLE DENSITIES'!$K$16*(1-'BUNDLE DATA'!$E$10)*('BUNDLE DENSITIES'!$K$22+'BUNDLE DENSITIES'!$K$23)</f>
        <v>0</v>
      </c>
      <c r="R78" s="17">
        <v>0</v>
      </c>
      <c r="S78" s="17">
        <v>0</v>
      </c>
      <c r="T78" s="17">
        <v>0</v>
      </c>
      <c r="U78" s="17">
        <v>0</v>
      </c>
      <c r="V78" s="17">
        <f t="shared" si="9"/>
        <v>0</v>
      </c>
      <c r="W78" s="17">
        <f t="shared" si="10"/>
        <v>0</v>
      </c>
      <c r="X78" s="43">
        <f t="shared" si="11"/>
        <v>0</v>
      </c>
    </row>
    <row r="79" spans="1:24" x14ac:dyDescent="0.25">
      <c r="A79" t="s">
        <v>499</v>
      </c>
      <c r="B79" t="s">
        <v>391</v>
      </c>
      <c r="C79" t="s">
        <v>492</v>
      </c>
      <c r="D79" t="s">
        <v>493</v>
      </c>
      <c r="E79" s="17">
        <f>10000*('FY VOLUME AUTO'!E48/'FY VOLUME AUTO'!$E$51)/'FY VOLUME AUTO'!F48</f>
        <v>0</v>
      </c>
      <c r="F79" s="17">
        <v>0</v>
      </c>
      <c r="G79" s="17">
        <v>0</v>
      </c>
      <c r="H79" s="17">
        <v>0</v>
      </c>
      <c r="I79" s="17">
        <v>0</v>
      </c>
      <c r="J79" s="17">
        <v>0</v>
      </c>
      <c r="K79" s="17">
        <v>0</v>
      </c>
      <c r="L79" s="17">
        <v>0</v>
      </c>
      <c r="M79" s="17">
        <v>0</v>
      </c>
      <c r="N79" s="17">
        <f>E79*'BUNDLE DATA'!$D$40*'BUNDLE DATA'!$C$40</f>
        <v>0</v>
      </c>
      <c r="O79" s="17">
        <f>E79*(1-'BUNDLE DATA'!$D$40)*'BUNDLE DATA'!$C$40</f>
        <v>0</v>
      </c>
      <c r="P79" s="17">
        <f>E79*'BUNDLE DATA'!$D$10</f>
        <v>0</v>
      </c>
      <c r="Q79" s="17">
        <f>E79*(1-'BUNDLE DATA'!$D$10)*('BUNDLE DENSITIES'!$K$22+'BUNDLE DENSITIES'!$K$23)</f>
        <v>0</v>
      </c>
      <c r="R79" s="17">
        <v>0</v>
      </c>
      <c r="S79" s="17">
        <v>0</v>
      </c>
      <c r="T79" s="17">
        <v>0</v>
      </c>
      <c r="U79" s="17">
        <v>0</v>
      </c>
      <c r="V79" s="17">
        <f t="shared" si="9"/>
        <v>0</v>
      </c>
      <c r="W79" s="17">
        <f t="shared" si="10"/>
        <v>0</v>
      </c>
      <c r="X79" s="43">
        <f t="shared" si="11"/>
        <v>0</v>
      </c>
    </row>
    <row r="80" spans="1:24" x14ac:dyDescent="0.25">
      <c r="A80" t="s">
        <v>499</v>
      </c>
      <c r="B80" t="s">
        <v>391</v>
      </c>
      <c r="C80" t="s">
        <v>493</v>
      </c>
      <c r="D80" t="s">
        <v>493</v>
      </c>
      <c r="E80" s="17">
        <f>10000*('FY VOLUME AUTO'!E49/'FY VOLUME AUTO'!$E$51)/'FY VOLUME AUTO'!F49</f>
        <v>0</v>
      </c>
      <c r="F80" s="17">
        <v>0</v>
      </c>
      <c r="G80" s="17">
        <v>0</v>
      </c>
      <c r="H80" s="17">
        <v>0</v>
      </c>
      <c r="I80" s="17">
        <v>0</v>
      </c>
      <c r="J80" s="17">
        <v>0</v>
      </c>
      <c r="K80" s="17">
        <v>0</v>
      </c>
      <c r="L80" s="17">
        <v>0</v>
      </c>
      <c r="M80" s="17">
        <v>0</v>
      </c>
      <c r="N80" s="17">
        <v>0</v>
      </c>
      <c r="O80" s="17">
        <v>0</v>
      </c>
      <c r="P80" s="17">
        <v>0</v>
      </c>
      <c r="Q80" s="17">
        <v>0</v>
      </c>
      <c r="R80" s="17">
        <v>0</v>
      </c>
      <c r="S80" s="17">
        <v>0</v>
      </c>
      <c r="T80" s="17">
        <v>0</v>
      </c>
      <c r="U80" s="17">
        <v>0</v>
      </c>
      <c r="V80" s="17">
        <f t="shared" si="9"/>
        <v>0</v>
      </c>
      <c r="W80" s="17">
        <f t="shared" si="10"/>
        <v>0</v>
      </c>
      <c r="X80" s="43">
        <f>E80</f>
        <v>0</v>
      </c>
    </row>
    <row r="81" spans="1:24" x14ac:dyDescent="0.25">
      <c r="A81" t="s">
        <v>499</v>
      </c>
      <c r="B81" t="s">
        <v>391</v>
      </c>
      <c r="C81" t="s">
        <v>493</v>
      </c>
      <c r="D81" t="s">
        <v>494</v>
      </c>
      <c r="E81" s="17" t="s">
        <v>495</v>
      </c>
      <c r="F81" s="17">
        <v>0</v>
      </c>
      <c r="G81" s="17">
        <v>0</v>
      </c>
      <c r="H81" s="17">
        <v>0</v>
      </c>
      <c r="I81" s="17">
        <v>0</v>
      </c>
      <c r="J81" s="17">
        <v>0</v>
      </c>
      <c r="K81" s="17">
        <v>0</v>
      </c>
      <c r="L81" s="17">
        <v>0</v>
      </c>
      <c r="M81" s="17">
        <v>0</v>
      </c>
      <c r="N81" s="17">
        <v>0</v>
      </c>
      <c r="O81" s="17">
        <v>0</v>
      </c>
      <c r="P81" s="17">
        <v>0</v>
      </c>
      <c r="Q81" s="17">
        <v>0</v>
      </c>
      <c r="R81" s="17">
        <v>0</v>
      </c>
      <c r="S81" s="17">
        <v>0</v>
      </c>
      <c r="T81" s="17">
        <v>0</v>
      </c>
      <c r="U81" s="17">
        <v>0</v>
      </c>
      <c r="V81" s="17">
        <f t="shared" si="9"/>
        <v>0</v>
      </c>
      <c r="W81" s="17">
        <f t="shared" si="10"/>
        <v>0</v>
      </c>
      <c r="X81" s="43">
        <f t="shared" si="11"/>
        <v>0</v>
      </c>
    </row>
    <row r="82" spans="1:24" s="1" customFormat="1" x14ac:dyDescent="0.25">
      <c r="A82" s="1" t="s">
        <v>8</v>
      </c>
      <c r="E82" s="43">
        <f>SUM(E72:E81)</f>
        <v>465.43231887453402</v>
      </c>
      <c r="F82" s="43">
        <f t="shared" ref="F82:X82" si="12">SUM(F72:F81)</f>
        <v>0</v>
      </c>
      <c r="G82" s="43">
        <f t="shared" si="12"/>
        <v>222.95190455520975</v>
      </c>
      <c r="H82" s="43">
        <f t="shared" si="12"/>
        <v>1.36524469915118</v>
      </c>
      <c r="I82" s="43">
        <f t="shared" si="12"/>
        <v>8.9267902724130916</v>
      </c>
      <c r="J82" s="43">
        <f t="shared" si="12"/>
        <v>242.71339107031747</v>
      </c>
      <c r="K82" s="43">
        <f t="shared" si="12"/>
        <v>0</v>
      </c>
      <c r="L82" s="43">
        <f t="shared" si="12"/>
        <v>7.9222054725365219</v>
      </c>
      <c r="M82" s="43">
        <f t="shared" si="12"/>
        <v>218.40800603770475</v>
      </c>
      <c r="N82" s="43">
        <f t="shared" si="12"/>
        <v>192.462680274581</v>
      </c>
      <c r="O82" s="43">
        <f t="shared" si="12"/>
        <v>6.1134073875694535</v>
      </c>
      <c r="P82" s="43">
        <f t="shared" si="12"/>
        <v>1.7805291049547569</v>
      </c>
      <c r="Q82" s="43">
        <f t="shared" si="12"/>
        <v>196.79555855719568</v>
      </c>
      <c r="R82" s="43">
        <f t="shared" si="12"/>
        <v>0</v>
      </c>
      <c r="S82" s="43">
        <f t="shared" si="12"/>
        <v>0</v>
      </c>
      <c r="T82" s="43">
        <f t="shared" si="12"/>
        <v>0</v>
      </c>
      <c r="U82" s="43">
        <f t="shared" si="12"/>
        <v>0</v>
      </c>
      <c r="V82" s="43">
        <f t="shared" si="12"/>
        <v>11.067979276642459</v>
      </c>
      <c r="W82" s="43">
        <f t="shared" si="12"/>
        <v>424.13035486731354</v>
      </c>
      <c r="X82" s="43">
        <f t="shared" si="12"/>
        <v>465.43231887453402</v>
      </c>
    </row>
  </sheetData>
  <phoneticPr fontId="29" type="noConversion"/>
  <printOptions horizontalCentered="1"/>
  <pageMargins left="0.75" right="0.75" top="1" bottom="1" header="0.5" footer="0.5"/>
  <pageSetup scale="34" orientation="portrait" r:id="rId1"/>
  <headerFooter alignWithMargins="0">
    <oddFooter>&amp;CTab '&amp;A'&amp;RPage 34</oddFooter>
  </headerFooter>
  <ignoredErrors>
    <ignoredError sqref="X18 X32 X62 X75 X80" formula="1"/>
  </ignoredErrors>
</worksheet>
</file>

<file path=xl/worksheets/sheet3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45">
    <pageSetUpPr fitToPage="1"/>
  </sheetPr>
  <dimension ref="A1:M35"/>
  <sheetViews>
    <sheetView zoomScale="115" zoomScaleNormal="115" workbookViewId="0"/>
  </sheetViews>
  <sheetFormatPr defaultRowHeight="13.2" x14ac:dyDescent="0.25"/>
  <cols>
    <col min="1" max="1" width="25.77734375" customWidth="1"/>
    <col min="2" max="2" width="19.44140625" customWidth="1"/>
    <col min="3" max="3" width="14.5546875" customWidth="1"/>
    <col min="4" max="4" width="20.77734375" customWidth="1"/>
    <col min="5" max="5" width="15.77734375" customWidth="1"/>
    <col min="6" max="6" width="12.77734375" style="315" customWidth="1"/>
    <col min="7" max="7" width="15.5546875" customWidth="1"/>
    <col min="8" max="8" width="13.77734375" customWidth="1"/>
    <col min="9" max="9" width="21.77734375" bestFit="1" customWidth="1"/>
    <col min="11" max="11" width="5.21875" customWidth="1"/>
    <col min="12" max="12" width="6.21875" customWidth="1"/>
    <col min="13" max="13" width="5.21875" customWidth="1"/>
  </cols>
  <sheetData>
    <row r="1" spans="1:10" ht="17.399999999999999" x14ac:dyDescent="0.3">
      <c r="A1" s="4" t="s">
        <v>502</v>
      </c>
      <c r="F1" s="312"/>
    </row>
    <row r="2" spans="1:10" ht="17.399999999999999" x14ac:dyDescent="0.3">
      <c r="A2" s="51" t="s">
        <v>503</v>
      </c>
      <c r="E2" s="24"/>
      <c r="F2" s="313"/>
      <c r="G2" s="4"/>
    </row>
    <row r="3" spans="1:10" ht="17.399999999999999" x14ac:dyDescent="0.3">
      <c r="A3" s="51" t="str">
        <f>'[14]FCM PRESORT FLATS'!$A$1</f>
        <v>USPS-FY25-14</v>
      </c>
      <c r="E3" s="24"/>
      <c r="F3" s="313"/>
      <c r="G3" s="4"/>
      <c r="I3" s="24"/>
      <c r="J3" s="24"/>
    </row>
    <row r="4" spans="1:10" ht="17.399999999999999" x14ac:dyDescent="0.3">
      <c r="A4" s="4" t="s">
        <v>504</v>
      </c>
      <c r="F4" s="314" t="s">
        <v>505</v>
      </c>
      <c r="J4" s="16"/>
    </row>
    <row r="5" spans="1:10" x14ac:dyDescent="0.25">
      <c r="F5" s="314" t="s">
        <v>506</v>
      </c>
      <c r="G5" s="16"/>
      <c r="J5" s="16"/>
    </row>
    <row r="6" spans="1:10" x14ac:dyDescent="0.25">
      <c r="A6" s="35" t="s">
        <v>507</v>
      </c>
      <c r="B6" s="35" t="s">
        <v>508</v>
      </c>
      <c r="C6" s="54" t="s">
        <v>509</v>
      </c>
      <c r="D6" s="54" t="s">
        <v>510</v>
      </c>
      <c r="E6" s="134" t="s">
        <v>511</v>
      </c>
      <c r="F6" s="346" t="s">
        <v>512</v>
      </c>
      <c r="G6" s="134" t="s">
        <v>513</v>
      </c>
      <c r="H6" s="54"/>
      <c r="I6" s="134"/>
      <c r="J6" s="134"/>
    </row>
    <row r="7" spans="1:10" x14ac:dyDescent="0.25">
      <c r="A7" t="s">
        <v>489</v>
      </c>
      <c r="B7" t="s">
        <v>96</v>
      </c>
      <c r="C7" s="32" t="s">
        <v>490</v>
      </c>
      <c r="D7" s="32" t="s">
        <v>490</v>
      </c>
      <c r="E7" s="176">
        <f>'[14]FCM PRESORT FLATS'!E8</f>
        <v>195381.00758660256</v>
      </c>
      <c r="F7" s="176">
        <f>'[14]FCM PRESORT FLATS'!F8</f>
        <v>25.889688355557539</v>
      </c>
      <c r="G7" s="326">
        <f>IF(F7&lt;&gt;0,E7/F7,0)</f>
        <v>7546.6728260041664</v>
      </c>
      <c r="H7" s="245"/>
      <c r="I7" s="245"/>
      <c r="J7" s="229"/>
    </row>
    <row r="8" spans="1:10" x14ac:dyDescent="0.25">
      <c r="A8" t="s">
        <v>489</v>
      </c>
      <c r="B8" t="s">
        <v>96</v>
      </c>
      <c r="C8" s="32" t="s">
        <v>490</v>
      </c>
      <c r="D8" s="32" t="s">
        <v>491</v>
      </c>
      <c r="E8" s="176">
        <f>'[14]FCM PRESORT FLATS'!E9</f>
        <v>83150.744597043638</v>
      </c>
      <c r="F8" s="176">
        <f>'[14]FCM PRESORT FLATS'!F9</f>
        <v>12.915870103866876</v>
      </c>
      <c r="G8" s="326">
        <f t="shared" ref="G8:G33" si="0">IF(F8&lt;&gt;0,E8/F8,0)</f>
        <v>6437.874020748256</v>
      </c>
      <c r="H8" s="245"/>
      <c r="I8" s="245"/>
      <c r="J8" s="229"/>
    </row>
    <row r="9" spans="1:10" x14ac:dyDescent="0.25">
      <c r="A9" t="s">
        <v>489</v>
      </c>
      <c r="B9" t="s">
        <v>96</v>
      </c>
      <c r="C9" s="32" t="s">
        <v>490</v>
      </c>
      <c r="D9" s="32" t="s">
        <v>492</v>
      </c>
      <c r="E9" s="176">
        <f>'[14]FCM PRESORT FLATS'!E10</f>
        <v>117585.22206616323</v>
      </c>
      <c r="F9" s="176">
        <f>'[14]FCM PRESORT FLATS'!F10</f>
        <v>15.475657918485441</v>
      </c>
      <c r="G9" s="326">
        <f t="shared" si="0"/>
        <v>7598.0758094755665</v>
      </c>
      <c r="H9" s="245"/>
      <c r="I9" s="245"/>
      <c r="J9" s="229"/>
    </row>
    <row r="10" spans="1:10" x14ac:dyDescent="0.25">
      <c r="A10" t="s">
        <v>489</v>
      </c>
      <c r="B10" t="s">
        <v>96</v>
      </c>
      <c r="C10" s="32" t="s">
        <v>490</v>
      </c>
      <c r="D10" s="32" t="s">
        <v>493</v>
      </c>
      <c r="E10" s="176">
        <f>'[14]FCM PRESORT FLATS'!E11</f>
        <v>70286.855594443958</v>
      </c>
      <c r="F10" s="176">
        <f>'[14]FCM PRESORT FLATS'!F11</f>
        <v>2.3577151340913924</v>
      </c>
      <c r="G10" s="326">
        <f t="shared" si="0"/>
        <v>29811.428267194307</v>
      </c>
      <c r="H10" s="245"/>
      <c r="I10" s="245"/>
      <c r="J10" s="229"/>
    </row>
    <row r="11" spans="1:10" x14ac:dyDescent="0.25">
      <c r="A11" t="s">
        <v>489</v>
      </c>
      <c r="B11" t="s">
        <v>96</v>
      </c>
      <c r="C11" s="32" t="s">
        <v>490</v>
      </c>
      <c r="D11" s="32" t="s">
        <v>494</v>
      </c>
      <c r="E11" s="176">
        <f>'[14]FCM PRESORT FLATS'!E12</f>
        <v>5771560.9194324845</v>
      </c>
      <c r="F11" s="176" t="str">
        <f>'[14]FCM PRESORT FLATS'!F12</f>
        <v>NA</v>
      </c>
      <c r="G11" s="326" t="s">
        <v>495</v>
      </c>
      <c r="H11" s="245"/>
      <c r="I11" s="245"/>
      <c r="J11" s="229"/>
    </row>
    <row r="12" spans="1:10" x14ac:dyDescent="0.25">
      <c r="A12" t="s">
        <v>489</v>
      </c>
      <c r="B12" t="s">
        <v>96</v>
      </c>
      <c r="C12" s="32" t="s">
        <v>491</v>
      </c>
      <c r="D12" s="32" t="s">
        <v>491</v>
      </c>
      <c r="E12" s="176">
        <f>'[14]FCM PRESORT FLATS'!E13</f>
        <v>11353.377997393069</v>
      </c>
      <c r="F12" s="176">
        <f>'[14]FCM PRESORT FLATS'!F13</f>
        <v>10.495621463603916</v>
      </c>
      <c r="G12" s="326">
        <f t="shared" si="0"/>
        <v>1081.7251781386772</v>
      </c>
      <c r="H12" s="245"/>
      <c r="I12" s="245"/>
      <c r="J12" s="229"/>
    </row>
    <row r="13" spans="1:10" x14ac:dyDescent="0.25">
      <c r="A13" t="s">
        <v>489</v>
      </c>
      <c r="B13" t="s">
        <v>96</v>
      </c>
      <c r="C13" s="32" t="s">
        <v>491</v>
      </c>
      <c r="D13" s="32" t="s">
        <v>492</v>
      </c>
      <c r="E13" s="176">
        <f>'[14]FCM PRESORT FLATS'!E14</f>
        <v>59857.167762708923</v>
      </c>
      <c r="F13" s="176">
        <f>'[14]FCM PRESORT FLATS'!F14</f>
        <v>19.999359499447042</v>
      </c>
      <c r="G13" s="326">
        <f t="shared" si="0"/>
        <v>2992.9542375776537</v>
      </c>
      <c r="H13" s="245"/>
      <c r="I13" s="245"/>
      <c r="J13" s="229"/>
    </row>
    <row r="14" spans="1:10" x14ac:dyDescent="0.25">
      <c r="A14" t="s">
        <v>489</v>
      </c>
      <c r="B14" t="s">
        <v>96</v>
      </c>
      <c r="C14" s="32" t="s">
        <v>491</v>
      </c>
      <c r="D14" s="32" t="s">
        <v>493</v>
      </c>
      <c r="E14" s="176">
        <f>'[14]FCM PRESORT FLATS'!E15</f>
        <v>24755.011053349972</v>
      </c>
      <c r="F14" s="176">
        <f>'[14]FCM PRESORT FLATS'!F15</f>
        <v>7.8262825087579513</v>
      </c>
      <c r="G14" s="326">
        <f t="shared" si="0"/>
        <v>3163.0612651214719</v>
      </c>
      <c r="H14" s="245"/>
      <c r="I14" s="245"/>
      <c r="J14" s="229"/>
    </row>
    <row r="15" spans="1:10" x14ac:dyDescent="0.25">
      <c r="A15" t="s">
        <v>489</v>
      </c>
      <c r="B15" t="s">
        <v>96</v>
      </c>
      <c r="C15" s="32" t="s">
        <v>491</v>
      </c>
      <c r="D15" s="32" t="s">
        <v>494</v>
      </c>
      <c r="E15" s="176">
        <f>'[14]FCM PRESORT FLATS'!E16</f>
        <v>351885.06966642151</v>
      </c>
      <c r="F15" s="176" t="str">
        <f>'[14]FCM PRESORT FLATS'!F16</f>
        <v>NA</v>
      </c>
      <c r="G15" s="326" t="s">
        <v>495</v>
      </c>
      <c r="H15" s="245"/>
      <c r="I15" s="245"/>
      <c r="J15" s="229"/>
    </row>
    <row r="16" spans="1:10" x14ac:dyDescent="0.25">
      <c r="A16" t="s">
        <v>489</v>
      </c>
      <c r="B16" t="s">
        <v>96</v>
      </c>
      <c r="C16" s="32" t="s">
        <v>492</v>
      </c>
      <c r="D16" s="32" t="s">
        <v>492</v>
      </c>
      <c r="E16" s="176">
        <f>'[14]FCM PRESORT FLATS'!E17</f>
        <v>166320.12266407604</v>
      </c>
      <c r="F16" s="176">
        <f>'[14]FCM PRESORT FLATS'!F17</f>
        <v>15.724901674692212</v>
      </c>
      <c r="G16" s="326">
        <f t="shared" si="0"/>
        <v>10576.862488860776</v>
      </c>
      <c r="H16" s="245"/>
      <c r="I16" s="245"/>
      <c r="J16" s="229"/>
    </row>
    <row r="17" spans="1:13" x14ac:dyDescent="0.25">
      <c r="A17" t="s">
        <v>489</v>
      </c>
      <c r="B17" t="s">
        <v>96</v>
      </c>
      <c r="C17" s="32" t="s">
        <v>492</v>
      </c>
      <c r="D17" s="32" t="s">
        <v>493</v>
      </c>
      <c r="E17" s="176">
        <f>'[14]FCM PRESORT FLATS'!E18</f>
        <v>359278.45247866592</v>
      </c>
      <c r="F17" s="176">
        <f>'[14]FCM PRESORT FLATS'!F18</f>
        <v>15.614300571720802</v>
      </c>
      <c r="G17" s="326">
        <f t="shared" si="0"/>
        <v>23009.577075092195</v>
      </c>
      <c r="H17" s="245"/>
      <c r="I17" s="245"/>
      <c r="J17" s="229"/>
    </row>
    <row r="18" spans="1:13" x14ac:dyDescent="0.25">
      <c r="A18" t="s">
        <v>489</v>
      </c>
      <c r="B18" s="190" t="s">
        <v>96</v>
      </c>
      <c r="C18" s="32" t="s">
        <v>492</v>
      </c>
      <c r="D18" s="32" t="s">
        <v>494</v>
      </c>
      <c r="E18" s="176">
        <f>'[14]FCM PRESORT FLATS'!E19</f>
        <v>102043.4895918321</v>
      </c>
      <c r="F18" s="176" t="str">
        <f>'[14]FCM PRESORT FLATS'!F19</f>
        <v>NA</v>
      </c>
      <c r="G18" s="326" t="s">
        <v>495</v>
      </c>
      <c r="H18" s="245"/>
      <c r="I18" s="245"/>
      <c r="J18" s="229"/>
    </row>
    <row r="19" spans="1:13" x14ac:dyDescent="0.25">
      <c r="A19" t="s">
        <v>489</v>
      </c>
      <c r="B19" s="190" t="s">
        <v>96</v>
      </c>
      <c r="C19" s="32" t="s">
        <v>493</v>
      </c>
      <c r="D19" s="32" t="s">
        <v>493</v>
      </c>
      <c r="E19" s="176">
        <f>'[14]FCM PRESORT FLATS'!E20</f>
        <v>590245.32172872487</v>
      </c>
      <c r="F19" s="176">
        <f>'[14]FCM PRESORT FLATS'!F20</f>
        <v>15.72083950519421</v>
      </c>
      <c r="G19" s="326"/>
      <c r="H19" s="245"/>
      <c r="I19" s="245"/>
      <c r="J19" s="229"/>
    </row>
    <row r="20" spans="1:13" x14ac:dyDescent="0.25">
      <c r="A20" t="s">
        <v>489</v>
      </c>
      <c r="B20" t="s">
        <v>96</v>
      </c>
      <c r="C20" s="32" t="s">
        <v>493</v>
      </c>
      <c r="D20" s="32" t="s">
        <v>494</v>
      </c>
      <c r="E20" s="176">
        <f>'[20]FCM PRESORT FLATS'!$E$21</f>
        <v>35847.237780088006</v>
      </c>
      <c r="F20" s="176" t="str">
        <f>'[14]FCM PRESORT FLATS'!F21</f>
        <v>NA</v>
      </c>
      <c r="G20" s="326" t="s">
        <v>495</v>
      </c>
      <c r="H20" s="245"/>
      <c r="I20" s="245"/>
      <c r="J20" s="229"/>
    </row>
    <row r="21" spans="1:13" x14ac:dyDescent="0.25">
      <c r="A21" t="s">
        <v>489</v>
      </c>
      <c r="B21" t="s">
        <v>391</v>
      </c>
      <c r="C21" s="32" t="s">
        <v>490</v>
      </c>
      <c r="D21" s="32" t="s">
        <v>490</v>
      </c>
      <c r="E21" s="176">
        <v>0</v>
      </c>
      <c r="F21" s="315">
        <f>'[21]FCM PRESORT FLATS'!$F$22</f>
        <v>16.895711780944328</v>
      </c>
      <c r="G21" s="326">
        <f t="shared" si="0"/>
        <v>0</v>
      </c>
      <c r="H21" s="2"/>
      <c r="I21" s="229"/>
      <c r="J21" s="229"/>
    </row>
    <row r="22" spans="1:13" x14ac:dyDescent="0.25">
      <c r="A22" t="s">
        <v>489</v>
      </c>
      <c r="B22" t="s">
        <v>391</v>
      </c>
      <c r="C22" s="32" t="s">
        <v>490</v>
      </c>
      <c r="D22" s="32" t="s">
        <v>491</v>
      </c>
      <c r="E22" s="176">
        <v>0</v>
      </c>
      <c r="F22" s="315">
        <f>'[21]FCM PRESORT FLATS'!$F$23</f>
        <v>18.499924331508513</v>
      </c>
      <c r="G22" s="326">
        <f t="shared" si="0"/>
        <v>0</v>
      </c>
      <c r="H22" s="2"/>
      <c r="I22" s="229"/>
      <c r="J22" s="229"/>
    </row>
    <row r="23" spans="1:13" x14ac:dyDescent="0.25">
      <c r="A23" t="s">
        <v>489</v>
      </c>
      <c r="B23" t="s">
        <v>391</v>
      </c>
      <c r="C23" s="32" t="s">
        <v>490</v>
      </c>
      <c r="D23" s="32" t="s">
        <v>492</v>
      </c>
      <c r="E23" s="176">
        <v>0</v>
      </c>
      <c r="F23" s="315">
        <f>'[21]FCM PRESORT FLATS'!$F$24</f>
        <v>14.800820801862816</v>
      </c>
      <c r="G23" s="326">
        <f t="shared" si="0"/>
        <v>0</v>
      </c>
      <c r="H23" s="2"/>
      <c r="I23" s="229"/>
      <c r="J23" s="229"/>
    </row>
    <row r="24" spans="1:13" x14ac:dyDescent="0.25">
      <c r="A24" t="s">
        <v>489</v>
      </c>
      <c r="B24" t="s">
        <v>391</v>
      </c>
      <c r="C24" s="32" t="s">
        <v>490</v>
      </c>
      <c r="D24" s="32" t="s">
        <v>493</v>
      </c>
      <c r="E24" s="176">
        <v>0</v>
      </c>
      <c r="F24" s="315">
        <f>'[21]FCM PRESORT FLATS'!$F$25</f>
        <v>0</v>
      </c>
      <c r="G24" s="326">
        <f t="shared" si="0"/>
        <v>0</v>
      </c>
      <c r="H24" s="2"/>
      <c r="I24" s="229"/>
      <c r="J24" s="229"/>
    </row>
    <row r="25" spans="1:13" x14ac:dyDescent="0.25">
      <c r="A25" t="s">
        <v>489</v>
      </c>
      <c r="B25" t="s">
        <v>391</v>
      </c>
      <c r="C25" s="32" t="s">
        <v>490</v>
      </c>
      <c r="D25" s="32" t="s">
        <v>494</v>
      </c>
      <c r="E25" s="176">
        <v>0</v>
      </c>
      <c r="F25" s="315" t="str">
        <f>'[21]FCM PRESORT FLATS'!$F$26</f>
        <v>N/A</v>
      </c>
      <c r="G25" s="326" t="s">
        <v>495</v>
      </c>
      <c r="H25" s="2"/>
      <c r="I25" s="229"/>
      <c r="J25" s="229"/>
    </row>
    <row r="26" spans="1:13" x14ac:dyDescent="0.25">
      <c r="A26" t="s">
        <v>489</v>
      </c>
      <c r="B26" t="s">
        <v>391</v>
      </c>
      <c r="C26" s="32" t="s">
        <v>491</v>
      </c>
      <c r="D26" s="32" t="s">
        <v>491</v>
      </c>
      <c r="E26" s="176">
        <v>0</v>
      </c>
      <c r="F26" s="315">
        <f>'[21]FCM PRESORT FLATS'!$F$27</f>
        <v>15.633530485923108</v>
      </c>
      <c r="G26" s="326">
        <f t="shared" si="0"/>
        <v>0</v>
      </c>
      <c r="H26" s="2"/>
      <c r="I26" s="229"/>
      <c r="J26" s="229"/>
    </row>
    <row r="27" spans="1:13" x14ac:dyDescent="0.25">
      <c r="A27" t="s">
        <v>489</v>
      </c>
      <c r="B27" t="s">
        <v>391</v>
      </c>
      <c r="C27" s="32" t="s">
        <v>491</v>
      </c>
      <c r="D27" s="32" t="s">
        <v>492</v>
      </c>
      <c r="E27" s="176">
        <v>0</v>
      </c>
      <c r="F27" s="315">
        <f>'[21]FCM PRESORT FLATS'!$F$28</f>
        <v>18.70889847145688</v>
      </c>
      <c r="G27" s="326">
        <f t="shared" si="0"/>
        <v>0</v>
      </c>
      <c r="H27" s="2"/>
      <c r="I27" s="229"/>
      <c r="J27" s="229"/>
    </row>
    <row r="28" spans="1:13" s="1" customFormat="1" x14ac:dyDescent="0.25">
      <c r="A28" t="s">
        <v>489</v>
      </c>
      <c r="B28" t="s">
        <v>391</v>
      </c>
      <c r="C28" s="32" t="s">
        <v>491</v>
      </c>
      <c r="D28" s="32" t="s">
        <v>493</v>
      </c>
      <c r="E28" s="176">
        <v>0</v>
      </c>
      <c r="F28" s="315">
        <f>'[21]FCM PRESORT FLATS'!$F$29</f>
        <v>13.130540427082932</v>
      </c>
      <c r="G28" s="326">
        <f t="shared" si="0"/>
        <v>0</v>
      </c>
      <c r="H28" s="2"/>
      <c r="I28" s="229"/>
      <c r="J28" s="229"/>
      <c r="K28"/>
      <c r="L28"/>
      <c r="M28"/>
    </row>
    <row r="29" spans="1:13" x14ac:dyDescent="0.25">
      <c r="A29" t="s">
        <v>489</v>
      </c>
      <c r="B29" t="s">
        <v>391</v>
      </c>
      <c r="C29" s="32" t="s">
        <v>491</v>
      </c>
      <c r="D29" s="32" t="s">
        <v>494</v>
      </c>
      <c r="E29" s="176">
        <v>0</v>
      </c>
      <c r="F29" s="315" t="str">
        <f>'[21]FCM PRESORT FLATS'!$F$30</f>
        <v>N/A</v>
      </c>
      <c r="G29" s="326" t="s">
        <v>495</v>
      </c>
      <c r="H29" s="2"/>
      <c r="I29" s="229"/>
      <c r="J29" s="229"/>
    </row>
    <row r="30" spans="1:13" x14ac:dyDescent="0.25">
      <c r="A30" t="s">
        <v>489</v>
      </c>
      <c r="B30" t="s">
        <v>391</v>
      </c>
      <c r="C30" s="32" t="s">
        <v>492</v>
      </c>
      <c r="D30" s="32" t="s">
        <v>492</v>
      </c>
      <c r="E30" s="176">
        <v>0</v>
      </c>
      <c r="F30" s="315">
        <f>'[21]FCM PRESORT FLATS'!$F$31</f>
        <v>16.341769002010366</v>
      </c>
      <c r="G30" s="326">
        <f t="shared" si="0"/>
        <v>0</v>
      </c>
      <c r="H30" s="2"/>
      <c r="I30" s="229"/>
      <c r="J30" s="229"/>
    </row>
    <row r="31" spans="1:13" x14ac:dyDescent="0.25">
      <c r="A31" t="s">
        <v>489</v>
      </c>
      <c r="B31" t="s">
        <v>391</v>
      </c>
      <c r="C31" s="32" t="s">
        <v>492</v>
      </c>
      <c r="D31" s="32" t="s">
        <v>493</v>
      </c>
      <c r="E31" s="176">
        <v>0</v>
      </c>
      <c r="F31" s="315">
        <f>'[21]FCM PRESORT FLATS'!$F$32</f>
        <v>13.382711561224308</v>
      </c>
      <c r="G31" s="326">
        <f t="shared" si="0"/>
        <v>0</v>
      </c>
      <c r="H31" s="2"/>
      <c r="I31" s="229"/>
      <c r="J31" s="229"/>
    </row>
    <row r="32" spans="1:13" x14ac:dyDescent="0.25">
      <c r="A32" t="s">
        <v>489</v>
      </c>
      <c r="B32" t="s">
        <v>391</v>
      </c>
      <c r="C32" s="32" t="s">
        <v>492</v>
      </c>
      <c r="D32" s="32" t="s">
        <v>494</v>
      </c>
      <c r="E32" s="176">
        <v>0</v>
      </c>
      <c r="F32" s="315" t="str">
        <f>'[21]FCM PRESORT FLATS'!$F$33</f>
        <v>N/A</v>
      </c>
      <c r="G32" s="326" t="s">
        <v>495</v>
      </c>
      <c r="H32" s="2"/>
      <c r="I32" s="229"/>
      <c r="J32" s="229"/>
    </row>
    <row r="33" spans="1:10" x14ac:dyDescent="0.25">
      <c r="A33" t="s">
        <v>489</v>
      </c>
      <c r="B33" t="s">
        <v>391</v>
      </c>
      <c r="C33" s="32" t="s">
        <v>493</v>
      </c>
      <c r="D33" s="32" t="s">
        <v>493</v>
      </c>
      <c r="E33" s="176">
        <v>0</v>
      </c>
      <c r="F33" s="315">
        <f>'[21]FCM PRESORT FLATS'!$F$34</f>
        <v>21.436053726709304</v>
      </c>
      <c r="G33" s="326">
        <f t="shared" si="0"/>
        <v>0</v>
      </c>
      <c r="H33" s="2"/>
      <c r="I33" s="229"/>
      <c r="J33" s="229"/>
    </row>
    <row r="34" spans="1:10" x14ac:dyDescent="0.25">
      <c r="A34" t="s">
        <v>489</v>
      </c>
      <c r="B34" t="s">
        <v>391</v>
      </c>
      <c r="C34" s="32" t="s">
        <v>493</v>
      </c>
      <c r="D34" s="32" t="s">
        <v>494</v>
      </c>
      <c r="E34" s="176">
        <v>0</v>
      </c>
      <c r="F34" s="315" t="str">
        <f>'[21]FCM PRESORT FLATS'!$F$35</f>
        <v>N/A</v>
      </c>
      <c r="G34" s="326" t="s">
        <v>495</v>
      </c>
      <c r="H34" s="2"/>
      <c r="I34" s="229"/>
      <c r="J34" s="229"/>
    </row>
    <row r="35" spans="1:10" x14ac:dyDescent="0.25">
      <c r="A35" s="1" t="s">
        <v>340</v>
      </c>
      <c r="B35" s="1"/>
      <c r="C35" s="33"/>
      <c r="D35" s="33"/>
      <c r="E35" s="16">
        <f>SUM(E7:E34)</f>
        <v>7939549.9999999972</v>
      </c>
      <c r="F35" s="314"/>
      <c r="G35" s="136"/>
      <c r="H35" s="16"/>
      <c r="I35" s="3"/>
      <c r="J35" s="16"/>
    </row>
  </sheetData>
  <phoneticPr fontId="29" type="noConversion"/>
  <printOptions horizontalCentered="1"/>
  <pageMargins left="0.75" right="0.75" top="1" bottom="1" header="0.5" footer="0.5"/>
  <pageSetup scale="83" orientation="portrait" r:id="rId1"/>
  <headerFooter alignWithMargins="0">
    <oddFooter>&amp;CTab '&amp;A'&amp;RPage 35</oddFooter>
  </headerFooter>
</worksheet>
</file>

<file path=xl/worksheets/sheet3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46">
    <pageSetUpPr fitToPage="1"/>
  </sheetPr>
  <dimension ref="A1:J51"/>
  <sheetViews>
    <sheetView zoomScale="115" zoomScaleNormal="115" workbookViewId="0"/>
  </sheetViews>
  <sheetFormatPr defaultRowHeight="13.2" x14ac:dyDescent="0.25"/>
  <cols>
    <col min="1" max="2" width="25.77734375" customWidth="1"/>
    <col min="3" max="3" width="20.77734375" customWidth="1"/>
    <col min="4" max="4" width="25.77734375" customWidth="1"/>
    <col min="5" max="5" width="15.77734375" style="2" customWidth="1"/>
    <col min="6" max="6" width="12.77734375" style="176" customWidth="1"/>
    <col min="7" max="7" width="15.5546875" customWidth="1"/>
    <col min="8" max="8" width="5" customWidth="1"/>
    <col min="9" max="9" width="6.21875" customWidth="1"/>
  </cols>
  <sheetData>
    <row r="1" spans="1:10" ht="17.399999999999999" x14ac:dyDescent="0.3">
      <c r="A1" s="4" t="s">
        <v>502</v>
      </c>
      <c r="F1"/>
    </row>
    <row r="2" spans="1:10" ht="15.6" x14ac:dyDescent="0.3">
      <c r="A2" s="51" t="s">
        <v>514</v>
      </c>
      <c r="E2" s="245"/>
      <c r="F2" s="24"/>
    </row>
    <row r="3" spans="1:10" ht="15.6" x14ac:dyDescent="0.3">
      <c r="A3" s="51" t="str">
        <f>'[14]FCM PRESORT FLATS'!$A$1</f>
        <v>USPS-FY25-14</v>
      </c>
      <c r="E3" s="245"/>
      <c r="F3" s="24"/>
    </row>
    <row r="4" spans="1:10" ht="17.399999999999999" x14ac:dyDescent="0.3">
      <c r="A4" s="4" t="s">
        <v>504</v>
      </c>
      <c r="C4" s="32"/>
      <c r="D4" s="32"/>
      <c r="E4" s="280"/>
    </row>
    <row r="5" spans="1:10" x14ac:dyDescent="0.25">
      <c r="E5"/>
      <c r="F5" s="16" t="s">
        <v>505</v>
      </c>
      <c r="G5" s="16"/>
    </row>
    <row r="6" spans="1:10" x14ac:dyDescent="0.25">
      <c r="E6"/>
      <c r="F6" s="16" t="s">
        <v>506</v>
      </c>
    </row>
    <row r="7" spans="1:10" x14ac:dyDescent="0.25">
      <c r="A7" s="35" t="s">
        <v>507</v>
      </c>
      <c r="B7" s="35" t="s">
        <v>508</v>
      </c>
      <c r="C7" s="54" t="s">
        <v>509</v>
      </c>
      <c r="D7" s="54" t="s">
        <v>510</v>
      </c>
      <c r="E7" s="134" t="s">
        <v>511</v>
      </c>
      <c r="F7" s="134" t="s">
        <v>512</v>
      </c>
      <c r="G7" s="134" t="s">
        <v>513</v>
      </c>
    </row>
    <row r="8" spans="1:10" x14ac:dyDescent="0.25">
      <c r="A8" t="s">
        <v>496</v>
      </c>
      <c r="B8" t="s">
        <v>96</v>
      </c>
      <c r="C8" s="32" t="s">
        <v>490</v>
      </c>
      <c r="D8" s="32" t="s">
        <v>490</v>
      </c>
      <c r="E8" s="2">
        <f>'[14]FCM PRESORT FLATS'!E41</f>
        <v>6790978.9539399911</v>
      </c>
      <c r="F8" s="2">
        <f>'[14]FCM PRESORT FLATS'!F41</f>
        <v>19.212094055307322</v>
      </c>
      <c r="G8" s="326">
        <f>IF(F8&lt;&gt;0,E8/F8,0)</f>
        <v>353474.16759413533</v>
      </c>
    </row>
    <row r="9" spans="1:10" x14ac:dyDescent="0.25">
      <c r="A9" t="s">
        <v>496</v>
      </c>
      <c r="B9" t="s">
        <v>96</v>
      </c>
      <c r="C9" s="32" t="s">
        <v>490</v>
      </c>
      <c r="D9" s="32" t="s">
        <v>494</v>
      </c>
      <c r="E9" s="2">
        <f>'[14]FCM PRESORT FLATS'!E42</f>
        <v>35333601.046059862</v>
      </c>
      <c r="F9" s="2" t="str">
        <f>'[22]FCM PRESORT FLATS'!F42</f>
        <v>NA</v>
      </c>
      <c r="G9" s="326" t="s">
        <v>515</v>
      </c>
    </row>
    <row r="10" spans="1:10" x14ac:dyDescent="0.25">
      <c r="A10" t="s">
        <v>496</v>
      </c>
      <c r="B10" t="s">
        <v>391</v>
      </c>
      <c r="C10" s="32" t="s">
        <v>490</v>
      </c>
      <c r="D10" s="32" t="s">
        <v>490</v>
      </c>
      <c r="E10" s="2">
        <f>'[14]FCM PRESORT FLATS'!E43</f>
        <v>0</v>
      </c>
      <c r="F10" s="229">
        <f>'[21]FCM PRESORT FLATS'!$F$43</f>
        <v>18.993011211931897</v>
      </c>
      <c r="G10" s="326">
        <f t="shared" ref="G10" si="0">IF(F10&lt;&gt;0,E10/F10,0)</f>
        <v>0</v>
      </c>
    </row>
    <row r="11" spans="1:10" x14ac:dyDescent="0.25">
      <c r="A11" t="s">
        <v>496</v>
      </c>
      <c r="B11" t="s">
        <v>391</v>
      </c>
      <c r="C11" s="32" t="s">
        <v>490</v>
      </c>
      <c r="D11" s="32" t="s">
        <v>494</v>
      </c>
      <c r="E11" s="2">
        <f>'[14]FCM PRESORT FLATS'!E44</f>
        <v>0</v>
      </c>
      <c r="F11" s="229" t="str">
        <f>'[21]FCM PRESORT FLATS'!$F$44</f>
        <v>N/A</v>
      </c>
      <c r="G11" s="326" t="s">
        <v>515</v>
      </c>
    </row>
    <row r="12" spans="1:10" s="1" customFormat="1" x14ac:dyDescent="0.25">
      <c r="A12" s="1" t="s">
        <v>340</v>
      </c>
      <c r="C12" s="33"/>
      <c r="D12" s="33"/>
      <c r="E12" s="3">
        <f>SUM(E8:E11)</f>
        <v>42124579.999999851</v>
      </c>
      <c r="F12" s="285"/>
      <c r="G12" s="327">
        <f>SUM(G8:G11)*10000/E12</f>
        <v>83.911618250944358</v>
      </c>
      <c r="H12"/>
      <c r="I12"/>
      <c r="J12"/>
    </row>
    <row r="13" spans="1:10" x14ac:dyDescent="0.25">
      <c r="C13" s="32"/>
      <c r="D13" s="32"/>
      <c r="F13" s="229"/>
    </row>
    <row r="14" spans="1:10" x14ac:dyDescent="0.25">
      <c r="F14" s="285" t="s">
        <v>505</v>
      </c>
    </row>
    <row r="15" spans="1:10" x14ac:dyDescent="0.25">
      <c r="F15" s="285" t="s">
        <v>506</v>
      </c>
    </row>
    <row r="16" spans="1:10" x14ac:dyDescent="0.25">
      <c r="A16" s="35" t="s">
        <v>507</v>
      </c>
      <c r="B16" s="35" t="s">
        <v>508</v>
      </c>
      <c r="C16" s="54" t="s">
        <v>509</v>
      </c>
      <c r="D16" s="54" t="s">
        <v>510</v>
      </c>
      <c r="E16" s="134" t="s">
        <v>511</v>
      </c>
      <c r="F16" s="134" t="s">
        <v>512</v>
      </c>
      <c r="G16" s="134" t="s">
        <v>513</v>
      </c>
    </row>
    <row r="17" spans="1:10" x14ac:dyDescent="0.25">
      <c r="A17" t="s">
        <v>497</v>
      </c>
      <c r="B17" t="s">
        <v>96</v>
      </c>
      <c r="C17" s="32" t="s">
        <v>490</v>
      </c>
      <c r="D17" s="32" t="s">
        <v>491</v>
      </c>
      <c r="E17" s="2">
        <f>'[14]FCM PRESORT FLATS'!E50</f>
        <v>10876683.035051174</v>
      </c>
      <c r="F17" s="2">
        <f>'[14]FCM PRESORT FLATS'!F50</f>
        <v>10.937299301087512</v>
      </c>
      <c r="G17" s="326">
        <f>IF(F17&lt;&gt;0,E17/F17,0)</f>
        <v>994457.83969445643</v>
      </c>
    </row>
    <row r="18" spans="1:10" x14ac:dyDescent="0.25">
      <c r="A18" t="s">
        <v>497</v>
      </c>
      <c r="B18" t="s">
        <v>96</v>
      </c>
      <c r="C18" s="32" t="s">
        <v>491</v>
      </c>
      <c r="D18" s="32" t="s">
        <v>491</v>
      </c>
      <c r="E18" s="2">
        <f>'[14]FCM PRESORT FLATS'!E51</f>
        <v>960177.66253190662</v>
      </c>
      <c r="F18" s="2">
        <f>'[14]FCM PRESORT FLATS'!F51</f>
        <v>12.417526788383796</v>
      </c>
      <c r="G18" s="326">
        <f t="shared" ref="G18:G21" si="1">IF(F18&lt;&gt;0,E18/F18,0)</f>
        <v>77324.388253393787</v>
      </c>
    </row>
    <row r="19" spans="1:10" x14ac:dyDescent="0.25">
      <c r="A19" t="s">
        <v>497</v>
      </c>
      <c r="B19" t="s">
        <v>96</v>
      </c>
      <c r="C19" t="s">
        <v>491</v>
      </c>
      <c r="D19" t="s">
        <v>494</v>
      </c>
      <c r="E19" s="2">
        <f>'[14]FCM PRESORT FLATS'!E52</f>
        <v>23425693.302416913</v>
      </c>
      <c r="F19" s="229" t="str">
        <f>'[21]FCM PRESORT FLATS'!$F$52</f>
        <v>N/A</v>
      </c>
      <c r="G19" s="326" t="s">
        <v>515</v>
      </c>
    </row>
    <row r="20" spans="1:10" x14ac:dyDescent="0.25">
      <c r="A20" t="s">
        <v>497</v>
      </c>
      <c r="B20" t="s">
        <v>391</v>
      </c>
      <c r="C20" s="32" t="s">
        <v>490</v>
      </c>
      <c r="D20" s="32" t="s">
        <v>491</v>
      </c>
      <c r="E20" s="2">
        <f>'[22]FCM PRESORT FLATS'!E53</f>
        <v>0</v>
      </c>
      <c r="F20" s="229">
        <f>'[21]FCM PRESORT FLATS'!$F$53</f>
        <v>15.89073988768034</v>
      </c>
      <c r="G20" s="326">
        <f t="shared" si="1"/>
        <v>0</v>
      </c>
    </row>
    <row r="21" spans="1:10" x14ac:dyDescent="0.25">
      <c r="A21" t="s">
        <v>497</v>
      </c>
      <c r="B21" t="s">
        <v>391</v>
      </c>
      <c r="C21" t="s">
        <v>491</v>
      </c>
      <c r="D21" s="32" t="s">
        <v>491</v>
      </c>
      <c r="E21" s="2">
        <f>'[22]FCM PRESORT FLATS'!E54</f>
        <v>0</v>
      </c>
      <c r="F21" s="229">
        <f>'[21]FCM PRESORT FLATS'!$F$54</f>
        <v>17.184148258385399</v>
      </c>
      <c r="G21" s="326">
        <f t="shared" si="1"/>
        <v>0</v>
      </c>
    </row>
    <row r="22" spans="1:10" x14ac:dyDescent="0.25">
      <c r="A22" t="s">
        <v>497</v>
      </c>
      <c r="B22" t="s">
        <v>391</v>
      </c>
      <c r="C22" t="s">
        <v>491</v>
      </c>
      <c r="D22" t="s">
        <v>494</v>
      </c>
      <c r="E22" s="2">
        <f>'[22]FCM PRESORT FLATS'!E55</f>
        <v>0</v>
      </c>
      <c r="F22" s="229" t="str">
        <f>'[21]FCM PRESORT FLATS'!$F$55</f>
        <v>N/A</v>
      </c>
      <c r="G22" s="326" t="s">
        <v>515</v>
      </c>
    </row>
    <row r="23" spans="1:10" x14ac:dyDescent="0.25">
      <c r="A23" s="1" t="s">
        <v>340</v>
      </c>
      <c r="B23" s="1"/>
      <c r="C23" s="1"/>
      <c r="D23" s="1"/>
      <c r="E23" s="3">
        <f>SUM(E17:E22)</f>
        <v>35262553.999999993</v>
      </c>
      <c r="F23" s="285"/>
      <c r="G23" s="289">
        <f>SUM(G17:G22)*10000/E23</f>
        <v>303.94344889137938</v>
      </c>
    </row>
    <row r="24" spans="1:10" x14ac:dyDescent="0.25">
      <c r="F24" s="229"/>
    </row>
    <row r="25" spans="1:10" x14ac:dyDescent="0.25">
      <c r="F25" s="285" t="s">
        <v>505</v>
      </c>
    </row>
    <row r="26" spans="1:10" s="1" customFormat="1" x14ac:dyDescent="0.25">
      <c r="A26"/>
      <c r="B26"/>
      <c r="C26"/>
      <c r="D26"/>
      <c r="E26" s="2"/>
      <c r="F26" s="285" t="s">
        <v>506</v>
      </c>
      <c r="G26"/>
      <c r="H26"/>
      <c r="I26"/>
      <c r="J26"/>
    </row>
    <row r="27" spans="1:10" x14ac:dyDescent="0.25">
      <c r="A27" s="35" t="s">
        <v>507</v>
      </c>
      <c r="B27" s="35" t="s">
        <v>508</v>
      </c>
      <c r="C27" s="54" t="s">
        <v>509</v>
      </c>
      <c r="D27" s="54" t="s">
        <v>510</v>
      </c>
      <c r="E27" s="134" t="s">
        <v>511</v>
      </c>
      <c r="F27" s="134" t="s">
        <v>512</v>
      </c>
      <c r="G27" s="134" t="s">
        <v>513</v>
      </c>
    </row>
    <row r="28" spans="1:10" x14ac:dyDescent="0.25">
      <c r="A28" t="s">
        <v>498</v>
      </c>
      <c r="B28" t="s">
        <v>96</v>
      </c>
      <c r="C28" s="32" t="s">
        <v>490</v>
      </c>
      <c r="D28" s="32" t="s">
        <v>492</v>
      </c>
      <c r="E28" s="2">
        <f>'[14]FCM PRESORT FLATS'!E61</f>
        <v>29581655.806427885</v>
      </c>
      <c r="F28" s="2">
        <f>'[14]FCM PRESORT FLATS'!F61</f>
        <v>12.412878506101629</v>
      </c>
      <c r="G28" s="326">
        <f>IF(F28&lt;&gt;0,E28/F28,0)</f>
        <v>2383142.2978873784</v>
      </c>
    </row>
    <row r="29" spans="1:10" x14ac:dyDescent="0.25">
      <c r="A29" t="s">
        <v>498</v>
      </c>
      <c r="B29" t="s">
        <v>96</v>
      </c>
      <c r="C29" t="s">
        <v>491</v>
      </c>
      <c r="D29" t="s">
        <v>492</v>
      </c>
      <c r="E29" s="2">
        <f>'[14]FCM PRESORT FLATS'!E62</f>
        <v>18221082.667969819</v>
      </c>
      <c r="F29" s="2">
        <f>'[14]FCM PRESORT FLATS'!F62</f>
        <v>13.591603645922383</v>
      </c>
      <c r="G29" s="326">
        <f t="shared" ref="G29:G34" si="2">IF(F29&lt;&gt;0,E29/F29,0)</f>
        <v>1340613.1566701715</v>
      </c>
    </row>
    <row r="30" spans="1:10" x14ac:dyDescent="0.25">
      <c r="A30" t="s">
        <v>498</v>
      </c>
      <c r="B30" t="s">
        <v>96</v>
      </c>
      <c r="C30" t="s">
        <v>492</v>
      </c>
      <c r="D30" t="s">
        <v>492</v>
      </c>
      <c r="E30" s="2">
        <f>'[14]FCM PRESORT FLATS'!E63</f>
        <v>10090650.452648461</v>
      </c>
      <c r="F30" s="2">
        <f>'[14]FCM PRESORT FLATS'!F63</f>
        <v>19.994175880242782</v>
      </c>
      <c r="G30" s="326">
        <f t="shared" si="2"/>
        <v>504679.48832137277</v>
      </c>
    </row>
    <row r="31" spans="1:10" x14ac:dyDescent="0.25">
      <c r="A31" t="s">
        <v>498</v>
      </c>
      <c r="B31" t="s">
        <v>96</v>
      </c>
      <c r="C31" t="s">
        <v>492</v>
      </c>
      <c r="D31" t="s">
        <v>494</v>
      </c>
      <c r="E31" s="2">
        <f>'[14]FCM PRESORT FLATS'!E64</f>
        <v>114307473.07295413</v>
      </c>
      <c r="F31" s="229" t="str">
        <f>'[22]FCM PRESORT FLATS'!F64</f>
        <v>NA</v>
      </c>
      <c r="G31" s="326" t="s">
        <v>515</v>
      </c>
    </row>
    <row r="32" spans="1:10" x14ac:dyDescent="0.25">
      <c r="A32" t="s">
        <v>498</v>
      </c>
      <c r="B32" t="s">
        <v>391</v>
      </c>
      <c r="C32" s="32" t="s">
        <v>490</v>
      </c>
      <c r="D32" s="32" t="s">
        <v>492</v>
      </c>
      <c r="E32" s="2">
        <f>'[22]FCM PRESORT FLATS'!E65</f>
        <v>0</v>
      </c>
      <c r="F32" s="229">
        <f>'[21]FCM PRESORT FLATS'!$F$65</f>
        <v>14.040531045128205</v>
      </c>
      <c r="G32" s="326">
        <f t="shared" si="2"/>
        <v>0</v>
      </c>
    </row>
    <row r="33" spans="1:10" x14ac:dyDescent="0.25">
      <c r="A33" t="s">
        <v>498</v>
      </c>
      <c r="B33" t="s">
        <v>391</v>
      </c>
      <c r="C33" t="s">
        <v>491</v>
      </c>
      <c r="D33" t="s">
        <v>492</v>
      </c>
      <c r="E33" s="2">
        <f>'[22]FCM PRESORT FLATS'!E66</f>
        <v>0</v>
      </c>
      <c r="F33" s="229">
        <f>'[21]FCM PRESORT FLATS'!$F$66</f>
        <v>26.931949414072395</v>
      </c>
      <c r="G33" s="326">
        <f t="shared" si="2"/>
        <v>0</v>
      </c>
    </row>
    <row r="34" spans="1:10" x14ac:dyDescent="0.25">
      <c r="A34" t="s">
        <v>498</v>
      </c>
      <c r="B34" t="s">
        <v>391</v>
      </c>
      <c r="C34" t="s">
        <v>492</v>
      </c>
      <c r="D34" t="s">
        <v>492</v>
      </c>
      <c r="E34" s="2">
        <f>'[22]FCM PRESORT FLATS'!E67</f>
        <v>0</v>
      </c>
      <c r="F34" s="229">
        <f>'[21]FCM PRESORT FLATS'!$F$67</f>
        <v>21.184085871593382</v>
      </c>
      <c r="G34" s="326">
        <f t="shared" si="2"/>
        <v>0</v>
      </c>
    </row>
    <row r="35" spans="1:10" x14ac:dyDescent="0.25">
      <c r="A35" t="s">
        <v>498</v>
      </c>
      <c r="B35" t="s">
        <v>391</v>
      </c>
      <c r="C35" t="s">
        <v>492</v>
      </c>
      <c r="D35" t="s">
        <v>494</v>
      </c>
      <c r="E35" s="2">
        <f>'[22]FCM PRESORT FLATS'!E68</f>
        <v>0</v>
      </c>
      <c r="F35" s="229" t="str">
        <f>'[21]FCM PRESORT FLATS'!$F$68</f>
        <v>N/A</v>
      </c>
      <c r="G35" s="326" t="s">
        <v>515</v>
      </c>
    </row>
    <row r="36" spans="1:10" x14ac:dyDescent="0.25">
      <c r="A36" s="1" t="s">
        <v>340</v>
      </c>
      <c r="B36" s="1"/>
      <c r="C36" s="1"/>
      <c r="D36" s="1"/>
      <c r="E36" s="3">
        <f>SUM(E28:E35)</f>
        <v>172200862.0000003</v>
      </c>
      <c r="F36" s="285"/>
      <c r="G36" s="289">
        <f>SUM(G28:G35)*10000/E36</f>
        <v>245.55248410306535</v>
      </c>
    </row>
    <row r="37" spans="1:10" x14ac:dyDescent="0.25">
      <c r="F37" s="229"/>
    </row>
    <row r="38" spans="1:10" s="1" customFormat="1" x14ac:dyDescent="0.25">
      <c r="A38"/>
      <c r="B38"/>
      <c r="C38"/>
      <c r="D38"/>
      <c r="E38" s="2"/>
      <c r="F38" s="285" t="s">
        <v>505</v>
      </c>
      <c r="G38"/>
      <c r="H38"/>
      <c r="I38"/>
      <c r="J38"/>
    </row>
    <row r="39" spans="1:10" x14ac:dyDescent="0.25">
      <c r="F39" s="285" t="s">
        <v>506</v>
      </c>
    </row>
    <row r="40" spans="1:10" x14ac:dyDescent="0.25">
      <c r="A40" s="35" t="s">
        <v>507</v>
      </c>
      <c r="B40" s="35" t="s">
        <v>508</v>
      </c>
      <c r="C40" s="54" t="s">
        <v>509</v>
      </c>
      <c r="D40" s="54" t="s">
        <v>510</v>
      </c>
      <c r="E40" s="134" t="s">
        <v>511</v>
      </c>
      <c r="F40" s="134" t="s">
        <v>512</v>
      </c>
      <c r="G40" s="134" t="s">
        <v>513</v>
      </c>
    </row>
    <row r="41" spans="1:10" x14ac:dyDescent="0.25">
      <c r="A41" t="s">
        <v>499</v>
      </c>
      <c r="B41" t="s">
        <v>96</v>
      </c>
      <c r="C41" s="32" t="s">
        <v>490</v>
      </c>
      <c r="D41" s="32" t="s">
        <v>493</v>
      </c>
      <c r="E41" s="2">
        <f>'[14]FCM PRESORT FLATS'!E74</f>
        <v>44733463.193865955</v>
      </c>
      <c r="F41" s="2">
        <f>'[14]FCM PRESORT FLATS'!F74</f>
        <v>11.447562741147676</v>
      </c>
      <c r="G41" s="326">
        <f>IF(F41&lt;&gt;0,E41/F41,0)</f>
        <v>3907684.4744492047</v>
      </c>
    </row>
    <row r="42" spans="1:10" x14ac:dyDescent="0.25">
      <c r="A42" t="s">
        <v>499</v>
      </c>
      <c r="B42" t="s">
        <v>96</v>
      </c>
      <c r="C42" t="s">
        <v>491</v>
      </c>
      <c r="D42" t="s">
        <v>493</v>
      </c>
      <c r="E42" s="2">
        <f>'[14]FCM PRESORT FLATS'!E75</f>
        <v>6331891.8758744923</v>
      </c>
      <c r="F42" s="2">
        <f>'[14]FCM PRESORT FLATS'!F75</f>
        <v>11.239872105392223</v>
      </c>
      <c r="G42" s="326">
        <f t="shared" ref="G42:G49" si="3">IF(F42&lt;&gt;0,E42/F42,0)</f>
        <v>563341.98614562768</v>
      </c>
    </row>
    <row r="43" spans="1:10" x14ac:dyDescent="0.25">
      <c r="A43" t="s">
        <v>499</v>
      </c>
      <c r="B43" t="s">
        <v>96</v>
      </c>
      <c r="C43" t="s">
        <v>492</v>
      </c>
      <c r="D43" t="s">
        <v>493</v>
      </c>
      <c r="E43" s="2">
        <f>'[14]FCM PRESORT FLATS'!E76</f>
        <v>43925226.721421435</v>
      </c>
      <c r="F43" s="2">
        <f>'[14]FCM PRESORT FLATS'!F76</f>
        <v>13.914887343074128</v>
      </c>
      <c r="G43" s="326">
        <f t="shared" si="3"/>
        <v>3156707.3191781454</v>
      </c>
    </row>
    <row r="44" spans="1:10" x14ac:dyDescent="0.25">
      <c r="A44" t="s">
        <v>499</v>
      </c>
      <c r="B44" t="s">
        <v>96</v>
      </c>
      <c r="C44" t="s">
        <v>493</v>
      </c>
      <c r="D44" t="s">
        <v>493</v>
      </c>
      <c r="E44" s="2">
        <f>'[14]FCM PRESORT FLATS'!E77</f>
        <v>16785037.149290826</v>
      </c>
      <c r="F44" s="2">
        <f>'[14]FCM PRESORT FLATS'!F77</f>
        <v>31.675145217178954</v>
      </c>
      <c r="G44" s="326">
        <f t="shared" si="3"/>
        <v>529911.92413499951</v>
      </c>
    </row>
    <row r="45" spans="1:10" x14ac:dyDescent="0.25">
      <c r="A45" t="s">
        <v>499</v>
      </c>
      <c r="B45" t="s">
        <v>96</v>
      </c>
      <c r="C45" t="s">
        <v>493</v>
      </c>
      <c r="D45" t="s">
        <v>494</v>
      </c>
      <c r="E45" s="2">
        <f>'[14]FCM PRESORT FLATS'!E78</f>
        <v>63494670.059547372</v>
      </c>
      <c r="F45" s="229" t="str">
        <f>'[22]FCM PRESORT FLATS'!F78</f>
        <v>NA</v>
      </c>
      <c r="G45" s="326" t="s">
        <v>515</v>
      </c>
    </row>
    <row r="46" spans="1:10" x14ac:dyDescent="0.25">
      <c r="A46" t="s">
        <v>499</v>
      </c>
      <c r="B46" t="s">
        <v>391</v>
      </c>
      <c r="C46" s="32" t="s">
        <v>490</v>
      </c>
      <c r="D46" s="32" t="s">
        <v>493</v>
      </c>
      <c r="E46" s="2">
        <f>'[22]FCM PRESORT FLATS'!E79</f>
        <v>0</v>
      </c>
      <c r="F46" s="229">
        <f>'[22]FCM PRESORT FLATS'!$F$74</f>
        <v>12.401949976475661</v>
      </c>
      <c r="G46" s="326">
        <f t="shared" si="3"/>
        <v>0</v>
      </c>
    </row>
    <row r="47" spans="1:10" x14ac:dyDescent="0.25">
      <c r="A47" t="s">
        <v>499</v>
      </c>
      <c r="B47" t="s">
        <v>391</v>
      </c>
      <c r="C47" t="s">
        <v>491</v>
      </c>
      <c r="D47" t="s">
        <v>493</v>
      </c>
      <c r="E47" s="2">
        <f>'[22]FCM PRESORT FLATS'!E80</f>
        <v>0</v>
      </c>
      <c r="F47" s="229">
        <f>'[22]FCM PRESORT FLATS'!$F$74</f>
        <v>12.401949976475661</v>
      </c>
      <c r="G47" s="326">
        <f t="shared" si="3"/>
        <v>0</v>
      </c>
    </row>
    <row r="48" spans="1:10" s="1" customFormat="1" x14ac:dyDescent="0.25">
      <c r="A48" t="s">
        <v>499</v>
      </c>
      <c r="B48" t="s">
        <v>391</v>
      </c>
      <c r="C48" t="s">
        <v>492</v>
      </c>
      <c r="D48" t="s">
        <v>493</v>
      </c>
      <c r="E48" s="2">
        <f>'[22]FCM PRESORT FLATS'!E81</f>
        <v>0</v>
      </c>
      <c r="F48" s="229">
        <f>'[22]FCM PRESORT FLATS'!$F$74</f>
        <v>12.401949976475661</v>
      </c>
      <c r="G48" s="326">
        <f t="shared" si="3"/>
        <v>0</v>
      </c>
      <c r="H48"/>
      <c r="I48"/>
      <c r="J48"/>
    </row>
    <row r="49" spans="1:7" x14ac:dyDescent="0.25">
      <c r="A49" t="s">
        <v>499</v>
      </c>
      <c r="B49" t="s">
        <v>391</v>
      </c>
      <c r="C49" t="s">
        <v>493</v>
      </c>
      <c r="D49" t="s">
        <v>493</v>
      </c>
      <c r="E49" s="2">
        <f>'[22]FCM PRESORT FLATS'!E82</f>
        <v>0</v>
      </c>
      <c r="F49" s="229">
        <f>'[22]FCM PRESORT FLATS'!$F$74</f>
        <v>12.401949976475661</v>
      </c>
      <c r="G49" s="326">
        <f t="shared" si="3"/>
        <v>0</v>
      </c>
    </row>
    <row r="50" spans="1:7" x14ac:dyDescent="0.25">
      <c r="A50" t="s">
        <v>499</v>
      </c>
      <c r="B50" t="s">
        <v>391</v>
      </c>
      <c r="C50" t="s">
        <v>493</v>
      </c>
      <c r="D50" t="s">
        <v>494</v>
      </c>
      <c r="E50" s="2">
        <f>'[22]FCM PRESORT FLATS'!E83</f>
        <v>0</v>
      </c>
      <c r="F50" s="229">
        <f>'[22]FCM PRESORT FLATS'!$F$74</f>
        <v>12.401949976475661</v>
      </c>
      <c r="G50" s="326" t="s">
        <v>515</v>
      </c>
    </row>
    <row r="51" spans="1:7" x14ac:dyDescent="0.25">
      <c r="A51" s="1" t="s">
        <v>340</v>
      </c>
      <c r="B51" s="1"/>
      <c r="C51" s="1"/>
      <c r="D51" s="1"/>
      <c r="E51" s="3">
        <f>SUM(E41:E50)</f>
        <v>175270289.00000009</v>
      </c>
      <c r="F51" s="16"/>
      <c r="G51" s="328">
        <f>SUM(G41:G50)*10000/E51</f>
        <v>465.43231887453402</v>
      </c>
    </row>
  </sheetData>
  <phoneticPr fontId="29" type="noConversion"/>
  <printOptions horizontalCentered="1"/>
  <pageMargins left="0.75" right="0.75" top="1" bottom="1" header="0.5" footer="0.5"/>
  <pageSetup scale="72" orientation="portrait" r:id="rId1"/>
  <headerFooter alignWithMargins="0">
    <oddFooter>&amp;CTab '&amp;A'&amp;RPage 36</oddFooter>
  </headerFooter>
</worksheet>
</file>

<file path=xl/worksheets/sheet3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47">
    <pageSetUpPr fitToPage="1"/>
  </sheetPr>
  <dimension ref="A1:E54"/>
  <sheetViews>
    <sheetView zoomScale="115" zoomScaleNormal="115" workbookViewId="0"/>
  </sheetViews>
  <sheetFormatPr defaultRowHeight="13.2" x14ac:dyDescent="0.25"/>
  <cols>
    <col min="1" max="1" width="4.77734375" customWidth="1"/>
    <col min="2" max="2" width="25.77734375" style="32" customWidth="1"/>
    <col min="3" max="3" width="12.77734375" style="14" customWidth="1"/>
    <col min="4" max="5" width="12.77734375" style="12" customWidth="1"/>
  </cols>
  <sheetData>
    <row r="1" spans="1:5" ht="17.399999999999999" x14ac:dyDescent="0.3">
      <c r="A1" s="46" t="s">
        <v>516</v>
      </c>
    </row>
    <row r="2" spans="1:5" ht="15.6" x14ac:dyDescent="0.3">
      <c r="B2" s="52"/>
    </row>
    <row r="3" spans="1:5" x14ac:dyDescent="0.25">
      <c r="C3" s="15" t="str">
        <f>"(1)"</f>
        <v>(1)</v>
      </c>
      <c r="D3" s="13" t="str">
        <f>"(2)"</f>
        <v>(2)</v>
      </c>
      <c r="E3" s="13" t="str">
        <f>"(3)"</f>
        <v>(3)</v>
      </c>
    </row>
    <row r="4" spans="1:5" x14ac:dyDescent="0.25">
      <c r="D4" s="13" t="s">
        <v>517</v>
      </c>
      <c r="E4" s="13" t="s">
        <v>518</v>
      </c>
    </row>
    <row r="5" spans="1:5" x14ac:dyDescent="0.25">
      <c r="C5" s="15" t="s">
        <v>519</v>
      </c>
      <c r="D5" s="13" t="s">
        <v>520</v>
      </c>
      <c r="E5" s="13" t="s">
        <v>520</v>
      </c>
    </row>
    <row r="6" spans="1:5" x14ac:dyDescent="0.25">
      <c r="B6" s="33" t="s">
        <v>411</v>
      </c>
      <c r="C6" s="15" t="s">
        <v>521</v>
      </c>
      <c r="D6" s="13" t="s">
        <v>195</v>
      </c>
      <c r="E6" s="13" t="s">
        <v>195</v>
      </c>
    </row>
    <row r="8" spans="1:5" x14ac:dyDescent="0.25">
      <c r="B8" s="32" t="s">
        <v>522</v>
      </c>
      <c r="D8" s="12">
        <f>'[15]Broken Bundles'!$L$27</f>
        <v>6.1234942212081587E-3</v>
      </c>
      <c r="E8" s="12">
        <f>'[15]Broken Bundles'!$L$74</f>
        <v>3.668762192892272E-2</v>
      </c>
    </row>
    <row r="10" spans="1:5" x14ac:dyDescent="0.25">
      <c r="B10" s="32" t="s">
        <v>523</v>
      </c>
      <c r="D10" s="12">
        <f>'[15]Broken Bundles'!$L$27</f>
        <v>6.1234942212081587E-3</v>
      </c>
      <c r="E10" s="12">
        <f>'[15]Broken Bundles'!$L$74</f>
        <v>3.668762192892272E-2</v>
      </c>
    </row>
    <row r="12" spans="1:5" x14ac:dyDescent="0.25">
      <c r="B12" s="32" t="s">
        <v>524</v>
      </c>
      <c r="D12" s="12">
        <f>'[15]Broken Bundles'!$L$49</f>
        <v>0.10356873985476586</v>
      </c>
      <c r="E12" s="12">
        <f>'[15]Broken Bundles'!$L$74</f>
        <v>3.668762192892272E-2</v>
      </c>
    </row>
    <row r="14" spans="1:5" x14ac:dyDescent="0.25">
      <c r="B14" s="32" t="s">
        <v>525</v>
      </c>
      <c r="D14" s="12">
        <f>'[15]Broken Bundles'!$L$49</f>
        <v>0.10356873985476586</v>
      </c>
      <c r="E14" s="12">
        <f>'[15]Broken Bundles'!$L$74</f>
        <v>3.668762192892272E-2</v>
      </c>
    </row>
    <row r="15" spans="1:5" x14ac:dyDescent="0.25">
      <c r="B15" s="33"/>
    </row>
    <row r="16" spans="1:5" x14ac:dyDescent="0.25">
      <c r="B16" s="33"/>
    </row>
    <row r="17" spans="2:4" x14ac:dyDescent="0.25">
      <c r="B17" s="33"/>
      <c r="C17" s="15" t="str">
        <f>"(4)"</f>
        <v>(4)</v>
      </c>
      <c r="D17" s="13" t="str">
        <f>"(6)"</f>
        <v>(6)</v>
      </c>
    </row>
    <row r="18" spans="2:4" x14ac:dyDescent="0.25">
      <c r="B18" s="33" t="s">
        <v>526</v>
      </c>
      <c r="C18" s="15" t="s">
        <v>527</v>
      </c>
      <c r="D18" s="13" t="s">
        <v>528</v>
      </c>
    </row>
    <row r="19" spans="2:4" x14ac:dyDescent="0.25">
      <c r="B19" s="33"/>
      <c r="C19" s="15"/>
    </row>
    <row r="20" spans="2:4" x14ac:dyDescent="0.25">
      <c r="B20" s="32" t="s">
        <v>529</v>
      </c>
      <c r="C20" s="14">
        <v>1</v>
      </c>
      <c r="D20" s="12">
        <v>0</v>
      </c>
    </row>
    <row r="22" spans="2:4" x14ac:dyDescent="0.25">
      <c r="B22" s="32" t="s">
        <v>530</v>
      </c>
      <c r="C22" s="14">
        <v>1</v>
      </c>
      <c r="D22" s="12">
        <f>D20</f>
        <v>0</v>
      </c>
    </row>
    <row r="24" spans="2:4" x14ac:dyDescent="0.25">
      <c r="B24" s="32" t="s">
        <v>531</v>
      </c>
      <c r="C24" s="14">
        <v>1</v>
      </c>
      <c r="D24" s="12">
        <f>D20</f>
        <v>0</v>
      </c>
    </row>
    <row r="26" spans="2:4" x14ac:dyDescent="0.25">
      <c r="B26" s="32" t="s">
        <v>532</v>
      </c>
      <c r="C26" s="14">
        <v>1</v>
      </c>
      <c r="D26" s="12">
        <f>D20</f>
        <v>0</v>
      </c>
    </row>
    <row r="28" spans="2:4" x14ac:dyDescent="0.25">
      <c r="B28" s="32" t="s">
        <v>533</v>
      </c>
      <c r="C28" s="14">
        <v>1</v>
      </c>
      <c r="D28" s="12">
        <f>D20</f>
        <v>0</v>
      </c>
    </row>
    <row r="30" spans="2:4" x14ac:dyDescent="0.25">
      <c r="B30" s="32" t="s">
        <v>534</v>
      </c>
      <c r="C30" s="14">
        <v>1</v>
      </c>
      <c r="D30" s="12">
        <v>1</v>
      </c>
    </row>
    <row r="32" spans="2:4" x14ac:dyDescent="0.25">
      <c r="B32" s="32" t="s">
        <v>535</v>
      </c>
      <c r="C32" s="14">
        <v>1</v>
      </c>
      <c r="D32" s="12">
        <f>D30</f>
        <v>1</v>
      </c>
    </row>
    <row r="34" spans="1:5" x14ac:dyDescent="0.25">
      <c r="B34" s="32" t="s">
        <v>536</v>
      </c>
      <c r="C34" s="14">
        <v>1</v>
      </c>
      <c r="D34" s="12">
        <f>D30</f>
        <v>1</v>
      </c>
    </row>
    <row r="36" spans="1:5" x14ac:dyDescent="0.25">
      <c r="B36" s="32" t="s">
        <v>537</v>
      </c>
      <c r="C36" s="14">
        <v>1</v>
      </c>
      <c r="D36" s="12">
        <f>D30</f>
        <v>1</v>
      </c>
    </row>
    <row r="37" spans="1:5" x14ac:dyDescent="0.25">
      <c r="D37" s="316"/>
    </row>
    <row r="38" spans="1:5" x14ac:dyDescent="0.25">
      <c r="B38" s="32" t="s">
        <v>538</v>
      </c>
      <c r="C38" s="14">
        <v>1</v>
      </c>
      <c r="D38" s="232">
        <f>'COVERAGE FACTORS'!C31+'COVERAGE FACTORS'!C33</f>
        <v>0.9692137786601448</v>
      </c>
    </row>
    <row r="39" spans="1:5" x14ac:dyDescent="0.25">
      <c r="D39" s="232"/>
    </row>
    <row r="40" spans="1:5" x14ac:dyDescent="0.25">
      <c r="B40" s="32" t="s">
        <v>539</v>
      </c>
      <c r="C40" s="14">
        <v>1</v>
      </c>
      <c r="D40" s="232">
        <f>D38</f>
        <v>0.9692137786601448</v>
      </c>
      <c r="E40" s="13" t="str">
        <f>"(5)"</f>
        <v>(5)</v>
      </c>
    </row>
    <row r="41" spans="1:5" x14ac:dyDescent="0.25">
      <c r="D41" s="232"/>
      <c r="E41" s="13" t="s">
        <v>528</v>
      </c>
    </row>
    <row r="42" spans="1:5" x14ac:dyDescent="0.25">
      <c r="B42" s="32" t="s">
        <v>540</v>
      </c>
      <c r="C42" s="14">
        <v>1</v>
      </c>
      <c r="D42" s="317">
        <f>D38</f>
        <v>0.9692137786601448</v>
      </c>
    </row>
    <row r="43" spans="1:5" x14ac:dyDescent="0.25">
      <c r="D43" s="318"/>
    </row>
    <row r="44" spans="1:5" x14ac:dyDescent="0.25">
      <c r="B44" s="32" t="s">
        <v>541</v>
      </c>
      <c r="C44" s="14">
        <v>1</v>
      </c>
      <c r="D44" s="232">
        <v>0</v>
      </c>
    </row>
    <row r="45" spans="1:5" x14ac:dyDescent="0.25">
      <c r="D45" s="232"/>
      <c r="E45" s="13" t="str">
        <f>"(6)"</f>
        <v>(6)</v>
      </c>
    </row>
    <row r="46" spans="1:5" x14ac:dyDescent="0.25">
      <c r="B46" s="32" t="s">
        <v>542</v>
      </c>
      <c r="C46" s="14">
        <v>1</v>
      </c>
      <c r="D46" s="317">
        <v>0</v>
      </c>
    </row>
    <row r="48" spans="1:5" x14ac:dyDescent="0.25">
      <c r="A48" s="35" t="s">
        <v>46</v>
      </c>
    </row>
    <row r="49" spans="1:2" x14ac:dyDescent="0.25">
      <c r="A49" s="31" t="str">
        <f>"(1)"</f>
        <v>(1)</v>
      </c>
      <c r="B49" s="33" t="s">
        <v>543</v>
      </c>
    </row>
    <row r="50" spans="1:2" x14ac:dyDescent="0.25">
      <c r="A50" s="31" t="str">
        <f>"(2)"</f>
        <v>(2)</v>
      </c>
      <c r="B50" s="33" t="s">
        <v>544</v>
      </c>
    </row>
    <row r="51" spans="1:2" x14ac:dyDescent="0.25">
      <c r="A51" s="31" t="str">
        <f>"(3)"</f>
        <v>(3)</v>
      </c>
      <c r="B51" s="33" t="s">
        <v>544</v>
      </c>
    </row>
    <row r="52" spans="1:2" x14ac:dyDescent="0.25">
      <c r="A52" s="31" t="str">
        <f>"(4)"</f>
        <v>(4)</v>
      </c>
      <c r="B52" s="33" t="s">
        <v>545</v>
      </c>
    </row>
    <row r="53" spans="1:2" x14ac:dyDescent="0.25">
      <c r="A53" s="31" t="str">
        <f>"(5)"</f>
        <v>(5)</v>
      </c>
      <c r="B53" s="33" t="s">
        <v>546</v>
      </c>
    </row>
    <row r="54" spans="1:2" x14ac:dyDescent="0.25">
      <c r="A54" s="13" t="str">
        <f>"(6)"</f>
        <v>(6)</v>
      </c>
      <c r="B54" s="33" t="s">
        <v>547</v>
      </c>
    </row>
  </sheetData>
  <phoneticPr fontId="29" type="noConversion"/>
  <printOptions horizontalCentered="1"/>
  <pageMargins left="0.75" right="0.75" top="1" bottom="1" header="0.5" footer="0.5"/>
  <pageSetup scale="95" orientation="portrait" r:id="rId1"/>
  <headerFooter alignWithMargins="0">
    <oddFooter>&amp;CTab '&amp;A'&amp;RPage 37</oddFooter>
  </headerFooter>
</worksheet>
</file>

<file path=xl/worksheets/sheet4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48">
    <pageSetUpPr fitToPage="1"/>
  </sheetPr>
  <dimension ref="A1:AA47"/>
  <sheetViews>
    <sheetView zoomScale="130" zoomScaleNormal="130" workbookViewId="0"/>
  </sheetViews>
  <sheetFormatPr defaultRowHeight="13.2" x14ac:dyDescent="0.25"/>
  <cols>
    <col min="1" max="1" width="5.21875" customWidth="1"/>
    <col min="4" max="4" width="2.77734375" customWidth="1"/>
    <col min="5" max="5" width="10.77734375" style="11" customWidth="1"/>
    <col min="6" max="6" width="2.77734375" style="11" customWidth="1"/>
    <col min="7" max="7" width="10.77734375" style="11" customWidth="1"/>
    <col min="8" max="8" width="2.77734375" style="11" customWidth="1"/>
    <col min="9" max="9" width="10.77734375" style="11" customWidth="1"/>
    <col min="10" max="10" width="2.77734375" style="11" customWidth="1"/>
    <col min="11" max="11" width="10.77734375" style="11" customWidth="1"/>
    <col min="12" max="12" width="2.77734375" style="11" customWidth="1"/>
    <col min="13" max="13" width="10.77734375" style="11" customWidth="1"/>
    <col min="14" max="14" width="4.21875" customWidth="1"/>
    <col min="16" max="16" width="18" bestFit="1" customWidth="1"/>
    <col min="17" max="17" width="1.5546875" customWidth="1"/>
    <col min="19" max="19" width="8.21875" bestFit="1" customWidth="1"/>
    <col min="21" max="21" width="8.21875" bestFit="1" customWidth="1"/>
    <col min="23" max="23" width="8.21875" bestFit="1" customWidth="1"/>
    <col min="25" max="25" width="8.21875" bestFit="1" customWidth="1"/>
    <col min="27" max="27" width="12" bestFit="1" customWidth="1"/>
  </cols>
  <sheetData>
    <row r="1" spans="1:27" s="1" customFormat="1" ht="17.399999999999999" x14ac:dyDescent="0.3">
      <c r="A1" s="4" t="s">
        <v>548</v>
      </c>
      <c r="E1" s="9"/>
      <c r="F1" s="10"/>
      <c r="G1" s="10"/>
      <c r="H1" s="10"/>
      <c r="I1" s="10"/>
      <c r="J1" s="10"/>
      <c r="K1" s="10"/>
      <c r="L1" s="10"/>
      <c r="M1" s="10"/>
    </row>
    <row r="2" spans="1:27" s="51" customFormat="1" ht="15.6" x14ac:dyDescent="0.3">
      <c r="A2" s="51" t="s">
        <v>549</v>
      </c>
      <c r="E2" s="174"/>
      <c r="F2" s="175"/>
      <c r="G2" s="175"/>
      <c r="H2" s="175"/>
      <c r="I2" s="175"/>
      <c r="J2" s="175"/>
      <c r="K2" s="175"/>
      <c r="L2" s="175"/>
      <c r="M2" s="175"/>
    </row>
    <row r="3" spans="1:27" x14ac:dyDescent="0.25">
      <c r="A3" s="1" t="s">
        <v>572</v>
      </c>
    </row>
    <row r="4" spans="1:27" s="1" customFormat="1" x14ac:dyDescent="0.25">
      <c r="A4" s="1" t="s">
        <v>550</v>
      </c>
      <c r="E4" s="10"/>
      <c r="F4" s="10"/>
      <c r="G4" s="10"/>
      <c r="H4" s="10"/>
      <c r="I4" s="10"/>
      <c r="J4" s="10"/>
      <c r="K4" s="10"/>
      <c r="L4" s="10"/>
      <c r="M4" s="10"/>
    </row>
    <row r="5" spans="1:27" s="5" customFormat="1" ht="26.4" x14ac:dyDescent="0.25">
      <c r="E5" s="233" t="s">
        <v>551</v>
      </c>
      <c r="F5" s="233"/>
      <c r="G5" s="233" t="s">
        <v>552</v>
      </c>
      <c r="H5" s="233"/>
      <c r="I5" s="233" t="s">
        <v>553</v>
      </c>
      <c r="J5" s="233"/>
      <c r="K5" s="233" t="s">
        <v>554</v>
      </c>
      <c r="L5" s="233"/>
      <c r="M5" s="233" t="s">
        <v>555</v>
      </c>
      <c r="O5" s="146"/>
      <c r="P5" s="146"/>
      <c r="S5" s="255"/>
      <c r="T5" s="255"/>
      <c r="U5" s="255"/>
      <c r="V5" s="255"/>
      <c r="W5" s="255"/>
      <c r="X5" s="255"/>
      <c r="Y5" s="255"/>
      <c r="Z5" s="255"/>
      <c r="AA5" s="255"/>
    </row>
    <row r="6" spans="1:27" s="6" customFormat="1" x14ac:dyDescent="0.25">
      <c r="A6" s="146"/>
      <c r="B6" s="146" t="s">
        <v>556</v>
      </c>
      <c r="C6" s="146"/>
      <c r="D6" s="146"/>
      <c r="E6" s="11" t="s">
        <v>557</v>
      </c>
      <c r="F6" s="11"/>
      <c r="G6" s="11" t="s">
        <v>491</v>
      </c>
      <c r="H6" s="11"/>
      <c r="I6" s="11" t="s">
        <v>558</v>
      </c>
      <c r="J6" s="11"/>
      <c r="K6" s="11" t="s">
        <v>559</v>
      </c>
      <c r="L6" s="11"/>
      <c r="M6" s="11" t="s">
        <v>560</v>
      </c>
      <c r="N6" s="7"/>
      <c r="O6" s="146"/>
      <c r="P6" s="146"/>
      <c r="Q6" s="146"/>
      <c r="R6" s="146"/>
      <c r="S6" s="256"/>
      <c r="T6" s="256"/>
      <c r="U6" s="256"/>
      <c r="V6" s="256"/>
      <c r="W6" s="256"/>
      <c r="X6" s="256"/>
      <c r="Y6" s="256"/>
      <c r="Z6" s="256"/>
      <c r="AA6" s="256"/>
    </row>
    <row r="7" spans="1:27" x14ac:dyDescent="0.25">
      <c r="B7" t="s">
        <v>561</v>
      </c>
      <c r="E7" s="281">
        <f>'[14]PERIODICAL BUNDLE DENSITIES'!D8</f>
        <v>1</v>
      </c>
      <c r="F7" s="281"/>
      <c r="G7" s="281">
        <f>'[14]PERIODICAL BUNDLE DENSITIES'!F8</f>
        <v>2.9988031424260542E-2</v>
      </c>
      <c r="H7" s="281"/>
      <c r="I7" s="281">
        <f>'[14]PERIODICAL BUNDLE DENSITIES'!H8</f>
        <v>2.0334349644644232E-2</v>
      </c>
      <c r="J7" s="281"/>
      <c r="K7" s="281">
        <f>'[14]PERIODICAL BUNDLE DENSITIES'!J8</f>
        <v>0</v>
      </c>
      <c r="L7" s="281"/>
      <c r="M7" s="309">
        <f>'[14]PERIODICAL BUNDLE DENSITIES'!N8</f>
        <v>0</v>
      </c>
      <c r="N7" s="286"/>
      <c r="O7" s="231"/>
      <c r="S7" s="242"/>
      <c r="T7" s="243"/>
      <c r="U7" s="242"/>
      <c r="V7" s="243"/>
      <c r="W7" s="242"/>
      <c r="X7" s="243"/>
      <c r="Y7" s="242"/>
      <c r="Z7" s="243"/>
      <c r="AA7" s="242"/>
    </row>
    <row r="8" spans="1:27" x14ac:dyDescent="0.25">
      <c r="B8" t="s">
        <v>491</v>
      </c>
      <c r="E8" s="281"/>
      <c r="F8" s="281"/>
      <c r="G8" s="281">
        <f>'[14]PERIODICAL BUNDLE DENSITIES'!F9</f>
        <v>0.97001196857573946</v>
      </c>
      <c r="H8" s="281"/>
      <c r="I8" s="281">
        <f>'[14]PERIODICAL BUNDLE DENSITIES'!H9</f>
        <v>0.97562707114267477</v>
      </c>
      <c r="J8" s="281"/>
      <c r="K8" s="281">
        <f>'[14]PERIODICAL BUNDLE DENSITIES'!J9</f>
        <v>0.9502921481235731</v>
      </c>
      <c r="L8" s="281"/>
      <c r="M8" s="309">
        <f>'[14]PERIODICAL BUNDLE DENSITIES'!N9</f>
        <v>0.86394484766162494</v>
      </c>
      <c r="N8" s="286"/>
      <c r="O8" s="231"/>
      <c r="S8" s="242"/>
      <c r="T8" s="243"/>
      <c r="U8" s="242"/>
      <c r="V8" s="243"/>
      <c r="W8" s="242"/>
      <c r="X8" s="243"/>
      <c r="Y8" s="242"/>
      <c r="Z8" s="243"/>
      <c r="AA8" s="242"/>
    </row>
    <row r="9" spans="1:27" x14ac:dyDescent="0.25">
      <c r="B9" t="s">
        <v>558</v>
      </c>
      <c r="E9" s="281"/>
      <c r="F9" s="281"/>
      <c r="G9" s="281"/>
      <c r="H9" s="281"/>
      <c r="I9" s="281">
        <f>'[14]PERIODICAL BUNDLE DENSITIES'!H10</f>
        <v>4.0385792126810226E-3</v>
      </c>
      <c r="J9" s="281"/>
      <c r="K9" s="281">
        <f>'[14]PERIODICAL BUNDLE DENSITIES'!J10</f>
        <v>9.422077100039724E-3</v>
      </c>
      <c r="L9" s="281"/>
      <c r="M9" s="309">
        <f>'[14]PERIODICAL BUNDLE DENSITIES'!N10</f>
        <v>3.7332042724338987E-2</v>
      </c>
      <c r="N9" s="286"/>
      <c r="O9" s="231"/>
      <c r="S9" s="242"/>
      <c r="T9" s="243"/>
      <c r="U9" s="242"/>
      <c r="V9" s="243"/>
      <c r="W9" s="242"/>
      <c r="X9" s="243"/>
      <c r="Y9" s="242"/>
      <c r="Z9" s="243"/>
      <c r="AA9" s="242"/>
    </row>
    <row r="10" spans="1:27" x14ac:dyDescent="0.25">
      <c r="B10" t="s">
        <v>559</v>
      </c>
      <c r="E10" s="281"/>
      <c r="F10" s="281"/>
      <c r="G10" s="281"/>
      <c r="H10" s="281"/>
      <c r="I10" s="281"/>
      <c r="J10" s="281"/>
      <c r="K10" s="281">
        <f>'[14]PERIODICAL BUNDLE DENSITIES'!J11</f>
        <v>4.0285774776387187E-2</v>
      </c>
      <c r="L10" s="281"/>
      <c r="M10" s="309">
        <f>'[14]PERIODICAL BUNDLE DENSITIES'!N11</f>
        <v>9.8723109614036075E-2</v>
      </c>
      <c r="N10" s="286"/>
      <c r="O10" s="231"/>
      <c r="S10" s="242"/>
      <c r="T10" s="243"/>
      <c r="U10" s="242"/>
      <c r="V10" s="243"/>
      <c r="W10" s="242"/>
      <c r="X10" s="243"/>
      <c r="Y10" s="242"/>
      <c r="Z10" s="243"/>
      <c r="AA10" s="242"/>
    </row>
    <row r="11" spans="1:27" x14ac:dyDescent="0.25">
      <c r="B11" t="s">
        <v>560</v>
      </c>
      <c r="E11" s="281"/>
      <c r="F11" s="281"/>
      <c r="G11" s="281"/>
      <c r="H11" s="281"/>
      <c r="I11" s="281"/>
      <c r="J11" s="281"/>
      <c r="K11" s="281"/>
      <c r="L11" s="281"/>
      <c r="M11" s="330"/>
      <c r="S11" s="242"/>
      <c r="T11" s="243"/>
      <c r="U11" s="242"/>
      <c r="V11" s="243"/>
      <c r="W11" s="242"/>
      <c r="X11" s="243"/>
      <c r="Y11" s="242"/>
      <c r="Z11" s="243"/>
      <c r="AA11" s="242"/>
    </row>
    <row r="12" spans="1:27" x14ac:dyDescent="0.25">
      <c r="E12" s="282">
        <f>SUM(E7:E11)</f>
        <v>1</v>
      </c>
      <c r="F12" s="282"/>
      <c r="G12" s="282">
        <f t="shared" ref="G12:M12" si="0">SUM(G7:G11)</f>
        <v>1</v>
      </c>
      <c r="H12" s="282"/>
      <c r="I12" s="282">
        <f t="shared" si="0"/>
        <v>1</v>
      </c>
      <c r="J12" s="282"/>
      <c r="K12" s="282">
        <f t="shared" si="0"/>
        <v>1</v>
      </c>
      <c r="L12" s="282"/>
      <c r="M12" s="282">
        <f t="shared" si="0"/>
        <v>1</v>
      </c>
      <c r="S12" s="242"/>
      <c r="T12" s="11"/>
      <c r="U12" s="242"/>
      <c r="V12" s="11"/>
      <c r="W12" s="242"/>
      <c r="X12" s="11"/>
      <c r="Y12" s="242"/>
      <c r="Z12" s="11"/>
      <c r="AA12" s="242"/>
    </row>
    <row r="13" spans="1:27" x14ac:dyDescent="0.25">
      <c r="E13" s="281"/>
      <c r="F13" s="281"/>
      <c r="G13" s="281"/>
      <c r="H13" s="281"/>
      <c r="I13" s="281"/>
      <c r="J13" s="281"/>
      <c r="K13" s="281"/>
      <c r="L13" s="281"/>
      <c r="M13" s="309"/>
      <c r="S13" s="11"/>
      <c r="T13" s="11"/>
      <c r="U13" s="11"/>
      <c r="V13" s="11"/>
      <c r="W13" s="11"/>
      <c r="X13" s="11"/>
      <c r="Y13" s="11"/>
      <c r="Z13" s="11"/>
      <c r="AA13" s="11"/>
    </row>
    <row r="14" spans="1:27" x14ac:dyDescent="0.25">
      <c r="B14" t="s">
        <v>562</v>
      </c>
      <c r="E14" s="281"/>
      <c r="F14" s="281"/>
      <c r="G14" s="281"/>
      <c r="H14" s="281"/>
      <c r="I14" s="281"/>
      <c r="J14" s="281"/>
      <c r="K14" s="281"/>
      <c r="L14" s="281"/>
      <c r="M14" s="309"/>
      <c r="S14" s="11"/>
      <c r="T14" s="11"/>
      <c r="U14" s="11"/>
      <c r="V14" s="11"/>
      <c r="W14" s="11"/>
      <c r="X14" s="11"/>
      <c r="Y14" s="11"/>
      <c r="Z14" s="11"/>
      <c r="AA14" s="11"/>
    </row>
    <row r="15" spans="1:27" x14ac:dyDescent="0.25">
      <c r="B15" t="s">
        <v>561</v>
      </c>
      <c r="E15" s="281"/>
      <c r="F15" s="281"/>
      <c r="G15" s="281">
        <f>'[14]PERIODICAL BUNDLE DENSITIES'!F16</f>
        <v>1</v>
      </c>
      <c r="H15" s="281"/>
      <c r="I15" s="281">
        <f>'[14]PERIODICAL BUNDLE DENSITIES'!H16</f>
        <v>0.93646197171886036</v>
      </c>
      <c r="J15" s="281"/>
      <c r="K15" s="281">
        <f>'[14]PERIODICAL BUNDLE DENSITIES'!J16</f>
        <v>0</v>
      </c>
      <c r="L15" s="281"/>
      <c r="M15" s="309">
        <f>'[14]PERIODICAL BUNDLE DENSITIES'!N16</f>
        <v>0</v>
      </c>
      <c r="S15" s="11"/>
      <c r="T15" s="11"/>
      <c r="U15" s="242"/>
      <c r="V15" s="11"/>
      <c r="W15" s="242"/>
      <c r="X15" s="11"/>
      <c r="Y15" s="242"/>
      <c r="Z15" s="11"/>
      <c r="AA15" s="242"/>
    </row>
    <row r="16" spans="1:27" x14ac:dyDescent="0.25">
      <c r="B16" t="s">
        <v>558</v>
      </c>
      <c r="E16" s="281"/>
      <c r="F16" s="281"/>
      <c r="G16" s="281"/>
      <c r="H16" s="281"/>
      <c r="I16" s="281">
        <f>'[14]PERIODICAL BUNDLE DENSITIES'!H17</f>
        <v>6.3538028281139636E-2</v>
      </c>
      <c r="J16" s="281"/>
      <c r="K16" s="281">
        <f>'[14]PERIODICAL BUNDLE DENSITIES'!J17</f>
        <v>6.9777660172226752E-2</v>
      </c>
      <c r="L16" s="281"/>
      <c r="M16" s="309">
        <f>'[14]PERIODICAL BUNDLE DENSITIES'!N17</f>
        <v>8.5323402876839233E-2</v>
      </c>
      <c r="S16" s="11"/>
      <c r="T16" s="11"/>
      <c r="U16" s="242"/>
      <c r="V16" s="11"/>
      <c r="W16" s="242"/>
      <c r="X16" s="11"/>
      <c r="Y16" s="242"/>
      <c r="Z16" s="11"/>
      <c r="AA16" s="242"/>
    </row>
    <row r="17" spans="2:27" x14ac:dyDescent="0.25">
      <c r="B17" t="s">
        <v>559</v>
      </c>
      <c r="E17" s="281"/>
      <c r="F17" s="281"/>
      <c r="G17" s="281"/>
      <c r="H17" s="281"/>
      <c r="I17" s="281"/>
      <c r="J17" s="281"/>
      <c r="K17" s="281">
        <f>'[14]PERIODICAL BUNDLE DENSITIES'!J18</f>
        <v>0.93022233982777325</v>
      </c>
      <c r="L17" s="281"/>
      <c r="M17" s="309">
        <f>'[14]PERIODICAL BUNDLE DENSITIES'!N18</f>
        <v>0.91467659712316074</v>
      </c>
      <c r="S17" s="11"/>
      <c r="T17" s="11"/>
      <c r="U17" s="242"/>
      <c r="V17" s="11"/>
      <c r="W17" s="242"/>
      <c r="X17" s="11"/>
      <c r="Y17" s="242"/>
      <c r="Z17" s="11"/>
      <c r="AA17" s="242"/>
    </row>
    <row r="18" spans="2:27" x14ac:dyDescent="0.25">
      <c r="B18" t="s">
        <v>560</v>
      </c>
      <c r="E18" s="281"/>
      <c r="F18" s="281"/>
      <c r="G18" s="329"/>
      <c r="H18" s="329"/>
      <c r="I18" s="329"/>
      <c r="J18" s="329"/>
      <c r="K18" s="329"/>
      <c r="L18" s="329"/>
      <c r="M18" s="330"/>
      <c r="S18" s="11"/>
      <c r="T18" s="11"/>
      <c r="U18" s="242"/>
      <c r="V18" s="11"/>
      <c r="W18" s="242"/>
      <c r="X18" s="11"/>
      <c r="Y18" s="242"/>
      <c r="Z18" s="11"/>
      <c r="AA18" s="242"/>
    </row>
    <row r="19" spans="2:27" x14ac:dyDescent="0.25">
      <c r="E19" s="281"/>
      <c r="F19" s="281"/>
      <c r="G19" s="281">
        <f>SUM(G15:G18)</f>
        <v>1</v>
      </c>
      <c r="H19" s="281"/>
      <c r="I19" s="281">
        <f>SUM(I15:I18)</f>
        <v>1</v>
      </c>
      <c r="J19" s="281"/>
      <c r="K19" s="281">
        <f>SUM(K15:K18)</f>
        <v>1</v>
      </c>
      <c r="L19" s="281"/>
      <c r="M19" s="281">
        <f>SUM(M15:M18)</f>
        <v>1</v>
      </c>
      <c r="S19" s="11"/>
      <c r="T19" s="11"/>
      <c r="U19" s="242"/>
      <c r="V19" s="11"/>
      <c r="W19" s="242"/>
      <c r="X19" s="11"/>
      <c r="Y19" s="242"/>
      <c r="Z19" s="11"/>
      <c r="AA19" s="242"/>
    </row>
    <row r="20" spans="2:27" x14ac:dyDescent="0.25">
      <c r="E20" s="234"/>
      <c r="F20" s="234"/>
      <c r="G20" s="234"/>
      <c r="H20" s="234"/>
      <c r="I20" s="234"/>
      <c r="J20" s="234"/>
      <c r="K20" s="234"/>
      <c r="L20" s="234"/>
      <c r="M20" s="234"/>
      <c r="R20" s="11"/>
      <c r="S20" s="11"/>
      <c r="T20" s="11"/>
      <c r="U20" s="11"/>
      <c r="V20" s="11"/>
      <c r="W20" s="11"/>
      <c r="X20" s="11"/>
      <c r="Y20" s="11"/>
      <c r="Z20" s="11"/>
    </row>
    <row r="21" spans="2:27" x14ac:dyDescent="0.25">
      <c r="B21" t="s">
        <v>563</v>
      </c>
      <c r="E21" s="234"/>
      <c r="F21" s="234"/>
      <c r="G21" s="234"/>
      <c r="H21" s="234"/>
      <c r="I21" s="234"/>
      <c r="J21" s="234"/>
      <c r="K21" s="234"/>
      <c r="L21" s="234"/>
      <c r="M21" s="234"/>
      <c r="R21" s="11"/>
      <c r="S21" s="11"/>
      <c r="T21" s="11"/>
      <c r="U21" s="11"/>
      <c r="V21" s="11"/>
      <c r="W21" s="11"/>
      <c r="X21" s="11"/>
      <c r="Y21" s="11"/>
      <c r="Z21" s="11"/>
    </row>
    <row r="22" spans="2:27" x14ac:dyDescent="0.25">
      <c r="B22" t="s">
        <v>561</v>
      </c>
      <c r="E22" s="234"/>
      <c r="F22" s="234"/>
      <c r="G22" s="234"/>
      <c r="H22" s="234"/>
      <c r="I22" s="234">
        <v>1</v>
      </c>
      <c r="J22" s="234"/>
      <c r="K22" s="234">
        <v>0.85</v>
      </c>
      <c r="L22" s="234"/>
      <c r="M22" s="234">
        <v>0</v>
      </c>
      <c r="R22" s="11"/>
      <c r="S22" s="11"/>
      <c r="T22" s="11"/>
      <c r="U22" s="11"/>
      <c r="V22" s="230"/>
      <c r="W22" s="11"/>
      <c r="X22" s="230"/>
      <c r="Y22" s="11"/>
      <c r="Z22" s="230"/>
    </row>
    <row r="23" spans="2:27" x14ac:dyDescent="0.25">
      <c r="B23" t="s">
        <v>559</v>
      </c>
      <c r="E23" s="234"/>
      <c r="F23" s="234"/>
      <c r="G23" s="234"/>
      <c r="H23" s="234"/>
      <c r="I23" s="234"/>
      <c r="J23" s="234"/>
      <c r="K23" s="234">
        <v>0.15</v>
      </c>
      <c r="L23" s="234"/>
      <c r="M23" s="234">
        <v>1</v>
      </c>
      <c r="R23" s="11"/>
      <c r="S23" s="11"/>
      <c r="T23" s="11"/>
      <c r="U23" s="11"/>
      <c r="V23" s="230"/>
      <c r="W23" s="11"/>
      <c r="X23" s="230"/>
      <c r="Y23" s="11"/>
      <c r="Z23" s="230"/>
    </row>
    <row r="24" spans="2:27" x14ac:dyDescent="0.25">
      <c r="B24" t="s">
        <v>560</v>
      </c>
      <c r="E24" s="234"/>
      <c r="F24" s="234"/>
      <c r="G24" s="234"/>
      <c r="H24" s="234"/>
      <c r="I24" s="244"/>
      <c r="J24" s="244"/>
      <c r="K24" s="244"/>
      <c r="L24" s="244"/>
      <c r="M24" s="244">
        <v>0</v>
      </c>
      <c r="R24" s="11"/>
      <c r="S24" s="11"/>
      <c r="T24" s="11"/>
      <c r="U24" s="11"/>
      <c r="V24" s="230"/>
      <c r="W24" s="11"/>
      <c r="X24" s="230"/>
      <c r="Y24" s="11"/>
      <c r="Z24" s="230"/>
    </row>
    <row r="25" spans="2:27" x14ac:dyDescent="0.25">
      <c r="E25" s="234"/>
      <c r="F25" s="234"/>
      <c r="G25" s="234"/>
      <c r="H25" s="234"/>
      <c r="I25" s="234">
        <v>1</v>
      </c>
      <c r="J25" s="234"/>
      <c r="K25" s="234">
        <v>1</v>
      </c>
      <c r="L25" s="234"/>
      <c r="M25" s="234">
        <v>1</v>
      </c>
      <c r="R25" s="11"/>
      <c r="S25" s="11"/>
      <c r="T25" s="11"/>
      <c r="U25" s="11"/>
      <c r="V25" s="230"/>
      <c r="W25" s="11"/>
      <c r="X25" s="230"/>
      <c r="Y25" s="11"/>
      <c r="Z25" s="230"/>
    </row>
    <row r="26" spans="2:27" x14ac:dyDescent="0.25">
      <c r="E26" s="234"/>
      <c r="F26" s="234"/>
      <c r="G26" s="234"/>
      <c r="H26" s="234"/>
      <c r="I26" s="234"/>
      <c r="J26" s="234"/>
      <c r="K26" s="234"/>
      <c r="L26" s="234"/>
      <c r="M26" s="234"/>
      <c r="R26" s="11"/>
      <c r="S26" s="11"/>
      <c r="T26" s="11"/>
      <c r="U26" s="11"/>
      <c r="V26" s="11"/>
      <c r="W26" s="11"/>
      <c r="X26" s="11"/>
      <c r="Y26" s="11"/>
      <c r="Z26" s="11"/>
    </row>
    <row r="27" spans="2:27" x14ac:dyDescent="0.25">
      <c r="B27" t="s">
        <v>564</v>
      </c>
      <c r="E27" s="234"/>
      <c r="F27" s="234"/>
      <c r="G27" s="234"/>
      <c r="H27" s="234"/>
      <c r="I27" s="234"/>
      <c r="J27" s="234"/>
      <c r="K27" s="234"/>
      <c r="L27" s="234"/>
      <c r="M27" s="234"/>
      <c r="R27" s="11"/>
      <c r="S27" s="11"/>
      <c r="T27" s="11"/>
      <c r="U27" s="11"/>
      <c r="V27" s="11"/>
      <c r="W27" s="11"/>
      <c r="X27" s="11"/>
      <c r="Y27" s="11"/>
      <c r="Z27" s="11"/>
    </row>
    <row r="28" spans="2:27" x14ac:dyDescent="0.25">
      <c r="B28" t="s">
        <v>561</v>
      </c>
      <c r="E28" s="234"/>
      <c r="F28" s="234"/>
      <c r="G28" s="234"/>
      <c r="H28" s="234"/>
      <c r="I28" s="234"/>
      <c r="J28" s="234"/>
      <c r="K28" s="234">
        <v>1</v>
      </c>
      <c r="L28" s="234"/>
      <c r="M28" s="234">
        <v>0</v>
      </c>
      <c r="R28" s="11"/>
      <c r="S28" s="11"/>
      <c r="T28" s="11"/>
      <c r="U28" s="11"/>
      <c r="V28" s="11"/>
      <c r="W28" s="11"/>
      <c r="X28" s="230"/>
      <c r="Y28" s="11"/>
      <c r="Z28" s="230"/>
    </row>
    <row r="29" spans="2:27" x14ac:dyDescent="0.25">
      <c r="B29" t="s">
        <v>560</v>
      </c>
      <c r="E29" s="234"/>
      <c r="F29" s="234"/>
      <c r="G29" s="234"/>
      <c r="H29" s="234"/>
      <c r="I29" s="234"/>
      <c r="J29" s="234"/>
      <c r="K29" s="244"/>
      <c r="L29" s="244"/>
      <c r="M29" s="244">
        <v>1</v>
      </c>
      <c r="R29" s="11"/>
      <c r="S29" s="11"/>
      <c r="T29" s="11"/>
      <c r="U29" s="11"/>
      <c r="V29" s="11"/>
      <c r="W29" s="11"/>
      <c r="X29" s="230"/>
      <c r="Y29" s="11"/>
      <c r="Z29" s="230"/>
    </row>
    <row r="30" spans="2:27" x14ac:dyDescent="0.25">
      <c r="E30" s="234"/>
      <c r="F30" s="234"/>
      <c r="G30" s="234"/>
      <c r="H30" s="234"/>
      <c r="I30" s="234"/>
      <c r="J30" s="234"/>
      <c r="K30" s="234">
        <v>1</v>
      </c>
      <c r="L30" s="234"/>
      <c r="M30" s="234">
        <v>1</v>
      </c>
      <c r="R30" s="11"/>
      <c r="S30" s="11"/>
      <c r="T30" s="11"/>
      <c r="U30" s="11"/>
      <c r="V30" s="11"/>
      <c r="W30" s="11"/>
      <c r="X30" s="230"/>
      <c r="Y30" s="11"/>
      <c r="Z30" s="230"/>
    </row>
    <row r="31" spans="2:27" x14ac:dyDescent="0.25">
      <c r="E31" s="234"/>
      <c r="F31" s="234"/>
      <c r="G31" s="234"/>
      <c r="H31" s="234"/>
      <c r="I31" s="234"/>
      <c r="J31" s="234"/>
      <c r="K31" s="234"/>
      <c r="L31" s="234"/>
      <c r="M31" s="234"/>
      <c r="R31" s="11"/>
      <c r="S31" s="11"/>
      <c r="T31" s="11"/>
      <c r="U31" s="11"/>
      <c r="V31" s="11"/>
      <c r="W31" s="11"/>
      <c r="X31" s="11"/>
      <c r="Y31" s="11"/>
      <c r="Z31" s="11"/>
    </row>
    <row r="32" spans="2:27" x14ac:dyDescent="0.25">
      <c r="B32" t="s">
        <v>565</v>
      </c>
      <c r="E32" s="234"/>
      <c r="F32" s="234"/>
      <c r="G32" s="234"/>
      <c r="H32" s="234"/>
      <c r="I32" s="234"/>
      <c r="J32" s="234"/>
      <c r="K32" s="234"/>
      <c r="L32" s="234"/>
      <c r="M32" s="234"/>
      <c r="R32" s="11"/>
      <c r="S32" s="11"/>
      <c r="T32" s="11"/>
      <c r="U32" s="11"/>
      <c r="V32" s="11"/>
      <c r="W32" s="11"/>
      <c r="X32" s="11"/>
      <c r="Y32" s="11"/>
      <c r="Z32" s="11"/>
    </row>
    <row r="33" spans="1:26" x14ac:dyDescent="0.25">
      <c r="B33" t="s">
        <v>561</v>
      </c>
      <c r="E33" s="234"/>
      <c r="F33" s="234"/>
      <c r="G33" s="234"/>
      <c r="H33" s="234"/>
      <c r="I33" s="234"/>
      <c r="J33" s="234"/>
      <c r="K33" s="234"/>
      <c r="L33" s="234"/>
      <c r="M33" s="244">
        <v>1</v>
      </c>
      <c r="R33" s="11"/>
      <c r="S33" s="11"/>
      <c r="T33" s="11"/>
      <c r="U33" s="11"/>
      <c r="V33" s="11"/>
      <c r="W33" s="11"/>
      <c r="X33" s="11"/>
      <c r="Y33" s="11"/>
      <c r="Z33" s="230"/>
    </row>
    <row r="34" spans="1:26" x14ac:dyDescent="0.25">
      <c r="E34" s="234"/>
      <c r="F34" s="234"/>
      <c r="G34" s="234"/>
      <c r="H34" s="234"/>
      <c r="I34" s="234"/>
      <c r="J34" s="234"/>
      <c r="K34" s="234"/>
      <c r="L34" s="234"/>
      <c r="M34" s="234">
        <v>1</v>
      </c>
      <c r="R34" s="11"/>
      <c r="S34" s="11"/>
      <c r="T34" s="11"/>
      <c r="U34" s="11"/>
      <c r="V34" s="11"/>
      <c r="W34" s="11"/>
      <c r="X34" s="11"/>
      <c r="Y34" s="11"/>
      <c r="Z34" s="230"/>
    </row>
    <row r="35" spans="1:26" x14ac:dyDescent="0.25">
      <c r="G35" s="271"/>
      <c r="H35" s="271"/>
      <c r="I35" s="271"/>
      <c r="J35" s="271"/>
      <c r="K35" s="271"/>
      <c r="L35" s="271"/>
      <c r="M35" s="271"/>
      <c r="O35" s="11"/>
      <c r="P35" s="11"/>
      <c r="Q35" s="11"/>
      <c r="R35" s="146"/>
      <c r="S35" s="146"/>
      <c r="T35" s="146"/>
      <c r="U35" s="146"/>
      <c r="V35" s="146"/>
      <c r="W35" s="375"/>
      <c r="X35" s="146"/>
      <c r="Y35" s="146"/>
      <c r="Z35" s="146"/>
    </row>
    <row r="36" spans="1:26" x14ac:dyDescent="0.25">
      <c r="G36" s="271"/>
      <c r="H36" s="271"/>
      <c r="I36" s="271"/>
      <c r="J36" s="271"/>
      <c r="K36" s="271"/>
      <c r="L36" s="271"/>
      <c r="M36" s="271"/>
    </row>
    <row r="37" spans="1:26" x14ac:dyDescent="0.25">
      <c r="A37" s="8"/>
      <c r="G37" s="271"/>
      <c r="H37" s="271"/>
      <c r="I37" s="271"/>
      <c r="J37" s="271"/>
      <c r="K37" s="271"/>
      <c r="L37" s="271"/>
      <c r="M37" s="271"/>
    </row>
    <row r="38" spans="1:26" x14ac:dyDescent="0.25">
      <c r="G38" s="271"/>
      <c r="H38" s="271"/>
      <c r="I38" s="271"/>
      <c r="J38" s="271"/>
      <c r="K38" s="271"/>
      <c r="L38" s="271"/>
      <c r="M38" s="271"/>
    </row>
    <row r="39" spans="1:26" x14ac:dyDescent="0.25">
      <c r="G39" s="271"/>
      <c r="H39" s="271"/>
      <c r="I39" s="271"/>
      <c r="J39" s="271"/>
      <c r="K39" s="271"/>
      <c r="L39" s="271"/>
      <c r="M39" s="271"/>
    </row>
    <row r="40" spans="1:26" x14ac:dyDescent="0.25">
      <c r="G40" s="271"/>
      <c r="H40" s="271"/>
      <c r="I40" s="271"/>
      <c r="J40" s="271"/>
      <c r="K40" s="271"/>
      <c r="L40" s="271"/>
      <c r="M40" s="271"/>
    </row>
    <row r="41" spans="1:26" x14ac:dyDescent="0.25">
      <c r="G41" s="271"/>
      <c r="H41" s="271"/>
      <c r="I41" s="271"/>
      <c r="J41" s="271"/>
      <c r="K41" s="271"/>
      <c r="L41" s="271"/>
      <c r="M41" s="271"/>
    </row>
    <row r="42" spans="1:26" x14ac:dyDescent="0.25">
      <c r="G42" s="271"/>
      <c r="H42" s="271"/>
      <c r="I42" s="271"/>
      <c r="J42" s="271"/>
      <c r="K42" s="271"/>
      <c r="L42" s="271"/>
      <c r="M42" s="271"/>
    </row>
    <row r="43" spans="1:26" x14ac:dyDescent="0.25">
      <c r="G43" s="271"/>
      <c r="H43" s="271"/>
      <c r="I43" s="271"/>
      <c r="J43" s="271"/>
      <c r="K43" s="271"/>
      <c r="L43" s="271"/>
      <c r="M43" s="271"/>
    </row>
    <row r="44" spans="1:26" x14ac:dyDescent="0.25">
      <c r="G44" s="271"/>
      <c r="H44" s="271"/>
      <c r="I44" s="271"/>
      <c r="J44" s="271"/>
      <c r="K44" s="271"/>
      <c r="L44" s="271"/>
      <c r="M44" s="271"/>
    </row>
    <row r="45" spans="1:26" x14ac:dyDescent="0.25">
      <c r="G45" s="271"/>
      <c r="H45" s="271"/>
      <c r="I45" s="271"/>
      <c r="J45" s="271"/>
      <c r="K45" s="271"/>
      <c r="L45" s="271"/>
      <c r="M45" s="271"/>
    </row>
    <row r="46" spans="1:26" x14ac:dyDescent="0.25">
      <c r="G46" s="271"/>
      <c r="H46" s="271"/>
      <c r="I46" s="271"/>
      <c r="J46" s="271"/>
      <c r="K46" s="271"/>
      <c r="L46" s="271"/>
      <c r="M46" s="271"/>
    </row>
    <row r="47" spans="1:26" x14ac:dyDescent="0.25">
      <c r="G47" s="271"/>
      <c r="H47" s="271"/>
      <c r="I47" s="271"/>
      <c r="J47" s="271"/>
      <c r="K47" s="271"/>
      <c r="L47" s="271"/>
      <c r="M47" s="271"/>
    </row>
  </sheetData>
  <phoneticPr fontId="29" type="noConversion"/>
  <printOptions horizontalCentered="1"/>
  <pageMargins left="0.75" right="0.75" top="1" bottom="1" header="0.5" footer="0.5"/>
  <pageSetup orientation="portrait" r:id="rId1"/>
  <headerFooter alignWithMargins="0">
    <oddFooter>&amp;CTab '&amp;A'&amp;RPage 38</oddFooter>
  </headerFooter>
</worksheet>
</file>

<file path=customXml/_rels/item1.xml.rels><?xml version="1.0" encoding="UTF-8" standalone="yes"?>
<Relationships xmlns="http://schemas.openxmlformats.org/package/2006/relationships"><Relationship Id="rId1" Type="http://purl.oclc.org/ooxml/officeDocument/relationships/customXmlProps" Target="itemProps1.xml"/></Relationships>
</file>

<file path=customXml/_rels/item2.xml.rels><?xml version="1.0" encoding="UTF-8" standalone="yes"?>
<Relationships xmlns="http://schemas.openxmlformats.org/package/2006/relationships"><Relationship Id="rId1" Type="http://purl.oclc.org/ooxml/officeDocument/relationships/customXmlProps" Target="itemProps2.xml"/></Relationships>
</file>

<file path=customXml/_rels/item3.xml.rels><?xml version="1.0" encoding="UTF-8" standalone="yes"?>
<Relationships xmlns="http://schemas.openxmlformats.org/package/2006/relationships"><Relationship Id="rId1" Type="http://purl.oclc.org/ooxml/officeDocument/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B6EB0E29CC5B443B20AD0ADCD173D34" ma:contentTypeVersion="4" ma:contentTypeDescription="Create a new document." ma:contentTypeScope="" ma:versionID="fefafd6d308eb8b5a8cc413f7e344640">
  <xsd:schema xmlns:xsd="http://www.w3.org/2001/XMLSchema" xmlns:xs="http://www.w3.org/2001/XMLSchema" xmlns:p="http://schemas.microsoft.com/office/2006/metadata/properties" xmlns:ns2="fd280014-f047-445d-a75d-a0f18d80e10d" targetNamespace="http://schemas.microsoft.com/office/2006/metadata/properties" ma:root="true" ma:fieldsID="d0167217136ba33b7f2a5da369f8bb0e" ns2:_="">
    <xsd:import namespace="fd280014-f047-445d-a75d-a0f18d80e10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280014-f047-445d-a75d-a0f18d80e10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purl.oclc.org/ooxml/officeDocument/customXml" ds:itemID="{025F1EAC-A561-4FA9-8877-394F5351BC59}">
  <ds:schemaRefs>
    <ds:schemaRef ds:uri="fd280014-f047-445d-a75d-a0f18d80e10d"/>
    <ds:schemaRef ds:uri="http://schemas.microsoft.com/office/2006/documentManagement/types"/>
    <ds:schemaRef ds:uri="http://purl.org/dc/elements/1.1/"/>
    <ds:schemaRef ds:uri="http://www.w3.org/XML/1998/namespace"/>
    <ds:schemaRef ds:uri="http://purl.org/dc/dcmitype/"/>
    <ds:schemaRef ds:uri="http://purl.org/dc/terms/"/>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2.xml><?xml version="1.0" encoding="utf-8"?>
<ds:datastoreItem xmlns:ds="http://purl.oclc.org/ooxml/officeDocument/customXml" ds:itemID="{C8DE003F-1115-42BF-B1D5-56A9BE7A49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280014-f047-445d-a75d-a0f18d80e10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purl.oclc.org/ooxml/officeDocument/customXml" ds:itemID="{7D77A44B-029B-4070-AFA3-049E13FC3F2E}">
  <ds:schemaRefs>
    <ds:schemaRef ds:uri="http://schemas.microsoft.com/sharepoint/v3/contenttype/forms"/>
  </ds:schemaRefs>
</ds:datastoreItem>
</file>

<file path=docMetadata/LabelInfo.xml><?xml version="1.0" encoding="utf-8"?>
<clbl:labelList xmlns:clbl="http://schemas.microsoft.com/office/2020/mipLabelMetadata">
  <clbl:label id="{9cd35bff-114b-4201-ba3a-fdb2e03735c9}" enabled="0" method="" siteId="{9cd35bff-114b-4201-ba3a-fdb2e03735c9}" removed="1"/>
  <clbl:label id="{f9aa5788-eb33-4a49-8ad0-76101910cac3}" enabled="0" method="" siteId="{f9aa5788-eb33-4a49-8ad0-76101910cac3}" removed="1"/>
</clbl:labelLis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2</vt:i4>
      </vt:variant>
    </vt:vector>
  </HeadingPairs>
  <TitlesOfParts>
    <vt:vector size="42" baseType="lpstr">
      <vt:lpstr>CRA ADJ UNIT COSTS-Hardcoded </vt:lpstr>
      <vt:lpstr>CRA ADJ UNIT COSTS</vt:lpstr>
      <vt:lpstr>PRESORT LEVELS HELD CONSTANT</vt:lpstr>
      <vt:lpstr>OUT TRAY SORT FC C&amp;L&amp;F</vt:lpstr>
      <vt:lpstr>CRA PRESORT FLATS</vt:lpstr>
      <vt:lpstr>BUNDLE OPS SUMMARY</vt:lpstr>
      <vt:lpstr>OP BUNDLE OPS</vt:lpstr>
      <vt:lpstr>MMP BUNDLE OPS</vt:lpstr>
      <vt:lpstr>3D BUNDLE OPS</vt:lpstr>
      <vt:lpstr>5D BUNDLE OPS</vt:lpstr>
      <vt:lpstr>NONAUTO COST</vt:lpstr>
      <vt:lpstr>NONAUTO MODEL</vt:lpstr>
      <vt:lpstr>MADC NONAUTO COST</vt:lpstr>
      <vt:lpstr>MADC NONAUTO MODEL</vt:lpstr>
      <vt:lpstr>ADC NONAUTO COST</vt:lpstr>
      <vt:lpstr>ADC NONAUTO MODEL</vt:lpstr>
      <vt:lpstr>3D NONAUTO COST</vt:lpstr>
      <vt:lpstr>3D NONAUTO MODEL</vt:lpstr>
      <vt:lpstr>5D NONAUTO COST</vt:lpstr>
      <vt:lpstr>5D NONAUTO MODEL</vt:lpstr>
      <vt:lpstr>MADC AUTO COST</vt:lpstr>
      <vt:lpstr>MADC AUTO MODEL</vt:lpstr>
      <vt:lpstr>ADC AUTO COST</vt:lpstr>
      <vt:lpstr>ADC AUTO MODEL</vt:lpstr>
      <vt:lpstr>3D AUTO COST</vt:lpstr>
      <vt:lpstr>3D AUTO MODEL</vt:lpstr>
      <vt:lpstr>5D AUTO COST</vt:lpstr>
      <vt:lpstr>5D AUTO MODEL</vt:lpstr>
      <vt:lpstr>COVERAGE FACTORS</vt:lpstr>
      <vt:lpstr>ACCEPT RATES</vt:lpstr>
      <vt:lpstr>PIECE DENSITIES</vt:lpstr>
      <vt:lpstr>PRODUCTIVITIES</vt:lpstr>
      <vt:lpstr>WAGE RATES</vt:lpstr>
      <vt:lpstr>PIGGYBACKS</vt:lpstr>
      <vt:lpstr>ENTRY PROFILE</vt:lpstr>
      <vt:lpstr>BUNDLE SORT</vt:lpstr>
      <vt:lpstr>FY VOLUME NONAUTO</vt:lpstr>
      <vt:lpstr>FY VOLUME AUTO</vt:lpstr>
      <vt:lpstr>BUNDLE DATA</vt:lpstr>
      <vt:lpstr>BUNDLE DENSITIES</vt:lpstr>
      <vt:lpstr>'COVERAGE FACTORS'!Print_Area</vt:lpstr>
      <vt:lpstr>'CRA ADJ UNIT COSTS'!Print_Area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Paul Loetscher</dc:creator>
  <cp:keywords/>
  <dc:description/>
  <cp:lastModifiedBy>Plourd, Benjamin R.</cp:lastModifiedBy>
  <cp:revision/>
  <dcterms:created xsi:type="dcterms:W3CDTF">2001-03-22T16:38:16Z</dcterms:created>
  <dcterms:modified xsi:type="dcterms:W3CDTF">2026-02-05T18:44:04Z</dcterms:modified>
  <cp:category/>
  <cp:contentStatus/>
</cp:coreProperties>
</file>

<file path=docProps/custom.xml><?xml version="1.0" encoding="utf-8"?>
<Properties xmlns="http://purl.oclc.org/ooxml/officeDocument/customProperties" xmlns:vt="http://purl.oclc.org/ooxml/officeDocument/docPropsVTypes">
  <property fmtid="{D5CDD505-2E9C-101B-9397-08002B2CF9AE}" pid="2" name="ContentTypeId">
    <vt:lpwstr>0x0101000B6EB0E29CC5B443B20AD0ADCD173D34</vt:lpwstr>
  </property>
  <property fmtid="{D5CDD505-2E9C-101B-9397-08002B2CF9AE}" pid="3" name="Order">
    <vt:r8>7300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ies>
</file>