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9\FY25\SAS\KLTables\"/>
    </mc:Choice>
  </mc:AlternateContent>
  <xr:revisionPtr revIDLastSave="0" documentId="13_ncr:1_{EED251FB-960A-43FF-AF96-76FBC99FAB64}" xr6:coauthVersionLast="47" xr6:coauthVersionMax="47" xr10:uidLastSave="{00000000-0000-0000-0000-000000000000}"/>
  <bookViews>
    <workbookView xWindow="15510" yWindow="2940" windowWidth="19035" windowHeight="15345" xr2:uid="{00000000-000D-0000-FFFF-FFFF00000000}"/>
  </bookViews>
  <sheets>
    <sheet name="Sheet1" sheetId="2" r:id="rId1"/>
    <sheet name="KLTable_FCSP_Indicia_Casing25" sheetId="1" r:id="rId2"/>
  </sheets>
  <definedNames>
    <definedName name="KLTable_FCSP_Indicia_Casing25">KLTable_FCSP_Indicia_Casing25!$A$1:$L$502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D13" i="2" s="1"/>
  <c r="D6" i="2"/>
  <c r="D5" i="2"/>
  <c r="D4" i="2"/>
  <c r="D7" i="2" s="1"/>
</calcChain>
</file>

<file path=xl/sharedStrings.xml><?xml version="1.0" encoding="utf-8"?>
<sst xmlns="http://schemas.openxmlformats.org/spreadsheetml/2006/main" count="2038" uniqueCount="109">
  <si>
    <t>RGroup</t>
  </si>
  <si>
    <t>Route</t>
  </si>
  <si>
    <t>Actv</t>
  </si>
  <si>
    <t>dollar1</t>
  </si>
  <si>
    <t>dollar2</t>
  </si>
  <si>
    <t>dollar3</t>
  </si>
  <si>
    <t>dollar4</t>
  </si>
  <si>
    <t>dollar0</t>
  </si>
  <si>
    <t>source</t>
  </si>
  <si>
    <t>total</t>
  </si>
  <si>
    <t>actgrp</t>
  </si>
  <si>
    <t>class</t>
  </si>
  <si>
    <t>73</t>
  </si>
  <si>
    <t>0050</t>
  </si>
  <si>
    <t>K</t>
  </si>
  <si>
    <t>051 Certified</t>
  </si>
  <si>
    <t>77</t>
  </si>
  <si>
    <t>82</t>
  </si>
  <si>
    <t>75</t>
  </si>
  <si>
    <t>71</t>
  </si>
  <si>
    <t>78</t>
  </si>
  <si>
    <t>83</t>
  </si>
  <si>
    <t>0060</t>
  </si>
  <si>
    <t>055 Registered</t>
  </si>
  <si>
    <t>0080</t>
  </si>
  <si>
    <t>054 Insured</t>
  </si>
  <si>
    <t>0090</t>
  </si>
  <si>
    <t>058 Other Services</t>
  </si>
  <si>
    <t>0780</t>
  </si>
  <si>
    <t>999 OTHER</t>
  </si>
  <si>
    <t>1020</t>
  </si>
  <si>
    <t>L</t>
  </si>
  <si>
    <t>004 FC SP Cards</t>
  </si>
  <si>
    <t>80</t>
  </si>
  <si>
    <t>1040</t>
  </si>
  <si>
    <t>009 FC Prst Cards</t>
  </si>
  <si>
    <t>1061</t>
  </si>
  <si>
    <t>003 FC SP Letters</t>
  </si>
  <si>
    <t>1062</t>
  </si>
  <si>
    <t>1063</t>
  </si>
  <si>
    <t>1064</t>
  </si>
  <si>
    <t>1065</t>
  </si>
  <si>
    <t>1066</t>
  </si>
  <si>
    <t>1080</t>
  </si>
  <si>
    <t>008 FC Prst Letters</t>
  </si>
  <si>
    <t>1212</t>
  </si>
  <si>
    <t>032 PER Outside County</t>
  </si>
  <si>
    <t>1312</t>
  </si>
  <si>
    <t>023 MM ECR Carrier Route</t>
  </si>
  <si>
    <t>1317</t>
  </si>
  <si>
    <t>021 MM ECR HD Letters</t>
  </si>
  <si>
    <t>1320</t>
  </si>
  <si>
    <t>024 EDDM-R</t>
  </si>
  <si>
    <t>1340</t>
  </si>
  <si>
    <t>025 MM REG Letters</t>
  </si>
  <si>
    <t>1475</t>
  </si>
  <si>
    <t>1510</t>
  </si>
  <si>
    <t>085 USPS</t>
  </si>
  <si>
    <t>1780</t>
  </si>
  <si>
    <t>185 International</t>
  </si>
  <si>
    <t>1910</t>
  </si>
  <si>
    <t>086 Free Mail</t>
  </si>
  <si>
    <t>2061</t>
  </si>
  <si>
    <t>016 FC SP Flats</t>
  </si>
  <si>
    <t>2062</t>
  </si>
  <si>
    <t>2063</t>
  </si>
  <si>
    <t>2064</t>
  </si>
  <si>
    <t>2066</t>
  </si>
  <si>
    <t>2080</t>
  </si>
  <si>
    <t>017 FC Prst Flats</t>
  </si>
  <si>
    <t>2211</t>
  </si>
  <si>
    <t>031 PER In County</t>
  </si>
  <si>
    <t>2212</t>
  </si>
  <si>
    <t>2312</t>
  </si>
  <si>
    <t>2317</t>
  </si>
  <si>
    <t>2320</t>
  </si>
  <si>
    <t>2340</t>
  </si>
  <si>
    <t>026 MM REG Flats</t>
  </si>
  <si>
    <t>2420</t>
  </si>
  <si>
    <t>044 PKG Media</t>
  </si>
  <si>
    <t>2460</t>
  </si>
  <si>
    <t>042 PKG BPM Flats</t>
  </si>
  <si>
    <t>2475</t>
  </si>
  <si>
    <t>154 PKG Parcel Return Service (P</t>
  </si>
  <si>
    <t>2510</t>
  </si>
  <si>
    <t>2780</t>
  </si>
  <si>
    <t>2910</t>
  </si>
  <si>
    <t>3340</t>
  </si>
  <si>
    <t>027 MM REG Parcels/NFM</t>
  </si>
  <si>
    <t>3420</t>
  </si>
  <si>
    <t>3460</t>
  </si>
  <si>
    <t>043 PKG BPM Parcels</t>
  </si>
  <si>
    <t>3475</t>
  </si>
  <si>
    <t>3510</t>
  </si>
  <si>
    <t>3780</t>
  </si>
  <si>
    <t>4340</t>
  </si>
  <si>
    <t>4420</t>
  </si>
  <si>
    <t>4460</t>
  </si>
  <si>
    <t>4475</t>
  </si>
  <si>
    <t>4780</t>
  </si>
  <si>
    <t>4910</t>
  </si>
  <si>
    <t>Sum of total</t>
  </si>
  <si>
    <t>Row Labels</t>
  </si>
  <si>
    <t>Grand Total</t>
  </si>
  <si>
    <t>FCSP Letters</t>
  </si>
  <si>
    <t>Stamped</t>
  </si>
  <si>
    <t>Metered</t>
  </si>
  <si>
    <t>Other</t>
  </si>
  <si>
    <t>FCSP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</si>
</sst>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rmann, Henry M - Raleigh, NC" refreshedDate="45999.571910185186" createdVersion="8" refreshedVersion="8" minRefreshableVersion="3" recordCount="501" xr:uid="{DD5BC51B-9BCB-408F-B906-1883DB73658C}">
  <cacheSource type="worksheet">
    <worksheetSource ref="A1:L502" sheet="KLTable_FCSP_Indicia_Casing25"/>
  </cacheSource>
  <cacheFields count="12">
    <cacheField name="RGroup" numFmtId="0">
      <sharedItems containsSemiMixedTypes="0" containsString="0" containsNumber="1" containsInteger="1" minValue="1" maxValue="1"/>
    </cacheField>
    <cacheField name="Route" numFmtId="0">
      <sharedItems/>
    </cacheField>
    <cacheField name="Actv" numFmtId="0">
      <sharedItems count="53">
        <s v="0050"/>
        <s v="0060"/>
        <s v="0080"/>
        <s v="0090"/>
        <s v="0780"/>
        <s v="1020"/>
        <s v="1040"/>
        <s v="1061"/>
        <s v="1062"/>
        <s v="1063"/>
        <s v="1064"/>
        <s v="1065"/>
        <s v="1066"/>
        <s v="1080"/>
        <s v="1212"/>
        <s v="1312"/>
        <s v="1317"/>
        <s v="1320"/>
        <s v="1340"/>
        <s v="1475"/>
        <s v="1510"/>
        <s v="1780"/>
        <s v="1910"/>
        <s v="2061"/>
        <s v="2062"/>
        <s v="2063"/>
        <s v="2064"/>
        <s v="2066"/>
        <s v="2080"/>
        <s v="2211"/>
        <s v="2212"/>
        <s v="2312"/>
        <s v="2317"/>
        <s v="2320"/>
        <s v="2340"/>
        <s v="2420"/>
        <s v="2460"/>
        <s v="2475"/>
        <s v="2510"/>
        <s v="2780"/>
        <s v="2910"/>
        <s v="3340"/>
        <s v="3420"/>
        <s v="3460"/>
        <s v="3475"/>
        <s v="3510"/>
        <s v="3780"/>
        <s v="4340"/>
        <s v="4420"/>
        <s v="4460"/>
        <s v="4475"/>
        <s v="4780"/>
        <s v="4910"/>
      </sharedItems>
    </cacheField>
    <cacheField name="dollar1" numFmtId="0">
      <sharedItems containsString="0" containsBlank="1" containsNumber="1" containsInteger="1" minValue="0" maxValue="0"/>
    </cacheField>
    <cacheField name="dollar2" numFmtId="0">
      <sharedItems containsSemiMixedTypes="0" containsString="0" containsNumber="1" minValue="677.1354726466767" maxValue="211060549"/>
    </cacheField>
    <cacheField name="dollar3" numFmtId="0">
      <sharedItems containsString="0" containsBlank="1" containsNumber="1" containsInteger="1" minValue="0" maxValue="0"/>
    </cacheField>
    <cacheField name="dollar4" numFmtId="0">
      <sharedItems containsSemiMixedTypes="0" containsString="0" containsNumber="1" containsInteger="1" minValue="0" maxValue="0"/>
    </cacheField>
    <cacheField name="dollar0" numFmtId="0">
      <sharedItems containsNonDate="0" containsString="0" containsBlank="1"/>
    </cacheField>
    <cacheField name="source" numFmtId="0">
      <sharedItems/>
    </cacheField>
    <cacheField name="total" numFmtId="0">
      <sharedItems containsSemiMixedTypes="0" containsString="0" containsNumber="1" minValue="677.1354726466767" maxValue="211060549"/>
    </cacheField>
    <cacheField name="actgrp" numFmtId="0">
      <sharedItems containsSemiMixedTypes="0" containsString="0" containsNumber="1" containsInteger="1" minValue="1" maxValue="2"/>
    </cacheField>
    <cacheField name="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s v="73"/>
    <x v="0"/>
    <n v="0"/>
    <n v="1969134"/>
    <n v="0"/>
    <n v="0"/>
    <m/>
    <s v="K"/>
    <n v="1969134"/>
    <n v="1"/>
    <s v="051 Certified"/>
  </r>
  <r>
    <n v="1"/>
    <s v="77"/>
    <x v="0"/>
    <n v="0"/>
    <n v="1738208"/>
    <n v="0"/>
    <n v="0"/>
    <m/>
    <s v="K"/>
    <n v="1738208"/>
    <n v="1"/>
    <s v="051 Certified"/>
  </r>
  <r>
    <n v="1"/>
    <s v="82"/>
    <x v="0"/>
    <n v="0"/>
    <n v="243475"/>
    <n v="0"/>
    <n v="0"/>
    <m/>
    <s v="K"/>
    <n v="243475"/>
    <n v="1"/>
    <s v="051 Certified"/>
  </r>
  <r>
    <n v="1"/>
    <s v="75"/>
    <x v="0"/>
    <n v="0"/>
    <n v="722408"/>
    <n v="0"/>
    <n v="0"/>
    <m/>
    <s v="K"/>
    <n v="722408"/>
    <n v="1"/>
    <s v="051 Certified"/>
  </r>
  <r>
    <n v="1"/>
    <s v="71"/>
    <x v="0"/>
    <n v="0"/>
    <n v="71455"/>
    <n v="0"/>
    <n v="0"/>
    <m/>
    <s v="K"/>
    <n v="71455"/>
    <n v="1"/>
    <s v="051 Certified"/>
  </r>
  <r>
    <n v="1"/>
    <s v="78"/>
    <x v="0"/>
    <n v="0"/>
    <n v="4119864"/>
    <n v="0"/>
    <n v="0"/>
    <m/>
    <s v="K"/>
    <n v="4119864"/>
    <n v="1"/>
    <s v="051 Certified"/>
  </r>
  <r>
    <n v="1"/>
    <s v="83"/>
    <x v="0"/>
    <n v="0"/>
    <n v="782355"/>
    <n v="0"/>
    <n v="0"/>
    <m/>
    <s v="K"/>
    <n v="782355"/>
    <n v="1"/>
    <s v="051 Certified"/>
  </r>
  <r>
    <n v="1"/>
    <s v="78"/>
    <x v="1"/>
    <n v="0"/>
    <n v="50510"/>
    <n v="0"/>
    <n v="0"/>
    <m/>
    <s v="K"/>
    <n v="50510"/>
    <n v="1"/>
    <s v="055 Registered"/>
  </r>
  <r>
    <n v="1"/>
    <s v="83"/>
    <x v="1"/>
    <n v="0"/>
    <n v="55975"/>
    <n v="0"/>
    <n v="0"/>
    <m/>
    <s v="K"/>
    <n v="55975"/>
    <n v="1"/>
    <s v="055 Registered"/>
  </r>
  <r>
    <n v="1"/>
    <s v="78"/>
    <x v="2"/>
    <n v="0"/>
    <n v="103673"/>
    <n v="0"/>
    <n v="0"/>
    <m/>
    <s v="K"/>
    <n v="103673"/>
    <n v="1"/>
    <s v="054 Insured"/>
  </r>
  <r>
    <n v="1"/>
    <s v="83"/>
    <x v="3"/>
    <n v="0"/>
    <n v="232098"/>
    <n v="0"/>
    <n v="0"/>
    <m/>
    <s v="K"/>
    <n v="232098"/>
    <n v="1"/>
    <s v="058 Other Services"/>
  </r>
  <r>
    <n v="1"/>
    <s v="77"/>
    <x v="3"/>
    <n v="0"/>
    <n v="170418"/>
    <n v="0"/>
    <n v="0"/>
    <m/>
    <s v="K"/>
    <n v="170418"/>
    <n v="1"/>
    <s v="058 Other Services"/>
  </r>
  <r>
    <n v="1"/>
    <s v="78"/>
    <x v="3"/>
    <n v="0"/>
    <n v="500007"/>
    <n v="0"/>
    <n v="0"/>
    <m/>
    <s v="K"/>
    <n v="500007"/>
    <n v="1"/>
    <s v="058 Other Services"/>
  </r>
  <r>
    <n v="1"/>
    <s v="78"/>
    <x v="4"/>
    <n v="0"/>
    <n v="231057"/>
    <n v="0"/>
    <n v="0"/>
    <m/>
    <s v="K"/>
    <n v="231057"/>
    <n v="1"/>
    <s v="999 OTHER"/>
  </r>
  <r>
    <n v="1"/>
    <s v="82"/>
    <x v="4"/>
    <n v="0"/>
    <n v="67246"/>
    <n v="0"/>
    <n v="0"/>
    <m/>
    <s v="K"/>
    <n v="67246"/>
    <n v="1"/>
    <s v="999 OTHER"/>
  </r>
  <r>
    <n v="1"/>
    <s v="75"/>
    <x v="4"/>
    <n v="0"/>
    <n v="98398"/>
    <n v="0"/>
    <n v="0"/>
    <m/>
    <s v="K"/>
    <n v="98398"/>
    <n v="1"/>
    <s v="999 OTHER"/>
  </r>
  <r>
    <n v="1"/>
    <s v="77"/>
    <x v="4"/>
    <n v="0"/>
    <n v="214019"/>
    <n v="0"/>
    <n v="0"/>
    <m/>
    <s v="K"/>
    <n v="214019"/>
    <n v="1"/>
    <s v="999 OTHER"/>
  </r>
  <r>
    <n v="1"/>
    <s v="83"/>
    <x v="5"/>
    <m/>
    <n v="11293.924667396819"/>
    <m/>
    <n v="0"/>
    <m/>
    <s v="L"/>
    <n v="11293.924667396819"/>
    <n v="2"/>
    <s v="004 FC SP Cards"/>
  </r>
  <r>
    <n v="1"/>
    <s v="80"/>
    <x v="5"/>
    <m/>
    <n v="9302.8142912944386"/>
    <m/>
    <n v="0"/>
    <m/>
    <s v="L"/>
    <n v="9302.8142912944386"/>
    <n v="2"/>
    <s v="004 FC SP Cards"/>
  </r>
  <r>
    <n v="1"/>
    <s v="71"/>
    <x v="5"/>
    <n v="0"/>
    <n v="127708"/>
    <n v="0"/>
    <n v="0"/>
    <m/>
    <s v="K"/>
    <n v="127708"/>
    <n v="2"/>
    <s v="004 FC SP Cards"/>
  </r>
  <r>
    <n v="1"/>
    <s v="77"/>
    <x v="5"/>
    <m/>
    <n v="100605.62259845567"/>
    <m/>
    <n v="0"/>
    <m/>
    <s v="L"/>
    <n v="100605.62259845567"/>
    <n v="2"/>
    <s v="004 FC SP Cards"/>
  </r>
  <r>
    <n v="1"/>
    <s v="73"/>
    <x v="5"/>
    <m/>
    <n v="4662.7762110889689"/>
    <m/>
    <n v="0"/>
    <m/>
    <s v="L"/>
    <n v="4662.7762110889689"/>
    <n v="2"/>
    <s v="004 FC SP Cards"/>
  </r>
  <r>
    <n v="1"/>
    <s v="77"/>
    <x v="5"/>
    <n v="0"/>
    <n v="1167041"/>
    <n v="0"/>
    <n v="0"/>
    <m/>
    <s v="K"/>
    <n v="1167041"/>
    <n v="2"/>
    <s v="004 FC SP Cards"/>
  </r>
  <r>
    <n v="1"/>
    <s v="83"/>
    <x v="5"/>
    <n v="0"/>
    <n v="152846"/>
    <n v="0"/>
    <n v="0"/>
    <m/>
    <s v="K"/>
    <n v="152846"/>
    <n v="2"/>
    <s v="004 FC SP Cards"/>
  </r>
  <r>
    <n v="1"/>
    <s v="78"/>
    <x v="5"/>
    <m/>
    <n v="334739.50062530761"/>
    <m/>
    <n v="0"/>
    <m/>
    <s v="L"/>
    <n v="334739.50062530761"/>
    <n v="2"/>
    <s v="004 FC SP Cards"/>
  </r>
  <r>
    <n v="1"/>
    <s v="75"/>
    <x v="5"/>
    <n v="0"/>
    <n v="299439"/>
    <n v="0"/>
    <n v="0"/>
    <m/>
    <s v="K"/>
    <n v="299439"/>
    <n v="2"/>
    <s v="004 FC SP Cards"/>
  </r>
  <r>
    <n v="1"/>
    <s v="80"/>
    <x v="5"/>
    <n v="0"/>
    <n v="103462"/>
    <n v="0"/>
    <n v="0"/>
    <m/>
    <s v="K"/>
    <n v="103462"/>
    <n v="2"/>
    <s v="004 FC SP Cards"/>
  </r>
  <r>
    <n v="1"/>
    <s v="71"/>
    <x v="5"/>
    <m/>
    <n v="6162.2403161420089"/>
    <m/>
    <n v="0"/>
    <m/>
    <s v="L"/>
    <n v="6162.2403161420089"/>
    <n v="2"/>
    <s v="004 FC SP Cards"/>
  </r>
  <r>
    <n v="1"/>
    <s v="75"/>
    <x v="5"/>
    <m/>
    <n v="11076.57538002484"/>
    <m/>
    <n v="0"/>
    <m/>
    <s v="L"/>
    <n v="11076.57538002484"/>
    <n v="2"/>
    <s v="004 FC SP Cards"/>
  </r>
  <r>
    <n v="1"/>
    <s v="73"/>
    <x v="5"/>
    <n v="0"/>
    <n v="114397"/>
    <n v="0"/>
    <n v="0"/>
    <m/>
    <s v="K"/>
    <n v="114397"/>
    <n v="2"/>
    <s v="004 FC SP Cards"/>
  </r>
  <r>
    <n v="1"/>
    <s v="78"/>
    <x v="5"/>
    <n v="0"/>
    <n v="4184886"/>
    <n v="0"/>
    <n v="0"/>
    <m/>
    <s v="K"/>
    <n v="4184886"/>
    <n v="2"/>
    <s v="004 FC SP Cards"/>
  </r>
  <r>
    <n v="1"/>
    <s v="83"/>
    <x v="6"/>
    <n v="0"/>
    <n v="1400595"/>
    <n v="0"/>
    <n v="0"/>
    <m/>
    <s v="K"/>
    <n v="1400595"/>
    <n v="2"/>
    <s v="009 FC Prst Cards"/>
  </r>
  <r>
    <n v="1"/>
    <s v="82"/>
    <x v="6"/>
    <m/>
    <n v="15889.690977135066"/>
    <m/>
    <n v="0"/>
    <m/>
    <s v="L"/>
    <n v="15889.690977135066"/>
    <n v="2"/>
    <s v="009 FC Prst Cards"/>
  </r>
  <r>
    <n v="1"/>
    <s v="73"/>
    <x v="6"/>
    <m/>
    <n v="9457.969602577532"/>
    <m/>
    <n v="0"/>
    <m/>
    <s v="L"/>
    <n v="9457.969602577532"/>
    <n v="2"/>
    <s v="009 FC Prst Cards"/>
  </r>
  <r>
    <n v="1"/>
    <s v="75"/>
    <x v="6"/>
    <m/>
    <n v="307467.9231564622"/>
    <m/>
    <n v="0"/>
    <m/>
    <s v="L"/>
    <n v="307467.9231564622"/>
    <n v="2"/>
    <s v="009 FC Prst Cards"/>
  </r>
  <r>
    <n v="1"/>
    <s v="73"/>
    <x v="6"/>
    <n v="0"/>
    <n v="253488"/>
    <n v="0"/>
    <n v="0"/>
    <m/>
    <s v="K"/>
    <n v="253488"/>
    <n v="2"/>
    <s v="009 FC Prst Cards"/>
  </r>
  <r>
    <n v="1"/>
    <s v="80"/>
    <x v="6"/>
    <m/>
    <n v="34173.700014261121"/>
    <m/>
    <n v="0"/>
    <m/>
    <s v="L"/>
    <n v="34173.700014261121"/>
    <n v="2"/>
    <s v="009 FC Prst Cards"/>
  </r>
  <r>
    <n v="1"/>
    <s v="77"/>
    <x v="6"/>
    <n v="0"/>
    <n v="3843273"/>
    <n v="0"/>
    <n v="0"/>
    <m/>
    <s v="K"/>
    <n v="3843273"/>
    <n v="2"/>
    <s v="009 FC Prst Cards"/>
  </r>
  <r>
    <n v="1"/>
    <s v="83"/>
    <x v="6"/>
    <m/>
    <n v="130276.09888816078"/>
    <m/>
    <n v="0"/>
    <m/>
    <s v="L"/>
    <n v="130276.09888816078"/>
    <n v="2"/>
    <s v="009 FC Prst Cards"/>
  </r>
  <r>
    <n v="1"/>
    <s v="82"/>
    <x v="6"/>
    <n v="0"/>
    <n v="209813"/>
    <n v="0"/>
    <n v="0"/>
    <m/>
    <s v="K"/>
    <n v="209813"/>
    <n v="2"/>
    <s v="009 FC Prst Cards"/>
  </r>
  <r>
    <n v="1"/>
    <s v="80"/>
    <x v="6"/>
    <n v="0"/>
    <n v="215061"/>
    <n v="0"/>
    <n v="0"/>
    <m/>
    <s v="K"/>
    <n v="215061"/>
    <n v="2"/>
    <s v="009 FC Prst Cards"/>
  </r>
  <r>
    <n v="1"/>
    <s v="77"/>
    <x v="6"/>
    <m/>
    <n v="326981.58774394909"/>
    <m/>
    <n v="0"/>
    <m/>
    <s v="L"/>
    <n v="326981.58774394909"/>
    <n v="2"/>
    <s v="009 FC Prst Cards"/>
  </r>
  <r>
    <n v="1"/>
    <s v="78"/>
    <x v="6"/>
    <m/>
    <n v="952888.33896493167"/>
    <m/>
    <n v="0"/>
    <m/>
    <s v="L"/>
    <n v="952888.33896493167"/>
    <n v="2"/>
    <s v="009 FC Prst Cards"/>
  </r>
  <r>
    <n v="1"/>
    <s v="78"/>
    <x v="6"/>
    <n v="0"/>
    <n v="11432285"/>
    <n v="0"/>
    <n v="0"/>
    <m/>
    <s v="K"/>
    <n v="11432285"/>
    <n v="2"/>
    <s v="009 FC Prst Cards"/>
  </r>
  <r>
    <n v="1"/>
    <s v="75"/>
    <x v="6"/>
    <n v="0"/>
    <n v="1614354"/>
    <n v="0"/>
    <n v="0"/>
    <m/>
    <s v="K"/>
    <n v="1614354"/>
    <n v="2"/>
    <s v="009 FC Prst Cards"/>
  </r>
  <r>
    <n v="1"/>
    <s v="75"/>
    <x v="7"/>
    <m/>
    <n v="613780.64259034651"/>
    <m/>
    <n v="0"/>
    <m/>
    <s v="L"/>
    <n v="613780.64259034651"/>
    <n v="2"/>
    <s v="003 FC SP Letters"/>
  </r>
  <r>
    <n v="1"/>
    <s v="75"/>
    <x v="7"/>
    <n v="0"/>
    <n v="4419903"/>
    <n v="0"/>
    <n v="0"/>
    <m/>
    <s v="K"/>
    <n v="4419903"/>
    <n v="2"/>
    <s v="003 FC SP Letters"/>
  </r>
  <r>
    <n v="1"/>
    <s v="80"/>
    <x v="7"/>
    <n v="0"/>
    <n v="404337"/>
    <n v="0"/>
    <n v="0"/>
    <m/>
    <s v="K"/>
    <n v="404337"/>
    <n v="2"/>
    <s v="003 FC SP Letters"/>
  </r>
  <r>
    <n v="1"/>
    <s v="82"/>
    <x v="7"/>
    <m/>
    <n v="159633.40912484922"/>
    <m/>
    <n v="0"/>
    <m/>
    <s v="L"/>
    <n v="159633.40912484922"/>
    <n v="2"/>
    <s v="003 FC SP Letters"/>
  </r>
  <r>
    <n v="1"/>
    <s v="73"/>
    <x v="7"/>
    <m/>
    <n v="29304.11550830186"/>
    <m/>
    <n v="0"/>
    <m/>
    <s v="L"/>
    <n v="29304.11550830186"/>
    <n v="2"/>
    <s v="003 FC SP Letters"/>
  </r>
  <r>
    <n v="1"/>
    <s v="71"/>
    <x v="7"/>
    <m/>
    <n v="3447.8880085032047"/>
    <m/>
    <n v="0"/>
    <m/>
    <s v="L"/>
    <n v="3447.8880085032047"/>
    <n v="2"/>
    <s v="003 FC SP Letters"/>
  </r>
  <r>
    <n v="1"/>
    <s v="78"/>
    <x v="7"/>
    <m/>
    <n v="2507623.8026043479"/>
    <m/>
    <n v="0"/>
    <m/>
    <s v="L"/>
    <n v="2507623.8026043479"/>
    <n v="2"/>
    <s v="003 FC SP Letters"/>
  </r>
  <r>
    <n v="1"/>
    <s v="77"/>
    <x v="7"/>
    <n v="0"/>
    <n v="11213589"/>
    <n v="0"/>
    <n v="0"/>
    <m/>
    <s v="K"/>
    <n v="11213589"/>
    <n v="2"/>
    <s v="003 FC SP Letters"/>
  </r>
  <r>
    <n v="1"/>
    <s v="71"/>
    <x v="7"/>
    <n v="0"/>
    <n v="71455"/>
    <n v="0"/>
    <n v="0"/>
    <m/>
    <s v="K"/>
    <n v="71455"/>
    <n v="2"/>
    <s v="003 FC SP Letters"/>
  </r>
  <r>
    <n v="1"/>
    <s v="80"/>
    <x v="7"/>
    <m/>
    <n v="39010.544365710695"/>
    <m/>
    <n v="0"/>
    <m/>
    <s v="L"/>
    <n v="39010.544365710695"/>
    <n v="2"/>
    <s v="003 FC SP Letters"/>
  </r>
  <r>
    <n v="1"/>
    <s v="83"/>
    <x v="7"/>
    <m/>
    <n v="344525.35930129472"/>
    <m/>
    <n v="0"/>
    <m/>
    <s v="L"/>
    <n v="344525.35930129472"/>
    <n v="2"/>
    <s v="003 FC SP Letters"/>
  </r>
  <r>
    <n v="1"/>
    <s v="73"/>
    <x v="7"/>
    <n v="0"/>
    <n v="980495"/>
    <n v="0"/>
    <n v="0"/>
    <m/>
    <s v="K"/>
    <n v="980495"/>
    <n v="2"/>
    <s v="003 FC SP Letters"/>
  </r>
  <r>
    <n v="1"/>
    <s v="78"/>
    <x v="7"/>
    <n v="0"/>
    <n v="29778094"/>
    <n v="0"/>
    <n v="0"/>
    <m/>
    <s v="K"/>
    <n v="29778094"/>
    <n v="2"/>
    <s v="003 FC SP Letters"/>
  </r>
  <r>
    <n v="1"/>
    <s v="83"/>
    <x v="7"/>
    <n v="0"/>
    <n v="3766989"/>
    <n v="0"/>
    <n v="0"/>
    <m/>
    <s v="K"/>
    <n v="3766989"/>
    <n v="2"/>
    <s v="003 FC SP Letters"/>
  </r>
  <r>
    <n v="1"/>
    <s v="82"/>
    <x v="7"/>
    <n v="0"/>
    <n v="967387"/>
    <n v="0"/>
    <n v="0"/>
    <m/>
    <s v="K"/>
    <n v="967387"/>
    <n v="2"/>
    <s v="003 FC SP Letters"/>
  </r>
  <r>
    <n v="1"/>
    <s v="77"/>
    <x v="7"/>
    <m/>
    <n v="965728.14766972663"/>
    <m/>
    <n v="0"/>
    <m/>
    <s v="L"/>
    <n v="965728.14766972663"/>
    <n v="2"/>
    <s v="003 FC SP Letters"/>
  </r>
  <r>
    <n v="1"/>
    <s v="75"/>
    <x v="8"/>
    <n v="0"/>
    <n v="159105"/>
    <n v="0"/>
    <n v="0"/>
    <m/>
    <s v="K"/>
    <n v="159105"/>
    <n v="2"/>
    <s v="003 FC SP Letters"/>
  </r>
  <r>
    <n v="1"/>
    <s v="75"/>
    <x v="8"/>
    <m/>
    <n v="42725.640884423956"/>
    <m/>
    <n v="0"/>
    <m/>
    <s v="L"/>
    <n v="42725.640884423956"/>
    <n v="2"/>
    <s v="003 FC SP Letters"/>
  </r>
  <r>
    <n v="1"/>
    <s v="82"/>
    <x v="8"/>
    <m/>
    <n v="4243.1638406059074"/>
    <m/>
    <n v="0"/>
    <m/>
    <s v="L"/>
    <n v="4243.1638406059074"/>
    <n v="2"/>
    <s v="003 FC SP Letters"/>
  </r>
  <r>
    <n v="1"/>
    <s v="83"/>
    <x v="8"/>
    <m/>
    <n v="21702.279247761358"/>
    <m/>
    <n v="0"/>
    <m/>
    <s v="L"/>
    <n v="21702.279247761358"/>
    <n v="2"/>
    <s v="003 FC SP Letters"/>
  </r>
  <r>
    <n v="1"/>
    <s v="83"/>
    <x v="8"/>
    <n v="0"/>
    <n v="283660"/>
    <n v="0"/>
    <n v="0"/>
    <m/>
    <s v="K"/>
    <n v="283660"/>
    <n v="2"/>
    <s v="003 FC SP Letters"/>
  </r>
  <r>
    <n v="1"/>
    <s v="82"/>
    <x v="8"/>
    <n v="0"/>
    <n v="94675"/>
    <n v="0"/>
    <n v="0"/>
    <m/>
    <s v="K"/>
    <n v="94675"/>
    <n v="2"/>
    <s v="003 FC SP Letters"/>
  </r>
  <r>
    <n v="1"/>
    <s v="78"/>
    <x v="8"/>
    <n v="0"/>
    <n v="3161976"/>
    <n v="0"/>
    <n v="0"/>
    <m/>
    <s v="K"/>
    <n v="3161976"/>
    <n v="2"/>
    <s v="003 FC SP Letters"/>
  </r>
  <r>
    <n v="1"/>
    <s v="78"/>
    <x v="8"/>
    <m/>
    <n v="257324.31643210715"/>
    <m/>
    <n v="0"/>
    <m/>
    <s v="L"/>
    <n v="257324.31643210715"/>
    <n v="2"/>
    <s v="003 FC SP Letters"/>
  </r>
  <r>
    <n v="1"/>
    <s v="77"/>
    <x v="8"/>
    <m/>
    <n v="40729.928663399376"/>
    <m/>
    <n v="0"/>
    <m/>
    <s v="L"/>
    <n v="40729.928663399376"/>
    <n v="2"/>
    <s v="003 FC SP Letters"/>
  </r>
  <r>
    <n v="1"/>
    <s v="77"/>
    <x v="8"/>
    <n v="0"/>
    <n v="452240"/>
    <n v="0"/>
    <n v="0"/>
    <m/>
    <s v="K"/>
    <n v="452240"/>
    <n v="2"/>
    <s v="003 FC SP Letters"/>
  </r>
  <r>
    <n v="1"/>
    <s v="83"/>
    <x v="9"/>
    <n v="0"/>
    <n v="329606"/>
    <n v="0"/>
    <n v="0"/>
    <m/>
    <s v="K"/>
    <n v="329606"/>
    <n v="2"/>
    <s v="003 FC SP Letters"/>
  </r>
  <r>
    <n v="1"/>
    <s v="75"/>
    <x v="9"/>
    <m/>
    <n v="27925.859441277516"/>
    <m/>
    <n v="0"/>
    <m/>
    <s v="L"/>
    <n v="27925.859441277516"/>
    <n v="2"/>
    <s v="003 FC SP Letters"/>
  </r>
  <r>
    <n v="1"/>
    <s v="77"/>
    <x v="9"/>
    <m/>
    <n v="17781.082061702342"/>
    <m/>
    <n v="0"/>
    <m/>
    <s v="L"/>
    <n v="17781.082061702342"/>
    <n v="2"/>
    <s v="003 FC SP Letters"/>
  </r>
  <r>
    <n v="1"/>
    <s v="77"/>
    <x v="9"/>
    <n v="0"/>
    <n v="209106"/>
    <n v="0"/>
    <n v="0"/>
    <m/>
    <s v="K"/>
    <n v="209106"/>
    <n v="2"/>
    <s v="003 FC SP Letters"/>
  </r>
  <r>
    <n v="1"/>
    <s v="83"/>
    <x v="9"/>
    <m/>
    <n v="27040.077609196713"/>
    <m/>
    <n v="0"/>
    <m/>
    <s v="L"/>
    <n v="27040.077609196713"/>
    <n v="2"/>
    <s v="003 FC SP Letters"/>
  </r>
  <r>
    <n v="1"/>
    <s v="78"/>
    <x v="9"/>
    <n v="0"/>
    <n v="656989"/>
    <n v="0"/>
    <n v="0"/>
    <m/>
    <s v="K"/>
    <n v="656989"/>
    <n v="2"/>
    <s v="003 FC SP Letters"/>
  </r>
  <r>
    <n v="1"/>
    <s v="78"/>
    <x v="9"/>
    <m/>
    <n v="54725.754633469231"/>
    <m/>
    <n v="0"/>
    <m/>
    <s v="L"/>
    <n v="54725.754633469231"/>
    <n v="2"/>
    <s v="003 FC SP Letters"/>
  </r>
  <r>
    <n v="1"/>
    <s v="75"/>
    <x v="9"/>
    <n v="0"/>
    <n v="151780"/>
    <n v="0"/>
    <n v="0"/>
    <m/>
    <s v="K"/>
    <n v="151780"/>
    <n v="2"/>
    <s v="003 FC SP Letters"/>
  </r>
  <r>
    <n v="1"/>
    <s v="73"/>
    <x v="10"/>
    <m/>
    <n v="30789.195615935896"/>
    <m/>
    <n v="0"/>
    <m/>
    <s v="L"/>
    <n v="30789.195615935896"/>
    <n v="2"/>
    <s v="003 FC SP Letters"/>
  </r>
  <r>
    <n v="1"/>
    <s v="78"/>
    <x v="10"/>
    <m/>
    <n v="2517816.9155668356"/>
    <m/>
    <n v="0"/>
    <m/>
    <s v="L"/>
    <n v="2517816.9155668356"/>
    <n v="2"/>
    <s v="003 FC SP Letters"/>
  </r>
  <r>
    <n v="1"/>
    <s v="80"/>
    <x v="10"/>
    <n v="0"/>
    <n v="317638"/>
    <n v="0"/>
    <n v="0"/>
    <m/>
    <s v="K"/>
    <n v="317638"/>
    <n v="2"/>
    <s v="003 FC SP Letters"/>
  </r>
  <r>
    <n v="1"/>
    <s v="80"/>
    <x v="10"/>
    <m/>
    <n v="37409.88223954945"/>
    <m/>
    <n v="0"/>
    <m/>
    <s v="L"/>
    <n v="37409.88223954945"/>
    <n v="2"/>
    <s v="003 FC SP Letters"/>
  </r>
  <r>
    <n v="1"/>
    <s v="82"/>
    <x v="10"/>
    <n v="0"/>
    <n v="649125"/>
    <n v="0"/>
    <n v="0"/>
    <m/>
    <s v="K"/>
    <n v="649125"/>
    <n v="2"/>
    <s v="003 FC SP Letters"/>
  </r>
  <r>
    <n v="1"/>
    <s v="82"/>
    <x v="10"/>
    <m/>
    <n v="84986.45216968187"/>
    <m/>
    <n v="0"/>
    <m/>
    <s v="L"/>
    <n v="84986.45216968187"/>
    <n v="2"/>
    <s v="003 FC SP Letters"/>
  </r>
  <r>
    <n v="1"/>
    <s v="83"/>
    <x v="10"/>
    <m/>
    <n v="380727.55612058577"/>
    <m/>
    <n v="0"/>
    <m/>
    <s v="L"/>
    <n v="380727.55612058577"/>
    <n v="2"/>
    <s v="003 FC SP Letters"/>
  </r>
  <r>
    <n v="1"/>
    <s v="75"/>
    <x v="10"/>
    <n v="0"/>
    <n v="5430224"/>
    <n v="0"/>
    <n v="0"/>
    <m/>
    <s v="K"/>
    <n v="5430224"/>
    <n v="2"/>
    <s v="003 FC SP Letters"/>
  </r>
  <r>
    <n v="1"/>
    <s v="78"/>
    <x v="10"/>
    <n v="0"/>
    <n v="30437676"/>
    <n v="0"/>
    <n v="0"/>
    <m/>
    <s v="K"/>
    <n v="30437676"/>
    <n v="2"/>
    <s v="003 FC SP Letters"/>
  </r>
  <r>
    <n v="1"/>
    <s v="77"/>
    <x v="10"/>
    <n v="0"/>
    <n v="9491810"/>
    <n v="0"/>
    <n v="0"/>
    <m/>
    <s v="K"/>
    <n v="9491810"/>
    <n v="2"/>
    <s v="003 FC SP Letters"/>
  </r>
  <r>
    <n v="1"/>
    <s v="77"/>
    <x v="10"/>
    <m/>
    <n v="831200.80295162101"/>
    <m/>
    <n v="0"/>
    <m/>
    <s v="L"/>
    <n v="831200.80295162101"/>
    <n v="2"/>
    <s v="003 FC SP Letters"/>
  </r>
  <r>
    <n v="1"/>
    <s v="75"/>
    <x v="10"/>
    <m/>
    <n v="1077322.6892341243"/>
    <m/>
    <n v="0"/>
    <m/>
    <s v="L"/>
    <n v="1077322.6892341243"/>
    <n v="2"/>
    <s v="003 FC SP Letters"/>
  </r>
  <r>
    <n v="1"/>
    <s v="73"/>
    <x v="10"/>
    <n v="0"/>
    <n v="1005079"/>
    <n v="0"/>
    <n v="0"/>
    <m/>
    <s v="K"/>
    <n v="1005079"/>
    <n v="2"/>
    <s v="003 FC SP Letters"/>
  </r>
  <r>
    <n v="1"/>
    <s v="83"/>
    <x v="10"/>
    <n v="0"/>
    <n v="4276341"/>
    <n v="0"/>
    <n v="0"/>
    <m/>
    <s v="K"/>
    <n v="4276341"/>
    <n v="2"/>
    <s v="003 FC SP Letters"/>
  </r>
  <r>
    <n v="1"/>
    <s v="71"/>
    <x v="10"/>
    <n v="0"/>
    <n v="143622"/>
    <n v="0"/>
    <n v="0"/>
    <m/>
    <s v="K"/>
    <n v="143622"/>
    <n v="2"/>
    <s v="003 FC SP Letters"/>
  </r>
  <r>
    <n v="1"/>
    <s v="77"/>
    <x v="11"/>
    <n v="0"/>
    <n v="204595"/>
    <n v="0"/>
    <n v="0"/>
    <m/>
    <s v="K"/>
    <n v="204595"/>
    <n v="2"/>
    <s v="003 FC SP Letters"/>
  </r>
  <r>
    <n v="1"/>
    <s v="77"/>
    <x v="11"/>
    <m/>
    <n v="17546.553741578035"/>
    <m/>
    <n v="0"/>
    <m/>
    <s v="L"/>
    <n v="17546.553741578035"/>
    <n v="2"/>
    <s v="003 FC SP Letters"/>
  </r>
  <r>
    <n v="1"/>
    <s v="78"/>
    <x v="11"/>
    <n v="0"/>
    <n v="59578"/>
    <n v="0"/>
    <n v="0"/>
    <m/>
    <s v="K"/>
    <n v="59578"/>
    <n v="2"/>
    <s v="003 FC SP Letters"/>
  </r>
  <r>
    <n v="1"/>
    <s v="78"/>
    <x v="11"/>
    <m/>
    <n v="5030.3333966395594"/>
    <m/>
    <n v="0"/>
    <m/>
    <s v="L"/>
    <n v="5030.3333966395594"/>
    <n v="2"/>
    <s v="003 FC SP Letters"/>
  </r>
  <r>
    <n v="1"/>
    <s v="80"/>
    <x v="12"/>
    <m/>
    <n v="31704.89627959457"/>
    <m/>
    <n v="0"/>
    <m/>
    <s v="L"/>
    <n v="31704.89627959457"/>
    <n v="2"/>
    <s v="003 FC SP Letters"/>
  </r>
  <r>
    <n v="1"/>
    <s v="83"/>
    <x v="12"/>
    <n v="0"/>
    <n v="557811"/>
    <n v="0"/>
    <n v="0"/>
    <m/>
    <s v="K"/>
    <n v="557811"/>
    <n v="2"/>
    <s v="003 FC SP Letters"/>
  </r>
  <r>
    <n v="1"/>
    <s v="83"/>
    <x v="12"/>
    <m/>
    <n v="48169.099684339024"/>
    <m/>
    <n v="0"/>
    <m/>
    <s v="L"/>
    <n v="48169.099684339024"/>
    <n v="2"/>
    <s v="003 FC SP Letters"/>
  </r>
  <r>
    <n v="1"/>
    <s v="82"/>
    <x v="12"/>
    <n v="0"/>
    <n v="33159"/>
    <n v="0"/>
    <n v="0"/>
    <m/>
    <s v="K"/>
    <n v="33159"/>
    <n v="2"/>
    <s v="003 FC SP Letters"/>
  </r>
  <r>
    <n v="1"/>
    <s v="77"/>
    <x v="12"/>
    <n v="0"/>
    <n v="1052698"/>
    <n v="0"/>
    <n v="0"/>
    <m/>
    <s v="K"/>
    <n v="1052698"/>
    <n v="2"/>
    <s v="003 FC SP Letters"/>
  </r>
  <r>
    <n v="1"/>
    <s v="75"/>
    <x v="12"/>
    <n v="0"/>
    <n v="1379863"/>
    <n v="0"/>
    <n v="0"/>
    <m/>
    <s v="K"/>
    <n v="1379863"/>
    <n v="2"/>
    <s v="003 FC SP Letters"/>
  </r>
  <r>
    <n v="1"/>
    <s v="78"/>
    <x v="12"/>
    <m/>
    <n v="390771.72640731913"/>
    <m/>
    <n v="0"/>
    <m/>
    <s v="L"/>
    <n v="390771.72640731913"/>
    <n v="2"/>
    <s v="003 FC SP Letters"/>
  </r>
  <r>
    <n v="1"/>
    <s v="78"/>
    <x v="12"/>
    <n v="0"/>
    <n v="4702132"/>
    <n v="0"/>
    <n v="0"/>
    <m/>
    <s v="K"/>
    <n v="4702132"/>
    <n v="2"/>
    <s v="003 FC SP Letters"/>
  </r>
  <r>
    <n v="1"/>
    <s v="75"/>
    <x v="12"/>
    <m/>
    <n v="365515.82835616561"/>
    <m/>
    <n v="0"/>
    <m/>
    <s v="L"/>
    <n v="365515.82835616561"/>
    <n v="2"/>
    <s v="003 FC SP Letters"/>
  </r>
  <r>
    <n v="1"/>
    <s v="73"/>
    <x v="12"/>
    <m/>
    <n v="3444.1893130486978"/>
    <m/>
    <n v="0"/>
    <m/>
    <s v="L"/>
    <n v="3444.1893130486978"/>
    <n v="2"/>
    <s v="003 FC SP Letters"/>
  </r>
  <r>
    <n v="1"/>
    <s v="73"/>
    <x v="12"/>
    <n v="0"/>
    <n v="104176"/>
    <n v="0"/>
    <n v="0"/>
    <m/>
    <s v="K"/>
    <n v="104176"/>
    <n v="2"/>
    <s v="003 FC SP Letters"/>
  </r>
  <r>
    <n v="1"/>
    <s v="77"/>
    <x v="12"/>
    <m/>
    <n v="82457.327294060655"/>
    <m/>
    <n v="0"/>
    <m/>
    <s v="L"/>
    <n v="82457.327294060655"/>
    <n v="2"/>
    <s v="003 FC SP Letters"/>
  </r>
  <r>
    <n v="1"/>
    <s v="82"/>
    <x v="12"/>
    <m/>
    <n v="6158.9361535760672"/>
    <m/>
    <n v="0"/>
    <m/>
    <s v="L"/>
    <n v="6158.9361535760672"/>
    <n v="2"/>
    <s v="003 FC SP Letters"/>
  </r>
  <r>
    <n v="1"/>
    <s v="80"/>
    <x v="12"/>
    <n v="0"/>
    <n v="187604"/>
    <n v="0"/>
    <n v="0"/>
    <m/>
    <s v="K"/>
    <n v="187604"/>
    <n v="2"/>
    <s v="003 FC SP Letters"/>
  </r>
  <r>
    <n v="1"/>
    <s v="80"/>
    <x v="13"/>
    <n v="0"/>
    <n v="3604515"/>
    <n v="0"/>
    <n v="0"/>
    <m/>
    <s v="K"/>
    <n v="3604515"/>
    <n v="2"/>
    <s v="008 FC Prst Letters"/>
  </r>
  <r>
    <n v="1"/>
    <s v="80"/>
    <x v="13"/>
    <m/>
    <n v="497696.33825109072"/>
    <m/>
    <n v="0"/>
    <m/>
    <s v="L"/>
    <n v="497696.33825109072"/>
    <n v="2"/>
    <s v="008 FC Prst Letters"/>
  </r>
  <r>
    <n v="1"/>
    <s v="83"/>
    <x v="13"/>
    <n v="0"/>
    <n v="12149360"/>
    <n v="0"/>
    <n v="0"/>
    <m/>
    <s v="K"/>
    <n v="12149360"/>
    <n v="2"/>
    <s v="008 FC Prst Letters"/>
  </r>
  <r>
    <n v="1"/>
    <s v="75"/>
    <x v="13"/>
    <n v="0"/>
    <n v="32888911"/>
    <n v="0"/>
    <n v="0"/>
    <m/>
    <s v="K"/>
    <n v="32888911"/>
    <n v="2"/>
    <s v="008 FC Prst Letters"/>
  </r>
  <r>
    <n v="1"/>
    <s v="78"/>
    <x v="13"/>
    <n v="0"/>
    <n v="156667958"/>
    <n v="0"/>
    <n v="0"/>
    <m/>
    <s v="K"/>
    <n v="156667958"/>
    <n v="2"/>
    <s v="008 FC Prst Letters"/>
  </r>
  <r>
    <n v="1"/>
    <s v="82"/>
    <x v="13"/>
    <n v="0"/>
    <n v="6535679"/>
    <n v="0"/>
    <n v="0"/>
    <m/>
    <s v="K"/>
    <n v="6535679"/>
    <n v="2"/>
    <s v="008 FC Prst Letters"/>
  </r>
  <r>
    <n v="1"/>
    <s v="78"/>
    <x v="13"/>
    <m/>
    <n v="12915446.462816965"/>
    <m/>
    <n v="0"/>
    <m/>
    <s v="L"/>
    <n v="12915446.462816965"/>
    <n v="2"/>
    <s v="008 FC Prst Letters"/>
  </r>
  <r>
    <n v="1"/>
    <s v="77"/>
    <x v="13"/>
    <m/>
    <n v="3586215.5908644879"/>
    <m/>
    <n v="0"/>
    <m/>
    <s v="L"/>
    <n v="3586215.5908644879"/>
    <n v="2"/>
    <s v="008 FC Prst Letters"/>
  </r>
  <r>
    <n v="1"/>
    <s v="77"/>
    <x v="13"/>
    <n v="0"/>
    <n v="42708532"/>
    <n v="0"/>
    <n v="0"/>
    <m/>
    <s v="K"/>
    <n v="42708532"/>
    <n v="2"/>
    <s v="008 FC Prst Letters"/>
  </r>
  <r>
    <n v="1"/>
    <s v="83"/>
    <x v="13"/>
    <m/>
    <n v="1096913.8543368771"/>
    <m/>
    <n v="0"/>
    <m/>
    <s v="L"/>
    <n v="1096913.8543368771"/>
    <n v="2"/>
    <s v="008 FC Prst Letters"/>
  </r>
  <r>
    <n v="1"/>
    <s v="73"/>
    <x v="13"/>
    <n v="0"/>
    <n v="3971907"/>
    <n v="0"/>
    <n v="0"/>
    <m/>
    <s v="K"/>
    <n v="3971907"/>
    <n v="2"/>
    <s v="008 FC Prst Letters"/>
  </r>
  <r>
    <n v="1"/>
    <s v="71"/>
    <x v="13"/>
    <n v="0"/>
    <n v="1246330"/>
    <n v="0"/>
    <n v="0"/>
    <m/>
    <s v="K"/>
    <n v="1246330"/>
    <n v="2"/>
    <s v="008 FC Prst Letters"/>
  </r>
  <r>
    <n v="1"/>
    <s v="75"/>
    <x v="13"/>
    <m/>
    <n v="6501406.9660916869"/>
    <m/>
    <n v="0"/>
    <m/>
    <s v="L"/>
    <n v="6501406.9660916869"/>
    <n v="2"/>
    <s v="008 FC Prst Letters"/>
  </r>
  <r>
    <n v="1"/>
    <s v="82"/>
    <x v="13"/>
    <m/>
    <n v="578157.37929904333"/>
    <m/>
    <n v="0"/>
    <m/>
    <s v="L"/>
    <n v="578157.37929904333"/>
    <n v="2"/>
    <s v="008 FC Prst Letters"/>
  </r>
  <r>
    <n v="1"/>
    <s v="73"/>
    <x v="13"/>
    <m/>
    <n v="114742.27451626591"/>
    <m/>
    <n v="0"/>
    <m/>
    <s v="L"/>
    <n v="114742.27451626591"/>
    <n v="2"/>
    <s v="008 FC Prst Letters"/>
  </r>
  <r>
    <n v="1"/>
    <s v="71"/>
    <x v="13"/>
    <m/>
    <n v="32861.019374975309"/>
    <m/>
    <n v="0"/>
    <m/>
    <s v="L"/>
    <n v="32861.019374975309"/>
    <n v="2"/>
    <s v="008 FC Prst Letters"/>
  </r>
  <r>
    <n v="1"/>
    <s v="83"/>
    <x v="14"/>
    <n v="0"/>
    <n v="69664"/>
    <n v="0"/>
    <n v="0"/>
    <m/>
    <s v="K"/>
    <n v="69664"/>
    <n v="2"/>
    <s v="032 PER Outside County"/>
  </r>
  <r>
    <n v="1"/>
    <s v="83"/>
    <x v="14"/>
    <m/>
    <n v="6816.8494799512719"/>
    <m/>
    <n v="0"/>
    <m/>
    <s v="L"/>
    <n v="6816.8494799512719"/>
    <n v="2"/>
    <s v="032 PER Outside County"/>
  </r>
  <r>
    <n v="1"/>
    <s v="77"/>
    <x v="15"/>
    <n v="0"/>
    <n v="138757"/>
    <n v="0"/>
    <n v="0"/>
    <m/>
    <s v="K"/>
    <n v="138757"/>
    <n v="2"/>
    <s v="023 MM ECR Carrier Route"/>
  </r>
  <r>
    <n v="1"/>
    <s v="77"/>
    <x v="15"/>
    <m/>
    <n v="12702.856570648084"/>
    <m/>
    <n v="0"/>
    <m/>
    <s v="L"/>
    <n v="12702.856570648084"/>
    <n v="2"/>
    <s v="023 MM ECR Carrier Route"/>
  </r>
  <r>
    <n v="1"/>
    <s v="78"/>
    <x v="15"/>
    <n v="0"/>
    <n v="141090"/>
    <n v="0"/>
    <n v="0"/>
    <m/>
    <s v="K"/>
    <n v="141090"/>
    <n v="2"/>
    <s v="023 MM ECR Carrier Route"/>
  </r>
  <r>
    <n v="1"/>
    <s v="78"/>
    <x v="15"/>
    <m/>
    <n v="12034.862873636477"/>
    <m/>
    <n v="0"/>
    <m/>
    <s v="L"/>
    <n v="12034.862873636477"/>
    <n v="2"/>
    <s v="023 MM ECR Carrier Route"/>
  </r>
  <r>
    <n v="1"/>
    <s v="75"/>
    <x v="16"/>
    <n v="0"/>
    <n v="4060816"/>
    <n v="0"/>
    <n v="0"/>
    <m/>
    <s v="K"/>
    <n v="4060816"/>
    <n v="2"/>
    <s v="021 MM ECR HD Letters"/>
  </r>
  <r>
    <n v="1"/>
    <s v="83"/>
    <x v="16"/>
    <m/>
    <n v="114973.92564026489"/>
    <m/>
    <n v="0"/>
    <m/>
    <s v="L"/>
    <n v="114973.92564026489"/>
    <n v="2"/>
    <s v="021 MM ECR HD Letters"/>
  </r>
  <r>
    <n v="1"/>
    <s v="82"/>
    <x v="16"/>
    <n v="0"/>
    <n v="332064"/>
    <n v="0"/>
    <n v="0"/>
    <m/>
    <s v="K"/>
    <n v="332064"/>
    <n v="2"/>
    <s v="021 MM ECR HD Letters"/>
  </r>
  <r>
    <n v="1"/>
    <s v="83"/>
    <x v="16"/>
    <n v="0"/>
    <n v="1297501"/>
    <n v="0"/>
    <n v="0"/>
    <m/>
    <s v="K"/>
    <n v="1297501"/>
    <n v="2"/>
    <s v="021 MM ECR HD Letters"/>
  </r>
  <r>
    <n v="1"/>
    <s v="80"/>
    <x v="16"/>
    <n v="0"/>
    <n v="77123"/>
    <n v="0"/>
    <n v="0"/>
    <m/>
    <s v="K"/>
    <n v="77123"/>
    <n v="2"/>
    <s v="021 MM ECR HD Letters"/>
  </r>
  <r>
    <n v="1"/>
    <s v="73"/>
    <x v="16"/>
    <m/>
    <n v="8074.1918755146307"/>
    <m/>
    <n v="0"/>
    <m/>
    <s v="L"/>
    <n v="8074.1918755146307"/>
    <n v="2"/>
    <s v="021 MM ECR HD Letters"/>
  </r>
  <r>
    <n v="1"/>
    <s v="77"/>
    <x v="16"/>
    <n v="0"/>
    <n v="10707554"/>
    <n v="0"/>
    <n v="0"/>
    <m/>
    <s v="K"/>
    <n v="10707554"/>
    <n v="2"/>
    <s v="021 MM ECR HD Letters"/>
  </r>
  <r>
    <n v="1"/>
    <s v="77"/>
    <x v="16"/>
    <m/>
    <n v="944801.61542729044"/>
    <m/>
    <n v="0"/>
    <m/>
    <s v="L"/>
    <n v="944801.61542729044"/>
    <n v="2"/>
    <s v="021 MM ECR HD Letters"/>
  </r>
  <r>
    <n v="1"/>
    <s v="73"/>
    <x v="16"/>
    <n v="0"/>
    <n v="198093"/>
    <n v="0"/>
    <n v="0"/>
    <m/>
    <s v="K"/>
    <n v="198093"/>
    <n v="2"/>
    <s v="021 MM ECR HD Letters"/>
  </r>
  <r>
    <n v="1"/>
    <s v="82"/>
    <x v="16"/>
    <m/>
    <n v="20349.273181802833"/>
    <m/>
    <n v="0"/>
    <m/>
    <s v="L"/>
    <n v="20349.273181802833"/>
    <n v="2"/>
    <s v="021 MM ECR HD Letters"/>
  </r>
  <r>
    <n v="1"/>
    <s v="80"/>
    <x v="16"/>
    <m/>
    <n v="12411.168852207924"/>
    <m/>
    <n v="0"/>
    <m/>
    <s v="L"/>
    <n v="12411.168852207924"/>
    <n v="2"/>
    <s v="021 MM ECR HD Letters"/>
  </r>
  <r>
    <n v="1"/>
    <s v="75"/>
    <x v="16"/>
    <m/>
    <n v="597770.54554116656"/>
    <m/>
    <n v="0"/>
    <m/>
    <s v="L"/>
    <n v="597770.54554116656"/>
    <n v="2"/>
    <s v="021 MM ECR HD Letters"/>
  </r>
  <r>
    <n v="1"/>
    <s v="78"/>
    <x v="16"/>
    <m/>
    <n v="1895222.4845696522"/>
    <m/>
    <n v="0"/>
    <m/>
    <s v="L"/>
    <n v="1895222.4845696522"/>
    <n v="2"/>
    <s v="021 MM ECR HD Letters"/>
  </r>
  <r>
    <n v="1"/>
    <s v="78"/>
    <x v="16"/>
    <n v="0"/>
    <n v="22052408"/>
    <n v="0"/>
    <n v="0"/>
    <m/>
    <s v="K"/>
    <n v="22052408"/>
    <n v="2"/>
    <s v="021 MM ECR HD Letters"/>
  </r>
  <r>
    <n v="1"/>
    <s v="77"/>
    <x v="17"/>
    <n v="0"/>
    <n v="295263"/>
    <n v="0"/>
    <n v="0"/>
    <m/>
    <s v="K"/>
    <n v="295263"/>
    <n v="2"/>
    <s v="024 EDDM-R"/>
  </r>
  <r>
    <n v="1"/>
    <s v="78"/>
    <x v="17"/>
    <m/>
    <n v="53174.413490045234"/>
    <m/>
    <n v="0"/>
    <m/>
    <s v="L"/>
    <n v="53174.413490045234"/>
    <n v="2"/>
    <s v="024 EDDM-R"/>
  </r>
  <r>
    <n v="1"/>
    <s v="77"/>
    <x v="17"/>
    <m/>
    <n v="27891.182895693833"/>
    <m/>
    <n v="0"/>
    <m/>
    <s v="L"/>
    <n v="27891.182895693833"/>
    <n v="2"/>
    <s v="024 EDDM-R"/>
  </r>
  <r>
    <n v="1"/>
    <s v="78"/>
    <x v="17"/>
    <n v="0"/>
    <n v="608358"/>
    <n v="0"/>
    <n v="0"/>
    <m/>
    <s v="K"/>
    <n v="608358"/>
    <n v="2"/>
    <s v="024 EDDM-R"/>
  </r>
  <r>
    <n v="1"/>
    <s v="83"/>
    <x v="18"/>
    <n v="0"/>
    <n v="18953560"/>
    <n v="0"/>
    <n v="0"/>
    <m/>
    <s v="K"/>
    <n v="18953560"/>
    <n v="2"/>
    <s v="025 MM REG Letters"/>
  </r>
  <r>
    <n v="1"/>
    <s v="83"/>
    <x v="18"/>
    <m/>
    <n v="1709375.9890914056"/>
    <m/>
    <n v="0"/>
    <m/>
    <s v="L"/>
    <n v="1709375.9890914056"/>
    <n v="2"/>
    <s v="025 MM REG Letters"/>
  </r>
  <r>
    <n v="1"/>
    <s v="78"/>
    <x v="18"/>
    <m/>
    <n v="18167280.294147834"/>
    <m/>
    <n v="0"/>
    <m/>
    <s v="L"/>
    <n v="18167280.294147834"/>
    <n v="2"/>
    <s v="025 MM REG Letters"/>
  </r>
  <r>
    <n v="1"/>
    <s v="82"/>
    <x v="18"/>
    <m/>
    <n v="766138.42541496071"/>
    <m/>
    <n v="0"/>
    <m/>
    <s v="L"/>
    <n v="766138.42541496071"/>
    <n v="2"/>
    <s v="025 MM REG Letters"/>
  </r>
  <r>
    <n v="1"/>
    <s v="73"/>
    <x v="18"/>
    <n v="0"/>
    <n v="2392881"/>
    <n v="0"/>
    <n v="0"/>
    <m/>
    <s v="K"/>
    <n v="2392881"/>
    <n v="2"/>
    <s v="025 MM REG Letters"/>
  </r>
  <r>
    <n v="1"/>
    <s v="75"/>
    <x v="18"/>
    <n v="0"/>
    <n v="35125873"/>
    <n v="0"/>
    <n v="0"/>
    <m/>
    <s v="K"/>
    <n v="35125873"/>
    <n v="2"/>
    <s v="025 MM REG Letters"/>
  </r>
  <r>
    <n v="1"/>
    <s v="77"/>
    <x v="18"/>
    <n v="0"/>
    <n v="72388001"/>
    <n v="0"/>
    <n v="0"/>
    <m/>
    <s v="K"/>
    <n v="72388001"/>
    <n v="2"/>
    <s v="025 MM REG Letters"/>
  </r>
  <r>
    <n v="1"/>
    <s v="80"/>
    <x v="18"/>
    <n v="0"/>
    <n v="2606516"/>
    <n v="0"/>
    <n v="0"/>
    <m/>
    <s v="K"/>
    <n v="2606516"/>
    <n v="2"/>
    <s v="025 MM REG Letters"/>
  </r>
  <r>
    <n v="1"/>
    <s v="80"/>
    <x v="18"/>
    <m/>
    <n v="219962.57240050123"/>
    <m/>
    <n v="0"/>
    <m/>
    <s v="L"/>
    <n v="219962.57240050123"/>
    <n v="2"/>
    <s v="025 MM REG Letters"/>
  </r>
  <r>
    <n v="1"/>
    <s v="82"/>
    <x v="18"/>
    <n v="0"/>
    <n v="4824653"/>
    <n v="0"/>
    <n v="0"/>
    <m/>
    <s v="K"/>
    <n v="4824653"/>
    <n v="2"/>
    <s v="025 MM REG Letters"/>
  </r>
  <r>
    <n v="1"/>
    <s v="77"/>
    <x v="18"/>
    <m/>
    <n v="6236894.9897715412"/>
    <m/>
    <n v="0"/>
    <m/>
    <s v="L"/>
    <n v="6236894.9897715412"/>
    <n v="2"/>
    <s v="025 MM REG Letters"/>
  </r>
  <r>
    <n v="1"/>
    <s v="71"/>
    <x v="18"/>
    <n v="0"/>
    <n v="818693"/>
    <n v="0"/>
    <n v="0"/>
    <m/>
    <s v="K"/>
    <n v="818693"/>
    <n v="2"/>
    <s v="025 MM REG Letters"/>
  </r>
  <r>
    <n v="1"/>
    <s v="75"/>
    <x v="18"/>
    <m/>
    <n v="6185567.9632965047"/>
    <m/>
    <n v="0"/>
    <m/>
    <s v="L"/>
    <n v="6185567.9632965047"/>
    <n v="2"/>
    <s v="025 MM REG Letters"/>
  </r>
  <r>
    <n v="1"/>
    <s v="73"/>
    <x v="18"/>
    <m/>
    <n v="72683.110986127198"/>
    <m/>
    <n v="0"/>
    <m/>
    <s v="L"/>
    <n v="72683.110986127198"/>
    <n v="2"/>
    <s v="025 MM REG Letters"/>
  </r>
  <r>
    <n v="1"/>
    <s v="78"/>
    <x v="18"/>
    <n v="0"/>
    <n v="211060549"/>
    <n v="0"/>
    <n v="0"/>
    <m/>
    <s v="K"/>
    <n v="211060549"/>
    <n v="2"/>
    <s v="025 MM REG Letters"/>
  </r>
  <r>
    <n v="1"/>
    <s v="71"/>
    <x v="18"/>
    <m/>
    <n v="39504.048384934773"/>
    <m/>
    <n v="0"/>
    <m/>
    <s v="L"/>
    <n v="39504.048384934773"/>
    <n v="2"/>
    <s v="025 MM REG Letters"/>
  </r>
  <r>
    <n v="1"/>
    <s v="75"/>
    <x v="19"/>
    <n v="0"/>
    <n v="406070"/>
    <n v="0"/>
    <n v="0"/>
    <m/>
    <s v="K"/>
    <n v="406070"/>
    <n v="2"/>
    <s v="999 OTHER"/>
  </r>
  <r>
    <n v="1"/>
    <s v="83"/>
    <x v="19"/>
    <n v="0"/>
    <n v="255120"/>
    <n v="0"/>
    <n v="0"/>
    <m/>
    <s v="K"/>
    <n v="255120"/>
    <n v="2"/>
    <s v="999 OTHER"/>
  </r>
  <r>
    <n v="1"/>
    <s v="77"/>
    <x v="19"/>
    <n v="0"/>
    <n v="578065"/>
    <n v="0"/>
    <n v="0"/>
    <m/>
    <s v="K"/>
    <n v="578065"/>
    <n v="2"/>
    <s v="999 OTHER"/>
  </r>
  <r>
    <n v="1"/>
    <s v="80"/>
    <x v="19"/>
    <n v="0"/>
    <n v="57979"/>
    <n v="0"/>
    <n v="0"/>
    <m/>
    <s v="K"/>
    <n v="57979"/>
    <n v="2"/>
    <s v="999 OTHER"/>
  </r>
  <r>
    <n v="1"/>
    <s v="78"/>
    <x v="19"/>
    <n v="0"/>
    <n v="1276452"/>
    <n v="0"/>
    <n v="0"/>
    <m/>
    <s v="K"/>
    <n v="1276452"/>
    <n v="2"/>
    <s v="999 OTHER"/>
  </r>
  <r>
    <n v="1"/>
    <s v="83"/>
    <x v="20"/>
    <n v="0"/>
    <n v="139981"/>
    <n v="0"/>
    <n v="0"/>
    <m/>
    <s v="K"/>
    <n v="139981"/>
    <n v="2"/>
    <s v="085 USPS"/>
  </r>
  <r>
    <n v="1"/>
    <s v="75"/>
    <x v="20"/>
    <m/>
    <n v="85544.326956171673"/>
    <m/>
    <n v="0"/>
    <m/>
    <s v="L"/>
    <n v="85544.326956171673"/>
    <n v="2"/>
    <s v="085 USPS"/>
  </r>
  <r>
    <n v="1"/>
    <s v="82"/>
    <x v="20"/>
    <m/>
    <n v="9782.0614558237758"/>
    <m/>
    <n v="0"/>
    <m/>
    <s v="L"/>
    <n v="9782.0614558237758"/>
    <n v="2"/>
    <s v="085 USPS"/>
  </r>
  <r>
    <n v="1"/>
    <s v="75"/>
    <x v="20"/>
    <n v="0"/>
    <n v="596696"/>
    <n v="0"/>
    <n v="0"/>
    <m/>
    <s v="K"/>
    <n v="596696"/>
    <n v="2"/>
    <s v="085 USPS"/>
  </r>
  <r>
    <n v="1"/>
    <s v="82"/>
    <x v="20"/>
    <n v="0"/>
    <n v="118754"/>
    <n v="0"/>
    <n v="0"/>
    <m/>
    <s v="K"/>
    <n v="118754"/>
    <n v="2"/>
    <s v="085 USPS"/>
  </r>
  <r>
    <n v="1"/>
    <s v="83"/>
    <x v="20"/>
    <m/>
    <n v="12347.655133479544"/>
    <m/>
    <n v="0"/>
    <m/>
    <s v="L"/>
    <n v="12347.655133479544"/>
    <n v="2"/>
    <s v="085 USPS"/>
  </r>
  <r>
    <n v="1"/>
    <s v="77"/>
    <x v="20"/>
    <n v="0"/>
    <n v="971846"/>
    <n v="0"/>
    <n v="0"/>
    <m/>
    <s v="K"/>
    <n v="971846"/>
    <n v="2"/>
    <s v="085 USPS"/>
  </r>
  <r>
    <n v="1"/>
    <s v="80"/>
    <x v="20"/>
    <n v="0"/>
    <n v="215061"/>
    <n v="0"/>
    <n v="0"/>
    <m/>
    <s v="K"/>
    <n v="215061"/>
    <n v="2"/>
    <s v="085 USPS"/>
  </r>
  <r>
    <n v="1"/>
    <s v="77"/>
    <x v="20"/>
    <m/>
    <n v="79804.664980504007"/>
    <m/>
    <n v="0"/>
    <m/>
    <s v="L"/>
    <n v="79804.664980504007"/>
    <n v="2"/>
    <s v="085 USPS"/>
  </r>
  <r>
    <n v="1"/>
    <s v="78"/>
    <x v="20"/>
    <m/>
    <n v="364463.3037668661"/>
    <m/>
    <n v="0"/>
    <m/>
    <s v="L"/>
    <n v="364463.3037668661"/>
    <n v="2"/>
    <s v="085 USPS"/>
  </r>
  <r>
    <n v="1"/>
    <s v="78"/>
    <x v="20"/>
    <n v="0"/>
    <n v="4273448"/>
    <n v="0"/>
    <n v="0"/>
    <m/>
    <s v="K"/>
    <n v="4273448"/>
    <n v="2"/>
    <s v="085 USPS"/>
  </r>
  <r>
    <n v="1"/>
    <s v="80"/>
    <x v="20"/>
    <m/>
    <n v="34173.700014261121"/>
    <m/>
    <n v="0"/>
    <m/>
    <s v="L"/>
    <n v="34173.700014261121"/>
    <n v="2"/>
    <s v="085 USPS"/>
  </r>
  <r>
    <n v="1"/>
    <s v="83"/>
    <x v="21"/>
    <m/>
    <n v="12668.825951954901"/>
    <m/>
    <n v="0"/>
    <m/>
    <s v="L"/>
    <n v="12668.825951954901"/>
    <n v="2"/>
    <s v="185 International"/>
  </r>
  <r>
    <n v="1"/>
    <s v="83"/>
    <x v="21"/>
    <n v="0"/>
    <n v="143622"/>
    <n v="0"/>
    <n v="0"/>
    <m/>
    <s v="K"/>
    <n v="143622"/>
    <n v="2"/>
    <s v="185 International"/>
  </r>
  <r>
    <n v="1"/>
    <s v="82"/>
    <x v="21"/>
    <m/>
    <n v="2282.5523876454472"/>
    <m/>
    <n v="0"/>
    <m/>
    <s v="L"/>
    <n v="2282.5523876454472"/>
    <n v="2"/>
    <s v="185 International"/>
  </r>
  <r>
    <n v="1"/>
    <s v="75"/>
    <x v="21"/>
    <n v="0"/>
    <n v="77833"/>
    <n v="0"/>
    <n v="0"/>
    <m/>
    <s v="K"/>
    <n v="77833"/>
    <n v="2"/>
    <s v="185 International"/>
  </r>
  <r>
    <n v="1"/>
    <s v="78"/>
    <x v="21"/>
    <m/>
    <n v="55887.139131177311"/>
    <m/>
    <n v="0"/>
    <m/>
    <s v="L"/>
    <n v="55887.139131177311"/>
    <n v="2"/>
    <s v="185 International"/>
  </r>
  <r>
    <n v="1"/>
    <s v="77"/>
    <x v="21"/>
    <n v="0"/>
    <n v="272599"/>
    <n v="0"/>
    <n v="0"/>
    <m/>
    <s v="K"/>
    <n v="272599"/>
    <n v="2"/>
    <s v="185 International"/>
  </r>
  <r>
    <n v="1"/>
    <s v="80"/>
    <x v="21"/>
    <n v="0"/>
    <n v="103462"/>
    <n v="0"/>
    <n v="0"/>
    <m/>
    <s v="K"/>
    <n v="103462"/>
    <n v="2"/>
    <s v="185 International"/>
  </r>
  <r>
    <n v="1"/>
    <s v="77"/>
    <x v="21"/>
    <m/>
    <n v="25659.770645620738"/>
    <m/>
    <n v="0"/>
    <m/>
    <s v="L"/>
    <n v="25659.770645620738"/>
    <n v="2"/>
    <s v="185 International"/>
  </r>
  <r>
    <n v="1"/>
    <s v="75"/>
    <x v="21"/>
    <m/>
    <n v="20901.070406067502"/>
    <m/>
    <n v="0"/>
    <m/>
    <s v="L"/>
    <n v="20901.070406067502"/>
    <n v="2"/>
    <s v="185 International"/>
  </r>
  <r>
    <n v="1"/>
    <s v="80"/>
    <x v="21"/>
    <m/>
    <n v="9302.8142912944386"/>
    <m/>
    <n v="0"/>
    <m/>
    <s v="L"/>
    <n v="9302.8142912944386"/>
    <n v="2"/>
    <s v="185 International"/>
  </r>
  <r>
    <n v="1"/>
    <s v="78"/>
    <x v="21"/>
    <n v="0"/>
    <n v="627628"/>
    <n v="0"/>
    <n v="0"/>
    <m/>
    <s v="K"/>
    <n v="627628"/>
    <n v="2"/>
    <s v="185 International"/>
  </r>
  <r>
    <n v="1"/>
    <s v="82"/>
    <x v="21"/>
    <n v="0"/>
    <n v="52066"/>
    <n v="0"/>
    <n v="0"/>
    <m/>
    <s v="K"/>
    <n v="52066"/>
    <n v="2"/>
    <s v="185 International"/>
  </r>
  <r>
    <n v="1"/>
    <s v="78"/>
    <x v="22"/>
    <m/>
    <n v="7812.9829946967275"/>
    <m/>
    <n v="0"/>
    <m/>
    <s v="L"/>
    <n v="7812.9829946967275"/>
    <n v="2"/>
    <s v="086 Free Mail"/>
  </r>
  <r>
    <n v="1"/>
    <s v="78"/>
    <x v="22"/>
    <n v="0"/>
    <n v="92535"/>
    <n v="0"/>
    <n v="0"/>
    <m/>
    <s v="K"/>
    <n v="92535"/>
    <n v="2"/>
    <s v="086 Free Mail"/>
  </r>
  <r>
    <n v="1"/>
    <s v="83"/>
    <x v="23"/>
    <m/>
    <n v="24837.885747759483"/>
    <m/>
    <n v="0"/>
    <m/>
    <s v="L"/>
    <n v="24837.885747759483"/>
    <n v="2"/>
    <s v="016 FC SP Flats"/>
  </r>
  <r>
    <n v="1"/>
    <s v="83"/>
    <x v="23"/>
    <n v="0"/>
    <n v="253709"/>
    <n v="0"/>
    <n v="0"/>
    <m/>
    <s v="K"/>
    <n v="253709"/>
    <n v="2"/>
    <s v="016 FC SP Flats"/>
  </r>
  <r>
    <n v="1"/>
    <s v="78"/>
    <x v="23"/>
    <m/>
    <n v="148109.69789547217"/>
    <m/>
    <n v="0"/>
    <m/>
    <s v="L"/>
    <n v="148109.69789547217"/>
    <n v="2"/>
    <s v="016 FC SP Flats"/>
  </r>
  <r>
    <n v="1"/>
    <s v="75"/>
    <x v="23"/>
    <n v="0"/>
    <n v="264140"/>
    <n v="0"/>
    <n v="0"/>
    <m/>
    <s v="K"/>
    <n v="264140"/>
    <n v="2"/>
    <s v="016 FC SP Flats"/>
  </r>
  <r>
    <n v="1"/>
    <s v="77"/>
    <x v="23"/>
    <n v="0"/>
    <n v="404184"/>
    <n v="0"/>
    <n v="0"/>
    <m/>
    <s v="K"/>
    <n v="404184"/>
    <n v="2"/>
    <s v="016 FC SP Flats"/>
  </r>
  <r>
    <n v="1"/>
    <s v="73"/>
    <x v="23"/>
    <n v="0"/>
    <n v="160339"/>
    <n v="0"/>
    <n v="0"/>
    <m/>
    <s v="K"/>
    <n v="160339"/>
    <n v="2"/>
    <s v="016 FC SP Flats"/>
  </r>
  <r>
    <n v="1"/>
    <s v="77"/>
    <x v="23"/>
    <m/>
    <n v="22452.430758259088"/>
    <m/>
    <n v="0"/>
    <m/>
    <s v="L"/>
    <n v="22452.430758259088"/>
    <n v="2"/>
    <s v="016 FC SP Flats"/>
  </r>
  <r>
    <n v="1"/>
    <s v="75"/>
    <x v="23"/>
    <m/>
    <n v="32560.53529002599"/>
    <m/>
    <n v="0"/>
    <m/>
    <s v="L"/>
    <n v="32560.53529002599"/>
    <n v="2"/>
    <s v="016 FC SP Flats"/>
  </r>
  <r>
    <n v="1"/>
    <s v="78"/>
    <x v="23"/>
    <n v="0"/>
    <n v="1999426"/>
    <n v="0"/>
    <n v="0"/>
    <m/>
    <s v="K"/>
    <n v="1999426"/>
    <n v="2"/>
    <s v="016 FC SP Flats"/>
  </r>
  <r>
    <n v="1"/>
    <s v="73"/>
    <x v="23"/>
    <m/>
    <n v="9399.0006972656265"/>
    <m/>
    <n v="0"/>
    <m/>
    <s v="L"/>
    <n v="9399.0006972656265"/>
    <n v="2"/>
    <s v="016 FC SP Flats"/>
  </r>
  <r>
    <n v="1"/>
    <s v="83"/>
    <x v="24"/>
    <m/>
    <n v="13483.296582689643"/>
    <m/>
    <n v="0"/>
    <m/>
    <s v="L"/>
    <n v="13483.296582689643"/>
    <n v="2"/>
    <s v="016 FC SP Flats"/>
  </r>
  <r>
    <n v="1"/>
    <s v="75"/>
    <x v="24"/>
    <n v="0"/>
    <n v="239883"/>
    <n v="0"/>
    <n v="0"/>
    <m/>
    <s v="K"/>
    <n v="239883"/>
    <n v="2"/>
    <s v="016 FC SP Flats"/>
  </r>
  <r>
    <n v="1"/>
    <s v="78"/>
    <x v="24"/>
    <m/>
    <n v="83637.602146936319"/>
    <m/>
    <n v="0"/>
    <m/>
    <s v="L"/>
    <n v="83637.602146936319"/>
    <n v="2"/>
    <s v="016 FC SP Flats"/>
  </r>
  <r>
    <n v="1"/>
    <s v="77"/>
    <x v="24"/>
    <n v="0"/>
    <n v="475326"/>
    <n v="0"/>
    <n v="0"/>
    <m/>
    <s v="K"/>
    <n v="475326"/>
    <n v="2"/>
    <s v="016 FC SP Flats"/>
  </r>
  <r>
    <n v="1"/>
    <s v="80"/>
    <x v="24"/>
    <n v="0"/>
    <n v="90210"/>
    <n v="0"/>
    <n v="0"/>
    <m/>
    <s v="K"/>
    <n v="90210"/>
    <n v="2"/>
    <s v="016 FC SP Flats"/>
  </r>
  <r>
    <n v="1"/>
    <s v="77"/>
    <x v="24"/>
    <m/>
    <n v="37222.407477970555"/>
    <m/>
    <n v="0"/>
    <m/>
    <s v="L"/>
    <n v="37222.407477970555"/>
    <n v="2"/>
    <s v="016 FC SP Flats"/>
  </r>
  <r>
    <n v="1"/>
    <s v="83"/>
    <x v="24"/>
    <n v="0"/>
    <n v="143090"/>
    <n v="0"/>
    <n v="0"/>
    <m/>
    <s v="K"/>
    <n v="143090"/>
    <n v="2"/>
    <s v="016 FC SP Flats"/>
  </r>
  <r>
    <n v="1"/>
    <s v="75"/>
    <x v="24"/>
    <m/>
    <n v="53492.950317510622"/>
    <m/>
    <n v="0"/>
    <m/>
    <s v="L"/>
    <n v="53492.950317510622"/>
    <n v="2"/>
    <s v="016 FC SP Flats"/>
  </r>
  <r>
    <n v="1"/>
    <s v="78"/>
    <x v="24"/>
    <n v="0"/>
    <n v="1188991"/>
    <n v="0"/>
    <n v="0"/>
    <m/>
    <s v="K"/>
    <n v="1188991"/>
    <n v="2"/>
    <s v="016 FC SP Flats"/>
  </r>
  <r>
    <n v="1"/>
    <s v="80"/>
    <x v="24"/>
    <m/>
    <n v="9828.6277387109894"/>
    <m/>
    <n v="0"/>
    <m/>
    <s v="L"/>
    <n v="9828.6277387109894"/>
    <n v="2"/>
    <s v="016 FC SP Flats"/>
  </r>
  <r>
    <n v="1"/>
    <s v="82"/>
    <x v="25"/>
    <n v="0"/>
    <n v="121640"/>
    <n v="0"/>
    <n v="0"/>
    <m/>
    <s v="K"/>
    <n v="121640"/>
    <n v="2"/>
    <s v="016 FC SP Flats"/>
  </r>
  <r>
    <n v="1"/>
    <s v="83"/>
    <x v="25"/>
    <m/>
    <n v="13095.849814783123"/>
    <m/>
    <n v="0"/>
    <m/>
    <s v="L"/>
    <n v="13095.849814783123"/>
    <n v="2"/>
    <s v="016 FC SP Flats"/>
  </r>
  <r>
    <n v="1"/>
    <s v="75"/>
    <x v="25"/>
    <n v="0"/>
    <n v="584935"/>
    <n v="0"/>
    <n v="0"/>
    <m/>
    <s v="K"/>
    <n v="584935"/>
    <n v="2"/>
    <s v="016 FC SP Flats"/>
  </r>
  <r>
    <n v="1"/>
    <s v="77"/>
    <x v="25"/>
    <n v="0"/>
    <n v="771328"/>
    <n v="0"/>
    <n v="0"/>
    <m/>
    <s v="K"/>
    <n v="771328"/>
    <n v="2"/>
    <s v="016 FC SP Flats"/>
  </r>
  <r>
    <n v="1"/>
    <s v="78"/>
    <x v="25"/>
    <m/>
    <n v="121117.46820992371"/>
    <m/>
    <n v="0"/>
    <m/>
    <s v="L"/>
    <n v="121117.46820992371"/>
    <n v="2"/>
    <s v="016 FC SP Flats"/>
  </r>
  <r>
    <n v="1"/>
    <s v="73"/>
    <x v="25"/>
    <n v="0"/>
    <n v="77954"/>
    <n v="0"/>
    <n v="0"/>
    <m/>
    <s v="K"/>
    <n v="77954"/>
    <n v="2"/>
    <s v="016 FC SP Flats"/>
  </r>
  <r>
    <n v="1"/>
    <s v="77"/>
    <x v="25"/>
    <m/>
    <n v="36404.916198410894"/>
    <m/>
    <n v="0"/>
    <m/>
    <s v="L"/>
    <n v="36404.916198410894"/>
    <n v="2"/>
    <s v="016 FC SP Flats"/>
  </r>
  <r>
    <n v="1"/>
    <s v="83"/>
    <x v="25"/>
    <n v="0"/>
    <n v="117048"/>
    <n v="0"/>
    <n v="0"/>
    <m/>
    <s v="K"/>
    <n v="117048"/>
    <n v="2"/>
    <s v="016 FC SP Flats"/>
  </r>
  <r>
    <n v="1"/>
    <s v="75"/>
    <x v="25"/>
    <m/>
    <n v="83865.74864559772"/>
    <m/>
    <n v="0"/>
    <m/>
    <s v="L"/>
    <n v="83865.74864559772"/>
    <n v="2"/>
    <s v="016 FC SP Flats"/>
  </r>
  <r>
    <n v="1"/>
    <s v="78"/>
    <x v="25"/>
    <n v="0"/>
    <n v="1798190"/>
    <n v="0"/>
    <n v="0"/>
    <m/>
    <s v="K"/>
    <n v="1798190"/>
    <n v="2"/>
    <s v="016 FC SP Flats"/>
  </r>
  <r>
    <n v="1"/>
    <s v="73"/>
    <x v="25"/>
    <m/>
    <n v="6053.0065931519257"/>
    <m/>
    <n v="0"/>
    <m/>
    <s v="L"/>
    <n v="6053.0065931519257"/>
    <n v="2"/>
    <s v="016 FC SP Flats"/>
  </r>
  <r>
    <n v="1"/>
    <s v="82"/>
    <x v="25"/>
    <m/>
    <n v="38506.053113145528"/>
    <m/>
    <n v="0"/>
    <m/>
    <s v="L"/>
    <n v="38506.053113145528"/>
    <n v="2"/>
    <s v="016 FC SP Flats"/>
  </r>
  <r>
    <n v="1"/>
    <s v="82"/>
    <x v="26"/>
    <m/>
    <n v="79029.858762766948"/>
    <m/>
    <n v="0"/>
    <m/>
    <s v="L"/>
    <n v="79029.858762766948"/>
    <n v="2"/>
    <s v="016 FC SP Flats"/>
  </r>
  <r>
    <n v="1"/>
    <s v="83"/>
    <x v="26"/>
    <m/>
    <n v="166272.93241472263"/>
    <m/>
    <n v="0"/>
    <m/>
    <s v="L"/>
    <n v="166272.93241472263"/>
    <n v="2"/>
    <s v="016 FC SP Flats"/>
  </r>
  <r>
    <n v="1"/>
    <s v="77"/>
    <x v="26"/>
    <n v="0"/>
    <n v="6323236"/>
    <n v="0"/>
    <n v="0"/>
    <m/>
    <s v="K"/>
    <n v="6323236"/>
    <n v="2"/>
    <s v="016 FC SP Flats"/>
  </r>
  <r>
    <n v="1"/>
    <s v="82"/>
    <x v="26"/>
    <n v="0"/>
    <n v="806225"/>
    <n v="0"/>
    <n v="0"/>
    <m/>
    <s v="K"/>
    <n v="806225"/>
    <n v="2"/>
    <s v="016 FC SP Flats"/>
  </r>
  <r>
    <n v="1"/>
    <s v="73"/>
    <x v="26"/>
    <n v="0"/>
    <n v="319968"/>
    <n v="0"/>
    <n v="0"/>
    <m/>
    <s v="K"/>
    <n v="319968"/>
    <n v="2"/>
    <s v="016 FC SP Flats"/>
  </r>
  <r>
    <n v="1"/>
    <s v="78"/>
    <x v="26"/>
    <m/>
    <n v="1458176.0936420513"/>
    <m/>
    <n v="0"/>
    <m/>
    <s v="L"/>
    <n v="1458176.0936420513"/>
    <n v="2"/>
    <s v="016 FC SP Flats"/>
  </r>
  <r>
    <n v="1"/>
    <s v="80"/>
    <x v="26"/>
    <n v="0"/>
    <n v="103462"/>
    <n v="0"/>
    <n v="0"/>
    <m/>
    <s v="K"/>
    <n v="103462"/>
    <n v="2"/>
    <s v="016 FC SP Flats"/>
  </r>
  <r>
    <n v="1"/>
    <s v="77"/>
    <x v="26"/>
    <m/>
    <n v="380813.6356485947"/>
    <m/>
    <n v="0"/>
    <m/>
    <s v="L"/>
    <n v="380813.6356485947"/>
    <n v="2"/>
    <s v="016 FC SP Flats"/>
  </r>
  <r>
    <n v="1"/>
    <s v="71"/>
    <x v="26"/>
    <n v="0"/>
    <n v="127708"/>
    <n v="0"/>
    <n v="0"/>
    <m/>
    <s v="K"/>
    <n v="127708"/>
    <n v="2"/>
    <s v="016 FC SP Flats"/>
  </r>
  <r>
    <n v="1"/>
    <s v="75"/>
    <x v="26"/>
    <m/>
    <n v="582309.71060182585"/>
    <m/>
    <n v="0"/>
    <m/>
    <s v="L"/>
    <n v="582309.71060182585"/>
    <n v="2"/>
    <s v="016 FC SP Flats"/>
  </r>
  <r>
    <n v="1"/>
    <s v="83"/>
    <x v="26"/>
    <n v="0"/>
    <n v="1905743"/>
    <n v="0"/>
    <n v="0"/>
    <m/>
    <s v="K"/>
    <n v="1905743"/>
    <n v="2"/>
    <s v="016 FC SP Flats"/>
  </r>
  <r>
    <n v="1"/>
    <s v="78"/>
    <x v="26"/>
    <n v="0"/>
    <n v="20818637"/>
    <n v="0"/>
    <n v="0"/>
    <m/>
    <s v="K"/>
    <n v="20818637"/>
    <n v="2"/>
    <s v="016 FC SP Flats"/>
  </r>
  <r>
    <n v="1"/>
    <s v="73"/>
    <x v="26"/>
    <m/>
    <n v="19773.27682339419"/>
    <m/>
    <n v="0"/>
    <m/>
    <s v="L"/>
    <n v="19773.27682339419"/>
    <n v="2"/>
    <s v="016 FC SP Flats"/>
  </r>
  <r>
    <n v="1"/>
    <s v="75"/>
    <x v="26"/>
    <n v="0"/>
    <n v="2737169"/>
    <n v="0"/>
    <n v="0"/>
    <m/>
    <s v="K"/>
    <n v="2737169"/>
    <n v="2"/>
    <s v="016 FC SP Flats"/>
  </r>
  <r>
    <n v="1"/>
    <s v="80"/>
    <x v="26"/>
    <m/>
    <n v="9302.8142912944386"/>
    <m/>
    <n v="0"/>
    <m/>
    <s v="L"/>
    <n v="9302.8142912944386"/>
    <n v="2"/>
    <s v="016 FC SP Flats"/>
  </r>
  <r>
    <n v="1"/>
    <s v="71"/>
    <x v="26"/>
    <m/>
    <n v="6162.2403161420089"/>
    <m/>
    <n v="0"/>
    <m/>
    <s v="L"/>
    <n v="6162.2403161420089"/>
    <n v="2"/>
    <s v="016 FC SP Flats"/>
  </r>
  <r>
    <n v="1"/>
    <s v="83"/>
    <x v="27"/>
    <m/>
    <n v="32444.160648001427"/>
    <m/>
    <n v="0"/>
    <m/>
    <s v="L"/>
    <n v="32444.160648001427"/>
    <n v="2"/>
    <s v="016 FC SP Flats"/>
  </r>
  <r>
    <n v="1"/>
    <s v="75"/>
    <x v="27"/>
    <n v="0"/>
    <n v="623736"/>
    <n v="0"/>
    <n v="0"/>
    <m/>
    <s v="K"/>
    <n v="623736"/>
    <n v="2"/>
    <s v="016 FC SP Flats"/>
  </r>
  <r>
    <n v="1"/>
    <s v="82"/>
    <x v="27"/>
    <m/>
    <n v="9563.2221129225272"/>
    <m/>
    <n v="0"/>
    <m/>
    <s v="L"/>
    <n v="9563.2221129225272"/>
    <n v="2"/>
    <s v="016 FC SP Flats"/>
  </r>
  <r>
    <n v="1"/>
    <s v="80"/>
    <x v="27"/>
    <m/>
    <n v="12109.339802826918"/>
    <m/>
    <n v="0"/>
    <m/>
    <s v="L"/>
    <n v="12109.339802826918"/>
    <n v="2"/>
    <s v="016 FC SP Flats"/>
  </r>
  <r>
    <n v="1"/>
    <s v="82"/>
    <x v="27"/>
    <n v="0"/>
    <n v="173672"/>
    <n v="0"/>
    <n v="0"/>
    <m/>
    <s v="K"/>
    <n v="173672"/>
    <n v="2"/>
    <s v="016 FC SP Flats"/>
  </r>
  <r>
    <n v="1"/>
    <s v="83"/>
    <x v="27"/>
    <n v="0"/>
    <n v="396399"/>
    <n v="0"/>
    <n v="0"/>
    <m/>
    <s v="K"/>
    <n v="396399"/>
    <n v="2"/>
    <s v="016 FC SP Flats"/>
  </r>
  <r>
    <n v="1"/>
    <s v="77"/>
    <x v="27"/>
    <n v="0"/>
    <n v="947008"/>
    <n v="0"/>
    <n v="0"/>
    <m/>
    <s v="K"/>
    <n v="947008"/>
    <n v="2"/>
    <s v="016 FC SP Flats"/>
  </r>
  <r>
    <n v="1"/>
    <s v="78"/>
    <x v="27"/>
    <m/>
    <n v="167464.58234349947"/>
    <m/>
    <n v="0"/>
    <m/>
    <s v="L"/>
    <n v="167464.58234349947"/>
    <n v="2"/>
    <s v="016 FC SP Flats"/>
  </r>
  <r>
    <n v="1"/>
    <s v="80"/>
    <x v="27"/>
    <n v="0"/>
    <n v="134675"/>
    <n v="0"/>
    <n v="0"/>
    <m/>
    <s v="K"/>
    <n v="134675"/>
    <n v="2"/>
    <s v="016 FC SP Flats"/>
  </r>
  <r>
    <n v="1"/>
    <s v="77"/>
    <x v="27"/>
    <m/>
    <n v="54743.76348499969"/>
    <m/>
    <n v="0"/>
    <m/>
    <s v="L"/>
    <n v="54743.76348499969"/>
    <n v="2"/>
    <s v="016 FC SP Flats"/>
  </r>
  <r>
    <n v="1"/>
    <s v="75"/>
    <x v="27"/>
    <m/>
    <n v="117583.8797734227"/>
    <m/>
    <n v="0"/>
    <m/>
    <s v="L"/>
    <n v="117583.8797734227"/>
    <n v="2"/>
    <s v="016 FC SP Flats"/>
  </r>
  <r>
    <n v="1"/>
    <s v="78"/>
    <x v="27"/>
    <n v="0"/>
    <n v="2273150"/>
    <n v="0"/>
    <n v="0"/>
    <m/>
    <s v="K"/>
    <n v="2273150"/>
    <n v="2"/>
    <s v="016 FC SP Flats"/>
  </r>
  <r>
    <n v="1"/>
    <s v="83"/>
    <x v="28"/>
    <n v="0"/>
    <n v="2660890"/>
    <n v="0"/>
    <n v="0"/>
    <m/>
    <s v="K"/>
    <n v="2660890"/>
    <n v="2"/>
    <s v="017 FC Prst Flats"/>
  </r>
  <r>
    <n v="1"/>
    <s v="75"/>
    <x v="28"/>
    <n v="0"/>
    <n v="4021326"/>
    <n v="0"/>
    <n v="0"/>
    <m/>
    <s v="K"/>
    <n v="4021326"/>
    <n v="2"/>
    <s v="017 FC Prst Flats"/>
  </r>
  <r>
    <n v="1"/>
    <s v="73"/>
    <x v="28"/>
    <n v="0"/>
    <n v="727102"/>
    <n v="0"/>
    <n v="0"/>
    <m/>
    <s v="K"/>
    <n v="727102"/>
    <n v="2"/>
    <s v="017 FC Prst Flats"/>
  </r>
  <r>
    <n v="1"/>
    <s v="82"/>
    <x v="28"/>
    <m/>
    <n v="110710.92627186261"/>
    <m/>
    <n v="0"/>
    <m/>
    <s v="L"/>
    <n v="110710.92627186261"/>
    <n v="2"/>
    <s v="017 FC Prst Flats"/>
  </r>
  <r>
    <n v="1"/>
    <s v="80"/>
    <x v="28"/>
    <m/>
    <n v="30633.282776488239"/>
    <m/>
    <n v="0"/>
    <m/>
    <s v="L"/>
    <n v="30633.282776488239"/>
    <n v="2"/>
    <s v="017 FC Prst Flats"/>
  </r>
  <r>
    <n v="1"/>
    <s v="82"/>
    <x v="28"/>
    <n v="0"/>
    <n v="1535873"/>
    <n v="0"/>
    <n v="0"/>
    <m/>
    <s v="K"/>
    <n v="1535873"/>
    <n v="2"/>
    <s v="017 FC Prst Flats"/>
  </r>
  <r>
    <n v="1"/>
    <s v="77"/>
    <x v="28"/>
    <n v="0"/>
    <n v="10773251"/>
    <n v="0"/>
    <n v="0"/>
    <m/>
    <s v="K"/>
    <n v="10773251"/>
    <n v="2"/>
    <s v="017 FC Prst Flats"/>
  </r>
  <r>
    <n v="1"/>
    <s v="77"/>
    <x v="28"/>
    <m/>
    <n v="647454.4336224905"/>
    <m/>
    <n v="0"/>
    <m/>
    <s v="L"/>
    <n v="647454.4336224905"/>
    <n v="2"/>
    <s v="017 FC Prst Flats"/>
  </r>
  <r>
    <n v="1"/>
    <s v="78"/>
    <x v="28"/>
    <m/>
    <n v="2324231.2507766667"/>
    <m/>
    <n v="0"/>
    <m/>
    <s v="L"/>
    <n v="2324231.2507766667"/>
    <n v="2"/>
    <s v="017 FC Prst Flats"/>
  </r>
  <r>
    <n v="1"/>
    <s v="80"/>
    <x v="28"/>
    <n v="0"/>
    <n v="364053"/>
    <n v="0"/>
    <n v="0"/>
    <m/>
    <s v="K"/>
    <n v="364053"/>
    <n v="2"/>
    <s v="017 FC Prst Flats"/>
  </r>
  <r>
    <n v="1"/>
    <s v="75"/>
    <x v="28"/>
    <m/>
    <n v="615698.99475854961"/>
    <m/>
    <n v="0"/>
    <m/>
    <s v="L"/>
    <n v="615698.99475854961"/>
    <n v="2"/>
    <s v="017 FC Prst Flats"/>
  </r>
  <r>
    <n v="1"/>
    <s v="83"/>
    <x v="28"/>
    <m/>
    <n v="236110.59151991957"/>
    <m/>
    <n v="0"/>
    <m/>
    <s v="L"/>
    <n v="236110.59151991957"/>
    <n v="2"/>
    <s v="017 FC Prst Flats"/>
  </r>
  <r>
    <n v="1"/>
    <s v="78"/>
    <x v="28"/>
    <n v="0"/>
    <n v="33093224"/>
    <n v="0"/>
    <n v="0"/>
    <m/>
    <s v="K"/>
    <n v="33093224"/>
    <n v="2"/>
    <s v="017 FC Prst Flats"/>
  </r>
  <r>
    <n v="1"/>
    <s v="73"/>
    <x v="28"/>
    <m/>
    <n v="46098.106500792841"/>
    <m/>
    <n v="0"/>
    <m/>
    <s v="L"/>
    <n v="46098.106500792841"/>
    <n v="2"/>
    <s v="017 FC Prst Flats"/>
  </r>
  <r>
    <n v="1"/>
    <s v="83"/>
    <x v="29"/>
    <m/>
    <n v="55679.501477161029"/>
    <m/>
    <n v="0"/>
    <m/>
    <s v="L"/>
    <n v="55679.501477161029"/>
    <n v="2"/>
    <s v="031 PER In County"/>
  </r>
  <r>
    <n v="1"/>
    <s v="75"/>
    <x v="29"/>
    <n v="0"/>
    <n v="179109"/>
    <n v="0"/>
    <n v="0"/>
    <m/>
    <s v="K"/>
    <n v="179109"/>
    <n v="2"/>
    <s v="031 PER In County"/>
  </r>
  <r>
    <n v="1"/>
    <s v="73"/>
    <x v="29"/>
    <n v="0"/>
    <n v="156954"/>
    <n v="0"/>
    <n v="0"/>
    <m/>
    <s v="K"/>
    <n v="156954"/>
    <n v="2"/>
    <s v="031 PER In County"/>
  </r>
  <r>
    <n v="1"/>
    <s v="83"/>
    <x v="29"/>
    <n v="0"/>
    <n v="621093"/>
    <n v="0"/>
    <n v="0"/>
    <m/>
    <s v="K"/>
    <n v="621093"/>
    <n v="2"/>
    <s v="031 PER In County"/>
  </r>
  <r>
    <n v="1"/>
    <s v="77"/>
    <x v="29"/>
    <n v="0"/>
    <n v="3755570"/>
    <n v="0"/>
    <n v="0"/>
    <m/>
    <s v="K"/>
    <n v="3755570"/>
    <n v="2"/>
    <s v="031 PER In County"/>
  </r>
  <r>
    <n v="1"/>
    <s v="78"/>
    <x v="29"/>
    <m/>
    <n v="787369.6389667918"/>
    <m/>
    <n v="0"/>
    <m/>
    <s v="L"/>
    <n v="787369.6389667918"/>
    <n v="2"/>
    <s v="031 PER In County"/>
  </r>
  <r>
    <n v="1"/>
    <s v="77"/>
    <x v="29"/>
    <m/>
    <n v="228224.22543746888"/>
    <m/>
    <n v="0"/>
    <m/>
    <s v="L"/>
    <n v="228224.22543746888"/>
    <n v="2"/>
    <s v="031 PER In County"/>
  </r>
  <r>
    <n v="1"/>
    <s v="75"/>
    <x v="29"/>
    <m/>
    <n v="41636.195913204239"/>
    <m/>
    <n v="0"/>
    <m/>
    <s v="L"/>
    <n v="41636.195913204239"/>
    <n v="2"/>
    <s v="031 PER In County"/>
  </r>
  <r>
    <n v="1"/>
    <s v="78"/>
    <x v="29"/>
    <n v="0"/>
    <n v="10881968"/>
    <n v="0"/>
    <n v="0"/>
    <m/>
    <s v="K"/>
    <n v="10881968"/>
    <n v="2"/>
    <s v="031 PER In County"/>
  </r>
  <r>
    <n v="1"/>
    <s v="73"/>
    <x v="29"/>
    <m/>
    <n v="12187.233455904343"/>
    <m/>
    <n v="0"/>
    <m/>
    <s v="L"/>
    <n v="12187.233455904343"/>
    <n v="2"/>
    <s v="031 PER In County"/>
  </r>
  <r>
    <n v="1"/>
    <s v="75"/>
    <x v="30"/>
    <n v="0"/>
    <n v="5632480"/>
    <n v="0"/>
    <n v="0"/>
    <m/>
    <s v="K"/>
    <n v="5632480"/>
    <n v="2"/>
    <s v="032 PER Outside County"/>
  </r>
  <r>
    <n v="1"/>
    <s v="83"/>
    <x v="30"/>
    <m/>
    <n v="692729.80533793848"/>
    <m/>
    <n v="0"/>
    <m/>
    <s v="L"/>
    <n v="692729.80533793848"/>
    <n v="2"/>
    <s v="032 PER Outside County"/>
  </r>
  <r>
    <n v="1"/>
    <s v="73"/>
    <x v="30"/>
    <n v="0"/>
    <n v="1231568"/>
    <n v="0"/>
    <n v="0"/>
    <m/>
    <s v="K"/>
    <n v="1231568"/>
    <n v="2"/>
    <s v="032 PER Outside County"/>
  </r>
  <r>
    <n v="1"/>
    <s v="80"/>
    <x v="30"/>
    <m/>
    <n v="81963.142440390598"/>
    <m/>
    <n v="0"/>
    <m/>
    <s v="L"/>
    <n v="81963.142440390598"/>
    <n v="2"/>
    <s v="032 PER Outside County"/>
  </r>
  <r>
    <n v="1"/>
    <s v="82"/>
    <x v="30"/>
    <n v="0"/>
    <n v="1947685"/>
    <n v="0"/>
    <n v="0"/>
    <m/>
    <s v="K"/>
    <n v="1947685"/>
    <n v="2"/>
    <s v="032 PER Outside County"/>
  </r>
  <r>
    <n v="1"/>
    <s v="77"/>
    <x v="30"/>
    <n v="0"/>
    <n v="39119744"/>
    <n v="0"/>
    <n v="0"/>
    <m/>
    <s v="K"/>
    <n v="39119744"/>
    <n v="2"/>
    <s v="032 PER Outside County"/>
  </r>
  <r>
    <n v="1"/>
    <s v="78"/>
    <x v="30"/>
    <m/>
    <n v="6140985.0004205639"/>
    <m/>
    <n v="0"/>
    <m/>
    <s v="L"/>
    <n v="6140985.0004205639"/>
    <n v="2"/>
    <s v="032 PER Outside County"/>
  </r>
  <r>
    <n v="1"/>
    <s v="80"/>
    <x v="30"/>
    <n v="0"/>
    <n v="878525"/>
    <n v="0"/>
    <n v="0"/>
    <m/>
    <s v="K"/>
    <n v="878525"/>
    <n v="2"/>
    <s v="032 PER Outside County"/>
  </r>
  <r>
    <n v="1"/>
    <s v="77"/>
    <x v="30"/>
    <m/>
    <n v="2328870.1659125052"/>
    <m/>
    <n v="0"/>
    <m/>
    <s v="L"/>
    <n v="2328870.1659125052"/>
    <n v="2"/>
    <s v="032 PER Outside County"/>
  </r>
  <r>
    <n v="1"/>
    <s v="83"/>
    <x v="30"/>
    <n v="0"/>
    <n v="7451264"/>
    <n v="0"/>
    <n v="0"/>
    <m/>
    <s v="K"/>
    <n v="7451264"/>
    <n v="2"/>
    <s v="032 PER Outside County"/>
  </r>
  <r>
    <n v="1"/>
    <s v="75"/>
    <x v="30"/>
    <m/>
    <n v="1031513.0723537607"/>
    <m/>
    <n v="0"/>
    <m/>
    <s v="L"/>
    <n v="1031513.0723537607"/>
    <n v="2"/>
    <s v="032 PER Outside County"/>
  </r>
  <r>
    <n v="1"/>
    <s v="78"/>
    <x v="30"/>
    <n v="0"/>
    <n v="84685711"/>
    <n v="0"/>
    <n v="0"/>
    <m/>
    <s v="K"/>
    <n v="84685711"/>
    <n v="2"/>
    <s v="032 PER Outside County"/>
  </r>
  <r>
    <n v="1"/>
    <s v="82"/>
    <x v="30"/>
    <m/>
    <n v="203357.02080967801"/>
    <m/>
    <n v="0"/>
    <m/>
    <s v="L"/>
    <n v="203357.02080967801"/>
    <n v="2"/>
    <s v="032 PER Outside County"/>
  </r>
  <r>
    <n v="1"/>
    <s v="73"/>
    <x v="30"/>
    <m/>
    <n v="70844.739245870223"/>
    <m/>
    <n v="0"/>
    <m/>
    <s v="L"/>
    <n v="70844.739245870223"/>
    <n v="2"/>
    <s v="032 PER Outside County"/>
  </r>
  <r>
    <n v="1"/>
    <s v="83"/>
    <x v="31"/>
    <n v="0"/>
    <n v="5386399"/>
    <n v="0"/>
    <n v="0"/>
    <m/>
    <s v="K"/>
    <n v="5386399"/>
    <n v="2"/>
    <s v="023 MM ECR Carrier Route"/>
  </r>
  <r>
    <n v="1"/>
    <s v="83"/>
    <x v="31"/>
    <m/>
    <n v="500825.41747608793"/>
    <m/>
    <n v="0"/>
    <m/>
    <s v="L"/>
    <n v="500825.41747608793"/>
    <n v="2"/>
    <s v="023 MM ECR Carrier Route"/>
  </r>
  <r>
    <n v="1"/>
    <s v="73"/>
    <x v="31"/>
    <n v="0"/>
    <n v="1329445"/>
    <n v="0"/>
    <n v="0"/>
    <m/>
    <s v="K"/>
    <n v="1329445"/>
    <n v="2"/>
    <s v="023 MM ECR Carrier Route"/>
  </r>
  <r>
    <n v="1"/>
    <s v="82"/>
    <x v="31"/>
    <m/>
    <n v="176356.98304409493"/>
    <m/>
    <n v="0"/>
    <m/>
    <s v="L"/>
    <n v="176356.98304409493"/>
    <n v="2"/>
    <s v="023 MM ECR Carrier Route"/>
  </r>
  <r>
    <n v="1"/>
    <s v="75"/>
    <x v="31"/>
    <n v="0"/>
    <n v="7235103"/>
    <n v="0"/>
    <n v="0"/>
    <m/>
    <s v="K"/>
    <n v="7235103"/>
    <n v="2"/>
    <s v="023 MM ECR Carrier Route"/>
  </r>
  <r>
    <n v="1"/>
    <s v="80"/>
    <x v="31"/>
    <m/>
    <n v="15494.246058503148"/>
    <m/>
    <n v="0"/>
    <m/>
    <s v="L"/>
    <n v="15494.246058503148"/>
    <n v="2"/>
    <s v="023 MM ECR Carrier Route"/>
  </r>
  <r>
    <n v="1"/>
    <s v="82"/>
    <x v="31"/>
    <n v="0"/>
    <n v="2462970"/>
    <n v="0"/>
    <n v="0"/>
    <m/>
    <s v="K"/>
    <n v="2462970"/>
    <n v="2"/>
    <s v="023 MM ECR Carrier Route"/>
  </r>
  <r>
    <n v="1"/>
    <s v="77"/>
    <x v="31"/>
    <n v="0"/>
    <n v="43384387"/>
    <n v="0"/>
    <n v="0"/>
    <m/>
    <s v="K"/>
    <n v="43384387"/>
    <n v="2"/>
    <s v="023 MM ECR Carrier Route"/>
  </r>
  <r>
    <n v="1"/>
    <s v="78"/>
    <x v="31"/>
    <m/>
    <n v="7058552.3100385824"/>
    <m/>
    <n v="0"/>
    <m/>
    <s v="L"/>
    <n v="7058552.3100385824"/>
    <n v="2"/>
    <s v="023 MM ECR Carrier Route"/>
  </r>
  <r>
    <n v="1"/>
    <s v="80"/>
    <x v="31"/>
    <n v="0"/>
    <n v="269903"/>
    <n v="0"/>
    <n v="0"/>
    <m/>
    <s v="K"/>
    <n v="269903"/>
    <n v="2"/>
    <s v="023 MM ECR Carrier Route"/>
  </r>
  <r>
    <n v="1"/>
    <s v="77"/>
    <x v="31"/>
    <m/>
    <n v="2702252.9797895984"/>
    <m/>
    <n v="0"/>
    <m/>
    <s v="L"/>
    <n v="2702252.9797895984"/>
    <n v="2"/>
    <s v="023 MM ECR Carrier Route"/>
  </r>
  <r>
    <n v="1"/>
    <s v="75"/>
    <x v="31"/>
    <m/>
    <n v="1509710.8292754758"/>
    <m/>
    <n v="0"/>
    <m/>
    <s v="L"/>
    <n v="1509710.8292754758"/>
    <n v="2"/>
    <s v="023 MM ECR Carrier Route"/>
  </r>
  <r>
    <n v="1"/>
    <s v="78"/>
    <x v="31"/>
    <n v="0"/>
    <n v="95607098"/>
    <n v="0"/>
    <n v="0"/>
    <m/>
    <s v="K"/>
    <n v="95607098"/>
    <n v="2"/>
    <s v="023 MM ECR Carrier Route"/>
  </r>
  <r>
    <n v="1"/>
    <s v="73"/>
    <x v="31"/>
    <m/>
    <n v="58025.001893220804"/>
    <m/>
    <n v="0"/>
    <m/>
    <s v="L"/>
    <n v="58025.001893220804"/>
    <n v="2"/>
    <s v="023 MM ECR Carrier Route"/>
  </r>
  <r>
    <n v="1"/>
    <s v="71"/>
    <x v="31"/>
    <m/>
    <n v="19208.724282989508"/>
    <m/>
    <n v="0"/>
    <m/>
    <s v="L"/>
    <n v="19208.724282989508"/>
    <n v="2"/>
    <s v="023 MM ECR Carrier Route"/>
  </r>
  <r>
    <n v="1"/>
    <s v="71"/>
    <x v="31"/>
    <n v="0"/>
    <n v="532530"/>
    <n v="0"/>
    <n v="0"/>
    <m/>
    <s v="K"/>
    <n v="532530"/>
    <n v="2"/>
    <s v="023 MM ECR Carrier Route"/>
  </r>
  <r>
    <n v="1"/>
    <s v="75"/>
    <x v="32"/>
    <n v="0"/>
    <n v="3194753"/>
    <n v="0"/>
    <n v="0"/>
    <m/>
    <s v="K"/>
    <n v="3194753"/>
    <n v="2"/>
    <s v="021 MM ECR HD Letters"/>
  </r>
  <r>
    <n v="1"/>
    <s v="83"/>
    <x v="32"/>
    <n v="0"/>
    <n v="2456214"/>
    <n v="0"/>
    <n v="0"/>
    <m/>
    <s v="K"/>
    <n v="2456214"/>
    <n v="2"/>
    <s v="021 MM ECR HD Letters"/>
  </r>
  <r>
    <n v="1"/>
    <s v="73"/>
    <x v="32"/>
    <n v="0"/>
    <n v="310641"/>
    <n v="0"/>
    <n v="0"/>
    <m/>
    <s v="K"/>
    <n v="310641"/>
    <n v="2"/>
    <s v="021 MM ECR HD Letters"/>
  </r>
  <r>
    <n v="1"/>
    <s v="82"/>
    <x v="32"/>
    <m/>
    <n v="33248.17014012688"/>
    <m/>
    <n v="0"/>
    <m/>
    <s v="L"/>
    <n v="33248.17014012688"/>
    <n v="2"/>
    <s v="021 MM ECR HD Letters"/>
  </r>
  <r>
    <n v="1"/>
    <s v="80"/>
    <x v="32"/>
    <m/>
    <n v="20852.79116177767"/>
    <m/>
    <n v="0"/>
    <m/>
    <s v="L"/>
    <n v="20852.79116177767"/>
    <n v="2"/>
    <s v="021 MM ECR HD Letters"/>
  </r>
  <r>
    <n v="1"/>
    <s v="82"/>
    <x v="32"/>
    <n v="0"/>
    <n v="1135282"/>
    <n v="0"/>
    <n v="0"/>
    <m/>
    <s v="K"/>
    <n v="1135282"/>
    <n v="2"/>
    <s v="021 MM ECR HD Letters"/>
  </r>
  <r>
    <n v="1"/>
    <s v="77"/>
    <x v="32"/>
    <n v="0"/>
    <n v="15160127"/>
    <n v="0"/>
    <n v="0"/>
    <m/>
    <s v="K"/>
    <n v="15160127"/>
    <n v="2"/>
    <s v="021 MM ECR HD Letters"/>
  </r>
  <r>
    <n v="1"/>
    <s v="78"/>
    <x v="32"/>
    <m/>
    <n v="2701073.5574510451"/>
    <m/>
    <n v="0"/>
    <m/>
    <s v="L"/>
    <n v="2701073.5574510451"/>
    <n v="2"/>
    <s v="021 MM ECR HD Letters"/>
  </r>
  <r>
    <n v="1"/>
    <s v="80"/>
    <x v="32"/>
    <n v="0"/>
    <n v="231916"/>
    <n v="0"/>
    <n v="0"/>
    <m/>
    <s v="K"/>
    <n v="231916"/>
    <n v="2"/>
    <s v="021 MM ECR HD Letters"/>
  </r>
  <r>
    <n v="1"/>
    <s v="77"/>
    <x v="32"/>
    <m/>
    <n v="918355.17884492979"/>
    <m/>
    <n v="0"/>
    <m/>
    <s v="L"/>
    <n v="918355.17884492979"/>
    <n v="2"/>
    <s v="021 MM ECR HD Letters"/>
  </r>
  <r>
    <n v="1"/>
    <s v="75"/>
    <x v="32"/>
    <m/>
    <n v="566595.21948723157"/>
    <m/>
    <n v="0"/>
    <m/>
    <s v="L"/>
    <n v="566595.21948723157"/>
    <n v="2"/>
    <s v="021 MM ECR HD Letters"/>
  </r>
  <r>
    <n v="1"/>
    <s v="78"/>
    <x v="32"/>
    <n v="0"/>
    <n v="36900269"/>
    <n v="0"/>
    <n v="0"/>
    <m/>
    <s v="K"/>
    <n v="36900269"/>
    <n v="2"/>
    <s v="021 MM ECR HD Letters"/>
  </r>
  <r>
    <n v="1"/>
    <s v="73"/>
    <x v="32"/>
    <m/>
    <n v="14080.671693738224"/>
    <m/>
    <n v="0"/>
    <m/>
    <s v="L"/>
    <n v="14080.671693738224"/>
    <n v="2"/>
    <s v="021 MM ECR HD Letters"/>
  </r>
  <r>
    <n v="1"/>
    <s v="83"/>
    <x v="32"/>
    <m/>
    <n v="224316.59176140817"/>
    <m/>
    <n v="0"/>
    <m/>
    <s v="L"/>
    <n v="224316.59176140817"/>
    <n v="2"/>
    <s v="021 MM ECR HD Letters"/>
  </r>
  <r>
    <n v="1"/>
    <s v="78"/>
    <x v="33"/>
    <m/>
    <n v="10100.497899655378"/>
    <m/>
    <n v="0"/>
    <m/>
    <s v="L"/>
    <n v="10100.497899655378"/>
    <n v="2"/>
    <s v="024 EDDM-R"/>
  </r>
  <r>
    <n v="1"/>
    <s v="78"/>
    <x v="33"/>
    <n v="0"/>
    <n v="152181"/>
    <n v="0"/>
    <n v="0"/>
    <m/>
    <s v="K"/>
    <n v="152181"/>
    <n v="2"/>
    <s v="024 EDDM-R"/>
  </r>
  <r>
    <n v="1"/>
    <s v="73"/>
    <x v="34"/>
    <n v="0"/>
    <n v="1590175"/>
    <n v="0"/>
    <n v="0"/>
    <m/>
    <s v="K"/>
    <n v="1590175"/>
    <n v="2"/>
    <s v="026 MM REG Flats"/>
  </r>
  <r>
    <n v="1"/>
    <s v="83"/>
    <x v="34"/>
    <n v="0"/>
    <n v="8132441"/>
    <n v="0"/>
    <n v="0"/>
    <m/>
    <s v="K"/>
    <n v="8132441"/>
    <n v="2"/>
    <s v="026 MM REG Flats"/>
  </r>
  <r>
    <n v="1"/>
    <s v="83"/>
    <x v="34"/>
    <m/>
    <n v="743403.96901799936"/>
    <m/>
    <n v="0"/>
    <m/>
    <s v="L"/>
    <n v="743403.96901799936"/>
    <n v="2"/>
    <s v="026 MM REG Flats"/>
  </r>
  <r>
    <n v="1"/>
    <s v="82"/>
    <x v="34"/>
    <m/>
    <n v="135779.67970042455"/>
    <m/>
    <n v="0"/>
    <m/>
    <s v="L"/>
    <n v="135779.67970042455"/>
    <n v="2"/>
    <s v="026 MM REG Flats"/>
  </r>
  <r>
    <n v="1"/>
    <s v="78"/>
    <x v="34"/>
    <m/>
    <n v="8052709.0789495371"/>
    <m/>
    <n v="0"/>
    <m/>
    <s v="L"/>
    <n v="8052709.0789495371"/>
    <n v="2"/>
    <s v="026 MM REG Flats"/>
  </r>
  <r>
    <n v="1"/>
    <s v="80"/>
    <x v="34"/>
    <m/>
    <n v="54014.640044073109"/>
    <m/>
    <n v="0"/>
    <m/>
    <s v="L"/>
    <n v="54014.640044073109"/>
    <n v="2"/>
    <s v="026 MM REG Flats"/>
  </r>
  <r>
    <n v="1"/>
    <s v="82"/>
    <x v="34"/>
    <n v="0"/>
    <n v="1918860"/>
    <n v="0"/>
    <n v="0"/>
    <m/>
    <s v="K"/>
    <n v="1918860"/>
    <n v="2"/>
    <s v="026 MM REG Flats"/>
  </r>
  <r>
    <n v="1"/>
    <s v="77"/>
    <x v="34"/>
    <n v="0"/>
    <n v="43259994"/>
    <n v="0"/>
    <n v="0"/>
    <m/>
    <s v="K"/>
    <n v="43259994"/>
    <n v="2"/>
    <s v="026 MM REG Flats"/>
  </r>
  <r>
    <n v="1"/>
    <s v="80"/>
    <x v="34"/>
    <n v="0"/>
    <n v="760722"/>
    <n v="0"/>
    <n v="0"/>
    <m/>
    <s v="K"/>
    <n v="760722"/>
    <n v="2"/>
    <s v="026 MM REG Flats"/>
  </r>
  <r>
    <n v="1"/>
    <s v="77"/>
    <x v="34"/>
    <m/>
    <n v="2842854.6984946374"/>
    <m/>
    <n v="0"/>
    <m/>
    <s v="L"/>
    <n v="2842854.6984946374"/>
    <n v="2"/>
    <s v="026 MM REG Flats"/>
  </r>
  <r>
    <n v="1"/>
    <s v="75"/>
    <x v="34"/>
    <m/>
    <n v="1934035.4987696456"/>
    <m/>
    <n v="0"/>
    <m/>
    <s v="L"/>
    <n v="1934035.4987696456"/>
    <n v="2"/>
    <s v="026 MM REG Flats"/>
  </r>
  <r>
    <n v="1"/>
    <s v="78"/>
    <x v="34"/>
    <n v="0"/>
    <n v="108625470"/>
    <n v="0"/>
    <n v="0"/>
    <m/>
    <s v="K"/>
    <n v="108625470"/>
    <n v="2"/>
    <s v="026 MM REG Flats"/>
  </r>
  <r>
    <n v="1"/>
    <s v="73"/>
    <x v="34"/>
    <m/>
    <n v="64364.029680038271"/>
    <m/>
    <n v="0"/>
    <m/>
    <s v="L"/>
    <n v="64364.029680038271"/>
    <n v="2"/>
    <s v="026 MM REG Flats"/>
  </r>
  <r>
    <n v="1"/>
    <s v="75"/>
    <x v="34"/>
    <n v="0"/>
    <n v="11159843"/>
    <n v="0"/>
    <n v="0"/>
    <m/>
    <s v="K"/>
    <n v="11159843"/>
    <n v="2"/>
    <s v="026 MM REG Flats"/>
  </r>
  <r>
    <n v="1"/>
    <s v="83"/>
    <x v="35"/>
    <n v="0"/>
    <n v="161093"/>
    <n v="0"/>
    <n v="0"/>
    <m/>
    <s v="K"/>
    <n v="161093"/>
    <n v="2"/>
    <s v="044 PKG Media"/>
  </r>
  <r>
    <n v="1"/>
    <s v="83"/>
    <x v="35"/>
    <m/>
    <n v="13461.955862045812"/>
    <m/>
    <n v="0"/>
    <m/>
    <s v="L"/>
    <n v="13461.955862045812"/>
    <n v="2"/>
    <s v="044 PKG Media"/>
  </r>
  <r>
    <n v="1"/>
    <s v="78"/>
    <x v="35"/>
    <m/>
    <n v="19588.684130610927"/>
    <m/>
    <n v="0"/>
    <m/>
    <s v="L"/>
    <n v="19588.684130610927"/>
    <n v="2"/>
    <s v="044 PKG Media"/>
  </r>
  <r>
    <n v="1"/>
    <s v="78"/>
    <x v="35"/>
    <n v="0"/>
    <n v="292874"/>
    <n v="0"/>
    <n v="0"/>
    <m/>
    <s v="K"/>
    <n v="292874"/>
    <n v="2"/>
    <s v="044 PKG Media"/>
  </r>
  <r>
    <n v="1"/>
    <s v="83"/>
    <x v="36"/>
    <n v="0"/>
    <n v="967362"/>
    <n v="0"/>
    <n v="0"/>
    <m/>
    <s v="K"/>
    <n v="967362"/>
    <n v="2"/>
    <s v="042 PKG BPM Flats"/>
  </r>
  <r>
    <n v="1"/>
    <s v="83"/>
    <x v="36"/>
    <m/>
    <n v="90603.620100571206"/>
    <m/>
    <n v="0"/>
    <m/>
    <s v="L"/>
    <n v="90603.620100571206"/>
    <n v="2"/>
    <s v="042 PKG BPM Flats"/>
  </r>
  <r>
    <n v="1"/>
    <s v="82"/>
    <x v="36"/>
    <n v="0"/>
    <n v="305110"/>
    <n v="0"/>
    <n v="0"/>
    <m/>
    <s v="K"/>
    <n v="305110"/>
    <n v="2"/>
    <s v="042 PKG BPM Flats"/>
  </r>
  <r>
    <n v="1"/>
    <s v="77"/>
    <x v="36"/>
    <n v="0"/>
    <n v="1428584"/>
    <n v="0"/>
    <n v="0"/>
    <m/>
    <s v="K"/>
    <n v="1428584"/>
    <n v="2"/>
    <s v="042 PKG BPM Flats"/>
  </r>
  <r>
    <n v="1"/>
    <s v="78"/>
    <x v="36"/>
    <m/>
    <n v="227581.37268986276"/>
    <m/>
    <n v="0"/>
    <m/>
    <s v="L"/>
    <n v="227581.37268986276"/>
    <n v="2"/>
    <s v="042 PKG BPM Flats"/>
  </r>
  <r>
    <n v="1"/>
    <s v="77"/>
    <x v="36"/>
    <m/>
    <n v="70440.937420146816"/>
    <m/>
    <n v="0"/>
    <m/>
    <s v="L"/>
    <n v="70440.937420146816"/>
    <n v="2"/>
    <s v="042 PKG BPM Flats"/>
  </r>
  <r>
    <n v="1"/>
    <s v="82"/>
    <x v="36"/>
    <m/>
    <n v="9464.3111427913173"/>
    <m/>
    <n v="0"/>
    <m/>
    <s v="L"/>
    <n v="9464.3111427913173"/>
    <n v="2"/>
    <s v="042 PKG BPM Flats"/>
  </r>
  <r>
    <n v="1"/>
    <s v="75"/>
    <x v="36"/>
    <m/>
    <n v="90087.792565542622"/>
    <m/>
    <n v="0"/>
    <m/>
    <s v="L"/>
    <n v="90087.792565542622"/>
    <n v="2"/>
    <s v="042 PKG BPM Flats"/>
  </r>
  <r>
    <n v="1"/>
    <s v="78"/>
    <x v="36"/>
    <n v="0"/>
    <n v="3311567"/>
    <n v="0"/>
    <n v="0"/>
    <m/>
    <s v="K"/>
    <n v="3311567"/>
    <n v="2"/>
    <s v="042 PKG BPM Flats"/>
  </r>
  <r>
    <n v="1"/>
    <s v="73"/>
    <x v="36"/>
    <m/>
    <n v="5434.0614822506059"/>
    <m/>
    <n v="0"/>
    <m/>
    <s v="L"/>
    <n v="5434.0614822506059"/>
    <n v="2"/>
    <s v="042 PKG BPM Flats"/>
  </r>
  <r>
    <n v="1"/>
    <s v="73"/>
    <x v="36"/>
    <n v="0"/>
    <n v="232903"/>
    <n v="0"/>
    <n v="0"/>
    <m/>
    <s v="K"/>
    <n v="232903"/>
    <n v="2"/>
    <s v="042 PKG BPM Flats"/>
  </r>
  <r>
    <n v="1"/>
    <s v="75"/>
    <x v="36"/>
    <n v="0"/>
    <n v="395923"/>
    <n v="0"/>
    <n v="0"/>
    <m/>
    <s v="K"/>
    <n v="395923"/>
    <n v="2"/>
    <s v="042 PKG BPM Flats"/>
  </r>
  <r>
    <n v="1"/>
    <s v="83"/>
    <x v="37"/>
    <n v="0"/>
    <n v="1223086"/>
    <n v="0"/>
    <n v="0"/>
    <m/>
    <s v="K"/>
    <n v="1223086"/>
    <n v="2"/>
    <s v="154 PKG Parcel Return Service (P"/>
  </r>
  <r>
    <n v="1"/>
    <s v="83"/>
    <x v="37"/>
    <m/>
    <n v="86843.53288464839"/>
    <m/>
    <n v="0"/>
    <m/>
    <s v="L"/>
    <n v="86843.53288464839"/>
    <n v="2"/>
    <s v="154 PKG Parcel Return Service (P"/>
  </r>
  <r>
    <n v="1"/>
    <s v="82"/>
    <x v="37"/>
    <m/>
    <n v="1893.2494046122342"/>
    <m/>
    <n v="0"/>
    <m/>
    <s v="L"/>
    <n v="1893.2494046122342"/>
    <n v="2"/>
    <s v="154 PKG Parcel Return Service (P"/>
  </r>
  <r>
    <n v="1"/>
    <s v="77"/>
    <x v="37"/>
    <n v="0"/>
    <n v="7154535"/>
    <n v="0"/>
    <n v="0"/>
    <m/>
    <s v="K"/>
    <n v="7154535"/>
    <n v="2"/>
    <s v="154 PKG Parcel Return Service (P"/>
  </r>
  <r>
    <n v="1"/>
    <s v="82"/>
    <x v="37"/>
    <n v="0"/>
    <n v="91347"/>
    <n v="0"/>
    <n v="0"/>
    <m/>
    <s v="K"/>
    <n v="91347"/>
    <n v="2"/>
    <s v="154 PKG Parcel Return Service (P"/>
  </r>
  <r>
    <n v="1"/>
    <s v="78"/>
    <x v="37"/>
    <m/>
    <n v="801270.65573421691"/>
    <m/>
    <n v="0"/>
    <m/>
    <s v="L"/>
    <n v="801270.65573421691"/>
    <n v="2"/>
    <s v="154 PKG Parcel Return Service (P"/>
  </r>
  <r>
    <n v="1"/>
    <s v="80"/>
    <x v="37"/>
    <n v="0"/>
    <n v="265293"/>
    <n v="0"/>
    <n v="0"/>
    <m/>
    <s v="K"/>
    <n v="265293"/>
    <n v="2"/>
    <s v="154 PKG Parcel Return Service (P"/>
  </r>
  <r>
    <n v="1"/>
    <s v="77"/>
    <x v="37"/>
    <m/>
    <n v="434793.87312089955"/>
    <m/>
    <n v="0"/>
    <m/>
    <s v="L"/>
    <n v="434793.87312089955"/>
    <n v="2"/>
    <s v="154 PKG Parcel Return Service (P"/>
  </r>
  <r>
    <n v="1"/>
    <s v="75"/>
    <x v="37"/>
    <m/>
    <n v="121875.33169875239"/>
    <m/>
    <n v="0"/>
    <m/>
    <s v="L"/>
    <n v="121875.33169875239"/>
    <n v="2"/>
    <s v="154 PKG Parcel Return Service (P"/>
  </r>
  <r>
    <n v="1"/>
    <s v="78"/>
    <x v="37"/>
    <n v="0"/>
    <n v="11504224"/>
    <n v="0"/>
    <n v="0"/>
    <m/>
    <s v="K"/>
    <n v="11504224"/>
    <n v="2"/>
    <s v="154 PKG Parcel Return Service (P"/>
  </r>
  <r>
    <n v="1"/>
    <s v="71"/>
    <x v="37"/>
    <n v="0"/>
    <n v="127708"/>
    <n v="0"/>
    <n v="0"/>
    <m/>
    <s v="K"/>
    <n v="127708"/>
    <n v="2"/>
    <s v="154 PKG Parcel Return Service (P"/>
  </r>
  <r>
    <n v="1"/>
    <s v="73"/>
    <x v="37"/>
    <m/>
    <n v="15458.201495362611"/>
    <m/>
    <n v="0"/>
    <m/>
    <s v="L"/>
    <n v="15458.201495362611"/>
    <n v="2"/>
    <s v="154 PKG Parcel Return Service (P"/>
  </r>
  <r>
    <n v="1"/>
    <s v="73"/>
    <x v="37"/>
    <n v="0"/>
    <n v="305984"/>
    <n v="0"/>
    <n v="0"/>
    <m/>
    <s v="K"/>
    <n v="305984"/>
    <n v="2"/>
    <s v="154 PKG Parcel Return Service (P"/>
  </r>
  <r>
    <n v="1"/>
    <s v="71"/>
    <x v="37"/>
    <m/>
    <n v="6162.2403161420089"/>
    <m/>
    <n v="0"/>
    <m/>
    <s v="L"/>
    <n v="6162.2403161420089"/>
    <n v="2"/>
    <s v="154 PKG Parcel Return Service (P"/>
  </r>
  <r>
    <n v="1"/>
    <s v="75"/>
    <x v="37"/>
    <n v="0"/>
    <n v="978297"/>
    <n v="0"/>
    <n v="0"/>
    <m/>
    <s v="K"/>
    <n v="978297"/>
    <n v="2"/>
    <s v="154 PKG Parcel Return Service (P"/>
  </r>
  <r>
    <n v="1"/>
    <s v="83"/>
    <x v="38"/>
    <n v="0"/>
    <n v="75285"/>
    <n v="0"/>
    <n v="0"/>
    <m/>
    <s v="K"/>
    <n v="75285"/>
    <n v="2"/>
    <s v="085 USPS"/>
  </r>
  <r>
    <n v="1"/>
    <s v="83"/>
    <x v="38"/>
    <m/>
    <n v="4833.1235992876564"/>
    <m/>
    <n v="0"/>
    <m/>
    <s v="L"/>
    <n v="4833.1235992876564"/>
    <n v="2"/>
    <s v="085 USPS"/>
  </r>
  <r>
    <n v="1"/>
    <s v="78"/>
    <x v="38"/>
    <m/>
    <n v="77822.781417889462"/>
    <m/>
    <n v="0"/>
    <m/>
    <s v="L"/>
    <n v="77822.781417889462"/>
    <n v="2"/>
    <s v="085 USPS"/>
  </r>
  <r>
    <n v="1"/>
    <s v="77"/>
    <x v="38"/>
    <m/>
    <n v="35846.323866155471"/>
    <m/>
    <n v="0"/>
    <m/>
    <s v="L"/>
    <n v="35846.323866155471"/>
    <n v="2"/>
    <s v="085 USPS"/>
  </r>
  <r>
    <n v="1"/>
    <s v="75"/>
    <x v="38"/>
    <m/>
    <n v="20955.380444788119"/>
    <m/>
    <n v="0"/>
    <m/>
    <s v="L"/>
    <n v="20955.380444788119"/>
    <n v="2"/>
    <s v="085 USPS"/>
  </r>
  <r>
    <n v="1"/>
    <s v="78"/>
    <x v="38"/>
    <n v="0"/>
    <n v="1124889"/>
    <n v="0"/>
    <n v="0"/>
    <m/>
    <s v="K"/>
    <n v="1124889"/>
    <n v="2"/>
    <s v="085 USPS"/>
  </r>
  <r>
    <n v="1"/>
    <s v="77"/>
    <x v="38"/>
    <n v="0"/>
    <n v="499919"/>
    <n v="0"/>
    <n v="0"/>
    <m/>
    <s v="K"/>
    <n v="499919"/>
    <n v="2"/>
    <s v="085 USPS"/>
  </r>
  <r>
    <n v="1"/>
    <s v="75"/>
    <x v="38"/>
    <n v="0"/>
    <n v="93972"/>
    <n v="0"/>
    <n v="0"/>
    <m/>
    <s v="K"/>
    <n v="93972"/>
    <n v="2"/>
    <s v="085 USPS"/>
  </r>
  <r>
    <n v="1"/>
    <s v="78"/>
    <x v="39"/>
    <m/>
    <n v="18118.547036859269"/>
    <m/>
    <n v="0"/>
    <m/>
    <s v="L"/>
    <n v="18118.547036859269"/>
    <n v="2"/>
    <s v="185 International"/>
  </r>
  <r>
    <n v="1"/>
    <s v="77"/>
    <x v="39"/>
    <n v="0"/>
    <n v="81706"/>
    <n v="0"/>
    <n v="0"/>
    <m/>
    <s v="K"/>
    <n v="81706"/>
    <n v="2"/>
    <s v="185 International"/>
  </r>
  <r>
    <n v="1"/>
    <s v="77"/>
    <x v="39"/>
    <m/>
    <n v="7513.579275472297"/>
    <m/>
    <n v="0"/>
    <m/>
    <s v="L"/>
    <n v="7513.579275472297"/>
    <n v="2"/>
    <s v="185 International"/>
  </r>
  <r>
    <n v="1"/>
    <s v="78"/>
    <x v="39"/>
    <n v="0"/>
    <n v="273090"/>
    <n v="0"/>
    <n v="0"/>
    <m/>
    <s v="K"/>
    <n v="273090"/>
    <n v="2"/>
    <s v="185 International"/>
  </r>
  <r>
    <n v="1"/>
    <s v="73"/>
    <x v="39"/>
    <m/>
    <n v="2880.9362929057797"/>
    <m/>
    <n v="0"/>
    <m/>
    <s v="L"/>
    <n v="2880.9362929057797"/>
    <n v="2"/>
    <s v="185 International"/>
  </r>
  <r>
    <n v="1"/>
    <s v="73"/>
    <x v="39"/>
    <n v="0"/>
    <n v="68103"/>
    <n v="0"/>
    <n v="0"/>
    <m/>
    <s v="K"/>
    <n v="68103"/>
    <n v="2"/>
    <s v="185 International"/>
  </r>
  <r>
    <n v="1"/>
    <s v="82"/>
    <x v="40"/>
    <m/>
    <n v="6057.2728813995354"/>
    <m/>
    <n v="0"/>
    <m/>
    <s v="L"/>
    <n v="6057.2728813995354"/>
    <n v="2"/>
    <s v="086 Free Mail"/>
  </r>
  <r>
    <n v="1"/>
    <s v="82"/>
    <x v="40"/>
    <n v="0"/>
    <n v="57835"/>
    <n v="0"/>
    <n v="0"/>
    <m/>
    <s v="K"/>
    <n v="57835"/>
    <n v="2"/>
    <s v="086 Free Mail"/>
  </r>
  <r>
    <n v="1"/>
    <s v="78"/>
    <x v="40"/>
    <m/>
    <n v="53590.425692747362"/>
    <m/>
    <n v="0"/>
    <m/>
    <s v="L"/>
    <n v="53590.425692747362"/>
    <n v="2"/>
    <s v="086 Free Mail"/>
  </r>
  <r>
    <n v="1"/>
    <s v="78"/>
    <x v="40"/>
    <n v="0"/>
    <n v="680613"/>
    <n v="0"/>
    <n v="0"/>
    <m/>
    <s v="K"/>
    <n v="680613"/>
    <n v="2"/>
    <s v="086 Free Mail"/>
  </r>
  <r>
    <n v="1"/>
    <s v="82"/>
    <x v="41"/>
    <m/>
    <n v="30462.277833793585"/>
    <m/>
    <n v="0"/>
    <m/>
    <s v="L"/>
    <n v="30462.277833793585"/>
    <n v="2"/>
    <s v="027 MM REG Parcels/NFM"/>
  </r>
  <r>
    <n v="1"/>
    <s v="77"/>
    <x v="41"/>
    <n v="0"/>
    <n v="342253"/>
    <n v="0"/>
    <n v="0"/>
    <m/>
    <s v="K"/>
    <n v="342253"/>
    <n v="2"/>
    <s v="027 MM REG Parcels/NFM"/>
  </r>
  <r>
    <n v="1"/>
    <s v="82"/>
    <x v="41"/>
    <n v="0"/>
    <n v="165128"/>
    <n v="0"/>
    <n v="0"/>
    <m/>
    <s v="K"/>
    <n v="165128"/>
    <n v="2"/>
    <s v="027 MM REG Parcels/NFM"/>
  </r>
  <r>
    <n v="1"/>
    <s v="78"/>
    <x v="41"/>
    <m/>
    <n v="20374.955786755479"/>
    <m/>
    <n v="0"/>
    <m/>
    <s v="L"/>
    <n v="20374.955786755479"/>
    <n v="2"/>
    <s v="027 MM REG Parcels/NFM"/>
  </r>
  <r>
    <n v="1"/>
    <s v="77"/>
    <x v="41"/>
    <m/>
    <n v="18678.621120067175"/>
    <m/>
    <n v="0"/>
    <m/>
    <s v="L"/>
    <n v="18678.621120067175"/>
    <n v="2"/>
    <s v="027 MM REG Parcels/NFM"/>
  </r>
  <r>
    <n v="1"/>
    <s v="78"/>
    <x v="41"/>
    <n v="0"/>
    <n v="308038"/>
    <n v="0"/>
    <n v="0"/>
    <m/>
    <s v="K"/>
    <n v="308038"/>
    <n v="2"/>
    <s v="027 MM REG Parcels/NFM"/>
  </r>
  <r>
    <n v="1"/>
    <s v="83"/>
    <x v="42"/>
    <m/>
    <n v="5778.3175636219112"/>
    <m/>
    <n v="0"/>
    <m/>
    <s v="L"/>
    <n v="5778.3175636219112"/>
    <n v="2"/>
    <s v="044 PKG Media"/>
  </r>
  <r>
    <n v="1"/>
    <s v="77"/>
    <x v="42"/>
    <n v="0"/>
    <n v="333564"/>
    <n v="0"/>
    <n v="0"/>
    <m/>
    <s v="K"/>
    <n v="333564"/>
    <n v="2"/>
    <s v="044 PKG Media"/>
  </r>
  <r>
    <n v="1"/>
    <s v="82"/>
    <x v="42"/>
    <n v="0"/>
    <n v="40778"/>
    <n v="0"/>
    <n v="0"/>
    <m/>
    <s v="K"/>
    <n v="40778"/>
    <n v="2"/>
    <s v="044 PKG Media"/>
  </r>
  <r>
    <n v="1"/>
    <s v="80"/>
    <x v="42"/>
    <m/>
    <n v="5457.0229967889345"/>
    <m/>
    <n v="0"/>
    <m/>
    <s v="L"/>
    <n v="5457.0229967889345"/>
    <n v="2"/>
    <s v="044 PKG Media"/>
  </r>
  <r>
    <n v="1"/>
    <s v="82"/>
    <x v="42"/>
    <m/>
    <n v="1281.1665877876587"/>
    <m/>
    <n v="0"/>
    <m/>
    <s v="L"/>
    <n v="1281.1665877876587"/>
    <n v="2"/>
    <s v="044 PKG Media"/>
  </r>
  <r>
    <n v="1"/>
    <s v="78"/>
    <x v="42"/>
    <m/>
    <n v="32726.795193979706"/>
    <m/>
    <n v="0"/>
    <m/>
    <s v="L"/>
    <n v="32726.795193979706"/>
    <n v="2"/>
    <s v="044 PKG Media"/>
  </r>
  <r>
    <n v="1"/>
    <s v="80"/>
    <x v="42"/>
    <n v="0"/>
    <n v="103462"/>
    <n v="0"/>
    <n v="0"/>
    <m/>
    <s v="K"/>
    <n v="103462"/>
    <n v="2"/>
    <s v="044 PKG Media"/>
  </r>
  <r>
    <n v="1"/>
    <s v="77"/>
    <x v="42"/>
    <m/>
    <n v="21582.334754717907"/>
    <m/>
    <n v="0"/>
    <m/>
    <s v="L"/>
    <n v="21582.334754717907"/>
    <n v="2"/>
    <s v="044 PKG Media"/>
  </r>
  <r>
    <n v="1"/>
    <s v="78"/>
    <x v="42"/>
    <n v="0"/>
    <n v="506760"/>
    <n v="0"/>
    <n v="0"/>
    <m/>
    <s v="K"/>
    <n v="506760"/>
    <n v="2"/>
    <s v="044 PKG Media"/>
  </r>
  <r>
    <n v="1"/>
    <s v="75"/>
    <x v="42"/>
    <m/>
    <n v="12355.954753447975"/>
    <m/>
    <n v="0"/>
    <m/>
    <s v="L"/>
    <n v="12355.954753447975"/>
    <n v="2"/>
    <s v="044 PKG Media"/>
  </r>
  <r>
    <n v="1"/>
    <s v="75"/>
    <x v="42"/>
    <n v="0"/>
    <n v="114342"/>
    <n v="0"/>
    <n v="0"/>
    <m/>
    <s v="K"/>
    <n v="114342"/>
    <n v="2"/>
    <s v="044 PKG Media"/>
  </r>
  <r>
    <n v="1"/>
    <s v="83"/>
    <x v="42"/>
    <n v="0"/>
    <n v="103097"/>
    <n v="0"/>
    <n v="0"/>
    <m/>
    <s v="K"/>
    <n v="103097"/>
    <n v="2"/>
    <s v="044 PKG Media"/>
  </r>
  <r>
    <n v="1"/>
    <s v="83"/>
    <x v="43"/>
    <m/>
    <n v="27592.26369069011"/>
    <m/>
    <n v="0"/>
    <m/>
    <s v="L"/>
    <n v="27592.26369069011"/>
    <n v="2"/>
    <s v="043 PKG BPM Parcels"/>
  </r>
  <r>
    <n v="1"/>
    <s v="82"/>
    <x v="43"/>
    <m/>
    <n v="10003.283968405131"/>
    <m/>
    <n v="0"/>
    <m/>
    <s v="L"/>
    <n v="10003.283968405131"/>
    <n v="2"/>
    <s v="043 PKG BPM Parcels"/>
  </r>
  <r>
    <n v="1"/>
    <s v="77"/>
    <x v="43"/>
    <n v="0"/>
    <n v="2726505"/>
    <n v="0"/>
    <n v="0"/>
    <m/>
    <s v="K"/>
    <n v="2726505"/>
    <n v="2"/>
    <s v="043 PKG BPM Parcels"/>
  </r>
  <r>
    <n v="1"/>
    <s v="82"/>
    <x v="43"/>
    <n v="0"/>
    <n v="269623"/>
    <n v="0"/>
    <n v="0"/>
    <m/>
    <s v="K"/>
    <n v="269623"/>
    <n v="2"/>
    <s v="043 PKG BPM Parcels"/>
  </r>
  <r>
    <n v="1"/>
    <s v="80"/>
    <x v="43"/>
    <m/>
    <n v="37539.798885814795"/>
    <m/>
    <n v="0"/>
    <m/>
    <s v="L"/>
    <n v="37539.798885814795"/>
    <n v="2"/>
    <s v="043 PKG BPM Parcels"/>
  </r>
  <r>
    <n v="1"/>
    <s v="78"/>
    <x v="43"/>
    <m/>
    <n v="251023.51842020007"/>
    <m/>
    <n v="0"/>
    <m/>
    <s v="L"/>
    <n v="251023.51842020007"/>
    <n v="2"/>
    <s v="043 PKG BPM Parcels"/>
  </r>
  <r>
    <n v="1"/>
    <s v="80"/>
    <x v="43"/>
    <n v="0"/>
    <n v="185852"/>
    <n v="0"/>
    <n v="0"/>
    <m/>
    <s v="K"/>
    <n v="185852"/>
    <n v="2"/>
    <s v="043 PKG BPM Parcels"/>
  </r>
  <r>
    <n v="1"/>
    <s v="77"/>
    <x v="43"/>
    <m/>
    <n v="199628.61699085773"/>
    <m/>
    <n v="0"/>
    <m/>
    <s v="L"/>
    <n v="199628.61699085773"/>
    <n v="2"/>
    <s v="043 PKG BPM Parcels"/>
  </r>
  <r>
    <n v="1"/>
    <s v="71"/>
    <x v="43"/>
    <n v="0"/>
    <n v="81658"/>
    <n v="0"/>
    <n v="0"/>
    <m/>
    <s v="K"/>
    <n v="81658"/>
    <n v="2"/>
    <s v="043 PKG BPM Parcels"/>
  </r>
  <r>
    <n v="1"/>
    <s v="78"/>
    <x v="43"/>
    <n v="0"/>
    <n v="3868109"/>
    <n v="0"/>
    <n v="0"/>
    <m/>
    <s v="K"/>
    <n v="3868109"/>
    <n v="2"/>
    <s v="043 PKG BPM Parcels"/>
  </r>
  <r>
    <n v="1"/>
    <s v="75"/>
    <x v="43"/>
    <m/>
    <n v="55452.839277005914"/>
    <m/>
    <n v="0"/>
    <m/>
    <s v="L"/>
    <n v="55452.839277005914"/>
    <n v="2"/>
    <s v="043 PKG BPM Parcels"/>
  </r>
  <r>
    <n v="1"/>
    <s v="73"/>
    <x v="43"/>
    <m/>
    <n v="677.1354726466767"/>
    <m/>
    <n v="0"/>
    <m/>
    <s v="L"/>
    <n v="677.1354726466767"/>
    <n v="2"/>
    <s v="043 PKG BPM Parcels"/>
  </r>
  <r>
    <n v="1"/>
    <s v="73"/>
    <x v="43"/>
    <n v="0"/>
    <n v="32803"/>
    <n v="0"/>
    <n v="0"/>
    <m/>
    <s v="K"/>
    <n v="32803"/>
    <n v="2"/>
    <s v="043 PKG BPM Parcels"/>
  </r>
  <r>
    <n v="1"/>
    <s v="75"/>
    <x v="43"/>
    <n v="0"/>
    <n v="285447"/>
    <n v="0"/>
    <n v="0"/>
    <m/>
    <s v="K"/>
    <n v="285447"/>
    <n v="2"/>
    <s v="043 PKG BPM Parcels"/>
  </r>
  <r>
    <n v="1"/>
    <s v="71"/>
    <x v="43"/>
    <m/>
    <n v="3940.2090686215752"/>
    <m/>
    <n v="0"/>
    <m/>
    <s v="L"/>
    <n v="3940.2090686215752"/>
    <n v="2"/>
    <s v="043 PKG BPM Parcels"/>
  </r>
  <r>
    <n v="1"/>
    <s v="83"/>
    <x v="43"/>
    <n v="0"/>
    <n v="414977"/>
    <n v="0"/>
    <n v="0"/>
    <m/>
    <s v="K"/>
    <n v="414977"/>
    <n v="2"/>
    <s v="043 PKG BPM Parcels"/>
  </r>
  <r>
    <n v="1"/>
    <s v="82"/>
    <x v="44"/>
    <m/>
    <n v="128936.19611265472"/>
    <m/>
    <n v="0"/>
    <m/>
    <s v="L"/>
    <n v="128936.19611265472"/>
    <n v="2"/>
    <s v="154 PKG Parcel Return Service (P"/>
  </r>
  <r>
    <n v="1"/>
    <s v="77"/>
    <x v="44"/>
    <n v="0"/>
    <n v="54773050"/>
    <n v="0"/>
    <n v="0"/>
    <m/>
    <s v="K"/>
    <n v="54773050"/>
    <n v="2"/>
    <s v="154 PKG Parcel Return Service (P"/>
  </r>
  <r>
    <n v="1"/>
    <s v="82"/>
    <x v="44"/>
    <n v="0"/>
    <n v="2155908"/>
    <n v="0"/>
    <n v="0"/>
    <m/>
    <s v="K"/>
    <n v="2155908"/>
    <n v="2"/>
    <s v="154 PKG Parcel Return Service (P"/>
  </r>
  <r>
    <n v="1"/>
    <s v="80"/>
    <x v="44"/>
    <m/>
    <n v="305947.179350844"/>
    <m/>
    <n v="0"/>
    <m/>
    <s v="L"/>
    <n v="305947.179350844"/>
    <n v="2"/>
    <s v="154 PKG Parcel Return Service (P"/>
  </r>
  <r>
    <n v="1"/>
    <s v="78"/>
    <x v="44"/>
    <m/>
    <n v="6859422.2204864034"/>
    <m/>
    <n v="0"/>
    <m/>
    <s v="L"/>
    <n v="6859422.2204864034"/>
    <n v="2"/>
    <s v="154 PKG Parcel Return Service (P"/>
  </r>
  <r>
    <n v="1"/>
    <s v="80"/>
    <x v="44"/>
    <n v="0"/>
    <n v="3226604"/>
    <n v="0"/>
    <n v="0"/>
    <m/>
    <s v="K"/>
    <n v="3226604"/>
    <n v="2"/>
    <s v="154 PKG Parcel Return Service (P"/>
  </r>
  <r>
    <n v="1"/>
    <s v="71"/>
    <x v="44"/>
    <n v="0"/>
    <n v="316429"/>
    <n v="0"/>
    <n v="0"/>
    <m/>
    <s v="K"/>
    <n v="316429"/>
    <n v="2"/>
    <s v="154 PKG Parcel Return Service (P"/>
  </r>
  <r>
    <n v="1"/>
    <s v="77"/>
    <x v="44"/>
    <m/>
    <n v="3513968.5701135471"/>
    <m/>
    <n v="0"/>
    <m/>
    <s v="L"/>
    <n v="3513968.5701135471"/>
    <n v="2"/>
    <s v="154 PKG Parcel Return Service (P"/>
  </r>
  <r>
    <n v="1"/>
    <s v="78"/>
    <x v="44"/>
    <n v="0"/>
    <n v="103642069"/>
    <n v="0"/>
    <n v="0"/>
    <m/>
    <s v="K"/>
    <n v="103642069"/>
    <n v="2"/>
    <s v="154 PKG Parcel Return Service (P"/>
  </r>
  <r>
    <n v="1"/>
    <s v="75"/>
    <x v="44"/>
    <m/>
    <n v="1571288.2319813941"/>
    <m/>
    <n v="0"/>
    <m/>
    <s v="L"/>
    <n v="1571288.2319813941"/>
    <n v="2"/>
    <s v="154 PKG Parcel Return Service (P"/>
  </r>
  <r>
    <n v="1"/>
    <s v="73"/>
    <x v="44"/>
    <n v="0"/>
    <n v="907453"/>
    <n v="0"/>
    <n v="0"/>
    <m/>
    <s v="K"/>
    <n v="907453"/>
    <n v="2"/>
    <s v="154 PKG Parcel Return Service (P"/>
  </r>
  <r>
    <n v="1"/>
    <s v="73"/>
    <x v="44"/>
    <m/>
    <n v="20581.456449633381"/>
    <m/>
    <n v="0"/>
    <m/>
    <s v="L"/>
    <n v="20581.456449633381"/>
    <n v="2"/>
    <s v="154 PKG Parcel Return Service (P"/>
  </r>
  <r>
    <n v="1"/>
    <s v="83"/>
    <x v="44"/>
    <m/>
    <n v="639467.71559399948"/>
    <m/>
    <n v="0"/>
    <m/>
    <s v="L"/>
    <n v="639467.71559399948"/>
    <n v="2"/>
    <s v="154 PKG Parcel Return Service (P"/>
  </r>
  <r>
    <n v="1"/>
    <s v="75"/>
    <x v="44"/>
    <n v="0"/>
    <n v="17559959"/>
    <n v="0"/>
    <n v="0"/>
    <m/>
    <s v="K"/>
    <n v="17559959"/>
    <n v="2"/>
    <s v="154 PKG Parcel Return Service (P"/>
  </r>
  <r>
    <n v="1"/>
    <s v="71"/>
    <x v="44"/>
    <m/>
    <n v="15268.51521436793"/>
    <m/>
    <n v="0"/>
    <m/>
    <s v="L"/>
    <n v="15268.51521436793"/>
    <n v="2"/>
    <s v="154 PKG Parcel Return Service (P"/>
  </r>
  <r>
    <n v="1"/>
    <s v="83"/>
    <x v="44"/>
    <n v="0"/>
    <n v="9022866"/>
    <n v="0"/>
    <n v="0"/>
    <m/>
    <s v="K"/>
    <n v="9022866"/>
    <n v="2"/>
    <s v="154 PKG Parcel Return Service (P"/>
  </r>
  <r>
    <n v="1"/>
    <s v="71"/>
    <x v="45"/>
    <n v="0"/>
    <n v="143622"/>
    <n v="0"/>
    <n v="0"/>
    <m/>
    <s v="K"/>
    <n v="143622"/>
    <n v="2"/>
    <s v="085 USPS"/>
  </r>
  <r>
    <n v="1"/>
    <s v="83"/>
    <x v="46"/>
    <m/>
    <n v="14685.872528160358"/>
    <m/>
    <n v="0"/>
    <m/>
    <s v="L"/>
    <n v="14685.872528160358"/>
    <n v="2"/>
    <s v="185 International"/>
  </r>
  <r>
    <n v="1"/>
    <s v="77"/>
    <x v="46"/>
    <n v="0"/>
    <n v="333863"/>
    <n v="0"/>
    <n v="0"/>
    <m/>
    <s v="K"/>
    <n v="333863"/>
    <n v="2"/>
    <s v="185 International"/>
  </r>
  <r>
    <n v="1"/>
    <s v="78"/>
    <x v="46"/>
    <m/>
    <n v="102712.15628630338"/>
    <m/>
    <n v="0"/>
    <m/>
    <s v="L"/>
    <n v="102712.15628630338"/>
    <n v="2"/>
    <s v="185 International"/>
  </r>
  <r>
    <n v="1"/>
    <s v="77"/>
    <x v="46"/>
    <m/>
    <n v="18256.436710051144"/>
    <m/>
    <n v="0"/>
    <m/>
    <s v="L"/>
    <n v="18256.436710051144"/>
    <n v="2"/>
    <s v="185 International"/>
  </r>
  <r>
    <n v="1"/>
    <s v="78"/>
    <x v="46"/>
    <n v="0"/>
    <n v="1326205"/>
    <n v="0"/>
    <n v="0"/>
    <m/>
    <s v="K"/>
    <n v="1326205"/>
    <n v="2"/>
    <s v="185 International"/>
  </r>
  <r>
    <n v="1"/>
    <s v="75"/>
    <x v="46"/>
    <m/>
    <n v="15154.420859870632"/>
    <m/>
    <n v="0"/>
    <m/>
    <s v="L"/>
    <n v="15154.420859870632"/>
    <n v="2"/>
    <s v="185 International"/>
  </r>
  <r>
    <n v="1"/>
    <s v="75"/>
    <x v="46"/>
    <n v="0"/>
    <n v="121990"/>
    <n v="0"/>
    <n v="0"/>
    <m/>
    <s v="K"/>
    <n v="121990"/>
    <n v="2"/>
    <s v="185 International"/>
  </r>
  <r>
    <n v="1"/>
    <s v="83"/>
    <x v="46"/>
    <n v="0"/>
    <n v="209896"/>
    <n v="0"/>
    <n v="0"/>
    <m/>
    <s v="K"/>
    <n v="209896"/>
    <n v="2"/>
    <s v="185 International"/>
  </r>
  <r>
    <n v="1"/>
    <s v="83"/>
    <x v="47"/>
    <m/>
    <n v="913.30146329204865"/>
    <m/>
    <n v="0"/>
    <m/>
    <s v="L"/>
    <n v="913.30146329204865"/>
    <n v="2"/>
    <s v="027 MM REG Parcels/NFM"/>
  </r>
  <r>
    <n v="1"/>
    <s v="77"/>
    <x v="47"/>
    <n v="0"/>
    <n v="34132"/>
    <n v="0"/>
    <n v="0"/>
    <m/>
    <s v="K"/>
    <n v="34132"/>
    <n v="2"/>
    <s v="027 MM REG Parcels/NFM"/>
  </r>
  <r>
    <n v="1"/>
    <s v="77"/>
    <x v="47"/>
    <m/>
    <n v="2702.1328365708655"/>
    <m/>
    <n v="0"/>
    <m/>
    <s v="L"/>
    <n v="2702.1328365708655"/>
    <n v="2"/>
    <s v="027 MM REG Parcels/NFM"/>
  </r>
  <r>
    <n v="1"/>
    <s v="83"/>
    <x v="47"/>
    <n v="0"/>
    <n v="26977"/>
    <n v="0"/>
    <n v="0"/>
    <m/>
    <s v="K"/>
    <n v="26977"/>
    <n v="2"/>
    <s v="027 MM REG Parcels/NFM"/>
  </r>
  <r>
    <n v="1"/>
    <s v="77"/>
    <x v="48"/>
    <n v="0"/>
    <n v="940403"/>
    <n v="0"/>
    <n v="0"/>
    <m/>
    <s v="K"/>
    <n v="940403"/>
    <n v="2"/>
    <s v="044 PKG Media"/>
  </r>
  <r>
    <n v="1"/>
    <s v="82"/>
    <x v="48"/>
    <m/>
    <n v="1481.5825391216492"/>
    <m/>
    <n v="0"/>
    <m/>
    <s v="L"/>
    <n v="1481.5825391216492"/>
    <n v="2"/>
    <s v="044 PKG Media"/>
  </r>
  <r>
    <n v="1"/>
    <s v="82"/>
    <x v="48"/>
    <n v="0"/>
    <n v="47157"/>
    <n v="0"/>
    <n v="0"/>
    <m/>
    <s v="K"/>
    <n v="47157"/>
    <n v="2"/>
    <s v="044 PKG Media"/>
  </r>
  <r>
    <n v="1"/>
    <s v="71"/>
    <x v="48"/>
    <n v="0"/>
    <n v="211240"/>
    <n v="0"/>
    <n v="0"/>
    <m/>
    <s v="K"/>
    <n v="211240"/>
    <n v="2"/>
    <s v="044 PKG Media"/>
  </r>
  <r>
    <n v="1"/>
    <s v="78"/>
    <x v="48"/>
    <m/>
    <n v="67651.788950780028"/>
    <m/>
    <n v="0"/>
    <m/>
    <s v="L"/>
    <n v="67651.788950780028"/>
    <n v="2"/>
    <s v="044 PKG Media"/>
  </r>
  <r>
    <n v="1"/>
    <s v="77"/>
    <x v="48"/>
    <m/>
    <n v="76259.580683268883"/>
    <m/>
    <n v="0"/>
    <m/>
    <s v="L"/>
    <n v="76259.580683268883"/>
    <n v="2"/>
    <s v="044 PKG Media"/>
  </r>
  <r>
    <n v="1"/>
    <s v="78"/>
    <x v="48"/>
    <n v="0"/>
    <n v="991930"/>
    <n v="0"/>
    <n v="0"/>
    <m/>
    <s v="K"/>
    <n v="991930"/>
    <n v="2"/>
    <s v="044 PKG Media"/>
  </r>
  <r>
    <n v="1"/>
    <s v="75"/>
    <x v="48"/>
    <m/>
    <n v="26611.353049404272"/>
    <m/>
    <n v="0"/>
    <m/>
    <s v="L"/>
    <n v="26611.353049404272"/>
    <n v="2"/>
    <s v="044 PKG Media"/>
  </r>
  <r>
    <n v="1"/>
    <s v="75"/>
    <x v="48"/>
    <n v="0"/>
    <n v="95185"/>
    <n v="0"/>
    <n v="0"/>
    <m/>
    <s v="K"/>
    <n v="95185"/>
    <n v="2"/>
    <s v="044 PKG Media"/>
  </r>
  <r>
    <n v="1"/>
    <s v="71"/>
    <x v="48"/>
    <m/>
    <n v="10192.874717181679"/>
    <m/>
    <n v="0"/>
    <m/>
    <s v="L"/>
    <n v="10192.874717181679"/>
    <n v="2"/>
    <s v="044 PKG Media"/>
  </r>
  <r>
    <n v="1"/>
    <s v="83"/>
    <x v="49"/>
    <m/>
    <n v="34265.666358908929"/>
    <m/>
    <n v="0"/>
    <m/>
    <s v="L"/>
    <n v="34265.666358908929"/>
    <n v="2"/>
    <s v="043 PKG BPM Parcels"/>
  </r>
  <r>
    <n v="1"/>
    <s v="77"/>
    <x v="49"/>
    <n v="0"/>
    <n v="1391405"/>
    <n v="0"/>
    <n v="0"/>
    <m/>
    <s v="K"/>
    <n v="1391405"/>
    <n v="2"/>
    <s v="043 PKG BPM Parcels"/>
  </r>
  <r>
    <n v="1"/>
    <s v="78"/>
    <x v="49"/>
    <m/>
    <n v="186412.67225122941"/>
    <m/>
    <n v="0"/>
    <m/>
    <s v="L"/>
    <n v="186412.67225122941"/>
    <n v="2"/>
    <s v="043 PKG BPM Parcels"/>
  </r>
  <r>
    <n v="1"/>
    <s v="77"/>
    <x v="49"/>
    <m/>
    <n v="86803.007747325522"/>
    <m/>
    <n v="0"/>
    <m/>
    <s v="L"/>
    <n v="86803.007747325522"/>
    <n v="2"/>
    <s v="043 PKG BPM Parcels"/>
  </r>
  <r>
    <n v="1"/>
    <s v="78"/>
    <x v="49"/>
    <n v="0"/>
    <n v="3140471"/>
    <n v="0"/>
    <n v="0"/>
    <m/>
    <s v="K"/>
    <n v="3140471"/>
    <n v="2"/>
    <s v="043 PKG BPM Parcels"/>
  </r>
  <r>
    <n v="1"/>
    <s v="75"/>
    <x v="49"/>
    <m/>
    <n v="37404.132013471797"/>
    <m/>
    <n v="0"/>
    <m/>
    <s v="L"/>
    <n v="37404.132013471797"/>
    <n v="2"/>
    <s v="043 PKG BPM Parcels"/>
  </r>
  <r>
    <n v="1"/>
    <s v="73"/>
    <x v="49"/>
    <n v="0"/>
    <n v="154554"/>
    <n v="0"/>
    <n v="0"/>
    <m/>
    <s v="K"/>
    <n v="154554"/>
    <n v="2"/>
    <s v="043 PKG BPM Parcels"/>
  </r>
  <r>
    <n v="1"/>
    <s v="73"/>
    <x v="49"/>
    <m/>
    <n v="2862.8647490553562"/>
    <m/>
    <n v="0"/>
    <m/>
    <s v="L"/>
    <n v="2862.8647490553562"/>
    <n v="2"/>
    <s v="043 PKG BPM Parcels"/>
  </r>
  <r>
    <n v="1"/>
    <s v="75"/>
    <x v="49"/>
    <n v="0"/>
    <n v="333798"/>
    <n v="0"/>
    <n v="0"/>
    <m/>
    <s v="K"/>
    <n v="333798"/>
    <n v="2"/>
    <s v="043 PKG BPM Parcels"/>
  </r>
  <r>
    <n v="1"/>
    <s v="83"/>
    <x v="49"/>
    <n v="0"/>
    <n v="379421"/>
    <n v="0"/>
    <n v="0"/>
    <m/>
    <s v="K"/>
    <n v="379421"/>
    <n v="2"/>
    <s v="043 PKG BPM Parcels"/>
  </r>
  <r>
    <n v="1"/>
    <s v="83"/>
    <x v="50"/>
    <m/>
    <n v="449418.31856331864"/>
    <m/>
    <n v="0"/>
    <m/>
    <s v="L"/>
    <n v="449418.31856331864"/>
    <n v="2"/>
    <s v="154 PKG Parcel Return Service (P"/>
  </r>
  <r>
    <n v="1"/>
    <s v="77"/>
    <x v="50"/>
    <n v="0"/>
    <n v="39230177"/>
    <n v="0"/>
    <n v="0"/>
    <m/>
    <s v="K"/>
    <n v="39230177"/>
    <n v="2"/>
    <s v="154 PKG Parcel Return Service (P"/>
  </r>
  <r>
    <n v="1"/>
    <s v="82"/>
    <x v="50"/>
    <m/>
    <n v="93103.926610410679"/>
    <m/>
    <n v="0"/>
    <m/>
    <s v="L"/>
    <n v="93103.926610410679"/>
    <n v="2"/>
    <s v="154 PKG Parcel Return Service (P"/>
  </r>
  <r>
    <n v="1"/>
    <s v="82"/>
    <x v="50"/>
    <n v="0"/>
    <n v="1814446"/>
    <n v="0"/>
    <n v="0"/>
    <m/>
    <s v="K"/>
    <n v="1814446"/>
    <n v="2"/>
    <s v="154 PKG Parcel Return Service (P"/>
  </r>
  <r>
    <n v="1"/>
    <s v="80"/>
    <x v="50"/>
    <m/>
    <n v="70732.683452721394"/>
    <m/>
    <n v="0"/>
    <m/>
    <s v="L"/>
    <n v="70732.683452721394"/>
    <n v="2"/>
    <s v="154 PKG Parcel Return Service (P"/>
  </r>
  <r>
    <n v="1"/>
    <s v="78"/>
    <x v="50"/>
    <m/>
    <n v="4818600.379252349"/>
    <m/>
    <n v="0"/>
    <m/>
    <s v="L"/>
    <n v="4818600.379252349"/>
    <n v="2"/>
    <s v="154 PKG Parcel Return Service (P"/>
  </r>
  <r>
    <n v="1"/>
    <s v="80"/>
    <x v="50"/>
    <n v="0"/>
    <n v="1086303"/>
    <n v="0"/>
    <n v="0"/>
    <m/>
    <s v="K"/>
    <n v="1086303"/>
    <n v="2"/>
    <s v="154 PKG Parcel Return Service (P"/>
  </r>
  <r>
    <n v="1"/>
    <s v="77"/>
    <x v="50"/>
    <m/>
    <n v="2500997.5763545861"/>
    <m/>
    <n v="0"/>
    <m/>
    <s v="L"/>
    <n v="2500997.5763545861"/>
    <n v="2"/>
    <s v="154 PKG Parcel Return Service (P"/>
  </r>
  <r>
    <n v="1"/>
    <s v="78"/>
    <x v="50"/>
    <n v="0"/>
    <n v="73105156"/>
    <n v="0"/>
    <n v="0"/>
    <m/>
    <s v="K"/>
    <n v="73105156"/>
    <n v="2"/>
    <s v="154 PKG Parcel Return Service (P"/>
  </r>
  <r>
    <n v="1"/>
    <s v="75"/>
    <x v="50"/>
    <m/>
    <n v="1241661.4589925581"/>
    <m/>
    <n v="0"/>
    <m/>
    <s v="L"/>
    <n v="1241661.4589925581"/>
    <n v="2"/>
    <s v="154 PKG Parcel Return Service (P"/>
  </r>
  <r>
    <n v="1"/>
    <s v="73"/>
    <x v="50"/>
    <n v="0"/>
    <n v="723359"/>
    <n v="0"/>
    <n v="0"/>
    <m/>
    <s v="K"/>
    <n v="723359"/>
    <n v="2"/>
    <s v="154 PKG Parcel Return Service (P"/>
  </r>
  <r>
    <n v="1"/>
    <s v="75"/>
    <x v="50"/>
    <n v="0"/>
    <n v="13129756"/>
    <n v="0"/>
    <n v="0"/>
    <m/>
    <s v="K"/>
    <n v="13129756"/>
    <n v="2"/>
    <s v="154 PKG Parcel Return Service (P"/>
  </r>
  <r>
    <n v="1"/>
    <s v="73"/>
    <x v="50"/>
    <m/>
    <n v="17765.453845908454"/>
    <m/>
    <n v="0"/>
    <m/>
    <s v="L"/>
    <n v="17765.453845908454"/>
    <n v="2"/>
    <s v="154 PKG Parcel Return Service (P"/>
  </r>
  <r>
    <n v="1"/>
    <s v="83"/>
    <x v="50"/>
    <n v="0"/>
    <n v="6231652"/>
    <n v="0"/>
    <n v="0"/>
    <m/>
    <s v="K"/>
    <n v="6231652"/>
    <n v="2"/>
    <s v="154 PKG Parcel Return Service (P"/>
  </r>
  <r>
    <n v="1"/>
    <s v="83"/>
    <x v="51"/>
    <m/>
    <n v="5410.8148403160067"/>
    <m/>
    <n v="0"/>
    <m/>
    <s v="L"/>
    <n v="5410.8148403160067"/>
    <n v="2"/>
    <s v="185 International"/>
  </r>
  <r>
    <n v="1"/>
    <s v="77"/>
    <x v="51"/>
    <n v="0"/>
    <n v="29007"/>
    <n v="0"/>
    <n v="0"/>
    <m/>
    <s v="K"/>
    <n v="29007"/>
    <n v="2"/>
    <s v="185 International"/>
  </r>
  <r>
    <n v="1"/>
    <s v="82"/>
    <x v="51"/>
    <m/>
    <n v="792.47495887738125"/>
    <m/>
    <n v="0"/>
    <m/>
    <s v="L"/>
    <n v="792.47495887738125"/>
    <n v="2"/>
    <s v="185 International"/>
  </r>
  <r>
    <n v="1"/>
    <s v="82"/>
    <x v="51"/>
    <n v="0"/>
    <n v="57099"/>
    <n v="0"/>
    <n v="0"/>
    <m/>
    <s v="K"/>
    <n v="57099"/>
    <n v="2"/>
    <s v="185 International"/>
  </r>
  <r>
    <n v="1"/>
    <s v="78"/>
    <x v="51"/>
    <m/>
    <n v="37513.635507252111"/>
    <m/>
    <n v="0"/>
    <m/>
    <s v="L"/>
    <n v="37513.635507252111"/>
    <n v="2"/>
    <s v="185 International"/>
  </r>
  <r>
    <n v="1"/>
    <s v="77"/>
    <x v="51"/>
    <m/>
    <n v="2296.4012419550886"/>
    <m/>
    <n v="0"/>
    <m/>
    <s v="L"/>
    <n v="2296.4012419550886"/>
    <n v="2"/>
    <s v="185 International"/>
  </r>
  <r>
    <n v="1"/>
    <s v="78"/>
    <x v="51"/>
    <n v="0"/>
    <n v="595898"/>
    <n v="0"/>
    <n v="0"/>
    <m/>
    <s v="K"/>
    <n v="595898"/>
    <n v="2"/>
    <s v="185 International"/>
  </r>
  <r>
    <n v="1"/>
    <s v="75"/>
    <x v="51"/>
    <m/>
    <n v="6913.4378430947991"/>
    <m/>
    <n v="0"/>
    <m/>
    <s v="L"/>
    <n v="6913.4378430947991"/>
    <n v="2"/>
    <s v="185 International"/>
  </r>
  <r>
    <n v="1"/>
    <s v="75"/>
    <x v="51"/>
    <n v="0"/>
    <n v="200546"/>
    <n v="0"/>
    <n v="0"/>
    <m/>
    <s v="K"/>
    <n v="200546"/>
    <n v="2"/>
    <s v="185 International"/>
  </r>
  <r>
    <n v="1"/>
    <s v="83"/>
    <x v="51"/>
    <n v="0"/>
    <n v="96540"/>
    <n v="0"/>
    <n v="0"/>
    <m/>
    <s v="K"/>
    <n v="96540"/>
    <n v="2"/>
    <s v="185 International"/>
  </r>
  <r>
    <n v="1"/>
    <s v="77"/>
    <x v="52"/>
    <n v="0"/>
    <n v="84182"/>
    <n v="0"/>
    <n v="0"/>
    <m/>
    <s v="K"/>
    <n v="84182"/>
    <n v="2"/>
    <s v="086 Free Mail"/>
  </r>
  <r>
    <n v="1"/>
    <s v="77"/>
    <x v="52"/>
    <m/>
    <n v="6664.448214233229"/>
    <m/>
    <n v="0"/>
    <m/>
    <s v="L"/>
    <n v="6664.448214233229"/>
    <n v="2"/>
    <s v="086 Free M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762FE-43E6-4A79-B043-0D8464594D1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2">
    <pivotField showAll="0"/>
    <pivotField showAll="0"/>
    <pivotField axis="axisRow" showAll="0">
      <items count="54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x="24"/>
        <item x="25"/>
        <item x="26"/>
        <item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 v="7"/>
    </i>
    <i>
      <x v="8"/>
    </i>
    <i>
      <x v="9"/>
    </i>
    <i>
      <x v="10"/>
    </i>
    <i>
      <x v="11"/>
    </i>
    <i>
      <x v="1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" fld="9" baseField="0" baseItem="0" numFmtId="3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06AF-7CC0-4899-B6C1-43AB602E27FC}">
  <dimension ref="A3:E57"/>
  <sheetViews>
    <sheetView tabSelected="1"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11.7109375" style="1" bestFit="1" customWidth="1"/>
    <col min="4" max="4" width="12.5703125" bestFit="1" customWidth="1"/>
  </cols>
  <sheetData>
    <row r="3" spans="1:5" x14ac:dyDescent="0.25">
      <c r="A3" s="2" t="s">
        <v>102</v>
      </c>
      <c r="B3" s="1" t="s">
        <v>101</v>
      </c>
      <c r="E3" t="s">
        <v>104</v>
      </c>
    </row>
    <row r="4" spans="1:5" x14ac:dyDescent="0.25">
      <c r="A4" s="3" t="s">
        <v>36</v>
      </c>
      <c r="B4" s="1">
        <v>56265302.909173079</v>
      </c>
      <c r="D4" s="4">
        <f>B4+B6</f>
        <v>57740256.682918727</v>
      </c>
      <c r="E4" t="s">
        <v>105</v>
      </c>
    </row>
    <row r="5" spans="1:5" x14ac:dyDescent="0.25">
      <c r="A5" s="3" t="s">
        <v>38</v>
      </c>
      <c r="B5" s="1">
        <v>4518381.3290682975</v>
      </c>
      <c r="D5" s="4">
        <f>B5+B7+B9</f>
        <v>70175814.826454729</v>
      </c>
      <c r="E5" t="s">
        <v>106</v>
      </c>
    </row>
    <row r="6" spans="1:5" x14ac:dyDescent="0.25">
      <c r="A6" s="3" t="s">
        <v>39</v>
      </c>
      <c r="B6" s="1">
        <v>1474953.7737456458</v>
      </c>
      <c r="D6" s="4">
        <f>B8</f>
        <v>286749.88713821757</v>
      </c>
      <c r="E6" t="s">
        <v>107</v>
      </c>
    </row>
    <row r="7" spans="1:5" x14ac:dyDescent="0.25">
      <c r="A7" s="3" t="s">
        <v>40</v>
      </c>
      <c r="B7" s="1">
        <v>56711768.493898332</v>
      </c>
      <c r="D7" s="4">
        <f>SUM(D4:D6)</f>
        <v>128202821.39651167</v>
      </c>
    </row>
    <row r="8" spans="1:5" x14ac:dyDescent="0.25">
      <c r="A8" s="3" t="s">
        <v>41</v>
      </c>
      <c r="B8" s="1">
        <v>286749.88713821757</v>
      </c>
    </row>
    <row r="9" spans="1:5" x14ac:dyDescent="0.25">
      <c r="A9" s="3" t="s">
        <v>42</v>
      </c>
      <c r="B9" s="1">
        <v>8945665.0034881048</v>
      </c>
      <c r="E9" t="s">
        <v>108</v>
      </c>
    </row>
    <row r="10" spans="1:5" x14ac:dyDescent="0.25">
      <c r="A10" s="3" t="s">
        <v>62</v>
      </c>
      <c r="B10" s="1">
        <v>3319157.5503887823</v>
      </c>
      <c r="D10" s="4">
        <f>B10+B12</f>
        <v>7089295.5929637952</v>
      </c>
      <c r="E10" t="s">
        <v>105</v>
      </c>
    </row>
    <row r="11" spans="1:5" x14ac:dyDescent="0.25">
      <c r="A11" s="3" t="s">
        <v>64</v>
      </c>
      <c r="B11" s="1">
        <v>2335164.8842638182</v>
      </c>
      <c r="D11" s="4">
        <f>B11+B13+B14</f>
        <v>43121702.394930281</v>
      </c>
      <c r="E11" t="s">
        <v>106</v>
      </c>
    </row>
    <row r="12" spans="1:5" x14ac:dyDescent="0.25">
      <c r="A12" s="3" t="s">
        <v>65</v>
      </c>
      <c r="B12" s="1">
        <v>3770138.0425750129</v>
      </c>
      <c r="D12" s="4">
        <v>0</v>
      </c>
      <c r="E12" t="s">
        <v>107</v>
      </c>
    </row>
    <row r="13" spans="1:5" x14ac:dyDescent="0.25">
      <c r="A13" s="3" t="s">
        <v>66</v>
      </c>
      <c r="B13" s="1">
        <v>35843988.56250079</v>
      </c>
      <c r="D13" s="4">
        <f>SUM(D10:D12)</f>
        <v>50210997.987894073</v>
      </c>
    </row>
    <row r="14" spans="1:5" x14ac:dyDescent="0.25">
      <c r="A14" s="3" t="s">
        <v>67</v>
      </c>
      <c r="B14" s="1">
        <v>4942548.9481656728</v>
      </c>
    </row>
    <row r="15" spans="1:5" x14ac:dyDescent="0.25">
      <c r="A15" s="3" t="s">
        <v>103</v>
      </c>
      <c r="B15" s="1">
        <v>178413819.38440576</v>
      </c>
      <c r="D15" s="4"/>
    </row>
    <row r="16" spans="1:5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2"/>
  <sheetViews>
    <sheetView workbookViewId="0">
      <selection activeCell="L502" sqref="A1:L502"/>
    </sheetView>
  </sheetViews>
  <sheetFormatPr defaultRowHeight="15" x14ac:dyDescent="0.25"/>
  <cols>
    <col min="1" max="1" width="13" customWidth="1"/>
    <col min="2" max="2" width="6" customWidth="1"/>
    <col min="3" max="3" width="5" customWidth="1"/>
    <col min="4" max="8" width="13" customWidth="1"/>
    <col min="9" max="9" width="7" customWidth="1"/>
    <col min="10" max="11" width="13" customWidth="1"/>
    <col min="12" max="12" width="3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0</v>
      </c>
      <c r="E2">
        <v>1969134</v>
      </c>
      <c r="F2">
        <v>0</v>
      </c>
      <c r="G2">
        <v>0</v>
      </c>
      <c r="I2" t="s">
        <v>14</v>
      </c>
      <c r="J2">
        <v>1969134</v>
      </c>
      <c r="K2">
        <v>1</v>
      </c>
      <c r="L2" t="s">
        <v>15</v>
      </c>
    </row>
    <row r="3" spans="1:12" x14ac:dyDescent="0.25">
      <c r="A3">
        <v>1</v>
      </c>
      <c r="B3" t="s">
        <v>16</v>
      </c>
      <c r="C3" t="s">
        <v>13</v>
      </c>
      <c r="D3">
        <v>0</v>
      </c>
      <c r="E3">
        <v>1738208</v>
      </c>
      <c r="F3">
        <v>0</v>
      </c>
      <c r="G3">
        <v>0</v>
      </c>
      <c r="I3" t="s">
        <v>14</v>
      </c>
      <c r="J3">
        <v>1738208</v>
      </c>
      <c r="K3">
        <v>1</v>
      </c>
      <c r="L3" t="s">
        <v>15</v>
      </c>
    </row>
    <row r="4" spans="1:12" x14ac:dyDescent="0.25">
      <c r="A4">
        <v>1</v>
      </c>
      <c r="B4" t="s">
        <v>17</v>
      </c>
      <c r="C4" t="s">
        <v>13</v>
      </c>
      <c r="D4">
        <v>0</v>
      </c>
      <c r="E4">
        <v>243475</v>
      </c>
      <c r="F4">
        <v>0</v>
      </c>
      <c r="G4">
        <v>0</v>
      </c>
      <c r="I4" t="s">
        <v>14</v>
      </c>
      <c r="J4">
        <v>243475</v>
      </c>
      <c r="K4">
        <v>1</v>
      </c>
      <c r="L4" t="s">
        <v>15</v>
      </c>
    </row>
    <row r="5" spans="1:12" x14ac:dyDescent="0.25">
      <c r="A5">
        <v>1</v>
      </c>
      <c r="B5" t="s">
        <v>18</v>
      </c>
      <c r="C5" t="s">
        <v>13</v>
      </c>
      <c r="D5">
        <v>0</v>
      </c>
      <c r="E5">
        <v>722408</v>
      </c>
      <c r="F5">
        <v>0</v>
      </c>
      <c r="G5">
        <v>0</v>
      </c>
      <c r="I5" t="s">
        <v>14</v>
      </c>
      <c r="J5">
        <v>722408</v>
      </c>
      <c r="K5">
        <v>1</v>
      </c>
      <c r="L5" t="s">
        <v>15</v>
      </c>
    </row>
    <row r="6" spans="1:12" x14ac:dyDescent="0.25">
      <c r="A6">
        <v>1</v>
      </c>
      <c r="B6" t="s">
        <v>19</v>
      </c>
      <c r="C6" t="s">
        <v>13</v>
      </c>
      <c r="D6">
        <v>0</v>
      </c>
      <c r="E6">
        <v>71455</v>
      </c>
      <c r="F6">
        <v>0</v>
      </c>
      <c r="G6">
        <v>0</v>
      </c>
      <c r="I6" t="s">
        <v>14</v>
      </c>
      <c r="J6">
        <v>71455</v>
      </c>
      <c r="K6">
        <v>1</v>
      </c>
      <c r="L6" t="s">
        <v>15</v>
      </c>
    </row>
    <row r="7" spans="1:12" x14ac:dyDescent="0.25">
      <c r="A7">
        <v>1</v>
      </c>
      <c r="B7" t="s">
        <v>20</v>
      </c>
      <c r="C7" t="s">
        <v>13</v>
      </c>
      <c r="D7">
        <v>0</v>
      </c>
      <c r="E7">
        <v>4119864</v>
      </c>
      <c r="F7">
        <v>0</v>
      </c>
      <c r="G7">
        <v>0</v>
      </c>
      <c r="I7" t="s">
        <v>14</v>
      </c>
      <c r="J7">
        <v>4119864</v>
      </c>
      <c r="K7">
        <v>1</v>
      </c>
      <c r="L7" t="s">
        <v>15</v>
      </c>
    </row>
    <row r="8" spans="1:12" x14ac:dyDescent="0.25">
      <c r="A8">
        <v>1</v>
      </c>
      <c r="B8" t="s">
        <v>21</v>
      </c>
      <c r="C8" t="s">
        <v>13</v>
      </c>
      <c r="D8">
        <v>0</v>
      </c>
      <c r="E8">
        <v>782355</v>
      </c>
      <c r="F8">
        <v>0</v>
      </c>
      <c r="G8">
        <v>0</v>
      </c>
      <c r="I8" t="s">
        <v>14</v>
      </c>
      <c r="J8">
        <v>782355</v>
      </c>
      <c r="K8">
        <v>1</v>
      </c>
      <c r="L8" t="s">
        <v>15</v>
      </c>
    </row>
    <row r="9" spans="1:12" x14ac:dyDescent="0.25">
      <c r="A9">
        <v>1</v>
      </c>
      <c r="B9" t="s">
        <v>20</v>
      </c>
      <c r="C9" t="s">
        <v>22</v>
      </c>
      <c r="D9">
        <v>0</v>
      </c>
      <c r="E9">
        <v>50510</v>
      </c>
      <c r="F9">
        <v>0</v>
      </c>
      <c r="G9">
        <v>0</v>
      </c>
      <c r="I9" t="s">
        <v>14</v>
      </c>
      <c r="J9">
        <v>50510</v>
      </c>
      <c r="K9">
        <v>1</v>
      </c>
      <c r="L9" t="s">
        <v>23</v>
      </c>
    </row>
    <row r="10" spans="1:12" x14ac:dyDescent="0.25">
      <c r="A10">
        <v>1</v>
      </c>
      <c r="B10" t="s">
        <v>21</v>
      </c>
      <c r="C10" t="s">
        <v>22</v>
      </c>
      <c r="D10">
        <v>0</v>
      </c>
      <c r="E10">
        <v>55975</v>
      </c>
      <c r="F10">
        <v>0</v>
      </c>
      <c r="G10">
        <v>0</v>
      </c>
      <c r="I10" t="s">
        <v>14</v>
      </c>
      <c r="J10">
        <v>55975</v>
      </c>
      <c r="K10">
        <v>1</v>
      </c>
      <c r="L10" t="s">
        <v>23</v>
      </c>
    </row>
    <row r="11" spans="1:12" x14ac:dyDescent="0.25">
      <c r="A11">
        <v>1</v>
      </c>
      <c r="B11" t="s">
        <v>20</v>
      </c>
      <c r="C11" t="s">
        <v>24</v>
      </c>
      <c r="D11">
        <v>0</v>
      </c>
      <c r="E11">
        <v>103673</v>
      </c>
      <c r="F11">
        <v>0</v>
      </c>
      <c r="G11">
        <v>0</v>
      </c>
      <c r="I11" t="s">
        <v>14</v>
      </c>
      <c r="J11">
        <v>103673</v>
      </c>
      <c r="K11">
        <v>1</v>
      </c>
      <c r="L11" t="s">
        <v>25</v>
      </c>
    </row>
    <row r="12" spans="1:12" x14ac:dyDescent="0.25">
      <c r="A12">
        <v>1</v>
      </c>
      <c r="B12" t="s">
        <v>21</v>
      </c>
      <c r="C12" t="s">
        <v>26</v>
      </c>
      <c r="D12">
        <v>0</v>
      </c>
      <c r="E12">
        <v>232098</v>
      </c>
      <c r="F12">
        <v>0</v>
      </c>
      <c r="G12">
        <v>0</v>
      </c>
      <c r="I12" t="s">
        <v>14</v>
      </c>
      <c r="J12">
        <v>232098</v>
      </c>
      <c r="K12">
        <v>1</v>
      </c>
      <c r="L12" t="s">
        <v>27</v>
      </c>
    </row>
    <row r="13" spans="1:12" x14ac:dyDescent="0.25">
      <c r="A13">
        <v>1</v>
      </c>
      <c r="B13" t="s">
        <v>16</v>
      </c>
      <c r="C13" t="s">
        <v>26</v>
      </c>
      <c r="D13">
        <v>0</v>
      </c>
      <c r="E13">
        <v>170418</v>
      </c>
      <c r="F13">
        <v>0</v>
      </c>
      <c r="G13">
        <v>0</v>
      </c>
      <c r="I13" t="s">
        <v>14</v>
      </c>
      <c r="J13">
        <v>170418</v>
      </c>
      <c r="K13">
        <v>1</v>
      </c>
      <c r="L13" t="s">
        <v>27</v>
      </c>
    </row>
    <row r="14" spans="1:12" x14ac:dyDescent="0.25">
      <c r="A14">
        <v>1</v>
      </c>
      <c r="B14" t="s">
        <v>20</v>
      </c>
      <c r="C14" t="s">
        <v>26</v>
      </c>
      <c r="D14">
        <v>0</v>
      </c>
      <c r="E14">
        <v>500007</v>
      </c>
      <c r="F14">
        <v>0</v>
      </c>
      <c r="G14">
        <v>0</v>
      </c>
      <c r="I14" t="s">
        <v>14</v>
      </c>
      <c r="J14">
        <v>500007</v>
      </c>
      <c r="K14">
        <v>1</v>
      </c>
      <c r="L14" t="s">
        <v>27</v>
      </c>
    </row>
    <row r="15" spans="1:12" x14ac:dyDescent="0.25">
      <c r="A15">
        <v>1</v>
      </c>
      <c r="B15" t="s">
        <v>20</v>
      </c>
      <c r="C15" t="s">
        <v>28</v>
      </c>
      <c r="D15">
        <v>0</v>
      </c>
      <c r="E15">
        <v>231057</v>
      </c>
      <c r="F15">
        <v>0</v>
      </c>
      <c r="G15">
        <v>0</v>
      </c>
      <c r="I15" t="s">
        <v>14</v>
      </c>
      <c r="J15">
        <v>231057</v>
      </c>
      <c r="K15">
        <v>1</v>
      </c>
      <c r="L15" t="s">
        <v>29</v>
      </c>
    </row>
    <row r="16" spans="1:12" x14ac:dyDescent="0.25">
      <c r="A16">
        <v>1</v>
      </c>
      <c r="B16" t="s">
        <v>17</v>
      </c>
      <c r="C16" t="s">
        <v>28</v>
      </c>
      <c r="D16">
        <v>0</v>
      </c>
      <c r="E16">
        <v>67246</v>
      </c>
      <c r="F16">
        <v>0</v>
      </c>
      <c r="G16">
        <v>0</v>
      </c>
      <c r="I16" t="s">
        <v>14</v>
      </c>
      <c r="J16">
        <v>67246</v>
      </c>
      <c r="K16">
        <v>1</v>
      </c>
      <c r="L16" t="s">
        <v>29</v>
      </c>
    </row>
    <row r="17" spans="1:12" x14ac:dyDescent="0.25">
      <c r="A17">
        <v>1</v>
      </c>
      <c r="B17" t="s">
        <v>18</v>
      </c>
      <c r="C17" t="s">
        <v>28</v>
      </c>
      <c r="D17">
        <v>0</v>
      </c>
      <c r="E17">
        <v>98398</v>
      </c>
      <c r="F17">
        <v>0</v>
      </c>
      <c r="G17">
        <v>0</v>
      </c>
      <c r="I17" t="s">
        <v>14</v>
      </c>
      <c r="J17">
        <v>98398</v>
      </c>
      <c r="K17">
        <v>1</v>
      </c>
      <c r="L17" t="s">
        <v>29</v>
      </c>
    </row>
    <row r="18" spans="1:12" x14ac:dyDescent="0.25">
      <c r="A18">
        <v>1</v>
      </c>
      <c r="B18" t="s">
        <v>16</v>
      </c>
      <c r="C18" t="s">
        <v>28</v>
      </c>
      <c r="D18">
        <v>0</v>
      </c>
      <c r="E18">
        <v>214019</v>
      </c>
      <c r="F18">
        <v>0</v>
      </c>
      <c r="G18">
        <v>0</v>
      </c>
      <c r="I18" t="s">
        <v>14</v>
      </c>
      <c r="J18">
        <v>214019</v>
      </c>
      <c r="K18">
        <v>1</v>
      </c>
      <c r="L18" t="s">
        <v>29</v>
      </c>
    </row>
    <row r="19" spans="1:12" x14ac:dyDescent="0.25">
      <c r="A19">
        <v>1</v>
      </c>
      <c r="B19" t="s">
        <v>21</v>
      </c>
      <c r="C19" t="s">
        <v>30</v>
      </c>
      <c r="E19">
        <v>11293.924667396819</v>
      </c>
      <c r="G19">
        <v>0</v>
      </c>
      <c r="I19" t="s">
        <v>31</v>
      </c>
      <c r="J19">
        <v>11293.924667396819</v>
      </c>
      <c r="K19">
        <v>2</v>
      </c>
      <c r="L19" t="s">
        <v>32</v>
      </c>
    </row>
    <row r="20" spans="1:12" x14ac:dyDescent="0.25">
      <c r="A20">
        <v>1</v>
      </c>
      <c r="B20" t="s">
        <v>33</v>
      </c>
      <c r="C20" t="s">
        <v>30</v>
      </c>
      <c r="E20">
        <v>9302.8142912944386</v>
      </c>
      <c r="G20">
        <v>0</v>
      </c>
      <c r="I20" t="s">
        <v>31</v>
      </c>
      <c r="J20">
        <v>9302.8142912944386</v>
      </c>
      <c r="K20">
        <v>2</v>
      </c>
      <c r="L20" t="s">
        <v>32</v>
      </c>
    </row>
    <row r="21" spans="1:12" x14ac:dyDescent="0.25">
      <c r="A21">
        <v>1</v>
      </c>
      <c r="B21" t="s">
        <v>19</v>
      </c>
      <c r="C21" t="s">
        <v>30</v>
      </c>
      <c r="D21">
        <v>0</v>
      </c>
      <c r="E21">
        <v>127708</v>
      </c>
      <c r="F21">
        <v>0</v>
      </c>
      <c r="G21">
        <v>0</v>
      </c>
      <c r="I21" t="s">
        <v>14</v>
      </c>
      <c r="J21">
        <v>127708</v>
      </c>
      <c r="K21">
        <v>2</v>
      </c>
      <c r="L21" t="s">
        <v>32</v>
      </c>
    </row>
    <row r="22" spans="1:12" x14ac:dyDescent="0.25">
      <c r="A22">
        <v>1</v>
      </c>
      <c r="B22" t="s">
        <v>16</v>
      </c>
      <c r="C22" t="s">
        <v>30</v>
      </c>
      <c r="E22">
        <v>100605.62259845567</v>
      </c>
      <c r="G22">
        <v>0</v>
      </c>
      <c r="I22" t="s">
        <v>31</v>
      </c>
      <c r="J22">
        <v>100605.62259845567</v>
      </c>
      <c r="K22">
        <v>2</v>
      </c>
      <c r="L22" t="s">
        <v>32</v>
      </c>
    </row>
    <row r="23" spans="1:12" x14ac:dyDescent="0.25">
      <c r="A23">
        <v>1</v>
      </c>
      <c r="B23" t="s">
        <v>12</v>
      </c>
      <c r="C23" t="s">
        <v>30</v>
      </c>
      <c r="E23">
        <v>4662.7762110889689</v>
      </c>
      <c r="G23">
        <v>0</v>
      </c>
      <c r="I23" t="s">
        <v>31</v>
      </c>
      <c r="J23">
        <v>4662.7762110889689</v>
      </c>
      <c r="K23">
        <v>2</v>
      </c>
      <c r="L23" t="s">
        <v>32</v>
      </c>
    </row>
    <row r="24" spans="1:12" x14ac:dyDescent="0.25">
      <c r="A24">
        <v>1</v>
      </c>
      <c r="B24" t="s">
        <v>16</v>
      </c>
      <c r="C24" t="s">
        <v>30</v>
      </c>
      <c r="D24">
        <v>0</v>
      </c>
      <c r="E24">
        <v>1167041</v>
      </c>
      <c r="F24">
        <v>0</v>
      </c>
      <c r="G24">
        <v>0</v>
      </c>
      <c r="I24" t="s">
        <v>14</v>
      </c>
      <c r="J24">
        <v>1167041</v>
      </c>
      <c r="K24">
        <v>2</v>
      </c>
      <c r="L24" t="s">
        <v>32</v>
      </c>
    </row>
    <row r="25" spans="1:12" x14ac:dyDescent="0.25">
      <c r="A25">
        <v>1</v>
      </c>
      <c r="B25" t="s">
        <v>21</v>
      </c>
      <c r="C25" t="s">
        <v>30</v>
      </c>
      <c r="D25">
        <v>0</v>
      </c>
      <c r="E25">
        <v>152846</v>
      </c>
      <c r="F25">
        <v>0</v>
      </c>
      <c r="G25">
        <v>0</v>
      </c>
      <c r="I25" t="s">
        <v>14</v>
      </c>
      <c r="J25">
        <v>152846</v>
      </c>
      <c r="K25">
        <v>2</v>
      </c>
      <c r="L25" t="s">
        <v>32</v>
      </c>
    </row>
    <row r="26" spans="1:12" x14ac:dyDescent="0.25">
      <c r="A26">
        <v>1</v>
      </c>
      <c r="B26" t="s">
        <v>20</v>
      </c>
      <c r="C26" t="s">
        <v>30</v>
      </c>
      <c r="E26">
        <v>334739.50062530761</v>
      </c>
      <c r="G26">
        <v>0</v>
      </c>
      <c r="I26" t="s">
        <v>31</v>
      </c>
      <c r="J26">
        <v>334739.50062530761</v>
      </c>
      <c r="K26">
        <v>2</v>
      </c>
      <c r="L26" t="s">
        <v>32</v>
      </c>
    </row>
    <row r="27" spans="1:12" x14ac:dyDescent="0.25">
      <c r="A27">
        <v>1</v>
      </c>
      <c r="B27" t="s">
        <v>18</v>
      </c>
      <c r="C27" t="s">
        <v>30</v>
      </c>
      <c r="D27">
        <v>0</v>
      </c>
      <c r="E27">
        <v>299439</v>
      </c>
      <c r="F27">
        <v>0</v>
      </c>
      <c r="G27">
        <v>0</v>
      </c>
      <c r="I27" t="s">
        <v>14</v>
      </c>
      <c r="J27">
        <v>299439</v>
      </c>
      <c r="K27">
        <v>2</v>
      </c>
      <c r="L27" t="s">
        <v>32</v>
      </c>
    </row>
    <row r="28" spans="1:12" x14ac:dyDescent="0.25">
      <c r="A28">
        <v>1</v>
      </c>
      <c r="B28" t="s">
        <v>33</v>
      </c>
      <c r="C28" t="s">
        <v>30</v>
      </c>
      <c r="D28">
        <v>0</v>
      </c>
      <c r="E28">
        <v>103462</v>
      </c>
      <c r="F28">
        <v>0</v>
      </c>
      <c r="G28">
        <v>0</v>
      </c>
      <c r="I28" t="s">
        <v>14</v>
      </c>
      <c r="J28">
        <v>103462</v>
      </c>
      <c r="K28">
        <v>2</v>
      </c>
      <c r="L28" t="s">
        <v>32</v>
      </c>
    </row>
    <row r="29" spans="1:12" x14ac:dyDescent="0.25">
      <c r="A29">
        <v>1</v>
      </c>
      <c r="B29" t="s">
        <v>19</v>
      </c>
      <c r="C29" t="s">
        <v>30</v>
      </c>
      <c r="E29">
        <v>6162.2403161420089</v>
      </c>
      <c r="G29">
        <v>0</v>
      </c>
      <c r="I29" t="s">
        <v>31</v>
      </c>
      <c r="J29">
        <v>6162.2403161420089</v>
      </c>
      <c r="K29">
        <v>2</v>
      </c>
      <c r="L29" t="s">
        <v>32</v>
      </c>
    </row>
    <row r="30" spans="1:12" x14ac:dyDescent="0.25">
      <c r="A30">
        <v>1</v>
      </c>
      <c r="B30" t="s">
        <v>18</v>
      </c>
      <c r="C30" t="s">
        <v>30</v>
      </c>
      <c r="E30">
        <v>11076.57538002484</v>
      </c>
      <c r="G30">
        <v>0</v>
      </c>
      <c r="I30" t="s">
        <v>31</v>
      </c>
      <c r="J30">
        <v>11076.57538002484</v>
      </c>
      <c r="K30">
        <v>2</v>
      </c>
      <c r="L30" t="s">
        <v>32</v>
      </c>
    </row>
    <row r="31" spans="1:12" x14ac:dyDescent="0.25">
      <c r="A31">
        <v>1</v>
      </c>
      <c r="B31" t="s">
        <v>12</v>
      </c>
      <c r="C31" t="s">
        <v>30</v>
      </c>
      <c r="D31">
        <v>0</v>
      </c>
      <c r="E31">
        <v>114397</v>
      </c>
      <c r="F31">
        <v>0</v>
      </c>
      <c r="G31">
        <v>0</v>
      </c>
      <c r="I31" t="s">
        <v>14</v>
      </c>
      <c r="J31">
        <v>114397</v>
      </c>
      <c r="K31">
        <v>2</v>
      </c>
      <c r="L31" t="s">
        <v>32</v>
      </c>
    </row>
    <row r="32" spans="1:12" x14ac:dyDescent="0.25">
      <c r="A32">
        <v>1</v>
      </c>
      <c r="B32" t="s">
        <v>20</v>
      </c>
      <c r="C32" t="s">
        <v>30</v>
      </c>
      <c r="D32">
        <v>0</v>
      </c>
      <c r="E32">
        <v>4184886</v>
      </c>
      <c r="F32">
        <v>0</v>
      </c>
      <c r="G32">
        <v>0</v>
      </c>
      <c r="I32" t="s">
        <v>14</v>
      </c>
      <c r="J32">
        <v>4184886</v>
      </c>
      <c r="K32">
        <v>2</v>
      </c>
      <c r="L32" t="s">
        <v>32</v>
      </c>
    </row>
    <row r="33" spans="1:12" x14ac:dyDescent="0.25">
      <c r="A33">
        <v>1</v>
      </c>
      <c r="B33" t="s">
        <v>21</v>
      </c>
      <c r="C33" t="s">
        <v>34</v>
      </c>
      <c r="D33">
        <v>0</v>
      </c>
      <c r="E33">
        <v>1400595</v>
      </c>
      <c r="F33">
        <v>0</v>
      </c>
      <c r="G33">
        <v>0</v>
      </c>
      <c r="I33" t="s">
        <v>14</v>
      </c>
      <c r="J33">
        <v>1400595</v>
      </c>
      <c r="K33">
        <v>2</v>
      </c>
      <c r="L33" t="s">
        <v>35</v>
      </c>
    </row>
    <row r="34" spans="1:12" x14ac:dyDescent="0.25">
      <c r="A34">
        <v>1</v>
      </c>
      <c r="B34" t="s">
        <v>17</v>
      </c>
      <c r="C34" t="s">
        <v>34</v>
      </c>
      <c r="E34">
        <v>15889.690977135066</v>
      </c>
      <c r="G34">
        <v>0</v>
      </c>
      <c r="I34" t="s">
        <v>31</v>
      </c>
      <c r="J34">
        <v>15889.690977135066</v>
      </c>
      <c r="K34">
        <v>2</v>
      </c>
      <c r="L34" t="s">
        <v>35</v>
      </c>
    </row>
    <row r="35" spans="1:12" x14ac:dyDescent="0.25">
      <c r="A35">
        <v>1</v>
      </c>
      <c r="B35" t="s">
        <v>12</v>
      </c>
      <c r="C35" t="s">
        <v>34</v>
      </c>
      <c r="E35">
        <v>9457.969602577532</v>
      </c>
      <c r="G35">
        <v>0</v>
      </c>
      <c r="I35" t="s">
        <v>31</v>
      </c>
      <c r="J35">
        <v>9457.969602577532</v>
      </c>
      <c r="K35">
        <v>2</v>
      </c>
      <c r="L35" t="s">
        <v>35</v>
      </c>
    </row>
    <row r="36" spans="1:12" x14ac:dyDescent="0.25">
      <c r="A36">
        <v>1</v>
      </c>
      <c r="B36" t="s">
        <v>18</v>
      </c>
      <c r="C36" t="s">
        <v>34</v>
      </c>
      <c r="E36">
        <v>307467.9231564622</v>
      </c>
      <c r="G36">
        <v>0</v>
      </c>
      <c r="I36" t="s">
        <v>31</v>
      </c>
      <c r="J36">
        <v>307467.9231564622</v>
      </c>
      <c r="K36">
        <v>2</v>
      </c>
      <c r="L36" t="s">
        <v>35</v>
      </c>
    </row>
    <row r="37" spans="1:12" x14ac:dyDescent="0.25">
      <c r="A37">
        <v>1</v>
      </c>
      <c r="B37" t="s">
        <v>12</v>
      </c>
      <c r="C37" t="s">
        <v>34</v>
      </c>
      <c r="D37">
        <v>0</v>
      </c>
      <c r="E37">
        <v>253488</v>
      </c>
      <c r="F37">
        <v>0</v>
      </c>
      <c r="G37">
        <v>0</v>
      </c>
      <c r="I37" t="s">
        <v>14</v>
      </c>
      <c r="J37">
        <v>253488</v>
      </c>
      <c r="K37">
        <v>2</v>
      </c>
      <c r="L37" t="s">
        <v>35</v>
      </c>
    </row>
    <row r="38" spans="1:12" x14ac:dyDescent="0.25">
      <c r="A38">
        <v>1</v>
      </c>
      <c r="B38" t="s">
        <v>33</v>
      </c>
      <c r="C38" t="s">
        <v>34</v>
      </c>
      <c r="E38">
        <v>34173.700014261121</v>
      </c>
      <c r="G38">
        <v>0</v>
      </c>
      <c r="I38" t="s">
        <v>31</v>
      </c>
      <c r="J38">
        <v>34173.700014261121</v>
      </c>
      <c r="K38">
        <v>2</v>
      </c>
      <c r="L38" t="s">
        <v>35</v>
      </c>
    </row>
    <row r="39" spans="1:12" x14ac:dyDescent="0.25">
      <c r="A39">
        <v>1</v>
      </c>
      <c r="B39" t="s">
        <v>16</v>
      </c>
      <c r="C39" t="s">
        <v>34</v>
      </c>
      <c r="D39">
        <v>0</v>
      </c>
      <c r="E39">
        <v>3843273</v>
      </c>
      <c r="F39">
        <v>0</v>
      </c>
      <c r="G39">
        <v>0</v>
      </c>
      <c r="I39" t="s">
        <v>14</v>
      </c>
      <c r="J39">
        <v>3843273</v>
      </c>
      <c r="K39">
        <v>2</v>
      </c>
      <c r="L39" t="s">
        <v>35</v>
      </c>
    </row>
    <row r="40" spans="1:12" x14ac:dyDescent="0.25">
      <c r="A40">
        <v>1</v>
      </c>
      <c r="B40" t="s">
        <v>21</v>
      </c>
      <c r="C40" t="s">
        <v>34</v>
      </c>
      <c r="E40">
        <v>130276.09888816078</v>
      </c>
      <c r="G40">
        <v>0</v>
      </c>
      <c r="I40" t="s">
        <v>31</v>
      </c>
      <c r="J40">
        <v>130276.09888816078</v>
      </c>
      <c r="K40">
        <v>2</v>
      </c>
      <c r="L40" t="s">
        <v>35</v>
      </c>
    </row>
    <row r="41" spans="1:12" x14ac:dyDescent="0.25">
      <c r="A41">
        <v>1</v>
      </c>
      <c r="B41" t="s">
        <v>17</v>
      </c>
      <c r="C41" t="s">
        <v>34</v>
      </c>
      <c r="D41">
        <v>0</v>
      </c>
      <c r="E41">
        <v>209813</v>
      </c>
      <c r="F41">
        <v>0</v>
      </c>
      <c r="G41">
        <v>0</v>
      </c>
      <c r="I41" t="s">
        <v>14</v>
      </c>
      <c r="J41">
        <v>209813</v>
      </c>
      <c r="K41">
        <v>2</v>
      </c>
      <c r="L41" t="s">
        <v>35</v>
      </c>
    </row>
    <row r="42" spans="1:12" x14ac:dyDescent="0.25">
      <c r="A42">
        <v>1</v>
      </c>
      <c r="B42" t="s">
        <v>33</v>
      </c>
      <c r="C42" t="s">
        <v>34</v>
      </c>
      <c r="D42">
        <v>0</v>
      </c>
      <c r="E42">
        <v>215061</v>
      </c>
      <c r="F42">
        <v>0</v>
      </c>
      <c r="G42">
        <v>0</v>
      </c>
      <c r="I42" t="s">
        <v>14</v>
      </c>
      <c r="J42">
        <v>215061</v>
      </c>
      <c r="K42">
        <v>2</v>
      </c>
      <c r="L42" t="s">
        <v>35</v>
      </c>
    </row>
    <row r="43" spans="1:12" x14ac:dyDescent="0.25">
      <c r="A43">
        <v>1</v>
      </c>
      <c r="B43" t="s">
        <v>16</v>
      </c>
      <c r="C43" t="s">
        <v>34</v>
      </c>
      <c r="E43">
        <v>326981.58774394909</v>
      </c>
      <c r="G43">
        <v>0</v>
      </c>
      <c r="I43" t="s">
        <v>31</v>
      </c>
      <c r="J43">
        <v>326981.58774394909</v>
      </c>
      <c r="K43">
        <v>2</v>
      </c>
      <c r="L43" t="s">
        <v>35</v>
      </c>
    </row>
    <row r="44" spans="1:12" x14ac:dyDescent="0.25">
      <c r="A44">
        <v>1</v>
      </c>
      <c r="B44" t="s">
        <v>20</v>
      </c>
      <c r="C44" t="s">
        <v>34</v>
      </c>
      <c r="E44">
        <v>952888.33896493167</v>
      </c>
      <c r="G44">
        <v>0</v>
      </c>
      <c r="I44" t="s">
        <v>31</v>
      </c>
      <c r="J44">
        <v>952888.33896493167</v>
      </c>
      <c r="K44">
        <v>2</v>
      </c>
      <c r="L44" t="s">
        <v>35</v>
      </c>
    </row>
    <row r="45" spans="1:12" x14ac:dyDescent="0.25">
      <c r="A45">
        <v>1</v>
      </c>
      <c r="B45" t="s">
        <v>20</v>
      </c>
      <c r="C45" t="s">
        <v>34</v>
      </c>
      <c r="D45">
        <v>0</v>
      </c>
      <c r="E45">
        <v>11432285</v>
      </c>
      <c r="F45">
        <v>0</v>
      </c>
      <c r="G45">
        <v>0</v>
      </c>
      <c r="I45" t="s">
        <v>14</v>
      </c>
      <c r="J45">
        <v>11432285</v>
      </c>
      <c r="K45">
        <v>2</v>
      </c>
      <c r="L45" t="s">
        <v>35</v>
      </c>
    </row>
    <row r="46" spans="1:12" x14ac:dyDescent="0.25">
      <c r="A46">
        <v>1</v>
      </c>
      <c r="B46" t="s">
        <v>18</v>
      </c>
      <c r="C46" t="s">
        <v>34</v>
      </c>
      <c r="D46">
        <v>0</v>
      </c>
      <c r="E46">
        <v>1614354</v>
      </c>
      <c r="F46">
        <v>0</v>
      </c>
      <c r="G46">
        <v>0</v>
      </c>
      <c r="I46" t="s">
        <v>14</v>
      </c>
      <c r="J46">
        <v>1614354</v>
      </c>
      <c r="K46">
        <v>2</v>
      </c>
      <c r="L46" t="s">
        <v>35</v>
      </c>
    </row>
    <row r="47" spans="1:12" x14ac:dyDescent="0.25">
      <c r="A47">
        <v>1</v>
      </c>
      <c r="B47" t="s">
        <v>18</v>
      </c>
      <c r="C47" t="s">
        <v>36</v>
      </c>
      <c r="E47">
        <v>613780.64259034651</v>
      </c>
      <c r="G47">
        <v>0</v>
      </c>
      <c r="I47" t="s">
        <v>31</v>
      </c>
      <c r="J47">
        <v>613780.64259034651</v>
      </c>
      <c r="K47">
        <v>2</v>
      </c>
      <c r="L47" t="s">
        <v>37</v>
      </c>
    </row>
    <row r="48" spans="1:12" x14ac:dyDescent="0.25">
      <c r="A48">
        <v>1</v>
      </c>
      <c r="B48" t="s">
        <v>18</v>
      </c>
      <c r="C48" t="s">
        <v>36</v>
      </c>
      <c r="D48">
        <v>0</v>
      </c>
      <c r="E48">
        <v>4419903</v>
      </c>
      <c r="F48">
        <v>0</v>
      </c>
      <c r="G48">
        <v>0</v>
      </c>
      <c r="I48" t="s">
        <v>14</v>
      </c>
      <c r="J48">
        <v>4419903</v>
      </c>
      <c r="K48">
        <v>2</v>
      </c>
      <c r="L48" t="s">
        <v>37</v>
      </c>
    </row>
    <row r="49" spans="1:12" x14ac:dyDescent="0.25">
      <c r="A49">
        <v>1</v>
      </c>
      <c r="B49" t="s">
        <v>33</v>
      </c>
      <c r="C49" t="s">
        <v>36</v>
      </c>
      <c r="D49">
        <v>0</v>
      </c>
      <c r="E49">
        <v>404337</v>
      </c>
      <c r="F49">
        <v>0</v>
      </c>
      <c r="G49">
        <v>0</v>
      </c>
      <c r="I49" t="s">
        <v>14</v>
      </c>
      <c r="J49">
        <v>404337</v>
      </c>
      <c r="K49">
        <v>2</v>
      </c>
      <c r="L49" t="s">
        <v>37</v>
      </c>
    </row>
    <row r="50" spans="1:12" x14ac:dyDescent="0.25">
      <c r="A50">
        <v>1</v>
      </c>
      <c r="B50" t="s">
        <v>17</v>
      </c>
      <c r="C50" t="s">
        <v>36</v>
      </c>
      <c r="E50">
        <v>159633.40912484922</v>
      </c>
      <c r="G50">
        <v>0</v>
      </c>
      <c r="I50" t="s">
        <v>31</v>
      </c>
      <c r="J50">
        <v>159633.40912484922</v>
      </c>
      <c r="K50">
        <v>2</v>
      </c>
      <c r="L50" t="s">
        <v>37</v>
      </c>
    </row>
    <row r="51" spans="1:12" x14ac:dyDescent="0.25">
      <c r="A51">
        <v>1</v>
      </c>
      <c r="B51" t="s">
        <v>12</v>
      </c>
      <c r="C51" t="s">
        <v>36</v>
      </c>
      <c r="E51">
        <v>29304.11550830186</v>
      </c>
      <c r="G51">
        <v>0</v>
      </c>
      <c r="I51" t="s">
        <v>31</v>
      </c>
      <c r="J51">
        <v>29304.11550830186</v>
      </c>
      <c r="K51">
        <v>2</v>
      </c>
      <c r="L51" t="s">
        <v>37</v>
      </c>
    </row>
    <row r="52" spans="1:12" x14ac:dyDescent="0.25">
      <c r="A52">
        <v>1</v>
      </c>
      <c r="B52" t="s">
        <v>19</v>
      </c>
      <c r="C52" t="s">
        <v>36</v>
      </c>
      <c r="E52">
        <v>3447.8880085032047</v>
      </c>
      <c r="G52">
        <v>0</v>
      </c>
      <c r="I52" t="s">
        <v>31</v>
      </c>
      <c r="J52">
        <v>3447.8880085032047</v>
      </c>
      <c r="K52">
        <v>2</v>
      </c>
      <c r="L52" t="s">
        <v>37</v>
      </c>
    </row>
    <row r="53" spans="1:12" x14ac:dyDescent="0.25">
      <c r="A53">
        <v>1</v>
      </c>
      <c r="B53" t="s">
        <v>20</v>
      </c>
      <c r="C53" t="s">
        <v>36</v>
      </c>
      <c r="E53">
        <v>2507623.8026043479</v>
      </c>
      <c r="G53">
        <v>0</v>
      </c>
      <c r="I53" t="s">
        <v>31</v>
      </c>
      <c r="J53">
        <v>2507623.8026043479</v>
      </c>
      <c r="K53">
        <v>2</v>
      </c>
      <c r="L53" t="s">
        <v>37</v>
      </c>
    </row>
    <row r="54" spans="1:12" x14ac:dyDescent="0.25">
      <c r="A54">
        <v>1</v>
      </c>
      <c r="B54" t="s">
        <v>16</v>
      </c>
      <c r="C54" t="s">
        <v>36</v>
      </c>
      <c r="D54">
        <v>0</v>
      </c>
      <c r="E54">
        <v>11213589</v>
      </c>
      <c r="F54">
        <v>0</v>
      </c>
      <c r="G54">
        <v>0</v>
      </c>
      <c r="I54" t="s">
        <v>14</v>
      </c>
      <c r="J54">
        <v>11213589</v>
      </c>
      <c r="K54">
        <v>2</v>
      </c>
      <c r="L54" t="s">
        <v>37</v>
      </c>
    </row>
    <row r="55" spans="1:12" x14ac:dyDescent="0.25">
      <c r="A55">
        <v>1</v>
      </c>
      <c r="B55" t="s">
        <v>19</v>
      </c>
      <c r="C55" t="s">
        <v>36</v>
      </c>
      <c r="D55">
        <v>0</v>
      </c>
      <c r="E55">
        <v>71455</v>
      </c>
      <c r="F55">
        <v>0</v>
      </c>
      <c r="G55">
        <v>0</v>
      </c>
      <c r="I55" t="s">
        <v>14</v>
      </c>
      <c r="J55">
        <v>71455</v>
      </c>
      <c r="K55">
        <v>2</v>
      </c>
      <c r="L55" t="s">
        <v>37</v>
      </c>
    </row>
    <row r="56" spans="1:12" x14ac:dyDescent="0.25">
      <c r="A56">
        <v>1</v>
      </c>
      <c r="B56" t="s">
        <v>33</v>
      </c>
      <c r="C56" t="s">
        <v>36</v>
      </c>
      <c r="E56">
        <v>39010.544365710695</v>
      </c>
      <c r="G56">
        <v>0</v>
      </c>
      <c r="I56" t="s">
        <v>31</v>
      </c>
      <c r="J56">
        <v>39010.544365710695</v>
      </c>
      <c r="K56">
        <v>2</v>
      </c>
      <c r="L56" t="s">
        <v>37</v>
      </c>
    </row>
    <row r="57" spans="1:12" x14ac:dyDescent="0.25">
      <c r="A57">
        <v>1</v>
      </c>
      <c r="B57" t="s">
        <v>21</v>
      </c>
      <c r="C57" t="s">
        <v>36</v>
      </c>
      <c r="E57">
        <v>344525.35930129472</v>
      </c>
      <c r="G57">
        <v>0</v>
      </c>
      <c r="I57" t="s">
        <v>31</v>
      </c>
      <c r="J57">
        <v>344525.35930129472</v>
      </c>
      <c r="K57">
        <v>2</v>
      </c>
      <c r="L57" t="s">
        <v>37</v>
      </c>
    </row>
    <row r="58" spans="1:12" x14ac:dyDescent="0.25">
      <c r="A58">
        <v>1</v>
      </c>
      <c r="B58" t="s">
        <v>12</v>
      </c>
      <c r="C58" t="s">
        <v>36</v>
      </c>
      <c r="D58">
        <v>0</v>
      </c>
      <c r="E58">
        <v>980495</v>
      </c>
      <c r="F58">
        <v>0</v>
      </c>
      <c r="G58">
        <v>0</v>
      </c>
      <c r="I58" t="s">
        <v>14</v>
      </c>
      <c r="J58">
        <v>980495</v>
      </c>
      <c r="K58">
        <v>2</v>
      </c>
      <c r="L58" t="s">
        <v>37</v>
      </c>
    </row>
    <row r="59" spans="1:12" x14ac:dyDescent="0.25">
      <c r="A59">
        <v>1</v>
      </c>
      <c r="B59" t="s">
        <v>20</v>
      </c>
      <c r="C59" t="s">
        <v>36</v>
      </c>
      <c r="D59">
        <v>0</v>
      </c>
      <c r="E59">
        <v>29778094</v>
      </c>
      <c r="F59">
        <v>0</v>
      </c>
      <c r="G59">
        <v>0</v>
      </c>
      <c r="I59" t="s">
        <v>14</v>
      </c>
      <c r="J59">
        <v>29778094</v>
      </c>
      <c r="K59">
        <v>2</v>
      </c>
      <c r="L59" t="s">
        <v>37</v>
      </c>
    </row>
    <row r="60" spans="1:12" x14ac:dyDescent="0.25">
      <c r="A60">
        <v>1</v>
      </c>
      <c r="B60" t="s">
        <v>21</v>
      </c>
      <c r="C60" t="s">
        <v>36</v>
      </c>
      <c r="D60">
        <v>0</v>
      </c>
      <c r="E60">
        <v>3766989</v>
      </c>
      <c r="F60">
        <v>0</v>
      </c>
      <c r="G60">
        <v>0</v>
      </c>
      <c r="I60" t="s">
        <v>14</v>
      </c>
      <c r="J60">
        <v>3766989</v>
      </c>
      <c r="K60">
        <v>2</v>
      </c>
      <c r="L60" t="s">
        <v>37</v>
      </c>
    </row>
    <row r="61" spans="1:12" x14ac:dyDescent="0.25">
      <c r="A61">
        <v>1</v>
      </c>
      <c r="B61" t="s">
        <v>17</v>
      </c>
      <c r="C61" t="s">
        <v>36</v>
      </c>
      <c r="D61">
        <v>0</v>
      </c>
      <c r="E61">
        <v>967387</v>
      </c>
      <c r="F61">
        <v>0</v>
      </c>
      <c r="G61">
        <v>0</v>
      </c>
      <c r="I61" t="s">
        <v>14</v>
      </c>
      <c r="J61">
        <v>967387</v>
      </c>
      <c r="K61">
        <v>2</v>
      </c>
      <c r="L61" t="s">
        <v>37</v>
      </c>
    </row>
    <row r="62" spans="1:12" x14ac:dyDescent="0.25">
      <c r="A62">
        <v>1</v>
      </c>
      <c r="B62" t="s">
        <v>16</v>
      </c>
      <c r="C62" t="s">
        <v>36</v>
      </c>
      <c r="E62">
        <v>965728.14766972663</v>
      </c>
      <c r="G62">
        <v>0</v>
      </c>
      <c r="I62" t="s">
        <v>31</v>
      </c>
      <c r="J62">
        <v>965728.14766972663</v>
      </c>
      <c r="K62">
        <v>2</v>
      </c>
      <c r="L62" t="s">
        <v>37</v>
      </c>
    </row>
    <row r="63" spans="1:12" x14ac:dyDescent="0.25">
      <c r="A63">
        <v>1</v>
      </c>
      <c r="B63" t="s">
        <v>18</v>
      </c>
      <c r="C63" t="s">
        <v>38</v>
      </c>
      <c r="D63">
        <v>0</v>
      </c>
      <c r="E63">
        <v>159105</v>
      </c>
      <c r="F63">
        <v>0</v>
      </c>
      <c r="G63">
        <v>0</v>
      </c>
      <c r="I63" t="s">
        <v>14</v>
      </c>
      <c r="J63">
        <v>159105</v>
      </c>
      <c r="K63">
        <v>2</v>
      </c>
      <c r="L63" t="s">
        <v>37</v>
      </c>
    </row>
    <row r="64" spans="1:12" x14ac:dyDescent="0.25">
      <c r="A64">
        <v>1</v>
      </c>
      <c r="B64" t="s">
        <v>18</v>
      </c>
      <c r="C64" t="s">
        <v>38</v>
      </c>
      <c r="E64">
        <v>42725.640884423956</v>
      </c>
      <c r="G64">
        <v>0</v>
      </c>
      <c r="I64" t="s">
        <v>31</v>
      </c>
      <c r="J64">
        <v>42725.640884423956</v>
      </c>
      <c r="K64">
        <v>2</v>
      </c>
      <c r="L64" t="s">
        <v>37</v>
      </c>
    </row>
    <row r="65" spans="1:12" x14ac:dyDescent="0.25">
      <c r="A65">
        <v>1</v>
      </c>
      <c r="B65" t="s">
        <v>17</v>
      </c>
      <c r="C65" t="s">
        <v>38</v>
      </c>
      <c r="E65">
        <v>4243.1638406059074</v>
      </c>
      <c r="G65">
        <v>0</v>
      </c>
      <c r="I65" t="s">
        <v>31</v>
      </c>
      <c r="J65">
        <v>4243.1638406059074</v>
      </c>
      <c r="K65">
        <v>2</v>
      </c>
      <c r="L65" t="s">
        <v>37</v>
      </c>
    </row>
    <row r="66" spans="1:12" x14ac:dyDescent="0.25">
      <c r="A66">
        <v>1</v>
      </c>
      <c r="B66" t="s">
        <v>21</v>
      </c>
      <c r="C66" t="s">
        <v>38</v>
      </c>
      <c r="E66">
        <v>21702.279247761358</v>
      </c>
      <c r="G66">
        <v>0</v>
      </c>
      <c r="I66" t="s">
        <v>31</v>
      </c>
      <c r="J66">
        <v>21702.279247761358</v>
      </c>
      <c r="K66">
        <v>2</v>
      </c>
      <c r="L66" t="s">
        <v>37</v>
      </c>
    </row>
    <row r="67" spans="1:12" x14ac:dyDescent="0.25">
      <c r="A67">
        <v>1</v>
      </c>
      <c r="B67" t="s">
        <v>21</v>
      </c>
      <c r="C67" t="s">
        <v>38</v>
      </c>
      <c r="D67">
        <v>0</v>
      </c>
      <c r="E67">
        <v>283660</v>
      </c>
      <c r="F67">
        <v>0</v>
      </c>
      <c r="G67">
        <v>0</v>
      </c>
      <c r="I67" t="s">
        <v>14</v>
      </c>
      <c r="J67">
        <v>283660</v>
      </c>
      <c r="K67">
        <v>2</v>
      </c>
      <c r="L67" t="s">
        <v>37</v>
      </c>
    </row>
    <row r="68" spans="1:12" x14ac:dyDescent="0.25">
      <c r="A68">
        <v>1</v>
      </c>
      <c r="B68" t="s">
        <v>17</v>
      </c>
      <c r="C68" t="s">
        <v>38</v>
      </c>
      <c r="D68">
        <v>0</v>
      </c>
      <c r="E68">
        <v>94675</v>
      </c>
      <c r="F68">
        <v>0</v>
      </c>
      <c r="G68">
        <v>0</v>
      </c>
      <c r="I68" t="s">
        <v>14</v>
      </c>
      <c r="J68">
        <v>94675</v>
      </c>
      <c r="K68">
        <v>2</v>
      </c>
      <c r="L68" t="s">
        <v>37</v>
      </c>
    </row>
    <row r="69" spans="1:12" x14ac:dyDescent="0.25">
      <c r="A69">
        <v>1</v>
      </c>
      <c r="B69" t="s">
        <v>20</v>
      </c>
      <c r="C69" t="s">
        <v>38</v>
      </c>
      <c r="D69">
        <v>0</v>
      </c>
      <c r="E69">
        <v>3161976</v>
      </c>
      <c r="F69">
        <v>0</v>
      </c>
      <c r="G69">
        <v>0</v>
      </c>
      <c r="I69" t="s">
        <v>14</v>
      </c>
      <c r="J69">
        <v>3161976</v>
      </c>
      <c r="K69">
        <v>2</v>
      </c>
      <c r="L69" t="s">
        <v>37</v>
      </c>
    </row>
    <row r="70" spans="1:12" x14ac:dyDescent="0.25">
      <c r="A70">
        <v>1</v>
      </c>
      <c r="B70" t="s">
        <v>20</v>
      </c>
      <c r="C70" t="s">
        <v>38</v>
      </c>
      <c r="E70">
        <v>257324.31643210715</v>
      </c>
      <c r="G70">
        <v>0</v>
      </c>
      <c r="I70" t="s">
        <v>31</v>
      </c>
      <c r="J70">
        <v>257324.31643210715</v>
      </c>
      <c r="K70">
        <v>2</v>
      </c>
      <c r="L70" t="s">
        <v>37</v>
      </c>
    </row>
    <row r="71" spans="1:12" x14ac:dyDescent="0.25">
      <c r="A71">
        <v>1</v>
      </c>
      <c r="B71" t="s">
        <v>16</v>
      </c>
      <c r="C71" t="s">
        <v>38</v>
      </c>
      <c r="E71">
        <v>40729.928663399376</v>
      </c>
      <c r="G71">
        <v>0</v>
      </c>
      <c r="I71" t="s">
        <v>31</v>
      </c>
      <c r="J71">
        <v>40729.928663399376</v>
      </c>
      <c r="K71">
        <v>2</v>
      </c>
      <c r="L71" t="s">
        <v>37</v>
      </c>
    </row>
    <row r="72" spans="1:12" x14ac:dyDescent="0.25">
      <c r="A72">
        <v>1</v>
      </c>
      <c r="B72" t="s">
        <v>16</v>
      </c>
      <c r="C72" t="s">
        <v>38</v>
      </c>
      <c r="D72">
        <v>0</v>
      </c>
      <c r="E72">
        <v>452240</v>
      </c>
      <c r="F72">
        <v>0</v>
      </c>
      <c r="G72">
        <v>0</v>
      </c>
      <c r="I72" t="s">
        <v>14</v>
      </c>
      <c r="J72">
        <v>452240</v>
      </c>
      <c r="K72">
        <v>2</v>
      </c>
      <c r="L72" t="s">
        <v>37</v>
      </c>
    </row>
    <row r="73" spans="1:12" x14ac:dyDescent="0.25">
      <c r="A73">
        <v>1</v>
      </c>
      <c r="B73" t="s">
        <v>21</v>
      </c>
      <c r="C73" t="s">
        <v>39</v>
      </c>
      <c r="D73">
        <v>0</v>
      </c>
      <c r="E73">
        <v>329606</v>
      </c>
      <c r="F73">
        <v>0</v>
      </c>
      <c r="G73">
        <v>0</v>
      </c>
      <c r="I73" t="s">
        <v>14</v>
      </c>
      <c r="J73">
        <v>329606</v>
      </c>
      <c r="K73">
        <v>2</v>
      </c>
      <c r="L73" t="s">
        <v>37</v>
      </c>
    </row>
    <row r="74" spans="1:12" x14ac:dyDescent="0.25">
      <c r="A74">
        <v>1</v>
      </c>
      <c r="B74" t="s">
        <v>18</v>
      </c>
      <c r="C74" t="s">
        <v>39</v>
      </c>
      <c r="E74">
        <v>27925.859441277516</v>
      </c>
      <c r="G74">
        <v>0</v>
      </c>
      <c r="I74" t="s">
        <v>31</v>
      </c>
      <c r="J74">
        <v>27925.859441277516</v>
      </c>
      <c r="K74">
        <v>2</v>
      </c>
      <c r="L74" t="s">
        <v>37</v>
      </c>
    </row>
    <row r="75" spans="1:12" x14ac:dyDescent="0.25">
      <c r="A75">
        <v>1</v>
      </c>
      <c r="B75" t="s">
        <v>16</v>
      </c>
      <c r="C75" t="s">
        <v>39</v>
      </c>
      <c r="E75">
        <v>17781.082061702342</v>
      </c>
      <c r="G75">
        <v>0</v>
      </c>
      <c r="I75" t="s">
        <v>31</v>
      </c>
      <c r="J75">
        <v>17781.082061702342</v>
      </c>
      <c r="K75">
        <v>2</v>
      </c>
      <c r="L75" t="s">
        <v>37</v>
      </c>
    </row>
    <row r="76" spans="1:12" x14ac:dyDescent="0.25">
      <c r="A76">
        <v>1</v>
      </c>
      <c r="B76" t="s">
        <v>16</v>
      </c>
      <c r="C76" t="s">
        <v>39</v>
      </c>
      <c r="D76">
        <v>0</v>
      </c>
      <c r="E76">
        <v>209106</v>
      </c>
      <c r="F76">
        <v>0</v>
      </c>
      <c r="G76">
        <v>0</v>
      </c>
      <c r="I76" t="s">
        <v>14</v>
      </c>
      <c r="J76">
        <v>209106</v>
      </c>
      <c r="K76">
        <v>2</v>
      </c>
      <c r="L76" t="s">
        <v>37</v>
      </c>
    </row>
    <row r="77" spans="1:12" x14ac:dyDescent="0.25">
      <c r="A77">
        <v>1</v>
      </c>
      <c r="B77" t="s">
        <v>21</v>
      </c>
      <c r="C77" t="s">
        <v>39</v>
      </c>
      <c r="E77">
        <v>27040.077609196713</v>
      </c>
      <c r="G77">
        <v>0</v>
      </c>
      <c r="I77" t="s">
        <v>31</v>
      </c>
      <c r="J77">
        <v>27040.077609196713</v>
      </c>
      <c r="K77">
        <v>2</v>
      </c>
      <c r="L77" t="s">
        <v>37</v>
      </c>
    </row>
    <row r="78" spans="1:12" x14ac:dyDescent="0.25">
      <c r="A78">
        <v>1</v>
      </c>
      <c r="B78" t="s">
        <v>20</v>
      </c>
      <c r="C78" t="s">
        <v>39</v>
      </c>
      <c r="D78">
        <v>0</v>
      </c>
      <c r="E78">
        <v>656989</v>
      </c>
      <c r="F78">
        <v>0</v>
      </c>
      <c r="G78">
        <v>0</v>
      </c>
      <c r="I78" t="s">
        <v>14</v>
      </c>
      <c r="J78">
        <v>656989</v>
      </c>
      <c r="K78">
        <v>2</v>
      </c>
      <c r="L78" t="s">
        <v>37</v>
      </c>
    </row>
    <row r="79" spans="1:12" x14ac:dyDescent="0.25">
      <c r="A79">
        <v>1</v>
      </c>
      <c r="B79" t="s">
        <v>20</v>
      </c>
      <c r="C79" t="s">
        <v>39</v>
      </c>
      <c r="E79">
        <v>54725.754633469231</v>
      </c>
      <c r="G79">
        <v>0</v>
      </c>
      <c r="I79" t="s">
        <v>31</v>
      </c>
      <c r="J79">
        <v>54725.754633469231</v>
      </c>
      <c r="K79">
        <v>2</v>
      </c>
      <c r="L79" t="s">
        <v>37</v>
      </c>
    </row>
    <row r="80" spans="1:12" x14ac:dyDescent="0.25">
      <c r="A80">
        <v>1</v>
      </c>
      <c r="B80" t="s">
        <v>18</v>
      </c>
      <c r="C80" t="s">
        <v>39</v>
      </c>
      <c r="D80">
        <v>0</v>
      </c>
      <c r="E80">
        <v>151780</v>
      </c>
      <c r="F80">
        <v>0</v>
      </c>
      <c r="G80">
        <v>0</v>
      </c>
      <c r="I80" t="s">
        <v>14</v>
      </c>
      <c r="J80">
        <v>151780</v>
      </c>
      <c r="K80">
        <v>2</v>
      </c>
      <c r="L80" t="s">
        <v>37</v>
      </c>
    </row>
    <row r="81" spans="1:12" x14ac:dyDescent="0.25">
      <c r="A81">
        <v>1</v>
      </c>
      <c r="B81" t="s">
        <v>12</v>
      </c>
      <c r="C81" t="s">
        <v>40</v>
      </c>
      <c r="E81">
        <v>30789.195615935896</v>
      </c>
      <c r="G81">
        <v>0</v>
      </c>
      <c r="I81" t="s">
        <v>31</v>
      </c>
      <c r="J81">
        <v>30789.195615935896</v>
      </c>
      <c r="K81">
        <v>2</v>
      </c>
      <c r="L81" t="s">
        <v>37</v>
      </c>
    </row>
    <row r="82" spans="1:12" x14ac:dyDescent="0.25">
      <c r="A82">
        <v>1</v>
      </c>
      <c r="B82" t="s">
        <v>20</v>
      </c>
      <c r="C82" t="s">
        <v>40</v>
      </c>
      <c r="E82">
        <v>2517816.9155668356</v>
      </c>
      <c r="G82">
        <v>0</v>
      </c>
      <c r="I82" t="s">
        <v>31</v>
      </c>
      <c r="J82">
        <v>2517816.9155668356</v>
      </c>
      <c r="K82">
        <v>2</v>
      </c>
      <c r="L82" t="s">
        <v>37</v>
      </c>
    </row>
    <row r="83" spans="1:12" x14ac:dyDescent="0.25">
      <c r="A83">
        <v>1</v>
      </c>
      <c r="B83" t="s">
        <v>33</v>
      </c>
      <c r="C83" t="s">
        <v>40</v>
      </c>
      <c r="D83">
        <v>0</v>
      </c>
      <c r="E83">
        <v>317638</v>
      </c>
      <c r="F83">
        <v>0</v>
      </c>
      <c r="G83">
        <v>0</v>
      </c>
      <c r="I83" t="s">
        <v>14</v>
      </c>
      <c r="J83">
        <v>317638</v>
      </c>
      <c r="K83">
        <v>2</v>
      </c>
      <c r="L83" t="s">
        <v>37</v>
      </c>
    </row>
    <row r="84" spans="1:12" x14ac:dyDescent="0.25">
      <c r="A84">
        <v>1</v>
      </c>
      <c r="B84" t="s">
        <v>33</v>
      </c>
      <c r="C84" t="s">
        <v>40</v>
      </c>
      <c r="E84">
        <v>37409.88223954945</v>
      </c>
      <c r="G84">
        <v>0</v>
      </c>
      <c r="I84" t="s">
        <v>31</v>
      </c>
      <c r="J84">
        <v>37409.88223954945</v>
      </c>
      <c r="K84">
        <v>2</v>
      </c>
      <c r="L84" t="s">
        <v>37</v>
      </c>
    </row>
    <row r="85" spans="1:12" x14ac:dyDescent="0.25">
      <c r="A85">
        <v>1</v>
      </c>
      <c r="B85" t="s">
        <v>17</v>
      </c>
      <c r="C85" t="s">
        <v>40</v>
      </c>
      <c r="D85">
        <v>0</v>
      </c>
      <c r="E85">
        <v>649125</v>
      </c>
      <c r="F85">
        <v>0</v>
      </c>
      <c r="G85">
        <v>0</v>
      </c>
      <c r="I85" t="s">
        <v>14</v>
      </c>
      <c r="J85">
        <v>649125</v>
      </c>
      <c r="K85">
        <v>2</v>
      </c>
      <c r="L85" t="s">
        <v>37</v>
      </c>
    </row>
    <row r="86" spans="1:12" x14ac:dyDescent="0.25">
      <c r="A86">
        <v>1</v>
      </c>
      <c r="B86" t="s">
        <v>17</v>
      </c>
      <c r="C86" t="s">
        <v>40</v>
      </c>
      <c r="E86">
        <v>84986.45216968187</v>
      </c>
      <c r="G86">
        <v>0</v>
      </c>
      <c r="I86" t="s">
        <v>31</v>
      </c>
      <c r="J86">
        <v>84986.45216968187</v>
      </c>
      <c r="K86">
        <v>2</v>
      </c>
      <c r="L86" t="s">
        <v>37</v>
      </c>
    </row>
    <row r="87" spans="1:12" x14ac:dyDescent="0.25">
      <c r="A87">
        <v>1</v>
      </c>
      <c r="B87" t="s">
        <v>21</v>
      </c>
      <c r="C87" t="s">
        <v>40</v>
      </c>
      <c r="E87">
        <v>380727.55612058577</v>
      </c>
      <c r="G87">
        <v>0</v>
      </c>
      <c r="I87" t="s">
        <v>31</v>
      </c>
      <c r="J87">
        <v>380727.55612058577</v>
      </c>
      <c r="K87">
        <v>2</v>
      </c>
      <c r="L87" t="s">
        <v>37</v>
      </c>
    </row>
    <row r="88" spans="1:12" x14ac:dyDescent="0.25">
      <c r="A88">
        <v>1</v>
      </c>
      <c r="B88" t="s">
        <v>18</v>
      </c>
      <c r="C88" t="s">
        <v>40</v>
      </c>
      <c r="D88">
        <v>0</v>
      </c>
      <c r="E88">
        <v>5430224</v>
      </c>
      <c r="F88">
        <v>0</v>
      </c>
      <c r="G88">
        <v>0</v>
      </c>
      <c r="I88" t="s">
        <v>14</v>
      </c>
      <c r="J88">
        <v>5430224</v>
      </c>
      <c r="K88">
        <v>2</v>
      </c>
      <c r="L88" t="s">
        <v>37</v>
      </c>
    </row>
    <row r="89" spans="1:12" x14ac:dyDescent="0.25">
      <c r="A89">
        <v>1</v>
      </c>
      <c r="B89" t="s">
        <v>20</v>
      </c>
      <c r="C89" t="s">
        <v>40</v>
      </c>
      <c r="D89">
        <v>0</v>
      </c>
      <c r="E89">
        <v>30437676</v>
      </c>
      <c r="F89">
        <v>0</v>
      </c>
      <c r="G89">
        <v>0</v>
      </c>
      <c r="I89" t="s">
        <v>14</v>
      </c>
      <c r="J89">
        <v>30437676</v>
      </c>
      <c r="K89">
        <v>2</v>
      </c>
      <c r="L89" t="s">
        <v>37</v>
      </c>
    </row>
    <row r="90" spans="1:12" x14ac:dyDescent="0.25">
      <c r="A90">
        <v>1</v>
      </c>
      <c r="B90" t="s">
        <v>16</v>
      </c>
      <c r="C90" t="s">
        <v>40</v>
      </c>
      <c r="D90">
        <v>0</v>
      </c>
      <c r="E90">
        <v>9491810</v>
      </c>
      <c r="F90">
        <v>0</v>
      </c>
      <c r="G90">
        <v>0</v>
      </c>
      <c r="I90" t="s">
        <v>14</v>
      </c>
      <c r="J90">
        <v>9491810</v>
      </c>
      <c r="K90">
        <v>2</v>
      </c>
      <c r="L90" t="s">
        <v>37</v>
      </c>
    </row>
    <row r="91" spans="1:12" x14ac:dyDescent="0.25">
      <c r="A91">
        <v>1</v>
      </c>
      <c r="B91" t="s">
        <v>16</v>
      </c>
      <c r="C91" t="s">
        <v>40</v>
      </c>
      <c r="E91">
        <v>831200.80295162101</v>
      </c>
      <c r="G91">
        <v>0</v>
      </c>
      <c r="I91" t="s">
        <v>31</v>
      </c>
      <c r="J91">
        <v>831200.80295162101</v>
      </c>
      <c r="K91">
        <v>2</v>
      </c>
      <c r="L91" t="s">
        <v>37</v>
      </c>
    </row>
    <row r="92" spans="1:12" x14ac:dyDescent="0.25">
      <c r="A92">
        <v>1</v>
      </c>
      <c r="B92" t="s">
        <v>18</v>
      </c>
      <c r="C92" t="s">
        <v>40</v>
      </c>
      <c r="E92">
        <v>1077322.6892341243</v>
      </c>
      <c r="G92">
        <v>0</v>
      </c>
      <c r="I92" t="s">
        <v>31</v>
      </c>
      <c r="J92">
        <v>1077322.6892341243</v>
      </c>
      <c r="K92">
        <v>2</v>
      </c>
      <c r="L92" t="s">
        <v>37</v>
      </c>
    </row>
    <row r="93" spans="1:12" x14ac:dyDescent="0.25">
      <c r="A93">
        <v>1</v>
      </c>
      <c r="B93" t="s">
        <v>12</v>
      </c>
      <c r="C93" t="s">
        <v>40</v>
      </c>
      <c r="D93">
        <v>0</v>
      </c>
      <c r="E93">
        <v>1005079</v>
      </c>
      <c r="F93">
        <v>0</v>
      </c>
      <c r="G93">
        <v>0</v>
      </c>
      <c r="I93" t="s">
        <v>14</v>
      </c>
      <c r="J93">
        <v>1005079</v>
      </c>
      <c r="K93">
        <v>2</v>
      </c>
      <c r="L93" t="s">
        <v>37</v>
      </c>
    </row>
    <row r="94" spans="1:12" x14ac:dyDescent="0.25">
      <c r="A94">
        <v>1</v>
      </c>
      <c r="B94" t="s">
        <v>21</v>
      </c>
      <c r="C94" t="s">
        <v>40</v>
      </c>
      <c r="D94">
        <v>0</v>
      </c>
      <c r="E94">
        <v>4276341</v>
      </c>
      <c r="F94">
        <v>0</v>
      </c>
      <c r="G94">
        <v>0</v>
      </c>
      <c r="I94" t="s">
        <v>14</v>
      </c>
      <c r="J94">
        <v>4276341</v>
      </c>
      <c r="K94">
        <v>2</v>
      </c>
      <c r="L94" t="s">
        <v>37</v>
      </c>
    </row>
    <row r="95" spans="1:12" x14ac:dyDescent="0.25">
      <c r="A95">
        <v>1</v>
      </c>
      <c r="B95" t="s">
        <v>19</v>
      </c>
      <c r="C95" t="s">
        <v>40</v>
      </c>
      <c r="D95">
        <v>0</v>
      </c>
      <c r="E95">
        <v>143622</v>
      </c>
      <c r="F95">
        <v>0</v>
      </c>
      <c r="G95">
        <v>0</v>
      </c>
      <c r="I95" t="s">
        <v>14</v>
      </c>
      <c r="J95">
        <v>143622</v>
      </c>
      <c r="K95">
        <v>2</v>
      </c>
      <c r="L95" t="s">
        <v>37</v>
      </c>
    </row>
    <row r="96" spans="1:12" x14ac:dyDescent="0.25">
      <c r="A96">
        <v>1</v>
      </c>
      <c r="B96" t="s">
        <v>16</v>
      </c>
      <c r="C96" t="s">
        <v>41</v>
      </c>
      <c r="D96">
        <v>0</v>
      </c>
      <c r="E96">
        <v>204595</v>
      </c>
      <c r="F96">
        <v>0</v>
      </c>
      <c r="G96">
        <v>0</v>
      </c>
      <c r="I96" t="s">
        <v>14</v>
      </c>
      <c r="J96">
        <v>204595</v>
      </c>
      <c r="K96">
        <v>2</v>
      </c>
      <c r="L96" t="s">
        <v>37</v>
      </c>
    </row>
    <row r="97" spans="1:12" x14ac:dyDescent="0.25">
      <c r="A97">
        <v>1</v>
      </c>
      <c r="B97" t="s">
        <v>16</v>
      </c>
      <c r="C97" t="s">
        <v>41</v>
      </c>
      <c r="E97">
        <v>17546.553741578035</v>
      </c>
      <c r="G97">
        <v>0</v>
      </c>
      <c r="I97" t="s">
        <v>31</v>
      </c>
      <c r="J97">
        <v>17546.553741578035</v>
      </c>
      <c r="K97">
        <v>2</v>
      </c>
      <c r="L97" t="s">
        <v>37</v>
      </c>
    </row>
    <row r="98" spans="1:12" x14ac:dyDescent="0.25">
      <c r="A98">
        <v>1</v>
      </c>
      <c r="B98" t="s">
        <v>20</v>
      </c>
      <c r="C98" t="s">
        <v>41</v>
      </c>
      <c r="D98">
        <v>0</v>
      </c>
      <c r="E98">
        <v>59578</v>
      </c>
      <c r="F98">
        <v>0</v>
      </c>
      <c r="G98">
        <v>0</v>
      </c>
      <c r="I98" t="s">
        <v>14</v>
      </c>
      <c r="J98">
        <v>59578</v>
      </c>
      <c r="K98">
        <v>2</v>
      </c>
      <c r="L98" t="s">
        <v>37</v>
      </c>
    </row>
    <row r="99" spans="1:12" x14ac:dyDescent="0.25">
      <c r="A99">
        <v>1</v>
      </c>
      <c r="B99" t="s">
        <v>20</v>
      </c>
      <c r="C99" t="s">
        <v>41</v>
      </c>
      <c r="E99">
        <v>5030.3333966395594</v>
      </c>
      <c r="G99">
        <v>0</v>
      </c>
      <c r="I99" t="s">
        <v>31</v>
      </c>
      <c r="J99">
        <v>5030.3333966395594</v>
      </c>
      <c r="K99">
        <v>2</v>
      </c>
      <c r="L99" t="s">
        <v>37</v>
      </c>
    </row>
    <row r="100" spans="1:12" x14ac:dyDescent="0.25">
      <c r="A100">
        <v>1</v>
      </c>
      <c r="B100" t="s">
        <v>33</v>
      </c>
      <c r="C100" t="s">
        <v>42</v>
      </c>
      <c r="E100">
        <v>31704.89627959457</v>
      </c>
      <c r="G100">
        <v>0</v>
      </c>
      <c r="I100" t="s">
        <v>31</v>
      </c>
      <c r="J100">
        <v>31704.89627959457</v>
      </c>
      <c r="K100">
        <v>2</v>
      </c>
      <c r="L100" t="s">
        <v>37</v>
      </c>
    </row>
    <row r="101" spans="1:12" x14ac:dyDescent="0.25">
      <c r="A101">
        <v>1</v>
      </c>
      <c r="B101" t="s">
        <v>21</v>
      </c>
      <c r="C101" t="s">
        <v>42</v>
      </c>
      <c r="D101">
        <v>0</v>
      </c>
      <c r="E101">
        <v>557811</v>
      </c>
      <c r="F101">
        <v>0</v>
      </c>
      <c r="G101">
        <v>0</v>
      </c>
      <c r="I101" t="s">
        <v>14</v>
      </c>
      <c r="J101">
        <v>557811</v>
      </c>
      <c r="K101">
        <v>2</v>
      </c>
      <c r="L101" t="s">
        <v>37</v>
      </c>
    </row>
    <row r="102" spans="1:12" x14ac:dyDescent="0.25">
      <c r="A102">
        <v>1</v>
      </c>
      <c r="B102" t="s">
        <v>21</v>
      </c>
      <c r="C102" t="s">
        <v>42</v>
      </c>
      <c r="E102">
        <v>48169.099684339024</v>
      </c>
      <c r="G102">
        <v>0</v>
      </c>
      <c r="I102" t="s">
        <v>31</v>
      </c>
      <c r="J102">
        <v>48169.099684339024</v>
      </c>
      <c r="K102">
        <v>2</v>
      </c>
      <c r="L102" t="s">
        <v>37</v>
      </c>
    </row>
    <row r="103" spans="1:12" x14ac:dyDescent="0.25">
      <c r="A103">
        <v>1</v>
      </c>
      <c r="B103" t="s">
        <v>17</v>
      </c>
      <c r="C103" t="s">
        <v>42</v>
      </c>
      <c r="D103">
        <v>0</v>
      </c>
      <c r="E103">
        <v>33159</v>
      </c>
      <c r="F103">
        <v>0</v>
      </c>
      <c r="G103">
        <v>0</v>
      </c>
      <c r="I103" t="s">
        <v>14</v>
      </c>
      <c r="J103">
        <v>33159</v>
      </c>
      <c r="K103">
        <v>2</v>
      </c>
      <c r="L103" t="s">
        <v>37</v>
      </c>
    </row>
    <row r="104" spans="1:12" x14ac:dyDescent="0.25">
      <c r="A104">
        <v>1</v>
      </c>
      <c r="B104" t="s">
        <v>16</v>
      </c>
      <c r="C104" t="s">
        <v>42</v>
      </c>
      <c r="D104">
        <v>0</v>
      </c>
      <c r="E104">
        <v>1052698</v>
      </c>
      <c r="F104">
        <v>0</v>
      </c>
      <c r="G104">
        <v>0</v>
      </c>
      <c r="I104" t="s">
        <v>14</v>
      </c>
      <c r="J104">
        <v>1052698</v>
      </c>
      <c r="K104">
        <v>2</v>
      </c>
      <c r="L104" t="s">
        <v>37</v>
      </c>
    </row>
    <row r="105" spans="1:12" x14ac:dyDescent="0.25">
      <c r="A105">
        <v>1</v>
      </c>
      <c r="B105" t="s">
        <v>18</v>
      </c>
      <c r="C105" t="s">
        <v>42</v>
      </c>
      <c r="D105">
        <v>0</v>
      </c>
      <c r="E105">
        <v>1379863</v>
      </c>
      <c r="F105">
        <v>0</v>
      </c>
      <c r="G105">
        <v>0</v>
      </c>
      <c r="I105" t="s">
        <v>14</v>
      </c>
      <c r="J105">
        <v>1379863</v>
      </c>
      <c r="K105">
        <v>2</v>
      </c>
      <c r="L105" t="s">
        <v>37</v>
      </c>
    </row>
    <row r="106" spans="1:12" x14ac:dyDescent="0.25">
      <c r="A106">
        <v>1</v>
      </c>
      <c r="B106" t="s">
        <v>20</v>
      </c>
      <c r="C106" t="s">
        <v>42</v>
      </c>
      <c r="E106">
        <v>390771.72640731913</v>
      </c>
      <c r="G106">
        <v>0</v>
      </c>
      <c r="I106" t="s">
        <v>31</v>
      </c>
      <c r="J106">
        <v>390771.72640731913</v>
      </c>
      <c r="K106">
        <v>2</v>
      </c>
      <c r="L106" t="s">
        <v>37</v>
      </c>
    </row>
    <row r="107" spans="1:12" x14ac:dyDescent="0.25">
      <c r="A107">
        <v>1</v>
      </c>
      <c r="B107" t="s">
        <v>20</v>
      </c>
      <c r="C107" t="s">
        <v>42</v>
      </c>
      <c r="D107">
        <v>0</v>
      </c>
      <c r="E107">
        <v>4702132</v>
      </c>
      <c r="F107">
        <v>0</v>
      </c>
      <c r="G107">
        <v>0</v>
      </c>
      <c r="I107" t="s">
        <v>14</v>
      </c>
      <c r="J107">
        <v>4702132</v>
      </c>
      <c r="K107">
        <v>2</v>
      </c>
      <c r="L107" t="s">
        <v>37</v>
      </c>
    </row>
    <row r="108" spans="1:12" x14ac:dyDescent="0.25">
      <c r="A108">
        <v>1</v>
      </c>
      <c r="B108" t="s">
        <v>18</v>
      </c>
      <c r="C108" t="s">
        <v>42</v>
      </c>
      <c r="E108">
        <v>365515.82835616561</v>
      </c>
      <c r="G108">
        <v>0</v>
      </c>
      <c r="I108" t="s">
        <v>31</v>
      </c>
      <c r="J108">
        <v>365515.82835616561</v>
      </c>
      <c r="K108">
        <v>2</v>
      </c>
      <c r="L108" t="s">
        <v>37</v>
      </c>
    </row>
    <row r="109" spans="1:12" x14ac:dyDescent="0.25">
      <c r="A109">
        <v>1</v>
      </c>
      <c r="B109" t="s">
        <v>12</v>
      </c>
      <c r="C109" t="s">
        <v>42</v>
      </c>
      <c r="E109">
        <v>3444.1893130486978</v>
      </c>
      <c r="G109">
        <v>0</v>
      </c>
      <c r="I109" t="s">
        <v>31</v>
      </c>
      <c r="J109">
        <v>3444.1893130486978</v>
      </c>
      <c r="K109">
        <v>2</v>
      </c>
      <c r="L109" t="s">
        <v>37</v>
      </c>
    </row>
    <row r="110" spans="1:12" x14ac:dyDescent="0.25">
      <c r="A110">
        <v>1</v>
      </c>
      <c r="B110" t="s">
        <v>12</v>
      </c>
      <c r="C110" t="s">
        <v>42</v>
      </c>
      <c r="D110">
        <v>0</v>
      </c>
      <c r="E110">
        <v>104176</v>
      </c>
      <c r="F110">
        <v>0</v>
      </c>
      <c r="G110">
        <v>0</v>
      </c>
      <c r="I110" t="s">
        <v>14</v>
      </c>
      <c r="J110">
        <v>104176</v>
      </c>
      <c r="K110">
        <v>2</v>
      </c>
      <c r="L110" t="s">
        <v>37</v>
      </c>
    </row>
    <row r="111" spans="1:12" x14ac:dyDescent="0.25">
      <c r="A111">
        <v>1</v>
      </c>
      <c r="B111" t="s">
        <v>16</v>
      </c>
      <c r="C111" t="s">
        <v>42</v>
      </c>
      <c r="E111">
        <v>82457.327294060655</v>
      </c>
      <c r="G111">
        <v>0</v>
      </c>
      <c r="I111" t="s">
        <v>31</v>
      </c>
      <c r="J111">
        <v>82457.327294060655</v>
      </c>
      <c r="K111">
        <v>2</v>
      </c>
      <c r="L111" t="s">
        <v>37</v>
      </c>
    </row>
    <row r="112" spans="1:12" x14ac:dyDescent="0.25">
      <c r="A112">
        <v>1</v>
      </c>
      <c r="B112" t="s">
        <v>17</v>
      </c>
      <c r="C112" t="s">
        <v>42</v>
      </c>
      <c r="E112">
        <v>6158.9361535760672</v>
      </c>
      <c r="G112">
        <v>0</v>
      </c>
      <c r="I112" t="s">
        <v>31</v>
      </c>
      <c r="J112">
        <v>6158.9361535760672</v>
      </c>
      <c r="K112">
        <v>2</v>
      </c>
      <c r="L112" t="s">
        <v>37</v>
      </c>
    </row>
    <row r="113" spans="1:12" x14ac:dyDescent="0.25">
      <c r="A113">
        <v>1</v>
      </c>
      <c r="B113" t="s">
        <v>33</v>
      </c>
      <c r="C113" t="s">
        <v>42</v>
      </c>
      <c r="D113">
        <v>0</v>
      </c>
      <c r="E113">
        <v>187604</v>
      </c>
      <c r="F113">
        <v>0</v>
      </c>
      <c r="G113">
        <v>0</v>
      </c>
      <c r="I113" t="s">
        <v>14</v>
      </c>
      <c r="J113">
        <v>187604</v>
      </c>
      <c r="K113">
        <v>2</v>
      </c>
      <c r="L113" t="s">
        <v>37</v>
      </c>
    </row>
    <row r="114" spans="1:12" x14ac:dyDescent="0.25">
      <c r="A114">
        <v>1</v>
      </c>
      <c r="B114" t="s">
        <v>33</v>
      </c>
      <c r="C114" t="s">
        <v>43</v>
      </c>
      <c r="D114">
        <v>0</v>
      </c>
      <c r="E114">
        <v>3604515</v>
      </c>
      <c r="F114">
        <v>0</v>
      </c>
      <c r="G114">
        <v>0</v>
      </c>
      <c r="I114" t="s">
        <v>14</v>
      </c>
      <c r="J114">
        <v>3604515</v>
      </c>
      <c r="K114">
        <v>2</v>
      </c>
      <c r="L114" t="s">
        <v>44</v>
      </c>
    </row>
    <row r="115" spans="1:12" x14ac:dyDescent="0.25">
      <c r="A115">
        <v>1</v>
      </c>
      <c r="B115" t="s">
        <v>33</v>
      </c>
      <c r="C115" t="s">
        <v>43</v>
      </c>
      <c r="E115">
        <v>497696.33825109072</v>
      </c>
      <c r="G115">
        <v>0</v>
      </c>
      <c r="I115" t="s">
        <v>31</v>
      </c>
      <c r="J115">
        <v>497696.33825109072</v>
      </c>
      <c r="K115">
        <v>2</v>
      </c>
      <c r="L115" t="s">
        <v>44</v>
      </c>
    </row>
    <row r="116" spans="1:12" x14ac:dyDescent="0.25">
      <c r="A116">
        <v>1</v>
      </c>
      <c r="B116" t="s">
        <v>21</v>
      </c>
      <c r="C116" t="s">
        <v>43</v>
      </c>
      <c r="D116">
        <v>0</v>
      </c>
      <c r="E116">
        <v>12149360</v>
      </c>
      <c r="F116">
        <v>0</v>
      </c>
      <c r="G116">
        <v>0</v>
      </c>
      <c r="I116" t="s">
        <v>14</v>
      </c>
      <c r="J116">
        <v>12149360</v>
      </c>
      <c r="K116">
        <v>2</v>
      </c>
      <c r="L116" t="s">
        <v>44</v>
      </c>
    </row>
    <row r="117" spans="1:12" x14ac:dyDescent="0.25">
      <c r="A117">
        <v>1</v>
      </c>
      <c r="B117" t="s">
        <v>18</v>
      </c>
      <c r="C117" t="s">
        <v>43</v>
      </c>
      <c r="D117">
        <v>0</v>
      </c>
      <c r="E117">
        <v>32888911</v>
      </c>
      <c r="F117">
        <v>0</v>
      </c>
      <c r="G117">
        <v>0</v>
      </c>
      <c r="I117" t="s">
        <v>14</v>
      </c>
      <c r="J117">
        <v>32888911</v>
      </c>
      <c r="K117">
        <v>2</v>
      </c>
      <c r="L117" t="s">
        <v>44</v>
      </c>
    </row>
    <row r="118" spans="1:12" x14ac:dyDescent="0.25">
      <c r="A118">
        <v>1</v>
      </c>
      <c r="B118" t="s">
        <v>20</v>
      </c>
      <c r="C118" t="s">
        <v>43</v>
      </c>
      <c r="D118">
        <v>0</v>
      </c>
      <c r="E118">
        <v>156667958</v>
      </c>
      <c r="F118">
        <v>0</v>
      </c>
      <c r="G118">
        <v>0</v>
      </c>
      <c r="I118" t="s">
        <v>14</v>
      </c>
      <c r="J118">
        <v>156667958</v>
      </c>
      <c r="K118">
        <v>2</v>
      </c>
      <c r="L118" t="s">
        <v>44</v>
      </c>
    </row>
    <row r="119" spans="1:12" x14ac:dyDescent="0.25">
      <c r="A119">
        <v>1</v>
      </c>
      <c r="B119" t="s">
        <v>17</v>
      </c>
      <c r="C119" t="s">
        <v>43</v>
      </c>
      <c r="D119">
        <v>0</v>
      </c>
      <c r="E119">
        <v>6535679</v>
      </c>
      <c r="F119">
        <v>0</v>
      </c>
      <c r="G119">
        <v>0</v>
      </c>
      <c r="I119" t="s">
        <v>14</v>
      </c>
      <c r="J119">
        <v>6535679</v>
      </c>
      <c r="K119">
        <v>2</v>
      </c>
      <c r="L119" t="s">
        <v>44</v>
      </c>
    </row>
    <row r="120" spans="1:12" x14ac:dyDescent="0.25">
      <c r="A120">
        <v>1</v>
      </c>
      <c r="B120" t="s">
        <v>20</v>
      </c>
      <c r="C120" t="s">
        <v>43</v>
      </c>
      <c r="E120">
        <v>12915446.462816965</v>
      </c>
      <c r="G120">
        <v>0</v>
      </c>
      <c r="I120" t="s">
        <v>31</v>
      </c>
      <c r="J120">
        <v>12915446.462816965</v>
      </c>
      <c r="K120">
        <v>2</v>
      </c>
      <c r="L120" t="s">
        <v>44</v>
      </c>
    </row>
    <row r="121" spans="1:12" x14ac:dyDescent="0.25">
      <c r="A121">
        <v>1</v>
      </c>
      <c r="B121" t="s">
        <v>16</v>
      </c>
      <c r="C121" t="s">
        <v>43</v>
      </c>
      <c r="E121">
        <v>3586215.5908644879</v>
      </c>
      <c r="G121">
        <v>0</v>
      </c>
      <c r="I121" t="s">
        <v>31</v>
      </c>
      <c r="J121">
        <v>3586215.5908644879</v>
      </c>
      <c r="K121">
        <v>2</v>
      </c>
      <c r="L121" t="s">
        <v>44</v>
      </c>
    </row>
    <row r="122" spans="1:12" x14ac:dyDescent="0.25">
      <c r="A122">
        <v>1</v>
      </c>
      <c r="B122" t="s">
        <v>16</v>
      </c>
      <c r="C122" t="s">
        <v>43</v>
      </c>
      <c r="D122">
        <v>0</v>
      </c>
      <c r="E122">
        <v>42708532</v>
      </c>
      <c r="F122">
        <v>0</v>
      </c>
      <c r="G122">
        <v>0</v>
      </c>
      <c r="I122" t="s">
        <v>14</v>
      </c>
      <c r="J122">
        <v>42708532</v>
      </c>
      <c r="K122">
        <v>2</v>
      </c>
      <c r="L122" t="s">
        <v>44</v>
      </c>
    </row>
    <row r="123" spans="1:12" x14ac:dyDescent="0.25">
      <c r="A123">
        <v>1</v>
      </c>
      <c r="B123" t="s">
        <v>21</v>
      </c>
      <c r="C123" t="s">
        <v>43</v>
      </c>
      <c r="E123">
        <v>1096913.8543368771</v>
      </c>
      <c r="G123">
        <v>0</v>
      </c>
      <c r="I123" t="s">
        <v>31</v>
      </c>
      <c r="J123">
        <v>1096913.8543368771</v>
      </c>
      <c r="K123">
        <v>2</v>
      </c>
      <c r="L123" t="s">
        <v>44</v>
      </c>
    </row>
    <row r="124" spans="1:12" x14ac:dyDescent="0.25">
      <c r="A124">
        <v>1</v>
      </c>
      <c r="B124" t="s">
        <v>12</v>
      </c>
      <c r="C124" t="s">
        <v>43</v>
      </c>
      <c r="D124">
        <v>0</v>
      </c>
      <c r="E124">
        <v>3971907</v>
      </c>
      <c r="F124">
        <v>0</v>
      </c>
      <c r="G124">
        <v>0</v>
      </c>
      <c r="I124" t="s">
        <v>14</v>
      </c>
      <c r="J124">
        <v>3971907</v>
      </c>
      <c r="K124">
        <v>2</v>
      </c>
      <c r="L124" t="s">
        <v>44</v>
      </c>
    </row>
    <row r="125" spans="1:12" x14ac:dyDescent="0.25">
      <c r="A125">
        <v>1</v>
      </c>
      <c r="B125" t="s">
        <v>19</v>
      </c>
      <c r="C125" t="s">
        <v>43</v>
      </c>
      <c r="D125">
        <v>0</v>
      </c>
      <c r="E125">
        <v>1246330</v>
      </c>
      <c r="F125">
        <v>0</v>
      </c>
      <c r="G125">
        <v>0</v>
      </c>
      <c r="I125" t="s">
        <v>14</v>
      </c>
      <c r="J125">
        <v>1246330</v>
      </c>
      <c r="K125">
        <v>2</v>
      </c>
      <c r="L125" t="s">
        <v>44</v>
      </c>
    </row>
    <row r="126" spans="1:12" x14ac:dyDescent="0.25">
      <c r="A126">
        <v>1</v>
      </c>
      <c r="B126" t="s">
        <v>18</v>
      </c>
      <c r="C126" t="s">
        <v>43</v>
      </c>
      <c r="E126">
        <v>6501406.9660916869</v>
      </c>
      <c r="G126">
        <v>0</v>
      </c>
      <c r="I126" t="s">
        <v>31</v>
      </c>
      <c r="J126">
        <v>6501406.9660916869</v>
      </c>
      <c r="K126">
        <v>2</v>
      </c>
      <c r="L126" t="s">
        <v>44</v>
      </c>
    </row>
    <row r="127" spans="1:12" x14ac:dyDescent="0.25">
      <c r="A127">
        <v>1</v>
      </c>
      <c r="B127" t="s">
        <v>17</v>
      </c>
      <c r="C127" t="s">
        <v>43</v>
      </c>
      <c r="E127">
        <v>578157.37929904333</v>
      </c>
      <c r="G127">
        <v>0</v>
      </c>
      <c r="I127" t="s">
        <v>31</v>
      </c>
      <c r="J127">
        <v>578157.37929904333</v>
      </c>
      <c r="K127">
        <v>2</v>
      </c>
      <c r="L127" t="s">
        <v>44</v>
      </c>
    </row>
    <row r="128" spans="1:12" x14ac:dyDescent="0.25">
      <c r="A128">
        <v>1</v>
      </c>
      <c r="B128" t="s">
        <v>12</v>
      </c>
      <c r="C128" t="s">
        <v>43</v>
      </c>
      <c r="E128">
        <v>114742.27451626591</v>
      </c>
      <c r="G128">
        <v>0</v>
      </c>
      <c r="I128" t="s">
        <v>31</v>
      </c>
      <c r="J128">
        <v>114742.27451626591</v>
      </c>
      <c r="K128">
        <v>2</v>
      </c>
      <c r="L128" t="s">
        <v>44</v>
      </c>
    </row>
    <row r="129" spans="1:12" x14ac:dyDescent="0.25">
      <c r="A129">
        <v>1</v>
      </c>
      <c r="B129" t="s">
        <v>19</v>
      </c>
      <c r="C129" t="s">
        <v>43</v>
      </c>
      <c r="E129">
        <v>32861.019374975309</v>
      </c>
      <c r="G129">
        <v>0</v>
      </c>
      <c r="I129" t="s">
        <v>31</v>
      </c>
      <c r="J129">
        <v>32861.019374975309</v>
      </c>
      <c r="K129">
        <v>2</v>
      </c>
      <c r="L129" t="s">
        <v>44</v>
      </c>
    </row>
    <row r="130" spans="1:12" x14ac:dyDescent="0.25">
      <c r="A130">
        <v>1</v>
      </c>
      <c r="B130" t="s">
        <v>21</v>
      </c>
      <c r="C130" t="s">
        <v>45</v>
      </c>
      <c r="D130">
        <v>0</v>
      </c>
      <c r="E130">
        <v>69664</v>
      </c>
      <c r="F130">
        <v>0</v>
      </c>
      <c r="G130">
        <v>0</v>
      </c>
      <c r="I130" t="s">
        <v>14</v>
      </c>
      <c r="J130">
        <v>69664</v>
      </c>
      <c r="K130">
        <v>2</v>
      </c>
      <c r="L130" t="s">
        <v>46</v>
      </c>
    </row>
    <row r="131" spans="1:12" x14ac:dyDescent="0.25">
      <c r="A131">
        <v>1</v>
      </c>
      <c r="B131" t="s">
        <v>21</v>
      </c>
      <c r="C131" t="s">
        <v>45</v>
      </c>
      <c r="E131">
        <v>6816.8494799512719</v>
      </c>
      <c r="G131">
        <v>0</v>
      </c>
      <c r="I131" t="s">
        <v>31</v>
      </c>
      <c r="J131">
        <v>6816.8494799512719</v>
      </c>
      <c r="K131">
        <v>2</v>
      </c>
      <c r="L131" t="s">
        <v>46</v>
      </c>
    </row>
    <row r="132" spans="1:12" x14ac:dyDescent="0.25">
      <c r="A132">
        <v>1</v>
      </c>
      <c r="B132" t="s">
        <v>16</v>
      </c>
      <c r="C132" t="s">
        <v>47</v>
      </c>
      <c r="D132">
        <v>0</v>
      </c>
      <c r="E132">
        <v>138757</v>
      </c>
      <c r="F132">
        <v>0</v>
      </c>
      <c r="G132">
        <v>0</v>
      </c>
      <c r="I132" t="s">
        <v>14</v>
      </c>
      <c r="J132">
        <v>138757</v>
      </c>
      <c r="K132">
        <v>2</v>
      </c>
      <c r="L132" t="s">
        <v>48</v>
      </c>
    </row>
    <row r="133" spans="1:12" x14ac:dyDescent="0.25">
      <c r="A133">
        <v>1</v>
      </c>
      <c r="B133" t="s">
        <v>16</v>
      </c>
      <c r="C133" t="s">
        <v>47</v>
      </c>
      <c r="E133">
        <v>12702.856570648084</v>
      </c>
      <c r="G133">
        <v>0</v>
      </c>
      <c r="I133" t="s">
        <v>31</v>
      </c>
      <c r="J133">
        <v>12702.856570648084</v>
      </c>
      <c r="K133">
        <v>2</v>
      </c>
      <c r="L133" t="s">
        <v>48</v>
      </c>
    </row>
    <row r="134" spans="1:12" x14ac:dyDescent="0.25">
      <c r="A134">
        <v>1</v>
      </c>
      <c r="B134" t="s">
        <v>20</v>
      </c>
      <c r="C134" t="s">
        <v>47</v>
      </c>
      <c r="D134">
        <v>0</v>
      </c>
      <c r="E134">
        <v>141090</v>
      </c>
      <c r="F134">
        <v>0</v>
      </c>
      <c r="G134">
        <v>0</v>
      </c>
      <c r="I134" t="s">
        <v>14</v>
      </c>
      <c r="J134">
        <v>141090</v>
      </c>
      <c r="K134">
        <v>2</v>
      </c>
      <c r="L134" t="s">
        <v>48</v>
      </c>
    </row>
    <row r="135" spans="1:12" x14ac:dyDescent="0.25">
      <c r="A135">
        <v>1</v>
      </c>
      <c r="B135" t="s">
        <v>20</v>
      </c>
      <c r="C135" t="s">
        <v>47</v>
      </c>
      <c r="E135">
        <v>12034.862873636477</v>
      </c>
      <c r="G135">
        <v>0</v>
      </c>
      <c r="I135" t="s">
        <v>31</v>
      </c>
      <c r="J135">
        <v>12034.862873636477</v>
      </c>
      <c r="K135">
        <v>2</v>
      </c>
      <c r="L135" t="s">
        <v>48</v>
      </c>
    </row>
    <row r="136" spans="1:12" x14ac:dyDescent="0.25">
      <c r="A136">
        <v>1</v>
      </c>
      <c r="B136" t="s">
        <v>18</v>
      </c>
      <c r="C136" t="s">
        <v>49</v>
      </c>
      <c r="D136">
        <v>0</v>
      </c>
      <c r="E136">
        <v>4060816</v>
      </c>
      <c r="F136">
        <v>0</v>
      </c>
      <c r="G136">
        <v>0</v>
      </c>
      <c r="I136" t="s">
        <v>14</v>
      </c>
      <c r="J136">
        <v>4060816</v>
      </c>
      <c r="K136">
        <v>2</v>
      </c>
      <c r="L136" t="s">
        <v>50</v>
      </c>
    </row>
    <row r="137" spans="1:12" x14ac:dyDescent="0.25">
      <c r="A137">
        <v>1</v>
      </c>
      <c r="B137" t="s">
        <v>21</v>
      </c>
      <c r="C137" t="s">
        <v>49</v>
      </c>
      <c r="E137">
        <v>114973.92564026489</v>
      </c>
      <c r="G137">
        <v>0</v>
      </c>
      <c r="I137" t="s">
        <v>31</v>
      </c>
      <c r="J137">
        <v>114973.92564026489</v>
      </c>
      <c r="K137">
        <v>2</v>
      </c>
      <c r="L137" t="s">
        <v>50</v>
      </c>
    </row>
    <row r="138" spans="1:12" x14ac:dyDescent="0.25">
      <c r="A138">
        <v>1</v>
      </c>
      <c r="B138" t="s">
        <v>17</v>
      </c>
      <c r="C138" t="s">
        <v>49</v>
      </c>
      <c r="D138">
        <v>0</v>
      </c>
      <c r="E138">
        <v>332064</v>
      </c>
      <c r="F138">
        <v>0</v>
      </c>
      <c r="G138">
        <v>0</v>
      </c>
      <c r="I138" t="s">
        <v>14</v>
      </c>
      <c r="J138">
        <v>332064</v>
      </c>
      <c r="K138">
        <v>2</v>
      </c>
      <c r="L138" t="s">
        <v>50</v>
      </c>
    </row>
    <row r="139" spans="1:12" x14ac:dyDescent="0.25">
      <c r="A139">
        <v>1</v>
      </c>
      <c r="B139" t="s">
        <v>21</v>
      </c>
      <c r="C139" t="s">
        <v>49</v>
      </c>
      <c r="D139">
        <v>0</v>
      </c>
      <c r="E139">
        <v>1297501</v>
      </c>
      <c r="F139">
        <v>0</v>
      </c>
      <c r="G139">
        <v>0</v>
      </c>
      <c r="I139" t="s">
        <v>14</v>
      </c>
      <c r="J139">
        <v>1297501</v>
      </c>
      <c r="K139">
        <v>2</v>
      </c>
      <c r="L139" t="s">
        <v>50</v>
      </c>
    </row>
    <row r="140" spans="1:12" x14ac:dyDescent="0.25">
      <c r="A140">
        <v>1</v>
      </c>
      <c r="B140" t="s">
        <v>33</v>
      </c>
      <c r="C140" t="s">
        <v>49</v>
      </c>
      <c r="D140">
        <v>0</v>
      </c>
      <c r="E140">
        <v>77123</v>
      </c>
      <c r="F140">
        <v>0</v>
      </c>
      <c r="G140">
        <v>0</v>
      </c>
      <c r="I140" t="s">
        <v>14</v>
      </c>
      <c r="J140">
        <v>77123</v>
      </c>
      <c r="K140">
        <v>2</v>
      </c>
      <c r="L140" t="s">
        <v>50</v>
      </c>
    </row>
    <row r="141" spans="1:12" x14ac:dyDescent="0.25">
      <c r="A141">
        <v>1</v>
      </c>
      <c r="B141" t="s">
        <v>12</v>
      </c>
      <c r="C141" t="s">
        <v>49</v>
      </c>
      <c r="E141">
        <v>8074.1918755146307</v>
      </c>
      <c r="G141">
        <v>0</v>
      </c>
      <c r="I141" t="s">
        <v>31</v>
      </c>
      <c r="J141">
        <v>8074.1918755146307</v>
      </c>
      <c r="K141">
        <v>2</v>
      </c>
      <c r="L141" t="s">
        <v>50</v>
      </c>
    </row>
    <row r="142" spans="1:12" x14ac:dyDescent="0.25">
      <c r="A142">
        <v>1</v>
      </c>
      <c r="B142" t="s">
        <v>16</v>
      </c>
      <c r="C142" t="s">
        <v>49</v>
      </c>
      <c r="D142">
        <v>0</v>
      </c>
      <c r="E142">
        <v>10707554</v>
      </c>
      <c r="F142">
        <v>0</v>
      </c>
      <c r="G142">
        <v>0</v>
      </c>
      <c r="I142" t="s">
        <v>14</v>
      </c>
      <c r="J142">
        <v>10707554</v>
      </c>
      <c r="K142">
        <v>2</v>
      </c>
      <c r="L142" t="s">
        <v>50</v>
      </c>
    </row>
    <row r="143" spans="1:12" x14ac:dyDescent="0.25">
      <c r="A143">
        <v>1</v>
      </c>
      <c r="B143" t="s">
        <v>16</v>
      </c>
      <c r="C143" t="s">
        <v>49</v>
      </c>
      <c r="E143">
        <v>944801.61542729044</v>
      </c>
      <c r="G143">
        <v>0</v>
      </c>
      <c r="I143" t="s">
        <v>31</v>
      </c>
      <c r="J143">
        <v>944801.61542729044</v>
      </c>
      <c r="K143">
        <v>2</v>
      </c>
      <c r="L143" t="s">
        <v>50</v>
      </c>
    </row>
    <row r="144" spans="1:12" x14ac:dyDescent="0.25">
      <c r="A144">
        <v>1</v>
      </c>
      <c r="B144" t="s">
        <v>12</v>
      </c>
      <c r="C144" t="s">
        <v>49</v>
      </c>
      <c r="D144">
        <v>0</v>
      </c>
      <c r="E144">
        <v>198093</v>
      </c>
      <c r="F144">
        <v>0</v>
      </c>
      <c r="G144">
        <v>0</v>
      </c>
      <c r="I144" t="s">
        <v>14</v>
      </c>
      <c r="J144">
        <v>198093</v>
      </c>
      <c r="K144">
        <v>2</v>
      </c>
      <c r="L144" t="s">
        <v>50</v>
      </c>
    </row>
    <row r="145" spans="1:12" x14ac:dyDescent="0.25">
      <c r="A145">
        <v>1</v>
      </c>
      <c r="B145" t="s">
        <v>17</v>
      </c>
      <c r="C145" t="s">
        <v>49</v>
      </c>
      <c r="E145">
        <v>20349.273181802833</v>
      </c>
      <c r="G145">
        <v>0</v>
      </c>
      <c r="I145" t="s">
        <v>31</v>
      </c>
      <c r="J145">
        <v>20349.273181802833</v>
      </c>
      <c r="K145">
        <v>2</v>
      </c>
      <c r="L145" t="s">
        <v>50</v>
      </c>
    </row>
    <row r="146" spans="1:12" x14ac:dyDescent="0.25">
      <c r="A146">
        <v>1</v>
      </c>
      <c r="B146" t="s">
        <v>33</v>
      </c>
      <c r="C146" t="s">
        <v>49</v>
      </c>
      <c r="E146">
        <v>12411.168852207924</v>
      </c>
      <c r="G146">
        <v>0</v>
      </c>
      <c r="I146" t="s">
        <v>31</v>
      </c>
      <c r="J146">
        <v>12411.168852207924</v>
      </c>
      <c r="K146">
        <v>2</v>
      </c>
      <c r="L146" t="s">
        <v>50</v>
      </c>
    </row>
    <row r="147" spans="1:12" x14ac:dyDescent="0.25">
      <c r="A147">
        <v>1</v>
      </c>
      <c r="B147" t="s">
        <v>18</v>
      </c>
      <c r="C147" t="s">
        <v>49</v>
      </c>
      <c r="E147">
        <v>597770.54554116656</v>
      </c>
      <c r="G147">
        <v>0</v>
      </c>
      <c r="I147" t="s">
        <v>31</v>
      </c>
      <c r="J147">
        <v>597770.54554116656</v>
      </c>
      <c r="K147">
        <v>2</v>
      </c>
      <c r="L147" t="s">
        <v>50</v>
      </c>
    </row>
    <row r="148" spans="1:12" x14ac:dyDescent="0.25">
      <c r="A148">
        <v>1</v>
      </c>
      <c r="B148" t="s">
        <v>20</v>
      </c>
      <c r="C148" t="s">
        <v>49</v>
      </c>
      <c r="E148">
        <v>1895222.4845696522</v>
      </c>
      <c r="G148">
        <v>0</v>
      </c>
      <c r="I148" t="s">
        <v>31</v>
      </c>
      <c r="J148">
        <v>1895222.4845696522</v>
      </c>
      <c r="K148">
        <v>2</v>
      </c>
      <c r="L148" t="s">
        <v>50</v>
      </c>
    </row>
    <row r="149" spans="1:12" x14ac:dyDescent="0.25">
      <c r="A149">
        <v>1</v>
      </c>
      <c r="B149" t="s">
        <v>20</v>
      </c>
      <c r="C149" t="s">
        <v>49</v>
      </c>
      <c r="D149">
        <v>0</v>
      </c>
      <c r="E149">
        <v>22052408</v>
      </c>
      <c r="F149">
        <v>0</v>
      </c>
      <c r="G149">
        <v>0</v>
      </c>
      <c r="I149" t="s">
        <v>14</v>
      </c>
      <c r="J149">
        <v>22052408</v>
      </c>
      <c r="K149">
        <v>2</v>
      </c>
      <c r="L149" t="s">
        <v>50</v>
      </c>
    </row>
    <row r="150" spans="1:12" x14ac:dyDescent="0.25">
      <c r="A150">
        <v>1</v>
      </c>
      <c r="B150" t="s">
        <v>16</v>
      </c>
      <c r="C150" t="s">
        <v>51</v>
      </c>
      <c r="D150">
        <v>0</v>
      </c>
      <c r="E150">
        <v>295263</v>
      </c>
      <c r="F150">
        <v>0</v>
      </c>
      <c r="G150">
        <v>0</v>
      </c>
      <c r="I150" t="s">
        <v>14</v>
      </c>
      <c r="J150">
        <v>295263</v>
      </c>
      <c r="K150">
        <v>2</v>
      </c>
      <c r="L150" t="s">
        <v>52</v>
      </c>
    </row>
    <row r="151" spans="1:12" x14ac:dyDescent="0.25">
      <c r="A151">
        <v>1</v>
      </c>
      <c r="B151" t="s">
        <v>20</v>
      </c>
      <c r="C151" t="s">
        <v>51</v>
      </c>
      <c r="E151">
        <v>53174.413490045234</v>
      </c>
      <c r="G151">
        <v>0</v>
      </c>
      <c r="I151" t="s">
        <v>31</v>
      </c>
      <c r="J151">
        <v>53174.413490045234</v>
      </c>
      <c r="K151">
        <v>2</v>
      </c>
      <c r="L151" t="s">
        <v>52</v>
      </c>
    </row>
    <row r="152" spans="1:12" x14ac:dyDescent="0.25">
      <c r="A152">
        <v>1</v>
      </c>
      <c r="B152" t="s">
        <v>16</v>
      </c>
      <c r="C152" t="s">
        <v>51</v>
      </c>
      <c r="E152">
        <v>27891.182895693833</v>
      </c>
      <c r="G152">
        <v>0</v>
      </c>
      <c r="I152" t="s">
        <v>31</v>
      </c>
      <c r="J152">
        <v>27891.182895693833</v>
      </c>
      <c r="K152">
        <v>2</v>
      </c>
      <c r="L152" t="s">
        <v>52</v>
      </c>
    </row>
    <row r="153" spans="1:12" x14ac:dyDescent="0.25">
      <c r="A153">
        <v>1</v>
      </c>
      <c r="B153" t="s">
        <v>20</v>
      </c>
      <c r="C153" t="s">
        <v>51</v>
      </c>
      <c r="D153">
        <v>0</v>
      </c>
      <c r="E153">
        <v>608358</v>
      </c>
      <c r="F153">
        <v>0</v>
      </c>
      <c r="G153">
        <v>0</v>
      </c>
      <c r="I153" t="s">
        <v>14</v>
      </c>
      <c r="J153">
        <v>608358</v>
      </c>
      <c r="K153">
        <v>2</v>
      </c>
      <c r="L153" t="s">
        <v>52</v>
      </c>
    </row>
    <row r="154" spans="1:12" x14ac:dyDescent="0.25">
      <c r="A154">
        <v>1</v>
      </c>
      <c r="B154" t="s">
        <v>21</v>
      </c>
      <c r="C154" t="s">
        <v>53</v>
      </c>
      <c r="D154">
        <v>0</v>
      </c>
      <c r="E154">
        <v>18953560</v>
      </c>
      <c r="F154">
        <v>0</v>
      </c>
      <c r="G154">
        <v>0</v>
      </c>
      <c r="I154" t="s">
        <v>14</v>
      </c>
      <c r="J154">
        <v>18953560</v>
      </c>
      <c r="K154">
        <v>2</v>
      </c>
      <c r="L154" t="s">
        <v>54</v>
      </c>
    </row>
    <row r="155" spans="1:12" x14ac:dyDescent="0.25">
      <c r="A155">
        <v>1</v>
      </c>
      <c r="B155" t="s">
        <v>21</v>
      </c>
      <c r="C155" t="s">
        <v>53</v>
      </c>
      <c r="E155">
        <v>1709375.9890914056</v>
      </c>
      <c r="G155">
        <v>0</v>
      </c>
      <c r="I155" t="s">
        <v>31</v>
      </c>
      <c r="J155">
        <v>1709375.9890914056</v>
      </c>
      <c r="K155">
        <v>2</v>
      </c>
      <c r="L155" t="s">
        <v>54</v>
      </c>
    </row>
    <row r="156" spans="1:12" x14ac:dyDescent="0.25">
      <c r="A156">
        <v>1</v>
      </c>
      <c r="B156" t="s">
        <v>20</v>
      </c>
      <c r="C156" t="s">
        <v>53</v>
      </c>
      <c r="E156">
        <v>18167280.294147834</v>
      </c>
      <c r="G156">
        <v>0</v>
      </c>
      <c r="I156" t="s">
        <v>31</v>
      </c>
      <c r="J156">
        <v>18167280.294147834</v>
      </c>
      <c r="K156">
        <v>2</v>
      </c>
      <c r="L156" t="s">
        <v>54</v>
      </c>
    </row>
    <row r="157" spans="1:12" x14ac:dyDescent="0.25">
      <c r="A157">
        <v>1</v>
      </c>
      <c r="B157" t="s">
        <v>17</v>
      </c>
      <c r="C157" t="s">
        <v>53</v>
      </c>
      <c r="E157">
        <v>766138.42541496071</v>
      </c>
      <c r="G157">
        <v>0</v>
      </c>
      <c r="I157" t="s">
        <v>31</v>
      </c>
      <c r="J157">
        <v>766138.42541496071</v>
      </c>
      <c r="K157">
        <v>2</v>
      </c>
      <c r="L157" t="s">
        <v>54</v>
      </c>
    </row>
    <row r="158" spans="1:12" x14ac:dyDescent="0.25">
      <c r="A158">
        <v>1</v>
      </c>
      <c r="B158" t="s">
        <v>12</v>
      </c>
      <c r="C158" t="s">
        <v>53</v>
      </c>
      <c r="D158">
        <v>0</v>
      </c>
      <c r="E158">
        <v>2392881</v>
      </c>
      <c r="F158">
        <v>0</v>
      </c>
      <c r="G158">
        <v>0</v>
      </c>
      <c r="I158" t="s">
        <v>14</v>
      </c>
      <c r="J158">
        <v>2392881</v>
      </c>
      <c r="K158">
        <v>2</v>
      </c>
      <c r="L158" t="s">
        <v>54</v>
      </c>
    </row>
    <row r="159" spans="1:12" x14ac:dyDescent="0.25">
      <c r="A159">
        <v>1</v>
      </c>
      <c r="B159" t="s">
        <v>18</v>
      </c>
      <c r="C159" t="s">
        <v>53</v>
      </c>
      <c r="D159">
        <v>0</v>
      </c>
      <c r="E159">
        <v>35125873</v>
      </c>
      <c r="F159">
        <v>0</v>
      </c>
      <c r="G159">
        <v>0</v>
      </c>
      <c r="I159" t="s">
        <v>14</v>
      </c>
      <c r="J159">
        <v>35125873</v>
      </c>
      <c r="K159">
        <v>2</v>
      </c>
      <c r="L159" t="s">
        <v>54</v>
      </c>
    </row>
    <row r="160" spans="1:12" x14ac:dyDescent="0.25">
      <c r="A160">
        <v>1</v>
      </c>
      <c r="B160" t="s">
        <v>16</v>
      </c>
      <c r="C160" t="s">
        <v>53</v>
      </c>
      <c r="D160">
        <v>0</v>
      </c>
      <c r="E160">
        <v>72388001</v>
      </c>
      <c r="F160">
        <v>0</v>
      </c>
      <c r="G160">
        <v>0</v>
      </c>
      <c r="I160" t="s">
        <v>14</v>
      </c>
      <c r="J160">
        <v>72388001</v>
      </c>
      <c r="K160">
        <v>2</v>
      </c>
      <c r="L160" t="s">
        <v>54</v>
      </c>
    </row>
    <row r="161" spans="1:12" x14ac:dyDescent="0.25">
      <c r="A161">
        <v>1</v>
      </c>
      <c r="B161" t="s">
        <v>33</v>
      </c>
      <c r="C161" t="s">
        <v>53</v>
      </c>
      <c r="D161">
        <v>0</v>
      </c>
      <c r="E161">
        <v>2606516</v>
      </c>
      <c r="F161">
        <v>0</v>
      </c>
      <c r="G161">
        <v>0</v>
      </c>
      <c r="I161" t="s">
        <v>14</v>
      </c>
      <c r="J161">
        <v>2606516</v>
      </c>
      <c r="K161">
        <v>2</v>
      </c>
      <c r="L161" t="s">
        <v>54</v>
      </c>
    </row>
    <row r="162" spans="1:12" x14ac:dyDescent="0.25">
      <c r="A162">
        <v>1</v>
      </c>
      <c r="B162" t="s">
        <v>33</v>
      </c>
      <c r="C162" t="s">
        <v>53</v>
      </c>
      <c r="E162">
        <v>219962.57240050123</v>
      </c>
      <c r="G162">
        <v>0</v>
      </c>
      <c r="I162" t="s">
        <v>31</v>
      </c>
      <c r="J162">
        <v>219962.57240050123</v>
      </c>
      <c r="K162">
        <v>2</v>
      </c>
      <c r="L162" t="s">
        <v>54</v>
      </c>
    </row>
    <row r="163" spans="1:12" x14ac:dyDescent="0.25">
      <c r="A163">
        <v>1</v>
      </c>
      <c r="B163" t="s">
        <v>17</v>
      </c>
      <c r="C163" t="s">
        <v>53</v>
      </c>
      <c r="D163">
        <v>0</v>
      </c>
      <c r="E163">
        <v>4824653</v>
      </c>
      <c r="F163">
        <v>0</v>
      </c>
      <c r="G163">
        <v>0</v>
      </c>
      <c r="I163" t="s">
        <v>14</v>
      </c>
      <c r="J163">
        <v>4824653</v>
      </c>
      <c r="K163">
        <v>2</v>
      </c>
      <c r="L163" t="s">
        <v>54</v>
      </c>
    </row>
    <row r="164" spans="1:12" x14ac:dyDescent="0.25">
      <c r="A164">
        <v>1</v>
      </c>
      <c r="B164" t="s">
        <v>16</v>
      </c>
      <c r="C164" t="s">
        <v>53</v>
      </c>
      <c r="E164">
        <v>6236894.9897715412</v>
      </c>
      <c r="G164">
        <v>0</v>
      </c>
      <c r="I164" t="s">
        <v>31</v>
      </c>
      <c r="J164">
        <v>6236894.9897715412</v>
      </c>
      <c r="K164">
        <v>2</v>
      </c>
      <c r="L164" t="s">
        <v>54</v>
      </c>
    </row>
    <row r="165" spans="1:12" x14ac:dyDescent="0.25">
      <c r="A165">
        <v>1</v>
      </c>
      <c r="B165" t="s">
        <v>19</v>
      </c>
      <c r="C165" t="s">
        <v>53</v>
      </c>
      <c r="D165">
        <v>0</v>
      </c>
      <c r="E165">
        <v>818693</v>
      </c>
      <c r="F165">
        <v>0</v>
      </c>
      <c r="G165">
        <v>0</v>
      </c>
      <c r="I165" t="s">
        <v>14</v>
      </c>
      <c r="J165">
        <v>818693</v>
      </c>
      <c r="K165">
        <v>2</v>
      </c>
      <c r="L165" t="s">
        <v>54</v>
      </c>
    </row>
    <row r="166" spans="1:12" x14ac:dyDescent="0.25">
      <c r="A166">
        <v>1</v>
      </c>
      <c r="B166" t="s">
        <v>18</v>
      </c>
      <c r="C166" t="s">
        <v>53</v>
      </c>
      <c r="E166">
        <v>6185567.9632965047</v>
      </c>
      <c r="G166">
        <v>0</v>
      </c>
      <c r="I166" t="s">
        <v>31</v>
      </c>
      <c r="J166">
        <v>6185567.9632965047</v>
      </c>
      <c r="K166">
        <v>2</v>
      </c>
      <c r="L166" t="s">
        <v>54</v>
      </c>
    </row>
    <row r="167" spans="1:12" x14ac:dyDescent="0.25">
      <c r="A167">
        <v>1</v>
      </c>
      <c r="B167" t="s">
        <v>12</v>
      </c>
      <c r="C167" t="s">
        <v>53</v>
      </c>
      <c r="E167">
        <v>72683.110986127198</v>
      </c>
      <c r="G167">
        <v>0</v>
      </c>
      <c r="I167" t="s">
        <v>31</v>
      </c>
      <c r="J167">
        <v>72683.110986127198</v>
      </c>
      <c r="K167">
        <v>2</v>
      </c>
      <c r="L167" t="s">
        <v>54</v>
      </c>
    </row>
    <row r="168" spans="1:12" x14ac:dyDescent="0.25">
      <c r="A168">
        <v>1</v>
      </c>
      <c r="B168" t="s">
        <v>20</v>
      </c>
      <c r="C168" t="s">
        <v>53</v>
      </c>
      <c r="D168">
        <v>0</v>
      </c>
      <c r="E168">
        <v>211060549</v>
      </c>
      <c r="F168">
        <v>0</v>
      </c>
      <c r="G168">
        <v>0</v>
      </c>
      <c r="I168" t="s">
        <v>14</v>
      </c>
      <c r="J168">
        <v>211060549</v>
      </c>
      <c r="K168">
        <v>2</v>
      </c>
      <c r="L168" t="s">
        <v>54</v>
      </c>
    </row>
    <row r="169" spans="1:12" x14ac:dyDescent="0.25">
      <c r="A169">
        <v>1</v>
      </c>
      <c r="B169" t="s">
        <v>19</v>
      </c>
      <c r="C169" t="s">
        <v>53</v>
      </c>
      <c r="E169">
        <v>39504.048384934773</v>
      </c>
      <c r="G169">
        <v>0</v>
      </c>
      <c r="I169" t="s">
        <v>31</v>
      </c>
      <c r="J169">
        <v>39504.048384934773</v>
      </c>
      <c r="K169">
        <v>2</v>
      </c>
      <c r="L169" t="s">
        <v>54</v>
      </c>
    </row>
    <row r="170" spans="1:12" x14ac:dyDescent="0.25">
      <c r="A170">
        <v>1</v>
      </c>
      <c r="B170" t="s">
        <v>18</v>
      </c>
      <c r="C170" t="s">
        <v>55</v>
      </c>
      <c r="D170">
        <v>0</v>
      </c>
      <c r="E170">
        <v>406070</v>
      </c>
      <c r="F170">
        <v>0</v>
      </c>
      <c r="G170">
        <v>0</v>
      </c>
      <c r="I170" t="s">
        <v>14</v>
      </c>
      <c r="J170">
        <v>406070</v>
      </c>
      <c r="K170">
        <v>2</v>
      </c>
      <c r="L170" t="s">
        <v>29</v>
      </c>
    </row>
    <row r="171" spans="1:12" x14ac:dyDescent="0.25">
      <c r="A171">
        <v>1</v>
      </c>
      <c r="B171" t="s">
        <v>21</v>
      </c>
      <c r="C171" t="s">
        <v>55</v>
      </c>
      <c r="D171">
        <v>0</v>
      </c>
      <c r="E171">
        <v>255120</v>
      </c>
      <c r="F171">
        <v>0</v>
      </c>
      <c r="G171">
        <v>0</v>
      </c>
      <c r="I171" t="s">
        <v>14</v>
      </c>
      <c r="J171">
        <v>255120</v>
      </c>
      <c r="K171">
        <v>2</v>
      </c>
      <c r="L171" t="s">
        <v>29</v>
      </c>
    </row>
    <row r="172" spans="1:12" x14ac:dyDescent="0.25">
      <c r="A172">
        <v>1</v>
      </c>
      <c r="B172" t="s">
        <v>16</v>
      </c>
      <c r="C172" t="s">
        <v>55</v>
      </c>
      <c r="D172">
        <v>0</v>
      </c>
      <c r="E172">
        <v>578065</v>
      </c>
      <c r="F172">
        <v>0</v>
      </c>
      <c r="G172">
        <v>0</v>
      </c>
      <c r="I172" t="s">
        <v>14</v>
      </c>
      <c r="J172">
        <v>578065</v>
      </c>
      <c r="K172">
        <v>2</v>
      </c>
      <c r="L172" t="s">
        <v>29</v>
      </c>
    </row>
    <row r="173" spans="1:12" x14ac:dyDescent="0.25">
      <c r="A173">
        <v>1</v>
      </c>
      <c r="B173" t="s">
        <v>33</v>
      </c>
      <c r="C173" t="s">
        <v>55</v>
      </c>
      <c r="D173">
        <v>0</v>
      </c>
      <c r="E173">
        <v>57979</v>
      </c>
      <c r="F173">
        <v>0</v>
      </c>
      <c r="G173">
        <v>0</v>
      </c>
      <c r="I173" t="s">
        <v>14</v>
      </c>
      <c r="J173">
        <v>57979</v>
      </c>
      <c r="K173">
        <v>2</v>
      </c>
      <c r="L173" t="s">
        <v>29</v>
      </c>
    </row>
    <row r="174" spans="1:12" x14ac:dyDescent="0.25">
      <c r="A174">
        <v>1</v>
      </c>
      <c r="B174" t="s">
        <v>20</v>
      </c>
      <c r="C174" t="s">
        <v>55</v>
      </c>
      <c r="D174">
        <v>0</v>
      </c>
      <c r="E174">
        <v>1276452</v>
      </c>
      <c r="F174">
        <v>0</v>
      </c>
      <c r="G174">
        <v>0</v>
      </c>
      <c r="I174" t="s">
        <v>14</v>
      </c>
      <c r="J174">
        <v>1276452</v>
      </c>
      <c r="K174">
        <v>2</v>
      </c>
      <c r="L174" t="s">
        <v>29</v>
      </c>
    </row>
    <row r="175" spans="1:12" x14ac:dyDescent="0.25">
      <c r="A175">
        <v>1</v>
      </c>
      <c r="B175" t="s">
        <v>21</v>
      </c>
      <c r="C175" t="s">
        <v>56</v>
      </c>
      <c r="D175">
        <v>0</v>
      </c>
      <c r="E175">
        <v>139981</v>
      </c>
      <c r="F175">
        <v>0</v>
      </c>
      <c r="G175">
        <v>0</v>
      </c>
      <c r="I175" t="s">
        <v>14</v>
      </c>
      <c r="J175">
        <v>139981</v>
      </c>
      <c r="K175">
        <v>2</v>
      </c>
      <c r="L175" t="s">
        <v>57</v>
      </c>
    </row>
    <row r="176" spans="1:12" x14ac:dyDescent="0.25">
      <c r="A176">
        <v>1</v>
      </c>
      <c r="B176" t="s">
        <v>18</v>
      </c>
      <c r="C176" t="s">
        <v>56</v>
      </c>
      <c r="E176">
        <v>85544.326956171673</v>
      </c>
      <c r="G176">
        <v>0</v>
      </c>
      <c r="I176" t="s">
        <v>31</v>
      </c>
      <c r="J176">
        <v>85544.326956171673</v>
      </c>
      <c r="K176">
        <v>2</v>
      </c>
      <c r="L176" t="s">
        <v>57</v>
      </c>
    </row>
    <row r="177" spans="1:12" x14ac:dyDescent="0.25">
      <c r="A177">
        <v>1</v>
      </c>
      <c r="B177" t="s">
        <v>17</v>
      </c>
      <c r="C177" t="s">
        <v>56</v>
      </c>
      <c r="E177">
        <v>9782.0614558237758</v>
      </c>
      <c r="G177">
        <v>0</v>
      </c>
      <c r="I177" t="s">
        <v>31</v>
      </c>
      <c r="J177">
        <v>9782.0614558237758</v>
      </c>
      <c r="K177">
        <v>2</v>
      </c>
      <c r="L177" t="s">
        <v>57</v>
      </c>
    </row>
    <row r="178" spans="1:12" x14ac:dyDescent="0.25">
      <c r="A178">
        <v>1</v>
      </c>
      <c r="B178" t="s">
        <v>18</v>
      </c>
      <c r="C178" t="s">
        <v>56</v>
      </c>
      <c r="D178">
        <v>0</v>
      </c>
      <c r="E178">
        <v>596696</v>
      </c>
      <c r="F178">
        <v>0</v>
      </c>
      <c r="G178">
        <v>0</v>
      </c>
      <c r="I178" t="s">
        <v>14</v>
      </c>
      <c r="J178">
        <v>596696</v>
      </c>
      <c r="K178">
        <v>2</v>
      </c>
      <c r="L178" t="s">
        <v>57</v>
      </c>
    </row>
    <row r="179" spans="1:12" x14ac:dyDescent="0.25">
      <c r="A179">
        <v>1</v>
      </c>
      <c r="B179" t="s">
        <v>17</v>
      </c>
      <c r="C179" t="s">
        <v>56</v>
      </c>
      <c r="D179">
        <v>0</v>
      </c>
      <c r="E179">
        <v>118754</v>
      </c>
      <c r="F179">
        <v>0</v>
      </c>
      <c r="G179">
        <v>0</v>
      </c>
      <c r="I179" t="s">
        <v>14</v>
      </c>
      <c r="J179">
        <v>118754</v>
      </c>
      <c r="K179">
        <v>2</v>
      </c>
      <c r="L179" t="s">
        <v>57</v>
      </c>
    </row>
    <row r="180" spans="1:12" x14ac:dyDescent="0.25">
      <c r="A180">
        <v>1</v>
      </c>
      <c r="B180" t="s">
        <v>21</v>
      </c>
      <c r="C180" t="s">
        <v>56</v>
      </c>
      <c r="E180">
        <v>12347.655133479544</v>
      </c>
      <c r="G180">
        <v>0</v>
      </c>
      <c r="I180" t="s">
        <v>31</v>
      </c>
      <c r="J180">
        <v>12347.655133479544</v>
      </c>
      <c r="K180">
        <v>2</v>
      </c>
      <c r="L180" t="s">
        <v>57</v>
      </c>
    </row>
    <row r="181" spans="1:12" x14ac:dyDescent="0.25">
      <c r="A181">
        <v>1</v>
      </c>
      <c r="B181" t="s">
        <v>16</v>
      </c>
      <c r="C181" t="s">
        <v>56</v>
      </c>
      <c r="D181">
        <v>0</v>
      </c>
      <c r="E181">
        <v>971846</v>
      </c>
      <c r="F181">
        <v>0</v>
      </c>
      <c r="G181">
        <v>0</v>
      </c>
      <c r="I181" t="s">
        <v>14</v>
      </c>
      <c r="J181">
        <v>971846</v>
      </c>
      <c r="K181">
        <v>2</v>
      </c>
      <c r="L181" t="s">
        <v>57</v>
      </c>
    </row>
    <row r="182" spans="1:12" x14ac:dyDescent="0.25">
      <c r="A182">
        <v>1</v>
      </c>
      <c r="B182" t="s">
        <v>33</v>
      </c>
      <c r="C182" t="s">
        <v>56</v>
      </c>
      <c r="D182">
        <v>0</v>
      </c>
      <c r="E182">
        <v>215061</v>
      </c>
      <c r="F182">
        <v>0</v>
      </c>
      <c r="G182">
        <v>0</v>
      </c>
      <c r="I182" t="s">
        <v>14</v>
      </c>
      <c r="J182">
        <v>215061</v>
      </c>
      <c r="K182">
        <v>2</v>
      </c>
      <c r="L182" t="s">
        <v>57</v>
      </c>
    </row>
    <row r="183" spans="1:12" x14ac:dyDescent="0.25">
      <c r="A183">
        <v>1</v>
      </c>
      <c r="B183" t="s">
        <v>16</v>
      </c>
      <c r="C183" t="s">
        <v>56</v>
      </c>
      <c r="E183">
        <v>79804.664980504007</v>
      </c>
      <c r="G183">
        <v>0</v>
      </c>
      <c r="I183" t="s">
        <v>31</v>
      </c>
      <c r="J183">
        <v>79804.664980504007</v>
      </c>
      <c r="K183">
        <v>2</v>
      </c>
      <c r="L183" t="s">
        <v>57</v>
      </c>
    </row>
    <row r="184" spans="1:12" x14ac:dyDescent="0.25">
      <c r="A184">
        <v>1</v>
      </c>
      <c r="B184" t="s">
        <v>20</v>
      </c>
      <c r="C184" t="s">
        <v>56</v>
      </c>
      <c r="E184">
        <v>364463.3037668661</v>
      </c>
      <c r="G184">
        <v>0</v>
      </c>
      <c r="I184" t="s">
        <v>31</v>
      </c>
      <c r="J184">
        <v>364463.3037668661</v>
      </c>
      <c r="K184">
        <v>2</v>
      </c>
      <c r="L184" t="s">
        <v>57</v>
      </c>
    </row>
    <row r="185" spans="1:12" x14ac:dyDescent="0.25">
      <c r="A185">
        <v>1</v>
      </c>
      <c r="B185" t="s">
        <v>20</v>
      </c>
      <c r="C185" t="s">
        <v>56</v>
      </c>
      <c r="D185">
        <v>0</v>
      </c>
      <c r="E185">
        <v>4273448</v>
      </c>
      <c r="F185">
        <v>0</v>
      </c>
      <c r="G185">
        <v>0</v>
      </c>
      <c r="I185" t="s">
        <v>14</v>
      </c>
      <c r="J185">
        <v>4273448</v>
      </c>
      <c r="K185">
        <v>2</v>
      </c>
      <c r="L185" t="s">
        <v>57</v>
      </c>
    </row>
    <row r="186" spans="1:12" x14ac:dyDescent="0.25">
      <c r="A186">
        <v>1</v>
      </c>
      <c r="B186" t="s">
        <v>33</v>
      </c>
      <c r="C186" t="s">
        <v>56</v>
      </c>
      <c r="E186">
        <v>34173.700014261121</v>
      </c>
      <c r="G186">
        <v>0</v>
      </c>
      <c r="I186" t="s">
        <v>31</v>
      </c>
      <c r="J186">
        <v>34173.700014261121</v>
      </c>
      <c r="K186">
        <v>2</v>
      </c>
      <c r="L186" t="s">
        <v>57</v>
      </c>
    </row>
    <row r="187" spans="1:12" x14ac:dyDescent="0.25">
      <c r="A187">
        <v>1</v>
      </c>
      <c r="B187" t="s">
        <v>21</v>
      </c>
      <c r="C187" t="s">
        <v>58</v>
      </c>
      <c r="E187">
        <v>12668.825951954901</v>
      </c>
      <c r="G187">
        <v>0</v>
      </c>
      <c r="I187" t="s">
        <v>31</v>
      </c>
      <c r="J187">
        <v>12668.825951954901</v>
      </c>
      <c r="K187">
        <v>2</v>
      </c>
      <c r="L187" t="s">
        <v>59</v>
      </c>
    </row>
    <row r="188" spans="1:12" x14ac:dyDescent="0.25">
      <c r="A188">
        <v>1</v>
      </c>
      <c r="B188" t="s">
        <v>21</v>
      </c>
      <c r="C188" t="s">
        <v>58</v>
      </c>
      <c r="D188">
        <v>0</v>
      </c>
      <c r="E188">
        <v>143622</v>
      </c>
      <c r="F188">
        <v>0</v>
      </c>
      <c r="G188">
        <v>0</v>
      </c>
      <c r="I188" t="s">
        <v>14</v>
      </c>
      <c r="J188">
        <v>143622</v>
      </c>
      <c r="K188">
        <v>2</v>
      </c>
      <c r="L188" t="s">
        <v>59</v>
      </c>
    </row>
    <row r="189" spans="1:12" x14ac:dyDescent="0.25">
      <c r="A189">
        <v>1</v>
      </c>
      <c r="B189" t="s">
        <v>17</v>
      </c>
      <c r="C189" t="s">
        <v>58</v>
      </c>
      <c r="E189">
        <v>2282.5523876454472</v>
      </c>
      <c r="G189">
        <v>0</v>
      </c>
      <c r="I189" t="s">
        <v>31</v>
      </c>
      <c r="J189">
        <v>2282.5523876454472</v>
      </c>
      <c r="K189">
        <v>2</v>
      </c>
      <c r="L189" t="s">
        <v>59</v>
      </c>
    </row>
    <row r="190" spans="1:12" x14ac:dyDescent="0.25">
      <c r="A190">
        <v>1</v>
      </c>
      <c r="B190" t="s">
        <v>18</v>
      </c>
      <c r="C190" t="s">
        <v>58</v>
      </c>
      <c r="D190">
        <v>0</v>
      </c>
      <c r="E190">
        <v>77833</v>
      </c>
      <c r="F190">
        <v>0</v>
      </c>
      <c r="G190">
        <v>0</v>
      </c>
      <c r="I190" t="s">
        <v>14</v>
      </c>
      <c r="J190">
        <v>77833</v>
      </c>
      <c r="K190">
        <v>2</v>
      </c>
      <c r="L190" t="s">
        <v>59</v>
      </c>
    </row>
    <row r="191" spans="1:12" x14ac:dyDescent="0.25">
      <c r="A191">
        <v>1</v>
      </c>
      <c r="B191" t="s">
        <v>20</v>
      </c>
      <c r="C191" t="s">
        <v>58</v>
      </c>
      <c r="E191">
        <v>55887.139131177311</v>
      </c>
      <c r="G191">
        <v>0</v>
      </c>
      <c r="I191" t="s">
        <v>31</v>
      </c>
      <c r="J191">
        <v>55887.139131177311</v>
      </c>
      <c r="K191">
        <v>2</v>
      </c>
      <c r="L191" t="s">
        <v>59</v>
      </c>
    </row>
    <row r="192" spans="1:12" x14ac:dyDescent="0.25">
      <c r="A192">
        <v>1</v>
      </c>
      <c r="B192" t="s">
        <v>16</v>
      </c>
      <c r="C192" t="s">
        <v>58</v>
      </c>
      <c r="D192">
        <v>0</v>
      </c>
      <c r="E192">
        <v>272599</v>
      </c>
      <c r="F192">
        <v>0</v>
      </c>
      <c r="G192">
        <v>0</v>
      </c>
      <c r="I192" t="s">
        <v>14</v>
      </c>
      <c r="J192">
        <v>272599</v>
      </c>
      <c r="K192">
        <v>2</v>
      </c>
      <c r="L192" t="s">
        <v>59</v>
      </c>
    </row>
    <row r="193" spans="1:12" x14ac:dyDescent="0.25">
      <c r="A193">
        <v>1</v>
      </c>
      <c r="B193" t="s">
        <v>33</v>
      </c>
      <c r="C193" t="s">
        <v>58</v>
      </c>
      <c r="D193">
        <v>0</v>
      </c>
      <c r="E193">
        <v>103462</v>
      </c>
      <c r="F193">
        <v>0</v>
      </c>
      <c r="G193">
        <v>0</v>
      </c>
      <c r="I193" t="s">
        <v>14</v>
      </c>
      <c r="J193">
        <v>103462</v>
      </c>
      <c r="K193">
        <v>2</v>
      </c>
      <c r="L193" t="s">
        <v>59</v>
      </c>
    </row>
    <row r="194" spans="1:12" x14ac:dyDescent="0.25">
      <c r="A194">
        <v>1</v>
      </c>
      <c r="B194" t="s">
        <v>16</v>
      </c>
      <c r="C194" t="s">
        <v>58</v>
      </c>
      <c r="E194">
        <v>25659.770645620738</v>
      </c>
      <c r="G194">
        <v>0</v>
      </c>
      <c r="I194" t="s">
        <v>31</v>
      </c>
      <c r="J194">
        <v>25659.770645620738</v>
      </c>
      <c r="K194">
        <v>2</v>
      </c>
      <c r="L194" t="s">
        <v>59</v>
      </c>
    </row>
    <row r="195" spans="1:12" x14ac:dyDescent="0.25">
      <c r="A195">
        <v>1</v>
      </c>
      <c r="B195" t="s">
        <v>18</v>
      </c>
      <c r="C195" t="s">
        <v>58</v>
      </c>
      <c r="E195">
        <v>20901.070406067502</v>
      </c>
      <c r="G195">
        <v>0</v>
      </c>
      <c r="I195" t="s">
        <v>31</v>
      </c>
      <c r="J195">
        <v>20901.070406067502</v>
      </c>
      <c r="K195">
        <v>2</v>
      </c>
      <c r="L195" t="s">
        <v>59</v>
      </c>
    </row>
    <row r="196" spans="1:12" x14ac:dyDescent="0.25">
      <c r="A196">
        <v>1</v>
      </c>
      <c r="B196" t="s">
        <v>33</v>
      </c>
      <c r="C196" t="s">
        <v>58</v>
      </c>
      <c r="E196">
        <v>9302.8142912944386</v>
      </c>
      <c r="G196">
        <v>0</v>
      </c>
      <c r="I196" t="s">
        <v>31</v>
      </c>
      <c r="J196">
        <v>9302.8142912944386</v>
      </c>
      <c r="K196">
        <v>2</v>
      </c>
      <c r="L196" t="s">
        <v>59</v>
      </c>
    </row>
    <row r="197" spans="1:12" x14ac:dyDescent="0.25">
      <c r="A197">
        <v>1</v>
      </c>
      <c r="B197" t="s">
        <v>20</v>
      </c>
      <c r="C197" t="s">
        <v>58</v>
      </c>
      <c r="D197">
        <v>0</v>
      </c>
      <c r="E197">
        <v>627628</v>
      </c>
      <c r="F197">
        <v>0</v>
      </c>
      <c r="G197">
        <v>0</v>
      </c>
      <c r="I197" t="s">
        <v>14</v>
      </c>
      <c r="J197">
        <v>627628</v>
      </c>
      <c r="K197">
        <v>2</v>
      </c>
      <c r="L197" t="s">
        <v>59</v>
      </c>
    </row>
    <row r="198" spans="1:12" x14ac:dyDescent="0.25">
      <c r="A198">
        <v>1</v>
      </c>
      <c r="B198" t="s">
        <v>17</v>
      </c>
      <c r="C198" t="s">
        <v>58</v>
      </c>
      <c r="D198">
        <v>0</v>
      </c>
      <c r="E198">
        <v>52066</v>
      </c>
      <c r="F198">
        <v>0</v>
      </c>
      <c r="G198">
        <v>0</v>
      </c>
      <c r="I198" t="s">
        <v>14</v>
      </c>
      <c r="J198">
        <v>52066</v>
      </c>
      <c r="K198">
        <v>2</v>
      </c>
      <c r="L198" t="s">
        <v>59</v>
      </c>
    </row>
    <row r="199" spans="1:12" x14ac:dyDescent="0.25">
      <c r="A199">
        <v>1</v>
      </c>
      <c r="B199" t="s">
        <v>20</v>
      </c>
      <c r="C199" t="s">
        <v>60</v>
      </c>
      <c r="E199">
        <v>7812.9829946967275</v>
      </c>
      <c r="G199">
        <v>0</v>
      </c>
      <c r="I199" t="s">
        <v>31</v>
      </c>
      <c r="J199">
        <v>7812.9829946967275</v>
      </c>
      <c r="K199">
        <v>2</v>
      </c>
      <c r="L199" t="s">
        <v>61</v>
      </c>
    </row>
    <row r="200" spans="1:12" x14ac:dyDescent="0.25">
      <c r="A200">
        <v>1</v>
      </c>
      <c r="B200" t="s">
        <v>20</v>
      </c>
      <c r="C200" t="s">
        <v>60</v>
      </c>
      <c r="D200">
        <v>0</v>
      </c>
      <c r="E200">
        <v>92535</v>
      </c>
      <c r="F200">
        <v>0</v>
      </c>
      <c r="G200">
        <v>0</v>
      </c>
      <c r="I200" t="s">
        <v>14</v>
      </c>
      <c r="J200">
        <v>92535</v>
      </c>
      <c r="K200">
        <v>2</v>
      </c>
      <c r="L200" t="s">
        <v>61</v>
      </c>
    </row>
    <row r="201" spans="1:12" x14ac:dyDescent="0.25">
      <c r="A201">
        <v>1</v>
      </c>
      <c r="B201" t="s">
        <v>21</v>
      </c>
      <c r="C201" t="s">
        <v>62</v>
      </c>
      <c r="E201">
        <v>24837.885747759483</v>
      </c>
      <c r="G201">
        <v>0</v>
      </c>
      <c r="I201" t="s">
        <v>31</v>
      </c>
      <c r="J201">
        <v>24837.885747759483</v>
      </c>
      <c r="K201">
        <v>2</v>
      </c>
      <c r="L201" t="s">
        <v>63</v>
      </c>
    </row>
    <row r="202" spans="1:12" x14ac:dyDescent="0.25">
      <c r="A202">
        <v>1</v>
      </c>
      <c r="B202" t="s">
        <v>21</v>
      </c>
      <c r="C202" t="s">
        <v>62</v>
      </c>
      <c r="D202">
        <v>0</v>
      </c>
      <c r="E202">
        <v>253709</v>
      </c>
      <c r="F202">
        <v>0</v>
      </c>
      <c r="G202">
        <v>0</v>
      </c>
      <c r="I202" t="s">
        <v>14</v>
      </c>
      <c r="J202">
        <v>253709</v>
      </c>
      <c r="K202">
        <v>2</v>
      </c>
      <c r="L202" t="s">
        <v>63</v>
      </c>
    </row>
    <row r="203" spans="1:12" x14ac:dyDescent="0.25">
      <c r="A203">
        <v>1</v>
      </c>
      <c r="B203" t="s">
        <v>20</v>
      </c>
      <c r="C203" t="s">
        <v>62</v>
      </c>
      <c r="E203">
        <v>148109.69789547217</v>
      </c>
      <c r="G203">
        <v>0</v>
      </c>
      <c r="I203" t="s">
        <v>31</v>
      </c>
      <c r="J203">
        <v>148109.69789547217</v>
      </c>
      <c r="K203">
        <v>2</v>
      </c>
      <c r="L203" t="s">
        <v>63</v>
      </c>
    </row>
    <row r="204" spans="1:12" x14ac:dyDescent="0.25">
      <c r="A204">
        <v>1</v>
      </c>
      <c r="B204" t="s">
        <v>18</v>
      </c>
      <c r="C204" t="s">
        <v>62</v>
      </c>
      <c r="D204">
        <v>0</v>
      </c>
      <c r="E204">
        <v>264140</v>
      </c>
      <c r="F204">
        <v>0</v>
      </c>
      <c r="G204">
        <v>0</v>
      </c>
      <c r="I204" t="s">
        <v>14</v>
      </c>
      <c r="J204">
        <v>264140</v>
      </c>
      <c r="K204">
        <v>2</v>
      </c>
      <c r="L204" t="s">
        <v>63</v>
      </c>
    </row>
    <row r="205" spans="1:12" x14ac:dyDescent="0.25">
      <c r="A205">
        <v>1</v>
      </c>
      <c r="B205" t="s">
        <v>16</v>
      </c>
      <c r="C205" t="s">
        <v>62</v>
      </c>
      <c r="D205">
        <v>0</v>
      </c>
      <c r="E205">
        <v>404184</v>
      </c>
      <c r="F205">
        <v>0</v>
      </c>
      <c r="G205">
        <v>0</v>
      </c>
      <c r="I205" t="s">
        <v>14</v>
      </c>
      <c r="J205">
        <v>404184</v>
      </c>
      <c r="K205">
        <v>2</v>
      </c>
      <c r="L205" t="s">
        <v>63</v>
      </c>
    </row>
    <row r="206" spans="1:12" x14ac:dyDescent="0.25">
      <c r="A206">
        <v>1</v>
      </c>
      <c r="B206" t="s">
        <v>12</v>
      </c>
      <c r="C206" t="s">
        <v>62</v>
      </c>
      <c r="D206">
        <v>0</v>
      </c>
      <c r="E206">
        <v>160339</v>
      </c>
      <c r="F206">
        <v>0</v>
      </c>
      <c r="G206">
        <v>0</v>
      </c>
      <c r="I206" t="s">
        <v>14</v>
      </c>
      <c r="J206">
        <v>160339</v>
      </c>
      <c r="K206">
        <v>2</v>
      </c>
      <c r="L206" t="s">
        <v>63</v>
      </c>
    </row>
    <row r="207" spans="1:12" x14ac:dyDescent="0.25">
      <c r="A207">
        <v>1</v>
      </c>
      <c r="B207" t="s">
        <v>16</v>
      </c>
      <c r="C207" t="s">
        <v>62</v>
      </c>
      <c r="E207">
        <v>22452.430758259088</v>
      </c>
      <c r="G207">
        <v>0</v>
      </c>
      <c r="I207" t="s">
        <v>31</v>
      </c>
      <c r="J207">
        <v>22452.430758259088</v>
      </c>
      <c r="K207">
        <v>2</v>
      </c>
      <c r="L207" t="s">
        <v>63</v>
      </c>
    </row>
    <row r="208" spans="1:12" x14ac:dyDescent="0.25">
      <c r="A208">
        <v>1</v>
      </c>
      <c r="B208" t="s">
        <v>18</v>
      </c>
      <c r="C208" t="s">
        <v>62</v>
      </c>
      <c r="E208">
        <v>32560.53529002599</v>
      </c>
      <c r="G208">
        <v>0</v>
      </c>
      <c r="I208" t="s">
        <v>31</v>
      </c>
      <c r="J208">
        <v>32560.53529002599</v>
      </c>
      <c r="K208">
        <v>2</v>
      </c>
      <c r="L208" t="s">
        <v>63</v>
      </c>
    </row>
    <row r="209" spans="1:12" x14ac:dyDescent="0.25">
      <c r="A209">
        <v>1</v>
      </c>
      <c r="B209" t="s">
        <v>20</v>
      </c>
      <c r="C209" t="s">
        <v>62</v>
      </c>
      <c r="D209">
        <v>0</v>
      </c>
      <c r="E209">
        <v>1999426</v>
      </c>
      <c r="F209">
        <v>0</v>
      </c>
      <c r="G209">
        <v>0</v>
      </c>
      <c r="I209" t="s">
        <v>14</v>
      </c>
      <c r="J209">
        <v>1999426</v>
      </c>
      <c r="K209">
        <v>2</v>
      </c>
      <c r="L209" t="s">
        <v>63</v>
      </c>
    </row>
    <row r="210" spans="1:12" x14ac:dyDescent="0.25">
      <c r="A210">
        <v>1</v>
      </c>
      <c r="B210" t="s">
        <v>12</v>
      </c>
      <c r="C210" t="s">
        <v>62</v>
      </c>
      <c r="E210">
        <v>9399.0006972656265</v>
      </c>
      <c r="G210">
        <v>0</v>
      </c>
      <c r="I210" t="s">
        <v>31</v>
      </c>
      <c r="J210">
        <v>9399.0006972656265</v>
      </c>
      <c r="K210">
        <v>2</v>
      </c>
      <c r="L210" t="s">
        <v>63</v>
      </c>
    </row>
    <row r="211" spans="1:12" x14ac:dyDescent="0.25">
      <c r="A211">
        <v>1</v>
      </c>
      <c r="B211" t="s">
        <v>21</v>
      </c>
      <c r="C211" t="s">
        <v>64</v>
      </c>
      <c r="E211">
        <v>13483.296582689643</v>
      </c>
      <c r="G211">
        <v>0</v>
      </c>
      <c r="I211" t="s">
        <v>31</v>
      </c>
      <c r="J211">
        <v>13483.296582689643</v>
      </c>
      <c r="K211">
        <v>2</v>
      </c>
      <c r="L211" t="s">
        <v>63</v>
      </c>
    </row>
    <row r="212" spans="1:12" x14ac:dyDescent="0.25">
      <c r="A212">
        <v>1</v>
      </c>
      <c r="B212" t="s">
        <v>18</v>
      </c>
      <c r="C212" t="s">
        <v>64</v>
      </c>
      <c r="D212">
        <v>0</v>
      </c>
      <c r="E212">
        <v>239883</v>
      </c>
      <c r="F212">
        <v>0</v>
      </c>
      <c r="G212">
        <v>0</v>
      </c>
      <c r="I212" t="s">
        <v>14</v>
      </c>
      <c r="J212">
        <v>239883</v>
      </c>
      <c r="K212">
        <v>2</v>
      </c>
      <c r="L212" t="s">
        <v>63</v>
      </c>
    </row>
    <row r="213" spans="1:12" x14ac:dyDescent="0.25">
      <c r="A213">
        <v>1</v>
      </c>
      <c r="B213" t="s">
        <v>20</v>
      </c>
      <c r="C213" t="s">
        <v>64</v>
      </c>
      <c r="E213">
        <v>83637.602146936319</v>
      </c>
      <c r="G213">
        <v>0</v>
      </c>
      <c r="I213" t="s">
        <v>31</v>
      </c>
      <c r="J213">
        <v>83637.602146936319</v>
      </c>
      <c r="K213">
        <v>2</v>
      </c>
      <c r="L213" t="s">
        <v>63</v>
      </c>
    </row>
    <row r="214" spans="1:12" x14ac:dyDescent="0.25">
      <c r="A214">
        <v>1</v>
      </c>
      <c r="B214" t="s">
        <v>16</v>
      </c>
      <c r="C214" t="s">
        <v>64</v>
      </c>
      <c r="D214">
        <v>0</v>
      </c>
      <c r="E214">
        <v>475326</v>
      </c>
      <c r="F214">
        <v>0</v>
      </c>
      <c r="G214">
        <v>0</v>
      </c>
      <c r="I214" t="s">
        <v>14</v>
      </c>
      <c r="J214">
        <v>475326</v>
      </c>
      <c r="K214">
        <v>2</v>
      </c>
      <c r="L214" t="s">
        <v>63</v>
      </c>
    </row>
    <row r="215" spans="1:12" x14ac:dyDescent="0.25">
      <c r="A215">
        <v>1</v>
      </c>
      <c r="B215" t="s">
        <v>33</v>
      </c>
      <c r="C215" t="s">
        <v>64</v>
      </c>
      <c r="D215">
        <v>0</v>
      </c>
      <c r="E215">
        <v>90210</v>
      </c>
      <c r="F215">
        <v>0</v>
      </c>
      <c r="G215">
        <v>0</v>
      </c>
      <c r="I215" t="s">
        <v>14</v>
      </c>
      <c r="J215">
        <v>90210</v>
      </c>
      <c r="K215">
        <v>2</v>
      </c>
      <c r="L215" t="s">
        <v>63</v>
      </c>
    </row>
    <row r="216" spans="1:12" x14ac:dyDescent="0.25">
      <c r="A216">
        <v>1</v>
      </c>
      <c r="B216" t="s">
        <v>16</v>
      </c>
      <c r="C216" t="s">
        <v>64</v>
      </c>
      <c r="E216">
        <v>37222.407477970555</v>
      </c>
      <c r="G216">
        <v>0</v>
      </c>
      <c r="I216" t="s">
        <v>31</v>
      </c>
      <c r="J216">
        <v>37222.407477970555</v>
      </c>
      <c r="K216">
        <v>2</v>
      </c>
      <c r="L216" t="s">
        <v>63</v>
      </c>
    </row>
    <row r="217" spans="1:12" x14ac:dyDescent="0.25">
      <c r="A217">
        <v>1</v>
      </c>
      <c r="B217" t="s">
        <v>21</v>
      </c>
      <c r="C217" t="s">
        <v>64</v>
      </c>
      <c r="D217">
        <v>0</v>
      </c>
      <c r="E217">
        <v>143090</v>
      </c>
      <c r="F217">
        <v>0</v>
      </c>
      <c r="G217">
        <v>0</v>
      </c>
      <c r="I217" t="s">
        <v>14</v>
      </c>
      <c r="J217">
        <v>143090</v>
      </c>
      <c r="K217">
        <v>2</v>
      </c>
      <c r="L217" t="s">
        <v>63</v>
      </c>
    </row>
    <row r="218" spans="1:12" x14ac:dyDescent="0.25">
      <c r="A218">
        <v>1</v>
      </c>
      <c r="B218" t="s">
        <v>18</v>
      </c>
      <c r="C218" t="s">
        <v>64</v>
      </c>
      <c r="E218">
        <v>53492.950317510622</v>
      </c>
      <c r="G218">
        <v>0</v>
      </c>
      <c r="I218" t="s">
        <v>31</v>
      </c>
      <c r="J218">
        <v>53492.950317510622</v>
      </c>
      <c r="K218">
        <v>2</v>
      </c>
      <c r="L218" t="s">
        <v>63</v>
      </c>
    </row>
    <row r="219" spans="1:12" x14ac:dyDescent="0.25">
      <c r="A219">
        <v>1</v>
      </c>
      <c r="B219" t="s">
        <v>20</v>
      </c>
      <c r="C219" t="s">
        <v>64</v>
      </c>
      <c r="D219">
        <v>0</v>
      </c>
      <c r="E219">
        <v>1188991</v>
      </c>
      <c r="F219">
        <v>0</v>
      </c>
      <c r="G219">
        <v>0</v>
      </c>
      <c r="I219" t="s">
        <v>14</v>
      </c>
      <c r="J219">
        <v>1188991</v>
      </c>
      <c r="K219">
        <v>2</v>
      </c>
      <c r="L219" t="s">
        <v>63</v>
      </c>
    </row>
    <row r="220" spans="1:12" x14ac:dyDescent="0.25">
      <c r="A220">
        <v>1</v>
      </c>
      <c r="B220" t="s">
        <v>33</v>
      </c>
      <c r="C220" t="s">
        <v>64</v>
      </c>
      <c r="E220">
        <v>9828.6277387109894</v>
      </c>
      <c r="G220">
        <v>0</v>
      </c>
      <c r="I220" t="s">
        <v>31</v>
      </c>
      <c r="J220">
        <v>9828.6277387109894</v>
      </c>
      <c r="K220">
        <v>2</v>
      </c>
      <c r="L220" t="s">
        <v>63</v>
      </c>
    </row>
    <row r="221" spans="1:12" x14ac:dyDescent="0.25">
      <c r="A221">
        <v>1</v>
      </c>
      <c r="B221" t="s">
        <v>17</v>
      </c>
      <c r="C221" t="s">
        <v>65</v>
      </c>
      <c r="D221">
        <v>0</v>
      </c>
      <c r="E221">
        <v>121640</v>
      </c>
      <c r="F221">
        <v>0</v>
      </c>
      <c r="G221">
        <v>0</v>
      </c>
      <c r="I221" t="s">
        <v>14</v>
      </c>
      <c r="J221">
        <v>121640</v>
      </c>
      <c r="K221">
        <v>2</v>
      </c>
      <c r="L221" t="s">
        <v>63</v>
      </c>
    </row>
    <row r="222" spans="1:12" x14ac:dyDescent="0.25">
      <c r="A222">
        <v>1</v>
      </c>
      <c r="B222" t="s">
        <v>21</v>
      </c>
      <c r="C222" t="s">
        <v>65</v>
      </c>
      <c r="E222">
        <v>13095.849814783123</v>
      </c>
      <c r="G222">
        <v>0</v>
      </c>
      <c r="I222" t="s">
        <v>31</v>
      </c>
      <c r="J222">
        <v>13095.849814783123</v>
      </c>
      <c r="K222">
        <v>2</v>
      </c>
      <c r="L222" t="s">
        <v>63</v>
      </c>
    </row>
    <row r="223" spans="1:12" x14ac:dyDescent="0.25">
      <c r="A223">
        <v>1</v>
      </c>
      <c r="B223" t="s">
        <v>18</v>
      </c>
      <c r="C223" t="s">
        <v>65</v>
      </c>
      <c r="D223">
        <v>0</v>
      </c>
      <c r="E223">
        <v>584935</v>
      </c>
      <c r="F223">
        <v>0</v>
      </c>
      <c r="G223">
        <v>0</v>
      </c>
      <c r="I223" t="s">
        <v>14</v>
      </c>
      <c r="J223">
        <v>584935</v>
      </c>
      <c r="K223">
        <v>2</v>
      </c>
      <c r="L223" t="s">
        <v>63</v>
      </c>
    </row>
    <row r="224" spans="1:12" x14ac:dyDescent="0.25">
      <c r="A224">
        <v>1</v>
      </c>
      <c r="B224" t="s">
        <v>16</v>
      </c>
      <c r="C224" t="s">
        <v>65</v>
      </c>
      <c r="D224">
        <v>0</v>
      </c>
      <c r="E224">
        <v>771328</v>
      </c>
      <c r="F224">
        <v>0</v>
      </c>
      <c r="G224">
        <v>0</v>
      </c>
      <c r="I224" t="s">
        <v>14</v>
      </c>
      <c r="J224">
        <v>771328</v>
      </c>
      <c r="K224">
        <v>2</v>
      </c>
      <c r="L224" t="s">
        <v>63</v>
      </c>
    </row>
    <row r="225" spans="1:12" x14ac:dyDescent="0.25">
      <c r="A225">
        <v>1</v>
      </c>
      <c r="B225" t="s">
        <v>20</v>
      </c>
      <c r="C225" t="s">
        <v>65</v>
      </c>
      <c r="E225">
        <v>121117.46820992371</v>
      </c>
      <c r="G225">
        <v>0</v>
      </c>
      <c r="I225" t="s">
        <v>31</v>
      </c>
      <c r="J225">
        <v>121117.46820992371</v>
      </c>
      <c r="K225">
        <v>2</v>
      </c>
      <c r="L225" t="s">
        <v>63</v>
      </c>
    </row>
    <row r="226" spans="1:12" x14ac:dyDescent="0.25">
      <c r="A226">
        <v>1</v>
      </c>
      <c r="B226" t="s">
        <v>12</v>
      </c>
      <c r="C226" t="s">
        <v>65</v>
      </c>
      <c r="D226">
        <v>0</v>
      </c>
      <c r="E226">
        <v>77954</v>
      </c>
      <c r="F226">
        <v>0</v>
      </c>
      <c r="G226">
        <v>0</v>
      </c>
      <c r="I226" t="s">
        <v>14</v>
      </c>
      <c r="J226">
        <v>77954</v>
      </c>
      <c r="K226">
        <v>2</v>
      </c>
      <c r="L226" t="s">
        <v>63</v>
      </c>
    </row>
    <row r="227" spans="1:12" x14ac:dyDescent="0.25">
      <c r="A227">
        <v>1</v>
      </c>
      <c r="B227" t="s">
        <v>16</v>
      </c>
      <c r="C227" t="s">
        <v>65</v>
      </c>
      <c r="E227">
        <v>36404.916198410894</v>
      </c>
      <c r="G227">
        <v>0</v>
      </c>
      <c r="I227" t="s">
        <v>31</v>
      </c>
      <c r="J227">
        <v>36404.916198410894</v>
      </c>
      <c r="K227">
        <v>2</v>
      </c>
      <c r="L227" t="s">
        <v>63</v>
      </c>
    </row>
    <row r="228" spans="1:12" x14ac:dyDescent="0.25">
      <c r="A228">
        <v>1</v>
      </c>
      <c r="B228" t="s">
        <v>21</v>
      </c>
      <c r="C228" t="s">
        <v>65</v>
      </c>
      <c r="D228">
        <v>0</v>
      </c>
      <c r="E228">
        <v>117048</v>
      </c>
      <c r="F228">
        <v>0</v>
      </c>
      <c r="G228">
        <v>0</v>
      </c>
      <c r="I228" t="s">
        <v>14</v>
      </c>
      <c r="J228">
        <v>117048</v>
      </c>
      <c r="K228">
        <v>2</v>
      </c>
      <c r="L228" t="s">
        <v>63</v>
      </c>
    </row>
    <row r="229" spans="1:12" x14ac:dyDescent="0.25">
      <c r="A229">
        <v>1</v>
      </c>
      <c r="B229" t="s">
        <v>18</v>
      </c>
      <c r="C229" t="s">
        <v>65</v>
      </c>
      <c r="E229">
        <v>83865.74864559772</v>
      </c>
      <c r="G229">
        <v>0</v>
      </c>
      <c r="I229" t="s">
        <v>31</v>
      </c>
      <c r="J229">
        <v>83865.74864559772</v>
      </c>
      <c r="K229">
        <v>2</v>
      </c>
      <c r="L229" t="s">
        <v>63</v>
      </c>
    </row>
    <row r="230" spans="1:12" x14ac:dyDescent="0.25">
      <c r="A230">
        <v>1</v>
      </c>
      <c r="B230" t="s">
        <v>20</v>
      </c>
      <c r="C230" t="s">
        <v>65</v>
      </c>
      <c r="D230">
        <v>0</v>
      </c>
      <c r="E230">
        <v>1798190</v>
      </c>
      <c r="F230">
        <v>0</v>
      </c>
      <c r="G230">
        <v>0</v>
      </c>
      <c r="I230" t="s">
        <v>14</v>
      </c>
      <c r="J230">
        <v>1798190</v>
      </c>
      <c r="K230">
        <v>2</v>
      </c>
      <c r="L230" t="s">
        <v>63</v>
      </c>
    </row>
    <row r="231" spans="1:12" x14ac:dyDescent="0.25">
      <c r="A231">
        <v>1</v>
      </c>
      <c r="B231" t="s">
        <v>12</v>
      </c>
      <c r="C231" t="s">
        <v>65</v>
      </c>
      <c r="E231">
        <v>6053.0065931519257</v>
      </c>
      <c r="G231">
        <v>0</v>
      </c>
      <c r="I231" t="s">
        <v>31</v>
      </c>
      <c r="J231">
        <v>6053.0065931519257</v>
      </c>
      <c r="K231">
        <v>2</v>
      </c>
      <c r="L231" t="s">
        <v>63</v>
      </c>
    </row>
    <row r="232" spans="1:12" x14ac:dyDescent="0.25">
      <c r="A232">
        <v>1</v>
      </c>
      <c r="B232" t="s">
        <v>17</v>
      </c>
      <c r="C232" t="s">
        <v>65</v>
      </c>
      <c r="E232">
        <v>38506.053113145528</v>
      </c>
      <c r="G232">
        <v>0</v>
      </c>
      <c r="I232" t="s">
        <v>31</v>
      </c>
      <c r="J232">
        <v>38506.053113145528</v>
      </c>
      <c r="K232">
        <v>2</v>
      </c>
      <c r="L232" t="s">
        <v>63</v>
      </c>
    </row>
    <row r="233" spans="1:12" x14ac:dyDescent="0.25">
      <c r="A233">
        <v>1</v>
      </c>
      <c r="B233" t="s">
        <v>17</v>
      </c>
      <c r="C233" t="s">
        <v>66</v>
      </c>
      <c r="E233">
        <v>79029.858762766948</v>
      </c>
      <c r="G233">
        <v>0</v>
      </c>
      <c r="I233" t="s">
        <v>31</v>
      </c>
      <c r="J233">
        <v>79029.858762766948</v>
      </c>
      <c r="K233">
        <v>2</v>
      </c>
      <c r="L233" t="s">
        <v>63</v>
      </c>
    </row>
    <row r="234" spans="1:12" x14ac:dyDescent="0.25">
      <c r="A234">
        <v>1</v>
      </c>
      <c r="B234" t="s">
        <v>21</v>
      </c>
      <c r="C234" t="s">
        <v>66</v>
      </c>
      <c r="E234">
        <v>166272.93241472263</v>
      </c>
      <c r="G234">
        <v>0</v>
      </c>
      <c r="I234" t="s">
        <v>31</v>
      </c>
      <c r="J234">
        <v>166272.93241472263</v>
      </c>
      <c r="K234">
        <v>2</v>
      </c>
      <c r="L234" t="s">
        <v>63</v>
      </c>
    </row>
    <row r="235" spans="1:12" x14ac:dyDescent="0.25">
      <c r="A235">
        <v>1</v>
      </c>
      <c r="B235" t="s">
        <v>16</v>
      </c>
      <c r="C235" t="s">
        <v>66</v>
      </c>
      <c r="D235">
        <v>0</v>
      </c>
      <c r="E235">
        <v>6323236</v>
      </c>
      <c r="F235">
        <v>0</v>
      </c>
      <c r="G235">
        <v>0</v>
      </c>
      <c r="I235" t="s">
        <v>14</v>
      </c>
      <c r="J235">
        <v>6323236</v>
      </c>
      <c r="K235">
        <v>2</v>
      </c>
      <c r="L235" t="s">
        <v>63</v>
      </c>
    </row>
    <row r="236" spans="1:12" x14ac:dyDescent="0.25">
      <c r="A236">
        <v>1</v>
      </c>
      <c r="B236" t="s">
        <v>17</v>
      </c>
      <c r="C236" t="s">
        <v>66</v>
      </c>
      <c r="D236">
        <v>0</v>
      </c>
      <c r="E236">
        <v>806225</v>
      </c>
      <c r="F236">
        <v>0</v>
      </c>
      <c r="G236">
        <v>0</v>
      </c>
      <c r="I236" t="s">
        <v>14</v>
      </c>
      <c r="J236">
        <v>806225</v>
      </c>
      <c r="K236">
        <v>2</v>
      </c>
      <c r="L236" t="s">
        <v>63</v>
      </c>
    </row>
    <row r="237" spans="1:12" x14ac:dyDescent="0.25">
      <c r="A237">
        <v>1</v>
      </c>
      <c r="B237" t="s">
        <v>12</v>
      </c>
      <c r="C237" t="s">
        <v>66</v>
      </c>
      <c r="D237">
        <v>0</v>
      </c>
      <c r="E237">
        <v>319968</v>
      </c>
      <c r="F237">
        <v>0</v>
      </c>
      <c r="G237">
        <v>0</v>
      </c>
      <c r="I237" t="s">
        <v>14</v>
      </c>
      <c r="J237">
        <v>319968</v>
      </c>
      <c r="K237">
        <v>2</v>
      </c>
      <c r="L237" t="s">
        <v>63</v>
      </c>
    </row>
    <row r="238" spans="1:12" x14ac:dyDescent="0.25">
      <c r="A238">
        <v>1</v>
      </c>
      <c r="B238" t="s">
        <v>20</v>
      </c>
      <c r="C238" t="s">
        <v>66</v>
      </c>
      <c r="E238">
        <v>1458176.0936420513</v>
      </c>
      <c r="G238">
        <v>0</v>
      </c>
      <c r="I238" t="s">
        <v>31</v>
      </c>
      <c r="J238">
        <v>1458176.0936420513</v>
      </c>
      <c r="K238">
        <v>2</v>
      </c>
      <c r="L238" t="s">
        <v>63</v>
      </c>
    </row>
    <row r="239" spans="1:12" x14ac:dyDescent="0.25">
      <c r="A239">
        <v>1</v>
      </c>
      <c r="B239" t="s">
        <v>33</v>
      </c>
      <c r="C239" t="s">
        <v>66</v>
      </c>
      <c r="D239">
        <v>0</v>
      </c>
      <c r="E239">
        <v>103462</v>
      </c>
      <c r="F239">
        <v>0</v>
      </c>
      <c r="G239">
        <v>0</v>
      </c>
      <c r="I239" t="s">
        <v>14</v>
      </c>
      <c r="J239">
        <v>103462</v>
      </c>
      <c r="K239">
        <v>2</v>
      </c>
      <c r="L239" t="s">
        <v>63</v>
      </c>
    </row>
    <row r="240" spans="1:12" x14ac:dyDescent="0.25">
      <c r="A240">
        <v>1</v>
      </c>
      <c r="B240" t="s">
        <v>16</v>
      </c>
      <c r="C240" t="s">
        <v>66</v>
      </c>
      <c r="E240">
        <v>380813.6356485947</v>
      </c>
      <c r="G240">
        <v>0</v>
      </c>
      <c r="I240" t="s">
        <v>31</v>
      </c>
      <c r="J240">
        <v>380813.6356485947</v>
      </c>
      <c r="K240">
        <v>2</v>
      </c>
      <c r="L240" t="s">
        <v>63</v>
      </c>
    </row>
    <row r="241" spans="1:12" x14ac:dyDescent="0.25">
      <c r="A241">
        <v>1</v>
      </c>
      <c r="B241" t="s">
        <v>19</v>
      </c>
      <c r="C241" t="s">
        <v>66</v>
      </c>
      <c r="D241">
        <v>0</v>
      </c>
      <c r="E241">
        <v>127708</v>
      </c>
      <c r="F241">
        <v>0</v>
      </c>
      <c r="G241">
        <v>0</v>
      </c>
      <c r="I241" t="s">
        <v>14</v>
      </c>
      <c r="J241">
        <v>127708</v>
      </c>
      <c r="K241">
        <v>2</v>
      </c>
      <c r="L241" t="s">
        <v>63</v>
      </c>
    </row>
    <row r="242" spans="1:12" x14ac:dyDescent="0.25">
      <c r="A242">
        <v>1</v>
      </c>
      <c r="B242" t="s">
        <v>18</v>
      </c>
      <c r="C242" t="s">
        <v>66</v>
      </c>
      <c r="E242">
        <v>582309.71060182585</v>
      </c>
      <c r="G242">
        <v>0</v>
      </c>
      <c r="I242" t="s">
        <v>31</v>
      </c>
      <c r="J242">
        <v>582309.71060182585</v>
      </c>
      <c r="K242">
        <v>2</v>
      </c>
      <c r="L242" t="s">
        <v>63</v>
      </c>
    </row>
    <row r="243" spans="1:12" x14ac:dyDescent="0.25">
      <c r="A243">
        <v>1</v>
      </c>
      <c r="B243" t="s">
        <v>21</v>
      </c>
      <c r="C243" t="s">
        <v>66</v>
      </c>
      <c r="D243">
        <v>0</v>
      </c>
      <c r="E243">
        <v>1905743</v>
      </c>
      <c r="F243">
        <v>0</v>
      </c>
      <c r="G243">
        <v>0</v>
      </c>
      <c r="I243" t="s">
        <v>14</v>
      </c>
      <c r="J243">
        <v>1905743</v>
      </c>
      <c r="K243">
        <v>2</v>
      </c>
      <c r="L243" t="s">
        <v>63</v>
      </c>
    </row>
    <row r="244" spans="1:12" x14ac:dyDescent="0.25">
      <c r="A244">
        <v>1</v>
      </c>
      <c r="B244" t="s">
        <v>20</v>
      </c>
      <c r="C244" t="s">
        <v>66</v>
      </c>
      <c r="D244">
        <v>0</v>
      </c>
      <c r="E244">
        <v>20818637</v>
      </c>
      <c r="F244">
        <v>0</v>
      </c>
      <c r="G244">
        <v>0</v>
      </c>
      <c r="I244" t="s">
        <v>14</v>
      </c>
      <c r="J244">
        <v>20818637</v>
      </c>
      <c r="K244">
        <v>2</v>
      </c>
      <c r="L244" t="s">
        <v>63</v>
      </c>
    </row>
    <row r="245" spans="1:12" x14ac:dyDescent="0.25">
      <c r="A245">
        <v>1</v>
      </c>
      <c r="B245" t="s">
        <v>12</v>
      </c>
      <c r="C245" t="s">
        <v>66</v>
      </c>
      <c r="E245">
        <v>19773.27682339419</v>
      </c>
      <c r="G245">
        <v>0</v>
      </c>
      <c r="I245" t="s">
        <v>31</v>
      </c>
      <c r="J245">
        <v>19773.27682339419</v>
      </c>
      <c r="K245">
        <v>2</v>
      </c>
      <c r="L245" t="s">
        <v>63</v>
      </c>
    </row>
    <row r="246" spans="1:12" x14ac:dyDescent="0.25">
      <c r="A246">
        <v>1</v>
      </c>
      <c r="B246" t="s">
        <v>18</v>
      </c>
      <c r="C246" t="s">
        <v>66</v>
      </c>
      <c r="D246">
        <v>0</v>
      </c>
      <c r="E246">
        <v>2737169</v>
      </c>
      <c r="F246">
        <v>0</v>
      </c>
      <c r="G246">
        <v>0</v>
      </c>
      <c r="I246" t="s">
        <v>14</v>
      </c>
      <c r="J246">
        <v>2737169</v>
      </c>
      <c r="K246">
        <v>2</v>
      </c>
      <c r="L246" t="s">
        <v>63</v>
      </c>
    </row>
    <row r="247" spans="1:12" x14ac:dyDescent="0.25">
      <c r="A247">
        <v>1</v>
      </c>
      <c r="B247" t="s">
        <v>33</v>
      </c>
      <c r="C247" t="s">
        <v>66</v>
      </c>
      <c r="E247">
        <v>9302.8142912944386</v>
      </c>
      <c r="G247">
        <v>0</v>
      </c>
      <c r="I247" t="s">
        <v>31</v>
      </c>
      <c r="J247">
        <v>9302.8142912944386</v>
      </c>
      <c r="K247">
        <v>2</v>
      </c>
      <c r="L247" t="s">
        <v>63</v>
      </c>
    </row>
    <row r="248" spans="1:12" x14ac:dyDescent="0.25">
      <c r="A248">
        <v>1</v>
      </c>
      <c r="B248" t="s">
        <v>19</v>
      </c>
      <c r="C248" t="s">
        <v>66</v>
      </c>
      <c r="E248">
        <v>6162.2403161420089</v>
      </c>
      <c r="G248">
        <v>0</v>
      </c>
      <c r="I248" t="s">
        <v>31</v>
      </c>
      <c r="J248">
        <v>6162.2403161420089</v>
      </c>
      <c r="K248">
        <v>2</v>
      </c>
      <c r="L248" t="s">
        <v>63</v>
      </c>
    </row>
    <row r="249" spans="1:12" x14ac:dyDescent="0.25">
      <c r="A249">
        <v>1</v>
      </c>
      <c r="B249" t="s">
        <v>21</v>
      </c>
      <c r="C249" t="s">
        <v>67</v>
      </c>
      <c r="E249">
        <v>32444.160648001427</v>
      </c>
      <c r="G249">
        <v>0</v>
      </c>
      <c r="I249" t="s">
        <v>31</v>
      </c>
      <c r="J249">
        <v>32444.160648001427</v>
      </c>
      <c r="K249">
        <v>2</v>
      </c>
      <c r="L249" t="s">
        <v>63</v>
      </c>
    </row>
    <row r="250" spans="1:12" x14ac:dyDescent="0.25">
      <c r="A250">
        <v>1</v>
      </c>
      <c r="B250" t="s">
        <v>18</v>
      </c>
      <c r="C250" t="s">
        <v>67</v>
      </c>
      <c r="D250">
        <v>0</v>
      </c>
      <c r="E250">
        <v>623736</v>
      </c>
      <c r="F250">
        <v>0</v>
      </c>
      <c r="G250">
        <v>0</v>
      </c>
      <c r="I250" t="s">
        <v>14</v>
      </c>
      <c r="J250">
        <v>623736</v>
      </c>
      <c r="K250">
        <v>2</v>
      </c>
      <c r="L250" t="s">
        <v>63</v>
      </c>
    </row>
    <row r="251" spans="1:12" x14ac:dyDescent="0.25">
      <c r="A251">
        <v>1</v>
      </c>
      <c r="B251" t="s">
        <v>17</v>
      </c>
      <c r="C251" t="s">
        <v>67</v>
      </c>
      <c r="E251">
        <v>9563.2221129225272</v>
      </c>
      <c r="G251">
        <v>0</v>
      </c>
      <c r="I251" t="s">
        <v>31</v>
      </c>
      <c r="J251">
        <v>9563.2221129225272</v>
      </c>
      <c r="K251">
        <v>2</v>
      </c>
      <c r="L251" t="s">
        <v>63</v>
      </c>
    </row>
    <row r="252" spans="1:12" x14ac:dyDescent="0.25">
      <c r="A252">
        <v>1</v>
      </c>
      <c r="B252" t="s">
        <v>33</v>
      </c>
      <c r="C252" t="s">
        <v>67</v>
      </c>
      <c r="E252">
        <v>12109.339802826918</v>
      </c>
      <c r="G252">
        <v>0</v>
      </c>
      <c r="I252" t="s">
        <v>31</v>
      </c>
      <c r="J252">
        <v>12109.339802826918</v>
      </c>
      <c r="K252">
        <v>2</v>
      </c>
      <c r="L252" t="s">
        <v>63</v>
      </c>
    </row>
    <row r="253" spans="1:12" x14ac:dyDescent="0.25">
      <c r="A253">
        <v>1</v>
      </c>
      <c r="B253" t="s">
        <v>17</v>
      </c>
      <c r="C253" t="s">
        <v>67</v>
      </c>
      <c r="D253">
        <v>0</v>
      </c>
      <c r="E253">
        <v>173672</v>
      </c>
      <c r="F253">
        <v>0</v>
      </c>
      <c r="G253">
        <v>0</v>
      </c>
      <c r="I253" t="s">
        <v>14</v>
      </c>
      <c r="J253">
        <v>173672</v>
      </c>
      <c r="K253">
        <v>2</v>
      </c>
      <c r="L253" t="s">
        <v>63</v>
      </c>
    </row>
    <row r="254" spans="1:12" x14ac:dyDescent="0.25">
      <c r="A254">
        <v>1</v>
      </c>
      <c r="B254" t="s">
        <v>21</v>
      </c>
      <c r="C254" t="s">
        <v>67</v>
      </c>
      <c r="D254">
        <v>0</v>
      </c>
      <c r="E254">
        <v>396399</v>
      </c>
      <c r="F254">
        <v>0</v>
      </c>
      <c r="G254">
        <v>0</v>
      </c>
      <c r="I254" t="s">
        <v>14</v>
      </c>
      <c r="J254">
        <v>396399</v>
      </c>
      <c r="K254">
        <v>2</v>
      </c>
      <c r="L254" t="s">
        <v>63</v>
      </c>
    </row>
    <row r="255" spans="1:12" x14ac:dyDescent="0.25">
      <c r="A255">
        <v>1</v>
      </c>
      <c r="B255" t="s">
        <v>16</v>
      </c>
      <c r="C255" t="s">
        <v>67</v>
      </c>
      <c r="D255">
        <v>0</v>
      </c>
      <c r="E255">
        <v>947008</v>
      </c>
      <c r="F255">
        <v>0</v>
      </c>
      <c r="G255">
        <v>0</v>
      </c>
      <c r="I255" t="s">
        <v>14</v>
      </c>
      <c r="J255">
        <v>947008</v>
      </c>
      <c r="K255">
        <v>2</v>
      </c>
      <c r="L255" t="s">
        <v>63</v>
      </c>
    </row>
    <row r="256" spans="1:12" x14ac:dyDescent="0.25">
      <c r="A256">
        <v>1</v>
      </c>
      <c r="B256" t="s">
        <v>20</v>
      </c>
      <c r="C256" t="s">
        <v>67</v>
      </c>
      <c r="E256">
        <v>167464.58234349947</v>
      </c>
      <c r="G256">
        <v>0</v>
      </c>
      <c r="I256" t="s">
        <v>31</v>
      </c>
      <c r="J256">
        <v>167464.58234349947</v>
      </c>
      <c r="K256">
        <v>2</v>
      </c>
      <c r="L256" t="s">
        <v>63</v>
      </c>
    </row>
    <row r="257" spans="1:12" x14ac:dyDescent="0.25">
      <c r="A257">
        <v>1</v>
      </c>
      <c r="B257" t="s">
        <v>33</v>
      </c>
      <c r="C257" t="s">
        <v>67</v>
      </c>
      <c r="D257">
        <v>0</v>
      </c>
      <c r="E257">
        <v>134675</v>
      </c>
      <c r="F257">
        <v>0</v>
      </c>
      <c r="G257">
        <v>0</v>
      </c>
      <c r="I257" t="s">
        <v>14</v>
      </c>
      <c r="J257">
        <v>134675</v>
      </c>
      <c r="K257">
        <v>2</v>
      </c>
      <c r="L257" t="s">
        <v>63</v>
      </c>
    </row>
    <row r="258" spans="1:12" x14ac:dyDescent="0.25">
      <c r="A258">
        <v>1</v>
      </c>
      <c r="B258" t="s">
        <v>16</v>
      </c>
      <c r="C258" t="s">
        <v>67</v>
      </c>
      <c r="E258">
        <v>54743.76348499969</v>
      </c>
      <c r="G258">
        <v>0</v>
      </c>
      <c r="I258" t="s">
        <v>31</v>
      </c>
      <c r="J258">
        <v>54743.76348499969</v>
      </c>
      <c r="K258">
        <v>2</v>
      </c>
      <c r="L258" t="s">
        <v>63</v>
      </c>
    </row>
    <row r="259" spans="1:12" x14ac:dyDescent="0.25">
      <c r="A259">
        <v>1</v>
      </c>
      <c r="B259" t="s">
        <v>18</v>
      </c>
      <c r="C259" t="s">
        <v>67</v>
      </c>
      <c r="E259">
        <v>117583.8797734227</v>
      </c>
      <c r="G259">
        <v>0</v>
      </c>
      <c r="I259" t="s">
        <v>31</v>
      </c>
      <c r="J259">
        <v>117583.8797734227</v>
      </c>
      <c r="K259">
        <v>2</v>
      </c>
      <c r="L259" t="s">
        <v>63</v>
      </c>
    </row>
    <row r="260" spans="1:12" x14ac:dyDescent="0.25">
      <c r="A260">
        <v>1</v>
      </c>
      <c r="B260" t="s">
        <v>20</v>
      </c>
      <c r="C260" t="s">
        <v>67</v>
      </c>
      <c r="D260">
        <v>0</v>
      </c>
      <c r="E260">
        <v>2273150</v>
      </c>
      <c r="F260">
        <v>0</v>
      </c>
      <c r="G260">
        <v>0</v>
      </c>
      <c r="I260" t="s">
        <v>14</v>
      </c>
      <c r="J260">
        <v>2273150</v>
      </c>
      <c r="K260">
        <v>2</v>
      </c>
      <c r="L260" t="s">
        <v>63</v>
      </c>
    </row>
    <row r="261" spans="1:12" x14ac:dyDescent="0.25">
      <c r="A261">
        <v>1</v>
      </c>
      <c r="B261" t="s">
        <v>21</v>
      </c>
      <c r="C261" t="s">
        <v>68</v>
      </c>
      <c r="D261">
        <v>0</v>
      </c>
      <c r="E261">
        <v>2660890</v>
      </c>
      <c r="F261">
        <v>0</v>
      </c>
      <c r="G261">
        <v>0</v>
      </c>
      <c r="I261" t="s">
        <v>14</v>
      </c>
      <c r="J261">
        <v>2660890</v>
      </c>
      <c r="K261">
        <v>2</v>
      </c>
      <c r="L261" t="s">
        <v>69</v>
      </c>
    </row>
    <row r="262" spans="1:12" x14ac:dyDescent="0.25">
      <c r="A262">
        <v>1</v>
      </c>
      <c r="B262" t="s">
        <v>18</v>
      </c>
      <c r="C262" t="s">
        <v>68</v>
      </c>
      <c r="D262">
        <v>0</v>
      </c>
      <c r="E262">
        <v>4021326</v>
      </c>
      <c r="F262">
        <v>0</v>
      </c>
      <c r="G262">
        <v>0</v>
      </c>
      <c r="I262" t="s">
        <v>14</v>
      </c>
      <c r="J262">
        <v>4021326</v>
      </c>
      <c r="K262">
        <v>2</v>
      </c>
      <c r="L262" t="s">
        <v>69</v>
      </c>
    </row>
    <row r="263" spans="1:12" x14ac:dyDescent="0.25">
      <c r="A263">
        <v>1</v>
      </c>
      <c r="B263" t="s">
        <v>12</v>
      </c>
      <c r="C263" t="s">
        <v>68</v>
      </c>
      <c r="D263">
        <v>0</v>
      </c>
      <c r="E263">
        <v>727102</v>
      </c>
      <c r="F263">
        <v>0</v>
      </c>
      <c r="G263">
        <v>0</v>
      </c>
      <c r="I263" t="s">
        <v>14</v>
      </c>
      <c r="J263">
        <v>727102</v>
      </c>
      <c r="K263">
        <v>2</v>
      </c>
      <c r="L263" t="s">
        <v>69</v>
      </c>
    </row>
    <row r="264" spans="1:12" x14ac:dyDescent="0.25">
      <c r="A264">
        <v>1</v>
      </c>
      <c r="B264" t="s">
        <v>17</v>
      </c>
      <c r="C264" t="s">
        <v>68</v>
      </c>
      <c r="E264">
        <v>110710.92627186261</v>
      </c>
      <c r="G264">
        <v>0</v>
      </c>
      <c r="I264" t="s">
        <v>31</v>
      </c>
      <c r="J264">
        <v>110710.92627186261</v>
      </c>
      <c r="K264">
        <v>2</v>
      </c>
      <c r="L264" t="s">
        <v>69</v>
      </c>
    </row>
    <row r="265" spans="1:12" x14ac:dyDescent="0.25">
      <c r="A265">
        <v>1</v>
      </c>
      <c r="B265" t="s">
        <v>33</v>
      </c>
      <c r="C265" t="s">
        <v>68</v>
      </c>
      <c r="E265">
        <v>30633.282776488239</v>
      </c>
      <c r="G265">
        <v>0</v>
      </c>
      <c r="I265" t="s">
        <v>31</v>
      </c>
      <c r="J265">
        <v>30633.282776488239</v>
      </c>
      <c r="K265">
        <v>2</v>
      </c>
      <c r="L265" t="s">
        <v>69</v>
      </c>
    </row>
    <row r="266" spans="1:12" x14ac:dyDescent="0.25">
      <c r="A266">
        <v>1</v>
      </c>
      <c r="B266" t="s">
        <v>17</v>
      </c>
      <c r="C266" t="s">
        <v>68</v>
      </c>
      <c r="D266">
        <v>0</v>
      </c>
      <c r="E266">
        <v>1535873</v>
      </c>
      <c r="F266">
        <v>0</v>
      </c>
      <c r="G266">
        <v>0</v>
      </c>
      <c r="I266" t="s">
        <v>14</v>
      </c>
      <c r="J266">
        <v>1535873</v>
      </c>
      <c r="K266">
        <v>2</v>
      </c>
      <c r="L266" t="s">
        <v>69</v>
      </c>
    </row>
    <row r="267" spans="1:12" x14ac:dyDescent="0.25">
      <c r="A267">
        <v>1</v>
      </c>
      <c r="B267" t="s">
        <v>16</v>
      </c>
      <c r="C267" t="s">
        <v>68</v>
      </c>
      <c r="D267">
        <v>0</v>
      </c>
      <c r="E267">
        <v>10773251</v>
      </c>
      <c r="F267">
        <v>0</v>
      </c>
      <c r="G267">
        <v>0</v>
      </c>
      <c r="I267" t="s">
        <v>14</v>
      </c>
      <c r="J267">
        <v>10773251</v>
      </c>
      <c r="K267">
        <v>2</v>
      </c>
      <c r="L267" t="s">
        <v>69</v>
      </c>
    </row>
    <row r="268" spans="1:12" x14ac:dyDescent="0.25">
      <c r="A268">
        <v>1</v>
      </c>
      <c r="B268" t="s">
        <v>16</v>
      </c>
      <c r="C268" t="s">
        <v>68</v>
      </c>
      <c r="E268">
        <v>647454.4336224905</v>
      </c>
      <c r="G268">
        <v>0</v>
      </c>
      <c r="I268" t="s">
        <v>31</v>
      </c>
      <c r="J268">
        <v>647454.4336224905</v>
      </c>
      <c r="K268">
        <v>2</v>
      </c>
      <c r="L268" t="s">
        <v>69</v>
      </c>
    </row>
    <row r="269" spans="1:12" x14ac:dyDescent="0.25">
      <c r="A269">
        <v>1</v>
      </c>
      <c r="B269" t="s">
        <v>20</v>
      </c>
      <c r="C269" t="s">
        <v>68</v>
      </c>
      <c r="E269">
        <v>2324231.2507766667</v>
      </c>
      <c r="G269">
        <v>0</v>
      </c>
      <c r="I269" t="s">
        <v>31</v>
      </c>
      <c r="J269">
        <v>2324231.2507766667</v>
      </c>
      <c r="K269">
        <v>2</v>
      </c>
      <c r="L269" t="s">
        <v>69</v>
      </c>
    </row>
    <row r="270" spans="1:12" x14ac:dyDescent="0.25">
      <c r="A270">
        <v>1</v>
      </c>
      <c r="B270" t="s">
        <v>33</v>
      </c>
      <c r="C270" t="s">
        <v>68</v>
      </c>
      <c r="D270">
        <v>0</v>
      </c>
      <c r="E270">
        <v>364053</v>
      </c>
      <c r="F270">
        <v>0</v>
      </c>
      <c r="G270">
        <v>0</v>
      </c>
      <c r="I270" t="s">
        <v>14</v>
      </c>
      <c r="J270">
        <v>364053</v>
      </c>
      <c r="K270">
        <v>2</v>
      </c>
      <c r="L270" t="s">
        <v>69</v>
      </c>
    </row>
    <row r="271" spans="1:12" x14ac:dyDescent="0.25">
      <c r="A271">
        <v>1</v>
      </c>
      <c r="B271" t="s">
        <v>18</v>
      </c>
      <c r="C271" t="s">
        <v>68</v>
      </c>
      <c r="E271">
        <v>615698.99475854961</v>
      </c>
      <c r="G271">
        <v>0</v>
      </c>
      <c r="I271" t="s">
        <v>31</v>
      </c>
      <c r="J271">
        <v>615698.99475854961</v>
      </c>
      <c r="K271">
        <v>2</v>
      </c>
      <c r="L271" t="s">
        <v>69</v>
      </c>
    </row>
    <row r="272" spans="1:12" x14ac:dyDescent="0.25">
      <c r="A272">
        <v>1</v>
      </c>
      <c r="B272" t="s">
        <v>21</v>
      </c>
      <c r="C272" t="s">
        <v>68</v>
      </c>
      <c r="E272">
        <v>236110.59151991957</v>
      </c>
      <c r="G272">
        <v>0</v>
      </c>
      <c r="I272" t="s">
        <v>31</v>
      </c>
      <c r="J272">
        <v>236110.59151991957</v>
      </c>
      <c r="K272">
        <v>2</v>
      </c>
      <c r="L272" t="s">
        <v>69</v>
      </c>
    </row>
    <row r="273" spans="1:12" x14ac:dyDescent="0.25">
      <c r="A273">
        <v>1</v>
      </c>
      <c r="B273" t="s">
        <v>20</v>
      </c>
      <c r="C273" t="s">
        <v>68</v>
      </c>
      <c r="D273">
        <v>0</v>
      </c>
      <c r="E273">
        <v>33093224</v>
      </c>
      <c r="F273">
        <v>0</v>
      </c>
      <c r="G273">
        <v>0</v>
      </c>
      <c r="I273" t="s">
        <v>14</v>
      </c>
      <c r="J273">
        <v>33093224</v>
      </c>
      <c r="K273">
        <v>2</v>
      </c>
      <c r="L273" t="s">
        <v>69</v>
      </c>
    </row>
    <row r="274" spans="1:12" x14ac:dyDescent="0.25">
      <c r="A274">
        <v>1</v>
      </c>
      <c r="B274" t="s">
        <v>12</v>
      </c>
      <c r="C274" t="s">
        <v>68</v>
      </c>
      <c r="E274">
        <v>46098.106500792841</v>
      </c>
      <c r="G274">
        <v>0</v>
      </c>
      <c r="I274" t="s">
        <v>31</v>
      </c>
      <c r="J274">
        <v>46098.106500792841</v>
      </c>
      <c r="K274">
        <v>2</v>
      </c>
      <c r="L274" t="s">
        <v>69</v>
      </c>
    </row>
    <row r="275" spans="1:12" x14ac:dyDescent="0.25">
      <c r="A275">
        <v>1</v>
      </c>
      <c r="B275" t="s">
        <v>21</v>
      </c>
      <c r="C275" t="s">
        <v>70</v>
      </c>
      <c r="E275">
        <v>55679.501477161029</v>
      </c>
      <c r="G275">
        <v>0</v>
      </c>
      <c r="I275" t="s">
        <v>31</v>
      </c>
      <c r="J275">
        <v>55679.501477161029</v>
      </c>
      <c r="K275">
        <v>2</v>
      </c>
      <c r="L275" t="s">
        <v>71</v>
      </c>
    </row>
    <row r="276" spans="1:12" x14ac:dyDescent="0.25">
      <c r="A276">
        <v>1</v>
      </c>
      <c r="B276" t="s">
        <v>18</v>
      </c>
      <c r="C276" t="s">
        <v>70</v>
      </c>
      <c r="D276">
        <v>0</v>
      </c>
      <c r="E276">
        <v>179109</v>
      </c>
      <c r="F276">
        <v>0</v>
      </c>
      <c r="G276">
        <v>0</v>
      </c>
      <c r="I276" t="s">
        <v>14</v>
      </c>
      <c r="J276">
        <v>179109</v>
      </c>
      <c r="K276">
        <v>2</v>
      </c>
      <c r="L276" t="s">
        <v>71</v>
      </c>
    </row>
    <row r="277" spans="1:12" x14ac:dyDescent="0.25">
      <c r="A277">
        <v>1</v>
      </c>
      <c r="B277" t="s">
        <v>12</v>
      </c>
      <c r="C277" t="s">
        <v>70</v>
      </c>
      <c r="D277">
        <v>0</v>
      </c>
      <c r="E277">
        <v>156954</v>
      </c>
      <c r="F277">
        <v>0</v>
      </c>
      <c r="G277">
        <v>0</v>
      </c>
      <c r="I277" t="s">
        <v>14</v>
      </c>
      <c r="J277">
        <v>156954</v>
      </c>
      <c r="K277">
        <v>2</v>
      </c>
      <c r="L277" t="s">
        <v>71</v>
      </c>
    </row>
    <row r="278" spans="1:12" x14ac:dyDescent="0.25">
      <c r="A278">
        <v>1</v>
      </c>
      <c r="B278" t="s">
        <v>21</v>
      </c>
      <c r="C278" t="s">
        <v>70</v>
      </c>
      <c r="D278">
        <v>0</v>
      </c>
      <c r="E278">
        <v>621093</v>
      </c>
      <c r="F278">
        <v>0</v>
      </c>
      <c r="G278">
        <v>0</v>
      </c>
      <c r="I278" t="s">
        <v>14</v>
      </c>
      <c r="J278">
        <v>621093</v>
      </c>
      <c r="K278">
        <v>2</v>
      </c>
      <c r="L278" t="s">
        <v>71</v>
      </c>
    </row>
    <row r="279" spans="1:12" x14ac:dyDescent="0.25">
      <c r="A279">
        <v>1</v>
      </c>
      <c r="B279" t="s">
        <v>16</v>
      </c>
      <c r="C279" t="s">
        <v>70</v>
      </c>
      <c r="D279">
        <v>0</v>
      </c>
      <c r="E279">
        <v>3755570</v>
      </c>
      <c r="F279">
        <v>0</v>
      </c>
      <c r="G279">
        <v>0</v>
      </c>
      <c r="I279" t="s">
        <v>14</v>
      </c>
      <c r="J279">
        <v>3755570</v>
      </c>
      <c r="K279">
        <v>2</v>
      </c>
      <c r="L279" t="s">
        <v>71</v>
      </c>
    </row>
    <row r="280" spans="1:12" x14ac:dyDescent="0.25">
      <c r="A280">
        <v>1</v>
      </c>
      <c r="B280" t="s">
        <v>20</v>
      </c>
      <c r="C280" t="s">
        <v>70</v>
      </c>
      <c r="E280">
        <v>787369.6389667918</v>
      </c>
      <c r="G280">
        <v>0</v>
      </c>
      <c r="I280" t="s">
        <v>31</v>
      </c>
      <c r="J280">
        <v>787369.6389667918</v>
      </c>
      <c r="K280">
        <v>2</v>
      </c>
      <c r="L280" t="s">
        <v>71</v>
      </c>
    </row>
    <row r="281" spans="1:12" x14ac:dyDescent="0.25">
      <c r="A281">
        <v>1</v>
      </c>
      <c r="B281" t="s">
        <v>16</v>
      </c>
      <c r="C281" t="s">
        <v>70</v>
      </c>
      <c r="E281">
        <v>228224.22543746888</v>
      </c>
      <c r="G281">
        <v>0</v>
      </c>
      <c r="I281" t="s">
        <v>31</v>
      </c>
      <c r="J281">
        <v>228224.22543746888</v>
      </c>
      <c r="K281">
        <v>2</v>
      </c>
      <c r="L281" t="s">
        <v>71</v>
      </c>
    </row>
    <row r="282" spans="1:12" x14ac:dyDescent="0.25">
      <c r="A282">
        <v>1</v>
      </c>
      <c r="B282" t="s">
        <v>18</v>
      </c>
      <c r="C282" t="s">
        <v>70</v>
      </c>
      <c r="E282">
        <v>41636.195913204239</v>
      </c>
      <c r="G282">
        <v>0</v>
      </c>
      <c r="I282" t="s">
        <v>31</v>
      </c>
      <c r="J282">
        <v>41636.195913204239</v>
      </c>
      <c r="K282">
        <v>2</v>
      </c>
      <c r="L282" t="s">
        <v>71</v>
      </c>
    </row>
    <row r="283" spans="1:12" x14ac:dyDescent="0.25">
      <c r="A283">
        <v>1</v>
      </c>
      <c r="B283" t="s">
        <v>20</v>
      </c>
      <c r="C283" t="s">
        <v>70</v>
      </c>
      <c r="D283">
        <v>0</v>
      </c>
      <c r="E283">
        <v>10881968</v>
      </c>
      <c r="F283">
        <v>0</v>
      </c>
      <c r="G283">
        <v>0</v>
      </c>
      <c r="I283" t="s">
        <v>14</v>
      </c>
      <c r="J283">
        <v>10881968</v>
      </c>
      <c r="K283">
        <v>2</v>
      </c>
      <c r="L283" t="s">
        <v>71</v>
      </c>
    </row>
    <row r="284" spans="1:12" x14ac:dyDescent="0.25">
      <c r="A284">
        <v>1</v>
      </c>
      <c r="B284" t="s">
        <v>12</v>
      </c>
      <c r="C284" t="s">
        <v>70</v>
      </c>
      <c r="E284">
        <v>12187.233455904343</v>
      </c>
      <c r="G284">
        <v>0</v>
      </c>
      <c r="I284" t="s">
        <v>31</v>
      </c>
      <c r="J284">
        <v>12187.233455904343</v>
      </c>
      <c r="K284">
        <v>2</v>
      </c>
      <c r="L284" t="s">
        <v>71</v>
      </c>
    </row>
    <row r="285" spans="1:12" x14ac:dyDescent="0.25">
      <c r="A285">
        <v>1</v>
      </c>
      <c r="B285" t="s">
        <v>18</v>
      </c>
      <c r="C285" t="s">
        <v>72</v>
      </c>
      <c r="D285">
        <v>0</v>
      </c>
      <c r="E285">
        <v>5632480</v>
      </c>
      <c r="F285">
        <v>0</v>
      </c>
      <c r="G285">
        <v>0</v>
      </c>
      <c r="I285" t="s">
        <v>14</v>
      </c>
      <c r="J285">
        <v>5632480</v>
      </c>
      <c r="K285">
        <v>2</v>
      </c>
      <c r="L285" t="s">
        <v>46</v>
      </c>
    </row>
    <row r="286" spans="1:12" x14ac:dyDescent="0.25">
      <c r="A286">
        <v>1</v>
      </c>
      <c r="B286" t="s">
        <v>21</v>
      </c>
      <c r="C286" t="s">
        <v>72</v>
      </c>
      <c r="E286">
        <v>692729.80533793848</v>
      </c>
      <c r="G286">
        <v>0</v>
      </c>
      <c r="I286" t="s">
        <v>31</v>
      </c>
      <c r="J286">
        <v>692729.80533793848</v>
      </c>
      <c r="K286">
        <v>2</v>
      </c>
      <c r="L286" t="s">
        <v>46</v>
      </c>
    </row>
    <row r="287" spans="1:12" x14ac:dyDescent="0.25">
      <c r="A287">
        <v>1</v>
      </c>
      <c r="B287" t="s">
        <v>12</v>
      </c>
      <c r="C287" t="s">
        <v>72</v>
      </c>
      <c r="D287">
        <v>0</v>
      </c>
      <c r="E287">
        <v>1231568</v>
      </c>
      <c r="F287">
        <v>0</v>
      </c>
      <c r="G287">
        <v>0</v>
      </c>
      <c r="I287" t="s">
        <v>14</v>
      </c>
      <c r="J287">
        <v>1231568</v>
      </c>
      <c r="K287">
        <v>2</v>
      </c>
      <c r="L287" t="s">
        <v>46</v>
      </c>
    </row>
    <row r="288" spans="1:12" x14ac:dyDescent="0.25">
      <c r="A288">
        <v>1</v>
      </c>
      <c r="B288" t="s">
        <v>33</v>
      </c>
      <c r="C288" t="s">
        <v>72</v>
      </c>
      <c r="E288">
        <v>81963.142440390598</v>
      </c>
      <c r="G288">
        <v>0</v>
      </c>
      <c r="I288" t="s">
        <v>31</v>
      </c>
      <c r="J288">
        <v>81963.142440390598</v>
      </c>
      <c r="K288">
        <v>2</v>
      </c>
      <c r="L288" t="s">
        <v>46</v>
      </c>
    </row>
    <row r="289" spans="1:12" x14ac:dyDescent="0.25">
      <c r="A289">
        <v>1</v>
      </c>
      <c r="B289" t="s">
        <v>17</v>
      </c>
      <c r="C289" t="s">
        <v>72</v>
      </c>
      <c r="D289">
        <v>0</v>
      </c>
      <c r="E289">
        <v>1947685</v>
      </c>
      <c r="F289">
        <v>0</v>
      </c>
      <c r="G289">
        <v>0</v>
      </c>
      <c r="I289" t="s">
        <v>14</v>
      </c>
      <c r="J289">
        <v>1947685</v>
      </c>
      <c r="K289">
        <v>2</v>
      </c>
      <c r="L289" t="s">
        <v>46</v>
      </c>
    </row>
    <row r="290" spans="1:12" x14ac:dyDescent="0.25">
      <c r="A290">
        <v>1</v>
      </c>
      <c r="B290" t="s">
        <v>16</v>
      </c>
      <c r="C290" t="s">
        <v>72</v>
      </c>
      <c r="D290">
        <v>0</v>
      </c>
      <c r="E290">
        <v>39119744</v>
      </c>
      <c r="F290">
        <v>0</v>
      </c>
      <c r="G290">
        <v>0</v>
      </c>
      <c r="I290" t="s">
        <v>14</v>
      </c>
      <c r="J290">
        <v>39119744</v>
      </c>
      <c r="K290">
        <v>2</v>
      </c>
      <c r="L290" t="s">
        <v>46</v>
      </c>
    </row>
    <row r="291" spans="1:12" x14ac:dyDescent="0.25">
      <c r="A291">
        <v>1</v>
      </c>
      <c r="B291" t="s">
        <v>20</v>
      </c>
      <c r="C291" t="s">
        <v>72</v>
      </c>
      <c r="E291">
        <v>6140985.0004205639</v>
      </c>
      <c r="G291">
        <v>0</v>
      </c>
      <c r="I291" t="s">
        <v>31</v>
      </c>
      <c r="J291">
        <v>6140985.0004205639</v>
      </c>
      <c r="K291">
        <v>2</v>
      </c>
      <c r="L291" t="s">
        <v>46</v>
      </c>
    </row>
    <row r="292" spans="1:12" x14ac:dyDescent="0.25">
      <c r="A292">
        <v>1</v>
      </c>
      <c r="B292" t="s">
        <v>33</v>
      </c>
      <c r="C292" t="s">
        <v>72</v>
      </c>
      <c r="D292">
        <v>0</v>
      </c>
      <c r="E292">
        <v>878525</v>
      </c>
      <c r="F292">
        <v>0</v>
      </c>
      <c r="G292">
        <v>0</v>
      </c>
      <c r="I292" t="s">
        <v>14</v>
      </c>
      <c r="J292">
        <v>878525</v>
      </c>
      <c r="K292">
        <v>2</v>
      </c>
      <c r="L292" t="s">
        <v>46</v>
      </c>
    </row>
    <row r="293" spans="1:12" x14ac:dyDescent="0.25">
      <c r="A293">
        <v>1</v>
      </c>
      <c r="B293" t="s">
        <v>16</v>
      </c>
      <c r="C293" t="s">
        <v>72</v>
      </c>
      <c r="E293">
        <v>2328870.1659125052</v>
      </c>
      <c r="G293">
        <v>0</v>
      </c>
      <c r="I293" t="s">
        <v>31</v>
      </c>
      <c r="J293">
        <v>2328870.1659125052</v>
      </c>
      <c r="K293">
        <v>2</v>
      </c>
      <c r="L293" t="s">
        <v>46</v>
      </c>
    </row>
    <row r="294" spans="1:12" x14ac:dyDescent="0.25">
      <c r="A294">
        <v>1</v>
      </c>
      <c r="B294" t="s">
        <v>21</v>
      </c>
      <c r="C294" t="s">
        <v>72</v>
      </c>
      <c r="D294">
        <v>0</v>
      </c>
      <c r="E294">
        <v>7451264</v>
      </c>
      <c r="F294">
        <v>0</v>
      </c>
      <c r="G294">
        <v>0</v>
      </c>
      <c r="I294" t="s">
        <v>14</v>
      </c>
      <c r="J294">
        <v>7451264</v>
      </c>
      <c r="K294">
        <v>2</v>
      </c>
      <c r="L294" t="s">
        <v>46</v>
      </c>
    </row>
    <row r="295" spans="1:12" x14ac:dyDescent="0.25">
      <c r="A295">
        <v>1</v>
      </c>
      <c r="B295" t="s">
        <v>18</v>
      </c>
      <c r="C295" t="s">
        <v>72</v>
      </c>
      <c r="E295">
        <v>1031513.0723537607</v>
      </c>
      <c r="G295">
        <v>0</v>
      </c>
      <c r="I295" t="s">
        <v>31</v>
      </c>
      <c r="J295">
        <v>1031513.0723537607</v>
      </c>
      <c r="K295">
        <v>2</v>
      </c>
      <c r="L295" t="s">
        <v>46</v>
      </c>
    </row>
    <row r="296" spans="1:12" x14ac:dyDescent="0.25">
      <c r="A296">
        <v>1</v>
      </c>
      <c r="B296" t="s">
        <v>20</v>
      </c>
      <c r="C296" t="s">
        <v>72</v>
      </c>
      <c r="D296">
        <v>0</v>
      </c>
      <c r="E296">
        <v>84685711</v>
      </c>
      <c r="F296">
        <v>0</v>
      </c>
      <c r="G296">
        <v>0</v>
      </c>
      <c r="I296" t="s">
        <v>14</v>
      </c>
      <c r="J296">
        <v>84685711</v>
      </c>
      <c r="K296">
        <v>2</v>
      </c>
      <c r="L296" t="s">
        <v>46</v>
      </c>
    </row>
    <row r="297" spans="1:12" x14ac:dyDescent="0.25">
      <c r="A297">
        <v>1</v>
      </c>
      <c r="B297" t="s">
        <v>17</v>
      </c>
      <c r="C297" t="s">
        <v>72</v>
      </c>
      <c r="E297">
        <v>203357.02080967801</v>
      </c>
      <c r="G297">
        <v>0</v>
      </c>
      <c r="I297" t="s">
        <v>31</v>
      </c>
      <c r="J297">
        <v>203357.02080967801</v>
      </c>
      <c r="K297">
        <v>2</v>
      </c>
      <c r="L297" t="s">
        <v>46</v>
      </c>
    </row>
    <row r="298" spans="1:12" x14ac:dyDescent="0.25">
      <c r="A298">
        <v>1</v>
      </c>
      <c r="B298" t="s">
        <v>12</v>
      </c>
      <c r="C298" t="s">
        <v>72</v>
      </c>
      <c r="E298">
        <v>70844.739245870223</v>
      </c>
      <c r="G298">
        <v>0</v>
      </c>
      <c r="I298" t="s">
        <v>31</v>
      </c>
      <c r="J298">
        <v>70844.739245870223</v>
      </c>
      <c r="K298">
        <v>2</v>
      </c>
      <c r="L298" t="s">
        <v>46</v>
      </c>
    </row>
    <row r="299" spans="1:12" x14ac:dyDescent="0.25">
      <c r="A299">
        <v>1</v>
      </c>
      <c r="B299" t="s">
        <v>21</v>
      </c>
      <c r="C299" t="s">
        <v>73</v>
      </c>
      <c r="D299">
        <v>0</v>
      </c>
      <c r="E299">
        <v>5386399</v>
      </c>
      <c r="F299">
        <v>0</v>
      </c>
      <c r="G299">
        <v>0</v>
      </c>
      <c r="I299" t="s">
        <v>14</v>
      </c>
      <c r="J299">
        <v>5386399</v>
      </c>
      <c r="K299">
        <v>2</v>
      </c>
      <c r="L299" t="s">
        <v>48</v>
      </c>
    </row>
    <row r="300" spans="1:12" x14ac:dyDescent="0.25">
      <c r="A300">
        <v>1</v>
      </c>
      <c r="B300" t="s">
        <v>21</v>
      </c>
      <c r="C300" t="s">
        <v>73</v>
      </c>
      <c r="E300">
        <v>500825.41747608793</v>
      </c>
      <c r="G300">
        <v>0</v>
      </c>
      <c r="I300" t="s">
        <v>31</v>
      </c>
      <c r="J300">
        <v>500825.41747608793</v>
      </c>
      <c r="K300">
        <v>2</v>
      </c>
      <c r="L300" t="s">
        <v>48</v>
      </c>
    </row>
    <row r="301" spans="1:12" x14ac:dyDescent="0.25">
      <c r="A301">
        <v>1</v>
      </c>
      <c r="B301" t="s">
        <v>12</v>
      </c>
      <c r="C301" t="s">
        <v>73</v>
      </c>
      <c r="D301">
        <v>0</v>
      </c>
      <c r="E301">
        <v>1329445</v>
      </c>
      <c r="F301">
        <v>0</v>
      </c>
      <c r="G301">
        <v>0</v>
      </c>
      <c r="I301" t="s">
        <v>14</v>
      </c>
      <c r="J301">
        <v>1329445</v>
      </c>
      <c r="K301">
        <v>2</v>
      </c>
      <c r="L301" t="s">
        <v>48</v>
      </c>
    </row>
    <row r="302" spans="1:12" x14ac:dyDescent="0.25">
      <c r="A302">
        <v>1</v>
      </c>
      <c r="B302" t="s">
        <v>17</v>
      </c>
      <c r="C302" t="s">
        <v>73</v>
      </c>
      <c r="E302">
        <v>176356.98304409493</v>
      </c>
      <c r="G302">
        <v>0</v>
      </c>
      <c r="I302" t="s">
        <v>31</v>
      </c>
      <c r="J302">
        <v>176356.98304409493</v>
      </c>
      <c r="K302">
        <v>2</v>
      </c>
      <c r="L302" t="s">
        <v>48</v>
      </c>
    </row>
    <row r="303" spans="1:12" x14ac:dyDescent="0.25">
      <c r="A303">
        <v>1</v>
      </c>
      <c r="B303" t="s">
        <v>18</v>
      </c>
      <c r="C303" t="s">
        <v>73</v>
      </c>
      <c r="D303">
        <v>0</v>
      </c>
      <c r="E303">
        <v>7235103</v>
      </c>
      <c r="F303">
        <v>0</v>
      </c>
      <c r="G303">
        <v>0</v>
      </c>
      <c r="I303" t="s">
        <v>14</v>
      </c>
      <c r="J303">
        <v>7235103</v>
      </c>
      <c r="K303">
        <v>2</v>
      </c>
      <c r="L303" t="s">
        <v>48</v>
      </c>
    </row>
    <row r="304" spans="1:12" x14ac:dyDescent="0.25">
      <c r="A304">
        <v>1</v>
      </c>
      <c r="B304" t="s">
        <v>33</v>
      </c>
      <c r="C304" t="s">
        <v>73</v>
      </c>
      <c r="E304">
        <v>15494.246058503148</v>
      </c>
      <c r="G304">
        <v>0</v>
      </c>
      <c r="I304" t="s">
        <v>31</v>
      </c>
      <c r="J304">
        <v>15494.246058503148</v>
      </c>
      <c r="K304">
        <v>2</v>
      </c>
      <c r="L304" t="s">
        <v>48</v>
      </c>
    </row>
    <row r="305" spans="1:12" x14ac:dyDescent="0.25">
      <c r="A305">
        <v>1</v>
      </c>
      <c r="B305" t="s">
        <v>17</v>
      </c>
      <c r="C305" t="s">
        <v>73</v>
      </c>
      <c r="D305">
        <v>0</v>
      </c>
      <c r="E305">
        <v>2462970</v>
      </c>
      <c r="F305">
        <v>0</v>
      </c>
      <c r="G305">
        <v>0</v>
      </c>
      <c r="I305" t="s">
        <v>14</v>
      </c>
      <c r="J305">
        <v>2462970</v>
      </c>
      <c r="K305">
        <v>2</v>
      </c>
      <c r="L305" t="s">
        <v>48</v>
      </c>
    </row>
    <row r="306" spans="1:12" x14ac:dyDescent="0.25">
      <c r="A306">
        <v>1</v>
      </c>
      <c r="B306" t="s">
        <v>16</v>
      </c>
      <c r="C306" t="s">
        <v>73</v>
      </c>
      <c r="D306">
        <v>0</v>
      </c>
      <c r="E306">
        <v>43384387</v>
      </c>
      <c r="F306">
        <v>0</v>
      </c>
      <c r="G306">
        <v>0</v>
      </c>
      <c r="I306" t="s">
        <v>14</v>
      </c>
      <c r="J306">
        <v>43384387</v>
      </c>
      <c r="K306">
        <v>2</v>
      </c>
      <c r="L306" t="s">
        <v>48</v>
      </c>
    </row>
    <row r="307" spans="1:12" x14ac:dyDescent="0.25">
      <c r="A307">
        <v>1</v>
      </c>
      <c r="B307" t="s">
        <v>20</v>
      </c>
      <c r="C307" t="s">
        <v>73</v>
      </c>
      <c r="E307">
        <v>7058552.3100385824</v>
      </c>
      <c r="G307">
        <v>0</v>
      </c>
      <c r="I307" t="s">
        <v>31</v>
      </c>
      <c r="J307">
        <v>7058552.3100385824</v>
      </c>
      <c r="K307">
        <v>2</v>
      </c>
      <c r="L307" t="s">
        <v>48</v>
      </c>
    </row>
    <row r="308" spans="1:12" x14ac:dyDescent="0.25">
      <c r="A308">
        <v>1</v>
      </c>
      <c r="B308" t="s">
        <v>33</v>
      </c>
      <c r="C308" t="s">
        <v>73</v>
      </c>
      <c r="D308">
        <v>0</v>
      </c>
      <c r="E308">
        <v>269903</v>
      </c>
      <c r="F308">
        <v>0</v>
      </c>
      <c r="G308">
        <v>0</v>
      </c>
      <c r="I308" t="s">
        <v>14</v>
      </c>
      <c r="J308">
        <v>269903</v>
      </c>
      <c r="K308">
        <v>2</v>
      </c>
      <c r="L308" t="s">
        <v>48</v>
      </c>
    </row>
    <row r="309" spans="1:12" x14ac:dyDescent="0.25">
      <c r="A309">
        <v>1</v>
      </c>
      <c r="B309" t="s">
        <v>16</v>
      </c>
      <c r="C309" t="s">
        <v>73</v>
      </c>
      <c r="E309">
        <v>2702252.9797895984</v>
      </c>
      <c r="G309">
        <v>0</v>
      </c>
      <c r="I309" t="s">
        <v>31</v>
      </c>
      <c r="J309">
        <v>2702252.9797895984</v>
      </c>
      <c r="K309">
        <v>2</v>
      </c>
      <c r="L309" t="s">
        <v>48</v>
      </c>
    </row>
    <row r="310" spans="1:12" x14ac:dyDescent="0.25">
      <c r="A310">
        <v>1</v>
      </c>
      <c r="B310" t="s">
        <v>18</v>
      </c>
      <c r="C310" t="s">
        <v>73</v>
      </c>
      <c r="E310">
        <v>1509710.8292754758</v>
      </c>
      <c r="G310">
        <v>0</v>
      </c>
      <c r="I310" t="s">
        <v>31</v>
      </c>
      <c r="J310">
        <v>1509710.8292754758</v>
      </c>
      <c r="K310">
        <v>2</v>
      </c>
      <c r="L310" t="s">
        <v>48</v>
      </c>
    </row>
    <row r="311" spans="1:12" x14ac:dyDescent="0.25">
      <c r="A311">
        <v>1</v>
      </c>
      <c r="B311" t="s">
        <v>20</v>
      </c>
      <c r="C311" t="s">
        <v>73</v>
      </c>
      <c r="D311">
        <v>0</v>
      </c>
      <c r="E311">
        <v>95607098</v>
      </c>
      <c r="F311">
        <v>0</v>
      </c>
      <c r="G311">
        <v>0</v>
      </c>
      <c r="I311" t="s">
        <v>14</v>
      </c>
      <c r="J311">
        <v>95607098</v>
      </c>
      <c r="K311">
        <v>2</v>
      </c>
      <c r="L311" t="s">
        <v>48</v>
      </c>
    </row>
    <row r="312" spans="1:12" x14ac:dyDescent="0.25">
      <c r="A312">
        <v>1</v>
      </c>
      <c r="B312" t="s">
        <v>12</v>
      </c>
      <c r="C312" t="s">
        <v>73</v>
      </c>
      <c r="E312">
        <v>58025.001893220804</v>
      </c>
      <c r="G312">
        <v>0</v>
      </c>
      <c r="I312" t="s">
        <v>31</v>
      </c>
      <c r="J312">
        <v>58025.001893220804</v>
      </c>
      <c r="K312">
        <v>2</v>
      </c>
      <c r="L312" t="s">
        <v>48</v>
      </c>
    </row>
    <row r="313" spans="1:12" x14ac:dyDescent="0.25">
      <c r="A313">
        <v>1</v>
      </c>
      <c r="B313" t="s">
        <v>19</v>
      </c>
      <c r="C313" t="s">
        <v>73</v>
      </c>
      <c r="E313">
        <v>19208.724282989508</v>
      </c>
      <c r="G313">
        <v>0</v>
      </c>
      <c r="I313" t="s">
        <v>31</v>
      </c>
      <c r="J313">
        <v>19208.724282989508</v>
      </c>
      <c r="K313">
        <v>2</v>
      </c>
      <c r="L313" t="s">
        <v>48</v>
      </c>
    </row>
    <row r="314" spans="1:12" x14ac:dyDescent="0.25">
      <c r="A314">
        <v>1</v>
      </c>
      <c r="B314" t="s">
        <v>19</v>
      </c>
      <c r="C314" t="s">
        <v>73</v>
      </c>
      <c r="D314">
        <v>0</v>
      </c>
      <c r="E314">
        <v>532530</v>
      </c>
      <c r="F314">
        <v>0</v>
      </c>
      <c r="G314">
        <v>0</v>
      </c>
      <c r="I314" t="s">
        <v>14</v>
      </c>
      <c r="J314">
        <v>532530</v>
      </c>
      <c r="K314">
        <v>2</v>
      </c>
      <c r="L314" t="s">
        <v>48</v>
      </c>
    </row>
    <row r="315" spans="1:12" x14ac:dyDescent="0.25">
      <c r="A315">
        <v>1</v>
      </c>
      <c r="B315" t="s">
        <v>18</v>
      </c>
      <c r="C315" t="s">
        <v>74</v>
      </c>
      <c r="D315">
        <v>0</v>
      </c>
      <c r="E315">
        <v>3194753</v>
      </c>
      <c r="F315">
        <v>0</v>
      </c>
      <c r="G315">
        <v>0</v>
      </c>
      <c r="I315" t="s">
        <v>14</v>
      </c>
      <c r="J315">
        <v>3194753</v>
      </c>
      <c r="K315">
        <v>2</v>
      </c>
      <c r="L315" t="s">
        <v>50</v>
      </c>
    </row>
    <row r="316" spans="1:12" x14ac:dyDescent="0.25">
      <c r="A316">
        <v>1</v>
      </c>
      <c r="B316" t="s">
        <v>21</v>
      </c>
      <c r="C316" t="s">
        <v>74</v>
      </c>
      <c r="D316">
        <v>0</v>
      </c>
      <c r="E316">
        <v>2456214</v>
      </c>
      <c r="F316">
        <v>0</v>
      </c>
      <c r="G316">
        <v>0</v>
      </c>
      <c r="I316" t="s">
        <v>14</v>
      </c>
      <c r="J316">
        <v>2456214</v>
      </c>
      <c r="K316">
        <v>2</v>
      </c>
      <c r="L316" t="s">
        <v>50</v>
      </c>
    </row>
    <row r="317" spans="1:12" x14ac:dyDescent="0.25">
      <c r="A317">
        <v>1</v>
      </c>
      <c r="B317" t="s">
        <v>12</v>
      </c>
      <c r="C317" t="s">
        <v>74</v>
      </c>
      <c r="D317">
        <v>0</v>
      </c>
      <c r="E317">
        <v>310641</v>
      </c>
      <c r="F317">
        <v>0</v>
      </c>
      <c r="G317">
        <v>0</v>
      </c>
      <c r="I317" t="s">
        <v>14</v>
      </c>
      <c r="J317">
        <v>310641</v>
      </c>
      <c r="K317">
        <v>2</v>
      </c>
      <c r="L317" t="s">
        <v>50</v>
      </c>
    </row>
    <row r="318" spans="1:12" x14ac:dyDescent="0.25">
      <c r="A318">
        <v>1</v>
      </c>
      <c r="B318" t="s">
        <v>17</v>
      </c>
      <c r="C318" t="s">
        <v>74</v>
      </c>
      <c r="E318">
        <v>33248.17014012688</v>
      </c>
      <c r="G318">
        <v>0</v>
      </c>
      <c r="I318" t="s">
        <v>31</v>
      </c>
      <c r="J318">
        <v>33248.17014012688</v>
      </c>
      <c r="K318">
        <v>2</v>
      </c>
      <c r="L318" t="s">
        <v>50</v>
      </c>
    </row>
    <row r="319" spans="1:12" x14ac:dyDescent="0.25">
      <c r="A319">
        <v>1</v>
      </c>
      <c r="B319" t="s">
        <v>33</v>
      </c>
      <c r="C319" t="s">
        <v>74</v>
      </c>
      <c r="E319">
        <v>20852.79116177767</v>
      </c>
      <c r="G319">
        <v>0</v>
      </c>
      <c r="I319" t="s">
        <v>31</v>
      </c>
      <c r="J319">
        <v>20852.79116177767</v>
      </c>
      <c r="K319">
        <v>2</v>
      </c>
      <c r="L319" t="s">
        <v>50</v>
      </c>
    </row>
    <row r="320" spans="1:12" x14ac:dyDescent="0.25">
      <c r="A320">
        <v>1</v>
      </c>
      <c r="B320" t="s">
        <v>17</v>
      </c>
      <c r="C320" t="s">
        <v>74</v>
      </c>
      <c r="D320">
        <v>0</v>
      </c>
      <c r="E320">
        <v>1135282</v>
      </c>
      <c r="F320">
        <v>0</v>
      </c>
      <c r="G320">
        <v>0</v>
      </c>
      <c r="I320" t="s">
        <v>14</v>
      </c>
      <c r="J320">
        <v>1135282</v>
      </c>
      <c r="K320">
        <v>2</v>
      </c>
      <c r="L320" t="s">
        <v>50</v>
      </c>
    </row>
    <row r="321" spans="1:12" x14ac:dyDescent="0.25">
      <c r="A321">
        <v>1</v>
      </c>
      <c r="B321" t="s">
        <v>16</v>
      </c>
      <c r="C321" t="s">
        <v>74</v>
      </c>
      <c r="D321">
        <v>0</v>
      </c>
      <c r="E321">
        <v>15160127</v>
      </c>
      <c r="F321">
        <v>0</v>
      </c>
      <c r="G321">
        <v>0</v>
      </c>
      <c r="I321" t="s">
        <v>14</v>
      </c>
      <c r="J321">
        <v>15160127</v>
      </c>
      <c r="K321">
        <v>2</v>
      </c>
      <c r="L321" t="s">
        <v>50</v>
      </c>
    </row>
    <row r="322" spans="1:12" x14ac:dyDescent="0.25">
      <c r="A322">
        <v>1</v>
      </c>
      <c r="B322" t="s">
        <v>20</v>
      </c>
      <c r="C322" t="s">
        <v>74</v>
      </c>
      <c r="E322">
        <v>2701073.5574510451</v>
      </c>
      <c r="G322">
        <v>0</v>
      </c>
      <c r="I322" t="s">
        <v>31</v>
      </c>
      <c r="J322">
        <v>2701073.5574510451</v>
      </c>
      <c r="K322">
        <v>2</v>
      </c>
      <c r="L322" t="s">
        <v>50</v>
      </c>
    </row>
    <row r="323" spans="1:12" x14ac:dyDescent="0.25">
      <c r="A323">
        <v>1</v>
      </c>
      <c r="B323" t="s">
        <v>33</v>
      </c>
      <c r="C323" t="s">
        <v>74</v>
      </c>
      <c r="D323">
        <v>0</v>
      </c>
      <c r="E323">
        <v>231916</v>
      </c>
      <c r="F323">
        <v>0</v>
      </c>
      <c r="G323">
        <v>0</v>
      </c>
      <c r="I323" t="s">
        <v>14</v>
      </c>
      <c r="J323">
        <v>231916</v>
      </c>
      <c r="K323">
        <v>2</v>
      </c>
      <c r="L323" t="s">
        <v>50</v>
      </c>
    </row>
    <row r="324" spans="1:12" x14ac:dyDescent="0.25">
      <c r="A324">
        <v>1</v>
      </c>
      <c r="B324" t="s">
        <v>16</v>
      </c>
      <c r="C324" t="s">
        <v>74</v>
      </c>
      <c r="E324">
        <v>918355.17884492979</v>
      </c>
      <c r="G324">
        <v>0</v>
      </c>
      <c r="I324" t="s">
        <v>31</v>
      </c>
      <c r="J324">
        <v>918355.17884492979</v>
      </c>
      <c r="K324">
        <v>2</v>
      </c>
      <c r="L324" t="s">
        <v>50</v>
      </c>
    </row>
    <row r="325" spans="1:12" x14ac:dyDescent="0.25">
      <c r="A325">
        <v>1</v>
      </c>
      <c r="B325" t="s">
        <v>18</v>
      </c>
      <c r="C325" t="s">
        <v>74</v>
      </c>
      <c r="E325">
        <v>566595.21948723157</v>
      </c>
      <c r="G325">
        <v>0</v>
      </c>
      <c r="I325" t="s">
        <v>31</v>
      </c>
      <c r="J325">
        <v>566595.21948723157</v>
      </c>
      <c r="K325">
        <v>2</v>
      </c>
      <c r="L325" t="s">
        <v>50</v>
      </c>
    </row>
    <row r="326" spans="1:12" x14ac:dyDescent="0.25">
      <c r="A326">
        <v>1</v>
      </c>
      <c r="B326" t="s">
        <v>20</v>
      </c>
      <c r="C326" t="s">
        <v>74</v>
      </c>
      <c r="D326">
        <v>0</v>
      </c>
      <c r="E326">
        <v>36900269</v>
      </c>
      <c r="F326">
        <v>0</v>
      </c>
      <c r="G326">
        <v>0</v>
      </c>
      <c r="I326" t="s">
        <v>14</v>
      </c>
      <c r="J326">
        <v>36900269</v>
      </c>
      <c r="K326">
        <v>2</v>
      </c>
      <c r="L326" t="s">
        <v>50</v>
      </c>
    </row>
    <row r="327" spans="1:12" x14ac:dyDescent="0.25">
      <c r="A327">
        <v>1</v>
      </c>
      <c r="B327" t="s">
        <v>12</v>
      </c>
      <c r="C327" t="s">
        <v>74</v>
      </c>
      <c r="E327">
        <v>14080.671693738224</v>
      </c>
      <c r="G327">
        <v>0</v>
      </c>
      <c r="I327" t="s">
        <v>31</v>
      </c>
      <c r="J327">
        <v>14080.671693738224</v>
      </c>
      <c r="K327">
        <v>2</v>
      </c>
      <c r="L327" t="s">
        <v>50</v>
      </c>
    </row>
    <row r="328" spans="1:12" x14ac:dyDescent="0.25">
      <c r="A328">
        <v>1</v>
      </c>
      <c r="B328" t="s">
        <v>21</v>
      </c>
      <c r="C328" t="s">
        <v>74</v>
      </c>
      <c r="E328">
        <v>224316.59176140817</v>
      </c>
      <c r="G328">
        <v>0</v>
      </c>
      <c r="I328" t="s">
        <v>31</v>
      </c>
      <c r="J328">
        <v>224316.59176140817</v>
      </c>
      <c r="K328">
        <v>2</v>
      </c>
      <c r="L328" t="s">
        <v>50</v>
      </c>
    </row>
    <row r="329" spans="1:12" x14ac:dyDescent="0.25">
      <c r="A329">
        <v>1</v>
      </c>
      <c r="B329" t="s">
        <v>20</v>
      </c>
      <c r="C329" t="s">
        <v>75</v>
      </c>
      <c r="E329">
        <v>10100.497899655378</v>
      </c>
      <c r="G329">
        <v>0</v>
      </c>
      <c r="I329" t="s">
        <v>31</v>
      </c>
      <c r="J329">
        <v>10100.497899655378</v>
      </c>
      <c r="K329">
        <v>2</v>
      </c>
      <c r="L329" t="s">
        <v>52</v>
      </c>
    </row>
    <row r="330" spans="1:12" x14ac:dyDescent="0.25">
      <c r="A330">
        <v>1</v>
      </c>
      <c r="B330" t="s">
        <v>20</v>
      </c>
      <c r="C330" t="s">
        <v>75</v>
      </c>
      <c r="D330">
        <v>0</v>
      </c>
      <c r="E330">
        <v>152181</v>
      </c>
      <c r="F330">
        <v>0</v>
      </c>
      <c r="G330">
        <v>0</v>
      </c>
      <c r="I330" t="s">
        <v>14</v>
      </c>
      <c r="J330">
        <v>152181</v>
      </c>
      <c r="K330">
        <v>2</v>
      </c>
      <c r="L330" t="s">
        <v>52</v>
      </c>
    </row>
    <row r="331" spans="1:12" x14ac:dyDescent="0.25">
      <c r="A331">
        <v>1</v>
      </c>
      <c r="B331" t="s">
        <v>12</v>
      </c>
      <c r="C331" t="s">
        <v>76</v>
      </c>
      <c r="D331">
        <v>0</v>
      </c>
      <c r="E331">
        <v>1590175</v>
      </c>
      <c r="F331">
        <v>0</v>
      </c>
      <c r="G331">
        <v>0</v>
      </c>
      <c r="I331" t="s">
        <v>14</v>
      </c>
      <c r="J331">
        <v>1590175</v>
      </c>
      <c r="K331">
        <v>2</v>
      </c>
      <c r="L331" t="s">
        <v>77</v>
      </c>
    </row>
    <row r="332" spans="1:12" x14ac:dyDescent="0.25">
      <c r="A332">
        <v>1</v>
      </c>
      <c r="B332" t="s">
        <v>21</v>
      </c>
      <c r="C332" t="s">
        <v>76</v>
      </c>
      <c r="D332">
        <v>0</v>
      </c>
      <c r="E332">
        <v>8132441</v>
      </c>
      <c r="F332">
        <v>0</v>
      </c>
      <c r="G332">
        <v>0</v>
      </c>
      <c r="I332" t="s">
        <v>14</v>
      </c>
      <c r="J332">
        <v>8132441</v>
      </c>
      <c r="K332">
        <v>2</v>
      </c>
      <c r="L332" t="s">
        <v>77</v>
      </c>
    </row>
    <row r="333" spans="1:12" x14ac:dyDescent="0.25">
      <c r="A333">
        <v>1</v>
      </c>
      <c r="B333" t="s">
        <v>21</v>
      </c>
      <c r="C333" t="s">
        <v>76</v>
      </c>
      <c r="E333">
        <v>743403.96901799936</v>
      </c>
      <c r="G333">
        <v>0</v>
      </c>
      <c r="I333" t="s">
        <v>31</v>
      </c>
      <c r="J333">
        <v>743403.96901799936</v>
      </c>
      <c r="K333">
        <v>2</v>
      </c>
      <c r="L333" t="s">
        <v>77</v>
      </c>
    </row>
    <row r="334" spans="1:12" x14ac:dyDescent="0.25">
      <c r="A334">
        <v>1</v>
      </c>
      <c r="B334" t="s">
        <v>17</v>
      </c>
      <c r="C334" t="s">
        <v>76</v>
      </c>
      <c r="E334">
        <v>135779.67970042455</v>
      </c>
      <c r="G334">
        <v>0</v>
      </c>
      <c r="I334" t="s">
        <v>31</v>
      </c>
      <c r="J334">
        <v>135779.67970042455</v>
      </c>
      <c r="K334">
        <v>2</v>
      </c>
      <c r="L334" t="s">
        <v>77</v>
      </c>
    </row>
    <row r="335" spans="1:12" x14ac:dyDescent="0.25">
      <c r="A335">
        <v>1</v>
      </c>
      <c r="B335" t="s">
        <v>20</v>
      </c>
      <c r="C335" t="s">
        <v>76</v>
      </c>
      <c r="E335">
        <v>8052709.0789495371</v>
      </c>
      <c r="G335">
        <v>0</v>
      </c>
      <c r="I335" t="s">
        <v>31</v>
      </c>
      <c r="J335">
        <v>8052709.0789495371</v>
      </c>
      <c r="K335">
        <v>2</v>
      </c>
      <c r="L335" t="s">
        <v>77</v>
      </c>
    </row>
    <row r="336" spans="1:12" x14ac:dyDescent="0.25">
      <c r="A336">
        <v>1</v>
      </c>
      <c r="B336" t="s">
        <v>33</v>
      </c>
      <c r="C336" t="s">
        <v>76</v>
      </c>
      <c r="E336">
        <v>54014.640044073109</v>
      </c>
      <c r="G336">
        <v>0</v>
      </c>
      <c r="I336" t="s">
        <v>31</v>
      </c>
      <c r="J336">
        <v>54014.640044073109</v>
      </c>
      <c r="K336">
        <v>2</v>
      </c>
      <c r="L336" t="s">
        <v>77</v>
      </c>
    </row>
    <row r="337" spans="1:12" x14ac:dyDescent="0.25">
      <c r="A337">
        <v>1</v>
      </c>
      <c r="B337" t="s">
        <v>17</v>
      </c>
      <c r="C337" t="s">
        <v>76</v>
      </c>
      <c r="D337">
        <v>0</v>
      </c>
      <c r="E337">
        <v>1918860</v>
      </c>
      <c r="F337">
        <v>0</v>
      </c>
      <c r="G337">
        <v>0</v>
      </c>
      <c r="I337" t="s">
        <v>14</v>
      </c>
      <c r="J337">
        <v>1918860</v>
      </c>
      <c r="K337">
        <v>2</v>
      </c>
      <c r="L337" t="s">
        <v>77</v>
      </c>
    </row>
    <row r="338" spans="1:12" x14ac:dyDescent="0.25">
      <c r="A338">
        <v>1</v>
      </c>
      <c r="B338" t="s">
        <v>16</v>
      </c>
      <c r="C338" t="s">
        <v>76</v>
      </c>
      <c r="D338">
        <v>0</v>
      </c>
      <c r="E338">
        <v>43259994</v>
      </c>
      <c r="F338">
        <v>0</v>
      </c>
      <c r="G338">
        <v>0</v>
      </c>
      <c r="I338" t="s">
        <v>14</v>
      </c>
      <c r="J338">
        <v>43259994</v>
      </c>
      <c r="K338">
        <v>2</v>
      </c>
      <c r="L338" t="s">
        <v>77</v>
      </c>
    </row>
    <row r="339" spans="1:12" x14ac:dyDescent="0.25">
      <c r="A339">
        <v>1</v>
      </c>
      <c r="B339" t="s">
        <v>33</v>
      </c>
      <c r="C339" t="s">
        <v>76</v>
      </c>
      <c r="D339">
        <v>0</v>
      </c>
      <c r="E339">
        <v>760722</v>
      </c>
      <c r="F339">
        <v>0</v>
      </c>
      <c r="G339">
        <v>0</v>
      </c>
      <c r="I339" t="s">
        <v>14</v>
      </c>
      <c r="J339">
        <v>760722</v>
      </c>
      <c r="K339">
        <v>2</v>
      </c>
      <c r="L339" t="s">
        <v>77</v>
      </c>
    </row>
    <row r="340" spans="1:12" x14ac:dyDescent="0.25">
      <c r="A340">
        <v>1</v>
      </c>
      <c r="B340" t="s">
        <v>16</v>
      </c>
      <c r="C340" t="s">
        <v>76</v>
      </c>
      <c r="E340">
        <v>2842854.6984946374</v>
      </c>
      <c r="G340">
        <v>0</v>
      </c>
      <c r="I340" t="s">
        <v>31</v>
      </c>
      <c r="J340">
        <v>2842854.6984946374</v>
      </c>
      <c r="K340">
        <v>2</v>
      </c>
      <c r="L340" t="s">
        <v>77</v>
      </c>
    </row>
    <row r="341" spans="1:12" x14ac:dyDescent="0.25">
      <c r="A341">
        <v>1</v>
      </c>
      <c r="B341" t="s">
        <v>18</v>
      </c>
      <c r="C341" t="s">
        <v>76</v>
      </c>
      <c r="E341">
        <v>1934035.4987696456</v>
      </c>
      <c r="G341">
        <v>0</v>
      </c>
      <c r="I341" t="s">
        <v>31</v>
      </c>
      <c r="J341">
        <v>1934035.4987696456</v>
      </c>
      <c r="K341">
        <v>2</v>
      </c>
      <c r="L341" t="s">
        <v>77</v>
      </c>
    </row>
    <row r="342" spans="1:12" x14ac:dyDescent="0.25">
      <c r="A342">
        <v>1</v>
      </c>
      <c r="B342" t="s">
        <v>20</v>
      </c>
      <c r="C342" t="s">
        <v>76</v>
      </c>
      <c r="D342">
        <v>0</v>
      </c>
      <c r="E342">
        <v>108625470</v>
      </c>
      <c r="F342">
        <v>0</v>
      </c>
      <c r="G342">
        <v>0</v>
      </c>
      <c r="I342" t="s">
        <v>14</v>
      </c>
      <c r="J342">
        <v>108625470</v>
      </c>
      <c r="K342">
        <v>2</v>
      </c>
      <c r="L342" t="s">
        <v>77</v>
      </c>
    </row>
    <row r="343" spans="1:12" x14ac:dyDescent="0.25">
      <c r="A343">
        <v>1</v>
      </c>
      <c r="B343" t="s">
        <v>12</v>
      </c>
      <c r="C343" t="s">
        <v>76</v>
      </c>
      <c r="E343">
        <v>64364.029680038271</v>
      </c>
      <c r="G343">
        <v>0</v>
      </c>
      <c r="I343" t="s">
        <v>31</v>
      </c>
      <c r="J343">
        <v>64364.029680038271</v>
      </c>
      <c r="K343">
        <v>2</v>
      </c>
      <c r="L343" t="s">
        <v>77</v>
      </c>
    </row>
    <row r="344" spans="1:12" x14ac:dyDescent="0.25">
      <c r="A344">
        <v>1</v>
      </c>
      <c r="B344" t="s">
        <v>18</v>
      </c>
      <c r="C344" t="s">
        <v>76</v>
      </c>
      <c r="D344">
        <v>0</v>
      </c>
      <c r="E344">
        <v>11159843</v>
      </c>
      <c r="F344">
        <v>0</v>
      </c>
      <c r="G344">
        <v>0</v>
      </c>
      <c r="I344" t="s">
        <v>14</v>
      </c>
      <c r="J344">
        <v>11159843</v>
      </c>
      <c r="K344">
        <v>2</v>
      </c>
      <c r="L344" t="s">
        <v>77</v>
      </c>
    </row>
    <row r="345" spans="1:12" x14ac:dyDescent="0.25">
      <c r="A345">
        <v>1</v>
      </c>
      <c r="B345" t="s">
        <v>21</v>
      </c>
      <c r="C345" t="s">
        <v>78</v>
      </c>
      <c r="D345">
        <v>0</v>
      </c>
      <c r="E345">
        <v>161093</v>
      </c>
      <c r="F345">
        <v>0</v>
      </c>
      <c r="G345">
        <v>0</v>
      </c>
      <c r="I345" t="s">
        <v>14</v>
      </c>
      <c r="J345">
        <v>161093</v>
      </c>
      <c r="K345">
        <v>2</v>
      </c>
      <c r="L345" t="s">
        <v>79</v>
      </c>
    </row>
    <row r="346" spans="1:12" x14ac:dyDescent="0.25">
      <c r="A346">
        <v>1</v>
      </c>
      <c r="B346" t="s">
        <v>21</v>
      </c>
      <c r="C346" t="s">
        <v>78</v>
      </c>
      <c r="E346">
        <v>13461.955862045812</v>
      </c>
      <c r="G346">
        <v>0</v>
      </c>
      <c r="I346" t="s">
        <v>31</v>
      </c>
      <c r="J346">
        <v>13461.955862045812</v>
      </c>
      <c r="K346">
        <v>2</v>
      </c>
      <c r="L346" t="s">
        <v>79</v>
      </c>
    </row>
    <row r="347" spans="1:12" x14ac:dyDescent="0.25">
      <c r="A347">
        <v>1</v>
      </c>
      <c r="B347" t="s">
        <v>20</v>
      </c>
      <c r="C347" t="s">
        <v>78</v>
      </c>
      <c r="E347">
        <v>19588.684130610927</v>
      </c>
      <c r="G347">
        <v>0</v>
      </c>
      <c r="I347" t="s">
        <v>31</v>
      </c>
      <c r="J347">
        <v>19588.684130610927</v>
      </c>
      <c r="K347">
        <v>2</v>
      </c>
      <c r="L347" t="s">
        <v>79</v>
      </c>
    </row>
    <row r="348" spans="1:12" x14ac:dyDescent="0.25">
      <c r="A348">
        <v>1</v>
      </c>
      <c r="B348" t="s">
        <v>20</v>
      </c>
      <c r="C348" t="s">
        <v>78</v>
      </c>
      <c r="D348">
        <v>0</v>
      </c>
      <c r="E348">
        <v>292874</v>
      </c>
      <c r="F348">
        <v>0</v>
      </c>
      <c r="G348">
        <v>0</v>
      </c>
      <c r="I348" t="s">
        <v>14</v>
      </c>
      <c r="J348">
        <v>292874</v>
      </c>
      <c r="K348">
        <v>2</v>
      </c>
      <c r="L348" t="s">
        <v>79</v>
      </c>
    </row>
    <row r="349" spans="1:12" x14ac:dyDescent="0.25">
      <c r="A349">
        <v>1</v>
      </c>
      <c r="B349" t="s">
        <v>21</v>
      </c>
      <c r="C349" t="s">
        <v>80</v>
      </c>
      <c r="D349">
        <v>0</v>
      </c>
      <c r="E349">
        <v>967362</v>
      </c>
      <c r="F349">
        <v>0</v>
      </c>
      <c r="G349">
        <v>0</v>
      </c>
      <c r="I349" t="s">
        <v>14</v>
      </c>
      <c r="J349">
        <v>967362</v>
      </c>
      <c r="K349">
        <v>2</v>
      </c>
      <c r="L349" t="s">
        <v>81</v>
      </c>
    </row>
    <row r="350" spans="1:12" x14ac:dyDescent="0.25">
      <c r="A350">
        <v>1</v>
      </c>
      <c r="B350" t="s">
        <v>21</v>
      </c>
      <c r="C350" t="s">
        <v>80</v>
      </c>
      <c r="E350">
        <v>90603.620100571206</v>
      </c>
      <c r="G350">
        <v>0</v>
      </c>
      <c r="I350" t="s">
        <v>31</v>
      </c>
      <c r="J350">
        <v>90603.620100571206</v>
      </c>
      <c r="K350">
        <v>2</v>
      </c>
      <c r="L350" t="s">
        <v>81</v>
      </c>
    </row>
    <row r="351" spans="1:12" x14ac:dyDescent="0.25">
      <c r="A351">
        <v>1</v>
      </c>
      <c r="B351" t="s">
        <v>17</v>
      </c>
      <c r="C351" t="s">
        <v>80</v>
      </c>
      <c r="D351">
        <v>0</v>
      </c>
      <c r="E351">
        <v>305110</v>
      </c>
      <c r="F351">
        <v>0</v>
      </c>
      <c r="G351">
        <v>0</v>
      </c>
      <c r="I351" t="s">
        <v>14</v>
      </c>
      <c r="J351">
        <v>305110</v>
      </c>
      <c r="K351">
        <v>2</v>
      </c>
      <c r="L351" t="s">
        <v>81</v>
      </c>
    </row>
    <row r="352" spans="1:12" x14ac:dyDescent="0.25">
      <c r="A352">
        <v>1</v>
      </c>
      <c r="B352" t="s">
        <v>16</v>
      </c>
      <c r="C352" t="s">
        <v>80</v>
      </c>
      <c r="D352">
        <v>0</v>
      </c>
      <c r="E352">
        <v>1428584</v>
      </c>
      <c r="F352">
        <v>0</v>
      </c>
      <c r="G352">
        <v>0</v>
      </c>
      <c r="I352" t="s">
        <v>14</v>
      </c>
      <c r="J352">
        <v>1428584</v>
      </c>
      <c r="K352">
        <v>2</v>
      </c>
      <c r="L352" t="s">
        <v>81</v>
      </c>
    </row>
    <row r="353" spans="1:12" x14ac:dyDescent="0.25">
      <c r="A353">
        <v>1</v>
      </c>
      <c r="B353" t="s">
        <v>20</v>
      </c>
      <c r="C353" t="s">
        <v>80</v>
      </c>
      <c r="E353">
        <v>227581.37268986276</v>
      </c>
      <c r="G353">
        <v>0</v>
      </c>
      <c r="I353" t="s">
        <v>31</v>
      </c>
      <c r="J353">
        <v>227581.37268986276</v>
      </c>
      <c r="K353">
        <v>2</v>
      </c>
      <c r="L353" t="s">
        <v>81</v>
      </c>
    </row>
    <row r="354" spans="1:12" x14ac:dyDescent="0.25">
      <c r="A354">
        <v>1</v>
      </c>
      <c r="B354" t="s">
        <v>16</v>
      </c>
      <c r="C354" t="s">
        <v>80</v>
      </c>
      <c r="E354">
        <v>70440.937420146816</v>
      </c>
      <c r="G354">
        <v>0</v>
      </c>
      <c r="I354" t="s">
        <v>31</v>
      </c>
      <c r="J354">
        <v>70440.937420146816</v>
      </c>
      <c r="K354">
        <v>2</v>
      </c>
      <c r="L354" t="s">
        <v>81</v>
      </c>
    </row>
    <row r="355" spans="1:12" x14ac:dyDescent="0.25">
      <c r="A355">
        <v>1</v>
      </c>
      <c r="B355" t="s">
        <v>17</v>
      </c>
      <c r="C355" t="s">
        <v>80</v>
      </c>
      <c r="E355">
        <v>9464.3111427913173</v>
      </c>
      <c r="G355">
        <v>0</v>
      </c>
      <c r="I355" t="s">
        <v>31</v>
      </c>
      <c r="J355">
        <v>9464.3111427913173</v>
      </c>
      <c r="K355">
        <v>2</v>
      </c>
      <c r="L355" t="s">
        <v>81</v>
      </c>
    </row>
    <row r="356" spans="1:12" x14ac:dyDescent="0.25">
      <c r="A356">
        <v>1</v>
      </c>
      <c r="B356" t="s">
        <v>18</v>
      </c>
      <c r="C356" t="s">
        <v>80</v>
      </c>
      <c r="E356">
        <v>90087.792565542622</v>
      </c>
      <c r="G356">
        <v>0</v>
      </c>
      <c r="I356" t="s">
        <v>31</v>
      </c>
      <c r="J356">
        <v>90087.792565542622</v>
      </c>
      <c r="K356">
        <v>2</v>
      </c>
      <c r="L356" t="s">
        <v>81</v>
      </c>
    </row>
    <row r="357" spans="1:12" x14ac:dyDescent="0.25">
      <c r="A357">
        <v>1</v>
      </c>
      <c r="B357" t="s">
        <v>20</v>
      </c>
      <c r="C357" t="s">
        <v>80</v>
      </c>
      <c r="D357">
        <v>0</v>
      </c>
      <c r="E357">
        <v>3311567</v>
      </c>
      <c r="F357">
        <v>0</v>
      </c>
      <c r="G357">
        <v>0</v>
      </c>
      <c r="I357" t="s">
        <v>14</v>
      </c>
      <c r="J357">
        <v>3311567</v>
      </c>
      <c r="K357">
        <v>2</v>
      </c>
      <c r="L357" t="s">
        <v>81</v>
      </c>
    </row>
    <row r="358" spans="1:12" x14ac:dyDescent="0.25">
      <c r="A358">
        <v>1</v>
      </c>
      <c r="B358" t="s">
        <v>12</v>
      </c>
      <c r="C358" t="s">
        <v>80</v>
      </c>
      <c r="E358">
        <v>5434.0614822506059</v>
      </c>
      <c r="G358">
        <v>0</v>
      </c>
      <c r="I358" t="s">
        <v>31</v>
      </c>
      <c r="J358">
        <v>5434.0614822506059</v>
      </c>
      <c r="K358">
        <v>2</v>
      </c>
      <c r="L358" t="s">
        <v>81</v>
      </c>
    </row>
    <row r="359" spans="1:12" x14ac:dyDescent="0.25">
      <c r="A359">
        <v>1</v>
      </c>
      <c r="B359" t="s">
        <v>12</v>
      </c>
      <c r="C359" t="s">
        <v>80</v>
      </c>
      <c r="D359">
        <v>0</v>
      </c>
      <c r="E359">
        <v>232903</v>
      </c>
      <c r="F359">
        <v>0</v>
      </c>
      <c r="G359">
        <v>0</v>
      </c>
      <c r="I359" t="s">
        <v>14</v>
      </c>
      <c r="J359">
        <v>232903</v>
      </c>
      <c r="K359">
        <v>2</v>
      </c>
      <c r="L359" t="s">
        <v>81</v>
      </c>
    </row>
    <row r="360" spans="1:12" x14ac:dyDescent="0.25">
      <c r="A360">
        <v>1</v>
      </c>
      <c r="B360" t="s">
        <v>18</v>
      </c>
      <c r="C360" t="s">
        <v>80</v>
      </c>
      <c r="D360">
        <v>0</v>
      </c>
      <c r="E360">
        <v>395923</v>
      </c>
      <c r="F360">
        <v>0</v>
      </c>
      <c r="G360">
        <v>0</v>
      </c>
      <c r="I360" t="s">
        <v>14</v>
      </c>
      <c r="J360">
        <v>395923</v>
      </c>
      <c r="K360">
        <v>2</v>
      </c>
      <c r="L360" t="s">
        <v>81</v>
      </c>
    </row>
    <row r="361" spans="1:12" x14ac:dyDescent="0.25">
      <c r="A361">
        <v>1</v>
      </c>
      <c r="B361" t="s">
        <v>21</v>
      </c>
      <c r="C361" t="s">
        <v>82</v>
      </c>
      <c r="D361">
        <v>0</v>
      </c>
      <c r="E361">
        <v>1223086</v>
      </c>
      <c r="F361">
        <v>0</v>
      </c>
      <c r="G361">
        <v>0</v>
      </c>
      <c r="I361" t="s">
        <v>14</v>
      </c>
      <c r="J361">
        <v>1223086</v>
      </c>
      <c r="K361">
        <v>2</v>
      </c>
      <c r="L361" t="s">
        <v>83</v>
      </c>
    </row>
    <row r="362" spans="1:12" x14ac:dyDescent="0.25">
      <c r="A362">
        <v>1</v>
      </c>
      <c r="B362" t="s">
        <v>21</v>
      </c>
      <c r="C362" t="s">
        <v>82</v>
      </c>
      <c r="E362">
        <v>86843.53288464839</v>
      </c>
      <c r="G362">
        <v>0</v>
      </c>
      <c r="I362" t="s">
        <v>31</v>
      </c>
      <c r="J362">
        <v>86843.53288464839</v>
      </c>
      <c r="K362">
        <v>2</v>
      </c>
      <c r="L362" t="s">
        <v>83</v>
      </c>
    </row>
    <row r="363" spans="1:12" x14ac:dyDescent="0.25">
      <c r="A363">
        <v>1</v>
      </c>
      <c r="B363" t="s">
        <v>17</v>
      </c>
      <c r="C363" t="s">
        <v>82</v>
      </c>
      <c r="E363">
        <v>1893.2494046122342</v>
      </c>
      <c r="G363">
        <v>0</v>
      </c>
      <c r="I363" t="s">
        <v>31</v>
      </c>
      <c r="J363">
        <v>1893.2494046122342</v>
      </c>
      <c r="K363">
        <v>2</v>
      </c>
      <c r="L363" t="s">
        <v>83</v>
      </c>
    </row>
    <row r="364" spans="1:12" x14ac:dyDescent="0.25">
      <c r="A364">
        <v>1</v>
      </c>
      <c r="B364" t="s">
        <v>16</v>
      </c>
      <c r="C364" t="s">
        <v>82</v>
      </c>
      <c r="D364">
        <v>0</v>
      </c>
      <c r="E364">
        <v>7154535</v>
      </c>
      <c r="F364">
        <v>0</v>
      </c>
      <c r="G364">
        <v>0</v>
      </c>
      <c r="I364" t="s">
        <v>14</v>
      </c>
      <c r="J364">
        <v>7154535</v>
      </c>
      <c r="K364">
        <v>2</v>
      </c>
      <c r="L364" t="s">
        <v>83</v>
      </c>
    </row>
    <row r="365" spans="1:12" x14ac:dyDescent="0.25">
      <c r="A365">
        <v>1</v>
      </c>
      <c r="B365" t="s">
        <v>17</v>
      </c>
      <c r="C365" t="s">
        <v>82</v>
      </c>
      <c r="D365">
        <v>0</v>
      </c>
      <c r="E365">
        <v>91347</v>
      </c>
      <c r="F365">
        <v>0</v>
      </c>
      <c r="G365">
        <v>0</v>
      </c>
      <c r="I365" t="s">
        <v>14</v>
      </c>
      <c r="J365">
        <v>91347</v>
      </c>
      <c r="K365">
        <v>2</v>
      </c>
      <c r="L365" t="s">
        <v>83</v>
      </c>
    </row>
    <row r="366" spans="1:12" x14ac:dyDescent="0.25">
      <c r="A366">
        <v>1</v>
      </c>
      <c r="B366" t="s">
        <v>20</v>
      </c>
      <c r="C366" t="s">
        <v>82</v>
      </c>
      <c r="E366">
        <v>801270.65573421691</v>
      </c>
      <c r="G366">
        <v>0</v>
      </c>
      <c r="I366" t="s">
        <v>31</v>
      </c>
      <c r="J366">
        <v>801270.65573421691</v>
      </c>
      <c r="K366">
        <v>2</v>
      </c>
      <c r="L366" t="s">
        <v>83</v>
      </c>
    </row>
    <row r="367" spans="1:12" x14ac:dyDescent="0.25">
      <c r="A367">
        <v>1</v>
      </c>
      <c r="B367" t="s">
        <v>33</v>
      </c>
      <c r="C367" t="s">
        <v>82</v>
      </c>
      <c r="D367">
        <v>0</v>
      </c>
      <c r="E367">
        <v>265293</v>
      </c>
      <c r="F367">
        <v>0</v>
      </c>
      <c r="G367">
        <v>0</v>
      </c>
      <c r="I367" t="s">
        <v>14</v>
      </c>
      <c r="J367">
        <v>265293</v>
      </c>
      <c r="K367">
        <v>2</v>
      </c>
      <c r="L367" t="s">
        <v>83</v>
      </c>
    </row>
    <row r="368" spans="1:12" x14ac:dyDescent="0.25">
      <c r="A368">
        <v>1</v>
      </c>
      <c r="B368" t="s">
        <v>16</v>
      </c>
      <c r="C368" t="s">
        <v>82</v>
      </c>
      <c r="E368">
        <v>434793.87312089955</v>
      </c>
      <c r="G368">
        <v>0</v>
      </c>
      <c r="I368" t="s">
        <v>31</v>
      </c>
      <c r="J368">
        <v>434793.87312089955</v>
      </c>
      <c r="K368">
        <v>2</v>
      </c>
      <c r="L368" t="s">
        <v>83</v>
      </c>
    </row>
    <row r="369" spans="1:12" x14ac:dyDescent="0.25">
      <c r="A369">
        <v>1</v>
      </c>
      <c r="B369" t="s">
        <v>18</v>
      </c>
      <c r="C369" t="s">
        <v>82</v>
      </c>
      <c r="E369">
        <v>121875.33169875239</v>
      </c>
      <c r="G369">
        <v>0</v>
      </c>
      <c r="I369" t="s">
        <v>31</v>
      </c>
      <c r="J369">
        <v>121875.33169875239</v>
      </c>
      <c r="K369">
        <v>2</v>
      </c>
      <c r="L369" t="s">
        <v>83</v>
      </c>
    </row>
    <row r="370" spans="1:12" x14ac:dyDescent="0.25">
      <c r="A370">
        <v>1</v>
      </c>
      <c r="B370" t="s">
        <v>20</v>
      </c>
      <c r="C370" t="s">
        <v>82</v>
      </c>
      <c r="D370">
        <v>0</v>
      </c>
      <c r="E370">
        <v>11504224</v>
      </c>
      <c r="F370">
        <v>0</v>
      </c>
      <c r="G370">
        <v>0</v>
      </c>
      <c r="I370" t="s">
        <v>14</v>
      </c>
      <c r="J370">
        <v>11504224</v>
      </c>
      <c r="K370">
        <v>2</v>
      </c>
      <c r="L370" t="s">
        <v>83</v>
      </c>
    </row>
    <row r="371" spans="1:12" x14ac:dyDescent="0.25">
      <c r="A371">
        <v>1</v>
      </c>
      <c r="B371" t="s">
        <v>19</v>
      </c>
      <c r="C371" t="s">
        <v>82</v>
      </c>
      <c r="D371">
        <v>0</v>
      </c>
      <c r="E371">
        <v>127708</v>
      </c>
      <c r="F371">
        <v>0</v>
      </c>
      <c r="G371">
        <v>0</v>
      </c>
      <c r="I371" t="s">
        <v>14</v>
      </c>
      <c r="J371">
        <v>127708</v>
      </c>
      <c r="K371">
        <v>2</v>
      </c>
      <c r="L371" t="s">
        <v>83</v>
      </c>
    </row>
    <row r="372" spans="1:12" x14ac:dyDescent="0.25">
      <c r="A372">
        <v>1</v>
      </c>
      <c r="B372" t="s">
        <v>12</v>
      </c>
      <c r="C372" t="s">
        <v>82</v>
      </c>
      <c r="E372">
        <v>15458.201495362611</v>
      </c>
      <c r="G372">
        <v>0</v>
      </c>
      <c r="I372" t="s">
        <v>31</v>
      </c>
      <c r="J372">
        <v>15458.201495362611</v>
      </c>
      <c r="K372">
        <v>2</v>
      </c>
      <c r="L372" t="s">
        <v>83</v>
      </c>
    </row>
    <row r="373" spans="1:12" x14ac:dyDescent="0.25">
      <c r="A373">
        <v>1</v>
      </c>
      <c r="B373" t="s">
        <v>12</v>
      </c>
      <c r="C373" t="s">
        <v>82</v>
      </c>
      <c r="D373">
        <v>0</v>
      </c>
      <c r="E373">
        <v>305984</v>
      </c>
      <c r="F373">
        <v>0</v>
      </c>
      <c r="G373">
        <v>0</v>
      </c>
      <c r="I373" t="s">
        <v>14</v>
      </c>
      <c r="J373">
        <v>305984</v>
      </c>
      <c r="K373">
        <v>2</v>
      </c>
      <c r="L373" t="s">
        <v>83</v>
      </c>
    </row>
    <row r="374" spans="1:12" x14ac:dyDescent="0.25">
      <c r="A374">
        <v>1</v>
      </c>
      <c r="B374" t="s">
        <v>19</v>
      </c>
      <c r="C374" t="s">
        <v>82</v>
      </c>
      <c r="E374">
        <v>6162.2403161420089</v>
      </c>
      <c r="G374">
        <v>0</v>
      </c>
      <c r="I374" t="s">
        <v>31</v>
      </c>
      <c r="J374">
        <v>6162.2403161420089</v>
      </c>
      <c r="K374">
        <v>2</v>
      </c>
      <c r="L374" t="s">
        <v>83</v>
      </c>
    </row>
    <row r="375" spans="1:12" x14ac:dyDescent="0.25">
      <c r="A375">
        <v>1</v>
      </c>
      <c r="B375" t="s">
        <v>18</v>
      </c>
      <c r="C375" t="s">
        <v>82</v>
      </c>
      <c r="D375">
        <v>0</v>
      </c>
      <c r="E375">
        <v>978297</v>
      </c>
      <c r="F375">
        <v>0</v>
      </c>
      <c r="G375">
        <v>0</v>
      </c>
      <c r="I375" t="s">
        <v>14</v>
      </c>
      <c r="J375">
        <v>978297</v>
      </c>
      <c r="K375">
        <v>2</v>
      </c>
      <c r="L375" t="s">
        <v>83</v>
      </c>
    </row>
    <row r="376" spans="1:12" x14ac:dyDescent="0.25">
      <c r="A376">
        <v>1</v>
      </c>
      <c r="B376" t="s">
        <v>21</v>
      </c>
      <c r="C376" t="s">
        <v>84</v>
      </c>
      <c r="D376">
        <v>0</v>
      </c>
      <c r="E376">
        <v>75285</v>
      </c>
      <c r="F376">
        <v>0</v>
      </c>
      <c r="G376">
        <v>0</v>
      </c>
      <c r="I376" t="s">
        <v>14</v>
      </c>
      <c r="J376">
        <v>75285</v>
      </c>
      <c r="K376">
        <v>2</v>
      </c>
      <c r="L376" t="s">
        <v>57</v>
      </c>
    </row>
    <row r="377" spans="1:12" x14ac:dyDescent="0.25">
      <c r="A377">
        <v>1</v>
      </c>
      <c r="B377" t="s">
        <v>21</v>
      </c>
      <c r="C377" t="s">
        <v>84</v>
      </c>
      <c r="E377">
        <v>4833.1235992876564</v>
      </c>
      <c r="G377">
        <v>0</v>
      </c>
      <c r="I377" t="s">
        <v>31</v>
      </c>
      <c r="J377">
        <v>4833.1235992876564</v>
      </c>
      <c r="K377">
        <v>2</v>
      </c>
      <c r="L377" t="s">
        <v>57</v>
      </c>
    </row>
    <row r="378" spans="1:12" x14ac:dyDescent="0.25">
      <c r="A378">
        <v>1</v>
      </c>
      <c r="B378" t="s">
        <v>20</v>
      </c>
      <c r="C378" t="s">
        <v>84</v>
      </c>
      <c r="E378">
        <v>77822.781417889462</v>
      </c>
      <c r="G378">
        <v>0</v>
      </c>
      <c r="I378" t="s">
        <v>31</v>
      </c>
      <c r="J378">
        <v>77822.781417889462</v>
      </c>
      <c r="K378">
        <v>2</v>
      </c>
      <c r="L378" t="s">
        <v>57</v>
      </c>
    </row>
    <row r="379" spans="1:12" x14ac:dyDescent="0.25">
      <c r="A379">
        <v>1</v>
      </c>
      <c r="B379" t="s">
        <v>16</v>
      </c>
      <c r="C379" t="s">
        <v>84</v>
      </c>
      <c r="E379">
        <v>35846.323866155471</v>
      </c>
      <c r="G379">
        <v>0</v>
      </c>
      <c r="I379" t="s">
        <v>31</v>
      </c>
      <c r="J379">
        <v>35846.323866155471</v>
      </c>
      <c r="K379">
        <v>2</v>
      </c>
      <c r="L379" t="s">
        <v>57</v>
      </c>
    </row>
    <row r="380" spans="1:12" x14ac:dyDescent="0.25">
      <c r="A380">
        <v>1</v>
      </c>
      <c r="B380" t="s">
        <v>18</v>
      </c>
      <c r="C380" t="s">
        <v>84</v>
      </c>
      <c r="E380">
        <v>20955.380444788119</v>
      </c>
      <c r="G380">
        <v>0</v>
      </c>
      <c r="I380" t="s">
        <v>31</v>
      </c>
      <c r="J380">
        <v>20955.380444788119</v>
      </c>
      <c r="K380">
        <v>2</v>
      </c>
      <c r="L380" t="s">
        <v>57</v>
      </c>
    </row>
    <row r="381" spans="1:12" x14ac:dyDescent="0.25">
      <c r="A381">
        <v>1</v>
      </c>
      <c r="B381" t="s">
        <v>20</v>
      </c>
      <c r="C381" t="s">
        <v>84</v>
      </c>
      <c r="D381">
        <v>0</v>
      </c>
      <c r="E381">
        <v>1124889</v>
      </c>
      <c r="F381">
        <v>0</v>
      </c>
      <c r="G381">
        <v>0</v>
      </c>
      <c r="I381" t="s">
        <v>14</v>
      </c>
      <c r="J381">
        <v>1124889</v>
      </c>
      <c r="K381">
        <v>2</v>
      </c>
      <c r="L381" t="s">
        <v>57</v>
      </c>
    </row>
    <row r="382" spans="1:12" x14ac:dyDescent="0.25">
      <c r="A382">
        <v>1</v>
      </c>
      <c r="B382" t="s">
        <v>16</v>
      </c>
      <c r="C382" t="s">
        <v>84</v>
      </c>
      <c r="D382">
        <v>0</v>
      </c>
      <c r="E382">
        <v>499919</v>
      </c>
      <c r="F382">
        <v>0</v>
      </c>
      <c r="G382">
        <v>0</v>
      </c>
      <c r="I382" t="s">
        <v>14</v>
      </c>
      <c r="J382">
        <v>499919</v>
      </c>
      <c r="K382">
        <v>2</v>
      </c>
      <c r="L382" t="s">
        <v>57</v>
      </c>
    </row>
    <row r="383" spans="1:12" x14ac:dyDescent="0.25">
      <c r="A383">
        <v>1</v>
      </c>
      <c r="B383" t="s">
        <v>18</v>
      </c>
      <c r="C383" t="s">
        <v>84</v>
      </c>
      <c r="D383">
        <v>0</v>
      </c>
      <c r="E383">
        <v>93972</v>
      </c>
      <c r="F383">
        <v>0</v>
      </c>
      <c r="G383">
        <v>0</v>
      </c>
      <c r="I383" t="s">
        <v>14</v>
      </c>
      <c r="J383">
        <v>93972</v>
      </c>
      <c r="K383">
        <v>2</v>
      </c>
      <c r="L383" t="s">
        <v>57</v>
      </c>
    </row>
    <row r="384" spans="1:12" x14ac:dyDescent="0.25">
      <c r="A384">
        <v>1</v>
      </c>
      <c r="B384" t="s">
        <v>20</v>
      </c>
      <c r="C384" t="s">
        <v>85</v>
      </c>
      <c r="E384">
        <v>18118.547036859269</v>
      </c>
      <c r="G384">
        <v>0</v>
      </c>
      <c r="I384" t="s">
        <v>31</v>
      </c>
      <c r="J384">
        <v>18118.547036859269</v>
      </c>
      <c r="K384">
        <v>2</v>
      </c>
      <c r="L384" t="s">
        <v>59</v>
      </c>
    </row>
    <row r="385" spans="1:12" x14ac:dyDescent="0.25">
      <c r="A385">
        <v>1</v>
      </c>
      <c r="B385" t="s">
        <v>16</v>
      </c>
      <c r="C385" t="s">
        <v>85</v>
      </c>
      <c r="D385">
        <v>0</v>
      </c>
      <c r="E385">
        <v>81706</v>
      </c>
      <c r="F385">
        <v>0</v>
      </c>
      <c r="G385">
        <v>0</v>
      </c>
      <c r="I385" t="s">
        <v>14</v>
      </c>
      <c r="J385">
        <v>81706</v>
      </c>
      <c r="K385">
        <v>2</v>
      </c>
      <c r="L385" t="s">
        <v>59</v>
      </c>
    </row>
    <row r="386" spans="1:12" x14ac:dyDescent="0.25">
      <c r="A386">
        <v>1</v>
      </c>
      <c r="B386" t="s">
        <v>16</v>
      </c>
      <c r="C386" t="s">
        <v>85</v>
      </c>
      <c r="E386">
        <v>7513.579275472297</v>
      </c>
      <c r="G386">
        <v>0</v>
      </c>
      <c r="I386" t="s">
        <v>31</v>
      </c>
      <c r="J386">
        <v>7513.579275472297</v>
      </c>
      <c r="K386">
        <v>2</v>
      </c>
      <c r="L386" t="s">
        <v>59</v>
      </c>
    </row>
    <row r="387" spans="1:12" x14ac:dyDescent="0.25">
      <c r="A387">
        <v>1</v>
      </c>
      <c r="B387" t="s">
        <v>20</v>
      </c>
      <c r="C387" t="s">
        <v>85</v>
      </c>
      <c r="D387">
        <v>0</v>
      </c>
      <c r="E387">
        <v>273090</v>
      </c>
      <c r="F387">
        <v>0</v>
      </c>
      <c r="G387">
        <v>0</v>
      </c>
      <c r="I387" t="s">
        <v>14</v>
      </c>
      <c r="J387">
        <v>273090</v>
      </c>
      <c r="K387">
        <v>2</v>
      </c>
      <c r="L387" t="s">
        <v>59</v>
      </c>
    </row>
    <row r="388" spans="1:12" x14ac:dyDescent="0.25">
      <c r="A388">
        <v>1</v>
      </c>
      <c r="B388" t="s">
        <v>12</v>
      </c>
      <c r="C388" t="s">
        <v>85</v>
      </c>
      <c r="E388">
        <v>2880.9362929057797</v>
      </c>
      <c r="G388">
        <v>0</v>
      </c>
      <c r="I388" t="s">
        <v>31</v>
      </c>
      <c r="J388">
        <v>2880.9362929057797</v>
      </c>
      <c r="K388">
        <v>2</v>
      </c>
      <c r="L388" t="s">
        <v>59</v>
      </c>
    </row>
    <row r="389" spans="1:12" x14ac:dyDescent="0.25">
      <c r="A389">
        <v>1</v>
      </c>
      <c r="B389" t="s">
        <v>12</v>
      </c>
      <c r="C389" t="s">
        <v>85</v>
      </c>
      <c r="D389">
        <v>0</v>
      </c>
      <c r="E389">
        <v>68103</v>
      </c>
      <c r="F389">
        <v>0</v>
      </c>
      <c r="G389">
        <v>0</v>
      </c>
      <c r="I389" t="s">
        <v>14</v>
      </c>
      <c r="J389">
        <v>68103</v>
      </c>
      <c r="K389">
        <v>2</v>
      </c>
      <c r="L389" t="s">
        <v>59</v>
      </c>
    </row>
    <row r="390" spans="1:12" x14ac:dyDescent="0.25">
      <c r="A390">
        <v>1</v>
      </c>
      <c r="B390" t="s">
        <v>17</v>
      </c>
      <c r="C390" t="s">
        <v>86</v>
      </c>
      <c r="E390">
        <v>6057.2728813995354</v>
      </c>
      <c r="G390">
        <v>0</v>
      </c>
      <c r="I390" t="s">
        <v>31</v>
      </c>
      <c r="J390">
        <v>6057.2728813995354</v>
      </c>
      <c r="K390">
        <v>2</v>
      </c>
      <c r="L390" t="s">
        <v>61</v>
      </c>
    </row>
    <row r="391" spans="1:12" x14ac:dyDescent="0.25">
      <c r="A391">
        <v>1</v>
      </c>
      <c r="B391" t="s">
        <v>17</v>
      </c>
      <c r="C391" t="s">
        <v>86</v>
      </c>
      <c r="D391">
        <v>0</v>
      </c>
      <c r="E391">
        <v>57835</v>
      </c>
      <c r="F391">
        <v>0</v>
      </c>
      <c r="G391">
        <v>0</v>
      </c>
      <c r="I391" t="s">
        <v>14</v>
      </c>
      <c r="J391">
        <v>57835</v>
      </c>
      <c r="K391">
        <v>2</v>
      </c>
      <c r="L391" t="s">
        <v>61</v>
      </c>
    </row>
    <row r="392" spans="1:12" x14ac:dyDescent="0.25">
      <c r="A392">
        <v>1</v>
      </c>
      <c r="B392" t="s">
        <v>20</v>
      </c>
      <c r="C392" t="s">
        <v>86</v>
      </c>
      <c r="E392">
        <v>53590.425692747362</v>
      </c>
      <c r="G392">
        <v>0</v>
      </c>
      <c r="I392" t="s">
        <v>31</v>
      </c>
      <c r="J392">
        <v>53590.425692747362</v>
      </c>
      <c r="K392">
        <v>2</v>
      </c>
      <c r="L392" t="s">
        <v>61</v>
      </c>
    </row>
    <row r="393" spans="1:12" x14ac:dyDescent="0.25">
      <c r="A393">
        <v>1</v>
      </c>
      <c r="B393" t="s">
        <v>20</v>
      </c>
      <c r="C393" t="s">
        <v>86</v>
      </c>
      <c r="D393">
        <v>0</v>
      </c>
      <c r="E393">
        <v>680613</v>
      </c>
      <c r="F393">
        <v>0</v>
      </c>
      <c r="G393">
        <v>0</v>
      </c>
      <c r="I393" t="s">
        <v>14</v>
      </c>
      <c r="J393">
        <v>680613</v>
      </c>
      <c r="K393">
        <v>2</v>
      </c>
      <c r="L393" t="s">
        <v>61</v>
      </c>
    </row>
    <row r="394" spans="1:12" x14ac:dyDescent="0.25">
      <c r="A394">
        <v>1</v>
      </c>
      <c r="B394" t="s">
        <v>17</v>
      </c>
      <c r="C394" t="s">
        <v>87</v>
      </c>
      <c r="E394">
        <v>30462.277833793585</v>
      </c>
      <c r="G394">
        <v>0</v>
      </c>
      <c r="I394" t="s">
        <v>31</v>
      </c>
      <c r="J394">
        <v>30462.277833793585</v>
      </c>
      <c r="K394">
        <v>2</v>
      </c>
      <c r="L394" t="s">
        <v>88</v>
      </c>
    </row>
    <row r="395" spans="1:12" x14ac:dyDescent="0.25">
      <c r="A395">
        <v>1</v>
      </c>
      <c r="B395" t="s">
        <v>16</v>
      </c>
      <c r="C395" t="s">
        <v>87</v>
      </c>
      <c r="D395">
        <v>0</v>
      </c>
      <c r="E395">
        <v>342253</v>
      </c>
      <c r="F395">
        <v>0</v>
      </c>
      <c r="G395">
        <v>0</v>
      </c>
      <c r="I395" t="s">
        <v>14</v>
      </c>
      <c r="J395">
        <v>342253</v>
      </c>
      <c r="K395">
        <v>2</v>
      </c>
      <c r="L395" t="s">
        <v>88</v>
      </c>
    </row>
    <row r="396" spans="1:12" x14ac:dyDescent="0.25">
      <c r="A396">
        <v>1</v>
      </c>
      <c r="B396" t="s">
        <v>17</v>
      </c>
      <c r="C396" t="s">
        <v>87</v>
      </c>
      <c r="D396">
        <v>0</v>
      </c>
      <c r="E396">
        <v>165128</v>
      </c>
      <c r="F396">
        <v>0</v>
      </c>
      <c r="G396">
        <v>0</v>
      </c>
      <c r="I396" t="s">
        <v>14</v>
      </c>
      <c r="J396">
        <v>165128</v>
      </c>
      <c r="K396">
        <v>2</v>
      </c>
      <c r="L396" t="s">
        <v>88</v>
      </c>
    </row>
    <row r="397" spans="1:12" x14ac:dyDescent="0.25">
      <c r="A397">
        <v>1</v>
      </c>
      <c r="B397" t="s">
        <v>20</v>
      </c>
      <c r="C397" t="s">
        <v>87</v>
      </c>
      <c r="E397">
        <v>20374.955786755479</v>
      </c>
      <c r="G397">
        <v>0</v>
      </c>
      <c r="I397" t="s">
        <v>31</v>
      </c>
      <c r="J397">
        <v>20374.955786755479</v>
      </c>
      <c r="K397">
        <v>2</v>
      </c>
      <c r="L397" t="s">
        <v>88</v>
      </c>
    </row>
    <row r="398" spans="1:12" x14ac:dyDescent="0.25">
      <c r="A398">
        <v>1</v>
      </c>
      <c r="B398" t="s">
        <v>16</v>
      </c>
      <c r="C398" t="s">
        <v>87</v>
      </c>
      <c r="E398">
        <v>18678.621120067175</v>
      </c>
      <c r="G398">
        <v>0</v>
      </c>
      <c r="I398" t="s">
        <v>31</v>
      </c>
      <c r="J398">
        <v>18678.621120067175</v>
      </c>
      <c r="K398">
        <v>2</v>
      </c>
      <c r="L398" t="s">
        <v>88</v>
      </c>
    </row>
    <row r="399" spans="1:12" x14ac:dyDescent="0.25">
      <c r="A399">
        <v>1</v>
      </c>
      <c r="B399" t="s">
        <v>20</v>
      </c>
      <c r="C399" t="s">
        <v>87</v>
      </c>
      <c r="D399">
        <v>0</v>
      </c>
      <c r="E399">
        <v>308038</v>
      </c>
      <c r="F399">
        <v>0</v>
      </c>
      <c r="G399">
        <v>0</v>
      </c>
      <c r="I399" t="s">
        <v>14</v>
      </c>
      <c r="J399">
        <v>308038</v>
      </c>
      <c r="K399">
        <v>2</v>
      </c>
      <c r="L399" t="s">
        <v>88</v>
      </c>
    </row>
    <row r="400" spans="1:12" x14ac:dyDescent="0.25">
      <c r="A400">
        <v>1</v>
      </c>
      <c r="B400" t="s">
        <v>21</v>
      </c>
      <c r="C400" t="s">
        <v>89</v>
      </c>
      <c r="E400">
        <v>5778.3175636219112</v>
      </c>
      <c r="G400">
        <v>0</v>
      </c>
      <c r="I400" t="s">
        <v>31</v>
      </c>
      <c r="J400">
        <v>5778.3175636219112</v>
      </c>
      <c r="K400">
        <v>2</v>
      </c>
      <c r="L400" t="s">
        <v>79</v>
      </c>
    </row>
    <row r="401" spans="1:12" x14ac:dyDescent="0.25">
      <c r="A401">
        <v>1</v>
      </c>
      <c r="B401" t="s">
        <v>16</v>
      </c>
      <c r="C401" t="s">
        <v>89</v>
      </c>
      <c r="D401">
        <v>0</v>
      </c>
      <c r="E401">
        <v>333564</v>
      </c>
      <c r="F401">
        <v>0</v>
      </c>
      <c r="G401">
        <v>0</v>
      </c>
      <c r="I401" t="s">
        <v>14</v>
      </c>
      <c r="J401">
        <v>333564</v>
      </c>
      <c r="K401">
        <v>2</v>
      </c>
      <c r="L401" t="s">
        <v>79</v>
      </c>
    </row>
    <row r="402" spans="1:12" x14ac:dyDescent="0.25">
      <c r="A402">
        <v>1</v>
      </c>
      <c r="B402" t="s">
        <v>17</v>
      </c>
      <c r="C402" t="s">
        <v>89</v>
      </c>
      <c r="D402">
        <v>0</v>
      </c>
      <c r="E402">
        <v>40778</v>
      </c>
      <c r="F402">
        <v>0</v>
      </c>
      <c r="G402">
        <v>0</v>
      </c>
      <c r="I402" t="s">
        <v>14</v>
      </c>
      <c r="J402">
        <v>40778</v>
      </c>
      <c r="K402">
        <v>2</v>
      </c>
      <c r="L402" t="s">
        <v>79</v>
      </c>
    </row>
    <row r="403" spans="1:12" x14ac:dyDescent="0.25">
      <c r="A403">
        <v>1</v>
      </c>
      <c r="B403" t="s">
        <v>33</v>
      </c>
      <c r="C403" t="s">
        <v>89</v>
      </c>
      <c r="E403">
        <v>5457.0229967889345</v>
      </c>
      <c r="G403">
        <v>0</v>
      </c>
      <c r="I403" t="s">
        <v>31</v>
      </c>
      <c r="J403">
        <v>5457.0229967889345</v>
      </c>
      <c r="K403">
        <v>2</v>
      </c>
      <c r="L403" t="s">
        <v>79</v>
      </c>
    </row>
    <row r="404" spans="1:12" x14ac:dyDescent="0.25">
      <c r="A404">
        <v>1</v>
      </c>
      <c r="B404" t="s">
        <v>17</v>
      </c>
      <c r="C404" t="s">
        <v>89</v>
      </c>
      <c r="E404">
        <v>1281.1665877876587</v>
      </c>
      <c r="G404">
        <v>0</v>
      </c>
      <c r="I404" t="s">
        <v>31</v>
      </c>
      <c r="J404">
        <v>1281.1665877876587</v>
      </c>
      <c r="K404">
        <v>2</v>
      </c>
      <c r="L404" t="s">
        <v>79</v>
      </c>
    </row>
    <row r="405" spans="1:12" x14ac:dyDescent="0.25">
      <c r="A405">
        <v>1</v>
      </c>
      <c r="B405" t="s">
        <v>20</v>
      </c>
      <c r="C405" t="s">
        <v>89</v>
      </c>
      <c r="E405">
        <v>32726.795193979706</v>
      </c>
      <c r="G405">
        <v>0</v>
      </c>
      <c r="I405" t="s">
        <v>31</v>
      </c>
      <c r="J405">
        <v>32726.795193979706</v>
      </c>
      <c r="K405">
        <v>2</v>
      </c>
      <c r="L405" t="s">
        <v>79</v>
      </c>
    </row>
    <row r="406" spans="1:12" x14ac:dyDescent="0.25">
      <c r="A406">
        <v>1</v>
      </c>
      <c r="B406" t="s">
        <v>33</v>
      </c>
      <c r="C406" t="s">
        <v>89</v>
      </c>
      <c r="D406">
        <v>0</v>
      </c>
      <c r="E406">
        <v>103462</v>
      </c>
      <c r="F406">
        <v>0</v>
      </c>
      <c r="G406">
        <v>0</v>
      </c>
      <c r="I406" t="s">
        <v>14</v>
      </c>
      <c r="J406">
        <v>103462</v>
      </c>
      <c r="K406">
        <v>2</v>
      </c>
      <c r="L406" t="s">
        <v>79</v>
      </c>
    </row>
    <row r="407" spans="1:12" x14ac:dyDescent="0.25">
      <c r="A407">
        <v>1</v>
      </c>
      <c r="B407" t="s">
        <v>16</v>
      </c>
      <c r="C407" t="s">
        <v>89</v>
      </c>
      <c r="E407">
        <v>21582.334754717907</v>
      </c>
      <c r="G407">
        <v>0</v>
      </c>
      <c r="I407" t="s">
        <v>31</v>
      </c>
      <c r="J407">
        <v>21582.334754717907</v>
      </c>
      <c r="K407">
        <v>2</v>
      </c>
      <c r="L407" t="s">
        <v>79</v>
      </c>
    </row>
    <row r="408" spans="1:12" x14ac:dyDescent="0.25">
      <c r="A408">
        <v>1</v>
      </c>
      <c r="B408" t="s">
        <v>20</v>
      </c>
      <c r="C408" t="s">
        <v>89</v>
      </c>
      <c r="D408">
        <v>0</v>
      </c>
      <c r="E408">
        <v>506760</v>
      </c>
      <c r="F408">
        <v>0</v>
      </c>
      <c r="G408">
        <v>0</v>
      </c>
      <c r="I408" t="s">
        <v>14</v>
      </c>
      <c r="J408">
        <v>506760</v>
      </c>
      <c r="K408">
        <v>2</v>
      </c>
      <c r="L408" t="s">
        <v>79</v>
      </c>
    </row>
    <row r="409" spans="1:12" x14ac:dyDescent="0.25">
      <c r="A409">
        <v>1</v>
      </c>
      <c r="B409" t="s">
        <v>18</v>
      </c>
      <c r="C409" t="s">
        <v>89</v>
      </c>
      <c r="E409">
        <v>12355.954753447975</v>
      </c>
      <c r="G409">
        <v>0</v>
      </c>
      <c r="I409" t="s">
        <v>31</v>
      </c>
      <c r="J409">
        <v>12355.954753447975</v>
      </c>
      <c r="K409">
        <v>2</v>
      </c>
      <c r="L409" t="s">
        <v>79</v>
      </c>
    </row>
    <row r="410" spans="1:12" x14ac:dyDescent="0.25">
      <c r="A410">
        <v>1</v>
      </c>
      <c r="B410" t="s">
        <v>18</v>
      </c>
      <c r="C410" t="s">
        <v>89</v>
      </c>
      <c r="D410">
        <v>0</v>
      </c>
      <c r="E410">
        <v>114342</v>
      </c>
      <c r="F410">
        <v>0</v>
      </c>
      <c r="G410">
        <v>0</v>
      </c>
      <c r="I410" t="s">
        <v>14</v>
      </c>
      <c r="J410">
        <v>114342</v>
      </c>
      <c r="K410">
        <v>2</v>
      </c>
      <c r="L410" t="s">
        <v>79</v>
      </c>
    </row>
    <row r="411" spans="1:12" x14ac:dyDescent="0.25">
      <c r="A411">
        <v>1</v>
      </c>
      <c r="B411" t="s">
        <v>21</v>
      </c>
      <c r="C411" t="s">
        <v>89</v>
      </c>
      <c r="D411">
        <v>0</v>
      </c>
      <c r="E411">
        <v>103097</v>
      </c>
      <c r="F411">
        <v>0</v>
      </c>
      <c r="G411">
        <v>0</v>
      </c>
      <c r="I411" t="s">
        <v>14</v>
      </c>
      <c r="J411">
        <v>103097</v>
      </c>
      <c r="K411">
        <v>2</v>
      </c>
      <c r="L411" t="s">
        <v>79</v>
      </c>
    </row>
    <row r="412" spans="1:12" x14ac:dyDescent="0.25">
      <c r="A412">
        <v>1</v>
      </c>
      <c r="B412" t="s">
        <v>21</v>
      </c>
      <c r="C412" t="s">
        <v>90</v>
      </c>
      <c r="E412">
        <v>27592.26369069011</v>
      </c>
      <c r="G412">
        <v>0</v>
      </c>
      <c r="I412" t="s">
        <v>31</v>
      </c>
      <c r="J412">
        <v>27592.26369069011</v>
      </c>
      <c r="K412">
        <v>2</v>
      </c>
      <c r="L412" t="s">
        <v>91</v>
      </c>
    </row>
    <row r="413" spans="1:12" x14ac:dyDescent="0.25">
      <c r="A413">
        <v>1</v>
      </c>
      <c r="B413" t="s">
        <v>17</v>
      </c>
      <c r="C413" t="s">
        <v>90</v>
      </c>
      <c r="E413">
        <v>10003.283968405131</v>
      </c>
      <c r="G413">
        <v>0</v>
      </c>
      <c r="I413" t="s">
        <v>31</v>
      </c>
      <c r="J413">
        <v>10003.283968405131</v>
      </c>
      <c r="K413">
        <v>2</v>
      </c>
      <c r="L413" t="s">
        <v>91</v>
      </c>
    </row>
    <row r="414" spans="1:12" x14ac:dyDescent="0.25">
      <c r="A414">
        <v>1</v>
      </c>
      <c r="B414" t="s">
        <v>16</v>
      </c>
      <c r="C414" t="s">
        <v>90</v>
      </c>
      <c r="D414">
        <v>0</v>
      </c>
      <c r="E414">
        <v>2726505</v>
      </c>
      <c r="F414">
        <v>0</v>
      </c>
      <c r="G414">
        <v>0</v>
      </c>
      <c r="I414" t="s">
        <v>14</v>
      </c>
      <c r="J414">
        <v>2726505</v>
      </c>
      <c r="K414">
        <v>2</v>
      </c>
      <c r="L414" t="s">
        <v>91</v>
      </c>
    </row>
    <row r="415" spans="1:12" x14ac:dyDescent="0.25">
      <c r="A415">
        <v>1</v>
      </c>
      <c r="B415" t="s">
        <v>17</v>
      </c>
      <c r="C415" t="s">
        <v>90</v>
      </c>
      <c r="D415">
        <v>0</v>
      </c>
      <c r="E415">
        <v>269623</v>
      </c>
      <c r="F415">
        <v>0</v>
      </c>
      <c r="G415">
        <v>0</v>
      </c>
      <c r="I415" t="s">
        <v>14</v>
      </c>
      <c r="J415">
        <v>269623</v>
      </c>
      <c r="K415">
        <v>2</v>
      </c>
      <c r="L415" t="s">
        <v>91</v>
      </c>
    </row>
    <row r="416" spans="1:12" x14ac:dyDescent="0.25">
      <c r="A416">
        <v>1</v>
      </c>
      <c r="B416" t="s">
        <v>33</v>
      </c>
      <c r="C416" t="s">
        <v>90</v>
      </c>
      <c r="E416">
        <v>37539.798885814795</v>
      </c>
      <c r="G416">
        <v>0</v>
      </c>
      <c r="I416" t="s">
        <v>31</v>
      </c>
      <c r="J416">
        <v>37539.798885814795</v>
      </c>
      <c r="K416">
        <v>2</v>
      </c>
      <c r="L416" t="s">
        <v>91</v>
      </c>
    </row>
    <row r="417" spans="1:12" x14ac:dyDescent="0.25">
      <c r="A417">
        <v>1</v>
      </c>
      <c r="B417" t="s">
        <v>20</v>
      </c>
      <c r="C417" t="s">
        <v>90</v>
      </c>
      <c r="E417">
        <v>251023.51842020007</v>
      </c>
      <c r="G417">
        <v>0</v>
      </c>
      <c r="I417" t="s">
        <v>31</v>
      </c>
      <c r="J417">
        <v>251023.51842020007</v>
      </c>
      <c r="K417">
        <v>2</v>
      </c>
      <c r="L417" t="s">
        <v>91</v>
      </c>
    </row>
    <row r="418" spans="1:12" x14ac:dyDescent="0.25">
      <c r="A418">
        <v>1</v>
      </c>
      <c r="B418" t="s">
        <v>33</v>
      </c>
      <c r="C418" t="s">
        <v>90</v>
      </c>
      <c r="D418">
        <v>0</v>
      </c>
      <c r="E418">
        <v>185852</v>
      </c>
      <c r="F418">
        <v>0</v>
      </c>
      <c r="G418">
        <v>0</v>
      </c>
      <c r="I418" t="s">
        <v>14</v>
      </c>
      <c r="J418">
        <v>185852</v>
      </c>
      <c r="K418">
        <v>2</v>
      </c>
      <c r="L418" t="s">
        <v>91</v>
      </c>
    </row>
    <row r="419" spans="1:12" x14ac:dyDescent="0.25">
      <c r="A419">
        <v>1</v>
      </c>
      <c r="B419" t="s">
        <v>16</v>
      </c>
      <c r="C419" t="s">
        <v>90</v>
      </c>
      <c r="E419">
        <v>199628.61699085773</v>
      </c>
      <c r="G419">
        <v>0</v>
      </c>
      <c r="I419" t="s">
        <v>31</v>
      </c>
      <c r="J419">
        <v>199628.61699085773</v>
      </c>
      <c r="K419">
        <v>2</v>
      </c>
      <c r="L419" t="s">
        <v>91</v>
      </c>
    </row>
    <row r="420" spans="1:12" x14ac:dyDescent="0.25">
      <c r="A420">
        <v>1</v>
      </c>
      <c r="B420" t="s">
        <v>19</v>
      </c>
      <c r="C420" t="s">
        <v>90</v>
      </c>
      <c r="D420">
        <v>0</v>
      </c>
      <c r="E420">
        <v>81658</v>
      </c>
      <c r="F420">
        <v>0</v>
      </c>
      <c r="G420">
        <v>0</v>
      </c>
      <c r="I420" t="s">
        <v>14</v>
      </c>
      <c r="J420">
        <v>81658</v>
      </c>
      <c r="K420">
        <v>2</v>
      </c>
      <c r="L420" t="s">
        <v>91</v>
      </c>
    </row>
    <row r="421" spans="1:12" x14ac:dyDescent="0.25">
      <c r="A421">
        <v>1</v>
      </c>
      <c r="B421" t="s">
        <v>20</v>
      </c>
      <c r="C421" t="s">
        <v>90</v>
      </c>
      <c r="D421">
        <v>0</v>
      </c>
      <c r="E421">
        <v>3868109</v>
      </c>
      <c r="F421">
        <v>0</v>
      </c>
      <c r="G421">
        <v>0</v>
      </c>
      <c r="I421" t="s">
        <v>14</v>
      </c>
      <c r="J421">
        <v>3868109</v>
      </c>
      <c r="K421">
        <v>2</v>
      </c>
      <c r="L421" t="s">
        <v>91</v>
      </c>
    </row>
    <row r="422" spans="1:12" x14ac:dyDescent="0.25">
      <c r="A422">
        <v>1</v>
      </c>
      <c r="B422" t="s">
        <v>18</v>
      </c>
      <c r="C422" t="s">
        <v>90</v>
      </c>
      <c r="E422">
        <v>55452.839277005914</v>
      </c>
      <c r="G422">
        <v>0</v>
      </c>
      <c r="I422" t="s">
        <v>31</v>
      </c>
      <c r="J422">
        <v>55452.839277005914</v>
      </c>
      <c r="K422">
        <v>2</v>
      </c>
      <c r="L422" t="s">
        <v>91</v>
      </c>
    </row>
    <row r="423" spans="1:12" x14ac:dyDescent="0.25">
      <c r="A423">
        <v>1</v>
      </c>
      <c r="B423" t="s">
        <v>12</v>
      </c>
      <c r="C423" t="s">
        <v>90</v>
      </c>
      <c r="E423">
        <v>677.1354726466767</v>
      </c>
      <c r="G423">
        <v>0</v>
      </c>
      <c r="I423" t="s">
        <v>31</v>
      </c>
      <c r="J423">
        <v>677.1354726466767</v>
      </c>
      <c r="K423">
        <v>2</v>
      </c>
      <c r="L423" t="s">
        <v>91</v>
      </c>
    </row>
    <row r="424" spans="1:12" x14ac:dyDescent="0.25">
      <c r="A424">
        <v>1</v>
      </c>
      <c r="B424" t="s">
        <v>12</v>
      </c>
      <c r="C424" t="s">
        <v>90</v>
      </c>
      <c r="D424">
        <v>0</v>
      </c>
      <c r="E424">
        <v>32803</v>
      </c>
      <c r="F424">
        <v>0</v>
      </c>
      <c r="G424">
        <v>0</v>
      </c>
      <c r="I424" t="s">
        <v>14</v>
      </c>
      <c r="J424">
        <v>32803</v>
      </c>
      <c r="K424">
        <v>2</v>
      </c>
      <c r="L424" t="s">
        <v>91</v>
      </c>
    </row>
    <row r="425" spans="1:12" x14ac:dyDescent="0.25">
      <c r="A425">
        <v>1</v>
      </c>
      <c r="B425" t="s">
        <v>18</v>
      </c>
      <c r="C425" t="s">
        <v>90</v>
      </c>
      <c r="D425">
        <v>0</v>
      </c>
      <c r="E425">
        <v>285447</v>
      </c>
      <c r="F425">
        <v>0</v>
      </c>
      <c r="G425">
        <v>0</v>
      </c>
      <c r="I425" t="s">
        <v>14</v>
      </c>
      <c r="J425">
        <v>285447</v>
      </c>
      <c r="K425">
        <v>2</v>
      </c>
      <c r="L425" t="s">
        <v>91</v>
      </c>
    </row>
    <row r="426" spans="1:12" x14ac:dyDescent="0.25">
      <c r="A426">
        <v>1</v>
      </c>
      <c r="B426" t="s">
        <v>19</v>
      </c>
      <c r="C426" t="s">
        <v>90</v>
      </c>
      <c r="E426">
        <v>3940.2090686215752</v>
      </c>
      <c r="G426">
        <v>0</v>
      </c>
      <c r="I426" t="s">
        <v>31</v>
      </c>
      <c r="J426">
        <v>3940.2090686215752</v>
      </c>
      <c r="K426">
        <v>2</v>
      </c>
      <c r="L426" t="s">
        <v>91</v>
      </c>
    </row>
    <row r="427" spans="1:12" x14ac:dyDescent="0.25">
      <c r="A427">
        <v>1</v>
      </c>
      <c r="B427" t="s">
        <v>21</v>
      </c>
      <c r="C427" t="s">
        <v>90</v>
      </c>
      <c r="D427">
        <v>0</v>
      </c>
      <c r="E427">
        <v>414977</v>
      </c>
      <c r="F427">
        <v>0</v>
      </c>
      <c r="G427">
        <v>0</v>
      </c>
      <c r="I427" t="s">
        <v>14</v>
      </c>
      <c r="J427">
        <v>414977</v>
      </c>
      <c r="K427">
        <v>2</v>
      </c>
      <c r="L427" t="s">
        <v>91</v>
      </c>
    </row>
    <row r="428" spans="1:12" x14ac:dyDescent="0.25">
      <c r="A428">
        <v>1</v>
      </c>
      <c r="B428" t="s">
        <v>17</v>
      </c>
      <c r="C428" t="s">
        <v>92</v>
      </c>
      <c r="E428">
        <v>128936.19611265472</v>
      </c>
      <c r="G428">
        <v>0</v>
      </c>
      <c r="I428" t="s">
        <v>31</v>
      </c>
      <c r="J428">
        <v>128936.19611265472</v>
      </c>
      <c r="K428">
        <v>2</v>
      </c>
      <c r="L428" t="s">
        <v>83</v>
      </c>
    </row>
    <row r="429" spans="1:12" x14ac:dyDescent="0.25">
      <c r="A429">
        <v>1</v>
      </c>
      <c r="B429" t="s">
        <v>16</v>
      </c>
      <c r="C429" t="s">
        <v>92</v>
      </c>
      <c r="D429">
        <v>0</v>
      </c>
      <c r="E429">
        <v>54773050</v>
      </c>
      <c r="F429">
        <v>0</v>
      </c>
      <c r="G429">
        <v>0</v>
      </c>
      <c r="I429" t="s">
        <v>14</v>
      </c>
      <c r="J429">
        <v>54773050</v>
      </c>
      <c r="K429">
        <v>2</v>
      </c>
      <c r="L429" t="s">
        <v>83</v>
      </c>
    </row>
    <row r="430" spans="1:12" x14ac:dyDescent="0.25">
      <c r="A430">
        <v>1</v>
      </c>
      <c r="B430" t="s">
        <v>17</v>
      </c>
      <c r="C430" t="s">
        <v>92</v>
      </c>
      <c r="D430">
        <v>0</v>
      </c>
      <c r="E430">
        <v>2155908</v>
      </c>
      <c r="F430">
        <v>0</v>
      </c>
      <c r="G430">
        <v>0</v>
      </c>
      <c r="I430" t="s">
        <v>14</v>
      </c>
      <c r="J430">
        <v>2155908</v>
      </c>
      <c r="K430">
        <v>2</v>
      </c>
      <c r="L430" t="s">
        <v>83</v>
      </c>
    </row>
    <row r="431" spans="1:12" x14ac:dyDescent="0.25">
      <c r="A431">
        <v>1</v>
      </c>
      <c r="B431" t="s">
        <v>33</v>
      </c>
      <c r="C431" t="s">
        <v>92</v>
      </c>
      <c r="E431">
        <v>305947.179350844</v>
      </c>
      <c r="G431">
        <v>0</v>
      </c>
      <c r="I431" t="s">
        <v>31</v>
      </c>
      <c r="J431">
        <v>305947.179350844</v>
      </c>
      <c r="K431">
        <v>2</v>
      </c>
      <c r="L431" t="s">
        <v>83</v>
      </c>
    </row>
    <row r="432" spans="1:12" x14ac:dyDescent="0.25">
      <c r="A432">
        <v>1</v>
      </c>
      <c r="B432" t="s">
        <v>20</v>
      </c>
      <c r="C432" t="s">
        <v>92</v>
      </c>
      <c r="E432">
        <v>6859422.2204864034</v>
      </c>
      <c r="G432">
        <v>0</v>
      </c>
      <c r="I432" t="s">
        <v>31</v>
      </c>
      <c r="J432">
        <v>6859422.2204864034</v>
      </c>
      <c r="K432">
        <v>2</v>
      </c>
      <c r="L432" t="s">
        <v>83</v>
      </c>
    </row>
    <row r="433" spans="1:12" x14ac:dyDescent="0.25">
      <c r="A433">
        <v>1</v>
      </c>
      <c r="B433" t="s">
        <v>33</v>
      </c>
      <c r="C433" t="s">
        <v>92</v>
      </c>
      <c r="D433">
        <v>0</v>
      </c>
      <c r="E433">
        <v>3226604</v>
      </c>
      <c r="F433">
        <v>0</v>
      </c>
      <c r="G433">
        <v>0</v>
      </c>
      <c r="I433" t="s">
        <v>14</v>
      </c>
      <c r="J433">
        <v>3226604</v>
      </c>
      <c r="K433">
        <v>2</v>
      </c>
      <c r="L433" t="s">
        <v>83</v>
      </c>
    </row>
    <row r="434" spans="1:12" x14ac:dyDescent="0.25">
      <c r="A434">
        <v>1</v>
      </c>
      <c r="B434" t="s">
        <v>19</v>
      </c>
      <c r="C434" t="s">
        <v>92</v>
      </c>
      <c r="D434">
        <v>0</v>
      </c>
      <c r="E434">
        <v>316429</v>
      </c>
      <c r="F434">
        <v>0</v>
      </c>
      <c r="G434">
        <v>0</v>
      </c>
      <c r="I434" t="s">
        <v>14</v>
      </c>
      <c r="J434">
        <v>316429</v>
      </c>
      <c r="K434">
        <v>2</v>
      </c>
      <c r="L434" t="s">
        <v>83</v>
      </c>
    </row>
    <row r="435" spans="1:12" x14ac:dyDescent="0.25">
      <c r="A435">
        <v>1</v>
      </c>
      <c r="B435" t="s">
        <v>16</v>
      </c>
      <c r="C435" t="s">
        <v>92</v>
      </c>
      <c r="E435">
        <v>3513968.5701135471</v>
      </c>
      <c r="G435">
        <v>0</v>
      </c>
      <c r="I435" t="s">
        <v>31</v>
      </c>
      <c r="J435">
        <v>3513968.5701135471</v>
      </c>
      <c r="K435">
        <v>2</v>
      </c>
      <c r="L435" t="s">
        <v>83</v>
      </c>
    </row>
    <row r="436" spans="1:12" x14ac:dyDescent="0.25">
      <c r="A436">
        <v>1</v>
      </c>
      <c r="B436" t="s">
        <v>20</v>
      </c>
      <c r="C436" t="s">
        <v>92</v>
      </c>
      <c r="D436">
        <v>0</v>
      </c>
      <c r="E436">
        <v>103642069</v>
      </c>
      <c r="F436">
        <v>0</v>
      </c>
      <c r="G436">
        <v>0</v>
      </c>
      <c r="I436" t="s">
        <v>14</v>
      </c>
      <c r="J436">
        <v>103642069</v>
      </c>
      <c r="K436">
        <v>2</v>
      </c>
      <c r="L436" t="s">
        <v>83</v>
      </c>
    </row>
    <row r="437" spans="1:12" x14ac:dyDescent="0.25">
      <c r="A437">
        <v>1</v>
      </c>
      <c r="B437" t="s">
        <v>18</v>
      </c>
      <c r="C437" t="s">
        <v>92</v>
      </c>
      <c r="E437">
        <v>1571288.2319813941</v>
      </c>
      <c r="G437">
        <v>0</v>
      </c>
      <c r="I437" t="s">
        <v>31</v>
      </c>
      <c r="J437">
        <v>1571288.2319813941</v>
      </c>
      <c r="K437">
        <v>2</v>
      </c>
      <c r="L437" t="s">
        <v>83</v>
      </c>
    </row>
    <row r="438" spans="1:12" x14ac:dyDescent="0.25">
      <c r="A438">
        <v>1</v>
      </c>
      <c r="B438" t="s">
        <v>12</v>
      </c>
      <c r="C438" t="s">
        <v>92</v>
      </c>
      <c r="D438">
        <v>0</v>
      </c>
      <c r="E438">
        <v>907453</v>
      </c>
      <c r="F438">
        <v>0</v>
      </c>
      <c r="G438">
        <v>0</v>
      </c>
      <c r="I438" t="s">
        <v>14</v>
      </c>
      <c r="J438">
        <v>907453</v>
      </c>
      <c r="K438">
        <v>2</v>
      </c>
      <c r="L438" t="s">
        <v>83</v>
      </c>
    </row>
    <row r="439" spans="1:12" x14ac:dyDescent="0.25">
      <c r="A439">
        <v>1</v>
      </c>
      <c r="B439" t="s">
        <v>12</v>
      </c>
      <c r="C439" t="s">
        <v>92</v>
      </c>
      <c r="E439">
        <v>20581.456449633381</v>
      </c>
      <c r="G439">
        <v>0</v>
      </c>
      <c r="I439" t="s">
        <v>31</v>
      </c>
      <c r="J439">
        <v>20581.456449633381</v>
      </c>
      <c r="K439">
        <v>2</v>
      </c>
      <c r="L439" t="s">
        <v>83</v>
      </c>
    </row>
    <row r="440" spans="1:12" x14ac:dyDescent="0.25">
      <c r="A440">
        <v>1</v>
      </c>
      <c r="B440" t="s">
        <v>21</v>
      </c>
      <c r="C440" t="s">
        <v>92</v>
      </c>
      <c r="E440">
        <v>639467.71559399948</v>
      </c>
      <c r="G440">
        <v>0</v>
      </c>
      <c r="I440" t="s">
        <v>31</v>
      </c>
      <c r="J440">
        <v>639467.71559399948</v>
      </c>
      <c r="K440">
        <v>2</v>
      </c>
      <c r="L440" t="s">
        <v>83</v>
      </c>
    </row>
    <row r="441" spans="1:12" x14ac:dyDescent="0.25">
      <c r="A441">
        <v>1</v>
      </c>
      <c r="B441" t="s">
        <v>18</v>
      </c>
      <c r="C441" t="s">
        <v>92</v>
      </c>
      <c r="D441">
        <v>0</v>
      </c>
      <c r="E441">
        <v>17559959</v>
      </c>
      <c r="F441">
        <v>0</v>
      </c>
      <c r="G441">
        <v>0</v>
      </c>
      <c r="I441" t="s">
        <v>14</v>
      </c>
      <c r="J441">
        <v>17559959</v>
      </c>
      <c r="K441">
        <v>2</v>
      </c>
      <c r="L441" t="s">
        <v>83</v>
      </c>
    </row>
    <row r="442" spans="1:12" x14ac:dyDescent="0.25">
      <c r="A442">
        <v>1</v>
      </c>
      <c r="B442" t="s">
        <v>19</v>
      </c>
      <c r="C442" t="s">
        <v>92</v>
      </c>
      <c r="E442">
        <v>15268.51521436793</v>
      </c>
      <c r="G442">
        <v>0</v>
      </c>
      <c r="I442" t="s">
        <v>31</v>
      </c>
      <c r="J442">
        <v>15268.51521436793</v>
      </c>
      <c r="K442">
        <v>2</v>
      </c>
      <c r="L442" t="s">
        <v>83</v>
      </c>
    </row>
    <row r="443" spans="1:12" x14ac:dyDescent="0.25">
      <c r="A443">
        <v>1</v>
      </c>
      <c r="B443" t="s">
        <v>21</v>
      </c>
      <c r="C443" t="s">
        <v>92</v>
      </c>
      <c r="D443">
        <v>0</v>
      </c>
      <c r="E443">
        <v>9022866</v>
      </c>
      <c r="F443">
        <v>0</v>
      </c>
      <c r="G443">
        <v>0</v>
      </c>
      <c r="I443" t="s">
        <v>14</v>
      </c>
      <c r="J443">
        <v>9022866</v>
      </c>
      <c r="K443">
        <v>2</v>
      </c>
      <c r="L443" t="s">
        <v>83</v>
      </c>
    </row>
    <row r="444" spans="1:12" x14ac:dyDescent="0.25">
      <c r="A444">
        <v>1</v>
      </c>
      <c r="B444" t="s">
        <v>19</v>
      </c>
      <c r="C444" t="s">
        <v>93</v>
      </c>
      <c r="D444">
        <v>0</v>
      </c>
      <c r="E444">
        <v>143622</v>
      </c>
      <c r="F444">
        <v>0</v>
      </c>
      <c r="G444">
        <v>0</v>
      </c>
      <c r="I444" t="s">
        <v>14</v>
      </c>
      <c r="J444">
        <v>143622</v>
      </c>
      <c r="K444">
        <v>2</v>
      </c>
      <c r="L444" t="s">
        <v>57</v>
      </c>
    </row>
    <row r="445" spans="1:12" x14ac:dyDescent="0.25">
      <c r="A445">
        <v>1</v>
      </c>
      <c r="B445" t="s">
        <v>21</v>
      </c>
      <c r="C445" t="s">
        <v>94</v>
      </c>
      <c r="E445">
        <v>14685.872528160358</v>
      </c>
      <c r="G445">
        <v>0</v>
      </c>
      <c r="I445" t="s">
        <v>31</v>
      </c>
      <c r="J445">
        <v>14685.872528160358</v>
      </c>
      <c r="K445">
        <v>2</v>
      </c>
      <c r="L445" t="s">
        <v>59</v>
      </c>
    </row>
    <row r="446" spans="1:12" x14ac:dyDescent="0.25">
      <c r="A446">
        <v>1</v>
      </c>
      <c r="B446" t="s">
        <v>16</v>
      </c>
      <c r="C446" t="s">
        <v>94</v>
      </c>
      <c r="D446">
        <v>0</v>
      </c>
      <c r="E446">
        <v>333863</v>
      </c>
      <c r="F446">
        <v>0</v>
      </c>
      <c r="G446">
        <v>0</v>
      </c>
      <c r="I446" t="s">
        <v>14</v>
      </c>
      <c r="J446">
        <v>333863</v>
      </c>
      <c r="K446">
        <v>2</v>
      </c>
      <c r="L446" t="s">
        <v>59</v>
      </c>
    </row>
    <row r="447" spans="1:12" x14ac:dyDescent="0.25">
      <c r="A447">
        <v>1</v>
      </c>
      <c r="B447" t="s">
        <v>20</v>
      </c>
      <c r="C447" t="s">
        <v>94</v>
      </c>
      <c r="E447">
        <v>102712.15628630338</v>
      </c>
      <c r="G447">
        <v>0</v>
      </c>
      <c r="I447" t="s">
        <v>31</v>
      </c>
      <c r="J447">
        <v>102712.15628630338</v>
      </c>
      <c r="K447">
        <v>2</v>
      </c>
      <c r="L447" t="s">
        <v>59</v>
      </c>
    </row>
    <row r="448" spans="1:12" x14ac:dyDescent="0.25">
      <c r="A448">
        <v>1</v>
      </c>
      <c r="B448" t="s">
        <v>16</v>
      </c>
      <c r="C448" t="s">
        <v>94</v>
      </c>
      <c r="E448">
        <v>18256.436710051144</v>
      </c>
      <c r="G448">
        <v>0</v>
      </c>
      <c r="I448" t="s">
        <v>31</v>
      </c>
      <c r="J448">
        <v>18256.436710051144</v>
      </c>
      <c r="K448">
        <v>2</v>
      </c>
      <c r="L448" t="s">
        <v>59</v>
      </c>
    </row>
    <row r="449" spans="1:12" x14ac:dyDescent="0.25">
      <c r="A449">
        <v>1</v>
      </c>
      <c r="B449" t="s">
        <v>20</v>
      </c>
      <c r="C449" t="s">
        <v>94</v>
      </c>
      <c r="D449">
        <v>0</v>
      </c>
      <c r="E449">
        <v>1326205</v>
      </c>
      <c r="F449">
        <v>0</v>
      </c>
      <c r="G449">
        <v>0</v>
      </c>
      <c r="I449" t="s">
        <v>14</v>
      </c>
      <c r="J449">
        <v>1326205</v>
      </c>
      <c r="K449">
        <v>2</v>
      </c>
      <c r="L449" t="s">
        <v>59</v>
      </c>
    </row>
    <row r="450" spans="1:12" x14ac:dyDescent="0.25">
      <c r="A450">
        <v>1</v>
      </c>
      <c r="B450" t="s">
        <v>18</v>
      </c>
      <c r="C450" t="s">
        <v>94</v>
      </c>
      <c r="E450">
        <v>15154.420859870632</v>
      </c>
      <c r="G450">
        <v>0</v>
      </c>
      <c r="I450" t="s">
        <v>31</v>
      </c>
      <c r="J450">
        <v>15154.420859870632</v>
      </c>
      <c r="K450">
        <v>2</v>
      </c>
      <c r="L450" t="s">
        <v>59</v>
      </c>
    </row>
    <row r="451" spans="1:12" x14ac:dyDescent="0.25">
      <c r="A451">
        <v>1</v>
      </c>
      <c r="B451" t="s">
        <v>18</v>
      </c>
      <c r="C451" t="s">
        <v>94</v>
      </c>
      <c r="D451">
        <v>0</v>
      </c>
      <c r="E451">
        <v>121990</v>
      </c>
      <c r="F451">
        <v>0</v>
      </c>
      <c r="G451">
        <v>0</v>
      </c>
      <c r="I451" t="s">
        <v>14</v>
      </c>
      <c r="J451">
        <v>121990</v>
      </c>
      <c r="K451">
        <v>2</v>
      </c>
      <c r="L451" t="s">
        <v>59</v>
      </c>
    </row>
    <row r="452" spans="1:12" x14ac:dyDescent="0.25">
      <c r="A452">
        <v>1</v>
      </c>
      <c r="B452" t="s">
        <v>21</v>
      </c>
      <c r="C452" t="s">
        <v>94</v>
      </c>
      <c r="D452">
        <v>0</v>
      </c>
      <c r="E452">
        <v>209896</v>
      </c>
      <c r="F452">
        <v>0</v>
      </c>
      <c r="G452">
        <v>0</v>
      </c>
      <c r="I452" t="s">
        <v>14</v>
      </c>
      <c r="J452">
        <v>209896</v>
      </c>
      <c r="K452">
        <v>2</v>
      </c>
      <c r="L452" t="s">
        <v>59</v>
      </c>
    </row>
    <row r="453" spans="1:12" x14ac:dyDescent="0.25">
      <c r="A453">
        <v>1</v>
      </c>
      <c r="B453" t="s">
        <v>21</v>
      </c>
      <c r="C453" t="s">
        <v>95</v>
      </c>
      <c r="E453">
        <v>913.30146329204865</v>
      </c>
      <c r="G453">
        <v>0</v>
      </c>
      <c r="I453" t="s">
        <v>31</v>
      </c>
      <c r="J453">
        <v>913.30146329204865</v>
      </c>
      <c r="K453">
        <v>2</v>
      </c>
      <c r="L453" t="s">
        <v>88</v>
      </c>
    </row>
    <row r="454" spans="1:12" x14ac:dyDescent="0.25">
      <c r="A454">
        <v>1</v>
      </c>
      <c r="B454" t="s">
        <v>16</v>
      </c>
      <c r="C454" t="s">
        <v>95</v>
      </c>
      <c r="D454">
        <v>0</v>
      </c>
      <c r="E454">
        <v>34132</v>
      </c>
      <c r="F454">
        <v>0</v>
      </c>
      <c r="G454">
        <v>0</v>
      </c>
      <c r="I454" t="s">
        <v>14</v>
      </c>
      <c r="J454">
        <v>34132</v>
      </c>
      <c r="K454">
        <v>2</v>
      </c>
      <c r="L454" t="s">
        <v>88</v>
      </c>
    </row>
    <row r="455" spans="1:12" x14ac:dyDescent="0.25">
      <c r="A455">
        <v>1</v>
      </c>
      <c r="B455" t="s">
        <v>16</v>
      </c>
      <c r="C455" t="s">
        <v>95</v>
      </c>
      <c r="E455">
        <v>2702.1328365708655</v>
      </c>
      <c r="G455">
        <v>0</v>
      </c>
      <c r="I455" t="s">
        <v>31</v>
      </c>
      <c r="J455">
        <v>2702.1328365708655</v>
      </c>
      <c r="K455">
        <v>2</v>
      </c>
      <c r="L455" t="s">
        <v>88</v>
      </c>
    </row>
    <row r="456" spans="1:12" x14ac:dyDescent="0.25">
      <c r="A456">
        <v>1</v>
      </c>
      <c r="B456" t="s">
        <v>21</v>
      </c>
      <c r="C456" t="s">
        <v>95</v>
      </c>
      <c r="D456">
        <v>0</v>
      </c>
      <c r="E456">
        <v>26977</v>
      </c>
      <c r="F456">
        <v>0</v>
      </c>
      <c r="G456">
        <v>0</v>
      </c>
      <c r="I456" t="s">
        <v>14</v>
      </c>
      <c r="J456">
        <v>26977</v>
      </c>
      <c r="K456">
        <v>2</v>
      </c>
      <c r="L456" t="s">
        <v>88</v>
      </c>
    </row>
    <row r="457" spans="1:12" x14ac:dyDescent="0.25">
      <c r="A457">
        <v>1</v>
      </c>
      <c r="B457" t="s">
        <v>16</v>
      </c>
      <c r="C457" t="s">
        <v>96</v>
      </c>
      <c r="D457">
        <v>0</v>
      </c>
      <c r="E457">
        <v>940403</v>
      </c>
      <c r="F457">
        <v>0</v>
      </c>
      <c r="G457">
        <v>0</v>
      </c>
      <c r="I457" t="s">
        <v>14</v>
      </c>
      <c r="J457">
        <v>940403</v>
      </c>
      <c r="K457">
        <v>2</v>
      </c>
      <c r="L457" t="s">
        <v>79</v>
      </c>
    </row>
    <row r="458" spans="1:12" x14ac:dyDescent="0.25">
      <c r="A458">
        <v>1</v>
      </c>
      <c r="B458" t="s">
        <v>17</v>
      </c>
      <c r="C458" t="s">
        <v>96</v>
      </c>
      <c r="E458">
        <v>1481.5825391216492</v>
      </c>
      <c r="G458">
        <v>0</v>
      </c>
      <c r="I458" t="s">
        <v>31</v>
      </c>
      <c r="J458">
        <v>1481.5825391216492</v>
      </c>
      <c r="K458">
        <v>2</v>
      </c>
      <c r="L458" t="s">
        <v>79</v>
      </c>
    </row>
    <row r="459" spans="1:12" x14ac:dyDescent="0.25">
      <c r="A459">
        <v>1</v>
      </c>
      <c r="B459" t="s">
        <v>17</v>
      </c>
      <c r="C459" t="s">
        <v>96</v>
      </c>
      <c r="D459">
        <v>0</v>
      </c>
      <c r="E459">
        <v>47157</v>
      </c>
      <c r="F459">
        <v>0</v>
      </c>
      <c r="G459">
        <v>0</v>
      </c>
      <c r="I459" t="s">
        <v>14</v>
      </c>
      <c r="J459">
        <v>47157</v>
      </c>
      <c r="K459">
        <v>2</v>
      </c>
      <c r="L459" t="s">
        <v>79</v>
      </c>
    </row>
    <row r="460" spans="1:12" x14ac:dyDescent="0.25">
      <c r="A460">
        <v>1</v>
      </c>
      <c r="B460" t="s">
        <v>19</v>
      </c>
      <c r="C460" t="s">
        <v>96</v>
      </c>
      <c r="D460">
        <v>0</v>
      </c>
      <c r="E460">
        <v>211240</v>
      </c>
      <c r="F460">
        <v>0</v>
      </c>
      <c r="G460">
        <v>0</v>
      </c>
      <c r="I460" t="s">
        <v>14</v>
      </c>
      <c r="J460">
        <v>211240</v>
      </c>
      <c r="K460">
        <v>2</v>
      </c>
      <c r="L460" t="s">
        <v>79</v>
      </c>
    </row>
    <row r="461" spans="1:12" x14ac:dyDescent="0.25">
      <c r="A461">
        <v>1</v>
      </c>
      <c r="B461" t="s">
        <v>20</v>
      </c>
      <c r="C461" t="s">
        <v>96</v>
      </c>
      <c r="E461">
        <v>67651.788950780028</v>
      </c>
      <c r="G461">
        <v>0</v>
      </c>
      <c r="I461" t="s">
        <v>31</v>
      </c>
      <c r="J461">
        <v>67651.788950780028</v>
      </c>
      <c r="K461">
        <v>2</v>
      </c>
      <c r="L461" t="s">
        <v>79</v>
      </c>
    </row>
    <row r="462" spans="1:12" x14ac:dyDescent="0.25">
      <c r="A462">
        <v>1</v>
      </c>
      <c r="B462" t="s">
        <v>16</v>
      </c>
      <c r="C462" t="s">
        <v>96</v>
      </c>
      <c r="E462">
        <v>76259.580683268883</v>
      </c>
      <c r="G462">
        <v>0</v>
      </c>
      <c r="I462" t="s">
        <v>31</v>
      </c>
      <c r="J462">
        <v>76259.580683268883</v>
      </c>
      <c r="K462">
        <v>2</v>
      </c>
      <c r="L462" t="s">
        <v>79</v>
      </c>
    </row>
    <row r="463" spans="1:12" x14ac:dyDescent="0.25">
      <c r="A463">
        <v>1</v>
      </c>
      <c r="B463" t="s">
        <v>20</v>
      </c>
      <c r="C463" t="s">
        <v>96</v>
      </c>
      <c r="D463">
        <v>0</v>
      </c>
      <c r="E463">
        <v>991930</v>
      </c>
      <c r="F463">
        <v>0</v>
      </c>
      <c r="G463">
        <v>0</v>
      </c>
      <c r="I463" t="s">
        <v>14</v>
      </c>
      <c r="J463">
        <v>991930</v>
      </c>
      <c r="K463">
        <v>2</v>
      </c>
      <c r="L463" t="s">
        <v>79</v>
      </c>
    </row>
    <row r="464" spans="1:12" x14ac:dyDescent="0.25">
      <c r="A464">
        <v>1</v>
      </c>
      <c r="B464" t="s">
        <v>18</v>
      </c>
      <c r="C464" t="s">
        <v>96</v>
      </c>
      <c r="E464">
        <v>26611.353049404272</v>
      </c>
      <c r="G464">
        <v>0</v>
      </c>
      <c r="I464" t="s">
        <v>31</v>
      </c>
      <c r="J464">
        <v>26611.353049404272</v>
      </c>
      <c r="K464">
        <v>2</v>
      </c>
      <c r="L464" t="s">
        <v>79</v>
      </c>
    </row>
    <row r="465" spans="1:12" x14ac:dyDescent="0.25">
      <c r="A465">
        <v>1</v>
      </c>
      <c r="B465" t="s">
        <v>18</v>
      </c>
      <c r="C465" t="s">
        <v>96</v>
      </c>
      <c r="D465">
        <v>0</v>
      </c>
      <c r="E465">
        <v>95185</v>
      </c>
      <c r="F465">
        <v>0</v>
      </c>
      <c r="G465">
        <v>0</v>
      </c>
      <c r="I465" t="s">
        <v>14</v>
      </c>
      <c r="J465">
        <v>95185</v>
      </c>
      <c r="K465">
        <v>2</v>
      </c>
      <c r="L465" t="s">
        <v>79</v>
      </c>
    </row>
    <row r="466" spans="1:12" x14ac:dyDescent="0.25">
      <c r="A466">
        <v>1</v>
      </c>
      <c r="B466" t="s">
        <v>19</v>
      </c>
      <c r="C466" t="s">
        <v>96</v>
      </c>
      <c r="E466">
        <v>10192.874717181679</v>
      </c>
      <c r="G466">
        <v>0</v>
      </c>
      <c r="I466" t="s">
        <v>31</v>
      </c>
      <c r="J466">
        <v>10192.874717181679</v>
      </c>
      <c r="K466">
        <v>2</v>
      </c>
      <c r="L466" t="s">
        <v>79</v>
      </c>
    </row>
    <row r="467" spans="1:12" x14ac:dyDescent="0.25">
      <c r="A467">
        <v>1</v>
      </c>
      <c r="B467" t="s">
        <v>21</v>
      </c>
      <c r="C467" t="s">
        <v>97</v>
      </c>
      <c r="E467">
        <v>34265.666358908929</v>
      </c>
      <c r="G467">
        <v>0</v>
      </c>
      <c r="I467" t="s">
        <v>31</v>
      </c>
      <c r="J467">
        <v>34265.666358908929</v>
      </c>
      <c r="K467">
        <v>2</v>
      </c>
      <c r="L467" t="s">
        <v>91</v>
      </c>
    </row>
    <row r="468" spans="1:12" x14ac:dyDescent="0.25">
      <c r="A468">
        <v>1</v>
      </c>
      <c r="B468" t="s">
        <v>16</v>
      </c>
      <c r="C468" t="s">
        <v>97</v>
      </c>
      <c r="D468">
        <v>0</v>
      </c>
      <c r="E468">
        <v>1391405</v>
      </c>
      <c r="F468">
        <v>0</v>
      </c>
      <c r="G468">
        <v>0</v>
      </c>
      <c r="I468" t="s">
        <v>14</v>
      </c>
      <c r="J468">
        <v>1391405</v>
      </c>
      <c r="K468">
        <v>2</v>
      </c>
      <c r="L468" t="s">
        <v>91</v>
      </c>
    </row>
    <row r="469" spans="1:12" x14ac:dyDescent="0.25">
      <c r="A469">
        <v>1</v>
      </c>
      <c r="B469" t="s">
        <v>20</v>
      </c>
      <c r="C469" t="s">
        <v>97</v>
      </c>
      <c r="E469">
        <v>186412.67225122941</v>
      </c>
      <c r="G469">
        <v>0</v>
      </c>
      <c r="I469" t="s">
        <v>31</v>
      </c>
      <c r="J469">
        <v>186412.67225122941</v>
      </c>
      <c r="K469">
        <v>2</v>
      </c>
      <c r="L469" t="s">
        <v>91</v>
      </c>
    </row>
    <row r="470" spans="1:12" x14ac:dyDescent="0.25">
      <c r="A470">
        <v>1</v>
      </c>
      <c r="B470" t="s">
        <v>16</v>
      </c>
      <c r="C470" t="s">
        <v>97</v>
      </c>
      <c r="E470">
        <v>86803.007747325522</v>
      </c>
      <c r="G470">
        <v>0</v>
      </c>
      <c r="I470" t="s">
        <v>31</v>
      </c>
      <c r="J470">
        <v>86803.007747325522</v>
      </c>
      <c r="K470">
        <v>2</v>
      </c>
      <c r="L470" t="s">
        <v>91</v>
      </c>
    </row>
    <row r="471" spans="1:12" x14ac:dyDescent="0.25">
      <c r="A471">
        <v>1</v>
      </c>
      <c r="B471" t="s">
        <v>20</v>
      </c>
      <c r="C471" t="s">
        <v>97</v>
      </c>
      <c r="D471">
        <v>0</v>
      </c>
      <c r="E471">
        <v>3140471</v>
      </c>
      <c r="F471">
        <v>0</v>
      </c>
      <c r="G471">
        <v>0</v>
      </c>
      <c r="I471" t="s">
        <v>14</v>
      </c>
      <c r="J471">
        <v>3140471</v>
      </c>
      <c r="K471">
        <v>2</v>
      </c>
      <c r="L471" t="s">
        <v>91</v>
      </c>
    </row>
    <row r="472" spans="1:12" x14ac:dyDescent="0.25">
      <c r="A472">
        <v>1</v>
      </c>
      <c r="B472" t="s">
        <v>18</v>
      </c>
      <c r="C472" t="s">
        <v>97</v>
      </c>
      <c r="E472">
        <v>37404.132013471797</v>
      </c>
      <c r="G472">
        <v>0</v>
      </c>
      <c r="I472" t="s">
        <v>31</v>
      </c>
      <c r="J472">
        <v>37404.132013471797</v>
      </c>
      <c r="K472">
        <v>2</v>
      </c>
      <c r="L472" t="s">
        <v>91</v>
      </c>
    </row>
    <row r="473" spans="1:12" x14ac:dyDescent="0.25">
      <c r="A473">
        <v>1</v>
      </c>
      <c r="B473" t="s">
        <v>12</v>
      </c>
      <c r="C473" t="s">
        <v>97</v>
      </c>
      <c r="D473">
        <v>0</v>
      </c>
      <c r="E473">
        <v>154554</v>
      </c>
      <c r="F473">
        <v>0</v>
      </c>
      <c r="G473">
        <v>0</v>
      </c>
      <c r="I473" t="s">
        <v>14</v>
      </c>
      <c r="J473">
        <v>154554</v>
      </c>
      <c r="K473">
        <v>2</v>
      </c>
      <c r="L473" t="s">
        <v>91</v>
      </c>
    </row>
    <row r="474" spans="1:12" x14ac:dyDescent="0.25">
      <c r="A474">
        <v>1</v>
      </c>
      <c r="B474" t="s">
        <v>12</v>
      </c>
      <c r="C474" t="s">
        <v>97</v>
      </c>
      <c r="E474">
        <v>2862.8647490553562</v>
      </c>
      <c r="G474">
        <v>0</v>
      </c>
      <c r="I474" t="s">
        <v>31</v>
      </c>
      <c r="J474">
        <v>2862.8647490553562</v>
      </c>
      <c r="K474">
        <v>2</v>
      </c>
      <c r="L474" t="s">
        <v>91</v>
      </c>
    </row>
    <row r="475" spans="1:12" x14ac:dyDescent="0.25">
      <c r="A475">
        <v>1</v>
      </c>
      <c r="B475" t="s">
        <v>18</v>
      </c>
      <c r="C475" t="s">
        <v>97</v>
      </c>
      <c r="D475">
        <v>0</v>
      </c>
      <c r="E475">
        <v>333798</v>
      </c>
      <c r="F475">
        <v>0</v>
      </c>
      <c r="G475">
        <v>0</v>
      </c>
      <c r="I475" t="s">
        <v>14</v>
      </c>
      <c r="J475">
        <v>333798</v>
      </c>
      <c r="K475">
        <v>2</v>
      </c>
      <c r="L475" t="s">
        <v>91</v>
      </c>
    </row>
    <row r="476" spans="1:12" x14ac:dyDescent="0.25">
      <c r="A476">
        <v>1</v>
      </c>
      <c r="B476" t="s">
        <v>21</v>
      </c>
      <c r="C476" t="s">
        <v>97</v>
      </c>
      <c r="D476">
        <v>0</v>
      </c>
      <c r="E476">
        <v>379421</v>
      </c>
      <c r="F476">
        <v>0</v>
      </c>
      <c r="G476">
        <v>0</v>
      </c>
      <c r="I476" t="s">
        <v>14</v>
      </c>
      <c r="J476">
        <v>379421</v>
      </c>
      <c r="K476">
        <v>2</v>
      </c>
      <c r="L476" t="s">
        <v>91</v>
      </c>
    </row>
    <row r="477" spans="1:12" x14ac:dyDescent="0.25">
      <c r="A477">
        <v>1</v>
      </c>
      <c r="B477" t="s">
        <v>21</v>
      </c>
      <c r="C477" t="s">
        <v>98</v>
      </c>
      <c r="E477">
        <v>449418.31856331864</v>
      </c>
      <c r="G477">
        <v>0</v>
      </c>
      <c r="I477" t="s">
        <v>31</v>
      </c>
      <c r="J477">
        <v>449418.31856331864</v>
      </c>
      <c r="K477">
        <v>2</v>
      </c>
      <c r="L477" t="s">
        <v>83</v>
      </c>
    </row>
    <row r="478" spans="1:12" x14ac:dyDescent="0.25">
      <c r="A478">
        <v>1</v>
      </c>
      <c r="B478" t="s">
        <v>16</v>
      </c>
      <c r="C478" t="s">
        <v>98</v>
      </c>
      <c r="D478">
        <v>0</v>
      </c>
      <c r="E478">
        <v>39230177</v>
      </c>
      <c r="F478">
        <v>0</v>
      </c>
      <c r="G478">
        <v>0</v>
      </c>
      <c r="I478" t="s">
        <v>14</v>
      </c>
      <c r="J478">
        <v>39230177</v>
      </c>
      <c r="K478">
        <v>2</v>
      </c>
      <c r="L478" t="s">
        <v>83</v>
      </c>
    </row>
    <row r="479" spans="1:12" x14ac:dyDescent="0.25">
      <c r="A479">
        <v>1</v>
      </c>
      <c r="B479" t="s">
        <v>17</v>
      </c>
      <c r="C479" t="s">
        <v>98</v>
      </c>
      <c r="E479">
        <v>93103.926610410679</v>
      </c>
      <c r="G479">
        <v>0</v>
      </c>
      <c r="I479" t="s">
        <v>31</v>
      </c>
      <c r="J479">
        <v>93103.926610410679</v>
      </c>
      <c r="K479">
        <v>2</v>
      </c>
      <c r="L479" t="s">
        <v>83</v>
      </c>
    </row>
    <row r="480" spans="1:12" x14ac:dyDescent="0.25">
      <c r="A480">
        <v>1</v>
      </c>
      <c r="B480" t="s">
        <v>17</v>
      </c>
      <c r="C480" t="s">
        <v>98</v>
      </c>
      <c r="D480">
        <v>0</v>
      </c>
      <c r="E480">
        <v>1814446</v>
      </c>
      <c r="F480">
        <v>0</v>
      </c>
      <c r="G480">
        <v>0</v>
      </c>
      <c r="I480" t="s">
        <v>14</v>
      </c>
      <c r="J480">
        <v>1814446</v>
      </c>
      <c r="K480">
        <v>2</v>
      </c>
      <c r="L480" t="s">
        <v>83</v>
      </c>
    </row>
    <row r="481" spans="1:12" x14ac:dyDescent="0.25">
      <c r="A481">
        <v>1</v>
      </c>
      <c r="B481" t="s">
        <v>33</v>
      </c>
      <c r="C481" t="s">
        <v>98</v>
      </c>
      <c r="E481">
        <v>70732.683452721394</v>
      </c>
      <c r="G481">
        <v>0</v>
      </c>
      <c r="I481" t="s">
        <v>31</v>
      </c>
      <c r="J481">
        <v>70732.683452721394</v>
      </c>
      <c r="K481">
        <v>2</v>
      </c>
      <c r="L481" t="s">
        <v>83</v>
      </c>
    </row>
    <row r="482" spans="1:12" x14ac:dyDescent="0.25">
      <c r="A482">
        <v>1</v>
      </c>
      <c r="B482" t="s">
        <v>20</v>
      </c>
      <c r="C482" t="s">
        <v>98</v>
      </c>
      <c r="E482">
        <v>4818600.379252349</v>
      </c>
      <c r="G482">
        <v>0</v>
      </c>
      <c r="I482" t="s">
        <v>31</v>
      </c>
      <c r="J482">
        <v>4818600.379252349</v>
      </c>
      <c r="K482">
        <v>2</v>
      </c>
      <c r="L482" t="s">
        <v>83</v>
      </c>
    </row>
    <row r="483" spans="1:12" x14ac:dyDescent="0.25">
      <c r="A483">
        <v>1</v>
      </c>
      <c r="B483" t="s">
        <v>33</v>
      </c>
      <c r="C483" t="s">
        <v>98</v>
      </c>
      <c r="D483">
        <v>0</v>
      </c>
      <c r="E483">
        <v>1086303</v>
      </c>
      <c r="F483">
        <v>0</v>
      </c>
      <c r="G483">
        <v>0</v>
      </c>
      <c r="I483" t="s">
        <v>14</v>
      </c>
      <c r="J483">
        <v>1086303</v>
      </c>
      <c r="K483">
        <v>2</v>
      </c>
      <c r="L483" t="s">
        <v>83</v>
      </c>
    </row>
    <row r="484" spans="1:12" x14ac:dyDescent="0.25">
      <c r="A484">
        <v>1</v>
      </c>
      <c r="B484" t="s">
        <v>16</v>
      </c>
      <c r="C484" t="s">
        <v>98</v>
      </c>
      <c r="E484">
        <v>2500997.5763545861</v>
      </c>
      <c r="G484">
        <v>0</v>
      </c>
      <c r="I484" t="s">
        <v>31</v>
      </c>
      <c r="J484">
        <v>2500997.5763545861</v>
      </c>
      <c r="K484">
        <v>2</v>
      </c>
      <c r="L484" t="s">
        <v>83</v>
      </c>
    </row>
    <row r="485" spans="1:12" x14ac:dyDescent="0.25">
      <c r="A485">
        <v>1</v>
      </c>
      <c r="B485" t="s">
        <v>20</v>
      </c>
      <c r="C485" t="s">
        <v>98</v>
      </c>
      <c r="D485">
        <v>0</v>
      </c>
      <c r="E485">
        <v>73105156</v>
      </c>
      <c r="F485">
        <v>0</v>
      </c>
      <c r="G485">
        <v>0</v>
      </c>
      <c r="I485" t="s">
        <v>14</v>
      </c>
      <c r="J485">
        <v>73105156</v>
      </c>
      <c r="K485">
        <v>2</v>
      </c>
      <c r="L485" t="s">
        <v>83</v>
      </c>
    </row>
    <row r="486" spans="1:12" x14ac:dyDescent="0.25">
      <c r="A486">
        <v>1</v>
      </c>
      <c r="B486" t="s">
        <v>18</v>
      </c>
      <c r="C486" t="s">
        <v>98</v>
      </c>
      <c r="E486">
        <v>1241661.4589925581</v>
      </c>
      <c r="G486">
        <v>0</v>
      </c>
      <c r="I486" t="s">
        <v>31</v>
      </c>
      <c r="J486">
        <v>1241661.4589925581</v>
      </c>
      <c r="K486">
        <v>2</v>
      </c>
      <c r="L486" t="s">
        <v>83</v>
      </c>
    </row>
    <row r="487" spans="1:12" x14ac:dyDescent="0.25">
      <c r="A487">
        <v>1</v>
      </c>
      <c r="B487" t="s">
        <v>12</v>
      </c>
      <c r="C487" t="s">
        <v>98</v>
      </c>
      <c r="D487">
        <v>0</v>
      </c>
      <c r="E487">
        <v>723359</v>
      </c>
      <c r="F487">
        <v>0</v>
      </c>
      <c r="G487">
        <v>0</v>
      </c>
      <c r="I487" t="s">
        <v>14</v>
      </c>
      <c r="J487">
        <v>723359</v>
      </c>
      <c r="K487">
        <v>2</v>
      </c>
      <c r="L487" t="s">
        <v>83</v>
      </c>
    </row>
    <row r="488" spans="1:12" x14ac:dyDescent="0.25">
      <c r="A488">
        <v>1</v>
      </c>
      <c r="B488" t="s">
        <v>18</v>
      </c>
      <c r="C488" t="s">
        <v>98</v>
      </c>
      <c r="D488">
        <v>0</v>
      </c>
      <c r="E488">
        <v>13129756</v>
      </c>
      <c r="F488">
        <v>0</v>
      </c>
      <c r="G488">
        <v>0</v>
      </c>
      <c r="I488" t="s">
        <v>14</v>
      </c>
      <c r="J488">
        <v>13129756</v>
      </c>
      <c r="K488">
        <v>2</v>
      </c>
      <c r="L488" t="s">
        <v>83</v>
      </c>
    </row>
    <row r="489" spans="1:12" x14ac:dyDescent="0.25">
      <c r="A489">
        <v>1</v>
      </c>
      <c r="B489" t="s">
        <v>12</v>
      </c>
      <c r="C489" t="s">
        <v>98</v>
      </c>
      <c r="E489">
        <v>17765.453845908454</v>
      </c>
      <c r="G489">
        <v>0</v>
      </c>
      <c r="I489" t="s">
        <v>31</v>
      </c>
      <c r="J489">
        <v>17765.453845908454</v>
      </c>
      <c r="K489">
        <v>2</v>
      </c>
      <c r="L489" t="s">
        <v>83</v>
      </c>
    </row>
    <row r="490" spans="1:12" x14ac:dyDescent="0.25">
      <c r="A490">
        <v>1</v>
      </c>
      <c r="B490" t="s">
        <v>21</v>
      </c>
      <c r="C490" t="s">
        <v>98</v>
      </c>
      <c r="D490">
        <v>0</v>
      </c>
      <c r="E490">
        <v>6231652</v>
      </c>
      <c r="F490">
        <v>0</v>
      </c>
      <c r="G490">
        <v>0</v>
      </c>
      <c r="I490" t="s">
        <v>14</v>
      </c>
      <c r="J490">
        <v>6231652</v>
      </c>
      <c r="K490">
        <v>2</v>
      </c>
      <c r="L490" t="s">
        <v>83</v>
      </c>
    </row>
    <row r="491" spans="1:12" x14ac:dyDescent="0.25">
      <c r="A491">
        <v>1</v>
      </c>
      <c r="B491" t="s">
        <v>21</v>
      </c>
      <c r="C491" t="s">
        <v>99</v>
      </c>
      <c r="E491">
        <v>5410.8148403160067</v>
      </c>
      <c r="G491">
        <v>0</v>
      </c>
      <c r="I491" t="s">
        <v>31</v>
      </c>
      <c r="J491">
        <v>5410.8148403160067</v>
      </c>
      <c r="K491">
        <v>2</v>
      </c>
      <c r="L491" t="s">
        <v>59</v>
      </c>
    </row>
    <row r="492" spans="1:12" x14ac:dyDescent="0.25">
      <c r="A492">
        <v>1</v>
      </c>
      <c r="B492" t="s">
        <v>16</v>
      </c>
      <c r="C492" t="s">
        <v>99</v>
      </c>
      <c r="D492">
        <v>0</v>
      </c>
      <c r="E492">
        <v>29007</v>
      </c>
      <c r="F492">
        <v>0</v>
      </c>
      <c r="G492">
        <v>0</v>
      </c>
      <c r="I492" t="s">
        <v>14</v>
      </c>
      <c r="J492">
        <v>29007</v>
      </c>
      <c r="K492">
        <v>2</v>
      </c>
      <c r="L492" t="s">
        <v>59</v>
      </c>
    </row>
    <row r="493" spans="1:12" x14ac:dyDescent="0.25">
      <c r="A493">
        <v>1</v>
      </c>
      <c r="B493" t="s">
        <v>17</v>
      </c>
      <c r="C493" t="s">
        <v>99</v>
      </c>
      <c r="E493">
        <v>792.47495887738125</v>
      </c>
      <c r="G493">
        <v>0</v>
      </c>
      <c r="I493" t="s">
        <v>31</v>
      </c>
      <c r="J493">
        <v>792.47495887738125</v>
      </c>
      <c r="K493">
        <v>2</v>
      </c>
      <c r="L493" t="s">
        <v>59</v>
      </c>
    </row>
    <row r="494" spans="1:12" x14ac:dyDescent="0.25">
      <c r="A494">
        <v>1</v>
      </c>
      <c r="B494" t="s">
        <v>17</v>
      </c>
      <c r="C494" t="s">
        <v>99</v>
      </c>
      <c r="D494">
        <v>0</v>
      </c>
      <c r="E494">
        <v>57099</v>
      </c>
      <c r="F494">
        <v>0</v>
      </c>
      <c r="G494">
        <v>0</v>
      </c>
      <c r="I494" t="s">
        <v>14</v>
      </c>
      <c r="J494">
        <v>57099</v>
      </c>
      <c r="K494">
        <v>2</v>
      </c>
      <c r="L494" t="s">
        <v>59</v>
      </c>
    </row>
    <row r="495" spans="1:12" x14ac:dyDescent="0.25">
      <c r="A495">
        <v>1</v>
      </c>
      <c r="B495" t="s">
        <v>20</v>
      </c>
      <c r="C495" t="s">
        <v>99</v>
      </c>
      <c r="E495">
        <v>37513.635507252111</v>
      </c>
      <c r="G495">
        <v>0</v>
      </c>
      <c r="I495" t="s">
        <v>31</v>
      </c>
      <c r="J495">
        <v>37513.635507252111</v>
      </c>
      <c r="K495">
        <v>2</v>
      </c>
      <c r="L495" t="s">
        <v>59</v>
      </c>
    </row>
    <row r="496" spans="1:12" x14ac:dyDescent="0.25">
      <c r="A496">
        <v>1</v>
      </c>
      <c r="B496" t="s">
        <v>16</v>
      </c>
      <c r="C496" t="s">
        <v>99</v>
      </c>
      <c r="E496">
        <v>2296.4012419550886</v>
      </c>
      <c r="G496">
        <v>0</v>
      </c>
      <c r="I496" t="s">
        <v>31</v>
      </c>
      <c r="J496">
        <v>2296.4012419550886</v>
      </c>
      <c r="K496">
        <v>2</v>
      </c>
      <c r="L496" t="s">
        <v>59</v>
      </c>
    </row>
    <row r="497" spans="1:12" x14ac:dyDescent="0.25">
      <c r="A497">
        <v>1</v>
      </c>
      <c r="B497" t="s">
        <v>20</v>
      </c>
      <c r="C497" t="s">
        <v>99</v>
      </c>
      <c r="D497">
        <v>0</v>
      </c>
      <c r="E497">
        <v>595898</v>
      </c>
      <c r="F497">
        <v>0</v>
      </c>
      <c r="G497">
        <v>0</v>
      </c>
      <c r="I497" t="s">
        <v>14</v>
      </c>
      <c r="J497">
        <v>595898</v>
      </c>
      <c r="K497">
        <v>2</v>
      </c>
      <c r="L497" t="s">
        <v>59</v>
      </c>
    </row>
    <row r="498" spans="1:12" x14ac:dyDescent="0.25">
      <c r="A498">
        <v>1</v>
      </c>
      <c r="B498" t="s">
        <v>18</v>
      </c>
      <c r="C498" t="s">
        <v>99</v>
      </c>
      <c r="E498">
        <v>6913.4378430947991</v>
      </c>
      <c r="G498">
        <v>0</v>
      </c>
      <c r="I498" t="s">
        <v>31</v>
      </c>
      <c r="J498">
        <v>6913.4378430947991</v>
      </c>
      <c r="K498">
        <v>2</v>
      </c>
      <c r="L498" t="s">
        <v>59</v>
      </c>
    </row>
    <row r="499" spans="1:12" x14ac:dyDescent="0.25">
      <c r="A499">
        <v>1</v>
      </c>
      <c r="B499" t="s">
        <v>18</v>
      </c>
      <c r="C499" t="s">
        <v>99</v>
      </c>
      <c r="D499">
        <v>0</v>
      </c>
      <c r="E499">
        <v>200546</v>
      </c>
      <c r="F499">
        <v>0</v>
      </c>
      <c r="G499">
        <v>0</v>
      </c>
      <c r="I499" t="s">
        <v>14</v>
      </c>
      <c r="J499">
        <v>200546</v>
      </c>
      <c r="K499">
        <v>2</v>
      </c>
      <c r="L499" t="s">
        <v>59</v>
      </c>
    </row>
    <row r="500" spans="1:12" x14ac:dyDescent="0.25">
      <c r="A500">
        <v>1</v>
      </c>
      <c r="B500" t="s">
        <v>21</v>
      </c>
      <c r="C500" t="s">
        <v>99</v>
      </c>
      <c r="D500">
        <v>0</v>
      </c>
      <c r="E500">
        <v>96540</v>
      </c>
      <c r="F500">
        <v>0</v>
      </c>
      <c r="G500">
        <v>0</v>
      </c>
      <c r="I500" t="s">
        <v>14</v>
      </c>
      <c r="J500">
        <v>96540</v>
      </c>
      <c r="K500">
        <v>2</v>
      </c>
      <c r="L500" t="s">
        <v>59</v>
      </c>
    </row>
    <row r="501" spans="1:12" x14ac:dyDescent="0.25">
      <c r="A501">
        <v>1</v>
      </c>
      <c r="B501" t="s">
        <v>16</v>
      </c>
      <c r="C501" t="s">
        <v>100</v>
      </c>
      <c r="D501">
        <v>0</v>
      </c>
      <c r="E501">
        <v>84182</v>
      </c>
      <c r="F501">
        <v>0</v>
      </c>
      <c r="G501">
        <v>0</v>
      </c>
      <c r="I501" t="s">
        <v>14</v>
      </c>
      <c r="J501">
        <v>84182</v>
      </c>
      <c r="K501">
        <v>2</v>
      </c>
      <c r="L501" t="s">
        <v>61</v>
      </c>
    </row>
    <row r="502" spans="1:12" x14ac:dyDescent="0.25">
      <c r="A502">
        <v>1</v>
      </c>
      <c r="B502" t="s">
        <v>16</v>
      </c>
      <c r="C502" t="s">
        <v>100</v>
      </c>
      <c r="E502">
        <v>6664.448214233229</v>
      </c>
      <c r="G502">
        <v>0</v>
      </c>
      <c r="I502" t="s">
        <v>31</v>
      </c>
      <c r="J502">
        <v>6664.448214233229</v>
      </c>
      <c r="K502">
        <v>2</v>
      </c>
      <c r="L502" t="s">
        <v>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KLTable_FCSP_Indicia_Casing25</vt:lpstr>
      <vt:lpstr>KLTable_FCSP_Indicia_Casing25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Behrmann, Henry M - Raleigh, NC</cp:lastModifiedBy>
  <dcterms:created xsi:type="dcterms:W3CDTF">2025-12-08T17:34:13Z</dcterms:created>
  <dcterms:modified xsi:type="dcterms:W3CDTF">2025-12-08T18:44:41Z</dcterms:modified>
</cp:coreProperties>
</file>