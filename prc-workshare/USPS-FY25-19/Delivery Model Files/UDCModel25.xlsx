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backupFile="1" codeName="ThisWorkbook" defaultThemeVersion="124226"/>
  <mc:AlternateContent xmlns:mc="http://schemas.openxmlformats.org/markup-compatibility/2006">
    <mc:Choice Requires="x15">
      <x15ac:absPath xmlns:x15ac="http://schemas.microsoft.com/office/spreadsheetml/2010/11/ac" url="D:\ExternalSSD\Folder 19\FY25\Filing Documents\USPS-FY25-19\Delivery Model Files\"/>
    </mc:Choice>
  </mc:AlternateContent>
  <xr:revisionPtr revIDLastSave="0" documentId="13_ncr:1_{E32B5D53-978F-48A4-A682-5EC5CE67BE0C}" xr6:coauthVersionLast="47" xr6:coauthVersionMax="47" xr10:uidLastSave="{00000000-0000-0000-0000-000000000000}"/>
  <bookViews>
    <workbookView xWindow="4875" yWindow="1335" windowWidth="26640" windowHeight="16830" tabRatio="873" activeTab="2" xr2:uid="{00000000-000D-0000-FFFF-FFFF00000000}"/>
  </bookViews>
  <sheets>
    <sheet name="NOTES" sheetId="34" r:id="rId1"/>
    <sheet name="Changes" sheetId="41" r:id="rId2"/>
    <sheet name="1.Table 1" sheetId="1" r:id="rId3"/>
    <sheet name="1a.DAdjustment" sheetId="42" r:id="rId4"/>
    <sheet name="2.FCSP_Let_Col_Cost_By_Indicia" sheetId="44" r:id="rId5"/>
    <sheet name="3.SummaryBY" sheetId="38" r:id="rId6"/>
    <sheet name="4.Rural cost" sheetId="7" r:id="rId7"/>
    <sheet name="5.RuralCrosswalk" sheetId="9" r:id="rId8"/>
    <sheet name="6.DeliveryVols" sheetId="22" r:id="rId9"/>
    <sheet name="7.RuralDisagg" sheetId="36" r:id="rId10"/>
    <sheet name="8.CityCosts" sheetId="31" r:id="rId11"/>
    <sheet name="9.ByShape" sheetId="21" r:id="rId12"/>
    <sheet name="10.In-Office Detail" sheetId="37" r:id="rId13"/>
  </sheets>
  <externalReferences>
    <externalReference r:id="rId14"/>
  </externalReferences>
  <definedNames>
    <definedName name="_Order1" hidden="1">0</definedName>
    <definedName name="_Order2" hidden="1">0</definedName>
    <definedName name="_xlnm.Print_Area" localSheetId="2">'1.Table 1'!$A$3:$G$74</definedName>
    <definedName name="_xlnm.Print_Area" localSheetId="5">'3.SummaryBY'!$A$1:$S$133</definedName>
    <definedName name="_xlnm.Print_Titles" localSheetId="5">'3.SummaryBY'!$A:$B,'3.SummaryBY'!$4:$6</definedName>
    <definedName name="_xlnm.Print_Titles" localSheetId="7">'5.RuralCrosswalk'!$A:$B,'5.RuralCrosswalk'!$1:$3</definedName>
    <definedName name="_xlnm.Print_Titles" localSheetId="9">'7.RuralDisagg'!$A:$B,'7.RuralDisagg'!$1:$6</definedName>
    <definedName name="_xlnm.Print_Titles" localSheetId="10">'8.CityCosts'!$2:$4</definedName>
    <definedName name="Z_4B7ED599_3000_45CD_B5C1_4F696B7BEDDF_.wvu.PrintArea" localSheetId="5" hidden="1">'3.SummaryBY'!$B$4:$S$131</definedName>
  </definedNames>
  <calcPr calcId="191029"/>
  <customWorkbookViews>
    <customWorkbookView name="rsandwick - Personal View" guid="{4B7ED599-3000-45CD-B5C1-4F696B7BEDDF}" mergeInterval="0" personalView="1" maximized="1" windowWidth="1276" windowHeight="836" tabRatio="912" activeSheetId="1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16" i="38" l="1"/>
  <c r="J109" i="38"/>
  <c r="N21" i="7" l="1"/>
  <c r="AF28" i="9"/>
  <c r="E21" i="31" l="1"/>
  <c r="D21" i="31" l="1"/>
  <c r="E20" i="31" l="1"/>
  <c r="E19" i="31"/>
  <c r="E18" i="31"/>
  <c r="E17" i="31"/>
  <c r="E16" i="31"/>
  <c r="E15" i="31"/>
  <c r="E14" i="31"/>
  <c r="E13" i="31"/>
  <c r="E11" i="31"/>
  <c r="D23" i="31"/>
  <c r="D20" i="31"/>
  <c r="D19" i="31"/>
  <c r="D18" i="31"/>
  <c r="D17" i="31"/>
  <c r="D16" i="31"/>
  <c r="D15" i="31"/>
  <c r="D14" i="31"/>
  <c r="D13" i="31"/>
  <c r="D11" i="31"/>
  <c r="C23" i="31"/>
  <c r="C20" i="31"/>
  <c r="C19" i="31"/>
  <c r="C18" i="31"/>
  <c r="C17" i="31"/>
  <c r="C16" i="31"/>
  <c r="C15" i="31"/>
  <c r="C14" i="31"/>
  <c r="C13" i="31"/>
  <c r="C11" i="31"/>
  <c r="F77" i="31"/>
  <c r="F75" i="31"/>
  <c r="F74" i="31"/>
  <c r="F73" i="31"/>
  <c r="F72" i="31"/>
  <c r="F71" i="31"/>
  <c r="F70" i="31"/>
  <c r="F69" i="31"/>
  <c r="F68" i="31"/>
  <c r="F67" i="31"/>
  <c r="F65" i="31"/>
  <c r="D52" i="31"/>
  <c r="C49" i="31"/>
  <c r="F41" i="31"/>
  <c r="F39" i="31"/>
  <c r="F34" i="31"/>
  <c r="F31" i="31"/>
  <c r="F29" i="31"/>
  <c r="E23" i="31"/>
  <c r="C17" i="21"/>
  <c r="C15" i="21"/>
  <c r="C21" i="31"/>
  <c r="H31" i="22"/>
  <c r="G31" i="22"/>
  <c r="O27" i="9"/>
  <c r="J27" i="9"/>
  <c r="Q30" i="9"/>
  <c r="Q27" i="9"/>
  <c r="I27" i="9"/>
  <c r="I23" i="9"/>
  <c r="Q22" i="9"/>
  <c r="Q21" i="9"/>
  <c r="N23" i="9"/>
  <c r="N20" i="9"/>
  <c r="N19" i="9"/>
  <c r="H20" i="9"/>
  <c r="E18" i="9" s="1"/>
  <c r="H19" i="9"/>
  <c r="E17" i="9" s="1"/>
  <c r="I18" i="9"/>
  <c r="I17" i="9"/>
  <c r="U18" i="9"/>
  <c r="P22" i="9"/>
  <c r="O22" i="9"/>
  <c r="P21" i="9"/>
  <c r="O21" i="9"/>
  <c r="M20" i="9"/>
  <c r="L20" i="9"/>
  <c r="J20" i="9"/>
  <c r="M19" i="9"/>
  <c r="L19" i="9"/>
  <c r="J19" i="9"/>
  <c r="K18" i="9"/>
  <c r="K17" i="9"/>
  <c r="D18" i="9"/>
  <c r="C18" i="9"/>
  <c r="D17" i="9"/>
  <c r="C17" i="9"/>
  <c r="M74" i="7"/>
  <c r="L74" i="7"/>
  <c r="K74" i="7"/>
  <c r="J74" i="7"/>
  <c r="I74" i="7"/>
  <c r="G74" i="7"/>
  <c r="F74" i="7"/>
  <c r="E74" i="7"/>
  <c r="D74" i="7"/>
  <c r="C74" i="7"/>
  <c r="B74" i="7"/>
  <c r="M73" i="7"/>
  <c r="L73" i="7"/>
  <c r="K73" i="7"/>
  <c r="J73" i="7"/>
  <c r="I73" i="7"/>
  <c r="G73" i="7"/>
  <c r="F73" i="7"/>
  <c r="E73" i="7"/>
  <c r="D73" i="7"/>
  <c r="C73" i="7"/>
  <c r="B73" i="7"/>
  <c r="M72" i="7"/>
  <c r="L72" i="7"/>
  <c r="K72" i="7"/>
  <c r="J72" i="7"/>
  <c r="I72" i="7"/>
  <c r="G72" i="7"/>
  <c r="F72" i="7"/>
  <c r="E72" i="7"/>
  <c r="D72" i="7"/>
  <c r="C72" i="7"/>
  <c r="B72" i="7"/>
  <c r="M71" i="7"/>
  <c r="L71" i="7"/>
  <c r="K71" i="7"/>
  <c r="J71" i="7"/>
  <c r="I71" i="7"/>
  <c r="G71" i="7"/>
  <c r="F71" i="7"/>
  <c r="E71" i="7"/>
  <c r="D71" i="7"/>
  <c r="C71" i="7"/>
  <c r="B71" i="7"/>
  <c r="M70" i="7"/>
  <c r="L70" i="7"/>
  <c r="K70" i="7"/>
  <c r="J70" i="7"/>
  <c r="I70" i="7"/>
  <c r="G70" i="7"/>
  <c r="F70" i="7"/>
  <c r="E70" i="7"/>
  <c r="D70" i="7"/>
  <c r="C70" i="7"/>
  <c r="B70" i="7"/>
  <c r="B69" i="7"/>
  <c r="M68" i="7"/>
  <c r="L68" i="7"/>
  <c r="K68" i="7"/>
  <c r="J68" i="7"/>
  <c r="I68" i="7"/>
  <c r="G68" i="7"/>
  <c r="F68" i="7"/>
  <c r="E68" i="7"/>
  <c r="D68" i="7"/>
  <c r="C68" i="7"/>
  <c r="B68" i="7"/>
  <c r="M67" i="7"/>
  <c r="L67" i="7"/>
  <c r="K67" i="7"/>
  <c r="J67" i="7"/>
  <c r="I67" i="7"/>
  <c r="G67" i="7"/>
  <c r="F67" i="7"/>
  <c r="E67" i="7"/>
  <c r="D67" i="7"/>
  <c r="C67" i="7"/>
  <c r="B67" i="7"/>
  <c r="M66" i="7"/>
  <c r="L66" i="7"/>
  <c r="K66" i="7"/>
  <c r="J66" i="7"/>
  <c r="I66" i="7"/>
  <c r="G66" i="7"/>
  <c r="F66" i="7"/>
  <c r="E66" i="7"/>
  <c r="D66" i="7"/>
  <c r="C66" i="7"/>
  <c r="B66" i="7"/>
  <c r="M65" i="7"/>
  <c r="L65" i="7"/>
  <c r="K65" i="7"/>
  <c r="J65" i="7"/>
  <c r="I65" i="7"/>
  <c r="G65" i="7"/>
  <c r="F65" i="7"/>
  <c r="E65" i="7"/>
  <c r="D65" i="7"/>
  <c r="C65" i="7"/>
  <c r="B65" i="7"/>
  <c r="M64" i="7"/>
  <c r="L64" i="7"/>
  <c r="K64" i="7"/>
  <c r="J64" i="7"/>
  <c r="I64" i="7"/>
  <c r="G64" i="7"/>
  <c r="F64" i="7"/>
  <c r="E64" i="7"/>
  <c r="D64" i="7"/>
  <c r="C64" i="7"/>
  <c r="B64" i="7"/>
  <c r="M63" i="7"/>
  <c r="L63" i="7"/>
  <c r="K63" i="7"/>
  <c r="J63" i="7"/>
  <c r="I63" i="7"/>
  <c r="G63" i="7"/>
  <c r="F63" i="7"/>
  <c r="E63" i="7"/>
  <c r="D63" i="7"/>
  <c r="C63" i="7"/>
  <c r="B63" i="7"/>
  <c r="M62" i="7"/>
  <c r="L62" i="7"/>
  <c r="K62" i="7"/>
  <c r="J62" i="7"/>
  <c r="I62" i="7"/>
  <c r="G62" i="7"/>
  <c r="F62" i="7"/>
  <c r="E62" i="7"/>
  <c r="D62" i="7"/>
  <c r="C62" i="7"/>
  <c r="B62" i="7"/>
  <c r="M61" i="7"/>
  <c r="L61" i="7"/>
  <c r="K61" i="7"/>
  <c r="J61" i="7"/>
  <c r="I61" i="7"/>
  <c r="G61" i="7"/>
  <c r="F61" i="7"/>
  <c r="E61" i="7"/>
  <c r="D61" i="7"/>
  <c r="C61" i="7"/>
  <c r="B61" i="7"/>
  <c r="M60" i="7"/>
  <c r="L60" i="7"/>
  <c r="K60" i="7"/>
  <c r="J60" i="7"/>
  <c r="I60" i="7"/>
  <c r="G60" i="7"/>
  <c r="F60" i="7"/>
  <c r="E60" i="7"/>
  <c r="D60" i="7"/>
  <c r="C60" i="7"/>
  <c r="B60" i="7"/>
  <c r="M59" i="7"/>
  <c r="L59" i="7"/>
  <c r="K59" i="7"/>
  <c r="J59" i="7"/>
  <c r="I59" i="7"/>
  <c r="G59" i="7"/>
  <c r="F59" i="7"/>
  <c r="E59" i="7"/>
  <c r="D59" i="7"/>
  <c r="C59" i="7"/>
  <c r="B59" i="7"/>
  <c r="B58" i="7"/>
  <c r="M57" i="7"/>
  <c r="L57" i="7"/>
  <c r="K57" i="7"/>
  <c r="J57" i="7"/>
  <c r="I57" i="7"/>
  <c r="G57" i="7"/>
  <c r="F57" i="7"/>
  <c r="E57" i="7"/>
  <c r="D57" i="7"/>
  <c r="C57" i="7"/>
  <c r="B57" i="7"/>
  <c r="M56" i="7"/>
  <c r="L56" i="7"/>
  <c r="K56" i="7"/>
  <c r="J56" i="7"/>
  <c r="I56" i="7"/>
  <c r="G56" i="7"/>
  <c r="F56" i="7"/>
  <c r="E56" i="7"/>
  <c r="D56" i="7"/>
  <c r="C56" i="7"/>
  <c r="B56" i="7"/>
  <c r="M55" i="7"/>
  <c r="L55" i="7"/>
  <c r="K55" i="7"/>
  <c r="J55" i="7"/>
  <c r="I55" i="7"/>
  <c r="G55" i="7"/>
  <c r="F55" i="7"/>
  <c r="E55" i="7"/>
  <c r="D55" i="7"/>
  <c r="C55" i="7"/>
  <c r="B55" i="7"/>
  <c r="M54" i="7"/>
  <c r="L54" i="7"/>
  <c r="K54" i="7"/>
  <c r="J54" i="7"/>
  <c r="I54" i="7"/>
  <c r="G54" i="7"/>
  <c r="F54" i="7"/>
  <c r="E54" i="7"/>
  <c r="D54" i="7"/>
  <c r="C54" i="7"/>
  <c r="B54" i="7"/>
  <c r="M53" i="7"/>
  <c r="L53" i="7"/>
  <c r="K53" i="7"/>
  <c r="J53" i="7"/>
  <c r="I53" i="7"/>
  <c r="G53" i="7"/>
  <c r="F53" i="7"/>
  <c r="E53" i="7"/>
  <c r="D53" i="7"/>
  <c r="C53" i="7"/>
  <c r="B53" i="7"/>
  <c r="M52" i="7"/>
  <c r="L52" i="7"/>
  <c r="K52" i="7"/>
  <c r="J52" i="7"/>
  <c r="I52" i="7"/>
  <c r="G52" i="7"/>
  <c r="F52" i="7"/>
  <c r="E52" i="7"/>
  <c r="D52" i="7"/>
  <c r="C52" i="7"/>
  <c r="B52" i="7"/>
  <c r="B51" i="7"/>
  <c r="A4" i="7"/>
  <c r="J24" i="22"/>
  <c r="I24" i="22"/>
  <c r="J22" i="22"/>
  <c r="I22" i="22"/>
  <c r="H21" i="22"/>
  <c r="H20" i="22"/>
  <c r="G18" i="22"/>
  <c r="G17" i="22"/>
  <c r="L115" i="38"/>
  <c r="L109" i="38"/>
  <c r="Q109" i="38" s="1"/>
  <c r="J115" i="38"/>
  <c r="J108" i="38"/>
  <c r="H116" i="38"/>
  <c r="H115" i="38"/>
  <c r="H109" i="38"/>
  <c r="H108" i="38"/>
  <c r="C11" i="37"/>
  <c r="C10" i="37"/>
  <c r="C9" i="37"/>
  <c r="H12" i="21"/>
  <c r="H17" i="21" s="1"/>
  <c r="H11" i="21"/>
  <c r="H10" i="21"/>
  <c r="H15" i="21" s="1"/>
  <c r="H11" i="37"/>
  <c r="H10" i="37"/>
  <c r="H9" i="37"/>
  <c r="J35" i="22"/>
  <c r="I35" i="22"/>
  <c r="H35" i="22"/>
  <c r="G35" i="22"/>
  <c r="J34" i="22"/>
  <c r="I34" i="22"/>
  <c r="H34" i="22"/>
  <c r="G34" i="22"/>
  <c r="J33" i="22"/>
  <c r="I33" i="22"/>
  <c r="H33" i="22"/>
  <c r="G33" i="22"/>
  <c r="J30" i="22"/>
  <c r="I30" i="22"/>
  <c r="I31" i="22" s="1"/>
  <c r="H30" i="22"/>
  <c r="G30" i="22"/>
  <c r="J29" i="22"/>
  <c r="I29" i="22"/>
  <c r="H29" i="22"/>
  <c r="G29" i="22"/>
  <c r="J28" i="22"/>
  <c r="I28" i="22"/>
  <c r="H28" i="22"/>
  <c r="G28" i="22"/>
  <c r="J27" i="22"/>
  <c r="I27" i="22"/>
  <c r="H27" i="22"/>
  <c r="G27" i="22"/>
  <c r="J15" i="22"/>
  <c r="I15" i="22"/>
  <c r="H15" i="22"/>
  <c r="G15" i="22"/>
  <c r="J14" i="22"/>
  <c r="I14" i="22"/>
  <c r="H14" i="22"/>
  <c r="G14" i="22"/>
  <c r="J13" i="22"/>
  <c r="I13" i="22"/>
  <c r="H13" i="22"/>
  <c r="G13" i="22"/>
  <c r="J12" i="22"/>
  <c r="I12" i="22"/>
  <c r="H12" i="22"/>
  <c r="G12" i="22"/>
  <c r="J11" i="22"/>
  <c r="I11" i="22"/>
  <c r="H11" i="22"/>
  <c r="G11" i="22"/>
  <c r="J10" i="22"/>
  <c r="I10" i="22"/>
  <c r="H10" i="22"/>
  <c r="G10" i="22"/>
  <c r="L36" i="38"/>
  <c r="J36" i="38"/>
  <c r="H54" i="37"/>
  <c r="H53" i="37"/>
  <c r="H52" i="37"/>
  <c r="H51" i="37"/>
  <c r="H50" i="37"/>
  <c r="H49" i="37"/>
  <c r="H48" i="37"/>
  <c r="H47" i="37"/>
  <c r="H46" i="37"/>
  <c r="H45" i="37"/>
  <c r="H44" i="37"/>
  <c r="H41" i="37"/>
  <c r="H40" i="37"/>
  <c r="H39" i="37"/>
  <c r="H38" i="37"/>
  <c r="H37" i="37"/>
  <c r="H36" i="37"/>
  <c r="H35" i="37"/>
  <c r="H34" i="37"/>
  <c r="H31" i="37"/>
  <c r="H30" i="37"/>
  <c r="H29" i="37"/>
  <c r="H28" i="37"/>
  <c r="H27" i="37"/>
  <c r="H26" i="37"/>
  <c r="H25" i="37"/>
  <c r="H24" i="37"/>
  <c r="H23" i="37"/>
  <c r="H22" i="37"/>
  <c r="H21" i="37"/>
  <c r="H20" i="37"/>
  <c r="H19" i="37"/>
  <c r="H18" i="37"/>
  <c r="C54" i="37"/>
  <c r="C53" i="37"/>
  <c r="C52" i="37"/>
  <c r="C51" i="37"/>
  <c r="C50" i="37"/>
  <c r="C49" i="37"/>
  <c r="C48" i="37"/>
  <c r="C47" i="37"/>
  <c r="C46" i="37"/>
  <c r="C45" i="37"/>
  <c r="C44" i="37"/>
  <c r="C41" i="37"/>
  <c r="C40" i="37"/>
  <c r="C39" i="37"/>
  <c r="C38" i="37"/>
  <c r="C37" i="37"/>
  <c r="C36" i="37"/>
  <c r="C35" i="37"/>
  <c r="C34" i="37"/>
  <c r="C32" i="37"/>
  <c r="C31" i="37"/>
  <c r="C30" i="37"/>
  <c r="C29" i="37"/>
  <c r="C28" i="37"/>
  <c r="C27" i="37"/>
  <c r="C26" i="37"/>
  <c r="C25" i="37"/>
  <c r="C24" i="37"/>
  <c r="C23" i="37"/>
  <c r="C22" i="37"/>
  <c r="C21" i="37"/>
  <c r="C20" i="37"/>
  <c r="C19" i="37"/>
  <c r="C18" i="37"/>
  <c r="L76" i="38"/>
  <c r="L75" i="38"/>
  <c r="L74" i="38"/>
  <c r="L73" i="38"/>
  <c r="L72" i="38"/>
  <c r="L71" i="38"/>
  <c r="L70" i="38"/>
  <c r="L69" i="38"/>
  <c r="L68" i="38"/>
  <c r="L67" i="38"/>
  <c r="L66" i="38"/>
  <c r="L46" i="38"/>
  <c r="L45" i="38"/>
  <c r="L44" i="38"/>
  <c r="L43" i="38"/>
  <c r="L42" i="38"/>
  <c r="L41" i="38"/>
  <c r="L40" i="38"/>
  <c r="L39" i="38"/>
  <c r="L31" i="38"/>
  <c r="L30" i="38"/>
  <c r="L29" i="38"/>
  <c r="L28" i="38"/>
  <c r="L27" i="38"/>
  <c r="L26" i="38"/>
  <c r="L25" i="38"/>
  <c r="L24" i="38"/>
  <c r="L23" i="38"/>
  <c r="L22" i="38"/>
  <c r="L21" i="38"/>
  <c r="L20" i="38"/>
  <c r="L19" i="38"/>
  <c r="L18" i="38"/>
  <c r="L95" i="38"/>
  <c r="L94" i="38"/>
  <c r="L92" i="38"/>
  <c r="L89" i="38"/>
  <c r="L88" i="38"/>
  <c r="L85" i="38"/>
  <c r="L84" i="38"/>
  <c r="L79" i="38"/>
  <c r="L78" i="38"/>
  <c r="L62" i="38"/>
  <c r="L61" i="38"/>
  <c r="L57" i="38"/>
  <c r="L56" i="38"/>
  <c r="L52" i="38"/>
  <c r="L51" i="38"/>
  <c r="L50" i="38"/>
  <c r="L33" i="38"/>
  <c r="L14" i="38"/>
  <c r="L10" i="38"/>
  <c r="O43" i="7"/>
  <c r="N43" i="7"/>
  <c r="M43" i="7"/>
  <c r="L43" i="7"/>
  <c r="K43" i="7"/>
  <c r="J43" i="7"/>
  <c r="I43" i="7"/>
  <c r="G43" i="7"/>
  <c r="F43" i="7"/>
  <c r="E43" i="7"/>
  <c r="D43" i="7"/>
  <c r="C43" i="7"/>
  <c r="O41" i="7"/>
  <c r="N41" i="7"/>
  <c r="M41" i="7"/>
  <c r="L41" i="7"/>
  <c r="K41" i="7"/>
  <c r="J41" i="7"/>
  <c r="I41" i="7"/>
  <c r="G41" i="7"/>
  <c r="F41" i="7"/>
  <c r="E41" i="7"/>
  <c r="D41" i="7"/>
  <c r="C41" i="7"/>
  <c r="O39" i="7"/>
  <c r="N39" i="7"/>
  <c r="M39" i="7"/>
  <c r="L39" i="7"/>
  <c r="K39" i="7"/>
  <c r="J39" i="7"/>
  <c r="I39" i="7"/>
  <c r="G39" i="7"/>
  <c r="F39" i="7"/>
  <c r="E39" i="7"/>
  <c r="D39" i="7"/>
  <c r="C39" i="7"/>
  <c r="O36" i="7"/>
  <c r="N36" i="7"/>
  <c r="M36" i="7"/>
  <c r="L36" i="7"/>
  <c r="K36" i="7"/>
  <c r="J36" i="7"/>
  <c r="I36" i="7"/>
  <c r="G36" i="7"/>
  <c r="F36" i="7"/>
  <c r="E36" i="7"/>
  <c r="D36" i="7"/>
  <c r="C36" i="7"/>
  <c r="O34" i="7"/>
  <c r="N34" i="7"/>
  <c r="M34" i="7"/>
  <c r="L34" i="7"/>
  <c r="K34" i="7"/>
  <c r="J34" i="7"/>
  <c r="I34" i="7"/>
  <c r="G34" i="7"/>
  <c r="F34" i="7"/>
  <c r="E34" i="7"/>
  <c r="D34" i="7"/>
  <c r="C34" i="7"/>
  <c r="O32" i="7"/>
  <c r="N32" i="7"/>
  <c r="M32" i="7"/>
  <c r="L32" i="7"/>
  <c r="K32" i="7"/>
  <c r="J32" i="7"/>
  <c r="I32" i="7"/>
  <c r="G32" i="7"/>
  <c r="F32" i="7"/>
  <c r="E32" i="7"/>
  <c r="D32" i="7"/>
  <c r="C32" i="7"/>
  <c r="O30" i="7"/>
  <c r="N30" i="7"/>
  <c r="M30" i="7"/>
  <c r="L30" i="7"/>
  <c r="K30" i="7"/>
  <c r="J30" i="7"/>
  <c r="I30" i="7"/>
  <c r="G30" i="7"/>
  <c r="F30" i="7"/>
  <c r="E30" i="7"/>
  <c r="D30" i="7"/>
  <c r="C30" i="7"/>
  <c r="O28" i="7"/>
  <c r="N28" i="7"/>
  <c r="M28" i="7"/>
  <c r="L28" i="7"/>
  <c r="K28" i="7"/>
  <c r="J28" i="7"/>
  <c r="I28" i="7"/>
  <c r="G28" i="7"/>
  <c r="F28" i="7"/>
  <c r="E28" i="7"/>
  <c r="D28" i="7"/>
  <c r="C28" i="7"/>
  <c r="O26" i="7"/>
  <c r="N26" i="7"/>
  <c r="M26" i="7"/>
  <c r="L26" i="7"/>
  <c r="K26" i="7"/>
  <c r="J26" i="7"/>
  <c r="I26" i="7"/>
  <c r="G26" i="7"/>
  <c r="F26" i="7"/>
  <c r="E26" i="7"/>
  <c r="D26" i="7"/>
  <c r="C26" i="7"/>
  <c r="O24" i="7"/>
  <c r="N24" i="7"/>
  <c r="M24" i="7"/>
  <c r="L24" i="7"/>
  <c r="K24" i="7"/>
  <c r="J24" i="7"/>
  <c r="I24" i="7"/>
  <c r="G24" i="7"/>
  <c r="F24" i="7"/>
  <c r="E24" i="7"/>
  <c r="D24" i="7"/>
  <c r="C24" i="7"/>
  <c r="O21" i="7"/>
  <c r="M21" i="7"/>
  <c r="L21" i="7"/>
  <c r="K21" i="7"/>
  <c r="J21" i="7"/>
  <c r="I21" i="7"/>
  <c r="G21" i="7"/>
  <c r="F21" i="7"/>
  <c r="E21" i="7"/>
  <c r="D21" i="7"/>
  <c r="C21" i="7"/>
  <c r="O19" i="7"/>
  <c r="N19" i="7"/>
  <c r="M19" i="7"/>
  <c r="L19" i="7"/>
  <c r="K19" i="7"/>
  <c r="J19" i="7"/>
  <c r="I19" i="7"/>
  <c r="G19" i="7"/>
  <c r="F19" i="7"/>
  <c r="E19" i="7"/>
  <c r="D19" i="7"/>
  <c r="C19" i="7"/>
  <c r="O17" i="7"/>
  <c r="N17" i="7"/>
  <c r="M17" i="7"/>
  <c r="L17" i="7"/>
  <c r="K17" i="7"/>
  <c r="J17" i="7"/>
  <c r="I17" i="7"/>
  <c r="G17" i="7"/>
  <c r="F17" i="7"/>
  <c r="E17" i="7"/>
  <c r="D17" i="7"/>
  <c r="C17" i="7"/>
  <c r="O15" i="7"/>
  <c r="N15" i="7"/>
  <c r="M15" i="7"/>
  <c r="L15" i="7"/>
  <c r="K15" i="7"/>
  <c r="J15" i="7"/>
  <c r="I15" i="7"/>
  <c r="G15" i="7"/>
  <c r="F15" i="7"/>
  <c r="E15" i="7"/>
  <c r="D15" i="7"/>
  <c r="C15" i="7"/>
  <c r="O13" i="7"/>
  <c r="N13" i="7"/>
  <c r="M13" i="7"/>
  <c r="L13" i="7"/>
  <c r="K13" i="7"/>
  <c r="J13" i="7"/>
  <c r="I13" i="7"/>
  <c r="G13" i="7"/>
  <c r="F13" i="7"/>
  <c r="E13" i="7"/>
  <c r="D13" i="7"/>
  <c r="C13" i="7"/>
  <c r="O11" i="7"/>
  <c r="N11" i="7"/>
  <c r="M11" i="7"/>
  <c r="L11" i="7"/>
  <c r="K11" i="7"/>
  <c r="J11" i="7"/>
  <c r="I11" i="7"/>
  <c r="G11" i="7"/>
  <c r="F11" i="7"/>
  <c r="E11" i="7"/>
  <c r="D11" i="7"/>
  <c r="C11" i="7"/>
  <c r="A3" i="7"/>
  <c r="J79" i="38"/>
  <c r="J78" i="38"/>
  <c r="J77" i="38"/>
  <c r="J63" i="38"/>
  <c r="J57" i="38"/>
  <c r="J56" i="38"/>
  <c r="J53" i="38"/>
  <c r="J47" i="38"/>
  <c r="J33" i="38"/>
  <c r="J32" i="38"/>
  <c r="J14" i="38"/>
  <c r="J10" i="38"/>
  <c r="J11" i="38" s="1"/>
  <c r="F150" i="31"/>
  <c r="D150" i="31" s="1"/>
  <c r="F147" i="31"/>
  <c r="F146" i="31"/>
  <c r="F145" i="31"/>
  <c r="F144" i="31"/>
  <c r="F142" i="31"/>
  <c r="F141" i="31"/>
  <c r="F138" i="31"/>
  <c r="H92" i="38"/>
  <c r="F132" i="31"/>
  <c r="F130" i="31"/>
  <c r="F129" i="31"/>
  <c r="F128" i="31"/>
  <c r="F127" i="31"/>
  <c r="F126" i="31"/>
  <c r="F125" i="31"/>
  <c r="F124" i="31"/>
  <c r="F123" i="31"/>
  <c r="F122" i="31"/>
  <c r="F120" i="31"/>
  <c r="F114" i="31"/>
  <c r="F112" i="31"/>
  <c r="F111" i="31"/>
  <c r="F110" i="31"/>
  <c r="F109" i="31"/>
  <c r="F108" i="31"/>
  <c r="F107" i="31"/>
  <c r="F106" i="31"/>
  <c r="F105" i="31"/>
  <c r="F104" i="31"/>
  <c r="F102" i="31"/>
  <c r="U23" i="31"/>
  <c r="U21" i="31"/>
  <c r="U20" i="31"/>
  <c r="U19" i="31"/>
  <c r="U18" i="31"/>
  <c r="U17" i="31"/>
  <c r="U16" i="31"/>
  <c r="U15" i="31"/>
  <c r="U14" i="31"/>
  <c r="U13" i="31"/>
  <c r="U11" i="31"/>
  <c r="P23" i="31"/>
  <c r="P21" i="31"/>
  <c r="P20" i="31"/>
  <c r="P19" i="31"/>
  <c r="P18" i="31"/>
  <c r="P17" i="31"/>
  <c r="P16" i="31"/>
  <c r="P15" i="31"/>
  <c r="P14" i="31"/>
  <c r="P13" i="31"/>
  <c r="P11" i="31"/>
  <c r="K23" i="31"/>
  <c r="K21" i="31"/>
  <c r="K20" i="31"/>
  <c r="K19" i="31"/>
  <c r="K18" i="31"/>
  <c r="K17" i="31"/>
  <c r="K16" i="31"/>
  <c r="K15" i="31"/>
  <c r="K14" i="31"/>
  <c r="K13" i="31"/>
  <c r="K11" i="31"/>
  <c r="I92" i="38"/>
  <c r="G92" i="38"/>
  <c r="I79" i="38"/>
  <c r="H79" i="38"/>
  <c r="G79" i="38"/>
  <c r="I78" i="38"/>
  <c r="H78" i="38"/>
  <c r="G78" i="38"/>
  <c r="I77" i="38"/>
  <c r="H77" i="38"/>
  <c r="G77" i="38"/>
  <c r="I63" i="38"/>
  <c r="H63" i="38"/>
  <c r="G63" i="38"/>
  <c r="I57" i="38"/>
  <c r="H57" i="38"/>
  <c r="G57" i="38"/>
  <c r="I56" i="38"/>
  <c r="H56" i="38"/>
  <c r="G56" i="38"/>
  <c r="I53" i="38"/>
  <c r="H53" i="38"/>
  <c r="G53" i="38"/>
  <c r="I47" i="38"/>
  <c r="H47" i="38"/>
  <c r="G47" i="38"/>
  <c r="I36" i="38"/>
  <c r="H36" i="38"/>
  <c r="G36" i="38"/>
  <c r="I33" i="38"/>
  <c r="H33" i="38"/>
  <c r="G33" i="38"/>
  <c r="I32" i="38"/>
  <c r="H32" i="38"/>
  <c r="G32" i="38"/>
  <c r="I14" i="38"/>
  <c r="H14" i="38"/>
  <c r="G14" i="38"/>
  <c r="I10" i="38"/>
  <c r="H10" i="38"/>
  <c r="G10" i="38"/>
  <c r="E11" i="37"/>
  <c r="D11" i="37"/>
  <c r="E10" i="37"/>
  <c r="D10" i="37"/>
  <c r="E9" i="37"/>
  <c r="D9" i="37"/>
  <c r="D12" i="21"/>
  <c r="D17" i="21" s="1"/>
  <c r="D11" i="21"/>
  <c r="D10" i="21"/>
  <c r="D15" i="21" s="1"/>
  <c r="A3" i="21"/>
  <c r="F116" i="38"/>
  <c r="E115" i="38"/>
  <c r="F115" i="38" s="1"/>
  <c r="F109" i="38"/>
  <c r="E108" i="38"/>
  <c r="F108" i="38" s="1"/>
  <c r="F95" i="38"/>
  <c r="E95" i="38"/>
  <c r="F94" i="38"/>
  <c r="E94" i="38"/>
  <c r="F92" i="38"/>
  <c r="E92" i="38"/>
  <c r="F89" i="38"/>
  <c r="E89" i="38"/>
  <c r="F88" i="38"/>
  <c r="E88" i="38"/>
  <c r="F85" i="38"/>
  <c r="E85" i="38"/>
  <c r="F84" i="38"/>
  <c r="E84" i="38"/>
  <c r="F79" i="38"/>
  <c r="E79" i="38"/>
  <c r="F78" i="38"/>
  <c r="E78" i="38"/>
  <c r="F62" i="38"/>
  <c r="E62" i="38"/>
  <c r="F61" i="38"/>
  <c r="E61" i="38"/>
  <c r="F57" i="38"/>
  <c r="E57" i="38"/>
  <c r="F56" i="38"/>
  <c r="E56" i="38"/>
  <c r="F36" i="38"/>
  <c r="E36" i="38"/>
  <c r="F33" i="38"/>
  <c r="E33" i="38"/>
  <c r="F32" i="38"/>
  <c r="E32" i="38"/>
  <c r="F14" i="38"/>
  <c r="E14" i="38"/>
  <c r="F10" i="38"/>
  <c r="E10" i="38"/>
  <c r="L13" i="38"/>
  <c r="F13" i="38"/>
  <c r="E13" i="38"/>
  <c r="L12" i="38"/>
  <c r="F12" i="38"/>
  <c r="E12" i="38"/>
  <c r="L11" i="38"/>
  <c r="F11" i="38"/>
  <c r="E11" i="38"/>
  <c r="J15" i="44"/>
  <c r="J14" i="44"/>
  <c r="D14" i="44"/>
  <c r="D13" i="44"/>
  <c r="H8" i="21"/>
  <c r="D8" i="21"/>
  <c r="P136" i="31"/>
  <c r="K136" i="31"/>
  <c r="F136" i="31"/>
  <c r="F63" i="31"/>
  <c r="F27" i="31"/>
  <c r="E9" i="31"/>
  <c r="D9" i="31"/>
  <c r="C9" i="31"/>
  <c r="I8" i="22"/>
  <c r="H8" i="22"/>
  <c r="G8" i="22"/>
  <c r="Z8" i="9"/>
  <c r="Y8" i="9"/>
  <c r="X8" i="9"/>
  <c r="T8" i="9"/>
  <c r="S8" i="9"/>
  <c r="R8" i="9"/>
  <c r="Q8" i="9"/>
  <c r="P8" i="9"/>
  <c r="O8" i="9"/>
  <c r="N8" i="9"/>
  <c r="M8" i="9"/>
  <c r="L8" i="9"/>
  <c r="K8" i="9"/>
  <c r="J8" i="9"/>
  <c r="I8" i="9"/>
  <c r="H8" i="9"/>
  <c r="G8" i="9"/>
  <c r="F8" i="9"/>
  <c r="D8" i="9"/>
  <c r="C8" i="9"/>
  <c r="L93" i="38"/>
  <c r="L87" i="38"/>
  <c r="L82" i="38"/>
  <c r="L64" i="38"/>
  <c r="L59" i="38"/>
  <c r="L54" i="38"/>
  <c r="L48" i="38"/>
  <c r="L37" i="38"/>
  <c r="L35" i="38"/>
  <c r="L16" i="38"/>
  <c r="Q8" i="38"/>
  <c r="P8" i="38"/>
  <c r="O8" i="38"/>
  <c r="N8" i="38"/>
  <c r="K8" i="38"/>
  <c r="A3" i="37"/>
  <c r="A1" i="37"/>
  <c r="A2" i="21"/>
  <c r="A1" i="21"/>
  <c r="A2" i="31"/>
  <c r="A1" i="31"/>
  <c r="A1" i="22"/>
  <c r="A3" i="36"/>
  <c r="A1" i="36"/>
  <c r="A1" i="9"/>
  <c r="A2" i="7"/>
  <c r="A1" i="7"/>
  <c r="A3" i="38"/>
  <c r="A1" i="38"/>
  <c r="A1" i="44"/>
  <c r="C18" i="42"/>
  <c r="C17" i="42"/>
  <c r="A1" i="42"/>
  <c r="A1" i="1"/>
  <c r="A1" i="34"/>
  <c r="K32" i="38" l="1"/>
  <c r="O78" i="38"/>
  <c r="O115" i="38"/>
  <c r="Q95" i="38"/>
  <c r="O95" i="38"/>
  <c r="D95" i="38"/>
  <c r="P95" i="38"/>
  <c r="N95" i="38"/>
  <c r="P57" i="38"/>
  <c r="N33" i="38"/>
  <c r="O57" i="38"/>
  <c r="Q115" i="38"/>
  <c r="P78" i="38"/>
  <c r="J13" i="38"/>
  <c r="O109" i="38"/>
  <c r="K36" i="38"/>
  <c r="K10" i="38"/>
  <c r="O56" i="38"/>
  <c r="P36" i="38"/>
  <c r="J12" i="38"/>
  <c r="Q12" i="38" s="1"/>
  <c r="O14" i="38"/>
  <c r="O33" i="38"/>
  <c r="Q11" i="38"/>
  <c r="N36" i="38"/>
  <c r="P33" i="38"/>
  <c r="K33" i="38"/>
  <c r="O36" i="38"/>
  <c r="N14" i="38"/>
  <c r="P14" i="38"/>
  <c r="K79" i="38"/>
  <c r="N56" i="38"/>
  <c r="O79" i="38"/>
  <c r="P56" i="38"/>
  <c r="N57" i="38"/>
  <c r="Q14" i="38"/>
  <c r="N79" i="38"/>
  <c r="P79" i="38"/>
  <c r="P92" i="38"/>
  <c r="O92" i="38"/>
  <c r="N92" i="38"/>
  <c r="Q13" i="38"/>
  <c r="K56" i="38"/>
  <c r="Q56" i="38"/>
  <c r="P10" i="38"/>
  <c r="O10" i="38"/>
  <c r="N10" i="38"/>
  <c r="Q10" i="38"/>
  <c r="K78" i="38"/>
  <c r="E132" i="31"/>
  <c r="D132" i="31"/>
  <c r="Q57" i="38"/>
  <c r="K57" i="38"/>
  <c r="N78" i="38"/>
  <c r="K14" i="38"/>
  <c r="E150" i="31"/>
  <c r="I48" i="7"/>
  <c r="J48" i="7" s="1"/>
  <c r="K48" i="7" s="1"/>
  <c r="L48" i="7" s="1"/>
  <c r="M48" i="7" s="1"/>
  <c r="H48" i="7"/>
  <c r="H6" i="7" l="1"/>
  <c r="I6" i="7" s="1"/>
  <c r="J6" i="7" s="1"/>
  <c r="K6" i="7" s="1"/>
  <c r="L6" i="7" s="1"/>
  <c r="M6" i="7" s="1"/>
  <c r="N6" i="7" s="1"/>
  <c r="O6" i="7" s="1"/>
  <c r="P6" i="7" s="1"/>
  <c r="Q6" i="7" s="1"/>
  <c r="N6" i="44" l="1"/>
  <c r="O6" i="44" s="1"/>
  <c r="P6" i="44" s="1"/>
  <c r="M6" i="44"/>
  <c r="L6" i="44"/>
  <c r="D6" i="44"/>
  <c r="E6" i="44" s="1"/>
  <c r="F6" i="44" s="1"/>
  <c r="G6" i="44" s="1"/>
  <c r="H6" i="44" s="1"/>
  <c r="I6" i="44" s="1"/>
  <c r="J6" i="44" s="1"/>
  <c r="D48" i="7"/>
  <c r="E48" i="7" s="1"/>
  <c r="F48" i="7" s="1"/>
  <c r="G48" i="7" s="1"/>
  <c r="J80" i="38" l="1"/>
  <c r="J44" i="7" l="1"/>
  <c r="H43" i="7"/>
  <c r="J42" i="7"/>
  <c r="H41" i="7"/>
  <c r="J40" i="7"/>
  <c r="H39" i="7"/>
  <c r="L44" i="7"/>
  <c r="L9" i="7" s="1"/>
  <c r="H32" i="7"/>
  <c r="H26" i="7"/>
  <c r="H21" i="7"/>
  <c r="H19" i="7"/>
  <c r="H17" i="7"/>
  <c r="H15" i="7"/>
  <c r="H13" i="7"/>
  <c r="H11" i="7"/>
  <c r="Q17" i="7" l="1"/>
  <c r="P17" i="7"/>
  <c r="Q43" i="7"/>
  <c r="P43" i="7"/>
  <c r="Q13" i="7"/>
  <c r="P13" i="7"/>
  <c r="O96" i="9" s="1"/>
  <c r="Q19" i="7"/>
  <c r="P19" i="7"/>
  <c r="Q39" i="7"/>
  <c r="P39" i="7"/>
  <c r="Q15" i="7"/>
  <c r="P15" i="7"/>
  <c r="Q26" i="7"/>
  <c r="P26" i="7"/>
  <c r="Q32" i="7"/>
  <c r="P32" i="7"/>
  <c r="Q21" i="7"/>
  <c r="P21" i="7"/>
  <c r="Q41" i="7"/>
  <c r="P41" i="7"/>
  <c r="H28" i="7"/>
  <c r="H34" i="7"/>
  <c r="H24" i="7"/>
  <c r="H30" i="7"/>
  <c r="H36" i="7"/>
  <c r="Q36" i="7" l="1"/>
  <c r="P36" i="7"/>
  <c r="Q30" i="7"/>
  <c r="P30" i="7"/>
  <c r="Q24" i="7"/>
  <c r="P24" i="7"/>
  <c r="Q34" i="7"/>
  <c r="P34" i="7"/>
  <c r="Q28" i="7"/>
  <c r="P28" i="7"/>
  <c r="H74" i="7" l="1"/>
  <c r="H73" i="7"/>
  <c r="I44" i="7"/>
  <c r="G44" i="7"/>
  <c r="F44" i="7"/>
  <c r="D44" i="7"/>
  <c r="I42" i="7"/>
  <c r="G42" i="7"/>
  <c r="F42" i="7"/>
  <c r="D42" i="7"/>
  <c r="I40" i="7"/>
  <c r="G40" i="7"/>
  <c r="F40" i="7"/>
  <c r="D40" i="7"/>
  <c r="J20" i="7"/>
  <c r="J18" i="7"/>
  <c r="J14" i="7"/>
  <c r="H68" i="7"/>
  <c r="H67" i="7"/>
  <c r="H66" i="7"/>
  <c r="H65" i="7"/>
  <c r="H64" i="7"/>
  <c r="H63" i="7"/>
  <c r="H62" i="7"/>
  <c r="H29" i="7" s="1"/>
  <c r="H61" i="7"/>
  <c r="H27" i="7" s="1"/>
  <c r="H60" i="7"/>
  <c r="H25" i="7" s="1"/>
  <c r="H59" i="7"/>
  <c r="H57" i="7"/>
  <c r="I20" i="7"/>
  <c r="G20" i="7"/>
  <c r="F20" i="7"/>
  <c r="D20" i="7"/>
  <c r="I18" i="7"/>
  <c r="G18" i="7"/>
  <c r="F18" i="7"/>
  <c r="D18" i="7"/>
  <c r="H54" i="7"/>
  <c r="I14" i="7"/>
  <c r="G14" i="7"/>
  <c r="F14" i="7"/>
  <c r="D14" i="7"/>
  <c r="H52" i="7"/>
  <c r="M44" i="7"/>
  <c r="M42" i="7"/>
  <c r="L42" i="7"/>
  <c r="M40" i="7"/>
  <c r="L40" i="7"/>
  <c r="M18" i="7"/>
  <c r="L18" i="7"/>
  <c r="M14" i="7"/>
  <c r="L14" i="7"/>
  <c r="K44" i="7"/>
  <c r="K42" i="7"/>
  <c r="K40" i="7"/>
  <c r="K20" i="7"/>
  <c r="K18" i="7"/>
  <c r="K14" i="7"/>
  <c r="C18" i="7"/>
  <c r="C16" i="7"/>
  <c r="C14" i="7"/>
  <c r="O26" i="9" l="1"/>
  <c r="H35" i="7"/>
  <c r="E40" i="7"/>
  <c r="H70" i="7"/>
  <c r="D10" i="9"/>
  <c r="H12" i="7"/>
  <c r="M15" i="9"/>
  <c r="H22" i="7"/>
  <c r="E30" i="22"/>
  <c r="H37" i="7"/>
  <c r="D56" i="9" s="1"/>
  <c r="E14" i="7"/>
  <c r="H53" i="7"/>
  <c r="E44" i="7"/>
  <c r="H72" i="7"/>
  <c r="D24" i="9"/>
  <c r="H31" i="7"/>
  <c r="E18" i="7"/>
  <c r="H55" i="7"/>
  <c r="M25" i="9"/>
  <c r="H33" i="7"/>
  <c r="O52" i="9"/>
  <c r="D52" i="9"/>
  <c r="M52" i="9"/>
  <c r="E42" i="7"/>
  <c r="H71" i="7"/>
  <c r="D12" i="9"/>
  <c r="H16" i="7"/>
  <c r="O47" i="9"/>
  <c r="O46" i="9"/>
  <c r="M46" i="9"/>
  <c r="M47" i="9"/>
  <c r="D46" i="9"/>
  <c r="D47" i="9"/>
  <c r="O48" i="9"/>
  <c r="D51" i="9"/>
  <c r="M51" i="9"/>
  <c r="M50" i="9"/>
  <c r="D50" i="9"/>
  <c r="D49" i="9"/>
  <c r="D48" i="9"/>
  <c r="O49" i="9"/>
  <c r="M48" i="9"/>
  <c r="M49" i="9"/>
  <c r="E20" i="7"/>
  <c r="H56" i="7"/>
  <c r="M12" i="7"/>
  <c r="L12" i="7"/>
  <c r="K12" i="7"/>
  <c r="J12" i="7"/>
  <c r="I12" i="7"/>
  <c r="I9" i="7" s="1"/>
  <c r="I37" i="9" s="1"/>
  <c r="G12" i="7"/>
  <c r="F12" i="7"/>
  <c r="E12" i="7"/>
  <c r="D12" i="7"/>
  <c r="O54" i="9" l="1"/>
  <c r="D54" i="9"/>
  <c r="M53" i="9"/>
  <c r="O53" i="9"/>
  <c r="O31" i="9"/>
  <c r="H44" i="7"/>
  <c r="N37" i="9"/>
  <c r="Q37" i="9"/>
  <c r="Q52" i="9" s="1"/>
  <c r="O30" i="9"/>
  <c r="H42" i="7"/>
  <c r="M55" i="9"/>
  <c r="D55" i="9"/>
  <c r="M14" i="9"/>
  <c r="H20" i="7"/>
  <c r="M54" i="9"/>
  <c r="D13" i="9"/>
  <c r="H18" i="7"/>
  <c r="H9" i="7" s="1"/>
  <c r="D39" i="9" s="1"/>
  <c r="D53" i="9"/>
  <c r="H14" i="7"/>
  <c r="D11" i="9"/>
  <c r="P11" i="7"/>
  <c r="Q11" i="7"/>
  <c r="H40" i="7"/>
  <c r="M29" i="9"/>
  <c r="O55" i="9"/>
  <c r="C12" i="7"/>
  <c r="M58" i="9" l="1"/>
  <c r="M44" i="9"/>
  <c r="D40" i="9"/>
  <c r="D42" i="9"/>
  <c r="M43" i="9"/>
  <c r="O59" i="9"/>
  <c r="M42" i="9"/>
  <c r="M40" i="9"/>
  <c r="O43" i="9"/>
  <c r="O42" i="9"/>
  <c r="O41" i="9"/>
  <c r="O40" i="9"/>
  <c r="O39" i="9"/>
  <c r="M41" i="9"/>
  <c r="O44" i="9"/>
  <c r="M39" i="9"/>
  <c r="D44" i="9"/>
  <c r="D43" i="9"/>
  <c r="D59" i="9"/>
  <c r="M59" i="9"/>
  <c r="M60" i="9"/>
  <c r="D60" i="9"/>
  <c r="O60" i="9"/>
  <c r="D41" i="9"/>
  <c r="O58" i="9"/>
  <c r="D58" i="9"/>
  <c r="I52" i="9"/>
  <c r="N52" i="9"/>
  <c r="O51" i="9"/>
  <c r="O50" i="9"/>
  <c r="J59" i="38"/>
  <c r="O56" i="9" l="1"/>
  <c r="M27" i="9"/>
  <c r="M56" i="9" s="1"/>
  <c r="P93" i="9"/>
  <c r="K15" i="38" l="1"/>
  <c r="O38" i="36"/>
  <c r="O26" i="36"/>
  <c r="O8" i="36"/>
  <c r="O6" i="36"/>
  <c r="N6" i="36"/>
  <c r="E65" i="9" l="1"/>
  <c r="D65" i="9"/>
  <c r="C65" i="9"/>
  <c r="AD34" i="9"/>
  <c r="AC34" i="9"/>
  <c r="AB34" i="9"/>
  <c r="AA34" i="9"/>
  <c r="D107" i="9"/>
  <c r="C107" i="9"/>
  <c r="D106" i="9"/>
  <c r="C106" i="9"/>
  <c r="C105" i="9"/>
  <c r="C104" i="9"/>
  <c r="D103" i="9"/>
  <c r="D102" i="9"/>
  <c r="C108" i="9" l="1"/>
  <c r="D108" i="9"/>
  <c r="E8" i="36"/>
  <c r="H6" i="42"/>
  <c r="I6" i="38"/>
  <c r="C172" i="31"/>
  <c r="F172" i="31"/>
  <c r="E172" i="31"/>
  <c r="D172" i="31"/>
  <c r="C81" i="31"/>
  <c r="F81" i="31"/>
  <c r="E81" i="31"/>
  <c r="D81" i="31"/>
  <c r="E95" i="31"/>
  <c r="D95" i="31"/>
  <c r="C95" i="31"/>
  <c r="E86" i="31" l="1"/>
  <c r="E87" i="31"/>
  <c r="C183" i="31" l="1"/>
  <c r="C92" i="31"/>
  <c r="D183" i="31"/>
  <c r="D92" i="31"/>
  <c r="C182" i="31"/>
  <c r="C91" i="31"/>
  <c r="E108" i="9" l="1"/>
  <c r="E105" i="9"/>
  <c r="E104" i="9"/>
  <c r="E103" i="9"/>
  <c r="E102" i="9"/>
  <c r="D6" i="9" l="1"/>
  <c r="E6" i="9" s="1"/>
  <c r="F51" i="37" l="1"/>
  <c r="D50" i="37"/>
  <c r="C71" i="38"/>
  <c r="F48" i="37"/>
  <c r="C69" i="38"/>
  <c r="C68" i="38"/>
  <c r="C46" i="38"/>
  <c r="D40" i="37"/>
  <c r="D39" i="37"/>
  <c r="F38" i="37"/>
  <c r="F37" i="37"/>
  <c r="F31" i="37"/>
  <c r="D30" i="37"/>
  <c r="C29" i="38"/>
  <c r="C27" i="38"/>
  <c r="D24" i="37"/>
  <c r="D23" i="37"/>
  <c r="C22" i="38"/>
  <c r="D21" i="37"/>
  <c r="D20" i="37"/>
  <c r="C19" i="38"/>
  <c r="C18" i="38"/>
  <c r="J10" i="42"/>
  <c r="J17" i="42" s="1"/>
  <c r="L80" i="38"/>
  <c r="L63" i="38"/>
  <c r="M61" i="38" s="1"/>
  <c r="L15" i="38"/>
  <c r="U146" i="31"/>
  <c r="T18" i="31"/>
  <c r="T17" i="31"/>
  <c r="T15" i="31"/>
  <c r="T14" i="31"/>
  <c r="J18" i="31"/>
  <c r="D44" i="37"/>
  <c r="D51" i="37"/>
  <c r="D52" i="37"/>
  <c r="C74" i="38"/>
  <c r="C73" i="38"/>
  <c r="C66" i="38"/>
  <c r="D34" i="37"/>
  <c r="C39" i="38"/>
  <c r="D25" i="37"/>
  <c r="D27" i="37"/>
  <c r="C25" i="38"/>
  <c r="C32" i="38"/>
  <c r="J12" i="42"/>
  <c r="J19" i="42" s="1"/>
  <c r="F52" i="37"/>
  <c r="F44" i="37"/>
  <c r="F41" i="37"/>
  <c r="D41" i="37"/>
  <c r="F34" i="37"/>
  <c r="F32" i="37"/>
  <c r="F28" i="37"/>
  <c r="F25" i="37"/>
  <c r="I9" i="37"/>
  <c r="J9" i="37" s="1"/>
  <c r="E146" i="31"/>
  <c r="E218" i="31" s="1"/>
  <c r="T19" i="31"/>
  <c r="J17" i="31"/>
  <c r="C20" i="22"/>
  <c r="E20" i="22"/>
  <c r="C21" i="22"/>
  <c r="E21" i="22"/>
  <c r="C23" i="22"/>
  <c r="C24" i="22"/>
  <c r="E17" i="22"/>
  <c r="E18" i="22"/>
  <c r="E6" i="21"/>
  <c r="E8" i="21"/>
  <c r="F6" i="21"/>
  <c r="G6" i="21"/>
  <c r="H6" i="21"/>
  <c r="I6" i="21"/>
  <c r="I8" i="21"/>
  <c r="P166" i="31"/>
  <c r="O166" i="31"/>
  <c r="N166" i="31"/>
  <c r="M166" i="31"/>
  <c r="N168" i="31"/>
  <c r="O168" i="31"/>
  <c r="P168" i="31"/>
  <c r="P165" i="31"/>
  <c r="P164" i="31"/>
  <c r="P163" i="31"/>
  <c r="P162" i="31"/>
  <c r="P160" i="31"/>
  <c r="P159" i="31"/>
  <c r="P156" i="31"/>
  <c r="A10" i="21"/>
  <c r="A11" i="21"/>
  <c r="A12" i="21"/>
  <c r="A13" i="21"/>
  <c r="A14" i="21"/>
  <c r="A15" i="21"/>
  <c r="A16" i="21"/>
  <c r="A17" i="21"/>
  <c r="A18" i="21"/>
  <c r="E217" i="31"/>
  <c r="E216" i="31"/>
  <c r="E214" i="31"/>
  <c r="E213" i="31"/>
  <c r="E210" i="31"/>
  <c r="D214" i="31"/>
  <c r="D213" i="31"/>
  <c r="D210" i="31"/>
  <c r="C222" i="31"/>
  <c r="C219" i="31"/>
  <c r="C218" i="31"/>
  <c r="C217" i="31"/>
  <c r="C216" i="31"/>
  <c r="J92" i="31"/>
  <c r="I92" i="31"/>
  <c r="I91" i="31"/>
  <c r="I90" i="31"/>
  <c r="I89" i="31"/>
  <c r="I87" i="31"/>
  <c r="I86" i="31"/>
  <c r="H92" i="31"/>
  <c r="H91" i="31"/>
  <c r="H90" i="31"/>
  <c r="H89" i="31"/>
  <c r="H87" i="31"/>
  <c r="H86" i="31"/>
  <c r="A11" i="31"/>
  <c r="A12" i="31" s="1"/>
  <c r="A13" i="31" s="1"/>
  <c r="A14" i="31" s="1"/>
  <c r="A15" i="31" s="1"/>
  <c r="A16" i="31" s="1"/>
  <c r="A17" i="31" s="1"/>
  <c r="A18" i="31" s="1"/>
  <c r="A19" i="31" s="1"/>
  <c r="A20" i="31" s="1"/>
  <c r="A21" i="31" s="1"/>
  <c r="A22" i="31" s="1"/>
  <c r="A23" i="31" s="1"/>
  <c r="A28" i="31" s="1"/>
  <c r="A29" i="31" s="1"/>
  <c r="A30" i="31" s="1"/>
  <c r="A31" i="31" s="1"/>
  <c r="A32" i="31" s="1"/>
  <c r="A33" i="31" s="1"/>
  <c r="A34" i="31" s="1"/>
  <c r="A35" i="31" s="1"/>
  <c r="A36" i="31" s="1"/>
  <c r="A37" i="31" s="1"/>
  <c r="A38" i="31" s="1"/>
  <c r="A39" i="31" s="1"/>
  <c r="A40" i="31" s="1"/>
  <c r="A41" i="31" s="1"/>
  <c r="A46" i="31" s="1"/>
  <c r="A47" i="31" s="1"/>
  <c r="A48" i="31" s="1"/>
  <c r="A49" i="31" s="1"/>
  <c r="A50" i="31" s="1"/>
  <c r="A51" i="31" s="1"/>
  <c r="A52" i="31" s="1"/>
  <c r="A53" i="31" s="1"/>
  <c r="A54" i="31" s="1"/>
  <c r="A55" i="31" s="1"/>
  <c r="A56" i="31" s="1"/>
  <c r="A57" i="31" s="1"/>
  <c r="A58" i="31" s="1"/>
  <c r="A59" i="31" s="1"/>
  <c r="A64" i="31" s="1"/>
  <c r="A65" i="31" s="1"/>
  <c r="A66" i="31" s="1"/>
  <c r="A67" i="31" s="1"/>
  <c r="A68" i="31" s="1"/>
  <c r="A69" i="31" s="1"/>
  <c r="A70" i="31" s="1"/>
  <c r="A71" i="31" s="1"/>
  <c r="A72" i="31" s="1"/>
  <c r="A73" i="31" s="1"/>
  <c r="A74" i="31" s="1"/>
  <c r="A75" i="31" s="1"/>
  <c r="A76" i="31" s="1"/>
  <c r="A77" i="31" s="1"/>
  <c r="A82" i="31" s="1"/>
  <c r="A83" i="31" s="1"/>
  <c r="A84" i="31" s="1"/>
  <c r="A85" i="31" s="1"/>
  <c r="A86" i="31" s="1"/>
  <c r="A87" i="31" s="1"/>
  <c r="A88" i="31" s="1"/>
  <c r="A89" i="31" s="1"/>
  <c r="A90" i="31" s="1"/>
  <c r="A91" i="31" s="1"/>
  <c r="A92" i="31" s="1"/>
  <c r="A93" i="31" s="1"/>
  <c r="A94" i="31" s="1"/>
  <c r="A95" i="31" s="1"/>
  <c r="A96" i="31" s="1"/>
  <c r="A10" i="22"/>
  <c r="A11" i="22"/>
  <c r="A12" i="22"/>
  <c r="A13" i="22"/>
  <c r="A14" i="22"/>
  <c r="A15" i="22"/>
  <c r="A16" i="22"/>
  <c r="A17" i="22"/>
  <c r="A10" i="9"/>
  <c r="A11" i="9" s="1"/>
  <c r="A12" i="9" s="1"/>
  <c r="A13" i="9" s="1"/>
  <c r="A14" i="9" s="1"/>
  <c r="A15" i="9" s="1"/>
  <c r="A16" i="9" s="1"/>
  <c r="A17" i="9" s="1"/>
  <c r="A10" i="38"/>
  <c r="D6" i="38"/>
  <c r="E6" i="38"/>
  <c r="D8" i="42" s="1"/>
  <c r="A10" i="42"/>
  <c r="J8" i="22"/>
  <c r="C16" i="37"/>
  <c r="H16" i="37"/>
  <c r="D6" i="37"/>
  <c r="E6" i="37"/>
  <c r="F6" i="37"/>
  <c r="G6" i="37"/>
  <c r="H8" i="37"/>
  <c r="D6" i="36"/>
  <c r="A10" i="36"/>
  <c r="A11" i="36" s="1"/>
  <c r="A12" i="36" s="1"/>
  <c r="A13" i="36" s="1"/>
  <c r="A14" i="36" s="1"/>
  <c r="A15" i="36" s="1"/>
  <c r="A16" i="36" s="1"/>
  <c r="A17" i="36" s="1"/>
  <c r="A18" i="36" s="1"/>
  <c r="A19" i="36" s="1"/>
  <c r="A20" i="36" s="1"/>
  <c r="A21" i="36" s="1"/>
  <c r="A22" i="36" s="1"/>
  <c r="A23" i="36" s="1"/>
  <c r="A24" i="36" s="1"/>
  <c r="A27" i="36" s="1"/>
  <c r="A28" i="36" s="1"/>
  <c r="A29" i="36" s="1"/>
  <c r="A30" i="36" s="1"/>
  <c r="A31" i="36" s="1"/>
  <c r="A32" i="36" s="1"/>
  <c r="A33" i="36" s="1"/>
  <c r="A34" i="36" s="1"/>
  <c r="A35" i="36" s="1"/>
  <c r="A36" i="36" s="1"/>
  <c r="L8" i="38"/>
  <c r="A10" i="7"/>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10" i="37"/>
  <c r="A11" i="37"/>
  <c r="A17" i="37"/>
  <c r="A18" i="37"/>
  <c r="A19" i="37"/>
  <c r="A20" i="37"/>
  <c r="A21" i="37"/>
  <c r="A22" i="37"/>
  <c r="A23" i="37"/>
  <c r="A24" i="37"/>
  <c r="A25" i="37"/>
  <c r="A26" i="37"/>
  <c r="A27" i="37"/>
  <c r="A28" i="37"/>
  <c r="A29" i="37"/>
  <c r="A30" i="37"/>
  <c r="A31" i="37"/>
  <c r="A32" i="37"/>
  <c r="A33" i="37"/>
  <c r="A34" i="37"/>
  <c r="A35" i="37"/>
  <c r="A36" i="37"/>
  <c r="A37" i="37"/>
  <c r="A38" i="37"/>
  <c r="A39" i="37"/>
  <c r="A40" i="37"/>
  <c r="A41" i="37"/>
  <c r="A42" i="37"/>
  <c r="A43" i="37"/>
  <c r="A44" i="37"/>
  <c r="A45" i="37"/>
  <c r="A46" i="37"/>
  <c r="A47" i="37"/>
  <c r="A48" i="37"/>
  <c r="A49" i="37"/>
  <c r="A50" i="37"/>
  <c r="A51" i="37"/>
  <c r="A52" i="37"/>
  <c r="A53" i="37"/>
  <c r="A54" i="37"/>
  <c r="A55" i="37"/>
  <c r="S147" i="31"/>
  <c r="S146" i="31"/>
  <c r="S142" i="31"/>
  <c r="S141" i="31"/>
  <c r="S140" i="31"/>
  <c r="S138" i="31"/>
  <c r="K24" i="22"/>
  <c r="K23" i="22"/>
  <c r="K22" i="22"/>
  <c r="D7" i="31"/>
  <c r="E7" i="31" s="1"/>
  <c r="A9" i="44"/>
  <c r="D24" i="22"/>
  <c r="D23" i="22"/>
  <c r="D18" i="22"/>
  <c r="D17" i="22"/>
  <c r="E8" i="22"/>
  <c r="D8" i="22"/>
  <c r="C8" i="22"/>
  <c r="G10" i="37"/>
  <c r="G11" i="37"/>
  <c r="I19" i="22"/>
  <c r="J19" i="22"/>
  <c r="J25" i="22"/>
  <c r="F22" i="31"/>
  <c r="F95" i="31" s="1"/>
  <c r="T138" i="31"/>
  <c r="T140" i="31"/>
  <c r="T141" i="31"/>
  <c r="T142" i="31"/>
  <c r="C143" i="31"/>
  <c r="R144" i="31"/>
  <c r="T144" i="31"/>
  <c r="R145" i="31"/>
  <c r="T145" i="31"/>
  <c r="R146" i="31"/>
  <c r="R147" i="31"/>
  <c r="R150" i="31"/>
  <c r="M168" i="31"/>
  <c r="D6" i="22"/>
  <c r="E6" i="22"/>
  <c r="D6" i="7"/>
  <c r="E6" i="7" s="1"/>
  <c r="E6" i="42"/>
  <c r="F6" i="42" s="1"/>
  <c r="G6" i="42" s="1"/>
  <c r="I6" i="42"/>
  <c r="J6" i="42" s="1"/>
  <c r="K6" i="42" s="1"/>
  <c r="L6" i="42" s="1"/>
  <c r="M6" i="42" s="1"/>
  <c r="N6" i="42" s="1"/>
  <c r="O6" i="42" s="1"/>
  <c r="M23" i="22"/>
  <c r="L23" i="22"/>
  <c r="G25" i="22"/>
  <c r="O165" i="31"/>
  <c r="O164" i="31"/>
  <c r="R143" i="31"/>
  <c r="F8" i="37"/>
  <c r="A11" i="38"/>
  <c r="A12" i="38" s="1"/>
  <c r="A13" i="38" s="1"/>
  <c r="A14" i="38" s="1"/>
  <c r="A15" i="38" s="1"/>
  <c r="F6" i="9"/>
  <c r="G6" i="9" s="1"/>
  <c r="H6" i="9" s="1"/>
  <c r="I6" i="9" s="1"/>
  <c r="C16" i="21"/>
  <c r="F8" i="22"/>
  <c r="F6" i="22"/>
  <c r="G6" i="22"/>
  <c r="H6" i="37"/>
  <c r="I6" i="37"/>
  <c r="A18" i="22"/>
  <c r="A19" i="22"/>
  <c r="A20" i="22"/>
  <c r="A21" i="22"/>
  <c r="A22" i="22"/>
  <c r="A11" i="42"/>
  <c r="F8" i="21"/>
  <c r="J6" i="37"/>
  <c r="C14" i="37"/>
  <c r="J8" i="37"/>
  <c r="A23" i="22"/>
  <c r="A24" i="22"/>
  <c r="A25" i="22"/>
  <c r="A26" i="22"/>
  <c r="A27" i="22"/>
  <c r="A28" i="22"/>
  <c r="A29" i="22"/>
  <c r="A30" i="22"/>
  <c r="A31" i="22"/>
  <c r="A12" i="42"/>
  <c r="H6" i="22"/>
  <c r="I6" i="22"/>
  <c r="J6" i="22"/>
  <c r="K6" i="22"/>
  <c r="L6" i="22"/>
  <c r="M6" i="22"/>
  <c r="K8" i="22"/>
  <c r="C8" i="38"/>
  <c r="D14" i="37"/>
  <c r="D16" i="37"/>
  <c r="I8" i="37"/>
  <c r="F16" i="37"/>
  <c r="J6" i="38"/>
  <c r="A32" i="22"/>
  <c r="A33" i="22"/>
  <c r="A34" i="22"/>
  <c r="A35" i="22"/>
  <c r="M8" i="22"/>
  <c r="L8" i="22"/>
  <c r="H8" i="42"/>
  <c r="E14" i="37"/>
  <c r="G8" i="21"/>
  <c r="F14" i="37"/>
  <c r="G14" i="37"/>
  <c r="H14" i="37"/>
  <c r="I14" i="37"/>
  <c r="E16" i="37"/>
  <c r="C24" i="1"/>
  <c r="R94" i="38"/>
  <c r="M156" i="31"/>
  <c r="M159" i="31"/>
  <c r="M160" i="31"/>
  <c r="N162" i="31"/>
  <c r="N163" i="31"/>
  <c r="E6" i="36" l="1"/>
  <c r="F6" i="36" s="1"/>
  <c r="H6" i="36" s="1"/>
  <c r="A39" i="36"/>
  <c r="A40" i="36" s="1"/>
  <c r="A41" i="36" s="1"/>
  <c r="A42" i="36" s="1"/>
  <c r="A43" i="36" s="1"/>
  <c r="A44" i="36" s="1"/>
  <c r="A45" i="36" s="1"/>
  <c r="A46" i="36" s="1"/>
  <c r="A47" i="36" s="1"/>
  <c r="A48" i="36" s="1"/>
  <c r="A49" i="36" s="1"/>
  <c r="A50" i="36" s="1"/>
  <c r="A51" i="36" s="1"/>
  <c r="A13" i="42"/>
  <c r="K6" i="38"/>
  <c r="I8" i="42"/>
  <c r="I8" i="38"/>
  <c r="H8" i="38"/>
  <c r="G8" i="38"/>
  <c r="J8" i="38"/>
  <c r="E8" i="38"/>
  <c r="F8" i="38"/>
  <c r="A17" i="38"/>
  <c r="F6" i="38"/>
  <c r="A101" i="31"/>
  <c r="A102" i="31" s="1"/>
  <c r="A103" i="31" s="1"/>
  <c r="A104" i="31" s="1"/>
  <c r="A105" i="31" s="1"/>
  <c r="A106" i="31" s="1"/>
  <c r="A107" i="31" s="1"/>
  <c r="A108" i="31" s="1"/>
  <c r="A109" i="31" s="1"/>
  <c r="A110" i="31" s="1"/>
  <c r="A111" i="31" s="1"/>
  <c r="A112" i="31" s="1"/>
  <c r="A113" i="31" s="1"/>
  <c r="A114" i="31" s="1"/>
  <c r="A119" i="31" s="1"/>
  <c r="A120" i="31" s="1"/>
  <c r="A121" i="31" s="1"/>
  <c r="A122" i="31" s="1"/>
  <c r="A123" i="31" s="1"/>
  <c r="A124" i="31" s="1"/>
  <c r="A125" i="31" s="1"/>
  <c r="A126" i="31" s="1"/>
  <c r="A127" i="31" s="1"/>
  <c r="A128" i="31" s="1"/>
  <c r="A129" i="31" s="1"/>
  <c r="A130" i="31" s="1"/>
  <c r="A131" i="31" s="1"/>
  <c r="A132" i="31" s="1"/>
  <c r="A137" i="31" s="1"/>
  <c r="A138" i="31" s="1"/>
  <c r="A139" i="31" s="1"/>
  <c r="A140" i="31" s="1"/>
  <c r="A141" i="31" s="1"/>
  <c r="A142" i="31" s="1"/>
  <c r="A143" i="31" s="1"/>
  <c r="A144" i="31" s="1"/>
  <c r="A145" i="31" s="1"/>
  <c r="A146" i="31" s="1"/>
  <c r="A147" i="31" s="1"/>
  <c r="A148" i="31" s="1"/>
  <c r="F7" i="31"/>
  <c r="F9" i="31"/>
  <c r="D19" i="22"/>
  <c r="A18" i="9"/>
  <c r="A19" i="9" s="1"/>
  <c r="A20" i="9" s="1"/>
  <c r="A21" i="9" s="1"/>
  <c r="A22" i="9" s="1"/>
  <c r="A23" i="9" s="1"/>
  <c r="A24" i="9" s="1"/>
  <c r="A25" i="9" s="1"/>
  <c r="A26" i="9" s="1"/>
  <c r="A27" i="9" s="1"/>
  <c r="A28" i="9" s="1"/>
  <c r="A29" i="9" s="1"/>
  <c r="A30" i="9" s="1"/>
  <c r="A31" i="9" s="1"/>
  <c r="A37" i="9" s="1"/>
  <c r="J6" i="9"/>
  <c r="K6" i="9" s="1"/>
  <c r="L6" i="9" s="1"/>
  <c r="F6" i="7"/>
  <c r="G6" i="7" s="1"/>
  <c r="F22" i="37"/>
  <c r="C24" i="38"/>
  <c r="C16" i="36" s="1"/>
  <c r="E16" i="36" s="1"/>
  <c r="E117" i="38"/>
  <c r="K87" i="31"/>
  <c r="F20" i="37"/>
  <c r="F24" i="37"/>
  <c r="C17" i="36"/>
  <c r="E17" i="36" s="1"/>
  <c r="F19" i="37"/>
  <c r="J14" i="42"/>
  <c r="J21" i="42" s="1"/>
  <c r="K86" i="31"/>
  <c r="D18" i="37"/>
  <c r="L107" i="38"/>
  <c r="E19" i="22"/>
  <c r="F39" i="37"/>
  <c r="J9" i="44"/>
  <c r="D22" i="37"/>
  <c r="C45" i="38"/>
  <c r="C34" i="36" s="1"/>
  <c r="E34" i="36" s="1"/>
  <c r="F50" i="37"/>
  <c r="C23" i="38"/>
  <c r="C15" i="36" s="1"/>
  <c r="E15" i="36" s="1"/>
  <c r="C35" i="36"/>
  <c r="E35" i="36" s="1"/>
  <c r="C72" i="38"/>
  <c r="J15" i="31"/>
  <c r="E178" i="31" s="1"/>
  <c r="C10" i="36"/>
  <c r="E10" i="36" s="1"/>
  <c r="C44" i="38"/>
  <c r="C33" i="36" s="1"/>
  <c r="E33" i="36" s="1"/>
  <c r="K90" i="31"/>
  <c r="D48" i="37"/>
  <c r="F18" i="37"/>
  <c r="F29" i="37"/>
  <c r="F49" i="37"/>
  <c r="D29" i="37"/>
  <c r="C31" i="38"/>
  <c r="C23" i="36" s="1"/>
  <c r="E23" i="36" s="1"/>
  <c r="C42" i="37"/>
  <c r="D42" i="37" s="1"/>
  <c r="F42" i="37" s="1"/>
  <c r="F30" i="37"/>
  <c r="C30" i="38"/>
  <c r="C22" i="36" s="1"/>
  <c r="E22" i="36" s="1"/>
  <c r="D49" i="37"/>
  <c r="L47" i="38"/>
  <c r="C70" i="38"/>
  <c r="K165" i="31"/>
  <c r="J165" i="31" s="1"/>
  <c r="K162" i="31"/>
  <c r="I162" i="31" s="1"/>
  <c r="F21" i="37"/>
  <c r="C21" i="38"/>
  <c r="C13" i="36" s="1"/>
  <c r="E13" i="36" s="1"/>
  <c r="K163" i="31"/>
  <c r="I163" i="31" s="1"/>
  <c r="K91" i="31"/>
  <c r="J19" i="31"/>
  <c r="J91" i="31" s="1"/>
  <c r="K164" i="31"/>
  <c r="J164" i="31" s="1"/>
  <c r="F26" i="37"/>
  <c r="C26" i="38"/>
  <c r="C18" i="36" s="1"/>
  <c r="E18" i="36" s="1"/>
  <c r="D26" i="37"/>
  <c r="F35" i="37"/>
  <c r="C40" i="38"/>
  <c r="C29" i="36" s="1"/>
  <c r="E29" i="36" s="1"/>
  <c r="D35" i="37"/>
  <c r="F45" i="37"/>
  <c r="C67" i="38"/>
  <c r="D45" i="37"/>
  <c r="D53" i="37"/>
  <c r="C75" i="38"/>
  <c r="C25" i="22"/>
  <c r="F53" i="37"/>
  <c r="L53" i="38"/>
  <c r="M52" i="38" s="1"/>
  <c r="L32" i="38"/>
  <c r="C11" i="36"/>
  <c r="E11" i="36" s="1"/>
  <c r="C19" i="36"/>
  <c r="E19" i="36" s="1"/>
  <c r="K159" i="31"/>
  <c r="H159" i="31" s="1"/>
  <c r="C14" i="36"/>
  <c r="E14" i="36" s="1"/>
  <c r="L58" i="38"/>
  <c r="M56" i="38" s="1"/>
  <c r="D38" i="37"/>
  <c r="C43" i="38"/>
  <c r="C32" i="36" s="1"/>
  <c r="E32" i="36" s="1"/>
  <c r="J14" i="31"/>
  <c r="J90" i="31"/>
  <c r="D19" i="37"/>
  <c r="F108" i="9"/>
  <c r="L106" i="38"/>
  <c r="L86" i="38"/>
  <c r="M85" i="38" s="1"/>
  <c r="F46" i="37"/>
  <c r="D46" i="37"/>
  <c r="F54" i="37"/>
  <c r="D54" i="37"/>
  <c r="C55" i="37"/>
  <c r="C76" i="38"/>
  <c r="K92" i="31"/>
  <c r="D47" i="37"/>
  <c r="F47" i="37"/>
  <c r="K160" i="31"/>
  <c r="H160" i="31" s="1"/>
  <c r="L98" i="38"/>
  <c r="C21" i="36"/>
  <c r="E21" i="36" s="1"/>
  <c r="C20" i="38"/>
  <c r="C12" i="36" s="1"/>
  <c r="E12" i="36" s="1"/>
  <c r="D28" i="37"/>
  <c r="C28" i="38"/>
  <c r="C20" i="36" s="1"/>
  <c r="E20" i="36" s="1"/>
  <c r="D37" i="37"/>
  <c r="M62" i="38"/>
  <c r="D36" i="37"/>
  <c r="C41" i="38"/>
  <c r="C30" i="36" s="1"/>
  <c r="E30" i="36" s="1"/>
  <c r="AD23" i="9"/>
  <c r="F36" i="37"/>
  <c r="C42" i="38"/>
  <c r="C31" i="36" s="1"/>
  <c r="E31" i="36" s="1"/>
  <c r="L90" i="38"/>
  <c r="K89" i="31"/>
  <c r="F27" i="37"/>
  <c r="J11" i="42"/>
  <c r="J18" i="42" s="1"/>
  <c r="D31" i="37"/>
  <c r="C28" i="36"/>
  <c r="E28" i="36" s="1"/>
  <c r="F23" i="37"/>
  <c r="F40" i="37"/>
  <c r="J89" i="31"/>
  <c r="T146" i="31"/>
  <c r="L114" i="38"/>
  <c r="L113" i="38"/>
  <c r="P32" i="38" l="1"/>
  <c r="O32" i="38"/>
  <c r="N32" i="38"/>
  <c r="Q47" i="38"/>
  <c r="O47" i="38"/>
  <c r="L111" i="38"/>
  <c r="M30" i="38"/>
  <c r="M23" i="38"/>
  <c r="J86" i="31"/>
  <c r="E177" i="31"/>
  <c r="I6" i="36"/>
  <c r="J6" i="36" s="1"/>
  <c r="H26" i="36"/>
  <c r="A14" i="42"/>
  <c r="G6" i="38"/>
  <c r="E8" i="42"/>
  <c r="A18" i="38"/>
  <c r="A19" i="38" s="1"/>
  <c r="A20" i="38" s="1"/>
  <c r="A21" i="38" s="1"/>
  <c r="A22" i="38" s="1"/>
  <c r="A23" i="38" s="1"/>
  <c r="A24" i="38" s="1"/>
  <c r="A25" i="38" s="1"/>
  <c r="A26" i="38" s="1"/>
  <c r="A27" i="38" s="1"/>
  <c r="A28" i="38" s="1"/>
  <c r="A29" i="38" s="1"/>
  <c r="A30" i="38" s="1"/>
  <c r="A31" i="38" s="1"/>
  <c r="A32" i="38" s="1"/>
  <c r="A33" i="38" s="1"/>
  <c r="A34" i="38" s="1"/>
  <c r="A36" i="38" s="1"/>
  <c r="L6" i="38"/>
  <c r="A149" i="31"/>
  <c r="A150" i="31" s="1"/>
  <c r="A155" i="31" s="1"/>
  <c r="A156" i="31" s="1"/>
  <c r="A157" i="31" s="1"/>
  <c r="A158" i="31" s="1"/>
  <c r="A159" i="31" s="1"/>
  <c r="A160" i="31" s="1"/>
  <c r="A161" i="31" s="1"/>
  <c r="A162" i="31" s="1"/>
  <c r="A163" i="31" s="1"/>
  <c r="A164" i="31" s="1"/>
  <c r="A165" i="31" s="1"/>
  <c r="A166" i="31" s="1"/>
  <c r="A167" i="31" s="1"/>
  <c r="A168" i="31" s="1"/>
  <c r="A173" i="31" s="1"/>
  <c r="A174" i="31" s="1"/>
  <c r="A175" i="31" s="1"/>
  <c r="A176" i="31" s="1"/>
  <c r="A177" i="31" s="1"/>
  <c r="A178" i="31" s="1"/>
  <c r="A179" i="31" s="1"/>
  <c r="A180" i="31" s="1"/>
  <c r="A181" i="31" s="1"/>
  <c r="A182" i="31" s="1"/>
  <c r="A183" i="31" s="1"/>
  <c r="A184" i="31" s="1"/>
  <c r="A185" i="31" s="1"/>
  <c r="A186" i="31" s="1"/>
  <c r="A191" i="31" s="1"/>
  <c r="A192" i="31" s="1"/>
  <c r="A193" i="31" s="1"/>
  <c r="A194" i="31" s="1"/>
  <c r="A195" i="31" s="1"/>
  <c r="A196" i="31" s="1"/>
  <c r="A197" i="31" s="1"/>
  <c r="A198" i="31" s="1"/>
  <c r="A199" i="31" s="1"/>
  <c r="A200" i="31" s="1"/>
  <c r="A201" i="31" s="1"/>
  <c r="A202" i="31" s="1"/>
  <c r="A203" i="31" s="1"/>
  <c r="A204" i="31" s="1"/>
  <c r="A209" i="31" s="1"/>
  <c r="A210" i="31" s="1"/>
  <c r="A211" i="31" s="1"/>
  <c r="A212" i="31" s="1"/>
  <c r="A213" i="31" s="1"/>
  <c r="A214" i="31" s="1"/>
  <c r="A215" i="31" s="1"/>
  <c r="A216" i="31" s="1"/>
  <c r="A217" i="31" s="1"/>
  <c r="A218" i="31" s="1"/>
  <c r="A219" i="31" s="1"/>
  <c r="A220" i="31" s="1"/>
  <c r="A221" i="31" s="1"/>
  <c r="A222" i="31" s="1"/>
  <c r="H7" i="31"/>
  <c r="M57" i="38"/>
  <c r="B53" i="36"/>
  <c r="A38" i="9"/>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94" i="9" s="1"/>
  <c r="A95" i="9" s="1"/>
  <c r="A96" i="9" s="1"/>
  <c r="A97" i="9" s="1"/>
  <c r="A98" i="9" s="1"/>
  <c r="A99" i="9" s="1"/>
  <c r="A100" i="9" s="1"/>
  <c r="A101" i="9" s="1"/>
  <c r="A102" i="9" s="1"/>
  <c r="A103" i="9" s="1"/>
  <c r="A104" i="9" s="1"/>
  <c r="A105" i="9" s="1"/>
  <c r="A106" i="9" s="1"/>
  <c r="A107" i="9" s="1"/>
  <c r="A108" i="9" s="1"/>
  <c r="A109" i="9" s="1"/>
  <c r="A110" i="9" s="1"/>
  <c r="A111" i="9" s="1"/>
  <c r="A112" i="9" s="1"/>
  <c r="M6" i="9"/>
  <c r="N6" i="9" s="1"/>
  <c r="O6" i="9" s="1"/>
  <c r="C8" i="7"/>
  <c r="J11" i="44"/>
  <c r="C47" i="38"/>
  <c r="C36" i="36" s="1"/>
  <c r="E36" i="36" s="1"/>
  <c r="I10" i="37"/>
  <c r="J10" i="37" s="1"/>
  <c r="C24" i="36"/>
  <c r="M42" i="38"/>
  <c r="M43" i="38"/>
  <c r="J87" i="31"/>
  <c r="J10" i="44"/>
  <c r="M26" i="38"/>
  <c r="M39" i="38"/>
  <c r="M19" i="38"/>
  <c r="M25" i="38"/>
  <c r="M27" i="38"/>
  <c r="M44" i="38"/>
  <c r="M24" i="38"/>
  <c r="M21" i="38"/>
  <c r="M41" i="38"/>
  <c r="M40" i="38"/>
  <c r="L34" i="38"/>
  <c r="M18" i="38"/>
  <c r="M46" i="38"/>
  <c r="M50" i="38"/>
  <c r="M28" i="38"/>
  <c r="M51" i="38"/>
  <c r="M45" i="38"/>
  <c r="M31" i="38"/>
  <c r="M20" i="38"/>
  <c r="M29" i="38"/>
  <c r="M22" i="38"/>
  <c r="M88" i="38"/>
  <c r="M89" i="38"/>
  <c r="M92" i="38"/>
  <c r="C77" i="38"/>
  <c r="D55" i="37"/>
  <c r="F55" i="37"/>
  <c r="I11" i="37"/>
  <c r="J11" i="37" s="1"/>
  <c r="M84" i="38"/>
  <c r="M86" i="38"/>
  <c r="L118" i="38"/>
  <c r="J15" i="42" l="1"/>
  <c r="J22" i="42" s="1"/>
  <c r="I26" i="36"/>
  <c r="D23" i="36"/>
  <c r="E24" i="36"/>
  <c r="F12" i="36" s="1"/>
  <c r="A15" i="42"/>
  <c r="E16" i="38"/>
  <c r="C8" i="36"/>
  <c r="M6" i="38"/>
  <c r="N6" i="38" s="1"/>
  <c r="J8" i="42"/>
  <c r="F16" i="38"/>
  <c r="R8" i="38"/>
  <c r="M16" i="38"/>
  <c r="H16" i="38"/>
  <c r="A38" i="38"/>
  <c r="A39" i="38" s="1"/>
  <c r="F35" i="38"/>
  <c r="I35" i="38"/>
  <c r="H35" i="38"/>
  <c r="J35" i="38"/>
  <c r="G35" i="38"/>
  <c r="E35" i="38"/>
  <c r="G16" i="38"/>
  <c r="I16" i="38"/>
  <c r="F8" i="42"/>
  <c r="H6" i="38"/>
  <c r="G8" i="42" s="1"/>
  <c r="I7" i="31"/>
  <c r="D16" i="36"/>
  <c r="A113" i="9"/>
  <c r="A114" i="9" s="1"/>
  <c r="A115" i="9" s="1"/>
  <c r="A116" i="9" s="1"/>
  <c r="M90" i="38"/>
  <c r="D10" i="36"/>
  <c r="D15" i="36"/>
  <c r="P6" i="9"/>
  <c r="Q6" i="9" s="1"/>
  <c r="R6" i="9" s="1"/>
  <c r="P8" i="7"/>
  <c r="F29" i="36"/>
  <c r="D28" i="36"/>
  <c r="D34" i="36"/>
  <c r="D32" i="36"/>
  <c r="D30" i="36"/>
  <c r="J13" i="44"/>
  <c r="M47" i="38"/>
  <c r="D19" i="36"/>
  <c r="D11" i="36"/>
  <c r="D20" i="36"/>
  <c r="D14" i="36"/>
  <c r="D21" i="36"/>
  <c r="D22" i="36"/>
  <c r="D13" i="36"/>
  <c r="D18" i="36"/>
  <c r="D24" i="36"/>
  <c r="D17" i="36"/>
  <c r="D12" i="36"/>
  <c r="C25" i="36"/>
  <c r="F34" i="36"/>
  <c r="D29" i="36"/>
  <c r="D33" i="36"/>
  <c r="D35" i="36"/>
  <c r="D31" i="36"/>
  <c r="J13" i="42"/>
  <c r="J20" i="42" s="1"/>
  <c r="A16" i="42" l="1"/>
  <c r="A17" i="42" s="1"/>
  <c r="A40" i="38"/>
  <c r="A41" i="38" s="1"/>
  <c r="A42" i="38" s="1"/>
  <c r="A43" i="38" s="1"/>
  <c r="A44" i="38" s="1"/>
  <c r="A45" i="38" s="1"/>
  <c r="A46" i="38" s="1"/>
  <c r="A47" i="38" s="1"/>
  <c r="A49" i="38" s="1"/>
  <c r="A50" i="38" s="1"/>
  <c r="F37" i="38"/>
  <c r="E37" i="38"/>
  <c r="O6" i="38"/>
  <c r="K8" i="42"/>
  <c r="J7" i="31"/>
  <c r="F28" i="36"/>
  <c r="F33" i="36"/>
  <c r="F30" i="36"/>
  <c r="F35" i="36"/>
  <c r="F31" i="36"/>
  <c r="F32" i="36"/>
  <c r="S6" i="9"/>
  <c r="C93" i="9"/>
  <c r="E25" i="36"/>
  <c r="F14" i="36"/>
  <c r="O93" i="9"/>
  <c r="F19" i="36"/>
  <c r="F17" i="36"/>
  <c r="F20" i="36"/>
  <c r="F11" i="36"/>
  <c r="F22" i="36"/>
  <c r="F21" i="36"/>
  <c r="F15" i="36"/>
  <c r="F23" i="36"/>
  <c r="F13" i="36"/>
  <c r="F18" i="36"/>
  <c r="F16" i="36"/>
  <c r="F10" i="36"/>
  <c r="D36" i="36"/>
  <c r="K6" i="36" l="1"/>
  <c r="J26" i="36"/>
  <c r="A18" i="42"/>
  <c r="C19" i="42"/>
  <c r="C20" i="42"/>
  <c r="G37" i="38"/>
  <c r="I37" i="38"/>
  <c r="A51" i="38"/>
  <c r="A52" i="38" s="1"/>
  <c r="A53" i="38" s="1"/>
  <c r="A55" i="38" s="1"/>
  <c r="A56" i="38" s="1"/>
  <c r="G48" i="38"/>
  <c r="E48" i="38"/>
  <c r="J48" i="38"/>
  <c r="H37" i="38"/>
  <c r="L8" i="42"/>
  <c r="P6" i="38"/>
  <c r="K7" i="31"/>
  <c r="F36" i="36"/>
  <c r="T6" i="9"/>
  <c r="U6" i="9" s="1"/>
  <c r="V6" i="9" s="1"/>
  <c r="W6" i="9" s="1"/>
  <c r="X6" i="9" s="1"/>
  <c r="D93" i="9"/>
  <c r="F24" i="36"/>
  <c r="L6" i="36" l="1"/>
  <c r="M6" i="36" s="1"/>
  <c r="K26" i="36"/>
  <c r="A19" i="42"/>
  <c r="A20" i="42" s="1"/>
  <c r="A21" i="42" s="1"/>
  <c r="A22" i="42" s="1"/>
  <c r="C21" i="42"/>
  <c r="C22" i="42"/>
  <c r="F48" i="38"/>
  <c r="A57" i="38"/>
  <c r="A58" i="38" s="1"/>
  <c r="A60" i="38" s="1"/>
  <c r="A61" i="38" s="1"/>
  <c r="M8" i="42"/>
  <c r="Q6" i="38"/>
  <c r="J9" i="31"/>
  <c r="M7" i="31"/>
  <c r="Y6" i="9"/>
  <c r="Z6" i="9" s="1"/>
  <c r="AA6" i="9" s="1"/>
  <c r="AB6" i="9" s="1"/>
  <c r="AC6" i="9" s="1"/>
  <c r="AD6" i="9" s="1"/>
  <c r="E93" i="9"/>
  <c r="C34" i="9" l="1"/>
  <c r="AD8" i="9"/>
  <c r="L26" i="36"/>
  <c r="I54" i="38"/>
  <c r="J54" i="38"/>
  <c r="H54" i="38"/>
  <c r="E59" i="38"/>
  <c r="A62" i="38"/>
  <c r="A63" i="38" s="1"/>
  <c r="A65" i="38" s="1"/>
  <c r="N8" i="42"/>
  <c r="R6" i="38"/>
  <c r="O8" i="42" s="1"/>
  <c r="E54" i="38"/>
  <c r="G54" i="38"/>
  <c r="F54" i="38"/>
  <c r="N7" i="31"/>
  <c r="H81" i="31"/>
  <c r="A66" i="38" l="1"/>
  <c r="F59" i="38"/>
  <c r="O7" i="31"/>
  <c r="I81" i="31"/>
  <c r="I80" i="38"/>
  <c r="I58" i="38"/>
  <c r="A67" i="38" l="1"/>
  <c r="A68" i="38" s="1"/>
  <c r="A69" i="38" s="1"/>
  <c r="A70" i="38" s="1"/>
  <c r="A71" i="38" s="1"/>
  <c r="A72" i="38" s="1"/>
  <c r="A73" i="38" s="1"/>
  <c r="A74" i="38" s="1"/>
  <c r="A75" i="38" s="1"/>
  <c r="A76" i="38" s="1"/>
  <c r="P7" i="31"/>
  <c r="J81" i="31"/>
  <c r="I38" i="36"/>
  <c r="I8" i="36"/>
  <c r="D34" i="9"/>
  <c r="I39" i="38"/>
  <c r="I44" i="38"/>
  <c r="I46" i="38"/>
  <c r="I43" i="38"/>
  <c r="I45" i="38"/>
  <c r="I41" i="38"/>
  <c r="I42" i="38"/>
  <c r="I40" i="38"/>
  <c r="G9" i="44"/>
  <c r="I15" i="38"/>
  <c r="F9" i="44"/>
  <c r="M9" i="44" s="1"/>
  <c r="H15" i="38"/>
  <c r="H39" i="38"/>
  <c r="O39" i="38" s="1"/>
  <c r="H41" i="38"/>
  <c r="O41" i="38" s="1"/>
  <c r="H43" i="38"/>
  <c r="O43" i="38" s="1"/>
  <c r="H40" i="38"/>
  <c r="O40" i="38" s="1"/>
  <c r="H45" i="38"/>
  <c r="O45" i="38" s="1"/>
  <c r="H44" i="38"/>
  <c r="O44" i="38" s="1"/>
  <c r="H46" i="38"/>
  <c r="O46" i="38" s="1"/>
  <c r="H42" i="38"/>
  <c r="H27" i="38"/>
  <c r="O27" i="38" s="1"/>
  <c r="H34" i="38"/>
  <c r="H31" i="38"/>
  <c r="O31" i="38" s="1"/>
  <c r="H21" i="38"/>
  <c r="O21" i="38" s="1"/>
  <c r="H26" i="38"/>
  <c r="O26" i="38" s="1"/>
  <c r="H18" i="38"/>
  <c r="O18" i="38" s="1"/>
  <c r="H19" i="38"/>
  <c r="O19" i="38" s="1"/>
  <c r="H22" i="38"/>
  <c r="O22" i="38" s="1"/>
  <c r="H23" i="38"/>
  <c r="O23" i="38" s="1"/>
  <c r="H25" i="38"/>
  <c r="O25" i="38" s="1"/>
  <c r="H24" i="38"/>
  <c r="O24" i="38" s="1"/>
  <c r="H30" i="38"/>
  <c r="O30" i="38" s="1"/>
  <c r="H20" i="38"/>
  <c r="O20" i="38" s="1"/>
  <c r="H29" i="38"/>
  <c r="O29" i="38" s="1"/>
  <c r="H28" i="38"/>
  <c r="I81" i="38"/>
  <c r="I34" i="38"/>
  <c r="I26" i="38"/>
  <c r="I19" i="38"/>
  <c r="I30" i="38"/>
  <c r="I23" i="38"/>
  <c r="I25" i="38"/>
  <c r="I28" i="38"/>
  <c r="I20" i="38"/>
  <c r="I29" i="38"/>
  <c r="I27" i="38"/>
  <c r="I22" i="38"/>
  <c r="I18" i="38"/>
  <c r="I31" i="38"/>
  <c r="I21" i="38"/>
  <c r="I24" i="38"/>
  <c r="E34" i="9" l="1"/>
  <c r="L8" i="36"/>
  <c r="J16" i="38"/>
  <c r="J37" i="38"/>
  <c r="A77" i="38"/>
  <c r="O9" i="31"/>
  <c r="M9" i="31"/>
  <c r="R7" i="31"/>
  <c r="N9" i="31"/>
  <c r="K81" i="31"/>
  <c r="M38" i="36"/>
  <c r="A78" i="38" l="1"/>
  <c r="S7" i="31"/>
  <c r="A79" i="38" l="1"/>
  <c r="F64" i="38"/>
  <c r="E64" i="38"/>
  <c r="T7" i="31"/>
  <c r="H8" i="36"/>
  <c r="H38" i="36"/>
  <c r="F34" i="9"/>
  <c r="G34" i="9" s="1"/>
  <c r="H34" i="9" s="1"/>
  <c r="I34" i="9" s="1"/>
  <c r="A80" i="38" l="1"/>
  <c r="A81" i="38" s="1"/>
  <c r="A83" i="38" s="1"/>
  <c r="A84" i="38" s="1"/>
  <c r="J64" i="38"/>
  <c r="H64" i="38"/>
  <c r="G64" i="38"/>
  <c r="I64" i="38"/>
  <c r="U7" i="31"/>
  <c r="A85" i="38" l="1"/>
  <c r="A86" i="38" s="1"/>
  <c r="A88" i="38" s="1"/>
  <c r="J82" i="38"/>
  <c r="E82" i="38"/>
  <c r="F82" i="38"/>
  <c r="I82" i="38"/>
  <c r="G82" i="38"/>
  <c r="T9" i="31"/>
  <c r="C26" i="31"/>
  <c r="J34" i="9"/>
  <c r="J8" i="36"/>
  <c r="J38" i="36"/>
  <c r="E74" i="31"/>
  <c r="E92" i="31" l="1"/>
  <c r="E183" i="31"/>
  <c r="A89" i="38"/>
  <c r="J87" i="38" s="1"/>
  <c r="H87" i="38"/>
  <c r="F87" i="38"/>
  <c r="I87" i="38"/>
  <c r="E87" i="38"/>
  <c r="G87" i="38"/>
  <c r="H82" i="38"/>
  <c r="D26" i="31"/>
  <c r="K34" i="9"/>
  <c r="A90" i="38" l="1"/>
  <c r="A92" i="38" s="1"/>
  <c r="A94" i="38" s="1"/>
  <c r="E26" i="31"/>
  <c r="L34" i="9"/>
  <c r="F20" i="31"/>
  <c r="F183" i="31" l="1"/>
  <c r="H95" i="38" s="1"/>
  <c r="F92" i="31"/>
  <c r="F165" i="31" s="1"/>
  <c r="A95" i="38"/>
  <c r="G93" i="38"/>
  <c r="E93" i="38"/>
  <c r="H93" i="38"/>
  <c r="I93" i="38"/>
  <c r="J93" i="38"/>
  <c r="F26" i="31"/>
  <c r="M34" i="9"/>
  <c r="N34" i="9" s="1"/>
  <c r="A96" i="38" l="1"/>
  <c r="A98" i="38" s="1"/>
  <c r="F93" i="38"/>
  <c r="D27" i="31"/>
  <c r="C27" i="31"/>
  <c r="C44" i="31"/>
  <c r="E27" i="31"/>
  <c r="O34" i="9"/>
  <c r="A99" i="38" l="1"/>
  <c r="A100" i="38" s="1"/>
  <c r="A102" i="38" s="1"/>
  <c r="E97" i="38"/>
  <c r="J97" i="38"/>
  <c r="G97" i="38"/>
  <c r="F97" i="38"/>
  <c r="D44" i="31"/>
  <c r="P34" i="9"/>
  <c r="Q34" i="9" s="1"/>
  <c r="R34" i="9" s="1"/>
  <c r="K8" i="36" s="1"/>
  <c r="L97" i="38" l="1"/>
  <c r="L101" i="38"/>
  <c r="I101" i="38"/>
  <c r="E101" i="38"/>
  <c r="J101" i="38"/>
  <c r="H101" i="38"/>
  <c r="F101" i="38"/>
  <c r="A105" i="38"/>
  <c r="A106" i="38" s="1"/>
  <c r="G101" i="38"/>
  <c r="I97" i="38"/>
  <c r="H97" i="38"/>
  <c r="E44" i="31"/>
  <c r="K38" i="36"/>
  <c r="S34" i="9"/>
  <c r="K93" i="9"/>
  <c r="A107" i="38" l="1"/>
  <c r="F44" i="31"/>
  <c r="F45" i="31"/>
  <c r="T34" i="9"/>
  <c r="L93" i="9"/>
  <c r="D111" i="31"/>
  <c r="D201" i="31" s="1"/>
  <c r="E111" i="31"/>
  <c r="E201" i="31" s="1"/>
  <c r="C111" i="31"/>
  <c r="C201" i="31" s="1"/>
  <c r="A108" i="38" l="1"/>
  <c r="C62" i="31"/>
  <c r="U34" i="9"/>
  <c r="V34" i="9" s="1"/>
  <c r="W34" i="9" s="1"/>
  <c r="M93" i="9"/>
  <c r="X34" i="9" l="1"/>
  <c r="A109" i="38"/>
  <c r="A110" i="38" s="1"/>
  <c r="A111" i="38" s="1"/>
  <c r="A112" i="38" s="1"/>
  <c r="A113" i="38" s="1"/>
  <c r="A114" i="38" s="1"/>
  <c r="A115" i="38" s="1"/>
  <c r="E104" i="38" s="1"/>
  <c r="Y34" i="9"/>
  <c r="G104" i="38" l="1"/>
  <c r="J104" i="38"/>
  <c r="A116" i="38"/>
  <c r="A117" i="38" s="1"/>
  <c r="A118" i="38" s="1"/>
  <c r="F104" i="38"/>
  <c r="L104" i="38"/>
  <c r="H104" i="38"/>
  <c r="Z34" i="9"/>
  <c r="AD36" i="9" l="1"/>
  <c r="D8" i="38"/>
  <c r="C63" i="9" l="1"/>
  <c r="D62" i="31" l="1"/>
  <c r="D63" i="9"/>
  <c r="E63" i="9" s="1"/>
  <c r="F63" i="9" s="1"/>
  <c r="C91" i="9" s="1"/>
  <c r="E62" i="31" l="1"/>
  <c r="F65" i="9"/>
  <c r="D91" i="9"/>
  <c r="E91" i="9" s="1"/>
  <c r="F91" i="9" s="1"/>
  <c r="K91" i="9" s="1"/>
  <c r="F62" i="31" l="1"/>
  <c r="L91" i="9"/>
  <c r="M91" i="9" s="1"/>
  <c r="N91" i="9" s="1"/>
  <c r="F93" i="9"/>
  <c r="C80" i="31" l="1"/>
  <c r="O91" i="9"/>
  <c r="P91" i="9" s="1"/>
  <c r="N93" i="9"/>
  <c r="D80" i="31" l="1"/>
  <c r="E80" i="31" l="1"/>
  <c r="F80" i="31" l="1"/>
  <c r="H80" i="31" l="1"/>
  <c r="I80" i="31" l="1"/>
  <c r="J80" i="31" s="1"/>
  <c r="K80" i="31" s="1"/>
  <c r="C99" i="31" s="1"/>
  <c r="H59" i="38"/>
  <c r="H48" i="38"/>
  <c r="D99" i="31" l="1"/>
  <c r="C190" i="31"/>
  <c r="E99" i="31" l="1"/>
  <c r="D190" i="31"/>
  <c r="F99" i="31" l="1"/>
  <c r="E190" i="31"/>
  <c r="F190" i="31" l="1"/>
  <c r="C117" i="31"/>
  <c r="E100" i="31"/>
  <c r="D100" i="31"/>
  <c r="C100" i="31"/>
  <c r="D117" i="31" l="1"/>
  <c r="E117" i="31" l="1"/>
  <c r="F117" i="31" l="1"/>
  <c r="C118" i="31" l="1"/>
  <c r="E118" i="31"/>
  <c r="C135" i="31"/>
  <c r="C154" i="31" s="1"/>
  <c r="D118" i="31"/>
  <c r="D135" i="31" l="1"/>
  <c r="D154" i="31" s="1"/>
  <c r="E135" i="31" l="1"/>
  <c r="E154" i="31" s="1"/>
  <c r="F135" i="31" l="1"/>
  <c r="F154" i="31" s="1"/>
  <c r="C136" i="31" l="1"/>
  <c r="D136" i="31"/>
  <c r="H135" i="31"/>
  <c r="E136" i="31"/>
  <c r="H154" i="31" l="1"/>
  <c r="I135" i="31"/>
  <c r="J135" i="31" l="1"/>
  <c r="I154" i="31"/>
  <c r="K135" i="31" l="1"/>
  <c r="J154" i="31"/>
  <c r="J136" i="31" l="1"/>
  <c r="H136" i="31"/>
  <c r="M135" i="31"/>
  <c r="K154" i="31"/>
  <c r="I136" i="31"/>
  <c r="M154" i="31" l="1"/>
  <c r="N135" i="31"/>
  <c r="R136" i="31"/>
  <c r="C208" i="31"/>
  <c r="O135" i="31" l="1"/>
  <c r="N154" i="31"/>
  <c r="D208" i="31"/>
  <c r="S136" i="31"/>
  <c r="P135" i="31" l="1"/>
  <c r="O154" i="31"/>
  <c r="T136" i="31"/>
  <c r="E208" i="31"/>
  <c r="M136" i="31" l="1"/>
  <c r="R135" i="31"/>
  <c r="S135" i="31" s="1"/>
  <c r="T135" i="31" s="1"/>
  <c r="U135" i="31" s="1"/>
  <c r="C153" i="31" s="1"/>
  <c r="D153" i="31" s="1"/>
  <c r="E153" i="31" s="1"/>
  <c r="F153" i="31" s="1"/>
  <c r="H153" i="31" s="1"/>
  <c r="I153" i="31" s="1"/>
  <c r="J153" i="31" s="1"/>
  <c r="K153" i="31" s="1"/>
  <c r="C171" i="31" s="1"/>
  <c r="O136" i="31"/>
  <c r="P154" i="31"/>
  <c r="N136" i="31"/>
  <c r="F208" i="31"/>
  <c r="U136" i="31"/>
  <c r="D171" i="31" l="1"/>
  <c r="E171" i="31" s="1"/>
  <c r="F171" i="31" s="1"/>
  <c r="C189" i="31" s="1"/>
  <c r="D189" i="31" l="1"/>
  <c r="E189" i="31" s="1"/>
  <c r="F189" i="31" s="1"/>
  <c r="C207" i="31" s="1"/>
  <c r="D207" i="31" s="1"/>
  <c r="I48" i="38" l="1"/>
  <c r="I59" i="38"/>
  <c r="E207" i="31"/>
  <c r="F207" i="31" s="1"/>
  <c r="G59" i="38"/>
  <c r="I12" i="21" l="1"/>
  <c r="L99" i="38" l="1"/>
  <c r="L100" i="38" l="1"/>
  <c r="M99" i="38" s="1"/>
  <c r="C50" i="36"/>
  <c r="L96" i="38"/>
  <c r="L102" i="38" l="1"/>
  <c r="D96" i="38"/>
  <c r="M94" i="38"/>
  <c r="Q96" i="38"/>
  <c r="P96" i="38"/>
  <c r="O96" i="38"/>
  <c r="N96" i="38"/>
  <c r="M96" i="38"/>
  <c r="M95" i="38"/>
  <c r="M100" i="38"/>
  <c r="M98" i="38"/>
  <c r="C49" i="36"/>
  <c r="C45" i="36"/>
  <c r="C41" i="36"/>
  <c r="C43" i="36"/>
  <c r="C47" i="36"/>
  <c r="L77" i="38"/>
  <c r="C40" i="36"/>
  <c r="C44" i="36"/>
  <c r="C42" i="36"/>
  <c r="C46" i="36"/>
  <c r="C48" i="36"/>
  <c r="E50" i="36"/>
  <c r="O77" i="38" l="1"/>
  <c r="I72" i="38"/>
  <c r="I70" i="38"/>
  <c r="L81" i="38"/>
  <c r="C51" i="36"/>
  <c r="D50" i="36" s="1"/>
  <c r="M76" i="38"/>
  <c r="I76" i="38"/>
  <c r="H76" i="38"/>
  <c r="O76" i="38" s="1"/>
  <c r="E43" i="36"/>
  <c r="M71" i="38"/>
  <c r="E46" i="36"/>
  <c r="E44" i="36"/>
  <c r="M73" i="38"/>
  <c r="E45" i="36"/>
  <c r="I71" i="38"/>
  <c r="H72" i="38"/>
  <c r="O72" i="38" s="1"/>
  <c r="H70" i="38"/>
  <c r="O70" i="38" s="1"/>
  <c r="H71" i="38"/>
  <c r="O71" i="38" s="1"/>
  <c r="M72" i="38"/>
  <c r="M70" i="38"/>
  <c r="I73" i="38"/>
  <c r="H74" i="38"/>
  <c r="O74" i="38" s="1"/>
  <c r="I68" i="38"/>
  <c r="H66" i="38"/>
  <c r="O66" i="38" s="1"/>
  <c r="E47" i="36"/>
  <c r="I67" i="38"/>
  <c r="I75" i="38"/>
  <c r="H73" i="38"/>
  <c r="O73" i="38" s="1"/>
  <c r="I74" i="38"/>
  <c r="H68" i="38"/>
  <c r="O68" i="38" s="1"/>
  <c r="I66" i="38"/>
  <c r="I69" i="38"/>
  <c r="H67" i="38"/>
  <c r="O67" i="38" s="1"/>
  <c r="H75" i="38"/>
  <c r="O75" i="38" s="1"/>
  <c r="M74" i="38"/>
  <c r="M68" i="38"/>
  <c r="M66" i="38"/>
  <c r="H69" i="38"/>
  <c r="O69" i="38" s="1"/>
  <c r="E41" i="36"/>
  <c r="M75" i="38"/>
  <c r="E48" i="36"/>
  <c r="E42" i="36"/>
  <c r="E40" i="36"/>
  <c r="M69" i="38"/>
  <c r="M67" i="38"/>
  <c r="E49" i="36"/>
  <c r="D49" i="36" l="1"/>
  <c r="D41" i="36"/>
  <c r="D48" i="36"/>
  <c r="D44" i="36"/>
  <c r="D47" i="36"/>
  <c r="D46" i="36"/>
  <c r="D40" i="36"/>
  <c r="D42" i="36"/>
  <c r="D45" i="36"/>
  <c r="D43" i="36"/>
  <c r="E51" i="36"/>
  <c r="M77" i="38"/>
  <c r="D51" i="36" l="1"/>
  <c r="F51" i="36"/>
  <c r="F50" i="36"/>
  <c r="F46" i="36"/>
  <c r="F40" i="36"/>
  <c r="F41" i="36"/>
  <c r="F48" i="36"/>
  <c r="F49" i="36"/>
  <c r="F43" i="36"/>
  <c r="F47" i="36"/>
  <c r="F45" i="36"/>
  <c r="F42" i="36"/>
  <c r="F44" i="36"/>
  <c r="D87" i="31" l="1"/>
  <c r="D178" i="31"/>
  <c r="D86" i="31"/>
  <c r="D177" i="31"/>
  <c r="L18" i="22" l="1"/>
  <c r="M18" i="22"/>
  <c r="K18" i="22"/>
  <c r="L17" i="22"/>
  <c r="K17" i="22"/>
  <c r="G19" i="22"/>
  <c r="M17" i="22"/>
  <c r="L21" i="22"/>
  <c r="M21" i="22"/>
  <c r="K21" i="22"/>
  <c r="H19" i="22"/>
  <c r="M24" i="22"/>
  <c r="L24" i="22"/>
  <c r="I25" i="22"/>
  <c r="M22" i="22"/>
  <c r="L22" i="22"/>
  <c r="D104" i="9" l="1"/>
  <c r="D20" i="22" s="1"/>
  <c r="F20" i="22" s="1"/>
  <c r="D105" i="9"/>
  <c r="D21" i="22" s="1"/>
  <c r="F21" i="22" s="1"/>
  <c r="AD19" i="9"/>
  <c r="F104" i="9"/>
  <c r="AD20" i="9"/>
  <c r="M19" i="22"/>
  <c r="K19" i="22"/>
  <c r="L19" i="22"/>
  <c r="K20" i="22"/>
  <c r="K25" i="22" s="1"/>
  <c r="M20" i="22"/>
  <c r="M25" i="22" s="1"/>
  <c r="C34" i="31" s="1"/>
  <c r="L20" i="22"/>
  <c r="L25" i="22" s="1"/>
  <c r="H25" i="22"/>
  <c r="F105" i="9"/>
  <c r="O34" i="38"/>
  <c r="E106" i="9"/>
  <c r="E23" i="22" s="1"/>
  <c r="AD21" i="9"/>
  <c r="F106" i="9"/>
  <c r="E107" i="9"/>
  <c r="E24" i="22" s="1"/>
  <c r="F24" i="22" s="1"/>
  <c r="AD22" i="9"/>
  <c r="F107" i="9"/>
  <c r="D25" i="22" l="1"/>
  <c r="F23" i="22"/>
  <c r="F25" i="22" s="1"/>
  <c r="E25" i="22"/>
  <c r="E22" i="22"/>
  <c r="F22" i="22" s="1"/>
  <c r="C103" i="9" l="1"/>
  <c r="C102" i="9"/>
  <c r="AD17" i="9" l="1"/>
  <c r="C17" i="22"/>
  <c r="F102" i="9"/>
  <c r="AD18" i="9"/>
  <c r="F103" i="9"/>
  <c r="C18" i="22"/>
  <c r="F18" i="22" s="1"/>
  <c r="C19" i="22" l="1"/>
  <c r="F19" i="22" s="1"/>
  <c r="F17" i="22"/>
  <c r="D182" i="31"/>
  <c r="D91" i="31"/>
  <c r="E72" i="31" l="1"/>
  <c r="E71" i="31" l="1"/>
  <c r="E89" i="31" l="1"/>
  <c r="E180" i="31"/>
  <c r="L108" i="38" l="1"/>
  <c r="L110" i="38"/>
  <c r="L116" i="38"/>
  <c r="D115" i="38"/>
  <c r="L117" i="38"/>
  <c r="O116" i="38" l="1"/>
  <c r="Q116" i="38"/>
  <c r="Q108" i="38"/>
  <c r="O108" i="38"/>
  <c r="E31" i="9"/>
  <c r="E30" i="9"/>
  <c r="N29" i="9"/>
  <c r="L29" i="9"/>
  <c r="E29" i="9"/>
  <c r="F29" i="9"/>
  <c r="L37" i="7"/>
  <c r="M37" i="7"/>
  <c r="K37" i="7"/>
  <c r="N27" i="9"/>
  <c r="E27" i="9"/>
  <c r="L35" i="7"/>
  <c r="M35" i="7"/>
  <c r="K35" i="7"/>
  <c r="Q26" i="9"/>
  <c r="P26" i="9"/>
  <c r="E26" i="9"/>
  <c r="G26" i="9"/>
  <c r="L33" i="7"/>
  <c r="M33" i="7"/>
  <c r="K33" i="7"/>
  <c r="N25" i="9"/>
  <c r="L25" i="9"/>
  <c r="H25" i="9"/>
  <c r="F25" i="9"/>
  <c r="L31" i="7"/>
  <c r="M31" i="7"/>
  <c r="K31" i="7"/>
  <c r="I24" i="9"/>
  <c r="K24" i="9"/>
  <c r="E24" i="9"/>
  <c r="C24" i="9"/>
  <c r="L29" i="7"/>
  <c r="M29" i="7"/>
  <c r="K29" i="7"/>
  <c r="L27" i="7"/>
  <c r="M27" i="7"/>
  <c r="K27" i="7"/>
  <c r="L25" i="7"/>
  <c r="M25" i="7"/>
  <c r="K25" i="7"/>
  <c r="L22" i="7"/>
  <c r="M22" i="7"/>
  <c r="K22" i="7"/>
  <c r="N15" i="9"/>
  <c r="L15" i="9"/>
  <c r="H15" i="9"/>
  <c r="F15" i="9"/>
  <c r="L20" i="7"/>
  <c r="M20" i="7"/>
  <c r="N14" i="9"/>
  <c r="L14" i="9"/>
  <c r="H14" i="9"/>
  <c r="F14" i="9"/>
  <c r="I13" i="9"/>
  <c r="K13" i="9"/>
  <c r="E13" i="9"/>
  <c r="C13" i="9"/>
  <c r="L16" i="7"/>
  <c r="M16" i="7"/>
  <c r="K16" i="7"/>
  <c r="I12" i="9"/>
  <c r="K12" i="9"/>
  <c r="E12" i="9"/>
  <c r="C12" i="9"/>
  <c r="I11" i="9"/>
  <c r="K11" i="9"/>
  <c r="E11" i="9"/>
  <c r="C11" i="9"/>
  <c r="I10" i="9"/>
  <c r="K10" i="9"/>
  <c r="E10" i="9"/>
  <c r="C10" i="9"/>
  <c r="J37" i="7"/>
  <c r="I37" i="7"/>
  <c r="G37" i="7"/>
  <c r="F37" i="7"/>
  <c r="J35" i="7"/>
  <c r="G35" i="7"/>
  <c r="D33" i="7"/>
  <c r="G31" i="7"/>
  <c r="J29" i="7"/>
  <c r="G29" i="7"/>
  <c r="G25" i="7"/>
  <c r="J22" i="7"/>
  <c r="I22" i="7"/>
  <c r="G22" i="7"/>
  <c r="F22" i="7"/>
  <c r="J16" i="7"/>
  <c r="G16" i="7"/>
  <c r="J9" i="7"/>
  <c r="E37" i="9" s="1"/>
  <c r="E52" i="9" s="1"/>
  <c r="J27" i="7" l="1"/>
  <c r="J33" i="7"/>
  <c r="I33" i="7"/>
  <c r="D27" i="7"/>
  <c r="F16" i="7"/>
  <c r="F25" i="7"/>
  <c r="F31" i="7"/>
  <c r="I27" i="7"/>
  <c r="J25" i="7"/>
  <c r="J31" i="7"/>
  <c r="D22" i="7"/>
  <c r="D37" i="7"/>
  <c r="F29" i="7"/>
  <c r="F33" i="7"/>
  <c r="F35" i="7"/>
  <c r="U10" i="9"/>
  <c r="U14" i="9"/>
  <c r="Y26" i="9"/>
  <c r="E29" i="7"/>
  <c r="C30" i="22"/>
  <c r="G31" i="9"/>
  <c r="P31" i="9"/>
  <c r="E25" i="7"/>
  <c r="E31" i="7"/>
  <c r="E37" i="7"/>
  <c r="G27" i="7"/>
  <c r="G33" i="7"/>
  <c r="L27" i="9"/>
  <c r="D30" i="22"/>
  <c r="E40" i="9"/>
  <c r="E56" i="9"/>
  <c r="I16" i="7"/>
  <c r="I25" i="7"/>
  <c r="I29" i="7"/>
  <c r="I31" i="7"/>
  <c r="I35" i="7"/>
  <c r="I41" i="9"/>
  <c r="N56" i="9"/>
  <c r="Q55" i="9"/>
  <c r="Z11" i="9"/>
  <c r="E41" i="9"/>
  <c r="H24" i="36" s="1"/>
  <c r="V15" i="9"/>
  <c r="E53" i="9"/>
  <c r="H51" i="36" s="1"/>
  <c r="E58" i="9"/>
  <c r="E16" i="7"/>
  <c r="E22" i="7"/>
  <c r="E35" i="7"/>
  <c r="F27" i="7"/>
  <c r="K9" i="7"/>
  <c r="R37" i="9" s="1"/>
  <c r="U12" i="9"/>
  <c r="E42" i="9"/>
  <c r="H36" i="36" s="1"/>
  <c r="V24" i="9"/>
  <c r="S29" i="9"/>
  <c r="E59" i="9"/>
  <c r="E27" i="7"/>
  <c r="E33" i="7"/>
  <c r="E60" i="9"/>
  <c r="E50" i="9"/>
  <c r="H37" i="9"/>
  <c r="E43" i="9"/>
  <c r="E51" i="9"/>
  <c r="E48" i="9"/>
  <c r="E54" i="9"/>
  <c r="E44" i="9"/>
  <c r="E49" i="9"/>
  <c r="E46" i="9"/>
  <c r="E47" i="9"/>
  <c r="C22" i="7"/>
  <c r="O100" i="9"/>
  <c r="C29" i="7"/>
  <c r="O108" i="9"/>
  <c r="L108" i="9" s="1"/>
  <c r="O109" i="9"/>
  <c r="C31" i="7"/>
  <c r="C35" i="7"/>
  <c r="O111" i="9"/>
  <c r="C40" i="7"/>
  <c r="O114" i="9"/>
  <c r="C42" i="7"/>
  <c r="O115" i="9"/>
  <c r="C44" i="7"/>
  <c r="O116" i="9"/>
  <c r="R10" i="9"/>
  <c r="W10" i="9"/>
  <c r="T10" i="9"/>
  <c r="M9" i="7"/>
  <c r="X37" i="9" s="1"/>
  <c r="P30" i="9"/>
  <c r="G30" i="9"/>
  <c r="O95" i="9"/>
  <c r="O97" i="9"/>
  <c r="O99" i="9"/>
  <c r="C20" i="7"/>
  <c r="C25" i="7"/>
  <c r="O103" i="9"/>
  <c r="O107" i="9"/>
  <c r="C27" i="7"/>
  <c r="C33" i="7"/>
  <c r="O110" i="9"/>
  <c r="C37" i="7"/>
  <c r="O112" i="9"/>
  <c r="D16" i="7"/>
  <c r="D9" i="7"/>
  <c r="D25" i="7"/>
  <c r="D29" i="7"/>
  <c r="D31" i="7"/>
  <c r="D35" i="7"/>
  <c r="E39" i="9"/>
  <c r="V13" i="9"/>
  <c r="S25" i="9"/>
  <c r="E55" i="9"/>
  <c r="U37" i="9"/>
  <c r="Y37" i="9" l="1"/>
  <c r="Y52" i="9" s="1"/>
  <c r="X52" i="9"/>
  <c r="H54" i="9"/>
  <c r="H52" i="9"/>
  <c r="W37" i="9"/>
  <c r="W52" i="9" s="1"/>
  <c r="V37" i="9"/>
  <c r="V52" i="9" s="1"/>
  <c r="U52" i="9"/>
  <c r="R52" i="9"/>
  <c r="T37" i="9"/>
  <c r="T52" i="9" s="1"/>
  <c r="S37" i="9"/>
  <c r="S52" i="9" s="1"/>
  <c r="R26" i="9"/>
  <c r="C111" i="9" s="1"/>
  <c r="C29" i="22" s="1"/>
  <c r="U26" i="9"/>
  <c r="U55" i="9" s="1"/>
  <c r="V26" i="9"/>
  <c r="V55" i="9" s="1"/>
  <c r="T14" i="9"/>
  <c r="E99" i="9" s="1"/>
  <c r="E14" i="22" s="1"/>
  <c r="T26" i="9"/>
  <c r="T55" i="9" s="1"/>
  <c r="X26" i="9"/>
  <c r="X55" i="9" s="1"/>
  <c r="S26" i="9"/>
  <c r="S55" i="9" s="1"/>
  <c r="Z26" i="9"/>
  <c r="J24" i="36"/>
  <c r="J20" i="36" s="1"/>
  <c r="I40" i="9"/>
  <c r="S31" i="9"/>
  <c r="S60" i="9" s="1"/>
  <c r="R31" i="9"/>
  <c r="C116" i="9" s="1"/>
  <c r="W26" i="9"/>
  <c r="W55" i="9" s="1"/>
  <c r="Y31" i="9"/>
  <c r="Y60" i="9" s="1"/>
  <c r="I39" i="9"/>
  <c r="I42" i="9"/>
  <c r="X10" i="9"/>
  <c r="X39" i="9" s="1"/>
  <c r="H10" i="44" s="1"/>
  <c r="V10" i="9"/>
  <c r="S10" i="9"/>
  <c r="V31" i="9"/>
  <c r="V60" i="9" s="1"/>
  <c r="R30" i="9"/>
  <c r="C115" i="9" s="1"/>
  <c r="N44" i="9"/>
  <c r="Z10" i="9"/>
  <c r="N43" i="9"/>
  <c r="V14" i="9"/>
  <c r="Y10" i="9"/>
  <c r="Y39" i="9" s="1"/>
  <c r="V53" i="9"/>
  <c r="X14" i="9"/>
  <c r="X43" i="9" s="1"/>
  <c r="R14" i="9"/>
  <c r="C99" i="9" s="1"/>
  <c r="C14" i="22" s="1"/>
  <c r="Y14" i="9"/>
  <c r="Y43" i="9" s="1"/>
  <c r="W14" i="9"/>
  <c r="W43" i="9" s="1"/>
  <c r="W39" i="9"/>
  <c r="S14" i="9"/>
  <c r="D99" i="9" s="1"/>
  <c r="D14" i="22" s="1"/>
  <c r="Z14" i="9"/>
  <c r="N54" i="9"/>
  <c r="U31" i="9"/>
  <c r="U60" i="9" s="1"/>
  <c r="X31" i="9"/>
  <c r="X60" i="9" s="1"/>
  <c r="X25" i="9"/>
  <c r="X54" i="9" s="1"/>
  <c r="U41" i="9"/>
  <c r="R24" i="9"/>
  <c r="C109" i="9" s="1"/>
  <c r="C27" i="22" s="1"/>
  <c r="T15" i="9"/>
  <c r="E100" i="9" s="1"/>
  <c r="E15" i="22" s="1"/>
  <c r="V30" i="9"/>
  <c r="W25" i="9"/>
  <c r="W54" i="9" s="1"/>
  <c r="D114" i="9"/>
  <c r="D110" i="9"/>
  <c r="D28" i="22" s="1"/>
  <c r="E95" i="9"/>
  <c r="E10" i="22" s="1"/>
  <c r="R50" i="9"/>
  <c r="R46" i="9"/>
  <c r="R49" i="9"/>
  <c r="R48" i="9"/>
  <c r="R51" i="9"/>
  <c r="R47" i="9"/>
  <c r="Z29" i="9"/>
  <c r="Y11" i="9"/>
  <c r="Y40" i="9" s="1"/>
  <c r="S12" i="9"/>
  <c r="V44" i="9"/>
  <c r="R29" i="9"/>
  <c r="U46" i="9"/>
  <c r="U47" i="9"/>
  <c r="U51" i="9"/>
  <c r="U50" i="9"/>
  <c r="U48" i="9"/>
  <c r="U49" i="9"/>
  <c r="Y13" i="9"/>
  <c r="Y42" i="9" s="1"/>
  <c r="U43" i="9"/>
  <c r="Y30" i="9"/>
  <c r="Y59" i="9" s="1"/>
  <c r="U25" i="9"/>
  <c r="U54" i="9" s="1"/>
  <c r="U15" i="9"/>
  <c r="U44" i="9" s="1"/>
  <c r="T11" i="9"/>
  <c r="Y12" i="9"/>
  <c r="Y41" i="9" s="1"/>
  <c r="W15" i="9"/>
  <c r="W44" i="9" s="1"/>
  <c r="Z13" i="9"/>
  <c r="H56" i="9"/>
  <c r="H46" i="9"/>
  <c r="H50" i="9"/>
  <c r="H49" i="9"/>
  <c r="H42" i="9"/>
  <c r="H48" i="9"/>
  <c r="H59" i="9"/>
  <c r="H53" i="9"/>
  <c r="H51" i="9"/>
  <c r="H41" i="9"/>
  <c r="H58" i="9"/>
  <c r="H47" i="9"/>
  <c r="H39" i="9"/>
  <c r="H40" i="9"/>
  <c r="H55" i="9"/>
  <c r="H60" i="9"/>
  <c r="X13" i="9"/>
  <c r="X42" i="9" s="1"/>
  <c r="Y24" i="9"/>
  <c r="Y53" i="9" s="1"/>
  <c r="V25" i="9"/>
  <c r="T29" i="9"/>
  <c r="H23" i="36"/>
  <c r="H18" i="36"/>
  <c r="H12" i="36"/>
  <c r="H22" i="36"/>
  <c r="H13" i="36"/>
  <c r="H11" i="36"/>
  <c r="H19" i="36"/>
  <c r="H15" i="36"/>
  <c r="H17" i="36"/>
  <c r="H16" i="36"/>
  <c r="H14" i="36"/>
  <c r="H21" i="36"/>
  <c r="H20" i="36"/>
  <c r="H10" i="36"/>
  <c r="S24" i="9"/>
  <c r="W12" i="9"/>
  <c r="Z15" i="9"/>
  <c r="I53" i="9"/>
  <c r="J51" i="36" s="1"/>
  <c r="X29" i="9"/>
  <c r="X58" i="9" s="1"/>
  <c r="U11" i="9"/>
  <c r="U40" i="9" s="1"/>
  <c r="W11" i="9"/>
  <c r="W24" i="9"/>
  <c r="W53" i="9" s="1"/>
  <c r="V12" i="9"/>
  <c r="R13" i="9"/>
  <c r="W13" i="9"/>
  <c r="W42" i="9" s="1"/>
  <c r="Z30" i="9"/>
  <c r="T30" i="9"/>
  <c r="W30" i="9"/>
  <c r="W59" i="9" s="1"/>
  <c r="X51" i="9"/>
  <c r="X49" i="9"/>
  <c r="X46" i="9"/>
  <c r="X50" i="9"/>
  <c r="X48" i="9"/>
  <c r="X47" i="9"/>
  <c r="C95" i="9"/>
  <c r="C10" i="22" s="1"/>
  <c r="R39" i="9"/>
  <c r="H30" i="36"/>
  <c r="H29" i="36"/>
  <c r="H35" i="36"/>
  <c r="H31" i="36"/>
  <c r="H34" i="36"/>
  <c r="H33" i="36"/>
  <c r="H28" i="36"/>
  <c r="H32" i="36"/>
  <c r="W29" i="9"/>
  <c r="Q40" i="9"/>
  <c r="Q60" i="9"/>
  <c r="Q53" i="9"/>
  <c r="Q54" i="9"/>
  <c r="Q50" i="9"/>
  <c r="Q48" i="9"/>
  <c r="Q41" i="9"/>
  <c r="Q46" i="9"/>
  <c r="Q58" i="9"/>
  <c r="Q47" i="9"/>
  <c r="Q42" i="9"/>
  <c r="Q56" i="9"/>
  <c r="Q39" i="9"/>
  <c r="Q59" i="9"/>
  <c r="Q51" i="9"/>
  <c r="Q43" i="9"/>
  <c r="Q44" i="9"/>
  <c r="Q49" i="9"/>
  <c r="X11" i="9"/>
  <c r="X40" i="9" s="1"/>
  <c r="X24" i="9"/>
  <c r="X53" i="9" s="1"/>
  <c r="Y55" i="9"/>
  <c r="R15" i="9"/>
  <c r="R25" i="9"/>
  <c r="C9" i="7"/>
  <c r="C37" i="9" s="1"/>
  <c r="U13" i="9"/>
  <c r="U42" i="9" s="1"/>
  <c r="S30" i="9"/>
  <c r="R12" i="9"/>
  <c r="Z25" i="9"/>
  <c r="U29" i="9"/>
  <c r="U58" i="9" s="1"/>
  <c r="N58" i="9"/>
  <c r="N50" i="9"/>
  <c r="N47" i="9"/>
  <c r="N59" i="9"/>
  <c r="N39" i="9"/>
  <c r="N40" i="9"/>
  <c r="N46" i="9"/>
  <c r="N53" i="9"/>
  <c r="N41" i="9"/>
  <c r="N48" i="9"/>
  <c r="N60" i="9"/>
  <c r="N42" i="9"/>
  <c r="N49" i="9"/>
  <c r="N55" i="9"/>
  <c r="N51" i="9"/>
  <c r="V11" i="9"/>
  <c r="U24" i="9"/>
  <c r="U53" i="9" s="1"/>
  <c r="X12" i="9"/>
  <c r="X41" i="9" s="1"/>
  <c r="H44" i="9"/>
  <c r="Y15" i="9"/>
  <c r="Y44" i="9" s="1"/>
  <c r="V46" i="9"/>
  <c r="Y46" i="9"/>
  <c r="Y48" i="9"/>
  <c r="Y51" i="9"/>
  <c r="Y50" i="9"/>
  <c r="Y49" i="9"/>
  <c r="Z37" i="9"/>
  <c r="Y47" i="9"/>
  <c r="K37" i="9"/>
  <c r="T13" i="9"/>
  <c r="X30" i="9"/>
  <c r="X59" i="9" s="1"/>
  <c r="T25" i="9"/>
  <c r="F30" i="22"/>
  <c r="I51" i="9"/>
  <c r="I60" i="9"/>
  <c r="I50" i="9"/>
  <c r="I47" i="9"/>
  <c r="I58" i="9"/>
  <c r="I43" i="9"/>
  <c r="I55" i="9"/>
  <c r="I44" i="9"/>
  <c r="I46" i="9"/>
  <c r="I54" i="9"/>
  <c r="I56" i="9"/>
  <c r="I59" i="9"/>
  <c r="I49" i="9"/>
  <c r="I48" i="9"/>
  <c r="R11" i="9"/>
  <c r="V29" i="9"/>
  <c r="T24" i="9"/>
  <c r="Z12" i="9"/>
  <c r="X15" i="9"/>
  <c r="X44" i="9" s="1"/>
  <c r="Z31" i="9"/>
  <c r="W31" i="9"/>
  <c r="T31" i="9"/>
  <c r="H43" i="9"/>
  <c r="S13" i="9"/>
  <c r="N108" i="9"/>
  <c r="U30" i="9"/>
  <c r="U59" i="9" s="1"/>
  <c r="Y25" i="9"/>
  <c r="Y54" i="9" s="1"/>
  <c r="H40" i="36"/>
  <c r="H42" i="36"/>
  <c r="H41" i="36"/>
  <c r="H45" i="36"/>
  <c r="H47" i="36"/>
  <c r="H43" i="36"/>
  <c r="H48" i="36"/>
  <c r="H50" i="36"/>
  <c r="H46" i="36"/>
  <c r="H44" i="36"/>
  <c r="H49" i="36"/>
  <c r="S11" i="9"/>
  <c r="Y29" i="9"/>
  <c r="Y58" i="9" s="1"/>
  <c r="Z24" i="9"/>
  <c r="T12" i="9"/>
  <c r="U39" i="9"/>
  <c r="S15" i="9"/>
  <c r="V47" i="9" l="1"/>
  <c r="V43" i="9"/>
  <c r="V48" i="9"/>
  <c r="V51" i="9"/>
  <c r="V50" i="9"/>
  <c r="V49" i="9"/>
  <c r="V41" i="9"/>
  <c r="V54" i="9"/>
  <c r="W47" i="9"/>
  <c r="W51" i="9"/>
  <c r="W58" i="9"/>
  <c r="W40" i="9"/>
  <c r="W49" i="9"/>
  <c r="W50" i="9"/>
  <c r="W41" i="9"/>
  <c r="V40" i="9"/>
  <c r="W46" i="9"/>
  <c r="AD13" i="9"/>
  <c r="AF13" i="9" s="1"/>
  <c r="W48" i="9"/>
  <c r="O10" i="44"/>
  <c r="T46" i="9"/>
  <c r="W60" i="9"/>
  <c r="T39" i="9"/>
  <c r="S49" i="9"/>
  <c r="S47" i="9"/>
  <c r="S48" i="9"/>
  <c r="V58" i="9"/>
  <c r="S51" i="9"/>
  <c r="V59" i="9"/>
  <c r="S50" i="9"/>
  <c r="S54" i="9"/>
  <c r="S46" i="9"/>
  <c r="S58" i="9"/>
  <c r="J37" i="9"/>
  <c r="J52" i="9" s="1"/>
  <c r="C52" i="9"/>
  <c r="P37" i="9"/>
  <c r="P46" i="9" s="1"/>
  <c r="L37" i="9"/>
  <c r="L46" i="9" s="1"/>
  <c r="K52" i="9"/>
  <c r="R55" i="9"/>
  <c r="T49" i="9"/>
  <c r="V42" i="9"/>
  <c r="T48" i="9"/>
  <c r="T50" i="9"/>
  <c r="V39" i="9"/>
  <c r="T51" i="9"/>
  <c r="T47" i="9"/>
  <c r="T43" i="9"/>
  <c r="Z55" i="9"/>
  <c r="Z52" i="9"/>
  <c r="P108" i="9" s="1"/>
  <c r="E111" i="9"/>
  <c r="E29" i="22" s="1"/>
  <c r="F111" i="9"/>
  <c r="D111" i="9"/>
  <c r="D29" i="22" s="1"/>
  <c r="J15" i="36"/>
  <c r="J22" i="36"/>
  <c r="J18" i="36"/>
  <c r="J10" i="36"/>
  <c r="J23" i="36"/>
  <c r="J21" i="36"/>
  <c r="J19" i="36"/>
  <c r="J12" i="36"/>
  <c r="D116" i="9"/>
  <c r="D35" i="22" s="1"/>
  <c r="J16" i="36"/>
  <c r="J17" i="36"/>
  <c r="J14" i="36"/>
  <c r="J11" i="36"/>
  <c r="J13" i="36"/>
  <c r="AD26" i="9"/>
  <c r="AF26" i="9" s="1"/>
  <c r="K36" i="36"/>
  <c r="K35" i="36" s="1"/>
  <c r="L36" i="36"/>
  <c r="L35" i="36" s="1"/>
  <c r="R60" i="9"/>
  <c r="M51" i="36"/>
  <c r="M44" i="36" s="1"/>
  <c r="AD10" i="9"/>
  <c r="AF10" i="9" s="1"/>
  <c r="S39" i="9"/>
  <c r="D95" i="9"/>
  <c r="D10" i="22" s="1"/>
  <c r="F10" i="22" s="1"/>
  <c r="F95" i="9"/>
  <c r="R59" i="9"/>
  <c r="AD30" i="9"/>
  <c r="AF30" i="9" s="1"/>
  <c r="R43" i="9"/>
  <c r="Z43" i="9"/>
  <c r="F114" i="9"/>
  <c r="F99" i="9"/>
  <c r="R53" i="9"/>
  <c r="K51" i="36" s="1"/>
  <c r="K47" i="36" s="1"/>
  <c r="AD31" i="9"/>
  <c r="AF31" i="9" s="1"/>
  <c r="T44" i="9"/>
  <c r="S43" i="9"/>
  <c r="AD14" i="9"/>
  <c r="AF14" i="9" s="1"/>
  <c r="Z53" i="9"/>
  <c r="Z54" i="9"/>
  <c r="AD24" i="9"/>
  <c r="AF24" i="9" s="1"/>
  <c r="AD12" i="9"/>
  <c r="AF12" i="9" s="1"/>
  <c r="Z44" i="9"/>
  <c r="F98" i="9"/>
  <c r="Z60" i="9"/>
  <c r="F97" i="9"/>
  <c r="C114" i="9"/>
  <c r="D33" i="22" s="1"/>
  <c r="R58" i="9"/>
  <c r="D98" i="9"/>
  <c r="D13" i="22" s="1"/>
  <c r="S42" i="9"/>
  <c r="E109" i="9"/>
  <c r="E27" i="22" s="1"/>
  <c r="T53" i="9"/>
  <c r="F109" i="9"/>
  <c r="H15" i="44"/>
  <c r="H14" i="44"/>
  <c r="H13" i="44"/>
  <c r="C110" i="9"/>
  <c r="C28" i="22" s="1"/>
  <c r="R54" i="9"/>
  <c r="F110" i="9"/>
  <c r="D109" i="9"/>
  <c r="D27" i="22" s="1"/>
  <c r="S53" i="9"/>
  <c r="Z58" i="9"/>
  <c r="E114" i="9"/>
  <c r="E33" i="22" s="1"/>
  <c r="T58" i="9"/>
  <c r="E96" i="9"/>
  <c r="E11" i="22" s="1"/>
  <c r="T40" i="9"/>
  <c r="C96" i="9"/>
  <c r="C11" i="22" s="1"/>
  <c r="R40" i="9"/>
  <c r="Z59" i="9"/>
  <c r="Z49" i="9"/>
  <c r="Z51" i="9"/>
  <c r="Z46" i="9"/>
  <c r="Z48" i="9"/>
  <c r="Z47" i="9"/>
  <c r="Z50" i="9"/>
  <c r="F14" i="22"/>
  <c r="F116" i="9"/>
  <c r="C100" i="9"/>
  <c r="C15" i="22" s="1"/>
  <c r="R44" i="9"/>
  <c r="F96" i="9"/>
  <c r="J48" i="36"/>
  <c r="J47" i="36"/>
  <c r="J43" i="36"/>
  <c r="J50" i="36"/>
  <c r="J45" i="36"/>
  <c r="J44" i="36"/>
  <c r="J41" i="36"/>
  <c r="J42" i="36"/>
  <c r="J40" i="36"/>
  <c r="J49" i="36"/>
  <c r="J46" i="36"/>
  <c r="D97" i="9"/>
  <c r="D12" i="22" s="1"/>
  <c r="S41" i="9"/>
  <c r="D96" i="9"/>
  <c r="D11" i="22" s="1"/>
  <c r="S40" i="9"/>
  <c r="E98" i="9"/>
  <c r="E13" i="22" s="1"/>
  <c r="T42" i="9"/>
  <c r="D100" i="9"/>
  <c r="D15" i="22" s="1"/>
  <c r="S44" i="9"/>
  <c r="C98" i="9"/>
  <c r="C13" i="22" s="1"/>
  <c r="R42" i="9"/>
  <c r="M36" i="36" s="1"/>
  <c r="AD15" i="9"/>
  <c r="AF15" i="9" s="1"/>
  <c r="Z42" i="9"/>
  <c r="AD25" i="9"/>
  <c r="AF25" i="9" s="1"/>
  <c r="AD29" i="9"/>
  <c r="AF29" i="9" s="1"/>
  <c r="C97" i="9"/>
  <c r="C12" i="22" s="1"/>
  <c r="R41" i="9"/>
  <c r="K24" i="36" s="1"/>
  <c r="C47" i="9"/>
  <c r="C51" i="9"/>
  <c r="G37" i="9"/>
  <c r="G52" i="9" s="1"/>
  <c r="C54" i="9"/>
  <c r="C60" i="9"/>
  <c r="C50" i="9"/>
  <c r="C43" i="9"/>
  <c r="C59" i="9"/>
  <c r="C46" i="9"/>
  <c r="C55" i="9"/>
  <c r="C44" i="9"/>
  <c r="C48" i="9"/>
  <c r="F37" i="9"/>
  <c r="F52" i="9" s="1"/>
  <c r="C49" i="9"/>
  <c r="C58" i="9"/>
  <c r="C39" i="9"/>
  <c r="C53" i="9"/>
  <c r="C41" i="9"/>
  <c r="C40" i="9"/>
  <c r="C42" i="9"/>
  <c r="Z40" i="9"/>
  <c r="E116" i="9"/>
  <c r="E35" i="22" s="1"/>
  <c r="T60" i="9"/>
  <c r="E97" i="9"/>
  <c r="E12" i="22" s="1"/>
  <c r="T41" i="9"/>
  <c r="Z41" i="9"/>
  <c r="E110" i="9"/>
  <c r="E28" i="22" s="1"/>
  <c r="T54" i="9"/>
  <c r="K54" i="9"/>
  <c r="K46" i="9"/>
  <c r="K50" i="9"/>
  <c r="K49" i="9"/>
  <c r="K51" i="9"/>
  <c r="K60" i="9"/>
  <c r="K59" i="9"/>
  <c r="K43" i="9"/>
  <c r="K56" i="9"/>
  <c r="K55" i="9"/>
  <c r="K44" i="9"/>
  <c r="K58" i="9"/>
  <c r="K48" i="9"/>
  <c r="K47" i="9"/>
  <c r="K39" i="9"/>
  <c r="K41" i="9"/>
  <c r="M24" i="36" s="1"/>
  <c r="K53" i="9"/>
  <c r="L51" i="36" s="1"/>
  <c r="K40" i="9"/>
  <c r="K42" i="9"/>
  <c r="J36" i="36" s="1"/>
  <c r="D115" i="9"/>
  <c r="D34" i="22" s="1"/>
  <c r="S59" i="9"/>
  <c r="F115" i="9"/>
  <c r="AD11" i="9"/>
  <c r="AF11" i="9" s="1"/>
  <c r="E115" i="9"/>
  <c r="E34" i="22" s="1"/>
  <c r="T59" i="9"/>
  <c r="F100" i="9"/>
  <c r="Z39" i="9"/>
  <c r="J47" i="9" l="1"/>
  <c r="J92" i="38"/>
  <c r="F29" i="22"/>
  <c r="O13" i="44"/>
  <c r="P54" i="9"/>
  <c r="O14" i="44"/>
  <c r="Q92" i="38"/>
  <c r="K92" i="38"/>
  <c r="O15" i="44"/>
  <c r="P42" i="9"/>
  <c r="P51" i="9"/>
  <c r="J59" i="9"/>
  <c r="J60" i="9"/>
  <c r="L54" i="9"/>
  <c r="L41" i="9"/>
  <c r="L43" i="9"/>
  <c r="L58" i="9"/>
  <c r="L44" i="9"/>
  <c r="L39" i="9"/>
  <c r="J49" i="9"/>
  <c r="J42" i="9"/>
  <c r="J46" i="9"/>
  <c r="L51" i="9"/>
  <c r="J50" i="9"/>
  <c r="P55" i="9"/>
  <c r="P43" i="9"/>
  <c r="J53" i="9"/>
  <c r="P53" i="9"/>
  <c r="L60" i="9"/>
  <c r="J44" i="9"/>
  <c r="P56" i="9"/>
  <c r="P48" i="9"/>
  <c r="P39" i="9"/>
  <c r="J58" i="9"/>
  <c r="P47" i="9"/>
  <c r="L55" i="9"/>
  <c r="P41" i="9"/>
  <c r="L50" i="9"/>
  <c r="L40" i="9"/>
  <c r="P59" i="9"/>
  <c r="J40" i="9"/>
  <c r="P40" i="9"/>
  <c r="J55" i="9"/>
  <c r="P44" i="9"/>
  <c r="L59" i="9"/>
  <c r="J41" i="9"/>
  <c r="L48" i="9"/>
  <c r="J51" i="9"/>
  <c r="P49" i="9"/>
  <c r="J43" i="9"/>
  <c r="J54" i="9"/>
  <c r="P50" i="9"/>
  <c r="J39" i="9"/>
  <c r="J48" i="9"/>
  <c r="L52" i="9"/>
  <c r="L56" i="9"/>
  <c r="L47" i="9"/>
  <c r="L53" i="9"/>
  <c r="L42" i="9"/>
  <c r="P52" i="9"/>
  <c r="M108" i="9" s="1"/>
  <c r="P60" i="9"/>
  <c r="P58" i="9"/>
  <c r="L49" i="9"/>
  <c r="K108" i="9"/>
  <c r="M46" i="36"/>
  <c r="M48" i="36"/>
  <c r="K31" i="36"/>
  <c r="K29" i="36"/>
  <c r="K33" i="36"/>
  <c r="K34" i="36"/>
  <c r="K32" i="36"/>
  <c r="L32" i="36"/>
  <c r="L33" i="36"/>
  <c r="M45" i="36"/>
  <c r="L28" i="36"/>
  <c r="L29" i="36"/>
  <c r="L34" i="36"/>
  <c r="L30" i="36"/>
  <c r="M43" i="36"/>
  <c r="L31" i="36"/>
  <c r="L24" i="36"/>
  <c r="K30" i="36"/>
  <c r="K28" i="36"/>
  <c r="M41" i="36"/>
  <c r="M47" i="36"/>
  <c r="M49" i="36"/>
  <c r="M42" i="36"/>
  <c r="M40" i="36"/>
  <c r="M50" i="36"/>
  <c r="F28" i="22"/>
  <c r="F27" i="22"/>
  <c r="F35" i="22"/>
  <c r="F33" i="22"/>
  <c r="K48" i="36"/>
  <c r="K40" i="36"/>
  <c r="K44" i="36"/>
  <c r="K41" i="36"/>
  <c r="K42" i="36"/>
  <c r="K46" i="36"/>
  <c r="K49" i="36"/>
  <c r="K50" i="36"/>
  <c r="K43" i="36"/>
  <c r="F13" i="22"/>
  <c r="K45" i="36"/>
  <c r="F15" i="22"/>
  <c r="F12" i="22"/>
  <c r="F34" i="22"/>
  <c r="F11" i="22"/>
  <c r="K116" i="9"/>
  <c r="M10" i="36"/>
  <c r="M23" i="36"/>
  <c r="M22" i="36"/>
  <c r="M20" i="36"/>
  <c r="M15" i="36"/>
  <c r="M13" i="36"/>
  <c r="M11" i="36"/>
  <c r="M12" i="36"/>
  <c r="M17" i="36"/>
  <c r="M18" i="36"/>
  <c r="M16" i="36"/>
  <c r="M14" i="36"/>
  <c r="M19" i="36"/>
  <c r="M21" i="36"/>
  <c r="F59" i="9"/>
  <c r="F50" i="9"/>
  <c r="F53" i="9"/>
  <c r="F56" i="9"/>
  <c r="F40" i="9"/>
  <c r="F48" i="9"/>
  <c r="F51" i="9"/>
  <c r="F41" i="9"/>
  <c r="F46" i="9"/>
  <c r="F55" i="9"/>
  <c r="F39" i="9"/>
  <c r="F42" i="9"/>
  <c r="F49" i="9"/>
  <c r="F60" i="9"/>
  <c r="F47" i="9"/>
  <c r="F58" i="9"/>
  <c r="F43" i="9"/>
  <c r="F54" i="9"/>
  <c r="F44" i="9"/>
  <c r="I36" i="36"/>
  <c r="I51" i="36"/>
  <c r="K114" i="9"/>
  <c r="G49" i="9"/>
  <c r="G51" i="9"/>
  <c r="G53" i="9"/>
  <c r="G44" i="9"/>
  <c r="G46" i="9"/>
  <c r="G42" i="9"/>
  <c r="G50" i="9"/>
  <c r="G47" i="9"/>
  <c r="G41" i="9"/>
  <c r="G54" i="9"/>
  <c r="G56" i="9"/>
  <c r="G43" i="9"/>
  <c r="G39" i="9"/>
  <c r="G58" i="9"/>
  <c r="G40" i="9"/>
  <c r="G48" i="9"/>
  <c r="G55" i="9"/>
  <c r="G59" i="9"/>
  <c r="G60" i="9"/>
  <c r="M30" i="36"/>
  <c r="M34" i="36"/>
  <c r="M29" i="36"/>
  <c r="M35" i="36"/>
  <c r="M32" i="36"/>
  <c r="M28" i="36"/>
  <c r="M33" i="36"/>
  <c r="M31" i="36"/>
  <c r="I24" i="36"/>
  <c r="J33" i="36"/>
  <c r="J32" i="36"/>
  <c r="J29" i="36"/>
  <c r="J31" i="36"/>
  <c r="J30" i="36"/>
  <c r="J34" i="36"/>
  <c r="J28" i="36"/>
  <c r="J35" i="36"/>
  <c r="K115" i="9"/>
  <c r="L47" i="36"/>
  <c r="L48" i="36"/>
  <c r="L40" i="36"/>
  <c r="L49" i="36"/>
  <c r="L46" i="36"/>
  <c r="L43" i="36"/>
  <c r="L41" i="36"/>
  <c r="L42" i="36"/>
  <c r="L50" i="36"/>
  <c r="L45" i="36"/>
  <c r="L44" i="36"/>
  <c r="K22" i="36"/>
  <c r="K13" i="36"/>
  <c r="K10" i="36"/>
  <c r="K11" i="36"/>
  <c r="K19" i="36"/>
  <c r="K23" i="36"/>
  <c r="K20" i="36"/>
  <c r="K15" i="36"/>
  <c r="K17" i="36"/>
  <c r="K12" i="36"/>
  <c r="K18" i="36"/>
  <c r="K16" i="36"/>
  <c r="K21" i="36"/>
  <c r="K14" i="36"/>
  <c r="AA44" i="9" l="1"/>
  <c r="AD52" i="9"/>
  <c r="AA43" i="9"/>
  <c r="D80" i="9"/>
  <c r="C80" i="9"/>
  <c r="AA46" i="9"/>
  <c r="K100" i="9"/>
  <c r="AA41" i="9"/>
  <c r="AA39" i="9"/>
  <c r="AB44" i="9"/>
  <c r="L100" i="9" s="1"/>
  <c r="AC59" i="9"/>
  <c r="M115" i="9" s="1"/>
  <c r="AB43" i="9"/>
  <c r="L99" i="9" s="1"/>
  <c r="AA40" i="9"/>
  <c r="AC44" i="9"/>
  <c r="M100" i="9" s="1"/>
  <c r="AA42" i="9"/>
  <c r="L16" i="36"/>
  <c r="L10" i="36"/>
  <c r="L18" i="36"/>
  <c r="L14" i="36"/>
  <c r="L17" i="36"/>
  <c r="L23" i="36"/>
  <c r="L15" i="36"/>
  <c r="L22" i="36"/>
  <c r="L11" i="36"/>
  <c r="L12" i="36"/>
  <c r="L19" i="36"/>
  <c r="L21" i="36"/>
  <c r="L20" i="36"/>
  <c r="L13" i="36"/>
  <c r="AC40" i="9"/>
  <c r="M96" i="9" s="1"/>
  <c r="AC54" i="9"/>
  <c r="M110" i="9" s="1"/>
  <c r="AA58" i="9"/>
  <c r="AC55" i="9"/>
  <c r="M111" i="9" s="1"/>
  <c r="AC41" i="9"/>
  <c r="M97" i="9" s="1"/>
  <c r="AC42" i="9"/>
  <c r="M98" i="9" s="1"/>
  <c r="AA60" i="9"/>
  <c r="I11" i="36"/>
  <c r="I23" i="36"/>
  <c r="I18" i="36"/>
  <c r="I21" i="36"/>
  <c r="I19" i="36"/>
  <c r="I22" i="36"/>
  <c r="I20" i="36"/>
  <c r="I12" i="36"/>
  <c r="I10" i="36"/>
  <c r="I17" i="36"/>
  <c r="I15" i="36"/>
  <c r="I13" i="36"/>
  <c r="I16" i="36"/>
  <c r="I14" i="36"/>
  <c r="AB55" i="9"/>
  <c r="L111" i="9" s="1"/>
  <c r="AB50" i="9"/>
  <c r="L106" i="9" s="1"/>
  <c r="AA55" i="9"/>
  <c r="AB46" i="9"/>
  <c r="L102" i="9" s="1"/>
  <c r="AC46" i="9"/>
  <c r="M102" i="9" s="1"/>
  <c r="AA59" i="9"/>
  <c r="AB59" i="9"/>
  <c r="L115" i="9" s="1"/>
  <c r="AC39" i="9"/>
  <c r="M95" i="9" s="1"/>
  <c r="AA54" i="9"/>
  <c r="AB58" i="9"/>
  <c r="L114" i="9" s="1"/>
  <c r="AB41" i="9"/>
  <c r="L97" i="9" s="1"/>
  <c r="AC60" i="9"/>
  <c r="M116" i="9" s="1"/>
  <c r="J62" i="38" s="1"/>
  <c r="AB60" i="9"/>
  <c r="L116" i="9" s="1"/>
  <c r="J61" i="38" s="1"/>
  <c r="AB48" i="9"/>
  <c r="L104" i="9" s="1"/>
  <c r="AC49" i="9"/>
  <c r="M105" i="9" s="1"/>
  <c r="AC51" i="9"/>
  <c r="M107" i="9" s="1"/>
  <c r="AC50" i="9"/>
  <c r="M106" i="9" s="1"/>
  <c r="AB51" i="9"/>
  <c r="L107" i="9" s="1"/>
  <c r="AA50" i="9"/>
  <c r="K106" i="9" s="1"/>
  <c r="I32" i="36"/>
  <c r="I30" i="36"/>
  <c r="I28" i="36"/>
  <c r="I35" i="36"/>
  <c r="I33" i="36"/>
  <c r="I34" i="36"/>
  <c r="I29" i="36"/>
  <c r="I31" i="36"/>
  <c r="AB49" i="9"/>
  <c r="L105" i="9" s="1"/>
  <c r="AB40" i="9"/>
  <c r="L96" i="9" s="1"/>
  <c r="AC47" i="9"/>
  <c r="M103" i="9" s="1"/>
  <c r="AC43" i="9"/>
  <c r="M99" i="9" s="1"/>
  <c r="AB47" i="9"/>
  <c r="L103" i="9" s="1"/>
  <c r="AA47" i="9"/>
  <c r="K103" i="9" s="1"/>
  <c r="AA51" i="9"/>
  <c r="K107" i="9" s="1"/>
  <c r="AA48" i="9"/>
  <c r="AB42" i="9"/>
  <c r="L98" i="9" s="1"/>
  <c r="AC48" i="9"/>
  <c r="M104" i="9" s="1"/>
  <c r="AB54" i="9"/>
  <c r="L110" i="9" s="1"/>
  <c r="AA49" i="9"/>
  <c r="K105" i="9" s="1"/>
  <c r="I41" i="36"/>
  <c r="I45" i="36"/>
  <c r="I42" i="36"/>
  <c r="I44" i="36"/>
  <c r="I50" i="36"/>
  <c r="I43" i="36"/>
  <c r="I49" i="36"/>
  <c r="I46" i="36"/>
  <c r="I40" i="36"/>
  <c r="I48" i="36"/>
  <c r="I47" i="36"/>
  <c r="AB39" i="9"/>
  <c r="L95" i="9" s="1"/>
  <c r="AA53" i="9"/>
  <c r="AB53" i="9"/>
  <c r="L109" i="9" s="1"/>
  <c r="AC53" i="9"/>
  <c r="M109" i="9" s="1"/>
  <c r="AC58" i="9"/>
  <c r="M114" i="9" s="1"/>
  <c r="K96" i="9" l="1"/>
  <c r="AF40" i="9"/>
  <c r="AF60" i="9"/>
  <c r="K110" i="9"/>
  <c r="AF54" i="9"/>
  <c r="AF58" i="9"/>
  <c r="K99" i="9"/>
  <c r="N99" i="9" s="1"/>
  <c r="P99" i="9" s="1"/>
  <c r="AF43" i="9"/>
  <c r="K104" i="9"/>
  <c r="N104" i="9" s="1"/>
  <c r="AF51" i="9"/>
  <c r="AF59" i="9"/>
  <c r="K97" i="9"/>
  <c r="N97" i="9" s="1"/>
  <c r="P97" i="9" s="1"/>
  <c r="AF41" i="9"/>
  <c r="K102" i="9"/>
  <c r="N102" i="9" s="1"/>
  <c r="P102" i="9" s="1"/>
  <c r="AF47" i="9"/>
  <c r="E80" i="9"/>
  <c r="F80" i="9" s="1"/>
  <c r="K98" i="9"/>
  <c r="N98" i="9" s="1"/>
  <c r="P98" i="9" s="1"/>
  <c r="AF42" i="9"/>
  <c r="K95" i="9"/>
  <c r="N95" i="9" s="1"/>
  <c r="P95" i="9" s="1"/>
  <c r="AF39" i="9"/>
  <c r="K109" i="9"/>
  <c r="N109" i="9" s="1"/>
  <c r="P109" i="9" s="1"/>
  <c r="AF53" i="9"/>
  <c r="K111" i="9"/>
  <c r="N111" i="9" s="1"/>
  <c r="P111" i="9" s="1"/>
  <c r="AF55" i="9"/>
  <c r="AF44" i="9"/>
  <c r="Q62" i="38"/>
  <c r="Q61" i="38"/>
  <c r="Q63" i="38" s="1"/>
  <c r="N114" i="9"/>
  <c r="P114" i="9" s="1"/>
  <c r="N106" i="9"/>
  <c r="P106" i="9" s="1"/>
  <c r="N24" i="36"/>
  <c r="O24" i="36" s="1"/>
  <c r="N100" i="9"/>
  <c r="P100" i="9" s="1"/>
  <c r="N103" i="9"/>
  <c r="AD40" i="9"/>
  <c r="C68" i="9" s="1"/>
  <c r="AD41" i="9"/>
  <c r="D69" i="9" s="1"/>
  <c r="N115" i="9"/>
  <c r="P115" i="9" s="1"/>
  <c r="N105" i="9"/>
  <c r="N110" i="9"/>
  <c r="P110" i="9" s="1"/>
  <c r="AD47" i="9"/>
  <c r="D75" i="9" s="1"/>
  <c r="AD55" i="9"/>
  <c r="D83" i="9" s="1"/>
  <c r="AD39" i="9"/>
  <c r="D67" i="9" s="1"/>
  <c r="N116" i="9"/>
  <c r="P116" i="9" s="1"/>
  <c r="N96" i="9"/>
  <c r="P96" i="9" s="1"/>
  <c r="AD54" i="9"/>
  <c r="E82" i="9" s="1"/>
  <c r="AD58" i="9"/>
  <c r="E86" i="9" s="1"/>
  <c r="N107" i="9"/>
  <c r="AD60" i="9"/>
  <c r="C88" i="9" s="1"/>
  <c r="N51" i="36"/>
  <c r="AD53" i="9"/>
  <c r="AD44" i="9"/>
  <c r="E72" i="9" s="1"/>
  <c r="AD48" i="9"/>
  <c r="D76" i="9" s="1"/>
  <c r="AD50" i="9"/>
  <c r="C78" i="9" s="1"/>
  <c r="AD59" i="9"/>
  <c r="N36" i="36"/>
  <c r="AD42" i="9"/>
  <c r="AD46" i="9"/>
  <c r="AD51" i="9"/>
  <c r="D79" i="9" s="1"/>
  <c r="AD49" i="9"/>
  <c r="AD43" i="9"/>
  <c r="D71" i="9" s="1"/>
  <c r="N23" i="36" l="1"/>
  <c r="O23" i="36" s="1"/>
  <c r="J31" i="38" s="1"/>
  <c r="N13" i="36"/>
  <c r="O13" i="36" s="1"/>
  <c r="J21" i="38" s="1"/>
  <c r="N11" i="36"/>
  <c r="O11" i="36" s="1"/>
  <c r="J19" i="38" s="1"/>
  <c r="N12" i="36"/>
  <c r="O12" i="36" s="1"/>
  <c r="J20" i="38" s="1"/>
  <c r="N10" i="36"/>
  <c r="O10" i="36" s="1"/>
  <c r="J18" i="38" s="1"/>
  <c r="N15" i="36"/>
  <c r="O15" i="36" s="1"/>
  <c r="J23" i="38" s="1"/>
  <c r="N22" i="36"/>
  <c r="O22" i="36" s="1"/>
  <c r="J30" i="38" s="1"/>
  <c r="N21" i="36"/>
  <c r="O21" i="36" s="1"/>
  <c r="J29" i="38" s="1"/>
  <c r="N19" i="36"/>
  <c r="O19" i="36" s="1"/>
  <c r="J27" i="38" s="1"/>
  <c r="N17" i="36"/>
  <c r="O17" i="36" s="1"/>
  <c r="J25" i="38" s="1"/>
  <c r="N16" i="36"/>
  <c r="O16" i="36" s="1"/>
  <c r="J24" i="38" s="1"/>
  <c r="N20" i="36"/>
  <c r="O20" i="36" s="1"/>
  <c r="J28" i="38" s="1"/>
  <c r="N18" i="36"/>
  <c r="O18" i="36" s="1"/>
  <c r="J26" i="38" s="1"/>
  <c r="N14" i="36"/>
  <c r="O14" i="36" s="1"/>
  <c r="J22" i="38" s="1"/>
  <c r="J84" i="38"/>
  <c r="Q84" i="38" s="1"/>
  <c r="J94" i="38"/>
  <c r="P107" i="9"/>
  <c r="P103" i="9"/>
  <c r="P104" i="9"/>
  <c r="P105" i="9"/>
  <c r="C69" i="9"/>
  <c r="C75" i="9"/>
  <c r="E68" i="9"/>
  <c r="D68" i="9"/>
  <c r="E75" i="9"/>
  <c r="C83" i="9"/>
  <c r="D86" i="9"/>
  <c r="E83" i="9"/>
  <c r="E67" i="9"/>
  <c r="C67" i="9"/>
  <c r="E69" i="9"/>
  <c r="C82" i="9"/>
  <c r="C86" i="9"/>
  <c r="D88" i="9"/>
  <c r="C76" i="9"/>
  <c r="E88" i="9"/>
  <c r="D82" i="9"/>
  <c r="C72" i="9"/>
  <c r="C81" i="9"/>
  <c r="D72" i="9"/>
  <c r="E76" i="9"/>
  <c r="C79" i="9"/>
  <c r="C70" i="9"/>
  <c r="E78" i="9"/>
  <c r="D78" i="9"/>
  <c r="E79" i="9"/>
  <c r="D81" i="9"/>
  <c r="E71" i="9"/>
  <c r="D70" i="9"/>
  <c r="E70" i="9"/>
  <c r="N29" i="36"/>
  <c r="O29" i="36" s="1"/>
  <c r="J40" i="38" s="1"/>
  <c r="N35" i="36"/>
  <c r="O35" i="36" s="1"/>
  <c r="J46" i="38" s="1"/>
  <c r="N32" i="36"/>
  <c r="O32" i="36" s="1"/>
  <c r="J43" i="38" s="1"/>
  <c r="N30" i="36"/>
  <c r="O30" i="36" s="1"/>
  <c r="J41" i="38" s="1"/>
  <c r="N28" i="36"/>
  <c r="O28" i="36" s="1"/>
  <c r="J39" i="38" s="1"/>
  <c r="N34" i="36"/>
  <c r="O34" i="36" s="1"/>
  <c r="J45" i="38" s="1"/>
  <c r="N33" i="36"/>
  <c r="O33" i="36" s="1"/>
  <c r="J44" i="38" s="1"/>
  <c r="N31" i="36"/>
  <c r="O31" i="36" s="1"/>
  <c r="J42" i="38" s="1"/>
  <c r="O36" i="36"/>
  <c r="E81" i="9"/>
  <c r="D77" i="9"/>
  <c r="E77" i="9"/>
  <c r="E87" i="9"/>
  <c r="D87" i="9"/>
  <c r="C77" i="9"/>
  <c r="C74" i="9"/>
  <c r="E74" i="9"/>
  <c r="D74" i="9"/>
  <c r="C87" i="9"/>
  <c r="N41" i="36"/>
  <c r="O41" i="36" s="1"/>
  <c r="J67" i="38" s="1"/>
  <c r="N49" i="36"/>
  <c r="O49" i="36" s="1"/>
  <c r="J75" i="38" s="1"/>
  <c r="N48" i="36"/>
  <c r="O48" i="36" s="1"/>
  <c r="J74" i="38" s="1"/>
  <c r="N45" i="36"/>
  <c r="O45" i="36" s="1"/>
  <c r="J71" i="38" s="1"/>
  <c r="N44" i="36"/>
  <c r="O44" i="36" s="1"/>
  <c r="J70" i="38" s="1"/>
  <c r="N46" i="36"/>
  <c r="O46" i="36" s="1"/>
  <c r="J72" i="38" s="1"/>
  <c r="N47" i="36"/>
  <c r="O47" i="36" s="1"/>
  <c r="J73" i="38" s="1"/>
  <c r="N43" i="36"/>
  <c r="O43" i="36" s="1"/>
  <c r="J69" i="38" s="1"/>
  <c r="N42" i="36"/>
  <c r="O42" i="36" s="1"/>
  <c r="J68" i="38" s="1"/>
  <c r="N40" i="36"/>
  <c r="O40" i="36" s="1"/>
  <c r="J66" i="38" s="1"/>
  <c r="N50" i="36"/>
  <c r="O50" i="36" s="1"/>
  <c r="J76" i="38" s="1"/>
  <c r="O51" i="36"/>
  <c r="P51" i="36" s="1"/>
  <c r="C71" i="9"/>
  <c r="I10" i="42" l="1"/>
  <c r="I17" i="42" s="1"/>
  <c r="N17" i="42" s="1"/>
  <c r="J89" i="38"/>
  <c r="J95" i="38"/>
  <c r="J85" i="38"/>
  <c r="Q44" i="38"/>
  <c r="Q45" i="38"/>
  <c r="Q43" i="38"/>
  <c r="Q39" i="38"/>
  <c r="Q40" i="38"/>
  <c r="Q89" i="38"/>
  <c r="N14" i="42" s="1"/>
  <c r="Q41" i="38"/>
  <c r="Q46" i="38"/>
  <c r="Q85" i="38"/>
  <c r="F75" i="9"/>
  <c r="F69" i="9"/>
  <c r="N11" i="42"/>
  <c r="J86" i="38"/>
  <c r="I11" i="42"/>
  <c r="I18" i="42" s="1"/>
  <c r="N18" i="42" s="1"/>
  <c r="J96" i="38"/>
  <c r="J88" i="38"/>
  <c r="J99" i="38"/>
  <c r="Q99" i="38" s="1"/>
  <c r="J107" i="38"/>
  <c r="I14" i="42"/>
  <c r="F68" i="9"/>
  <c r="F76" i="9"/>
  <c r="F83" i="9"/>
  <c r="F67" i="9"/>
  <c r="F78" i="9"/>
  <c r="F86" i="9"/>
  <c r="F88" i="9"/>
  <c r="F72" i="9"/>
  <c r="F82" i="9"/>
  <c r="F81" i="9"/>
  <c r="F74" i="9"/>
  <c r="F71" i="9"/>
  <c r="F87" i="9"/>
  <c r="N10" i="42"/>
  <c r="F70" i="9"/>
  <c r="F79" i="9"/>
  <c r="F77" i="9"/>
  <c r="Q88" i="38" l="1"/>
  <c r="Q107" i="38"/>
  <c r="Q86" i="38"/>
  <c r="J90" i="38"/>
  <c r="I21" i="42"/>
  <c r="N21" i="42" s="1"/>
  <c r="J100" i="38"/>
  <c r="J98" i="38"/>
  <c r="Q98" i="38" s="1"/>
  <c r="I12" i="42"/>
  <c r="I19" i="42" s="1"/>
  <c r="N19" i="42" s="1"/>
  <c r="J114" i="38"/>
  <c r="J102" i="38"/>
  <c r="Q114" i="38" l="1"/>
  <c r="Q100" i="38"/>
  <c r="N12" i="42"/>
  <c r="Q90" i="38"/>
  <c r="J81" i="38" l="1"/>
  <c r="J15" i="38"/>
  <c r="H9" i="44"/>
  <c r="J34" i="38"/>
  <c r="O9" i="44" l="1"/>
  <c r="J58" i="38"/>
  <c r="Q58" i="38"/>
  <c r="H11" i="44"/>
  <c r="Q15" i="38"/>
  <c r="J56" i="9"/>
  <c r="C27" i="9"/>
  <c r="O11" i="44" l="1"/>
  <c r="J117" i="38"/>
  <c r="Q117" i="38"/>
  <c r="J118" i="38"/>
  <c r="C56" i="9"/>
  <c r="Q118" i="38" l="1"/>
  <c r="N13" i="42"/>
  <c r="J110" i="38"/>
  <c r="Q110" i="38"/>
  <c r="J111" i="38"/>
  <c r="I13" i="42"/>
  <c r="I20" i="42" s="1"/>
  <c r="N20" i="42" s="1"/>
  <c r="Q111" i="38" l="1"/>
  <c r="N15" i="42" s="1"/>
  <c r="I15" i="42"/>
  <c r="I22" i="42" s="1"/>
  <c r="N22" i="42" s="1"/>
  <c r="T27" i="9" l="1"/>
  <c r="T56" i="9" s="1"/>
  <c r="E112" i="9" l="1"/>
  <c r="E31" i="22" s="1"/>
  <c r="R27" i="9"/>
  <c r="V27" i="9"/>
  <c r="V56" i="9" s="1"/>
  <c r="Y27" i="9"/>
  <c r="Y56" i="9" s="1"/>
  <c r="S27" i="9"/>
  <c r="X27" i="9"/>
  <c r="X56" i="9" s="1"/>
  <c r="U27" i="9"/>
  <c r="U56" i="9" s="1"/>
  <c r="Z27" i="9"/>
  <c r="Z56" i="9" s="1"/>
  <c r="W27" i="9"/>
  <c r="W56" i="9" s="1"/>
  <c r="D112" i="9" l="1"/>
  <c r="D31" i="22" s="1"/>
  <c r="S56" i="9"/>
  <c r="F112" i="9"/>
  <c r="C112" i="9"/>
  <c r="C31" i="22" s="1"/>
  <c r="F31" i="22" s="1"/>
  <c r="R56" i="9"/>
  <c r="AD27" i="9"/>
  <c r="AF27" i="9" s="1"/>
  <c r="AB56" i="9" l="1"/>
  <c r="L112" i="9" s="1"/>
  <c r="J51" i="38" s="1"/>
  <c r="AA56" i="9"/>
  <c r="K112" i="9" s="1"/>
  <c r="AC56" i="9"/>
  <c r="M112" i="9" s="1"/>
  <c r="J52" i="38" s="1"/>
  <c r="AD56" i="9" l="1"/>
  <c r="D84" i="9" s="1"/>
  <c r="J50" i="38"/>
  <c r="N112" i="9"/>
  <c r="E84" i="9"/>
  <c r="C84" i="9"/>
  <c r="P112" i="9" l="1"/>
  <c r="F84" i="9"/>
  <c r="E10" i="21" l="1"/>
  <c r="E11" i="21"/>
  <c r="D13" i="21" l="1"/>
  <c r="E12" i="21"/>
  <c r="E13" i="21" s="1"/>
  <c r="D10" i="44" l="1"/>
  <c r="D11" i="38" l="1"/>
  <c r="D13" i="38"/>
  <c r="D12" i="38"/>
  <c r="E80" i="38" l="1"/>
  <c r="E55" i="37"/>
  <c r="E110" i="38"/>
  <c r="E42" i="37"/>
  <c r="E63" i="38" l="1"/>
  <c r="E32" i="37"/>
  <c r="E34" i="38"/>
  <c r="D10" i="42"/>
  <c r="D17" i="42" s="1"/>
  <c r="E113" i="38"/>
  <c r="E114" i="38"/>
  <c r="D12" i="42"/>
  <c r="E98" i="38"/>
  <c r="E15" i="38"/>
  <c r="C9" i="44"/>
  <c r="E96" i="38"/>
  <c r="E58" i="38"/>
  <c r="E86" i="38"/>
  <c r="D19" i="42" l="1"/>
  <c r="E118" i="38"/>
  <c r="C11" i="44"/>
  <c r="D11" i="42"/>
  <c r="D18" i="42" s="1"/>
  <c r="E106" i="38"/>
  <c r="D13" i="42" l="1"/>
  <c r="D20" i="42" s="1"/>
  <c r="I10" i="21"/>
  <c r="U147" i="31"/>
  <c r="E147" i="31"/>
  <c r="E219" i="31" l="1"/>
  <c r="E143" i="31"/>
  <c r="T143" i="31" s="1"/>
  <c r="T147" i="31"/>
  <c r="H13" i="21"/>
  <c r="I11" i="21"/>
  <c r="I13" i="21" s="1"/>
  <c r="F148" i="31" l="1"/>
  <c r="D108" i="38"/>
  <c r="F9" i="37"/>
  <c r="G32" i="37" s="1"/>
  <c r="I32" i="37" s="1"/>
  <c r="I55" i="37" l="1"/>
  <c r="F11" i="37"/>
  <c r="G55" i="37" s="1"/>
  <c r="I42" i="37"/>
  <c r="F10" i="37"/>
  <c r="G42" i="37" s="1"/>
  <c r="D79" i="38"/>
  <c r="D62" i="38"/>
  <c r="D14" i="38"/>
  <c r="D33" i="38"/>
  <c r="F34" i="38" l="1"/>
  <c r="D78" i="38"/>
  <c r="F80" i="38"/>
  <c r="D80" i="38" s="1"/>
  <c r="F58" i="38"/>
  <c r="D10" i="38"/>
  <c r="F15" i="38"/>
  <c r="D15" i="38" s="1"/>
  <c r="D9" i="44"/>
  <c r="F63" i="38"/>
  <c r="D61" i="38"/>
  <c r="F113" i="38"/>
  <c r="E10" i="42"/>
  <c r="E17" i="42" s="1"/>
  <c r="D84" i="38"/>
  <c r="D116" i="38"/>
  <c r="F117" i="38"/>
  <c r="D117" i="38" s="1"/>
  <c r="F96" i="38"/>
  <c r="F86" i="38"/>
  <c r="D86" i="38" s="1"/>
  <c r="D113" i="38" l="1"/>
  <c r="D11" i="44"/>
  <c r="D34" i="38"/>
  <c r="D88" i="38"/>
  <c r="E12" i="42"/>
  <c r="E19" i="42" s="1"/>
  <c r="F114" i="38"/>
  <c r="F98" i="38"/>
  <c r="D85" i="38"/>
  <c r="E11" i="42"/>
  <c r="E18" i="42" s="1"/>
  <c r="F106" i="38"/>
  <c r="D106" i="38" l="1"/>
  <c r="D98" i="38"/>
  <c r="D114" i="38"/>
  <c r="F118" i="38"/>
  <c r="E13" i="42" l="1"/>
  <c r="E20" i="42" s="1"/>
  <c r="D118" i="38"/>
  <c r="T13" i="31" l="1"/>
  <c r="T21" i="31"/>
  <c r="T16" i="31"/>
  <c r="T23" i="31" l="1"/>
  <c r="E34" i="31" l="1"/>
  <c r="D34" i="31"/>
  <c r="E31" i="31"/>
  <c r="C31" i="31"/>
  <c r="D31" i="31"/>
  <c r="T11" i="31"/>
  <c r="D36" i="38" l="1"/>
  <c r="H32" i="37" l="1"/>
  <c r="H42" i="37"/>
  <c r="H55" i="37"/>
  <c r="J55" i="37" s="1"/>
  <c r="J31" i="22"/>
  <c r="M10" i="22" l="1"/>
  <c r="L10" i="22"/>
  <c r="K10" i="22"/>
  <c r="L33" i="22"/>
  <c r="K33" i="22"/>
  <c r="M33" i="22"/>
  <c r="L27" i="22"/>
  <c r="K27" i="22"/>
  <c r="K13" i="22"/>
  <c r="L13" i="22"/>
  <c r="L11" i="22"/>
  <c r="K11" i="22"/>
  <c r="M11" i="22"/>
  <c r="K30" i="22"/>
  <c r="L30" i="22"/>
  <c r="M30" i="22"/>
  <c r="L12" i="22"/>
  <c r="K12" i="22"/>
  <c r="M12" i="22"/>
  <c r="M27" i="22"/>
  <c r="G41" i="37"/>
  <c r="M13" i="22"/>
  <c r="E70" i="31"/>
  <c r="E73" i="31"/>
  <c r="E85" i="31"/>
  <c r="J26" i="37" l="1"/>
  <c r="G26" i="37"/>
  <c r="K14" i="22"/>
  <c r="L14" i="22"/>
  <c r="M14" i="22"/>
  <c r="K35" i="22"/>
  <c r="L35" i="22"/>
  <c r="M35" i="22"/>
  <c r="F46" i="38"/>
  <c r="J28" i="37"/>
  <c r="G28" i="37"/>
  <c r="L29" i="22"/>
  <c r="M29" i="22"/>
  <c r="K29" i="22"/>
  <c r="G18" i="37"/>
  <c r="J18" i="37"/>
  <c r="K34" i="22"/>
  <c r="L34" i="22"/>
  <c r="M34" i="22"/>
  <c r="M15" i="22"/>
  <c r="K15" i="22"/>
  <c r="L15" i="22"/>
  <c r="G54" i="37"/>
  <c r="J54" i="37"/>
  <c r="E54" i="37" s="1"/>
  <c r="E76" i="38" s="1"/>
  <c r="J22" i="37"/>
  <c r="G22" i="37"/>
  <c r="J24" i="37"/>
  <c r="G24" i="37"/>
  <c r="J23" i="37"/>
  <c r="G23" i="37"/>
  <c r="L28" i="22"/>
  <c r="K28" i="22"/>
  <c r="M28" i="22"/>
  <c r="G53" i="37" l="1"/>
  <c r="J53" i="37"/>
  <c r="E53" i="37" s="1"/>
  <c r="E75" i="38" s="1"/>
  <c r="F22" i="38"/>
  <c r="G39" i="37"/>
  <c r="J39" i="37"/>
  <c r="F28" i="38"/>
  <c r="J19" i="37"/>
  <c r="G19" i="37"/>
  <c r="G34" i="37"/>
  <c r="J34" i="37"/>
  <c r="G27" i="37"/>
  <c r="J27" i="37"/>
  <c r="I54" i="37"/>
  <c r="F76" i="38"/>
  <c r="F77" i="38" s="1"/>
  <c r="F81" i="38" s="1"/>
  <c r="F18" i="38"/>
  <c r="G40" i="37"/>
  <c r="J40" i="37"/>
  <c r="J52" i="37"/>
  <c r="E52" i="37" s="1"/>
  <c r="E74" i="38" s="1"/>
  <c r="G52" i="37"/>
  <c r="E181" i="31"/>
  <c r="E90" i="31"/>
  <c r="G37" i="37"/>
  <c r="J37" i="37"/>
  <c r="F23" i="38"/>
  <c r="G20" i="37"/>
  <c r="J20" i="37"/>
  <c r="G45" i="37"/>
  <c r="J45" i="37"/>
  <c r="E45" i="37" s="1"/>
  <c r="E67" i="38" s="1"/>
  <c r="J38" i="37"/>
  <c r="G38" i="37"/>
  <c r="G48" i="37"/>
  <c r="J48" i="37"/>
  <c r="E48" i="37" s="1"/>
  <c r="E70" i="38" s="1"/>
  <c r="G50" i="37"/>
  <c r="J50" i="37"/>
  <c r="E50" i="37" s="1"/>
  <c r="E72" i="38" s="1"/>
  <c r="J47" i="37"/>
  <c r="E47" i="37" s="1"/>
  <c r="E69" i="38" s="1"/>
  <c r="G47" i="37"/>
  <c r="G51" i="37"/>
  <c r="J51" i="37"/>
  <c r="E51" i="37" s="1"/>
  <c r="E73" i="38" s="1"/>
  <c r="E182" i="31"/>
  <c r="F19" i="31"/>
  <c r="E91" i="31"/>
  <c r="G25" i="37"/>
  <c r="J25" i="37"/>
  <c r="F26" i="38"/>
  <c r="J36" i="37"/>
  <c r="G36" i="37"/>
  <c r="G31" i="37"/>
  <c r="J31" i="37"/>
  <c r="G46" i="37"/>
  <c r="J46" i="37"/>
  <c r="E46" i="37" s="1"/>
  <c r="E68" i="38" s="1"/>
  <c r="J21" i="37"/>
  <c r="G21" i="37"/>
  <c r="G49" i="37"/>
  <c r="J49" i="37"/>
  <c r="E49" i="37" s="1"/>
  <c r="E71" i="38" s="1"/>
  <c r="G44" i="37"/>
  <c r="J44" i="37"/>
  <c r="E44" i="37" s="1"/>
  <c r="E66" i="38" s="1"/>
  <c r="G35" i="37"/>
  <c r="J35" i="37"/>
  <c r="J29" i="37"/>
  <c r="G29" i="37"/>
  <c r="J30" i="37"/>
  <c r="G30" i="37"/>
  <c r="F24" i="38"/>
  <c r="F17" i="21" l="1"/>
  <c r="I17" i="21"/>
  <c r="F31" i="38"/>
  <c r="F25" i="38"/>
  <c r="F71" i="38"/>
  <c r="I49" i="37"/>
  <c r="F41" i="38"/>
  <c r="I50" i="37"/>
  <c r="F72" i="38"/>
  <c r="I52" i="37"/>
  <c r="F74" i="38"/>
  <c r="F40" i="38"/>
  <c r="F182" i="31"/>
  <c r="H94" i="38" s="1"/>
  <c r="H96" i="38" s="1"/>
  <c r="F91" i="31"/>
  <c r="F164" i="31" s="1"/>
  <c r="F20" i="38"/>
  <c r="F21" i="38"/>
  <c r="I48" i="37"/>
  <c r="F70" i="38"/>
  <c r="F43" i="38"/>
  <c r="J42" i="37"/>
  <c r="E37" i="37" s="1"/>
  <c r="E42" i="38" s="1"/>
  <c r="J41" i="37"/>
  <c r="F30" i="38"/>
  <c r="E17" i="21"/>
  <c r="I51" i="37"/>
  <c r="F73" i="38"/>
  <c r="F45" i="38"/>
  <c r="F39" i="38"/>
  <c r="F19" i="38"/>
  <c r="F27" i="38"/>
  <c r="F42" i="38"/>
  <c r="F44" i="38"/>
  <c r="E77" i="38"/>
  <c r="F68" i="38"/>
  <c r="I46" i="37"/>
  <c r="I47" i="37"/>
  <c r="F69" i="38"/>
  <c r="F29" i="38"/>
  <c r="F66" i="38"/>
  <c r="I44" i="37"/>
  <c r="J32" i="37"/>
  <c r="E20" i="37" s="1"/>
  <c r="F67" i="38"/>
  <c r="I45" i="37"/>
  <c r="F75" i="38"/>
  <c r="I53" i="37"/>
  <c r="K77" i="38" l="1"/>
  <c r="P77" i="38"/>
  <c r="N77" i="38"/>
  <c r="G76" i="38"/>
  <c r="E25" i="37"/>
  <c r="E29" i="37"/>
  <c r="E29" i="38" s="1"/>
  <c r="E30" i="37"/>
  <c r="E30" i="38" s="1"/>
  <c r="E20" i="38"/>
  <c r="I20" i="37"/>
  <c r="E19" i="37"/>
  <c r="E40" i="37"/>
  <c r="I37" i="37"/>
  <c r="E39" i="37"/>
  <c r="E35" i="37"/>
  <c r="E52" i="38"/>
  <c r="E27" i="37"/>
  <c r="E81" i="38"/>
  <c r="D81" i="38" s="1"/>
  <c r="E38" i="37"/>
  <c r="F47" i="38"/>
  <c r="O13" i="31"/>
  <c r="N13" i="31"/>
  <c r="I85" i="31" s="1"/>
  <c r="M13" i="31"/>
  <c r="H85" i="31" s="1"/>
  <c r="O11" i="31"/>
  <c r="M11" i="31"/>
  <c r="H83" i="31" s="1"/>
  <c r="N11" i="31"/>
  <c r="I83" i="31" s="1"/>
  <c r="D32" i="37"/>
  <c r="E23" i="37"/>
  <c r="E18" i="37"/>
  <c r="E28" i="37"/>
  <c r="E22" i="37"/>
  <c r="E26" i="37"/>
  <c r="E24" i="37"/>
  <c r="E41" i="37"/>
  <c r="C110" i="31"/>
  <c r="C200" i="31" s="1"/>
  <c r="D110" i="31"/>
  <c r="D200" i="31" s="1"/>
  <c r="E110" i="31"/>
  <c r="E200" i="31" s="1"/>
  <c r="G17" i="21"/>
  <c r="E36" i="37"/>
  <c r="E31" i="37"/>
  <c r="E34" i="37"/>
  <c r="E21" i="37"/>
  <c r="P76" i="38" l="1"/>
  <c r="K76" i="38"/>
  <c r="N76" i="38"/>
  <c r="I29" i="37"/>
  <c r="I30" i="37"/>
  <c r="E25" i="38"/>
  <c r="I25" i="37"/>
  <c r="J23" i="31"/>
  <c r="K96" i="31"/>
  <c r="K168" i="31"/>
  <c r="E21" i="38"/>
  <c r="I21" i="37"/>
  <c r="E24" i="38"/>
  <c r="I24" i="37"/>
  <c r="E27" i="38"/>
  <c r="I27" i="37"/>
  <c r="E44" i="38"/>
  <c r="I39" i="37"/>
  <c r="E19" i="38"/>
  <c r="I19" i="37"/>
  <c r="H58" i="38"/>
  <c r="O58" i="38"/>
  <c r="E39" i="38"/>
  <c r="I34" i="37"/>
  <c r="E26" i="38"/>
  <c r="I26" i="37"/>
  <c r="N16" i="31"/>
  <c r="I88" i="31" s="1"/>
  <c r="O16" i="31"/>
  <c r="M16" i="31"/>
  <c r="H88" i="31" s="1"/>
  <c r="E41" i="38"/>
  <c r="I36" i="37"/>
  <c r="E28" i="38"/>
  <c r="I28" i="37"/>
  <c r="E45" i="38"/>
  <c r="I40" i="37"/>
  <c r="K88" i="31"/>
  <c r="J16" i="31"/>
  <c r="E22" i="38"/>
  <c r="I22" i="37"/>
  <c r="K85" i="31"/>
  <c r="J13" i="31"/>
  <c r="J85" i="31" s="1"/>
  <c r="E18" i="38"/>
  <c r="I18" i="37"/>
  <c r="K156" i="31"/>
  <c r="H156" i="31" s="1"/>
  <c r="J11" i="31"/>
  <c r="J83" i="31" s="1"/>
  <c r="K83" i="31"/>
  <c r="H81" i="38"/>
  <c r="H80" i="38"/>
  <c r="F52" i="38"/>
  <c r="D52" i="38" s="1"/>
  <c r="E46" i="38"/>
  <c r="I41" i="37"/>
  <c r="E23" i="38"/>
  <c r="I23" i="37"/>
  <c r="E31" i="38"/>
  <c r="I31" i="37"/>
  <c r="O23" i="31"/>
  <c r="M23" i="31"/>
  <c r="N23" i="31"/>
  <c r="E43" i="38"/>
  <c r="I38" i="37"/>
  <c r="E40" i="38"/>
  <c r="I35" i="37"/>
  <c r="G18" i="38" l="1"/>
  <c r="P18" i="38" s="1"/>
  <c r="J88" i="31"/>
  <c r="K94" i="31"/>
  <c r="K166" i="31"/>
  <c r="J21" i="31"/>
  <c r="I96" i="31"/>
  <c r="I168" i="31"/>
  <c r="H96" i="31"/>
  <c r="H168" i="31"/>
  <c r="J96" i="31"/>
  <c r="J168" i="31"/>
  <c r="O81" i="38"/>
  <c r="O80" i="38"/>
  <c r="E47" i="38"/>
  <c r="K18" i="38" l="1"/>
  <c r="P47" i="38"/>
  <c r="N47" i="38"/>
  <c r="N18" i="38"/>
  <c r="G39" i="38"/>
  <c r="E15" i="21"/>
  <c r="E50" i="38" s="1"/>
  <c r="D16" i="21"/>
  <c r="F15" i="21"/>
  <c r="I15" i="21"/>
  <c r="H16" i="21"/>
  <c r="D47" i="38"/>
  <c r="L31" i="22"/>
  <c r="K31" i="22"/>
  <c r="M31" i="22"/>
  <c r="N21" i="31" s="1"/>
  <c r="N39" i="38" l="1"/>
  <c r="P39" i="38"/>
  <c r="K39" i="38"/>
  <c r="G15" i="21"/>
  <c r="F50" i="38" s="1"/>
  <c r="D50" i="38" s="1"/>
  <c r="I166" i="31"/>
  <c r="I94" i="31"/>
  <c r="O21" i="31"/>
  <c r="M21" i="31"/>
  <c r="I16" i="21"/>
  <c r="F16" i="21"/>
  <c r="F18" i="21" s="1"/>
  <c r="H18" i="21"/>
  <c r="E16" i="21"/>
  <c r="D18" i="21"/>
  <c r="G16" i="21" l="1"/>
  <c r="I18" i="21"/>
  <c r="J166" i="31"/>
  <c r="J94" i="31"/>
  <c r="H94" i="31"/>
  <c r="H166" i="31"/>
  <c r="E51" i="38"/>
  <c r="E18" i="21"/>
  <c r="E53" i="38" l="1"/>
  <c r="F51" i="38"/>
  <c r="F53" i="38" s="1"/>
  <c r="G18" i="21"/>
  <c r="D51" i="38" l="1"/>
  <c r="E65" i="31" l="1"/>
  <c r="E77" i="31"/>
  <c r="E75" i="31"/>
  <c r="E29" i="31" l="1"/>
  <c r="E83" i="31" s="1"/>
  <c r="C29" i="31"/>
  <c r="D29" i="31"/>
  <c r="D39" i="31"/>
  <c r="C39" i="31"/>
  <c r="E39" i="31"/>
  <c r="E94" i="31" s="1"/>
  <c r="C41" i="31"/>
  <c r="D41" i="31"/>
  <c r="E41" i="31"/>
  <c r="E186" i="31" s="1"/>
  <c r="E88" i="31"/>
  <c r="E96" i="31" l="1"/>
  <c r="C96" i="31"/>
  <c r="F23" i="31"/>
  <c r="C186" i="31"/>
  <c r="D174" i="31"/>
  <c r="D83" i="31"/>
  <c r="H62" i="38"/>
  <c r="O62" i="38" s="1"/>
  <c r="D186" i="31"/>
  <c r="D96" i="31"/>
  <c r="F10" i="44"/>
  <c r="M10" i="44" s="1"/>
  <c r="D94" i="31"/>
  <c r="D184" i="31"/>
  <c r="E184" i="31"/>
  <c r="H52" i="38"/>
  <c r="O52" i="38" s="1"/>
  <c r="E174" i="31"/>
  <c r="F204" i="31"/>
  <c r="F202" i="31"/>
  <c r="C94" i="31" l="1"/>
  <c r="F21" i="31"/>
  <c r="C184" i="31"/>
  <c r="H51" i="38"/>
  <c r="O51" i="38" s="1"/>
  <c r="F13" i="44"/>
  <c r="M13" i="44" s="1"/>
  <c r="F14" i="44"/>
  <c r="M14" i="44" s="1"/>
  <c r="F11" i="44"/>
  <c r="F15" i="44"/>
  <c r="C83" i="31"/>
  <c r="F11" i="31"/>
  <c r="C174" i="31"/>
  <c r="F96" i="31"/>
  <c r="F168" i="31" s="1"/>
  <c r="F186" i="31"/>
  <c r="H61" i="38"/>
  <c r="O61" i="38" s="1"/>
  <c r="H12" i="38" l="1"/>
  <c r="O12" i="38" s="1"/>
  <c r="H11" i="38"/>
  <c r="O11" i="38" s="1"/>
  <c r="H13" i="38"/>
  <c r="O13" i="38" s="1"/>
  <c r="M11" i="44"/>
  <c r="M15" i="44"/>
  <c r="O63" i="38"/>
  <c r="C114" i="31"/>
  <c r="C204" i="31" s="1"/>
  <c r="D114" i="31"/>
  <c r="D168" i="31" s="1"/>
  <c r="F83" i="31"/>
  <c r="F156" i="31" s="1"/>
  <c r="F174" i="31"/>
  <c r="F184" i="31"/>
  <c r="F94" i="31"/>
  <c r="C112" i="31" s="1"/>
  <c r="C202" i="31" s="1"/>
  <c r="I50" i="38" s="1"/>
  <c r="E114" i="31"/>
  <c r="E168" i="31" s="1"/>
  <c r="H50" i="38"/>
  <c r="O50" i="38" s="1"/>
  <c r="F192" i="31"/>
  <c r="O15" i="38" l="1"/>
  <c r="O53" i="38"/>
  <c r="D204" i="31"/>
  <c r="C168" i="31"/>
  <c r="I61" i="38"/>
  <c r="D88" i="31"/>
  <c r="F15" i="31"/>
  <c r="F49" i="31"/>
  <c r="F51" i="31" s="1"/>
  <c r="C51" i="31"/>
  <c r="C87" i="31" s="1"/>
  <c r="C86" i="31"/>
  <c r="C177" i="31"/>
  <c r="F14" i="31"/>
  <c r="F52" i="31"/>
  <c r="F54" i="31" s="1"/>
  <c r="D54" i="31"/>
  <c r="E204" i="31"/>
  <c r="I62" i="38" s="1"/>
  <c r="E102" i="31"/>
  <c r="E192" i="31" s="1"/>
  <c r="D102" i="31"/>
  <c r="D192" i="31" s="1"/>
  <c r="C88" i="31"/>
  <c r="F16" i="31"/>
  <c r="C89" i="31"/>
  <c r="C180" i="31"/>
  <c r="C102" i="31"/>
  <c r="O110" i="38"/>
  <c r="H110" i="38"/>
  <c r="C85" i="31"/>
  <c r="H117" i="38"/>
  <c r="O117" i="38"/>
  <c r="C181" i="31"/>
  <c r="C90" i="31"/>
  <c r="D112" i="31"/>
  <c r="E112" i="31"/>
  <c r="D85" i="31"/>
  <c r="F18" i="31"/>
  <c r="F88" i="31" l="1"/>
  <c r="E107" i="31" s="1"/>
  <c r="D202" i="31"/>
  <c r="I51" i="38" s="1"/>
  <c r="F86" i="31"/>
  <c r="F159" i="31" s="1"/>
  <c r="F177" i="31"/>
  <c r="R36" i="38"/>
  <c r="G42" i="38"/>
  <c r="K42" i="38" s="1"/>
  <c r="G45" i="38"/>
  <c r="G41" i="38"/>
  <c r="G43" i="38"/>
  <c r="G44" i="38"/>
  <c r="G46" i="38"/>
  <c r="G40" i="38"/>
  <c r="F17" i="31"/>
  <c r="D89" i="31"/>
  <c r="D180" i="31"/>
  <c r="F201" i="31"/>
  <c r="I95" i="38" s="1"/>
  <c r="R57" i="38"/>
  <c r="C49" i="1" s="1"/>
  <c r="G80" i="38"/>
  <c r="D181" i="31"/>
  <c r="D90" i="31"/>
  <c r="C192" i="31"/>
  <c r="G10" i="44"/>
  <c r="R79" i="38"/>
  <c r="F200" i="31"/>
  <c r="I94" i="38" s="1"/>
  <c r="F178" i="31"/>
  <c r="H85" i="38" s="1"/>
  <c r="O85" i="38" s="1"/>
  <c r="F87" i="31"/>
  <c r="F160" i="31" s="1"/>
  <c r="R14" i="38"/>
  <c r="C11" i="1" s="1"/>
  <c r="F181" i="31"/>
  <c r="H89" i="38" s="1"/>
  <c r="O89" i="38" s="1"/>
  <c r="F90" i="31"/>
  <c r="F163" i="31" s="1"/>
  <c r="G25" i="38"/>
  <c r="G26" i="38"/>
  <c r="G20" i="38"/>
  <c r="G30" i="38"/>
  <c r="N30" i="38" s="1"/>
  <c r="G27" i="38"/>
  <c r="G21" i="38"/>
  <c r="G29" i="38"/>
  <c r="G19" i="38"/>
  <c r="G28" i="38"/>
  <c r="K28" i="38" s="1"/>
  <c r="R32" i="38"/>
  <c r="G34" i="38"/>
  <c r="K34" i="38" s="1"/>
  <c r="G24" i="38"/>
  <c r="G22" i="38"/>
  <c r="G31" i="38"/>
  <c r="G23" i="38"/>
  <c r="R33" i="38"/>
  <c r="G66" i="38"/>
  <c r="G70" i="38"/>
  <c r="G67" i="38"/>
  <c r="G72" i="38"/>
  <c r="G69" i="38"/>
  <c r="G71" i="38"/>
  <c r="G68" i="38"/>
  <c r="G73" i="38"/>
  <c r="G75" i="38"/>
  <c r="G74" i="38"/>
  <c r="G81" i="38"/>
  <c r="N81" i="38"/>
  <c r="E202" i="31"/>
  <c r="I52" i="38" s="1"/>
  <c r="C178" i="31"/>
  <c r="C130" i="31"/>
  <c r="D130" i="31"/>
  <c r="E130" i="31"/>
  <c r="F13" i="31"/>
  <c r="F85" i="31" s="1"/>
  <c r="E104" i="31" s="1"/>
  <c r="D107" i="31"/>
  <c r="F195" i="31"/>
  <c r="F196" i="31"/>
  <c r="I85" i="38" s="1"/>
  <c r="H11" i="42" s="1"/>
  <c r="H18" i="42" s="1"/>
  <c r="P67" i="38" l="1"/>
  <c r="K67" i="38"/>
  <c r="R67" i="38" s="1"/>
  <c r="N67" i="38"/>
  <c r="K66" i="38"/>
  <c r="P66" i="38"/>
  <c r="N66" i="38"/>
  <c r="N22" i="38"/>
  <c r="P22" i="38"/>
  <c r="K22" i="38"/>
  <c r="K19" i="38"/>
  <c r="N19" i="38"/>
  <c r="P19" i="38"/>
  <c r="P43" i="38"/>
  <c r="K43" i="38"/>
  <c r="N43" i="38"/>
  <c r="P70" i="38"/>
  <c r="N70" i="38"/>
  <c r="K70" i="38"/>
  <c r="R70" i="38" s="1"/>
  <c r="P29" i="38"/>
  <c r="N29" i="38"/>
  <c r="K29" i="38"/>
  <c r="R29" i="38" s="1"/>
  <c r="P46" i="38"/>
  <c r="N46" i="38"/>
  <c r="K46" i="38"/>
  <c r="R46" i="38" s="1"/>
  <c r="C40" i="1" s="1"/>
  <c r="K30" i="38"/>
  <c r="P30" i="38"/>
  <c r="P68" i="38"/>
  <c r="K68" i="38"/>
  <c r="R68" i="38" s="1"/>
  <c r="N68" i="38"/>
  <c r="N24" i="38"/>
  <c r="P24" i="38"/>
  <c r="K24" i="38"/>
  <c r="R24" i="38" s="1"/>
  <c r="P44" i="38"/>
  <c r="N44" i="38"/>
  <c r="K44" i="38"/>
  <c r="R44" i="38" s="1"/>
  <c r="C38" i="1" s="1"/>
  <c r="N74" i="38"/>
  <c r="K74" i="38"/>
  <c r="R74" i="38" s="1"/>
  <c r="P74" i="38"/>
  <c r="K73" i="38"/>
  <c r="R73" i="38" s="1"/>
  <c r="P73" i="38"/>
  <c r="N73" i="38"/>
  <c r="K71" i="38"/>
  <c r="R71" i="38" s="1"/>
  <c r="P71" i="38"/>
  <c r="N71" i="38"/>
  <c r="N23" i="38"/>
  <c r="P23" i="38"/>
  <c r="K23" i="38"/>
  <c r="R23" i="38" s="1"/>
  <c r="N31" i="38"/>
  <c r="K31" i="38"/>
  <c r="R31" i="38" s="1"/>
  <c r="P31" i="38"/>
  <c r="K40" i="38"/>
  <c r="R40" i="38" s="1"/>
  <c r="C34" i="1" s="1"/>
  <c r="N40" i="38"/>
  <c r="P40" i="38"/>
  <c r="N21" i="38"/>
  <c r="K21" i="38"/>
  <c r="P21" i="38"/>
  <c r="K27" i="38"/>
  <c r="N27" i="38"/>
  <c r="P27" i="38"/>
  <c r="N20" i="38"/>
  <c r="P20" i="38"/>
  <c r="K20" i="38"/>
  <c r="R20" i="38" s="1"/>
  <c r="P45" i="38"/>
  <c r="K45" i="38"/>
  <c r="R45" i="38" s="1"/>
  <c r="C39" i="1" s="1"/>
  <c r="N45" i="38"/>
  <c r="N25" i="38"/>
  <c r="K25" i="38"/>
  <c r="R25" i="38" s="1"/>
  <c r="P25" i="38"/>
  <c r="P41" i="38"/>
  <c r="N41" i="38"/>
  <c r="K41" i="38"/>
  <c r="R41" i="38" s="1"/>
  <c r="C35" i="1" s="1"/>
  <c r="P26" i="38"/>
  <c r="N26" i="38"/>
  <c r="K26" i="38"/>
  <c r="N75" i="38"/>
  <c r="P75" i="38"/>
  <c r="K75" i="38"/>
  <c r="R75" i="38" s="1"/>
  <c r="N69" i="38"/>
  <c r="P69" i="38"/>
  <c r="K69" i="38"/>
  <c r="R69" i="38" s="1"/>
  <c r="P72" i="38"/>
  <c r="N72" i="38"/>
  <c r="K72" i="38"/>
  <c r="R72" i="38" s="1"/>
  <c r="R27" i="38"/>
  <c r="R19" i="38"/>
  <c r="R22" i="38"/>
  <c r="R21" i="38"/>
  <c r="R30" i="38"/>
  <c r="R26" i="38"/>
  <c r="R66" i="38"/>
  <c r="C107" i="31"/>
  <c r="R76" i="38"/>
  <c r="R39" i="38"/>
  <c r="C33" i="1" s="1"/>
  <c r="R18" i="38"/>
  <c r="R34" i="38"/>
  <c r="I96" i="38"/>
  <c r="C106" i="31"/>
  <c r="C196" i="31" s="1"/>
  <c r="N34" i="38"/>
  <c r="P80" i="38"/>
  <c r="G58" i="38"/>
  <c r="P58" i="38"/>
  <c r="N58" i="38"/>
  <c r="C120" i="31"/>
  <c r="F194" i="31"/>
  <c r="I84" i="38"/>
  <c r="P34" i="38"/>
  <c r="C105" i="31"/>
  <c r="C195" i="31" s="1"/>
  <c r="D125" i="31"/>
  <c r="H99" i="38"/>
  <c r="O99" i="38" s="1"/>
  <c r="H107" i="38"/>
  <c r="O107" i="38" s="1"/>
  <c r="L14" i="42"/>
  <c r="G14" i="42"/>
  <c r="F176" i="31"/>
  <c r="H84" i="38"/>
  <c r="O84" i="38" s="1"/>
  <c r="N80" i="38"/>
  <c r="D105" i="31"/>
  <c r="D195" i="31" s="1"/>
  <c r="E105" i="31"/>
  <c r="E195" i="31" s="1"/>
  <c r="K80" i="38"/>
  <c r="R80" i="38" s="1"/>
  <c r="C69" i="1" s="1"/>
  <c r="R78" i="38"/>
  <c r="C28" i="1"/>
  <c r="Q32" i="38"/>
  <c r="C68" i="1"/>
  <c r="Q79" i="38"/>
  <c r="C32" i="1"/>
  <c r="Q36" i="38"/>
  <c r="C104" i="31"/>
  <c r="C122" i="31"/>
  <c r="R77" i="38"/>
  <c r="Q77" i="38" s="1"/>
  <c r="K81" i="38"/>
  <c r="R81" i="38" s="1"/>
  <c r="Q33" i="38"/>
  <c r="C29" i="1"/>
  <c r="G15" i="44"/>
  <c r="G11" i="44"/>
  <c r="G13" i="44"/>
  <c r="G14" i="44"/>
  <c r="F180" i="31"/>
  <c r="F89" i="31"/>
  <c r="F162" i="31" s="1"/>
  <c r="P81" i="38"/>
  <c r="D106" i="31"/>
  <c r="D196" i="31" s="1"/>
  <c r="E106" i="31"/>
  <c r="E196" i="31" s="1"/>
  <c r="G11" i="42"/>
  <c r="G18" i="42" s="1"/>
  <c r="L18" i="42" s="1"/>
  <c r="H106" i="38"/>
  <c r="O106" i="38" s="1"/>
  <c r="L11" i="42"/>
  <c r="I108" i="38"/>
  <c r="D104" i="31"/>
  <c r="F198" i="31"/>
  <c r="R92" i="38"/>
  <c r="L15" i="44" l="1"/>
  <c r="N15" i="44"/>
  <c r="I15" i="44"/>
  <c r="P15" i="44" s="1"/>
  <c r="I12" i="38"/>
  <c r="I11" i="38"/>
  <c r="I13" i="38"/>
  <c r="K47" i="38"/>
  <c r="R47" i="38" s="1"/>
  <c r="C123" i="31"/>
  <c r="G10" i="42"/>
  <c r="G17" i="42" s="1"/>
  <c r="L17" i="42" s="1"/>
  <c r="H113" i="38"/>
  <c r="O113" i="38" s="1"/>
  <c r="H86" i="38"/>
  <c r="I116" i="38"/>
  <c r="I115" i="38"/>
  <c r="H111" i="38"/>
  <c r="O111" i="38" s="1"/>
  <c r="Q29" i="38"/>
  <c r="C25" i="1"/>
  <c r="Q76" i="38"/>
  <c r="C66" i="1"/>
  <c r="F179" i="31"/>
  <c r="H88" i="38"/>
  <c r="O88" i="38" s="1"/>
  <c r="I88" i="38"/>
  <c r="J106" i="38"/>
  <c r="I106" i="38"/>
  <c r="C61" i="1"/>
  <c r="Q71" i="38"/>
  <c r="C60" i="1"/>
  <c r="Q70" i="38"/>
  <c r="C57" i="1"/>
  <c r="Q67" i="38"/>
  <c r="C23" i="1"/>
  <c r="Q27" i="38"/>
  <c r="C14" i="1"/>
  <c r="Q18" i="38"/>
  <c r="C67" i="1"/>
  <c r="Q78" i="38"/>
  <c r="Q80" i="38" s="1"/>
  <c r="I86" i="38"/>
  <c r="H10" i="42"/>
  <c r="H17" i="42" s="1"/>
  <c r="G13" i="38"/>
  <c r="G12" i="38"/>
  <c r="E9" i="44"/>
  <c r="L9" i="44" s="1"/>
  <c r="G15" i="38"/>
  <c r="G11" i="38"/>
  <c r="Q34" i="38"/>
  <c r="C56" i="1"/>
  <c r="Q66" i="38"/>
  <c r="C26" i="1"/>
  <c r="Q30" i="38"/>
  <c r="C17" i="1"/>
  <c r="Q21" i="38"/>
  <c r="K58" i="38"/>
  <c r="R58" i="38" s="1"/>
  <c r="R56" i="38"/>
  <c r="C48" i="1" s="1"/>
  <c r="C58" i="1"/>
  <c r="Q68" i="38"/>
  <c r="C21" i="1"/>
  <c r="Q25" i="38"/>
  <c r="Q72" i="38"/>
  <c r="C62" i="1"/>
  <c r="C16" i="1"/>
  <c r="Q20" i="38"/>
  <c r="R43" i="38"/>
  <c r="C37" i="1" s="1"/>
  <c r="C18" i="1"/>
  <c r="Q22" i="38"/>
  <c r="C63" i="1"/>
  <c r="Q73" i="38"/>
  <c r="Q24" i="38"/>
  <c r="C20" i="1"/>
  <c r="C65" i="1"/>
  <c r="Q75" i="38"/>
  <c r="Q26" i="38"/>
  <c r="C22" i="1"/>
  <c r="C19" i="1"/>
  <c r="Q23" i="38"/>
  <c r="Q19" i="38"/>
  <c r="C15" i="1"/>
  <c r="C59" i="1"/>
  <c r="Q69" i="38"/>
  <c r="E108" i="31"/>
  <c r="E198" i="31" s="1"/>
  <c r="C108" i="31"/>
  <c r="C198" i="31" s="1"/>
  <c r="C64" i="1"/>
  <c r="Q74" i="38"/>
  <c r="D108" i="31"/>
  <c r="D198" i="31" s="1"/>
  <c r="G21" i="42"/>
  <c r="L21" i="42" s="1"/>
  <c r="Q31" i="38"/>
  <c r="C27" i="1"/>
  <c r="N12" i="38" l="1"/>
  <c r="K12" i="38"/>
  <c r="R12" i="38" s="1"/>
  <c r="C9" i="1" s="1"/>
  <c r="P12" i="38"/>
  <c r="N13" i="38"/>
  <c r="P13" i="38"/>
  <c r="K13" i="38"/>
  <c r="I9" i="44"/>
  <c r="N9" i="44"/>
  <c r="K11" i="38"/>
  <c r="P11" i="38"/>
  <c r="N11" i="38"/>
  <c r="Q106" i="38"/>
  <c r="P9" i="44"/>
  <c r="L15" i="42"/>
  <c r="G15" i="42"/>
  <c r="G22" i="42" s="1"/>
  <c r="L22" i="42" s="1"/>
  <c r="R11" i="38"/>
  <c r="C8" i="1" s="1"/>
  <c r="R13" i="38"/>
  <c r="C10" i="1" s="1"/>
  <c r="Q81" i="38"/>
  <c r="I117" i="38"/>
  <c r="H12" i="42"/>
  <c r="H19" i="42" s="1"/>
  <c r="I114" i="38"/>
  <c r="I118" i="38" s="1"/>
  <c r="H13" i="42" s="1"/>
  <c r="H20" i="42" s="1"/>
  <c r="I113" i="38"/>
  <c r="J113" i="38"/>
  <c r="C124" i="31"/>
  <c r="H114" i="38"/>
  <c r="O114" i="38" s="1"/>
  <c r="H90" i="38"/>
  <c r="H100" i="38" s="1"/>
  <c r="H98" i="38"/>
  <c r="O98" i="38" s="1"/>
  <c r="G12" i="42"/>
  <c r="G19" i="42" s="1"/>
  <c r="L19" i="42" s="1"/>
  <c r="O86" i="38"/>
  <c r="L10" i="42"/>
  <c r="E109" i="31"/>
  <c r="E199" i="31" s="1"/>
  <c r="F199" i="31"/>
  <c r="C109" i="31"/>
  <c r="C199" i="31" s="1"/>
  <c r="D109" i="31"/>
  <c r="D199" i="31" s="1"/>
  <c r="D14" i="42"/>
  <c r="D21" i="42" s="1"/>
  <c r="E99" i="38"/>
  <c r="E90" i="38"/>
  <c r="E107" i="38"/>
  <c r="D109" i="38"/>
  <c r="F110" i="38"/>
  <c r="D110" i="38" s="1"/>
  <c r="R10" i="38"/>
  <c r="C7" i="1" s="1"/>
  <c r="R15" i="38"/>
  <c r="E10" i="44"/>
  <c r="D89" i="38"/>
  <c r="N10" i="44" l="1"/>
  <c r="L10" i="44"/>
  <c r="I10" i="44"/>
  <c r="P10" i="44" s="1"/>
  <c r="Q113" i="38"/>
  <c r="P15" i="38"/>
  <c r="H102" i="38"/>
  <c r="N15" i="38"/>
  <c r="F218" i="31"/>
  <c r="G94" i="38" s="1"/>
  <c r="K94" i="38" s="1"/>
  <c r="D128" i="31"/>
  <c r="D218" i="31" s="1"/>
  <c r="E164" i="31"/>
  <c r="D127" i="31"/>
  <c r="E14" i="44"/>
  <c r="E13" i="44"/>
  <c r="H118" i="38"/>
  <c r="O118" i="38" s="1"/>
  <c r="D126" i="31"/>
  <c r="E111" i="38"/>
  <c r="I89" i="38"/>
  <c r="F197" i="31"/>
  <c r="O90" i="38"/>
  <c r="L12" i="42"/>
  <c r="F219" i="31"/>
  <c r="G95" i="38" s="1"/>
  <c r="D129" i="31"/>
  <c r="D219" i="31" s="1"/>
  <c r="E165" i="31"/>
  <c r="F107" i="38"/>
  <c r="F111" i="38" s="1"/>
  <c r="E15" i="42" s="1"/>
  <c r="E22" i="42" s="1"/>
  <c r="E14" i="42"/>
  <c r="E21" i="42" s="1"/>
  <c r="F99" i="38"/>
  <c r="F100" i="38" s="1"/>
  <c r="F90" i="38"/>
  <c r="F102" i="38" s="1"/>
  <c r="E11" i="44"/>
  <c r="E102" i="38"/>
  <c r="E100" i="38"/>
  <c r="O100" i="38"/>
  <c r="L14" i="44" l="1"/>
  <c r="N14" i="44"/>
  <c r="I14" i="44"/>
  <c r="L13" i="44"/>
  <c r="N13" i="44"/>
  <c r="I13" i="44"/>
  <c r="P13" i="44" s="1"/>
  <c r="K95" i="38"/>
  <c r="K96" i="38" s="1"/>
  <c r="N11" i="44"/>
  <c r="L11" i="44"/>
  <c r="I11" i="44"/>
  <c r="P11" i="44"/>
  <c r="P14" i="44"/>
  <c r="P18" i="44" s="1"/>
  <c r="E77" i="1" s="1"/>
  <c r="D100" i="38"/>
  <c r="D99" i="38"/>
  <c r="D107" i="38"/>
  <c r="G13" i="42"/>
  <c r="G20" i="42" s="1"/>
  <c r="L20" i="42" s="1"/>
  <c r="L13" i="42"/>
  <c r="I107" i="38"/>
  <c r="I111" i="38" s="1"/>
  <c r="H15" i="42" s="1"/>
  <c r="H22" i="42" s="1"/>
  <c r="H14" i="42"/>
  <c r="H21" i="42" s="1"/>
  <c r="I109" i="38"/>
  <c r="I110" i="38" s="1"/>
  <c r="I90" i="38"/>
  <c r="D90" i="38"/>
  <c r="D102" i="38"/>
  <c r="D15" i="42"/>
  <c r="D22" i="42" s="1"/>
  <c r="D111" i="38"/>
  <c r="G96" i="38"/>
  <c r="I100" i="38" l="1"/>
  <c r="I102" i="38"/>
  <c r="R95" i="38"/>
  <c r="R96" i="38"/>
  <c r="D163" i="31" l="1"/>
  <c r="F217" i="31"/>
  <c r="G89" i="38" s="1"/>
  <c r="F216" i="31"/>
  <c r="D162" i="31"/>
  <c r="I98" i="38"/>
  <c r="I99" i="38"/>
  <c r="C141" i="31"/>
  <c r="F140" i="31"/>
  <c r="U141" i="31"/>
  <c r="F213" i="31"/>
  <c r="C159" i="31"/>
  <c r="U150" i="31"/>
  <c r="F222" i="31"/>
  <c r="U138" i="31"/>
  <c r="C138" i="31"/>
  <c r="F210" i="31"/>
  <c r="C156" i="31"/>
  <c r="C142" i="31"/>
  <c r="U142" i="31"/>
  <c r="F214" i="31"/>
  <c r="G85" i="38" s="1"/>
  <c r="C160" i="31"/>
  <c r="D144" i="31"/>
  <c r="D216" i="31" s="1"/>
  <c r="U144" i="31"/>
  <c r="F143" i="31"/>
  <c r="U143" i="31" s="1"/>
  <c r="U145" i="31"/>
  <c r="D145" i="31"/>
  <c r="U148" i="31"/>
  <c r="C148" i="31"/>
  <c r="D148" i="31"/>
  <c r="E148" i="31"/>
  <c r="F220" i="31"/>
  <c r="F166" i="31"/>
  <c r="P85" i="38" l="1"/>
  <c r="N85" i="38"/>
  <c r="K85" i="38"/>
  <c r="P89" i="38"/>
  <c r="N89" i="38"/>
  <c r="K89" i="38"/>
  <c r="K99" i="38" s="1"/>
  <c r="K11" i="42"/>
  <c r="S145" i="31"/>
  <c r="D217" i="31"/>
  <c r="G88" i="38"/>
  <c r="F215" i="31"/>
  <c r="K14" i="42"/>
  <c r="F14" i="42"/>
  <c r="G108" i="38"/>
  <c r="G109" i="38"/>
  <c r="G99" i="38"/>
  <c r="G107" i="38"/>
  <c r="R148" i="31"/>
  <c r="C220" i="31"/>
  <c r="G50" i="38" s="1"/>
  <c r="C166" i="31"/>
  <c r="D143" i="31"/>
  <c r="S143" i="31" s="1"/>
  <c r="S144" i="31"/>
  <c r="G84" i="38"/>
  <c r="F212" i="31"/>
  <c r="F11" i="42"/>
  <c r="F18" i="42" s="1"/>
  <c r="G106" i="38"/>
  <c r="R142" i="31"/>
  <c r="C214" i="31"/>
  <c r="R141" i="31"/>
  <c r="C213" i="31"/>
  <c r="S150" i="31"/>
  <c r="D222" i="31"/>
  <c r="G61" i="38" s="1"/>
  <c r="U140" i="31"/>
  <c r="C140" i="31"/>
  <c r="R140" i="31" s="1"/>
  <c r="S148" i="31"/>
  <c r="D220" i="31"/>
  <c r="G51" i="38" s="1"/>
  <c r="D166" i="31"/>
  <c r="T148" i="31"/>
  <c r="E166" i="31"/>
  <c r="E220" i="31"/>
  <c r="G52" i="38" s="1"/>
  <c r="R138" i="31"/>
  <c r="C210" i="31"/>
  <c r="T150" i="31"/>
  <c r="E222" i="31"/>
  <c r="G62" i="38" s="1"/>
  <c r="K52" i="38" l="1"/>
  <c r="N52" i="38"/>
  <c r="P52" i="38"/>
  <c r="P51" i="38"/>
  <c r="K51" i="38"/>
  <c r="R51" i="38" s="1"/>
  <c r="N51" i="38"/>
  <c r="N84" i="38"/>
  <c r="P84" i="38"/>
  <c r="K84" i="38"/>
  <c r="P62" i="38"/>
  <c r="N62" i="38"/>
  <c r="K62" i="38"/>
  <c r="N99" i="38"/>
  <c r="P99" i="38"/>
  <c r="N88" i="38"/>
  <c r="P88" i="38"/>
  <c r="K88" i="38"/>
  <c r="K108" i="38"/>
  <c r="N108" i="38"/>
  <c r="P108" i="38"/>
  <c r="N106" i="38"/>
  <c r="P106" i="38"/>
  <c r="R106" i="38" s="1"/>
  <c r="K106" i="38"/>
  <c r="K50" i="38"/>
  <c r="P50" i="38"/>
  <c r="N50" i="38"/>
  <c r="K107" i="38"/>
  <c r="P107" i="38"/>
  <c r="R107" i="38" s="1"/>
  <c r="N107" i="38"/>
  <c r="P109" i="38"/>
  <c r="R109" i="38" s="1"/>
  <c r="K109" i="38"/>
  <c r="N109" i="38"/>
  <c r="P61" i="38"/>
  <c r="N61" i="38"/>
  <c r="K61" i="38"/>
  <c r="M18" i="42"/>
  <c r="K18" i="42"/>
  <c r="R62" i="38"/>
  <c r="C53" i="1" s="1"/>
  <c r="F12" i="42"/>
  <c r="R99" i="38"/>
  <c r="R52" i="38"/>
  <c r="K86" i="38"/>
  <c r="G110" i="38"/>
  <c r="M14" i="42"/>
  <c r="R89" i="38"/>
  <c r="O14" i="42" s="1"/>
  <c r="G111" i="38"/>
  <c r="G98" i="38"/>
  <c r="G90" i="38"/>
  <c r="G100" i="38" s="1"/>
  <c r="G116" i="38"/>
  <c r="G114" i="38"/>
  <c r="G115" i="38"/>
  <c r="R85" i="38"/>
  <c r="O11" i="42" s="1"/>
  <c r="M11" i="42"/>
  <c r="G86" i="38"/>
  <c r="F10" i="42"/>
  <c r="F17" i="42" s="1"/>
  <c r="G113" i="38"/>
  <c r="F21" i="42"/>
  <c r="K116" i="38" l="1"/>
  <c r="N116" i="38"/>
  <c r="P116" i="38"/>
  <c r="R116" i="38" s="1"/>
  <c r="N98" i="38"/>
  <c r="P98" i="38"/>
  <c r="N111" i="38"/>
  <c r="K15" i="42" s="1"/>
  <c r="K111" i="38"/>
  <c r="R111" i="38" s="1"/>
  <c r="O15" i="42" s="1"/>
  <c r="P111" i="38"/>
  <c r="M15" i="42" s="1"/>
  <c r="K21" i="42"/>
  <c r="M21" i="42"/>
  <c r="O21" i="42" s="1"/>
  <c r="C31" i="42" s="1"/>
  <c r="G74" i="1" s="1"/>
  <c r="P113" i="38"/>
  <c r="R113" i="38" s="1"/>
  <c r="N113" i="38"/>
  <c r="K113" i="38"/>
  <c r="M17" i="42"/>
  <c r="K17" i="42"/>
  <c r="P114" i="38"/>
  <c r="R114" i="38" s="1"/>
  <c r="N114" i="38"/>
  <c r="K114" i="38"/>
  <c r="P115" i="38"/>
  <c r="N115" i="38"/>
  <c r="K115" i="38"/>
  <c r="K117" i="38" s="1"/>
  <c r="N100" i="38"/>
  <c r="N110" i="38"/>
  <c r="K110" i="38"/>
  <c r="N63" i="38"/>
  <c r="G102" i="38"/>
  <c r="P63" i="38"/>
  <c r="M12" i="42"/>
  <c r="R88" i="38"/>
  <c r="O12" i="42" s="1"/>
  <c r="P90" i="38"/>
  <c r="R90" i="38" s="1"/>
  <c r="G117" i="38"/>
  <c r="K98" i="38"/>
  <c r="K90" i="38"/>
  <c r="K100" i="38" s="1"/>
  <c r="N90" i="38"/>
  <c r="K12" i="42"/>
  <c r="R108" i="38"/>
  <c r="P110" i="38"/>
  <c r="R110" i="38" s="1"/>
  <c r="G118" i="38"/>
  <c r="F15" i="42"/>
  <c r="F22" i="42" s="1"/>
  <c r="R50" i="38"/>
  <c r="K53" i="38"/>
  <c r="R53" i="38" s="1"/>
  <c r="P86" i="38"/>
  <c r="R86" i="38" s="1"/>
  <c r="R84" i="38"/>
  <c r="O10" i="42" s="1"/>
  <c r="M10" i="42"/>
  <c r="K63" i="38"/>
  <c r="R63" i="38" s="1"/>
  <c r="R61" i="38"/>
  <c r="C52" i="1" s="1"/>
  <c r="F19" i="42"/>
  <c r="Q51" i="38"/>
  <c r="C44" i="1"/>
  <c r="K10" i="42"/>
  <c r="N86" i="38"/>
  <c r="Q52" i="38"/>
  <c r="C45" i="1"/>
  <c r="N53" i="38"/>
  <c r="O18" i="42"/>
  <c r="C28" i="42" s="1"/>
  <c r="C73" i="1" s="1"/>
  <c r="P53" i="38"/>
  <c r="N118" i="38" l="1"/>
  <c r="K13" i="42" s="1"/>
  <c r="P118" i="38"/>
  <c r="K118" i="38"/>
  <c r="R118" i="38" s="1"/>
  <c r="O13" i="42" s="1"/>
  <c r="K22" i="42"/>
  <c r="M22" i="42"/>
  <c r="O22" i="42" s="1"/>
  <c r="C32" i="42" s="1"/>
  <c r="G75" i="1" s="1"/>
  <c r="M19" i="42"/>
  <c r="O19" i="42" s="1"/>
  <c r="C29" i="42" s="1"/>
  <c r="G72" i="1" s="1"/>
  <c r="K19" i="42"/>
  <c r="F13" i="42"/>
  <c r="F20" i="42" s="1"/>
  <c r="M13" i="42"/>
  <c r="R115" i="38"/>
  <c r="P117" i="38"/>
  <c r="R117" i="38" s="1"/>
  <c r="P100" i="38"/>
  <c r="R100" i="38" s="1"/>
  <c r="R98" i="38"/>
  <c r="N117" i="38"/>
  <c r="K102" i="38"/>
  <c r="R102" i="38" s="1"/>
  <c r="O17" i="42"/>
  <c r="C27" i="42" s="1"/>
  <c r="C72" i="1" s="1"/>
  <c r="Q50" i="38"/>
  <c r="Q53" i="38" s="1"/>
  <c r="C43" i="1"/>
  <c r="M20" i="42" l="1"/>
  <c r="O20" i="42" s="1"/>
  <c r="C30" i="42" s="1"/>
  <c r="G73" i="1" s="1"/>
  <c r="K20"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Nancy Kay</author>
  </authors>
  <commentList>
    <comment ref="B106" authorId="0" shapeId="0" xr:uid="{00000000-0006-0000-0500-000002000000}">
      <text>
        <r>
          <rPr>
            <sz val="10"/>
            <color indexed="81"/>
            <rFont val="Tahoma"/>
            <family val="2"/>
          </rPr>
          <t xml:space="preserve">Note:  DAL costs already moved to Flats in CRA spreadsheets
</t>
        </r>
      </text>
    </comment>
    <comment ref="B107" authorId="0" shapeId="0" xr:uid="{00000000-0006-0000-0500-000003000000}">
      <text>
        <r>
          <rPr>
            <sz val="10"/>
            <color indexed="81"/>
            <rFont val="Tahoma"/>
            <family val="2"/>
          </rPr>
          <t>NOTE:  DAL costs already moved to flats in CRA spreadsheets</t>
        </r>
        <r>
          <rPr>
            <sz val="10"/>
            <color indexed="81"/>
            <rFont val="Tahoma"/>
            <family val="2"/>
          </rPr>
          <t xml:space="preserve">
</t>
        </r>
      </text>
    </comment>
    <comment ref="B113" authorId="0" shapeId="0" xr:uid="{00000000-0006-0000-0500-000007000000}">
      <text>
        <r>
          <rPr>
            <sz val="10"/>
            <color indexed="81"/>
            <rFont val="Tahoma"/>
            <family val="2"/>
          </rPr>
          <t xml:space="preserve">Note:  DAL costs already moved to Flats in CRA spreadsheets
</t>
        </r>
      </text>
    </comment>
    <comment ref="B114" authorId="0" shapeId="0" xr:uid="{00000000-0006-0000-0500-000008000000}">
      <text>
        <r>
          <rPr>
            <sz val="10"/>
            <color indexed="81"/>
            <rFont val="Tahoma"/>
            <family val="2"/>
          </rPr>
          <t>NOTE:  DAL costs already moved to flats in CRA spreadsheets</t>
        </r>
        <r>
          <rPr>
            <sz val="10"/>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Nancy Kay</author>
  </authors>
  <commentList>
    <comment ref="C26" authorId="0" shapeId="0" xr:uid="{00000000-0006-0000-0600-000001000000}">
      <text>
        <r>
          <rPr>
            <sz val="10"/>
            <color indexed="81"/>
            <rFont val="Tahoma"/>
            <family val="2"/>
          </rPr>
          <t xml:space="preserve">DAL costs moved to Flats
</t>
        </r>
      </text>
    </comment>
    <comment ref="D26" authorId="0" shapeId="0" xr:uid="{EA401FB4-D5BA-427E-A69E-5408662C278A}">
      <text>
        <r>
          <rPr>
            <sz val="10"/>
            <color indexed="81"/>
            <rFont val="Tahoma"/>
            <family val="2"/>
          </rPr>
          <t xml:space="preserve">DAL costs moved to Flats
</t>
        </r>
      </text>
    </comment>
    <comment ref="E26" authorId="0" shapeId="0" xr:uid="{766CCD1E-157F-4357-A6F3-6534123A3F57}">
      <text>
        <r>
          <rPr>
            <sz val="10"/>
            <color indexed="81"/>
            <rFont val="Tahoma"/>
            <family val="2"/>
          </rPr>
          <t xml:space="preserve">DAL costs moved to Flats
</t>
        </r>
      </text>
    </comment>
    <comment ref="F26" authorId="0" shapeId="0" xr:uid="{C6D69EFA-1B90-4C58-BD2D-3A052A7834B5}">
      <text>
        <r>
          <rPr>
            <sz val="10"/>
            <color indexed="81"/>
            <rFont val="Tahoma"/>
            <family val="2"/>
          </rPr>
          <t xml:space="preserve">DAL costs moved to Flats
</t>
        </r>
      </text>
    </comment>
    <comment ref="G26" authorId="0" shapeId="0" xr:uid="{EF4E8FCC-BF6E-41BC-8B57-C5992130D796}">
      <text>
        <r>
          <rPr>
            <sz val="10"/>
            <color indexed="81"/>
            <rFont val="Tahoma"/>
            <family val="2"/>
          </rPr>
          <t xml:space="preserve">DAL costs moved to Flats
</t>
        </r>
      </text>
    </comment>
    <comment ref="I26" authorId="0" shapeId="0" xr:uid="{7A8FF966-0724-41F2-B89A-92E76D094B9B}">
      <text>
        <r>
          <rPr>
            <sz val="10"/>
            <color indexed="81"/>
            <rFont val="Tahoma"/>
            <family val="2"/>
          </rPr>
          <t xml:space="preserve">DAL costs moved to Flats
</t>
        </r>
      </text>
    </comment>
    <comment ref="J26" authorId="0" shapeId="0" xr:uid="{349FD914-CDDD-43E2-977B-A752D4052342}">
      <text>
        <r>
          <rPr>
            <sz val="10"/>
            <color indexed="81"/>
            <rFont val="Tahoma"/>
            <family val="2"/>
          </rPr>
          <t xml:space="preserve">DAL costs moved to Flats
</t>
        </r>
      </text>
    </comment>
    <comment ref="K26" authorId="0" shapeId="0" xr:uid="{8C6E4C83-700E-4C0C-BBAF-D76B57FE344D}">
      <text>
        <r>
          <rPr>
            <sz val="10"/>
            <color indexed="81"/>
            <rFont val="Tahoma"/>
            <family val="2"/>
          </rPr>
          <t xml:space="preserve">DAL costs moved to Flats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Scott Miller</author>
    <author>Nancy Kay</author>
    <author>Julia Preis</author>
  </authors>
  <commentList>
    <comment ref="J5" authorId="0" shapeId="0" xr:uid="{00000000-0006-0000-0700-000001000000}">
      <text>
        <r>
          <rPr>
            <b/>
            <sz val="9"/>
            <color indexed="81"/>
            <rFont val="Tahoma"/>
            <family val="2"/>
          </rPr>
          <t>Volume transferred from other sheets.</t>
        </r>
      </text>
    </comment>
    <comment ref="C17" authorId="1" shapeId="0" xr:uid="{1E36C026-77C4-4C96-9357-FC459D985015}">
      <text>
        <r>
          <rPr>
            <sz val="10"/>
            <color indexed="81"/>
            <rFont val="Tahoma"/>
            <family val="2"/>
          </rPr>
          <t>Subtract out DALs moved to Flats</t>
        </r>
      </text>
    </comment>
    <comment ref="E17" authorId="1" shapeId="0" xr:uid="{CD8059C7-FBBE-48E7-B95B-9029BAEDEED1}">
      <text>
        <r>
          <rPr>
            <b/>
            <sz val="10"/>
            <color indexed="81"/>
            <rFont val="Tahoma"/>
            <family val="2"/>
          </rPr>
          <t>Subtract out HD DALs moved to flats</t>
        </r>
        <r>
          <rPr>
            <sz val="10"/>
            <color indexed="81"/>
            <rFont val="Tahoma"/>
            <family val="2"/>
          </rPr>
          <t xml:space="preserve">
</t>
        </r>
      </text>
    </comment>
    <comment ref="I17" authorId="1" shapeId="0" xr:uid="{D712A5CA-4D95-45A5-9BC1-5B4C26130DBC}">
      <text>
        <r>
          <rPr>
            <b/>
            <sz val="10"/>
            <color indexed="81"/>
            <rFont val="Tahoma"/>
            <family val="2"/>
          </rPr>
          <t>Subtract out boxholder DALs</t>
        </r>
        <r>
          <rPr>
            <sz val="10"/>
            <color indexed="81"/>
            <rFont val="Tahoma"/>
            <family val="2"/>
          </rPr>
          <t xml:space="preserve">
</t>
        </r>
      </text>
    </comment>
    <comment ref="C18" authorId="1" shapeId="0" xr:uid="{E021CCBA-8511-4EBF-A6ED-91679B1D79D3}">
      <text>
        <r>
          <rPr>
            <sz val="10"/>
            <color indexed="81"/>
            <rFont val="Tahoma"/>
            <family val="2"/>
          </rPr>
          <t>Subtract out DALs moved to Flats</t>
        </r>
      </text>
    </comment>
    <comment ref="E18" authorId="1" shapeId="0" xr:uid="{747B6DEF-81C4-470B-83B2-627AC75326EB}">
      <text>
        <r>
          <rPr>
            <sz val="10"/>
            <color indexed="81"/>
            <rFont val="Tahoma"/>
            <family val="2"/>
          </rPr>
          <t>Subtract out DALs moved to Flats</t>
        </r>
      </text>
    </comment>
    <comment ref="I18" authorId="1" shapeId="0" xr:uid="{E04CEDED-6C3D-4B85-84EE-23CC83CDF09E}">
      <text>
        <r>
          <rPr>
            <sz val="10"/>
            <color indexed="81"/>
            <rFont val="Tahoma"/>
            <family val="2"/>
          </rPr>
          <t>DALs moved to Flats</t>
        </r>
      </text>
    </comment>
    <comment ref="H19" authorId="1" shapeId="0" xr:uid="{A0F34AA3-4F03-429C-881B-1E5DC6A4D058}">
      <text>
        <r>
          <rPr>
            <b/>
            <sz val="10"/>
            <color indexed="81"/>
            <rFont val="Tahoma"/>
            <family val="2"/>
          </rPr>
          <t>HD DALs</t>
        </r>
        <r>
          <rPr>
            <sz val="10"/>
            <color indexed="81"/>
            <rFont val="Tahoma"/>
            <family val="2"/>
          </rPr>
          <t xml:space="preserve">
</t>
        </r>
      </text>
    </comment>
    <comment ref="J19" authorId="1" shapeId="0" xr:uid="{EAC4C88F-21E6-4FFF-800B-DDFD160AE10D}">
      <text>
        <r>
          <rPr>
            <b/>
            <sz val="10"/>
            <color indexed="81"/>
            <rFont val="Tahoma"/>
            <family val="2"/>
          </rPr>
          <t>Non-DPS 
DALs</t>
        </r>
        <r>
          <rPr>
            <sz val="10"/>
            <color indexed="81"/>
            <rFont val="Tahoma"/>
            <family val="2"/>
          </rPr>
          <t xml:space="preserve">
</t>
        </r>
      </text>
    </comment>
    <comment ref="N19" authorId="1" shapeId="0" xr:uid="{5221F549-DD1A-4946-A294-A57DD48108F7}">
      <text>
        <r>
          <rPr>
            <b/>
            <sz val="10"/>
            <color indexed="81"/>
            <rFont val="Tahoma"/>
            <family val="2"/>
          </rPr>
          <t>Include Boxholder DALs</t>
        </r>
        <r>
          <rPr>
            <sz val="10"/>
            <color indexed="81"/>
            <rFont val="Tahoma"/>
            <family val="2"/>
          </rPr>
          <t xml:space="preserve">
</t>
        </r>
      </text>
    </comment>
    <comment ref="H20" authorId="1" shapeId="0" xr:uid="{76D85985-A611-4609-B411-D0764B0A1275}">
      <text>
        <r>
          <rPr>
            <sz val="10"/>
            <color indexed="81"/>
            <rFont val="Tahoma"/>
            <family val="2"/>
          </rPr>
          <t>DALs</t>
        </r>
      </text>
    </comment>
    <comment ref="J20" authorId="1" shapeId="0" xr:uid="{1A2830CD-8EC3-4DF8-8960-A1A4E910C5D3}">
      <text>
        <r>
          <rPr>
            <sz val="10"/>
            <color indexed="81"/>
            <rFont val="Tahoma"/>
            <family val="2"/>
          </rPr>
          <t>DALs</t>
        </r>
      </text>
    </comment>
    <comment ref="N20" authorId="1" shapeId="0" xr:uid="{F68A0DC6-7DD7-482E-A70C-112DD06148B1}">
      <text>
        <r>
          <rPr>
            <sz val="10"/>
            <color indexed="81"/>
            <rFont val="Tahoma"/>
            <family val="2"/>
          </rPr>
          <t>Includes DALs</t>
        </r>
      </text>
    </comment>
    <comment ref="AA49" authorId="2" shapeId="0" xr:uid="{3BE69156-0618-49C6-87C8-5C0BD6A690A6}">
      <text>
        <r>
          <rPr>
            <b/>
            <sz val="9"/>
            <color indexed="81"/>
            <rFont val="Tahoma"/>
            <family val="2"/>
          </rPr>
          <t>Julia Preis:</t>
        </r>
        <r>
          <rPr>
            <sz val="9"/>
            <color indexed="81"/>
            <rFont val="Tahoma"/>
            <family val="2"/>
          </rPr>
          <t xml:space="preserve">
include EDDM-R in Saturation Flats</t>
        </r>
      </text>
    </comment>
    <comment ref="AB49" authorId="2" shapeId="0" xr:uid="{AABF4B2C-0CB9-4B52-95E5-F3B1F417E284}">
      <text>
        <r>
          <rPr>
            <b/>
            <sz val="9"/>
            <color indexed="81"/>
            <rFont val="Tahoma"/>
            <family val="2"/>
          </rPr>
          <t>Julia Preis:</t>
        </r>
        <r>
          <rPr>
            <sz val="9"/>
            <color indexed="81"/>
            <rFont val="Tahoma"/>
            <family val="2"/>
          </rPr>
          <t xml:space="preserve">
include EDDM-R in Saturation Flats</t>
        </r>
      </text>
    </comment>
    <comment ref="AC49" authorId="2" shapeId="0" xr:uid="{E177F9C8-33D8-4C93-84EE-92BA8701A991}">
      <text>
        <r>
          <rPr>
            <b/>
            <sz val="9"/>
            <color indexed="81"/>
            <rFont val="Tahoma"/>
            <family val="2"/>
          </rPr>
          <t>Julia Preis:</t>
        </r>
        <r>
          <rPr>
            <sz val="9"/>
            <color indexed="81"/>
            <rFont val="Tahoma"/>
            <family val="2"/>
          </rPr>
          <t xml:space="preserve">
include EDDM-R in Saturation Flats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Julia Preis</author>
  </authors>
  <commentList>
    <comment ref="C61" authorId="0" shapeId="0" xr:uid="{AB574E6B-7C46-4743-ABF1-3A4D4F342FE8}">
      <text>
        <r>
          <rPr>
            <b/>
            <sz val="9"/>
            <color indexed="81"/>
            <rFont val="Tahoma"/>
            <family val="2"/>
          </rPr>
          <t>Julia Preis:</t>
        </r>
        <r>
          <rPr>
            <sz val="9"/>
            <color indexed="81"/>
            <rFont val="Tahoma"/>
            <family val="2"/>
          </rPr>
          <t xml:space="preserve">
Deviation Parcels / Accountables</t>
        </r>
      </text>
    </comment>
  </commentList>
</comments>
</file>

<file path=xl/sharedStrings.xml><?xml version="1.0" encoding="utf-8"?>
<sst xmlns="http://schemas.openxmlformats.org/spreadsheetml/2006/main" count="1342" uniqueCount="458">
  <si>
    <t>ECR Saturation Flats</t>
  </si>
  <si>
    <t>ECR Saturation Parcels</t>
  </si>
  <si>
    <t>Std. Reg. Ltrs. (Avg)</t>
  </si>
  <si>
    <t>% DPS</t>
  </si>
  <si>
    <t>dPar/rPoDu</t>
  </si>
  <si>
    <t>Total In-Office Other Cost Burdened on Office Time, Plus Total In-Office Overhead, All Route Groups</t>
  </si>
  <si>
    <t>Total Special-Purpose-Route Direct Street-Time Costs</t>
  </si>
  <si>
    <t>Total Delivery Cost Only, All Shapes</t>
  </si>
  <si>
    <t>6.2 distributed in proportion to 6.1</t>
  </si>
  <si>
    <t>First-Class Single-Piece BY*</t>
  </si>
  <si>
    <t>First-Class Single-Piece Cards BY*</t>
  </si>
  <si>
    <t>Presort Letters Subtotal*</t>
  </si>
  <si>
    <t>Presort Subtotal BY*</t>
  </si>
  <si>
    <t>Presort Cards Subtotal BY*</t>
  </si>
  <si>
    <t>Regular Total BY*</t>
  </si>
  <si>
    <t>ECR  Total BY*</t>
  </si>
  <si>
    <t>(1) "OTHER LETTERS" column from CS10.xls, worksheet Input DK</t>
  </si>
  <si>
    <t>Total Delivery Cost Only, All Shapes, from CS10.xls</t>
  </si>
  <si>
    <t>Total Delivery Plus Collection Cost, All Shapes</t>
  </si>
  <si>
    <t xml:space="preserve"> </t>
  </si>
  <si>
    <t>DPS</t>
  </si>
  <si>
    <t>Letter Routes - Delivery Sections</t>
  </si>
  <si>
    <t>Col. No.</t>
  </si>
  <si>
    <t>Line No.</t>
  </si>
  <si>
    <t>CCS Small Parcels</t>
  </si>
  <si>
    <t>CCS Large (Deviation) Parcels</t>
  </si>
  <si>
    <t xml:space="preserve">Total CCS Letters, Flats, and Small Parcels </t>
  </si>
  <si>
    <t>Total CCS - All Shapes</t>
  </si>
  <si>
    <t>DIRECT LABOR NON-CASING ONLY</t>
  </si>
  <si>
    <t xml:space="preserve">Total CCS Letters and Flats </t>
  </si>
  <si>
    <t>DIRECT LABOR, CASING ONLY</t>
  </si>
  <si>
    <t>(Letter Routes)</t>
  </si>
  <si>
    <t>Total Letter Route Direct Street-Time Costs</t>
  </si>
  <si>
    <t>Total Route 99 Volume-Variable Office Time Cost</t>
  </si>
  <si>
    <t>Total Special-Purpose-Route Volume-Variable Office Plus Street Cost</t>
  </si>
  <si>
    <t>Total Letter-Route Volume-Variable Office Plus Street Cost</t>
  </si>
  <si>
    <t>SPR In-office Overhead Costs</t>
  </si>
  <si>
    <t>ROUTE 99 In-office Overhead Costs</t>
  </si>
  <si>
    <t>Total In-office Overhead Costs, All Route Groups</t>
  </si>
  <si>
    <t>Letter Routes - Collections (from both Street Boxes and Customer Delivery Points)</t>
  </si>
  <si>
    <t>Special Purpose Routes - Collections</t>
  </si>
  <si>
    <t>Presort Cards Subtotal BY</t>
  </si>
  <si>
    <t xml:space="preserve">Total </t>
  </si>
  <si>
    <t>Total Delivered RCS Volume</t>
  </si>
  <si>
    <t>Boxholders</t>
  </si>
  <si>
    <t>DPS Permit Volume</t>
  </si>
  <si>
    <t>Other Letter Permit Volume</t>
  </si>
  <si>
    <t>Oth. Ltrs.</t>
  </si>
  <si>
    <t>Postage Due</t>
  </si>
  <si>
    <t>Periodicals</t>
  </si>
  <si>
    <t>Special Purpose Routes - Delivery</t>
  </si>
  <si>
    <t>First-Class Single Piece</t>
  </si>
  <si>
    <t>Single-Piece Letters</t>
  </si>
  <si>
    <t>Single-Piece Flats</t>
  </si>
  <si>
    <t>First-Class Presort</t>
  </si>
  <si>
    <t>Presort Letters (Avg)</t>
  </si>
  <si>
    <t>Presort Flats</t>
  </si>
  <si>
    <t>First-Class Cards</t>
  </si>
  <si>
    <t>Single Piece Cards</t>
  </si>
  <si>
    <t>Presort Cards (Avg)</t>
  </si>
  <si>
    <t>Regular Flat Subtotal</t>
  </si>
  <si>
    <t>Regular Parcel Subtotal</t>
  </si>
  <si>
    <t>Regular Nonletter Subtotal</t>
  </si>
  <si>
    <t>ECR Saturation Letters</t>
  </si>
  <si>
    <t>ECR Saturation Nonletters</t>
  </si>
  <si>
    <t>Unit Cost</t>
  </si>
  <si>
    <t>Presort Letters Subtotal</t>
  </si>
  <si>
    <t>Presort Cards</t>
  </si>
  <si>
    <t>Presort Letters</t>
  </si>
  <si>
    <t>Regular Letters</t>
  </si>
  <si>
    <t>Letters</t>
  </si>
  <si>
    <t>Flats</t>
  </si>
  <si>
    <t>Total</t>
  </si>
  <si>
    <t>Parcels</t>
  </si>
  <si>
    <t>First-Class</t>
  </si>
  <si>
    <t>Total Rural</t>
  </si>
  <si>
    <t>Boxholder</t>
  </si>
  <si>
    <t>dLet/rLet</t>
  </si>
  <si>
    <t>dLet/rBox</t>
  </si>
  <si>
    <t>dFlat/rFlat</t>
  </si>
  <si>
    <t>dFlat/rPar</t>
  </si>
  <si>
    <t>dFlat/rBox</t>
  </si>
  <si>
    <t>dPar/rPar</t>
  </si>
  <si>
    <t>dPar/rFlat</t>
  </si>
  <si>
    <t>dPar/rbox</t>
  </si>
  <si>
    <t>dLet/rPoDu</t>
  </si>
  <si>
    <t>dFlat/rPoDu</t>
  </si>
  <si>
    <t>total</t>
  </si>
  <si>
    <t>Cost Distribution Key</t>
  </si>
  <si>
    <t>%</t>
  </si>
  <si>
    <t>TOTAL CITY-CARRIER IN-OFFICE DIRECT LABOR</t>
  </si>
  <si>
    <t>Letter Route In-Office Overhead Costs (Burdened on Office)</t>
  </si>
  <si>
    <t>DELIVERY VOLUMES</t>
  </si>
  <si>
    <t>Class</t>
  </si>
  <si>
    <t>Units</t>
  </si>
  <si>
    <t>Source/Calculations</t>
  </si>
  <si>
    <t>$(000)</t>
  </si>
  <si>
    <t>Assumed % Dps Mail Cased</t>
  </si>
  <si>
    <t>% Cased</t>
  </si>
  <si>
    <t>Casing Portion Of In-Office Direct Labor, All Route Groups</t>
  </si>
  <si>
    <t>Casing Portion Of In-Office Direct Labor, Letter Routes Only</t>
  </si>
  <si>
    <t>Non-Casing Portion Of In-Office Direct Labor, All Route Groups</t>
  </si>
  <si>
    <t xml:space="preserve">FC Presort - Letter-Shape Pieces Only </t>
  </si>
  <si>
    <t>FC Presort - Cards</t>
  </si>
  <si>
    <t>Total In-Office Direct Labor Casing Plus Non-Casing, All Route Groups</t>
  </si>
  <si>
    <t>Cased %</t>
  </si>
  <si>
    <t>Total In-Office Direct Labor Casing Cost</t>
  </si>
  <si>
    <t>Non-Cased %</t>
  </si>
  <si>
    <t xml:space="preserve">Total In-Office Direct Labor Casing Plus Non-Casing Cost </t>
  </si>
  <si>
    <t>FIRST-CLASS PRESORT LETTERS</t>
  </si>
  <si>
    <t>PRESORT CARDS</t>
  </si>
  <si>
    <t>CCS Volume</t>
  </si>
  <si>
    <t>Source / Calculations</t>
  </si>
  <si>
    <t>Non-Casing Cost</t>
  </si>
  <si>
    <t>Mail Class</t>
  </si>
  <si>
    <t>Letter Route In-Office Support Other Costs Burdened on Street Time (Clocking In/Out and Training Costs)</t>
  </si>
  <si>
    <t>Letter Route In-Office Support Other Cost Burdened on Office Time (Clocking In/Out and Training Costs)</t>
  </si>
  <si>
    <t>Unit Cost per RCS</t>
  </si>
  <si>
    <t>RURAL CROSSWALK</t>
  </si>
  <si>
    <t>Pieces (000)</t>
  </si>
  <si>
    <t>DMM Defined Pieces</t>
  </si>
  <si>
    <t xml:space="preserve"> Costs Per RCS Piece and DMM Defined Costs</t>
  </si>
  <si>
    <t>Delivered Parcel, including Boxholder</t>
  </si>
  <si>
    <t>Delivered Flats, including Boxholder</t>
  </si>
  <si>
    <t>Delivered Letters, including Boxholder</t>
  </si>
  <si>
    <t>Total Delivered</t>
  </si>
  <si>
    <t>All Route Groups</t>
  </si>
  <si>
    <t>Routes 71-83
(Letter Routes)</t>
  </si>
  <si>
    <t>1.Table1</t>
  </si>
  <si>
    <t>Total Incl Collections</t>
  </si>
  <si>
    <t>6.1 In-Office Direct Labor, Non-Casing</t>
  </si>
  <si>
    <t>6.2 In-Office Support Burdened on Street</t>
  </si>
  <si>
    <t>First Class Single Piece</t>
  </si>
  <si>
    <t>First Class Presort</t>
  </si>
  <si>
    <t>Permit Volume</t>
  </si>
  <si>
    <t xml:space="preserve">% Other Letter Permit Volume </t>
  </si>
  <si>
    <t>DISAGGREGATED RURAL COSTS</t>
  </si>
  <si>
    <t>DALS in numerator</t>
  </si>
  <si>
    <t xml:space="preserve">ECR Saturation Letters Minus DALs - ECR Saturation Attached-Label Letters </t>
  </si>
  <si>
    <t>Saturation-Flat Host Pieces</t>
  </si>
  <si>
    <t>City Carrier In-Office Unit Cost</t>
  </si>
  <si>
    <t>City Carrier Street Unit Cost</t>
  </si>
  <si>
    <t>City Carrier Total Unit Cost</t>
  </si>
  <si>
    <t>Rural Carrier Total Unit Cost</t>
  </si>
  <si>
    <t>City Plus Rural Unit Cost</t>
  </si>
  <si>
    <t>6.2 In-Office Overhead, &amp; Support Burdened on Office</t>
  </si>
  <si>
    <t>Class, Shape, or Rate Category</t>
  </si>
  <si>
    <t>DEVELOPMENT OF UNIT DELIVERY COSTS</t>
  </si>
  <si>
    <t>%DPS</t>
  </si>
  <si>
    <t>[1]</t>
  </si>
  <si>
    <t>6.1 is distributed to shape using IOCS data by shape</t>
  </si>
  <si>
    <t>7.2 distributed on basis of CCS volume</t>
  </si>
  <si>
    <t>7.1 distributed to shape on basis of CCS volume, on Permit volume to rate category</t>
  </si>
  <si>
    <t>10 distributed to shape by RCS volume, on Permit volume to rate category</t>
  </si>
  <si>
    <t>NOTES:</t>
  </si>
  <si>
    <t>[2]</t>
  </si>
  <si>
    <t>[3]</t>
  </si>
  <si>
    <t>[4]</t>
  </si>
  <si>
    <t>[5]</t>
  </si>
  <si>
    <t>[6]</t>
  </si>
  <si>
    <t>*</t>
  </si>
  <si>
    <t>IN-OFFICE DIRECT UNIT COST</t>
  </si>
  <si>
    <t>DALs Excluded from the Numerator and Denominator of Saturation Letters, DAL costs Included in the Numerator of Saturation Flats</t>
  </si>
  <si>
    <r>
      <t xml:space="preserve">6.1 Unit Cost </t>
    </r>
    <r>
      <rPr>
        <b/>
        <vertAlign val="superscript"/>
        <sz val="8"/>
        <rFont val="Arial"/>
        <family val="2"/>
      </rPr>
      <t>[1]</t>
    </r>
  </si>
  <si>
    <r>
      <t xml:space="preserve">6.1 In-Office Direct Labor, Casing </t>
    </r>
    <r>
      <rPr>
        <b/>
        <vertAlign val="superscript"/>
        <sz val="8"/>
        <rFont val="Arial"/>
        <family val="2"/>
      </rPr>
      <t>[2]</t>
    </r>
  </si>
  <si>
    <r>
      <t xml:space="preserve">10 Rural Carriers </t>
    </r>
    <r>
      <rPr>
        <b/>
        <vertAlign val="superscript"/>
        <sz val="8"/>
        <rFont val="Arial"/>
        <family val="2"/>
      </rPr>
      <t>[5]</t>
    </r>
  </si>
  <si>
    <t>Package Services</t>
  </si>
  <si>
    <t>Total Periodicals</t>
  </si>
  <si>
    <t>Total Bound Printed Matter</t>
  </si>
  <si>
    <t>Package Services - Bound Printed Matter</t>
  </si>
  <si>
    <r>
      <t>PERIODICALS</t>
    </r>
    <r>
      <rPr>
        <sz val="8"/>
        <rFont val="Arial"/>
        <family val="2"/>
      </rPr>
      <t xml:space="preserve">
Source / Calculations</t>
    </r>
  </si>
  <si>
    <r>
      <t>PACKAGE SERVICES BOUND PRINTED MATTER</t>
    </r>
    <r>
      <rPr>
        <sz val="8"/>
        <rFont val="Arial"/>
        <family val="2"/>
      </rPr>
      <t xml:space="preserve">
Source / Calculations</t>
    </r>
  </si>
  <si>
    <r>
      <t>SINGLE PIECE CARDS</t>
    </r>
    <r>
      <rPr>
        <sz val="8"/>
        <rFont val="Arial"/>
        <family val="2"/>
      </rPr>
      <t xml:space="preserve">
Source / Calculations</t>
    </r>
  </si>
  <si>
    <r>
      <t>PRESORT CARDS</t>
    </r>
    <r>
      <rPr>
        <sz val="8"/>
        <rFont val="Arial"/>
        <family val="2"/>
      </rPr>
      <t xml:space="preserve">
Source / Calculations</t>
    </r>
  </si>
  <si>
    <r>
      <t>FIRST-CLASS SINGLE PIECE</t>
    </r>
    <r>
      <rPr>
        <sz val="8"/>
        <rFont val="Arial"/>
        <family val="2"/>
      </rPr>
      <t xml:space="preserve">
Source / Calculations</t>
    </r>
  </si>
  <si>
    <r>
      <t>FIRST-CLASS PRESORT</t>
    </r>
    <r>
      <rPr>
        <sz val="8"/>
        <rFont val="Arial"/>
        <family val="2"/>
      </rPr>
      <t xml:space="preserve">
Source / Calculations</t>
    </r>
  </si>
  <si>
    <t>Flats Source / Calculations</t>
  </si>
  <si>
    <t>Parcels Source / Calculations</t>
  </si>
  <si>
    <t>Nonletters Source / Calculations</t>
  </si>
  <si>
    <r>
      <t>DAL MAILINGS</t>
    </r>
    <r>
      <rPr>
        <sz val="8"/>
        <rFont val="Arial"/>
        <family val="2"/>
      </rPr>
      <t xml:space="preserve">
Source / Calculations</t>
    </r>
  </si>
  <si>
    <t>City and rural volumes by shape and mail class after all volume crosswalks.</t>
  </si>
  <si>
    <t>City costs for letter routes and rural by shape and mail class / rate category</t>
  </si>
  <si>
    <t>RURAL VOLUMES AND COSTS BY DMM SHAPE</t>
  </si>
  <si>
    <t>dFlat/rLet</t>
  </si>
  <si>
    <t>Adjusted for Volume Crosswalk</t>
  </si>
  <si>
    <t>UDCMODEL DOCUMENTATION PAGE</t>
  </si>
  <si>
    <t>Nonautomation -- Nonmach Mixed ADC</t>
  </si>
  <si>
    <t>Nonautomation -- Nonmach ADC</t>
  </si>
  <si>
    <t>Nonautomation -- Mach Mixed AADC</t>
  </si>
  <si>
    <t>Nonautomation -- Mach AADC</t>
  </si>
  <si>
    <t>Nonautomation -- Nonmach 3-Digit</t>
  </si>
  <si>
    <t>Nonautomation -- Nonmach 5-Digit</t>
  </si>
  <si>
    <t>Nonautomation -- Mach 3-Digit</t>
  </si>
  <si>
    <t>Nonautomation -- Mach 5-Digit</t>
  </si>
  <si>
    <t>Automation Mixed AADC</t>
  </si>
  <si>
    <t>Automation AADC</t>
  </si>
  <si>
    <t>Auto 3-Digit Letters</t>
  </si>
  <si>
    <t>Auto 5-Digit Letters CSBCS/Manual Sites</t>
  </si>
  <si>
    <t>Auto 5-Digit Letters Other Sites</t>
  </si>
  <si>
    <t>Auto 5-Digit Letters</t>
  </si>
  <si>
    <t>Cased Volume</t>
  </si>
  <si>
    <t>Auto Mixed AADC Cards</t>
  </si>
  <si>
    <t>Auto AADC Cards</t>
  </si>
  <si>
    <t>Auto 3-Digit Cards</t>
  </si>
  <si>
    <t>Auto 5-Digit Cards</t>
  </si>
  <si>
    <t>Auto 5-Digit Cards CSBCS/Manual Sites</t>
  </si>
  <si>
    <t>Auto 5-Digit Cards Other Sites</t>
  </si>
  <si>
    <t>Automation 3-Digit Letters</t>
  </si>
  <si>
    <t>Automation 5-Digit Letters</t>
  </si>
  <si>
    <t>ECR High Density Letters</t>
  </si>
  <si>
    <t>ECR High Density Flats</t>
  </si>
  <si>
    <t xml:space="preserve">Presort Cards </t>
  </si>
  <si>
    <t>Presort Cards BY</t>
  </si>
  <si>
    <t>ECR Saturation Flats WITHOUT DAL</t>
  </si>
  <si>
    <t>ECR High Density Parcels</t>
  </si>
  <si>
    <t>ECR High Density Non-Letters</t>
  </si>
  <si>
    <t>CCS Volume by Permit Category</t>
  </si>
  <si>
    <t>ECR Saturation Flats WITH DAL</t>
  </si>
  <si>
    <t>FC Nonautomation Cards</t>
  </si>
  <si>
    <t xml:space="preserve"> proportion of non-Saturation letters that are Basic or High Density, from UDCInputs.xls, CCSECRVols".</t>
  </si>
  <si>
    <t xml:space="preserve">   SINGLE-PIECE LETTERS</t>
  </si>
  <si>
    <t xml:space="preserve">   SINGLE-PIECE CARDS</t>
  </si>
  <si>
    <t xml:space="preserve">   PRESORT LETTERS</t>
  </si>
  <si>
    <t xml:space="preserve">   PRESORT CARDS</t>
  </si>
  <si>
    <t xml:space="preserve">   SINGLE PIECE FLATS</t>
  </si>
  <si>
    <t xml:space="preserve">   PRESORT FLATS</t>
  </si>
  <si>
    <t xml:space="preserve">   HIGH DENSITY &amp; SATURATION LETTERS</t>
  </si>
  <si>
    <t xml:space="preserve">   HIGH DENSITY &amp; SATURATION FLATS &amp; PARCELS</t>
  </si>
  <si>
    <t>PACKAGE SERVICES</t>
  </si>
  <si>
    <t xml:space="preserve">   BOUND PRINTED MATTER FLATS</t>
  </si>
  <si>
    <t xml:space="preserve">   BOUND PRINTED MATTER PARCELS</t>
  </si>
  <si>
    <t>HD Letters</t>
  </si>
  <si>
    <t>PERIODICALS</t>
  </si>
  <si>
    <t>Single Piece Flats</t>
  </si>
  <si>
    <t xml:space="preserve">   MEDIA AND LIBRARY MAIL</t>
  </si>
  <si>
    <t>SATURATION LETTERS</t>
  </si>
  <si>
    <t>LETTERS</t>
  </si>
  <si>
    <t>FLATS</t>
  </si>
  <si>
    <t>PARCELS</t>
  </si>
  <si>
    <t>HIGH DENSITYLETTERS</t>
  </si>
  <si>
    <t>HIGH DENSITY FLATS</t>
  </si>
  <si>
    <t>SATURATION FLATS</t>
  </si>
  <si>
    <t>HIGH DENSITY PARCELS</t>
  </si>
  <si>
    <t>SATURATION PARCELS</t>
  </si>
  <si>
    <t>dLet/rPar</t>
  </si>
  <si>
    <t>TOTAL HD &amp; SAT FLATS &amp; PARCELS</t>
  </si>
  <si>
    <t>TOTAL HD &amp; SAT LETTERS</t>
  </si>
  <si>
    <t>Letter Routes - Sequenced Mail</t>
  </si>
  <si>
    <t>Sat Letters</t>
  </si>
  <si>
    <t>HD Flats</t>
  </si>
  <si>
    <t>Sat Flats</t>
  </si>
  <si>
    <t>HD Parcels</t>
  </si>
  <si>
    <t>Sat Parcels</t>
  </si>
  <si>
    <t>Total Letter-Route Plus Special-Purpose-Route Delivery Activity Cost</t>
  </si>
  <si>
    <t>ECR Saturation Flats Including DALs</t>
  </si>
  <si>
    <t>ECR Saturation DAL Cost</t>
  </si>
  <si>
    <t>ECR Saturation DALs with Saturation-Flat Host Pieces (DAL Mailings)</t>
  </si>
  <si>
    <t>Unadjusted Costs</t>
  </si>
  <si>
    <t>Adjusted Costs</t>
  </si>
  <si>
    <t xml:space="preserve"> Pieces (000)</t>
  </si>
  <si>
    <t>Adjustment of ECR High Density and Saturation Letter and Flat Costs</t>
  </si>
  <si>
    <t>Table 1a: Schedule D Adjustment of ECR High Density and Saturation Letter and Flat Unit Costs</t>
  </si>
  <si>
    <t>Calculatons</t>
  </si>
  <si>
    <t xml:space="preserve">% DPS/SS Permit Volume </t>
  </si>
  <si>
    <t>Saturation DAL Mailings</t>
  </si>
  <si>
    <t>High Density DAL Mailings</t>
  </si>
  <si>
    <t xml:space="preserve">ECR HD Letters Minus DALs - ECR HD Attached-Label Letters </t>
  </si>
  <si>
    <t>ECR HD Flats Including DALs</t>
  </si>
  <si>
    <t>ECR HD DAL Cost</t>
  </si>
  <si>
    <t>HD-Flat Host Pieces</t>
  </si>
  <si>
    <t>ECR HD DALs with HD-Flat Host Pieces (DAL Mailings)</t>
  </si>
  <si>
    <t>Worksheet</t>
  </si>
  <si>
    <t>1a. Dadjustment</t>
  </si>
  <si>
    <t>Shifts delivery costs from ECR HD &amp; Saturation Letters to ECR HD &amp; Saturation Flats as in the D Report of Cost Segments and Components</t>
  </si>
  <si>
    <r>
      <t>ECR High Density Flats (No DAL Costs)</t>
    </r>
    <r>
      <rPr>
        <vertAlign val="superscript"/>
        <sz val="8"/>
        <rFont val="Arial"/>
        <family val="2"/>
      </rPr>
      <t>1</t>
    </r>
  </si>
  <si>
    <r>
      <t>ECR Saturation Flats (No DAL Costs)</t>
    </r>
    <r>
      <rPr>
        <vertAlign val="superscript"/>
        <sz val="8"/>
        <rFont val="Arial"/>
        <family val="2"/>
      </rPr>
      <t>1</t>
    </r>
  </si>
  <si>
    <r>
      <t>ECR High Density Flats (No DAL Costs)</t>
    </r>
    <r>
      <rPr>
        <vertAlign val="superscript"/>
        <sz val="10"/>
        <rFont val="Arial"/>
        <family val="2"/>
      </rPr>
      <t>1</t>
    </r>
  </si>
  <si>
    <r>
      <t>ECR Saturation Flats (No DAL Costs)</t>
    </r>
    <r>
      <rPr>
        <vertAlign val="superscript"/>
        <sz val="10"/>
        <rFont val="Arial"/>
        <family val="2"/>
      </rPr>
      <t>1</t>
    </r>
  </si>
  <si>
    <t>Notes</t>
  </si>
  <si>
    <t xml:space="preserve">However, this cost is the unit cost of the addressed and unaddressed flat pieces.  DAL costs </t>
  </si>
  <si>
    <t>are not included</t>
  </si>
  <si>
    <t xml:space="preserve">This label was previously Attached Label implying those with pieces with addresses affixed.  </t>
  </si>
  <si>
    <r>
      <t>ECR High Density Flats (No DAL Costs)</t>
    </r>
    <r>
      <rPr>
        <vertAlign val="superscript"/>
        <sz val="8"/>
        <rFont val="Arial"/>
        <family val="2"/>
      </rPr>
      <t>[6]</t>
    </r>
  </si>
  <si>
    <r>
      <t>ECR Saturation Flats (No DAL Costs)</t>
    </r>
    <r>
      <rPr>
        <vertAlign val="superscript"/>
        <sz val="8"/>
        <rFont val="Arial"/>
        <family val="2"/>
      </rPr>
      <t>[6]</t>
    </r>
  </si>
  <si>
    <t>ECR High Density Flats WITH DAL</t>
  </si>
  <si>
    <t>ECR High Density Flats WITHOUT DAL</t>
  </si>
  <si>
    <r>
      <t>1</t>
    </r>
    <r>
      <rPr>
        <sz val="8"/>
        <rFont val="Arial"/>
        <family val="2"/>
      </rPr>
      <t xml:space="preserve">This label was previously Attached Label implying those with pieces with addresses affixed.  </t>
    </r>
  </si>
  <si>
    <t>Base year costs are from the CRA spreadsheets</t>
  </si>
  <si>
    <t>None</t>
  </si>
  <si>
    <t>dLet/rFlat</t>
  </si>
  <si>
    <t>dPar/rLet</t>
  </si>
  <si>
    <t>ECR HD/Sat Letters Subtotal</t>
  </si>
  <si>
    <t>ECR HD/Sat Flats Subtotal</t>
  </si>
  <si>
    <t>ECR HD/Sat Parcels Subtotal</t>
  </si>
  <si>
    <t>HD/Saturation ECR</t>
  </si>
  <si>
    <t>HD/Sat NonLetters Subtotal</t>
  </si>
  <si>
    <r>
      <t xml:space="preserve">7.2 Delivery Activities </t>
    </r>
    <r>
      <rPr>
        <b/>
        <vertAlign val="superscript"/>
        <sz val="8"/>
        <rFont val="Arial"/>
        <family val="2"/>
      </rPr>
      <t>[3]</t>
    </r>
  </si>
  <si>
    <t>Other:</t>
  </si>
  <si>
    <t>Permit imprint</t>
  </si>
  <si>
    <t>Other</t>
  </si>
  <si>
    <t>FIRST-CLASS SINGLE PIECE COLLECTION COSTS BY INDICIA</t>
  </si>
  <si>
    <t>6.1 In-Office Direct Labor, Casing [2]</t>
  </si>
  <si>
    <t>7.1 Delivery Activities [3]</t>
  </si>
  <si>
    <t>10 Rural Carriers [5]</t>
  </si>
  <si>
    <t>Single-Piece Letters Collection</t>
  </si>
  <si>
    <t>Single-Piece Letters Delivery</t>
  </si>
  <si>
    <t>Every Door Direct Mail Retail</t>
  </si>
  <si>
    <t>EVERY DOOR DIRECT MAIL RETAIL</t>
  </si>
  <si>
    <t>Single-Piece Letters Stamped</t>
  </si>
  <si>
    <t>Single-Piece Letters Metered</t>
  </si>
  <si>
    <t>Single-Piece Letters Other</t>
  </si>
  <si>
    <t xml:space="preserve">Source for C/S 6 Collection:  IOCS </t>
  </si>
  <si>
    <t>Q16F05 = 'Y'</t>
  </si>
  <si>
    <t>Handling Collection Mail</t>
  </si>
  <si>
    <t>FC SP Metered Collection * 0.6 (Per Order 1320)</t>
  </si>
  <si>
    <t>Q16B01C = 'B'</t>
  </si>
  <si>
    <t>On Collection Route</t>
  </si>
  <si>
    <t>Q16E01 = 'C'</t>
  </si>
  <si>
    <t>AMS Route Number = Collection Route</t>
  </si>
  <si>
    <t>*Categories</t>
  </si>
  <si>
    <t>Stamped:</t>
  </si>
  <si>
    <t>Stamped</t>
  </si>
  <si>
    <t>Metered:</t>
  </si>
  <si>
    <t>Metered</t>
  </si>
  <si>
    <t>IBI</t>
  </si>
  <si>
    <t>PVI</t>
  </si>
  <si>
    <t>First-Class Single Piece Metered Collection Cost per Order 1320</t>
  </si>
  <si>
    <t>Carrier Pickup</t>
  </si>
  <si>
    <t>RPW Volume</t>
  </si>
  <si>
    <t>RPW Volume Percentages</t>
  </si>
  <si>
    <t>CCS Letters</t>
  </si>
  <si>
    <t>CCS Flats</t>
  </si>
  <si>
    <t>8.CityCosts</t>
  </si>
  <si>
    <t>6.DeliveryVols</t>
  </si>
  <si>
    <t>Flat</t>
  </si>
  <si>
    <t>Letter Routes - Deviation Delivery Parcels</t>
  </si>
  <si>
    <t>9.ByShape</t>
  </si>
  <si>
    <t>Single-Piece Stamped Letters</t>
  </si>
  <si>
    <t>Single-Piece Metered Letters</t>
  </si>
  <si>
    <t>Single-Piece Other Letters</t>
  </si>
  <si>
    <t>USPS Marketing Mail Regular</t>
  </si>
  <si>
    <t xml:space="preserve">USPS Marketing Mail ECR - </t>
  </si>
  <si>
    <r>
      <t>USPS MARKETING MAIL REGULAR</t>
    </r>
    <r>
      <rPr>
        <sz val="8"/>
        <rFont val="Arial"/>
        <family val="2"/>
      </rPr>
      <t xml:space="preserve">
Source / Calculations</t>
    </r>
  </si>
  <si>
    <t>USPS Marketing Mail Letters Subtotal</t>
  </si>
  <si>
    <r>
      <t>USPS MARKETING MAIL ECR</t>
    </r>
    <r>
      <rPr>
        <sz val="8"/>
        <rFont val="Arial"/>
        <family val="2"/>
      </rPr>
      <t xml:space="preserve">
Letters Source / Calculations</t>
    </r>
  </si>
  <si>
    <t>USPS MARKETING MAIL ECR</t>
  </si>
  <si>
    <t>USPS Marketing Mail (A)</t>
  </si>
  <si>
    <t>USPS Marketing Letters Subtotal</t>
  </si>
  <si>
    <t xml:space="preserve">USPS MARKETING MAIL LETTERS          </t>
  </si>
  <si>
    <t>3.SummaryBY</t>
  </si>
  <si>
    <t>4.RuralCost</t>
  </si>
  <si>
    <t>5.RuralCrosswalk</t>
  </si>
  <si>
    <t>7.RuralDisagg</t>
  </si>
  <si>
    <t>10.In-OfficeDetail</t>
  </si>
  <si>
    <t>[UDCInputs.xls] 7.0.6</t>
  </si>
  <si>
    <t>[UDCInputs.xls] CS7Shape</t>
  </si>
  <si>
    <t>[UDCInputs.xls]CARMM</t>
  </si>
  <si>
    <t>[UDCInputs.xls]CARMMCasing</t>
  </si>
  <si>
    <t>=(C14/ Total C14)   x C4</t>
  </si>
  <si>
    <t>=C11 + C13</t>
  </si>
  <si>
    <t>=C10 x C14</t>
  </si>
  <si>
    <t>Crosswalked Rural Volumes</t>
  </si>
  <si>
    <t>CS7 Distribution Key Inputs</t>
  </si>
  <si>
    <t>Source: Cost Segment 6 &amp; 7</t>
  </si>
  <si>
    <t>Sunday/Holiday Delivery</t>
  </si>
  <si>
    <t>Package Services - Media/Library Mail</t>
  </si>
  <si>
    <t>December 2019 Changes</t>
  </si>
  <si>
    <t>Total Media/Library Mail</t>
  </si>
  <si>
    <t>FSS column added for Presort Cards</t>
  </si>
  <si>
    <t>1.Table 1</t>
  </si>
  <si>
    <t>Media mail renamed Media/Library Mail</t>
  </si>
  <si>
    <r>
      <t>PACKAGE SERVICES MEDIA/LIBRARY MAIL</t>
    </r>
    <r>
      <rPr>
        <sz val="8"/>
        <rFont val="Arial"/>
        <family val="2"/>
      </rPr>
      <t xml:space="preserve">
Source / Calculations</t>
    </r>
  </si>
  <si>
    <t>Sunday/Holiday costs from new 7.0.6.6 sheet on UDCInputs19.xlsx added to 7.2 Delivery Costs for BPM Parcels, Media/Library Mail, and Marketing Parcels.</t>
  </si>
  <si>
    <t>Sunday/Holiday Delivery costs added, and added to subtotals for Special Purpose Route Street Costs where necessary.</t>
  </si>
  <si>
    <t>2020 Changes for RM2019-6 Proposal One, SPR</t>
  </si>
  <si>
    <t xml:space="preserve">SPR In-Office Support removed from formulas. </t>
  </si>
  <si>
    <t>Changed formulas to link to new SPR columns in CS06&amp;7.  Removed SPR Delivery Activities Support and In-Office formulas.</t>
  </si>
  <si>
    <t>2.FCSP_Let_Col_Cost_By_Indicia</t>
  </si>
  <si>
    <t>Remove SPR Delivery Activities Support</t>
  </si>
  <si>
    <t>Total Letter-Route In-Office Support Cost Other, Burdened on Street Time</t>
  </si>
  <si>
    <t>2021 Changes for RM2021-7, SPR Peak and Non-Peak</t>
  </si>
  <si>
    <t>Changed formulas to link to new SPR Delivery columns in UDCInputs sheet 7.0.6.  Changed check formulas pointing to CS06&amp;7.</t>
  </si>
  <si>
    <t>10.In-Office Detail</t>
  </si>
  <si>
    <t>2024 Changes for RM2021-7, SPR Peak and Non-Peak</t>
  </si>
  <si>
    <t>Updated references to UDCInputs 7.0.8 tab</t>
  </si>
  <si>
    <t>4.Rural cost</t>
  </si>
  <si>
    <t>Updated references to UDCInputs RuralVols tab</t>
  </si>
  <si>
    <t>Mailbox Parcels</t>
  </si>
  <si>
    <t>Door Parcels</t>
  </si>
  <si>
    <t>Parcel Locker Parcels</t>
  </si>
  <si>
    <t>Collections</t>
  </si>
  <si>
    <t>HIGH DENSITY &amp; SATURATION FLATS &amp; PARCELS</t>
  </si>
  <si>
    <t>HIGH DENSITY &amp; SATURATION LETTERS</t>
  </si>
  <si>
    <t>BOUND PRINTED MATTER FLATS</t>
  </si>
  <si>
    <t>BOUND PRINTED MATTER PARCELS</t>
  </si>
  <si>
    <t>MEDIA AND LIBRARY MAIL</t>
  </si>
  <si>
    <t>Updated references to UDCInputs RuralVols and RuralCosts tabs, including removal of old costpools and addition of new ones consistent with RRECS</t>
  </si>
  <si>
    <t>Misc</t>
  </si>
  <si>
    <t>dLet/rCol</t>
  </si>
  <si>
    <t>dFlat/rCol</t>
  </si>
  <si>
    <t>dPar/rCol</t>
  </si>
  <si>
    <t>dLet/rCPU</t>
  </si>
  <si>
    <t>dFlat/rCPU</t>
  </si>
  <si>
    <t>dPar/rCPU</t>
  </si>
  <si>
    <t>Updated references to 4.Rural cost tab and UDCInputs RCSECRVols, BoxholderbyShape, RCSDALs and PeriodicalsVolAdj tabs, including removal of old costpools and addition of new ones consistent with RRECS</t>
  </si>
  <si>
    <t>VOLUME AND COST CROSSWALKS
RCS Delivered Volumes Only.  Costs exclude collection and carrier pickup.</t>
  </si>
  <si>
    <t>Source of columns (1) through (26):  Rural Carrier workpapers (WORKPAPER B-10, CS10.xls, worksheet 'InputsDK') of witness Meehan (USPS-T-9)</t>
  </si>
  <si>
    <t>(2) DPS LETTERS and Sector Segment LETTERS column from CS10.xls, worksheet Input DK</t>
  </si>
  <si>
    <t>(3) FLATS DEL column from CS10.xls, worksheet Input DK</t>
  </si>
  <si>
    <t>(4) PARCELS DEL column from CS10.xls, worksheet Input DK</t>
  </si>
  <si>
    <t>(5) BOXHOLDERS DEL column from CS10.xls, worksheet Input DK</t>
  </si>
  <si>
    <t>(10) CARRIER PICKUP column from CS10.xls, worksheet Input DK</t>
  </si>
  <si>
    <t>(11) COLLECTIONS column from CS10.xls, worksheet Input DK</t>
  </si>
  <si>
    <t>(6) POSTAGE DUE column from CS10.xls, worksheet Input DK</t>
  </si>
  <si>
    <t>Periodicals, Adjusted for Volume Crosswalk</t>
  </si>
  <si>
    <t>Updated references to UDC Inputs and CS06&amp;7</t>
  </si>
  <si>
    <t>Removed sections on Letter Routes - Deviation Delivery Accountables, Letter Route Delivery Activities Support Costs and Total Letter-Route Delivery Activity Support Costs as no longer relevant</t>
  </si>
  <si>
    <t>Removed Delivery Activities Support as no longer relevant</t>
  </si>
  <si>
    <t>1a.DAdjustment</t>
  </si>
  <si>
    <t>Removed costpools no longer relevant</t>
  </si>
  <si>
    <t>Post. Due</t>
  </si>
  <si>
    <t xml:space="preserve">2024 Changes for RRECS (RM2024-2, Order 7919) </t>
  </si>
  <si>
    <t>2024 Changes for Top Down (RM2022-3)</t>
  </si>
  <si>
    <t>2024 Changes Additional</t>
  </si>
  <si>
    <t>Removed FSS</t>
  </si>
  <si>
    <t>Misc_Actv</t>
  </si>
  <si>
    <t>Misc_To_Door</t>
  </si>
  <si>
    <t>dLet/rMisc</t>
  </si>
  <si>
    <t>dFlat/rMisc</t>
  </si>
  <si>
    <t>dPar/rMisc</t>
  </si>
  <si>
    <t>Single-Piece Cards</t>
  </si>
  <si>
    <t>dLet/rDPS</t>
  </si>
  <si>
    <t>dFlat/rDPS</t>
  </si>
  <si>
    <t>Updated formulas to reflect no FSS</t>
  </si>
  <si>
    <t xml:space="preserve">Rural costs and unit costs by evaluation category for First Class, Periodicals, Marketing Mail, and Package Services. </t>
  </si>
  <si>
    <t>First Class, Periodicals, Marketing Mail, and Package Services (BPM and Media Mail) by shape.  Cost and volumes for boxholders are distributed to shape and parcels and flat costs and volumes are adjusted for any parcels crosswalked to flats.   Calculates total cost and volume by shape after all crosswalks.</t>
  </si>
  <si>
    <t>Disaggregates Permit volumes into DPS, sector segment, and Other, for First Class and Marketing Mail presort categories, and then calculates corresponding rural volumes.</t>
  </si>
  <si>
    <t>Marketing Mail Regular - Letters</t>
  </si>
  <si>
    <t>Marketing Mail Letters Subtotal</t>
  </si>
  <si>
    <t>[UDCInputs.xls] CCSDALs</t>
  </si>
  <si>
    <t>C4 x  5.RuralCrosswalk C37L40</t>
  </si>
  <si>
    <t>C4 x  5.RuralCrosswalk C53L40</t>
  </si>
  <si>
    <t>C9L26 x C4;
  L29 from 5.RuralCrosswalk</t>
  </si>
  <si>
    <t>C4 x  5.RuralCrosswalk C37L28</t>
  </si>
  <si>
    <t>C4 x  5.RuralCrosswalk C53L28</t>
  </si>
  <si>
    <t>Total Parcels</t>
  </si>
  <si>
    <t>Source of columns (30), (39), (41):  Under RRECS (RM2024-3), there are three parcel cost pools, and cost per piece for parcels varies by product. Calculations multiply parcel pieces by average unit cost by product.</t>
  </si>
  <si>
    <t>By Product</t>
  </si>
  <si>
    <t>Table 1: Fiscal Year 2025 Unit Delivery Costs</t>
  </si>
  <si>
    <t>FY25 Unit Costs</t>
  </si>
  <si>
    <t>USPS-FY25-19 Synopsis</t>
  </si>
  <si>
    <t xml:space="preserve">Summary of FY25 unit delivery costs </t>
  </si>
  <si>
    <t>Calculates FY25 unit delivery costs for First Class, Periodicals, Marketing Mail, and Package Services (BPM and Media Mail).</t>
  </si>
  <si>
    <t>FY25 IOCS in-office casing and non-casing costs by shape and mail class / rate category.</t>
  </si>
  <si>
    <t>Calculates FY25 in-office casing costs for FIrst Class auto and non-auto presort, and Marketing Mail machinable and non-machinable.</t>
  </si>
  <si>
    <t>2024 Corrections</t>
  </si>
  <si>
    <t>Added calculation of Total Parcels</t>
  </si>
  <si>
    <t>Corrected calculation of parcel costs in columns (30), (39), (41). Under RRECS (RM2024-3), there are three parcel cost pools, and cost per piece for parcels varies by product. Calculations multiply parcel pieces by average unit cost by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</si>
</sst>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6" formatCode="&quot;$&quot;#,##0_);[Red]\(&quot;$&quot;#,##0\)"/>
    <numFmt numFmtId="44" formatCode="_(&quot;$&quot;* #,##0.00_);_(&quot;$&quot;* \(#,##0.00\);_(&quot;$&quot;* &quot;-&quot;??_);_(@_)"/>
    <numFmt numFmtId="43" formatCode="_(* #,##0.00_);_(* \(#,##0.00\);_(* &quot;-&quot;??_);_(@_)"/>
    <numFmt numFmtId="164" formatCode="_(* #,##0_);_(* \(#,##0\);_(* &quot;-&quot;??_);_(@_)"/>
    <numFmt numFmtId="165" formatCode="_(* #,##0.000_);_(* \(#,##0.000\);_(* &quot;-&quot;??_);_(@_)"/>
    <numFmt numFmtId="166" formatCode="_(* #,##0.0000_);_(* \(#,##0.0000\);_(* &quot;-&quot;??_);_(@_)"/>
    <numFmt numFmtId="167" formatCode="_(&quot;$&quot;* #,##0.000_);_(&quot;$&quot;* \(#,##0.000\);_(&quot;$&quot;* &quot;-&quot;??_);_(@_)"/>
    <numFmt numFmtId="168" formatCode="0.0%"/>
    <numFmt numFmtId="169" formatCode="_(&quot;$&quot;* #,##0_);_(&quot;$&quot;* \(#,##0\);_(&quot;$&quot;* &quot;-&quot;??_);_(@_)"/>
    <numFmt numFmtId="170" formatCode="0.0000"/>
    <numFmt numFmtId="171" formatCode="0.000"/>
    <numFmt numFmtId="172" formatCode="0.000%"/>
    <numFmt numFmtId="173" formatCode="_(* #,##0.00000_);_(* \(#,##0.00000\);_(* &quot;-&quot;??_);_(@_)"/>
    <numFmt numFmtId="174" formatCode="#,##0.000"/>
    <numFmt numFmtId="175" formatCode="#,##0.0000"/>
    <numFmt numFmtId="176" formatCode="0_);\(0\)"/>
    <numFmt numFmtId="177" formatCode="&quot;$&quot;#,##0"/>
    <numFmt numFmtId="178" formatCode="_(* #,##0.000000_);_(* \(#,##0.000000\);_(* &quot;-&quot;??_);_(@_)"/>
    <numFmt numFmtId="179" formatCode="#,##0.0000000"/>
    <numFmt numFmtId="180" formatCode="#,##0.00000000"/>
    <numFmt numFmtId="181" formatCode="&quot;$&quot;#,##0.0;\(&quot;$&quot;#,##0.0\)"/>
    <numFmt numFmtId="182" formatCode="#,##0.000000000"/>
    <numFmt numFmtId="183" formatCode="#,##0.0000000000"/>
    <numFmt numFmtId="184" formatCode="m/d/yy;@"/>
    <numFmt numFmtId="185" formatCode="_(* #,##0.000_);_(* \(#,##0.000\);_(* &quot;-&quot;???_);_(@_)"/>
  </numFmts>
  <fonts count="22" x14ac:knownFonts="1">
    <font>
      <sz val="10"/>
      <name val="Arial"/>
    </font>
    <font>
      <sz val="10"/>
      <name val="Arial"/>
      <family val="2"/>
    </font>
    <font>
      <b/>
      <sz val="10"/>
      <name val="Arial"/>
      <family val="2"/>
    </font>
    <font>
      <sz val="10"/>
      <name val="Arial"/>
      <family val="2"/>
    </font>
    <font>
      <u/>
      <sz val="10"/>
      <name val="Arial"/>
      <family val="2"/>
    </font>
    <font>
      <sz val="8"/>
      <name val="Arial"/>
      <family val="2"/>
    </font>
    <font>
      <b/>
      <sz val="8"/>
      <name val="Arial"/>
      <family val="2"/>
    </font>
    <font>
      <u/>
      <sz val="8"/>
      <name val="Arial"/>
      <family val="2"/>
    </font>
    <font>
      <sz val="9"/>
      <name val="Arial"/>
      <family val="2"/>
    </font>
    <font>
      <vertAlign val="superscript"/>
      <sz val="10"/>
      <name val="Arial"/>
      <family val="2"/>
    </font>
    <font>
      <sz val="8"/>
      <name val="Arial"/>
      <family val="2"/>
    </font>
    <font>
      <sz val="12"/>
      <name val="Helv"/>
    </font>
    <font>
      <b/>
      <vertAlign val="superscript"/>
      <sz val="8"/>
      <name val="Arial"/>
      <family val="2"/>
    </font>
    <font>
      <b/>
      <sz val="8"/>
      <name val="Arial"/>
      <family val="2"/>
    </font>
    <font>
      <sz val="10"/>
      <color indexed="81"/>
      <name val="Tahoma"/>
      <family val="2"/>
    </font>
    <font>
      <b/>
      <sz val="10"/>
      <color indexed="81"/>
      <name val="Tahoma"/>
      <family val="2"/>
    </font>
    <font>
      <vertAlign val="superscript"/>
      <sz val="8"/>
      <name val="Arial"/>
      <family val="2"/>
    </font>
    <font>
      <vertAlign val="superscript"/>
      <sz val="8"/>
      <name val="Arial"/>
      <family val="2"/>
    </font>
    <font>
      <sz val="10"/>
      <color rgb="FFFF0000"/>
      <name val="Arial"/>
      <family val="2"/>
    </font>
    <font>
      <b/>
      <sz val="9"/>
      <color indexed="81"/>
      <name val="Tahoma"/>
      <family val="2"/>
    </font>
    <font>
      <sz val="9"/>
      <color indexed="81"/>
      <name val="Tahoma"/>
      <family val="2"/>
    </font>
    <font>
      <b/>
      <sz val="8"/>
      <color rgb="FF0000FF"/>
      <name val="Arial"/>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s>
  <cellStyleXfs count="13">
    <xf numFmtId="0" fontId="0" fillId="0" borderId="0"/>
    <xf numFmtId="0" fontId="11" fillId="0" borderId="1" applyBorder="0"/>
    <xf numFmtId="43" fontId="1" fillId="0" borderId="0" applyFont="0" applyFill="0" applyBorder="0" applyAlignment="0" applyProtection="0"/>
    <xf numFmtId="44" fontId="1" fillId="0" borderId="0" applyFont="0" applyFill="0" applyBorder="0" applyAlignment="0" applyProtection="0"/>
    <xf numFmtId="180" fontId="1" fillId="0" borderId="0" applyFont="0" applyFill="0" applyBorder="0" applyAlignment="0" applyProtection="0"/>
    <xf numFmtId="183" fontId="1" fillId="0" borderId="0" applyFont="0" applyFill="0" applyBorder="0" applyAlignment="0" applyProtection="0"/>
    <xf numFmtId="179" fontId="1" fillId="0" borderId="0" applyFont="0" applyFill="0" applyBorder="0" applyAlignment="0" applyProtection="0"/>
    <xf numFmtId="182" fontId="1" fillId="0" borderId="0" applyFont="0" applyFill="0" applyBorder="0" applyAlignment="0" applyProtection="0"/>
    <xf numFmtId="181" fontId="1" fillId="0" borderId="0"/>
    <xf numFmtId="0" fontId="1" fillId="0" borderId="0"/>
    <xf numFmtId="9" fontId="1" fillId="0" borderId="0" applyFont="0" applyFill="0" applyBorder="0" applyAlignment="0" applyProtection="0"/>
    <xf numFmtId="0" fontId="1" fillId="0" borderId="0"/>
    <xf numFmtId="0" fontId="1" fillId="0" borderId="0"/>
  </cellStyleXfs>
  <cellXfs count="615">
    <xf numFmtId="0" fontId="0" fillId="0" borderId="0" xfId="0"/>
    <xf numFmtId="164" fontId="0" fillId="0" borderId="0" xfId="0" applyNumberFormat="1"/>
    <xf numFmtId="0" fontId="5" fillId="0" borderId="0" xfId="0" applyFont="1"/>
    <xf numFmtId="0" fontId="5" fillId="0" borderId="1" xfId="0" applyFont="1" applyBorder="1"/>
    <xf numFmtId="0" fontId="0" fillId="0" borderId="2" xfId="0" applyBorder="1"/>
    <xf numFmtId="0" fontId="0" fillId="0" borderId="3" xfId="0" applyBorder="1"/>
    <xf numFmtId="0" fontId="2" fillId="0" borderId="0" xfId="0" applyFont="1" applyAlignment="1">
      <alignment horizontal="left"/>
    </xf>
    <xf numFmtId="169" fontId="5" fillId="0" borderId="0" xfId="0" applyNumberFormat="1" applyFont="1"/>
    <xf numFmtId="164" fontId="5" fillId="0" borderId="0" xfId="0" applyNumberFormat="1" applyFont="1"/>
    <xf numFmtId="10" fontId="5" fillId="0" borderId="0" xfId="10" applyNumberFormat="1" applyFont="1" applyFill="1"/>
    <xf numFmtId="0" fontId="5" fillId="0" borderId="0" xfId="0" applyFont="1" applyAlignment="1">
      <alignment horizontal="center"/>
    </xf>
    <xf numFmtId="164" fontId="5" fillId="0" borderId="0" xfId="2" applyNumberFormat="1" applyFont="1" applyFill="1" applyAlignment="1">
      <alignment horizontal="center"/>
    </xf>
    <xf numFmtId="0" fontId="5" fillId="0" borderId="0" xfId="0" quotePrefix="1" applyFont="1" applyAlignment="1">
      <alignment horizontal="left"/>
    </xf>
    <xf numFmtId="0" fontId="2" fillId="0" borderId="0" xfId="0" quotePrefix="1" applyFont="1" applyAlignment="1">
      <alignment horizontal="left"/>
    </xf>
    <xf numFmtId="164" fontId="2" fillId="0" borderId="0" xfId="2" applyNumberFormat="1" applyFont="1" applyFill="1"/>
    <xf numFmtId="0" fontId="2" fillId="0" borderId="0" xfId="0" applyFont="1"/>
    <xf numFmtId="0" fontId="3" fillId="0" borderId="0" xfId="0" applyFont="1"/>
    <xf numFmtId="164" fontId="3" fillId="0" borderId="0" xfId="0" applyNumberFormat="1" applyFont="1"/>
    <xf numFmtId="0" fontId="2" fillId="0" borderId="4" xfId="0" applyFont="1" applyBorder="1"/>
    <xf numFmtId="0" fontId="2" fillId="0" borderId="4" xfId="0" quotePrefix="1" applyFont="1" applyBorder="1" applyAlignment="1">
      <alignment horizontal="left" wrapText="1"/>
    </xf>
    <xf numFmtId="0" fontId="3" fillId="0" borderId="5" xfId="0" applyFont="1" applyBorder="1"/>
    <xf numFmtId="168" fontId="1" fillId="0" borderId="0" xfId="10" applyNumberFormat="1" applyFill="1"/>
    <xf numFmtId="0" fontId="3" fillId="0" borderId="6" xfId="0" applyFont="1" applyBorder="1"/>
    <xf numFmtId="0" fontId="3" fillId="0" borderId="1" xfId="0" applyFont="1" applyBorder="1"/>
    <xf numFmtId="0" fontId="3" fillId="0" borderId="7" xfId="0" applyFont="1" applyBorder="1"/>
    <xf numFmtId="0" fontId="2" fillId="0" borderId="0" xfId="0" applyFont="1" applyAlignment="1">
      <alignment horizontal="center" wrapText="1"/>
    </xf>
    <xf numFmtId="10" fontId="1" fillId="0" borderId="0" xfId="10" applyNumberFormat="1" applyFill="1"/>
    <xf numFmtId="164" fontId="1" fillId="0" borderId="0" xfId="2" applyNumberFormat="1" applyFill="1" applyAlignment="1">
      <alignment horizontal="center"/>
    </xf>
    <xf numFmtId="9" fontId="4" fillId="0" borderId="0" xfId="10" quotePrefix="1" applyFont="1" applyFill="1" applyAlignment="1">
      <alignment horizontal="center"/>
    </xf>
    <xf numFmtId="9" fontId="4" fillId="0" borderId="0" xfId="10" applyFont="1" applyFill="1" applyAlignment="1">
      <alignment horizontal="center"/>
    </xf>
    <xf numFmtId="9" fontId="1" fillId="0" borderId="0" xfId="10" applyFill="1"/>
    <xf numFmtId="164" fontId="1" fillId="0" borderId="0" xfId="10" applyNumberFormat="1" applyFill="1"/>
    <xf numFmtId="0" fontId="6" fillId="0" borderId="0" xfId="0" applyFont="1"/>
    <xf numFmtId="172" fontId="5" fillId="0" borderId="0" xfId="10" applyNumberFormat="1" applyFont="1" applyFill="1"/>
    <xf numFmtId="0" fontId="4" fillId="0" borderId="0" xfId="0" quotePrefix="1" applyFont="1" applyAlignment="1">
      <alignment horizontal="left"/>
    </xf>
    <xf numFmtId="0" fontId="3" fillId="0" borderId="0" xfId="0" applyFont="1" applyAlignment="1">
      <alignment horizontal="center"/>
    </xf>
    <xf numFmtId="164" fontId="3" fillId="0" borderId="0" xfId="0" applyNumberFormat="1" applyFont="1" applyAlignment="1">
      <alignment horizontal="center"/>
    </xf>
    <xf numFmtId="0" fontId="2" fillId="0" borderId="0" xfId="0" quotePrefix="1" applyFont="1" applyAlignment="1">
      <alignment horizontal="center" wrapText="1"/>
    </xf>
    <xf numFmtId="0" fontId="5" fillId="0" borderId="0" xfId="0" applyFont="1" applyAlignment="1">
      <alignment horizontal="left"/>
    </xf>
    <xf numFmtId="0" fontId="5" fillId="0" borderId="3" xfId="0" applyFont="1" applyBorder="1" applyAlignment="1">
      <alignment horizontal="left" wrapText="1"/>
    </xf>
    <xf numFmtId="176" fontId="5" fillId="0" borderId="8" xfId="0" applyNumberFormat="1" applyFont="1" applyBorder="1" applyAlignment="1">
      <alignment horizontal="center"/>
    </xf>
    <xf numFmtId="0" fontId="5" fillId="0" borderId="2" xfId="0" quotePrefix="1" applyFont="1" applyBorder="1" applyAlignment="1">
      <alignment horizontal="right" wrapText="1"/>
    </xf>
    <xf numFmtId="176" fontId="5" fillId="0" borderId="2" xfId="0" applyNumberFormat="1" applyFont="1" applyBorder="1" applyAlignment="1">
      <alignment horizontal="center" wrapText="1"/>
    </xf>
    <xf numFmtId="0" fontId="5" fillId="0" borderId="8" xfId="0" applyFont="1" applyBorder="1" applyAlignment="1">
      <alignment horizontal="right" wrapText="1"/>
    </xf>
    <xf numFmtId="176" fontId="5" fillId="0" borderId="8" xfId="2" applyNumberFormat="1" applyFont="1" applyFill="1" applyBorder="1" applyAlignment="1">
      <alignment horizontal="center"/>
    </xf>
    <xf numFmtId="176" fontId="5" fillId="0" borderId="3" xfId="2" applyNumberFormat="1" applyFont="1" applyFill="1" applyBorder="1" applyAlignment="1">
      <alignment horizontal="center"/>
    </xf>
    <xf numFmtId="0" fontId="6" fillId="0" borderId="9" xfId="0" quotePrefix="1" applyFont="1" applyBorder="1" applyAlignment="1">
      <alignment horizontal="center" wrapText="1"/>
    </xf>
    <xf numFmtId="0" fontId="6" fillId="0" borderId="2" xfId="0" quotePrefix="1" applyFont="1" applyBorder="1" applyAlignment="1">
      <alignment horizontal="center" wrapText="1"/>
    </xf>
    <xf numFmtId="0" fontId="5" fillId="0" borderId="2" xfId="0" quotePrefix="1" applyFont="1" applyBorder="1" applyAlignment="1">
      <alignment horizontal="left" wrapText="1"/>
    </xf>
    <xf numFmtId="0" fontId="6" fillId="0" borderId="8" xfId="0" quotePrefix="1" applyFont="1" applyBorder="1" applyAlignment="1">
      <alignment horizontal="center" wrapText="1"/>
    </xf>
    <xf numFmtId="0" fontId="5" fillId="0" borderId="8" xfId="0" applyFont="1" applyBorder="1" applyAlignment="1">
      <alignment horizontal="left" wrapText="1"/>
    </xf>
    <xf numFmtId="0" fontId="5" fillId="0" borderId="8" xfId="0" quotePrefix="1" applyFont="1" applyBorder="1" applyAlignment="1">
      <alignment horizontal="left" wrapText="1"/>
    </xf>
    <xf numFmtId="176" fontId="5" fillId="0" borderId="3" xfId="0" quotePrefix="1" applyNumberFormat="1" applyFont="1" applyBorder="1" applyAlignment="1">
      <alignment horizontal="center" vertical="top" wrapText="1"/>
    </xf>
    <xf numFmtId="176" fontId="5" fillId="0" borderId="3" xfId="0" applyNumberFormat="1" applyFont="1" applyBorder="1" applyAlignment="1">
      <alignment horizontal="center" vertical="top" wrapText="1"/>
    </xf>
    <xf numFmtId="176" fontId="5" fillId="0" borderId="0" xfId="0" applyNumberFormat="1" applyFont="1" applyAlignment="1">
      <alignment horizontal="center"/>
    </xf>
    <xf numFmtId="176" fontId="5" fillId="0" borderId="2" xfId="0" applyNumberFormat="1" applyFont="1" applyBorder="1" applyAlignment="1">
      <alignment horizontal="center"/>
    </xf>
    <xf numFmtId="0" fontId="6" fillId="0" borderId="2" xfId="0" applyFont="1" applyBorder="1" applyAlignment="1">
      <alignment horizontal="left" wrapText="1"/>
    </xf>
    <xf numFmtId="176" fontId="5" fillId="0" borderId="3" xfId="0" applyNumberFormat="1" applyFont="1" applyBorder="1" applyAlignment="1">
      <alignment horizontal="center"/>
    </xf>
    <xf numFmtId="0" fontId="5" fillId="0" borderId="8" xfId="0" applyFont="1" applyBorder="1" applyAlignment="1">
      <alignment horizontal="center"/>
    </xf>
    <xf numFmtId="0" fontId="5" fillId="0" borderId="3" xfId="0" applyFont="1" applyBorder="1" applyAlignment="1">
      <alignment horizontal="center"/>
    </xf>
    <xf numFmtId="0" fontId="5" fillId="0" borderId="2" xfId="0" applyFont="1" applyBorder="1" applyAlignment="1">
      <alignment horizontal="center"/>
    </xf>
    <xf numFmtId="0" fontId="5" fillId="0" borderId="9" xfId="0" quotePrefix="1" applyFont="1" applyBorder="1" applyAlignment="1">
      <alignment horizontal="center"/>
    </xf>
    <xf numFmtId="0" fontId="5" fillId="0" borderId="2" xfId="0" quotePrefix="1" applyFont="1" applyBorder="1" applyAlignment="1">
      <alignment horizontal="center"/>
    </xf>
    <xf numFmtId="0" fontId="6" fillId="0" borderId="9" xfId="0" quotePrefix="1" applyFont="1" applyBorder="1" applyAlignment="1">
      <alignment horizontal="center"/>
    </xf>
    <xf numFmtId="0" fontId="6" fillId="0" borderId="9" xfId="0" applyFont="1" applyBorder="1" applyAlignment="1">
      <alignment horizontal="center" wrapText="1"/>
    </xf>
    <xf numFmtId="0" fontId="5" fillId="0" borderId="0" xfId="0" quotePrefix="1" applyFont="1" applyAlignment="1">
      <alignment horizontal="center" wrapText="1"/>
    </xf>
    <xf numFmtId="0" fontId="5" fillId="0" borderId="2" xfId="0" quotePrefix="1" applyFont="1" applyBorder="1" applyAlignment="1">
      <alignment horizontal="center" wrapText="1"/>
    </xf>
    <xf numFmtId="0" fontId="5" fillId="0" borderId="8" xfId="0" quotePrefix="1" applyFont="1" applyBorder="1" applyAlignment="1">
      <alignment horizontal="center" wrapText="1"/>
    </xf>
    <xf numFmtId="0" fontId="5" fillId="0" borderId="8" xfId="0" applyFont="1" applyBorder="1" applyAlignment="1">
      <alignment horizontal="center" wrapText="1"/>
    </xf>
    <xf numFmtId="0" fontId="5" fillId="0" borderId="3" xfId="0" quotePrefix="1" applyFont="1" applyBorder="1" applyAlignment="1">
      <alignment horizontal="center" wrapText="1"/>
    </xf>
    <xf numFmtId="0" fontId="5" fillId="0" borderId="4" xfId="0" quotePrefix="1" applyFont="1" applyBorder="1" applyAlignment="1">
      <alignment horizontal="center"/>
    </xf>
    <xf numFmtId="0" fontId="5" fillId="0" borderId="0" xfId="0" quotePrefix="1" applyFont="1" applyAlignment="1">
      <alignment horizontal="center"/>
    </xf>
    <xf numFmtId="0" fontId="6" fillId="0" borderId="8" xfId="0" quotePrefix="1" applyFont="1" applyBorder="1" applyAlignment="1">
      <alignment horizontal="center"/>
    </xf>
    <xf numFmtId="0" fontId="6" fillId="0" borderId="8" xfId="0" applyFont="1" applyBorder="1" applyAlignment="1">
      <alignment horizontal="left" wrapText="1"/>
    </xf>
    <xf numFmtId="169" fontId="5" fillId="0" borderId="0" xfId="3" applyNumberFormat="1" applyFont="1" applyFill="1" applyAlignment="1">
      <alignment horizontal="center"/>
    </xf>
    <xf numFmtId="9" fontId="7" fillId="0" borderId="0" xfId="10" quotePrefix="1" applyFont="1" applyFill="1" applyAlignment="1">
      <alignment horizontal="center"/>
    </xf>
    <xf numFmtId="9" fontId="5" fillId="0" borderId="0" xfId="10" applyFont="1" applyFill="1" applyAlignment="1">
      <alignment horizontal="center"/>
    </xf>
    <xf numFmtId="164" fontId="5" fillId="0" borderId="0" xfId="10" applyNumberFormat="1" applyFont="1" applyFill="1" applyAlignment="1">
      <alignment horizontal="center"/>
    </xf>
    <xf numFmtId="10" fontId="5" fillId="0" borderId="0" xfId="10" applyNumberFormat="1" applyFont="1" applyFill="1" applyAlignment="1">
      <alignment horizontal="center"/>
    </xf>
    <xf numFmtId="176" fontId="5" fillId="0" borderId="9" xfId="2" applyNumberFormat="1" applyFont="1" applyFill="1" applyBorder="1" applyAlignment="1">
      <alignment horizontal="center"/>
    </xf>
    <xf numFmtId="0" fontId="5" fillId="0" borderId="5" xfId="0" applyFont="1" applyBorder="1"/>
    <xf numFmtId="0" fontId="6" fillId="0" borderId="2" xfId="0" applyFont="1" applyBorder="1" applyAlignment="1">
      <alignment horizontal="center" wrapText="1"/>
    </xf>
    <xf numFmtId="176" fontId="5" fillId="0" borderId="0" xfId="2" applyNumberFormat="1" applyFont="1" applyFill="1" applyBorder="1" applyAlignment="1">
      <alignment horizontal="center"/>
    </xf>
    <xf numFmtId="176" fontId="6" fillId="0" borderId="2" xfId="0" applyNumberFormat="1" applyFont="1" applyBorder="1" applyAlignment="1">
      <alignment horizontal="center" wrapText="1"/>
    </xf>
    <xf numFmtId="176" fontId="6" fillId="0" borderId="3" xfId="0" applyNumberFormat="1" applyFont="1" applyBorder="1" applyAlignment="1">
      <alignment horizontal="center" wrapText="1"/>
    </xf>
    <xf numFmtId="0" fontId="6" fillId="0" borderId="2" xfId="0" applyFont="1" applyBorder="1" applyAlignment="1">
      <alignment horizontal="center"/>
    </xf>
    <xf numFmtId="184" fontId="3" fillId="0" borderId="0" xfId="0" applyNumberFormat="1" applyFont="1"/>
    <xf numFmtId="0" fontId="6" fillId="0" borderId="8" xfId="0" applyFont="1" applyBorder="1" applyAlignment="1">
      <alignment horizontal="center" wrapText="1"/>
    </xf>
    <xf numFmtId="0" fontId="5" fillId="0" borderId="8" xfId="0" applyFont="1" applyBorder="1" applyAlignment="1">
      <alignment horizontal="left" vertical="top" wrapText="1"/>
    </xf>
    <xf numFmtId="0" fontId="5" fillId="0" borderId="3" xfId="0" quotePrefix="1" applyFont="1" applyBorder="1" applyAlignment="1">
      <alignment horizontal="left" vertical="top" wrapText="1"/>
    </xf>
    <xf numFmtId="0" fontId="5" fillId="0" borderId="3" xfId="0" applyFont="1" applyBorder="1" applyAlignment="1">
      <alignment horizontal="left" vertical="top" wrapText="1"/>
    </xf>
    <xf numFmtId="0" fontId="5" fillId="0" borderId="8" xfId="0" quotePrefix="1" applyFont="1" applyBorder="1" applyAlignment="1">
      <alignment horizontal="center"/>
    </xf>
    <xf numFmtId="0" fontId="5" fillId="0" borderId="5" xfId="0" applyFont="1" applyBorder="1" applyAlignment="1">
      <alignment vertical="top" wrapText="1"/>
    </xf>
    <xf numFmtId="0" fontId="5" fillId="0" borderId="0" xfId="0" applyFont="1" applyAlignment="1">
      <alignment vertical="top" wrapText="1"/>
    </xf>
    <xf numFmtId="0" fontId="5" fillId="0" borderId="3" xfId="0" applyFont="1" applyBorder="1" applyAlignment="1">
      <alignment horizontal="center" vertical="top" wrapText="1"/>
    </xf>
    <xf numFmtId="0" fontId="5" fillId="0" borderId="3" xfId="0" quotePrefix="1" applyFont="1" applyBorder="1" applyAlignment="1">
      <alignment horizontal="center" vertical="top" wrapText="1"/>
    </xf>
    <xf numFmtId="0" fontId="5" fillId="0" borderId="3" xfId="0" quotePrefix="1" applyFont="1" applyBorder="1" applyAlignment="1">
      <alignment horizontal="center"/>
    </xf>
    <xf numFmtId="164" fontId="5" fillId="0" borderId="8" xfId="2" applyNumberFormat="1" applyFont="1" applyFill="1" applyBorder="1" applyAlignment="1">
      <alignment horizontal="center"/>
    </xf>
    <xf numFmtId="0" fontId="5" fillId="0" borderId="9" xfId="0" applyFont="1" applyBorder="1" applyAlignment="1">
      <alignment horizontal="center"/>
    </xf>
    <xf numFmtId="0" fontId="5" fillId="0" borderId="9" xfId="0" quotePrefix="1" applyFont="1" applyBorder="1" applyAlignment="1">
      <alignment horizontal="left" vertical="top" wrapText="1"/>
    </xf>
    <xf numFmtId="164" fontId="5" fillId="0" borderId="9" xfId="2" quotePrefix="1" applyNumberFormat="1" applyFont="1" applyFill="1" applyBorder="1" applyAlignment="1">
      <alignment horizontal="center"/>
    </xf>
    <xf numFmtId="0" fontId="5" fillId="0" borderId="9" xfId="0" quotePrefix="1" applyFont="1" applyBorder="1" applyAlignment="1">
      <alignment horizontal="center" vertical="top" wrapText="1"/>
    </xf>
    <xf numFmtId="0" fontId="5" fillId="0" borderId="3" xfId="0" applyFont="1" applyBorder="1" applyAlignment="1">
      <alignment horizontal="right" vertical="top" wrapText="1"/>
    </xf>
    <xf numFmtId="0" fontId="2" fillId="0" borderId="4" xfId="0" quotePrefix="1" applyFont="1" applyBorder="1" applyAlignment="1">
      <alignment horizontal="left"/>
    </xf>
    <xf numFmtId="164" fontId="5" fillId="0" borderId="9" xfId="0" applyNumberFormat="1" applyFont="1" applyBorder="1"/>
    <xf numFmtId="0" fontId="5" fillId="0" borderId="9" xfId="0" applyFont="1" applyBorder="1"/>
    <xf numFmtId="164" fontId="5" fillId="0" borderId="8" xfId="0" applyNumberFormat="1" applyFont="1" applyBorder="1" applyAlignment="1">
      <alignment vertical="top"/>
    </xf>
    <xf numFmtId="164" fontId="5" fillId="0" borderId="3" xfId="0" applyNumberFormat="1" applyFont="1" applyBorder="1" applyAlignment="1">
      <alignment vertical="top"/>
    </xf>
    <xf numFmtId="164" fontId="5" fillId="0" borderId="2" xfId="0" applyNumberFormat="1" applyFont="1" applyBorder="1" applyAlignment="1">
      <alignment vertical="top"/>
    </xf>
    <xf numFmtId="168" fontId="5" fillId="0" borderId="0" xfId="10" applyNumberFormat="1" applyFont="1" applyFill="1"/>
    <xf numFmtId="3" fontId="5" fillId="0" borderId="0" xfId="0" applyNumberFormat="1" applyFont="1"/>
    <xf numFmtId="0" fontId="6" fillId="0" borderId="9" xfId="0" applyFont="1" applyBorder="1" applyAlignment="1">
      <alignment horizontal="left" wrapText="1"/>
    </xf>
    <xf numFmtId="0" fontId="6" fillId="0" borderId="2" xfId="0" applyFont="1" applyBorder="1" applyAlignment="1">
      <alignment horizontal="left"/>
    </xf>
    <xf numFmtId="164" fontId="5" fillId="0" borderId="2" xfId="2" applyNumberFormat="1" applyFont="1" applyFill="1" applyBorder="1"/>
    <xf numFmtId="166" fontId="5" fillId="0" borderId="2" xfId="2" applyNumberFormat="1" applyFont="1" applyFill="1" applyBorder="1"/>
    <xf numFmtId="0" fontId="5" fillId="0" borderId="2" xfId="0" applyFont="1" applyBorder="1"/>
    <xf numFmtId="0" fontId="5" fillId="0" borderId="8" xfId="0" applyFont="1" applyBorder="1" applyAlignment="1">
      <alignment horizontal="left" indent="1"/>
    </xf>
    <xf numFmtId="164" fontId="5" fillId="0" borderId="8" xfId="2" applyNumberFormat="1" applyFont="1" applyFill="1" applyBorder="1"/>
    <xf numFmtId="10" fontId="5" fillId="0" borderId="8" xfId="10" applyNumberFormat="1" applyFont="1" applyFill="1" applyBorder="1"/>
    <xf numFmtId="164" fontId="5" fillId="0" borderId="8" xfId="0" applyNumberFormat="1" applyFont="1" applyBorder="1"/>
    <xf numFmtId="0" fontId="5" fillId="0" borderId="8" xfId="0" quotePrefix="1" applyFont="1" applyBorder="1" applyAlignment="1">
      <alignment horizontal="left" indent="1"/>
    </xf>
    <xf numFmtId="0" fontId="6" fillId="0" borderId="3" xfId="0" applyFont="1" applyBorder="1"/>
    <xf numFmtId="164" fontId="5" fillId="0" borderId="3" xfId="2" applyNumberFormat="1" applyFont="1" applyFill="1" applyBorder="1"/>
    <xf numFmtId="10" fontId="5" fillId="0" borderId="3" xfId="10" applyNumberFormat="1" applyFont="1" applyFill="1" applyBorder="1"/>
    <xf numFmtId="0" fontId="6" fillId="0" borderId="8" xfId="0" applyFont="1" applyBorder="1"/>
    <xf numFmtId="164" fontId="5" fillId="0" borderId="9" xfId="2" applyNumberFormat="1" applyFont="1" applyFill="1" applyBorder="1"/>
    <xf numFmtId="10" fontId="5" fillId="0" borderId="9" xfId="10" applyNumberFormat="1" applyFont="1" applyFill="1" applyBorder="1"/>
    <xf numFmtId="0" fontId="6" fillId="0" borderId="2" xfId="0" applyFont="1" applyBorder="1"/>
    <xf numFmtId="164" fontId="5" fillId="0" borderId="2" xfId="0" applyNumberFormat="1" applyFont="1" applyBorder="1"/>
    <xf numFmtId="170" fontId="5" fillId="0" borderId="2" xfId="0" applyNumberFormat="1" applyFont="1" applyBorder="1"/>
    <xf numFmtId="0" fontId="6" fillId="0" borderId="3" xfId="0" quotePrefix="1" applyFont="1" applyBorder="1" applyAlignment="1">
      <alignment horizontal="left"/>
    </xf>
    <xf numFmtId="0" fontId="5" fillId="0" borderId="3" xfId="0" applyFont="1" applyBorder="1"/>
    <xf numFmtId="0" fontId="6" fillId="0" borderId="8" xfId="0" quotePrefix="1" applyFont="1" applyBorder="1" applyAlignment="1">
      <alignment horizontal="left"/>
    </xf>
    <xf numFmtId="0" fontId="6" fillId="0" borderId="2" xfId="0" quotePrefix="1" applyFont="1" applyBorder="1" applyAlignment="1">
      <alignment horizontal="left"/>
    </xf>
    <xf numFmtId="164" fontId="5" fillId="0" borderId="8" xfId="10" applyNumberFormat="1" applyFont="1" applyFill="1" applyBorder="1"/>
    <xf numFmtId="0" fontId="5" fillId="0" borderId="7" xfId="0" applyFont="1" applyBorder="1"/>
    <xf numFmtId="0" fontId="5" fillId="0" borderId="0" xfId="0" applyFont="1" applyAlignment="1">
      <alignment horizontal="center" wrapText="1"/>
    </xf>
    <xf numFmtId="0" fontId="6" fillId="0" borderId="8" xfId="0" applyFont="1" applyBorder="1" applyAlignment="1">
      <alignment horizontal="left"/>
    </xf>
    <xf numFmtId="0" fontId="6" fillId="0" borderId="8" xfId="0" applyFont="1" applyBorder="1" applyAlignment="1">
      <alignment horizontal="left" indent="1"/>
    </xf>
    <xf numFmtId="170" fontId="5" fillId="0" borderId="8" xfId="0" applyNumberFormat="1" applyFont="1" applyBorder="1"/>
    <xf numFmtId="166" fontId="5" fillId="0" borderId="8" xfId="0" applyNumberFormat="1" applyFont="1" applyBorder="1"/>
    <xf numFmtId="9" fontId="5" fillId="0" borderId="0" xfId="10" applyFont="1" applyFill="1"/>
    <xf numFmtId="0" fontId="6" fillId="0" borderId="8" xfId="0" quotePrefix="1" applyFont="1" applyBorder="1" applyAlignment="1">
      <alignment horizontal="left" indent="1"/>
    </xf>
    <xf numFmtId="0" fontId="5" fillId="0" borderId="8" xfId="0" applyFont="1" applyBorder="1"/>
    <xf numFmtId="0" fontId="5" fillId="0" borderId="3" xfId="0" quotePrefix="1" applyFont="1" applyBorder="1" applyAlignment="1">
      <alignment horizontal="left"/>
    </xf>
    <xf numFmtId="170" fontId="5" fillId="0" borderId="3" xfId="0" applyNumberFormat="1" applyFont="1" applyBorder="1"/>
    <xf numFmtId="166" fontId="5" fillId="0" borderId="3" xfId="0" applyNumberFormat="1" applyFont="1" applyBorder="1"/>
    <xf numFmtId="10" fontId="5" fillId="0" borderId="2" xfId="10" applyNumberFormat="1" applyFont="1" applyFill="1" applyBorder="1"/>
    <xf numFmtId="166" fontId="5" fillId="0" borderId="2" xfId="0" applyNumberFormat="1" applyFont="1" applyBorder="1"/>
    <xf numFmtId="170" fontId="6" fillId="0" borderId="8" xfId="0" applyNumberFormat="1" applyFont="1" applyBorder="1" applyAlignment="1">
      <alignment horizontal="left" indent="1"/>
    </xf>
    <xf numFmtId="0" fontId="5" fillId="0" borderId="9" xfId="0" quotePrefix="1" applyFont="1" applyBorder="1" applyAlignment="1">
      <alignment horizontal="left"/>
    </xf>
    <xf numFmtId="170" fontId="5" fillId="0" borderId="9" xfId="0" applyNumberFormat="1" applyFont="1" applyBorder="1"/>
    <xf numFmtId="166" fontId="5" fillId="0" borderId="9" xfId="0" applyNumberFormat="1" applyFont="1" applyBorder="1"/>
    <xf numFmtId="164" fontId="5" fillId="0" borderId="0" xfId="2" applyNumberFormat="1" applyFont="1" applyFill="1"/>
    <xf numFmtId="0" fontId="5" fillId="0" borderId="8" xfId="0" quotePrefix="1" applyFont="1" applyBorder="1" applyAlignment="1">
      <alignment horizontal="left"/>
    </xf>
    <xf numFmtId="0" fontId="5" fillId="0" borderId="9" xfId="0" applyFont="1" applyBorder="1" applyAlignment="1">
      <alignment horizontal="centerContinuous" wrapText="1"/>
    </xf>
    <xf numFmtId="9" fontId="5" fillId="0" borderId="8" xfId="10" applyFont="1" applyFill="1" applyBorder="1"/>
    <xf numFmtId="9" fontId="5" fillId="0" borderId="9" xfId="10" applyFont="1" applyFill="1" applyBorder="1"/>
    <xf numFmtId="9" fontId="5" fillId="0" borderId="3" xfId="10" applyFont="1" applyFill="1" applyBorder="1"/>
    <xf numFmtId="164" fontId="5" fillId="0" borderId="3" xfId="0" applyNumberFormat="1" applyFont="1" applyBorder="1"/>
    <xf numFmtId="170" fontId="5" fillId="0" borderId="0" xfId="0" applyNumberFormat="1" applyFont="1"/>
    <xf numFmtId="0" fontId="5" fillId="0" borderId="0" xfId="0" applyFont="1" applyAlignment="1">
      <alignment horizontal="center" vertical="top" wrapText="1"/>
    </xf>
    <xf numFmtId="37" fontId="5" fillId="0" borderId="8" xfId="0" applyNumberFormat="1" applyFont="1" applyBorder="1"/>
    <xf numFmtId="166" fontId="5" fillId="0" borderId="8" xfId="2" applyNumberFormat="1" applyFont="1" applyFill="1" applyBorder="1"/>
    <xf numFmtId="166" fontId="5" fillId="0" borderId="0" xfId="2" applyNumberFormat="1" applyFont="1" applyFill="1"/>
    <xf numFmtId="10" fontId="5" fillId="0" borderId="0" xfId="0" applyNumberFormat="1" applyFont="1"/>
    <xf numFmtId="164" fontId="5" fillId="0" borderId="3" xfId="10" applyNumberFormat="1" applyFont="1" applyFill="1" applyBorder="1"/>
    <xf numFmtId="3" fontId="5" fillId="0" borderId="8" xfId="0" applyNumberFormat="1" applyFont="1" applyBorder="1"/>
    <xf numFmtId="9" fontId="5" fillId="0" borderId="2" xfId="10" applyFont="1" applyFill="1" applyBorder="1"/>
    <xf numFmtId="178" fontId="5" fillId="0" borderId="2" xfId="0" applyNumberFormat="1" applyFont="1" applyBorder="1"/>
    <xf numFmtId="0" fontId="5" fillId="0" borderId="2" xfId="0" quotePrefix="1" applyFont="1" applyBorder="1" applyAlignment="1">
      <alignment horizontal="left"/>
    </xf>
    <xf numFmtId="3" fontId="5" fillId="0" borderId="3" xfId="0" applyNumberFormat="1" applyFont="1" applyBorder="1"/>
    <xf numFmtId="164" fontId="5" fillId="0" borderId="3" xfId="2" applyNumberFormat="1" applyFont="1" applyFill="1" applyBorder="1" applyAlignment="1">
      <alignment horizontal="centerContinuous" wrapText="1"/>
    </xf>
    <xf numFmtId="164" fontId="5" fillId="0" borderId="3" xfId="2" quotePrefix="1" applyNumberFormat="1" applyFont="1" applyFill="1" applyBorder="1" applyAlignment="1">
      <alignment horizontal="centerContinuous" wrapText="1"/>
    </xf>
    <xf numFmtId="164" fontId="5" fillId="0" borderId="2" xfId="2" quotePrefix="1" applyNumberFormat="1" applyFont="1" applyFill="1" applyBorder="1" applyAlignment="1">
      <alignment horizontal="center" wrapText="1"/>
    </xf>
    <xf numFmtId="0" fontId="6" fillId="0" borderId="9" xfId="0" applyFont="1" applyBorder="1" applyAlignment="1">
      <alignment horizontal="center"/>
    </xf>
    <xf numFmtId="0" fontId="7" fillId="0" borderId="2" xfId="0" applyFont="1" applyBorder="1" applyAlignment="1">
      <alignment horizontal="center"/>
    </xf>
    <xf numFmtId="164" fontId="5" fillId="0" borderId="3" xfId="2" applyNumberFormat="1" applyFont="1" applyFill="1" applyBorder="1" applyAlignment="1">
      <alignment horizontal="center"/>
    </xf>
    <xf numFmtId="0" fontId="6" fillId="0" borderId="9" xfId="0" applyFont="1" applyBorder="1"/>
    <xf numFmtId="0" fontId="5" fillId="0" borderId="3" xfId="0" applyFont="1" applyBorder="1" applyAlignment="1">
      <alignment horizontal="left" indent="1"/>
    </xf>
    <xf numFmtId="168" fontId="5" fillId="0" borderId="8" xfId="10" applyNumberFormat="1" applyFont="1" applyFill="1" applyBorder="1"/>
    <xf numFmtId="164" fontId="5" fillId="0" borderId="0" xfId="2" applyNumberFormat="1" applyFont="1" applyFill="1" applyBorder="1"/>
    <xf numFmtId="10" fontId="5" fillId="0" borderId="0" xfId="10" applyNumberFormat="1" applyFont="1" applyFill="1" applyBorder="1"/>
    <xf numFmtId="164" fontId="5" fillId="0" borderId="0" xfId="10" applyNumberFormat="1" applyFont="1" applyFill="1" applyBorder="1"/>
    <xf numFmtId="0" fontId="5" fillId="0" borderId="8" xfId="0" quotePrefix="1" applyFont="1" applyBorder="1" applyAlignment="1">
      <alignment horizontal="center" vertical="top" wrapText="1"/>
    </xf>
    <xf numFmtId="0" fontId="6" fillId="0" borderId="9" xfId="0" quotePrefix="1" applyFont="1" applyBorder="1" applyAlignment="1">
      <alignment horizontal="centerContinuous" wrapText="1"/>
    </xf>
    <xf numFmtId="169" fontId="5" fillId="0" borderId="9" xfId="0" applyNumberFormat="1" applyFont="1" applyBorder="1" applyAlignment="1">
      <alignment horizontal="centerContinuous" wrapText="1"/>
    </xf>
    <xf numFmtId="0" fontId="6" fillId="0" borderId="2" xfId="0" applyFont="1" applyBorder="1" applyAlignment="1">
      <alignment horizontal="centerContinuous"/>
    </xf>
    <xf numFmtId="0" fontId="5" fillId="0" borderId="2" xfId="0" applyFont="1" applyBorder="1" applyAlignment="1">
      <alignment horizontal="centerContinuous"/>
    </xf>
    <xf numFmtId="0" fontId="6" fillId="0" borderId="2" xfId="0" quotePrefix="1" applyFont="1" applyBorder="1" applyAlignment="1">
      <alignment horizontal="centerContinuous"/>
    </xf>
    <xf numFmtId="0" fontId="5" fillId="0" borderId="2" xfId="0" applyFont="1" applyBorder="1" applyAlignment="1">
      <alignment horizontal="left"/>
    </xf>
    <xf numFmtId="0" fontId="5" fillId="0" borderId="8" xfId="0" applyFont="1" applyBorder="1" applyAlignment="1">
      <alignment horizontal="left"/>
    </xf>
    <xf numFmtId="0" fontId="6" fillId="0" borderId="9" xfId="0" applyFont="1" applyBorder="1" applyAlignment="1">
      <alignment horizontal="centerContinuous" wrapText="1"/>
    </xf>
    <xf numFmtId="0" fontId="5" fillId="0" borderId="0" xfId="0" applyFont="1" applyAlignment="1">
      <alignment wrapText="1"/>
    </xf>
    <xf numFmtId="0" fontId="5" fillId="0" borderId="12" xfId="0" applyFont="1" applyBorder="1"/>
    <xf numFmtId="0" fontId="7" fillId="0" borderId="1" xfId="0" applyFont="1" applyBorder="1" applyAlignment="1">
      <alignment horizontal="right"/>
    </xf>
    <xf numFmtId="169" fontId="5" fillId="0" borderId="1" xfId="0" applyNumberFormat="1" applyFont="1" applyBorder="1"/>
    <xf numFmtId="169" fontId="5" fillId="0" borderId="0" xfId="0" applyNumberFormat="1" applyFont="1" applyAlignment="1">
      <alignment horizontal="center"/>
    </xf>
    <xf numFmtId="43" fontId="5" fillId="0" borderId="0" xfId="2" applyFont="1" applyFill="1"/>
    <xf numFmtId="0" fontId="5" fillId="0" borderId="5" xfId="0" quotePrefix="1" applyFont="1" applyBorder="1" applyAlignment="1">
      <alignment horizontal="left"/>
    </xf>
    <xf numFmtId="0" fontId="5" fillId="0" borderId="13" xfId="0" applyFont="1" applyBorder="1"/>
    <xf numFmtId="0" fontId="6" fillId="0" borderId="2" xfId="0" applyFont="1" applyBorder="1" applyAlignment="1">
      <alignment horizontal="centerContinuous" wrapText="1"/>
    </xf>
    <xf numFmtId="0" fontId="5" fillId="0" borderId="2" xfId="0" applyFont="1" applyBorder="1" applyAlignment="1">
      <alignment horizontal="centerContinuous" wrapText="1"/>
    </xf>
    <xf numFmtId="169" fontId="5" fillId="0" borderId="2" xfId="0" applyNumberFormat="1" applyFont="1" applyBorder="1" applyAlignment="1">
      <alignment horizontal="centerContinuous" wrapText="1"/>
    </xf>
    <xf numFmtId="0" fontId="5" fillId="0" borderId="0" xfId="0" applyFont="1" applyAlignment="1">
      <alignment horizontal="centerContinuous"/>
    </xf>
    <xf numFmtId="0" fontId="5" fillId="0" borderId="7" xfId="0" applyFont="1" applyBorder="1" applyAlignment="1">
      <alignment horizontal="centerContinuous" wrapText="1"/>
    </xf>
    <xf numFmtId="0" fontId="6" fillId="0" borderId="4" xfId="0" quotePrefix="1" applyFont="1" applyBorder="1" applyAlignment="1">
      <alignment horizontal="center"/>
    </xf>
    <xf numFmtId="0" fontId="10" fillId="0" borderId="0" xfId="0" applyFont="1"/>
    <xf numFmtId="0" fontId="13" fillId="0" borderId="8" xfId="0" quotePrefix="1" applyFont="1" applyBorder="1" applyAlignment="1">
      <alignment horizontal="center" wrapText="1"/>
    </xf>
    <xf numFmtId="0" fontId="10" fillId="0" borderId="8" xfId="0" applyFont="1" applyBorder="1" applyAlignment="1">
      <alignment horizontal="center"/>
    </xf>
    <xf numFmtId="0" fontId="10" fillId="0" borderId="8" xfId="0" applyFont="1" applyBorder="1"/>
    <xf numFmtId="0" fontId="10" fillId="0" borderId="2" xfId="0" applyFont="1" applyBorder="1" applyAlignment="1">
      <alignment horizontal="center"/>
    </xf>
    <xf numFmtId="164" fontId="10" fillId="0" borderId="8" xfId="2" applyNumberFormat="1" applyFont="1" applyFill="1" applyBorder="1"/>
    <xf numFmtId="164" fontId="10" fillId="0" borderId="8" xfId="2" applyNumberFormat="1" applyFont="1" applyBorder="1"/>
    <xf numFmtId="164" fontId="10" fillId="0" borderId="3" xfId="2" applyNumberFormat="1" applyFont="1" applyBorder="1"/>
    <xf numFmtId="164" fontId="10" fillId="0" borderId="3" xfId="2" applyNumberFormat="1" applyFont="1" applyFill="1" applyBorder="1"/>
    <xf numFmtId="164" fontId="6" fillId="0" borderId="2" xfId="2" quotePrefix="1" applyNumberFormat="1" applyFont="1" applyFill="1" applyBorder="1" applyAlignment="1">
      <alignment horizontal="center" wrapText="1"/>
    </xf>
    <xf numFmtId="0" fontId="10" fillId="0" borderId="8" xfId="0" quotePrefix="1" applyFont="1" applyBorder="1" applyAlignment="1">
      <alignment horizontal="left"/>
    </xf>
    <xf numFmtId="0" fontId="10" fillId="0" borderId="3" xfId="0" applyFont="1" applyBorder="1"/>
    <xf numFmtId="0" fontId="5" fillId="0" borderId="3" xfId="0" applyFont="1" applyBorder="1" applyAlignment="1">
      <alignment vertical="top"/>
    </xf>
    <xf numFmtId="0" fontId="5" fillId="0" borderId="2" xfId="0" quotePrefix="1" applyFont="1" applyBorder="1" applyAlignment="1">
      <alignment horizontal="centerContinuous" wrapText="1"/>
    </xf>
    <xf numFmtId="0" fontId="5" fillId="0" borderId="8" xfId="0" applyFont="1" applyBorder="1" applyAlignment="1">
      <alignment horizontal="center" vertical="top"/>
    </xf>
    <xf numFmtId="0" fontId="5" fillId="0" borderId="8" xfId="0" quotePrefix="1" applyFont="1" applyBorder="1" applyAlignment="1">
      <alignment horizontal="center" vertical="top"/>
    </xf>
    <xf numFmtId="0" fontId="1" fillId="0" borderId="0" xfId="0" applyFont="1"/>
    <xf numFmtId="164" fontId="1" fillId="0" borderId="0" xfId="2" applyNumberFormat="1" applyFont="1" applyFill="1" applyBorder="1"/>
    <xf numFmtId="164" fontId="1" fillId="0" borderId="0" xfId="2" applyNumberFormat="1" applyFont="1" applyFill="1"/>
    <xf numFmtId="164" fontId="1" fillId="0" borderId="0" xfId="2" quotePrefix="1" applyNumberFormat="1" applyFont="1" applyFill="1" applyAlignment="1">
      <alignment horizontal="center"/>
    </xf>
    <xf numFmtId="164" fontId="5" fillId="0" borderId="2" xfId="10" applyNumberFormat="1" applyFont="1" applyFill="1" applyBorder="1"/>
    <xf numFmtId="164" fontId="5" fillId="0" borderId="9" xfId="10" applyNumberFormat="1" applyFont="1" applyFill="1" applyBorder="1"/>
    <xf numFmtId="166" fontId="6" fillId="0" borderId="2" xfId="2" applyNumberFormat="1" applyFont="1" applyFill="1" applyBorder="1" applyAlignment="1">
      <alignment horizontal="center"/>
    </xf>
    <xf numFmtId="164" fontId="5" fillId="0" borderId="2" xfId="2" applyNumberFormat="1" applyFont="1" applyFill="1" applyBorder="1" applyAlignment="1">
      <alignment horizontal="center"/>
    </xf>
    <xf numFmtId="168" fontId="5" fillId="0" borderId="2" xfId="10" applyNumberFormat="1" applyFont="1" applyFill="1" applyBorder="1"/>
    <xf numFmtId="166" fontId="5" fillId="0" borderId="8" xfId="2" applyNumberFormat="1" applyFont="1" applyFill="1" applyBorder="1" applyAlignment="1">
      <alignment horizontal="left" indent="2"/>
    </xf>
    <xf numFmtId="169" fontId="5" fillId="0" borderId="6" xfId="0" applyNumberFormat="1" applyFont="1" applyBorder="1"/>
    <xf numFmtId="169" fontId="5" fillId="0" borderId="0" xfId="3" applyNumberFormat="1" applyFont="1" applyFill="1"/>
    <xf numFmtId="37" fontId="5" fillId="0" borderId="0" xfId="0" applyNumberFormat="1" applyFont="1"/>
    <xf numFmtId="166" fontId="5" fillId="0" borderId="9" xfId="2" applyNumberFormat="1" applyFont="1" applyFill="1" applyBorder="1"/>
    <xf numFmtId="0" fontId="6" fillId="0" borderId="9" xfId="0" quotePrefix="1" applyFont="1" applyBorder="1" applyAlignment="1">
      <alignment horizontal="left" vertical="top" wrapText="1"/>
    </xf>
    <xf numFmtId="0" fontId="6" fillId="0" borderId="9" xfId="0" applyFont="1" applyBorder="1" applyAlignment="1">
      <alignment horizontal="left" vertical="top" wrapText="1"/>
    </xf>
    <xf numFmtId="0" fontId="9" fillId="0" borderId="0" xfId="0" quotePrefix="1" applyFont="1" applyAlignment="1">
      <alignment horizontal="left"/>
    </xf>
    <xf numFmtId="0" fontId="6" fillId="0" borderId="3" xfId="0" quotePrefix="1" applyFont="1" applyBorder="1" applyAlignment="1">
      <alignment horizontal="left" vertical="top" wrapText="1"/>
    </xf>
    <xf numFmtId="0" fontId="0" fillId="0" borderId="0" xfId="0" applyAlignment="1">
      <alignment vertical="top" wrapText="1"/>
    </xf>
    <xf numFmtId="164" fontId="5" fillId="0" borderId="2" xfId="2" applyNumberFormat="1" applyFont="1" applyFill="1" applyBorder="1" applyAlignment="1">
      <alignment vertical="top"/>
    </xf>
    <xf numFmtId="0" fontId="5" fillId="0" borderId="0" xfId="0" applyFont="1" applyAlignment="1">
      <alignment vertical="top"/>
    </xf>
    <xf numFmtId="164" fontId="5" fillId="0" borderId="8" xfId="2" applyNumberFormat="1" applyFont="1" applyFill="1" applyBorder="1" applyAlignment="1">
      <alignment vertical="top"/>
    </xf>
    <xf numFmtId="0" fontId="5" fillId="0" borderId="3" xfId="0" applyFont="1" applyBorder="1" applyAlignment="1">
      <alignment horizontal="left" vertical="top"/>
    </xf>
    <xf numFmtId="0" fontId="5" fillId="0" borderId="2" xfId="0" applyFont="1" applyBorder="1" applyAlignment="1">
      <alignment horizontal="center" vertical="top"/>
    </xf>
    <xf numFmtId="0" fontId="5" fillId="0" borderId="8" xfId="0" applyFont="1" applyBorder="1" applyAlignment="1">
      <alignment vertical="top"/>
    </xf>
    <xf numFmtId="164" fontId="5" fillId="0" borderId="3" xfId="2" applyNumberFormat="1" applyFont="1" applyFill="1" applyBorder="1" applyAlignment="1">
      <alignment vertical="top"/>
    </xf>
    <xf numFmtId="0" fontId="6" fillId="0" borderId="2" xfId="0" quotePrefix="1" applyFont="1" applyBorder="1" applyAlignment="1">
      <alignment horizontal="left" vertical="top"/>
    </xf>
    <xf numFmtId="0" fontId="6" fillId="0" borderId="8" xfId="0" quotePrefix="1" applyFont="1" applyBorder="1" applyAlignment="1">
      <alignment horizontal="left" vertical="top"/>
    </xf>
    <xf numFmtId="0" fontId="5" fillId="0" borderId="3" xfId="0" quotePrefix="1" applyFont="1" applyBorder="1" applyAlignment="1">
      <alignment horizontal="center" vertical="top"/>
    </xf>
    <xf numFmtId="0" fontId="6" fillId="0" borderId="3" xfId="0" quotePrefix="1" applyFont="1" applyBorder="1" applyAlignment="1">
      <alignment horizontal="left" vertical="top"/>
    </xf>
    <xf numFmtId="164" fontId="5" fillId="0" borderId="0" xfId="2" applyNumberFormat="1" applyFont="1" applyFill="1" applyAlignment="1">
      <alignment vertical="top"/>
    </xf>
    <xf numFmtId="0" fontId="5" fillId="0" borderId="8" xfId="0" applyFont="1" applyBorder="1" applyAlignment="1">
      <alignment horizontal="left" vertical="top" indent="1"/>
    </xf>
    <xf numFmtId="0" fontId="5" fillId="0" borderId="8" xfId="0" quotePrefix="1" applyFont="1" applyBorder="1" applyAlignment="1">
      <alignment horizontal="left" vertical="top" indent="1"/>
    </xf>
    <xf numFmtId="0" fontId="8" fillId="0" borderId="9" xfId="0" applyFont="1" applyBorder="1" applyAlignment="1">
      <alignment vertical="top"/>
    </xf>
    <xf numFmtId="0" fontId="8" fillId="0" borderId="9" xfId="0" applyFont="1" applyBorder="1" applyAlignment="1">
      <alignment vertical="top" wrapText="1"/>
    </xf>
    <xf numFmtId="0" fontId="8" fillId="0" borderId="9" xfId="0" quotePrefix="1" applyFont="1" applyBorder="1" applyAlignment="1">
      <alignment horizontal="left" vertical="top" wrapText="1"/>
    </xf>
    <xf numFmtId="0" fontId="8" fillId="0" borderId="9" xfId="0" quotePrefix="1" applyFont="1" applyBorder="1" applyAlignment="1">
      <alignment horizontal="left" vertical="top"/>
    </xf>
    <xf numFmtId="0" fontId="5" fillId="0" borderId="8" xfId="0" quotePrefix="1" applyFont="1" applyBorder="1" applyAlignment="1">
      <alignment horizontal="left" vertical="top" wrapText="1"/>
    </xf>
    <xf numFmtId="170" fontId="5" fillId="0" borderId="8" xfId="0" applyNumberFormat="1" applyFont="1" applyBorder="1" applyAlignment="1">
      <alignment vertical="top"/>
    </xf>
    <xf numFmtId="166" fontId="5" fillId="0" borderId="8" xfId="0" applyNumberFormat="1" applyFont="1" applyBorder="1" applyAlignment="1">
      <alignment vertical="top"/>
    </xf>
    <xf numFmtId="49" fontId="2" fillId="0" borderId="0" xfId="0" applyNumberFormat="1" applyFont="1"/>
    <xf numFmtId="43" fontId="2" fillId="0" borderId="0" xfId="0" applyNumberFormat="1" applyFont="1"/>
    <xf numFmtId="49" fontId="2" fillId="0" borderId="4" xfId="0" quotePrefix="1" applyNumberFormat="1" applyFont="1" applyBorder="1" applyAlignment="1">
      <alignment horizontal="left"/>
    </xf>
    <xf numFmtId="0" fontId="10" fillId="0" borderId="8" xfId="0" applyFont="1" applyBorder="1" applyAlignment="1">
      <alignment horizontal="left"/>
    </xf>
    <xf numFmtId="176" fontId="10" fillId="0" borderId="8" xfId="10" applyNumberFormat="1" applyFont="1" applyFill="1" applyBorder="1" applyAlignment="1">
      <alignment horizontal="left"/>
    </xf>
    <xf numFmtId="170" fontId="5" fillId="0" borderId="4" xfId="0" applyNumberFormat="1" applyFont="1" applyBorder="1"/>
    <xf numFmtId="10" fontId="5" fillId="0" borderId="8" xfId="2" applyNumberFormat="1" applyFont="1" applyFill="1" applyBorder="1"/>
    <xf numFmtId="43" fontId="2" fillId="0" borderId="4" xfId="0" quotePrefix="1" applyNumberFormat="1" applyFont="1" applyBorder="1" applyAlignment="1">
      <alignment horizontal="left"/>
    </xf>
    <xf numFmtId="0" fontId="5" fillId="0" borderId="5" xfId="0" applyFont="1" applyBorder="1" applyAlignment="1">
      <alignment horizontal="left"/>
    </xf>
    <xf numFmtId="164" fontId="1" fillId="0" borderId="0" xfId="0" applyNumberFormat="1" applyFont="1"/>
    <xf numFmtId="164" fontId="5" fillId="0" borderId="8" xfId="2" applyNumberFormat="1" applyFont="1" applyBorder="1"/>
    <xf numFmtId="164" fontId="7" fillId="0" borderId="2" xfId="2" applyNumberFormat="1" applyFont="1" applyFill="1" applyBorder="1" applyAlignment="1">
      <alignment horizontal="center"/>
    </xf>
    <xf numFmtId="9" fontId="5" fillId="0" borderId="8" xfId="10" applyFont="1" applyFill="1" applyBorder="1" applyAlignment="1">
      <alignment horizontal="right"/>
    </xf>
    <xf numFmtId="10" fontId="5" fillId="0" borderId="8" xfId="10" applyNumberFormat="1" applyFont="1" applyFill="1" applyBorder="1" applyAlignment="1">
      <alignment horizontal="right"/>
    </xf>
    <xf numFmtId="9" fontId="5" fillId="0" borderId="9" xfId="10" applyFont="1" applyFill="1" applyBorder="1" applyAlignment="1">
      <alignment horizontal="right"/>
    </xf>
    <xf numFmtId="9" fontId="5" fillId="0" borderId="3" xfId="10" applyFont="1" applyFill="1" applyBorder="1" applyAlignment="1">
      <alignment horizontal="right"/>
    </xf>
    <xf numFmtId="43" fontId="5" fillId="0" borderId="3" xfId="2" applyFont="1" applyFill="1" applyBorder="1"/>
    <xf numFmtId="37" fontId="5" fillId="0" borderId="8" xfId="0" applyNumberFormat="1" applyFont="1" applyBorder="1" applyAlignment="1">
      <alignment horizontal="left"/>
    </xf>
    <xf numFmtId="37" fontId="6" fillId="0" borderId="8" xfId="0" applyNumberFormat="1" applyFont="1" applyBorder="1" applyAlignment="1">
      <alignment horizontal="left"/>
    </xf>
    <xf numFmtId="0" fontId="5" fillId="0" borderId="8" xfId="2" applyNumberFormat="1" applyFont="1" applyFill="1" applyBorder="1" applyAlignment="1">
      <alignment horizontal="center"/>
    </xf>
    <xf numFmtId="164" fontId="7" fillId="0" borderId="2" xfId="2" applyNumberFormat="1" applyFont="1" applyFill="1" applyBorder="1" applyAlignment="1">
      <alignment horizontal="right"/>
    </xf>
    <xf numFmtId="164" fontId="5" fillId="0" borderId="9" xfId="2" applyNumberFormat="1" applyFont="1" applyFill="1" applyBorder="1" applyAlignment="1">
      <alignment horizontal="center"/>
    </xf>
    <xf numFmtId="37" fontId="5" fillId="0" borderId="8" xfId="0" applyNumberFormat="1" applyFont="1" applyBorder="1" applyAlignment="1">
      <alignment horizontal="left" indent="2"/>
    </xf>
    <xf numFmtId="0" fontId="6" fillId="0" borderId="0" xfId="0" applyFont="1" applyAlignment="1">
      <alignment horizontal="left"/>
    </xf>
    <xf numFmtId="166" fontId="5" fillId="0" borderId="0" xfId="2" applyNumberFormat="1" applyFont="1" applyFill="1" applyBorder="1"/>
    <xf numFmtId="0" fontId="3" fillId="0" borderId="16" xfId="0" quotePrefix="1" applyFont="1" applyBorder="1" applyAlignment="1">
      <alignment horizontal="left"/>
    </xf>
    <xf numFmtId="0" fontId="13" fillId="0" borderId="8" xfId="0" applyFont="1" applyBorder="1"/>
    <xf numFmtId="184" fontId="2" fillId="0" borderId="0" xfId="0" applyNumberFormat="1" applyFont="1"/>
    <xf numFmtId="0" fontId="5" fillId="0" borderId="9" xfId="0" applyFont="1" applyBorder="1" applyAlignment="1">
      <alignment horizontal="left" wrapText="1"/>
    </xf>
    <xf numFmtId="9" fontId="5" fillId="0" borderId="2" xfId="10" quotePrefix="1" applyFont="1" applyFill="1" applyBorder="1" applyAlignment="1">
      <alignment horizontal="center" wrapText="1"/>
    </xf>
    <xf numFmtId="166" fontId="5" fillId="0" borderId="2" xfId="2" quotePrefix="1" applyNumberFormat="1" applyFont="1" applyFill="1" applyBorder="1" applyAlignment="1">
      <alignment horizontal="center" wrapText="1"/>
    </xf>
    <xf numFmtId="10" fontId="5" fillId="0" borderId="3" xfId="10" applyNumberFormat="1" applyFont="1" applyFill="1" applyBorder="1" applyAlignment="1">
      <alignment horizontal="right"/>
    </xf>
    <xf numFmtId="170" fontId="5" fillId="0" borderId="3" xfId="0" applyNumberFormat="1" applyFont="1" applyBorder="1" applyAlignment="1">
      <alignment vertical="top"/>
    </xf>
    <xf numFmtId="166" fontId="5" fillId="0" borderId="3" xfId="0" applyNumberFormat="1" applyFont="1" applyBorder="1" applyAlignment="1">
      <alignment vertical="top"/>
    </xf>
    <xf numFmtId="0" fontId="10" fillId="0" borderId="3" xfId="0" applyFont="1" applyBorder="1" applyAlignment="1">
      <alignment horizontal="center"/>
    </xf>
    <xf numFmtId="0" fontId="10" fillId="0" borderId="3" xfId="0" quotePrefix="1" applyFont="1" applyBorder="1" applyAlignment="1">
      <alignment horizontal="left" vertical="top" wrapText="1"/>
    </xf>
    <xf numFmtId="0" fontId="10" fillId="0" borderId="3" xfId="0" quotePrefix="1" applyFont="1" applyBorder="1" applyAlignment="1">
      <alignment horizontal="left"/>
    </xf>
    <xf numFmtId="0" fontId="5" fillId="0" borderId="5" xfId="0" quotePrefix="1" applyFont="1" applyBorder="1" applyAlignment="1">
      <alignment horizontal="left" vertical="top" wrapText="1"/>
    </xf>
    <xf numFmtId="3" fontId="5" fillId="0" borderId="2" xfId="0" applyNumberFormat="1" applyFont="1" applyBorder="1"/>
    <xf numFmtId="0" fontId="2" fillId="0" borderId="9" xfId="0" applyFont="1" applyBorder="1" applyAlignment="1">
      <alignment horizontal="left" wrapText="1"/>
    </xf>
    <xf numFmtId="0" fontId="2" fillId="0" borderId="9" xfId="0" quotePrefix="1" applyFont="1" applyBorder="1" applyAlignment="1">
      <alignment horizontal="left" vertical="top" wrapText="1"/>
    </xf>
    <xf numFmtId="0" fontId="8" fillId="0" borderId="9" xfId="0" applyFont="1" applyBorder="1" applyAlignment="1">
      <alignment horizontal="left" vertical="top" wrapText="1"/>
    </xf>
    <xf numFmtId="0" fontId="17" fillId="0" borderId="0" xfId="0" applyFont="1"/>
    <xf numFmtId="173" fontId="3" fillId="0" borderId="0" xfId="2" applyNumberFormat="1" applyFont="1" applyFill="1" applyBorder="1"/>
    <xf numFmtId="164" fontId="5" fillId="0" borderId="0" xfId="0" applyNumberFormat="1" applyFont="1" applyAlignment="1">
      <alignment horizontal="center"/>
    </xf>
    <xf numFmtId="165" fontId="3" fillId="0" borderId="4" xfId="2" applyNumberFormat="1" applyFont="1" applyFill="1" applyBorder="1"/>
    <xf numFmtId="165" fontId="3" fillId="0" borderId="15" xfId="2" applyNumberFormat="1" applyFont="1" applyFill="1" applyBorder="1"/>
    <xf numFmtId="165" fontId="3" fillId="0" borderId="14" xfId="2" applyNumberFormat="1" applyFont="1" applyFill="1" applyBorder="1"/>
    <xf numFmtId="165" fontId="3" fillId="0" borderId="0" xfId="2" applyNumberFormat="1" applyFont="1" applyFill="1" applyBorder="1" applyAlignment="1">
      <alignment horizontal="center"/>
    </xf>
    <xf numFmtId="165" fontId="5" fillId="0" borderId="8" xfId="2" applyNumberFormat="1" applyFont="1" applyFill="1" applyBorder="1"/>
    <xf numFmtId="165" fontId="5" fillId="0" borderId="8" xfId="2" applyNumberFormat="1" applyFont="1" applyFill="1" applyBorder="1" applyAlignment="1">
      <alignment horizontal="left" indent="1"/>
    </xf>
    <xf numFmtId="165" fontId="5" fillId="0" borderId="0" xfId="2" applyNumberFormat="1" applyFont="1" applyFill="1"/>
    <xf numFmtId="164" fontId="5" fillId="0" borderId="3" xfId="2" applyNumberFormat="1" applyFont="1" applyBorder="1"/>
    <xf numFmtId="0" fontId="1" fillId="0" borderId="0" xfId="9"/>
    <xf numFmtId="0" fontId="2" fillId="0" borderId="0" xfId="9" applyFont="1"/>
    <xf numFmtId="0" fontId="1" fillId="0" borderId="0" xfId="9" quotePrefix="1" applyAlignment="1">
      <alignment horizontal="left"/>
    </xf>
    <xf numFmtId="164" fontId="1" fillId="0" borderId="0" xfId="9" applyNumberFormat="1"/>
    <xf numFmtId="0" fontId="4" fillId="0" borderId="0" xfId="9" applyFont="1"/>
    <xf numFmtId="3" fontId="1" fillId="0" borderId="0" xfId="9" quotePrefix="1" applyNumberFormat="1" applyAlignment="1">
      <alignment horizontal="left"/>
    </xf>
    <xf numFmtId="3" fontId="4" fillId="0" borderId="0" xfId="9" applyNumberFormat="1" applyFont="1"/>
    <xf numFmtId="3" fontId="1" fillId="0" borderId="0" xfId="9" applyNumberFormat="1"/>
    <xf numFmtId="3" fontId="1" fillId="0" borderId="0" xfId="9" applyNumberFormat="1" applyAlignment="1">
      <alignment horizontal="left"/>
    </xf>
    <xf numFmtId="43" fontId="2" fillId="0" borderId="0" xfId="9" applyNumberFormat="1" applyFont="1"/>
    <xf numFmtId="0" fontId="2" fillId="0" borderId="0" xfId="9" applyFont="1" applyAlignment="1">
      <alignment horizontal="left"/>
    </xf>
    <xf numFmtId="0" fontId="1" fillId="0" borderId="0" xfId="9" applyAlignment="1">
      <alignment horizontal="center"/>
    </xf>
    <xf numFmtId="0" fontId="2" fillId="0" borderId="0" xfId="9" quotePrefix="1" applyFont="1" applyAlignment="1">
      <alignment horizontal="center" wrapText="1"/>
    </xf>
    <xf numFmtId="0" fontId="2" fillId="0" borderId="0" xfId="9" applyFont="1" applyAlignment="1">
      <alignment horizontal="center" wrapText="1"/>
    </xf>
    <xf numFmtId="0" fontId="6" fillId="0" borderId="0" xfId="9" applyFont="1" applyAlignment="1">
      <alignment horizontal="left"/>
    </xf>
    <xf numFmtId="164" fontId="5" fillId="0" borderId="0" xfId="2" applyNumberFormat="1" applyFont="1"/>
    <xf numFmtId="0" fontId="5" fillId="0" borderId="0" xfId="9" quotePrefix="1" applyFont="1" applyAlignment="1">
      <alignment horizontal="left"/>
    </xf>
    <xf numFmtId="0" fontId="5" fillId="0" borderId="0" xfId="9" applyFont="1"/>
    <xf numFmtId="171" fontId="1" fillId="0" borderId="0" xfId="9" applyNumberFormat="1"/>
    <xf numFmtId="0" fontId="6" fillId="0" borderId="9" xfId="9" applyFont="1" applyBorder="1" applyAlignment="1">
      <alignment horizontal="center" wrapText="1"/>
    </xf>
    <xf numFmtId="0" fontId="6" fillId="0" borderId="9" xfId="9" quotePrefix="1" applyFont="1" applyBorder="1" applyAlignment="1">
      <alignment horizontal="center" wrapText="1"/>
    </xf>
    <xf numFmtId="0" fontId="5" fillId="0" borderId="2" xfId="9" quotePrefix="1" applyFont="1" applyBorder="1" applyAlignment="1">
      <alignment horizontal="center" wrapText="1"/>
    </xf>
    <xf numFmtId="0" fontId="5" fillId="0" borderId="2" xfId="9" quotePrefix="1" applyFont="1" applyBorder="1" applyAlignment="1">
      <alignment horizontal="left" wrapText="1"/>
    </xf>
    <xf numFmtId="176" fontId="5" fillId="0" borderId="2" xfId="9" applyNumberFormat="1" applyFont="1" applyBorder="1" applyAlignment="1">
      <alignment horizontal="center"/>
    </xf>
    <xf numFmtId="0" fontId="5" fillId="0" borderId="3" xfId="9" applyFont="1" applyBorder="1" applyAlignment="1">
      <alignment horizontal="center" wrapText="1"/>
    </xf>
    <xf numFmtId="0" fontId="5" fillId="0" borderId="3" xfId="9" applyFont="1" applyBorder="1" applyAlignment="1">
      <alignment horizontal="left" wrapText="1"/>
    </xf>
    <xf numFmtId="0" fontId="5" fillId="0" borderId="3" xfId="9" quotePrefix="1" applyFont="1" applyBorder="1" applyAlignment="1">
      <alignment horizontal="center" wrapText="1"/>
    </xf>
    <xf numFmtId="0" fontId="5" fillId="0" borderId="8" xfId="9" applyFont="1" applyBorder="1" applyAlignment="1">
      <alignment horizontal="center" wrapText="1"/>
    </xf>
    <xf numFmtId="0" fontId="5" fillId="0" borderId="8" xfId="9" applyFont="1" applyBorder="1" applyAlignment="1">
      <alignment horizontal="left" wrapText="1"/>
    </xf>
    <xf numFmtId="0" fontId="5" fillId="0" borderId="8" xfId="9" quotePrefix="1" applyFont="1" applyBorder="1" applyAlignment="1">
      <alignment horizontal="center" wrapText="1"/>
    </xf>
    <xf numFmtId="0" fontId="5" fillId="0" borderId="8" xfId="9" applyFont="1" applyBorder="1" applyAlignment="1">
      <alignment horizontal="center"/>
    </xf>
    <xf numFmtId="0" fontId="5" fillId="0" borderId="8" xfId="9" applyFont="1" applyBorder="1" applyAlignment="1">
      <alignment horizontal="left" indent="1"/>
    </xf>
    <xf numFmtId="164" fontId="5" fillId="0" borderId="8" xfId="9" applyNumberFormat="1" applyFont="1" applyBorder="1"/>
    <xf numFmtId="170" fontId="5" fillId="0" borderId="8" xfId="2" applyNumberFormat="1" applyFont="1" applyFill="1" applyBorder="1"/>
    <xf numFmtId="0" fontId="5" fillId="0" borderId="8" xfId="9" quotePrefix="1" applyFont="1" applyBorder="1" applyAlignment="1">
      <alignment horizontal="left" indent="1"/>
    </xf>
    <xf numFmtId="37" fontId="5" fillId="0" borderId="8" xfId="9" applyNumberFormat="1" applyFont="1" applyBorder="1"/>
    <xf numFmtId="0" fontId="5" fillId="0" borderId="3" xfId="9" applyFont="1" applyBorder="1" applyAlignment="1">
      <alignment horizontal="center"/>
    </xf>
    <xf numFmtId="0" fontId="5" fillId="0" borderId="3" xfId="9" applyFont="1" applyBorder="1" applyAlignment="1">
      <alignment horizontal="left" indent="1"/>
    </xf>
    <xf numFmtId="37" fontId="5" fillId="0" borderId="3" xfId="9" applyNumberFormat="1" applyFont="1" applyBorder="1"/>
    <xf numFmtId="164" fontId="5" fillId="0" borderId="3" xfId="9" applyNumberFormat="1" applyFont="1" applyBorder="1"/>
    <xf numFmtId="170" fontId="5" fillId="0" borderId="3" xfId="2" applyNumberFormat="1" applyFont="1" applyFill="1" applyBorder="1"/>
    <xf numFmtId="0" fontId="5" fillId="0" borderId="2" xfId="9" applyFont="1" applyBorder="1" applyAlignment="1">
      <alignment horizontal="center"/>
    </xf>
    <xf numFmtId="0" fontId="5" fillId="0" borderId="2" xfId="9" quotePrefix="1" applyFont="1" applyBorder="1" applyAlignment="1">
      <alignment horizontal="left" indent="1"/>
    </xf>
    <xf numFmtId="0" fontId="5" fillId="0" borderId="2" xfId="9" applyFont="1" applyBorder="1"/>
    <xf numFmtId="164" fontId="5" fillId="0" borderId="2" xfId="2" applyNumberFormat="1" applyFont="1" applyBorder="1"/>
    <xf numFmtId="0" fontId="5" fillId="0" borderId="8" xfId="9" applyFont="1" applyBorder="1"/>
    <xf numFmtId="0" fontId="5" fillId="0" borderId="3" xfId="9" quotePrefix="1" applyFont="1" applyBorder="1" applyAlignment="1">
      <alignment horizontal="left" indent="1"/>
    </xf>
    <xf numFmtId="0" fontId="5" fillId="0" borderId="3" xfId="9" applyFont="1" applyBorder="1"/>
    <xf numFmtId="43" fontId="18" fillId="0" borderId="7" xfId="0" applyNumberFormat="1" applyFont="1" applyBorder="1" applyAlignment="1">
      <alignment horizontal="center"/>
    </xf>
    <xf numFmtId="0" fontId="2" fillId="0" borderId="10" xfId="0" applyFont="1" applyBorder="1"/>
    <xf numFmtId="173" fontId="3" fillId="0" borderId="6" xfId="2" applyNumberFormat="1" applyFont="1" applyFill="1" applyBorder="1"/>
    <xf numFmtId="170" fontId="1" fillId="0" borderId="9" xfId="9" applyNumberFormat="1" applyBorder="1"/>
    <xf numFmtId="0" fontId="6" fillId="0" borderId="8" xfId="0" applyFont="1" applyBorder="1" applyAlignment="1">
      <alignment horizontal="left" indent="2"/>
    </xf>
    <xf numFmtId="165" fontId="3" fillId="2" borderId="4" xfId="2" applyNumberFormat="1" applyFont="1" applyFill="1" applyBorder="1"/>
    <xf numFmtId="165" fontId="3" fillId="2" borderId="14" xfId="2" applyNumberFormat="1" applyFont="1" applyFill="1" applyBorder="1"/>
    <xf numFmtId="165" fontId="3" fillId="2" borderId="6" xfId="2" applyNumberFormat="1" applyFont="1" applyFill="1" applyBorder="1"/>
    <xf numFmtId="165" fontId="3" fillId="2" borderId="15" xfId="2" applyNumberFormat="1" applyFont="1" applyFill="1" applyBorder="1"/>
    <xf numFmtId="165" fontId="3" fillId="2" borderId="7" xfId="2" applyNumberFormat="1" applyFont="1" applyFill="1" applyBorder="1" applyAlignment="1">
      <alignment horizontal="center"/>
    </xf>
    <xf numFmtId="43" fontId="5" fillId="0" borderId="9" xfId="2" applyFont="1" applyFill="1" applyBorder="1" applyAlignment="1">
      <alignment horizontal="center"/>
    </xf>
    <xf numFmtId="37" fontId="5" fillId="0" borderId="8" xfId="2" applyNumberFormat="1" applyFont="1" applyFill="1" applyBorder="1" applyAlignment="1">
      <alignment horizontal="right"/>
    </xf>
    <xf numFmtId="37" fontId="5" fillId="0" borderId="3" xfId="2" applyNumberFormat="1" applyFont="1" applyFill="1" applyBorder="1" applyAlignment="1">
      <alignment horizontal="right"/>
    </xf>
    <xf numFmtId="37" fontId="5" fillId="0" borderId="9" xfId="2" applyNumberFormat="1" applyFont="1" applyFill="1" applyBorder="1" applyAlignment="1">
      <alignment horizontal="right"/>
    </xf>
    <xf numFmtId="37" fontId="5" fillId="0" borderId="8" xfId="2" applyNumberFormat="1" applyFont="1" applyFill="1" applyBorder="1"/>
    <xf numFmtId="37" fontId="6" fillId="0" borderId="9" xfId="0" applyNumberFormat="1" applyFont="1" applyBorder="1" applyAlignment="1">
      <alignment horizontal="left"/>
    </xf>
    <xf numFmtId="37" fontId="5" fillId="0" borderId="3" xfId="0" applyNumberFormat="1" applyFont="1" applyBorder="1" applyAlignment="1">
      <alignment horizontal="left" indent="2"/>
    </xf>
    <xf numFmtId="37" fontId="5" fillId="0" borderId="3" xfId="0" applyNumberFormat="1" applyFont="1" applyBorder="1" applyAlignment="1">
      <alignment horizontal="left" indent="1"/>
    </xf>
    <xf numFmtId="0" fontId="5" fillId="0" borderId="3" xfId="0" applyFont="1" applyBorder="1" applyAlignment="1">
      <alignment horizontal="left"/>
    </xf>
    <xf numFmtId="0" fontId="6" fillId="0" borderId="0" xfId="0" applyFont="1" applyAlignment="1">
      <alignment horizontal="centerContinuous"/>
    </xf>
    <xf numFmtId="164" fontId="5" fillId="0" borderId="9" xfId="2" applyNumberFormat="1" applyFont="1" applyFill="1" applyBorder="1" applyAlignment="1">
      <alignment wrapText="1"/>
    </xf>
    <xf numFmtId="171" fontId="6" fillId="0" borderId="8" xfId="2" applyNumberFormat="1" applyFont="1" applyFill="1" applyBorder="1"/>
    <xf numFmtId="164" fontId="3" fillId="0" borderId="0" xfId="2" applyNumberFormat="1" applyFont="1" applyFill="1" applyBorder="1"/>
    <xf numFmtId="164" fontId="5" fillId="0" borderId="13" xfId="2" applyNumberFormat="1" applyFont="1" applyFill="1" applyBorder="1"/>
    <xf numFmtId="164" fontId="5" fillId="0" borderId="5" xfId="2" applyNumberFormat="1" applyFont="1" applyFill="1" applyBorder="1"/>
    <xf numFmtId="164" fontId="5" fillId="0" borderId="12" xfId="2" applyNumberFormat="1" applyFont="1" applyFill="1" applyBorder="1"/>
    <xf numFmtId="165" fontId="5" fillId="0" borderId="5" xfId="2" quotePrefix="1" applyNumberFormat="1" applyFont="1" applyFill="1" applyBorder="1" applyAlignment="1">
      <alignment horizontal="center" vertical="top" wrapText="1"/>
    </xf>
    <xf numFmtId="0" fontId="2" fillId="0" borderId="13" xfId="0" quotePrefix="1" applyFont="1" applyBorder="1" applyAlignment="1">
      <alignment horizontal="left"/>
    </xf>
    <xf numFmtId="165" fontId="3" fillId="0" borderId="15" xfId="2" applyNumberFormat="1" applyFont="1" applyFill="1" applyBorder="1" applyAlignment="1">
      <alignment horizontal="center"/>
    </xf>
    <xf numFmtId="0" fontId="3" fillId="0" borderId="5" xfId="0" applyFont="1" applyBorder="1" applyAlignment="1">
      <alignment horizontal="left"/>
    </xf>
    <xf numFmtId="165" fontId="18" fillId="0" borderId="0" xfId="0" applyNumberFormat="1" applyFont="1"/>
    <xf numFmtId="0" fontId="3" fillId="0" borderId="12" xfId="0" applyFont="1" applyBorder="1"/>
    <xf numFmtId="165" fontId="3" fillId="0" borderId="1" xfId="2" applyNumberFormat="1" applyFont="1" applyFill="1" applyBorder="1"/>
    <xf numFmtId="165" fontId="3" fillId="0" borderId="14" xfId="0" applyNumberFormat="1" applyFont="1" applyBorder="1"/>
    <xf numFmtId="0" fontId="18" fillId="0" borderId="1" xfId="0" applyFont="1" applyBorder="1"/>
    <xf numFmtId="165" fontId="3" fillId="0" borderId="1" xfId="0" applyNumberFormat="1" applyFont="1" applyBorder="1"/>
    <xf numFmtId="0" fontId="18" fillId="0" borderId="0" xfId="0" applyFont="1"/>
    <xf numFmtId="0" fontId="2" fillId="0" borderId="13" xfId="0" applyFont="1" applyBorder="1"/>
    <xf numFmtId="173" fontId="2" fillId="0" borderId="15" xfId="2" quotePrefix="1" applyNumberFormat="1" applyFont="1" applyFill="1" applyBorder="1" applyAlignment="1">
      <alignment horizontal="center"/>
    </xf>
    <xf numFmtId="0" fontId="1" fillId="0" borderId="5" xfId="11" applyBorder="1"/>
    <xf numFmtId="0" fontId="3" fillId="0" borderId="5" xfId="0" quotePrefix="1" applyFont="1" applyBorder="1" applyAlignment="1">
      <alignment horizontal="left"/>
    </xf>
    <xf numFmtId="0" fontId="3" fillId="0" borderId="10" xfId="0" quotePrefix="1" applyFont="1" applyBorder="1" applyAlignment="1">
      <alignment horizontal="left"/>
    </xf>
    <xf numFmtId="165" fontId="3" fillId="0" borderId="11" xfId="2" applyNumberFormat="1" applyFont="1" applyFill="1" applyBorder="1"/>
    <xf numFmtId="170" fontId="3" fillId="0" borderId="5" xfId="0" applyNumberFormat="1" applyFont="1" applyBorder="1"/>
    <xf numFmtId="0" fontId="2" fillId="0" borderId="5" xfId="0" quotePrefix="1" applyFont="1" applyBorder="1" applyAlignment="1">
      <alignment horizontal="left"/>
    </xf>
    <xf numFmtId="0" fontId="1" fillId="0" borderId="5" xfId="0" applyFont="1" applyBorder="1" applyAlignment="1">
      <alignment horizontal="left"/>
    </xf>
    <xf numFmtId="0" fontId="3" fillId="0" borderId="12" xfId="0" quotePrefix="1" applyFont="1" applyBorder="1" applyAlignment="1">
      <alignment horizontal="left"/>
    </xf>
    <xf numFmtId="0" fontId="2" fillId="0" borderId="13" xfId="0" applyFont="1" applyBorder="1" applyAlignment="1">
      <alignment horizontal="left"/>
    </xf>
    <xf numFmtId="0" fontId="3" fillId="0" borderId="12" xfId="0" applyFont="1" applyBorder="1" applyAlignment="1">
      <alignment horizontal="left"/>
    </xf>
    <xf numFmtId="165" fontId="3" fillId="2" borderId="11" xfId="2" applyNumberFormat="1" applyFont="1" applyFill="1" applyBorder="1"/>
    <xf numFmtId="0" fontId="2" fillId="0" borderId="5" xfId="0" applyFont="1" applyBorder="1" applyAlignment="1">
      <alignment horizontal="left"/>
    </xf>
    <xf numFmtId="176" fontId="3" fillId="0" borderId="5" xfId="10" applyNumberFormat="1" applyFont="1" applyFill="1" applyBorder="1" applyAlignment="1">
      <alignment horizontal="left"/>
    </xf>
    <xf numFmtId="0" fontId="2" fillId="0" borderId="1" xfId="0" applyFont="1" applyBorder="1"/>
    <xf numFmtId="173" fontId="2" fillId="0" borderId="1" xfId="2" applyNumberFormat="1" applyFont="1" applyFill="1" applyBorder="1"/>
    <xf numFmtId="171" fontId="21" fillId="0" borderId="0" xfId="2" applyNumberFormat="1" applyFont="1" applyFill="1" applyBorder="1"/>
    <xf numFmtId="164" fontId="5" fillId="0" borderId="5" xfId="10" applyNumberFormat="1" applyFont="1" applyFill="1" applyBorder="1"/>
    <xf numFmtId="164" fontId="5" fillId="0" borderId="10" xfId="2" applyNumberFormat="1" applyFont="1" applyFill="1" applyBorder="1"/>
    <xf numFmtId="164" fontId="3" fillId="0" borderId="0" xfId="2" applyNumberFormat="1" applyFont="1"/>
    <xf numFmtId="164" fontId="3" fillId="0" borderId="0" xfId="2" applyNumberFormat="1" applyFont="1" applyAlignment="1">
      <alignment horizontal="center"/>
    </xf>
    <xf numFmtId="164" fontId="6" fillId="0" borderId="9" xfId="2" applyNumberFormat="1" applyFont="1" applyBorder="1" applyAlignment="1">
      <alignment horizontal="center" wrapText="1"/>
    </xf>
    <xf numFmtId="164" fontId="5" fillId="0" borderId="2" xfId="2" applyNumberFormat="1" applyFont="1" applyBorder="1" applyAlignment="1">
      <alignment horizontal="center"/>
    </xf>
    <xf numFmtId="164" fontId="5" fillId="0" borderId="8" xfId="2" quotePrefix="1" applyNumberFormat="1" applyFont="1" applyBorder="1" applyAlignment="1">
      <alignment horizontal="center" wrapText="1"/>
    </xf>
    <xf numFmtId="164" fontId="5" fillId="0" borderId="3" xfId="2" quotePrefix="1" applyNumberFormat="1" applyFont="1" applyBorder="1" applyAlignment="1">
      <alignment horizontal="center" vertical="top" wrapText="1"/>
    </xf>
    <xf numFmtId="164" fontId="5" fillId="0" borderId="9" xfId="2" applyNumberFormat="1" applyFont="1" applyBorder="1"/>
    <xf numFmtId="164" fontId="5" fillId="0" borderId="3" xfId="2" applyNumberFormat="1" applyFont="1" applyBorder="1" applyAlignment="1">
      <alignment horizontal="center" wrapText="1"/>
    </xf>
    <xf numFmtId="164" fontId="5" fillId="0" borderId="9" xfId="2" applyNumberFormat="1" applyFont="1" applyBorder="1" applyAlignment="1">
      <alignment wrapText="1"/>
    </xf>
    <xf numFmtId="43" fontId="5" fillId="0" borderId="8" xfId="0" quotePrefix="1" applyNumberFormat="1" applyFont="1" applyBorder="1" applyAlignment="1">
      <alignment horizontal="center" wrapText="1"/>
    </xf>
    <xf numFmtId="0" fontId="5" fillId="0" borderId="10" xfId="0" applyFont="1" applyBorder="1"/>
    <xf numFmtId="176" fontId="5" fillId="0" borderId="13" xfId="0" applyNumberFormat="1" applyFont="1" applyBorder="1" applyAlignment="1">
      <alignment horizontal="center"/>
    </xf>
    <xf numFmtId="0" fontId="6" fillId="0" borderId="3" xfId="0" quotePrefix="1" applyFont="1" applyBorder="1" applyAlignment="1">
      <alignment horizontal="center" wrapText="1"/>
    </xf>
    <xf numFmtId="0" fontId="6" fillId="0" borderId="13" xfId="0" quotePrefix="1" applyFont="1" applyBorder="1" applyAlignment="1">
      <alignment horizontal="center"/>
    </xf>
    <xf numFmtId="0" fontId="6" fillId="0" borderId="5" xfId="0" quotePrefix="1" applyFont="1" applyBorder="1" applyAlignment="1">
      <alignment horizontal="center"/>
    </xf>
    <xf numFmtId="164" fontId="5" fillId="0" borderId="4" xfId="0" applyNumberFormat="1" applyFont="1" applyBorder="1"/>
    <xf numFmtId="0" fontId="6" fillId="0" borderId="13" xfId="0" applyFont="1" applyBorder="1" applyAlignment="1">
      <alignment horizontal="right"/>
    </xf>
    <xf numFmtId="0" fontId="6" fillId="0" borderId="5" xfId="0" applyFont="1" applyBorder="1" applyAlignment="1">
      <alignment horizontal="right"/>
    </xf>
    <xf numFmtId="0" fontId="6" fillId="0" borderId="12" xfId="0" applyFont="1" applyBorder="1"/>
    <xf numFmtId="0" fontId="6" fillId="0" borderId="8" xfId="0" quotePrefix="1" applyFont="1" applyBorder="1" applyAlignment="1">
      <alignment horizontal="left" wrapText="1"/>
    </xf>
    <xf numFmtId="0" fontId="6" fillId="0" borderId="5" xfId="0" applyFont="1" applyBorder="1"/>
    <xf numFmtId="164" fontId="5" fillId="0" borderId="14" xfId="0" applyNumberFormat="1" applyFont="1" applyBorder="1"/>
    <xf numFmtId="0" fontId="5" fillId="0" borderId="7" xfId="0" quotePrefix="1" applyFont="1" applyBorder="1" applyAlignment="1">
      <alignment horizontal="center"/>
    </xf>
    <xf numFmtId="0" fontId="5" fillId="0" borderId="7" xfId="0" quotePrefix="1" applyFont="1" applyBorder="1" applyAlignment="1">
      <alignment horizontal="left"/>
    </xf>
    <xf numFmtId="0" fontId="6" fillId="0" borderId="10" xfId="0" applyFont="1" applyBorder="1" applyAlignment="1">
      <alignment horizontal="centerContinuous"/>
    </xf>
    <xf numFmtId="0" fontId="5" fillId="0" borderId="6" xfId="0" applyFont="1" applyBorder="1" applyAlignment="1">
      <alignment horizontal="centerContinuous"/>
    </xf>
    <xf numFmtId="0" fontId="5" fillId="0" borderId="11" xfId="0" applyFont="1" applyBorder="1" applyAlignment="1">
      <alignment horizontal="centerContinuous"/>
    </xf>
    <xf numFmtId="0" fontId="6" fillId="0" borderId="6" xfId="0" applyFont="1" applyBorder="1" applyAlignment="1">
      <alignment horizontal="centerContinuous"/>
    </xf>
    <xf numFmtId="0" fontId="6" fillId="0" borderId="0" xfId="0" quotePrefix="1" applyFont="1" applyAlignment="1">
      <alignment horizontal="center" wrapText="1"/>
    </xf>
    <xf numFmtId="0" fontId="6" fillId="0" borderId="8" xfId="0" applyFont="1" applyBorder="1" applyAlignment="1">
      <alignment horizontal="center"/>
    </xf>
    <xf numFmtId="0" fontId="6" fillId="0" borderId="3" xfId="0" applyFont="1" applyBorder="1" applyAlignment="1">
      <alignment horizontal="center" vertical="top" wrapText="1"/>
    </xf>
    <xf numFmtId="0" fontId="6" fillId="0" borderId="8" xfId="0" applyFont="1" applyBorder="1" applyAlignment="1">
      <alignment horizontal="left" indent="3"/>
    </xf>
    <xf numFmtId="0" fontId="5" fillId="0" borderId="8" xfId="0" quotePrefix="1" applyFont="1" applyBorder="1" applyAlignment="1">
      <alignment horizontal="left" wrapText="1" indent="2"/>
    </xf>
    <xf numFmtId="0" fontId="6" fillId="0" borderId="8" xfId="0" quotePrefix="1" applyFont="1" applyBorder="1" applyAlignment="1">
      <alignment horizontal="left" indent="3"/>
    </xf>
    <xf numFmtId="0" fontId="5" fillId="0" borderId="3" xfId="0" quotePrefix="1" applyFont="1" applyBorder="1" applyAlignment="1">
      <alignment horizontal="left" wrapText="1" indent="2"/>
    </xf>
    <xf numFmtId="170" fontId="5" fillId="0" borderId="2" xfId="9" applyNumberFormat="1" applyFont="1" applyBorder="1"/>
    <xf numFmtId="170" fontId="5" fillId="0" borderId="8" xfId="9" applyNumberFormat="1" applyFont="1" applyBorder="1"/>
    <xf numFmtId="170" fontId="5" fillId="0" borderId="3" xfId="9" applyNumberFormat="1" applyFont="1" applyBorder="1"/>
    <xf numFmtId="166" fontId="10" fillId="0" borderId="8" xfId="2" applyNumberFormat="1" applyFont="1" applyFill="1" applyBorder="1"/>
    <xf numFmtId="166" fontId="10" fillId="0" borderId="3" xfId="2" applyNumberFormat="1" applyFont="1" applyFill="1" applyBorder="1"/>
    <xf numFmtId="171" fontId="6" fillId="0" borderId="3" xfId="2" applyNumberFormat="1" applyFont="1" applyFill="1" applyBorder="1"/>
    <xf numFmtId="165" fontId="6" fillId="0" borderId="8" xfId="2" applyNumberFormat="1" applyFont="1" applyFill="1" applyBorder="1" applyAlignment="1">
      <alignment horizontal="center"/>
    </xf>
    <xf numFmtId="171" fontId="6" fillId="0" borderId="3" xfId="2" applyNumberFormat="1" applyFont="1" applyFill="1" applyBorder="1" applyAlignment="1">
      <alignment horizontal="right"/>
    </xf>
    <xf numFmtId="0" fontId="5" fillId="0" borderId="0" xfId="0" quotePrefix="1" applyFont="1" applyAlignment="1">
      <alignment horizontal="left" wrapText="1"/>
    </xf>
    <xf numFmtId="0" fontId="2" fillId="0" borderId="10" xfId="0" quotePrefix="1" applyFont="1" applyBorder="1" applyAlignment="1">
      <alignment horizontal="left"/>
    </xf>
    <xf numFmtId="173" fontId="2" fillId="0" borderId="11" xfId="2" quotePrefix="1" applyNumberFormat="1" applyFont="1" applyFill="1" applyBorder="1" applyAlignment="1">
      <alignment horizontal="center"/>
    </xf>
    <xf numFmtId="171" fontId="3" fillId="0" borderId="0" xfId="0" applyNumberFormat="1" applyFont="1"/>
    <xf numFmtId="165" fontId="3" fillId="0" borderId="9" xfId="2" applyNumberFormat="1" applyFont="1" applyFill="1" applyBorder="1"/>
    <xf numFmtId="0" fontId="2" fillId="0" borderId="9" xfId="0" quotePrefix="1" applyFont="1" applyBorder="1" applyAlignment="1">
      <alignment horizontal="left"/>
    </xf>
    <xf numFmtId="165" fontId="2" fillId="0" borderId="9" xfId="2" quotePrefix="1" applyNumberFormat="1" applyFont="1" applyFill="1" applyBorder="1" applyAlignment="1">
      <alignment horizontal="center"/>
    </xf>
    <xf numFmtId="0" fontId="1" fillId="0" borderId="8" xfId="0" applyFont="1" applyBorder="1" applyAlignment="1">
      <alignment horizontal="left"/>
    </xf>
    <xf numFmtId="43" fontId="1" fillId="0" borderId="8" xfId="0" applyNumberFormat="1" applyFont="1" applyBorder="1"/>
    <xf numFmtId="0" fontId="1" fillId="0" borderId="8" xfId="0" applyFont="1" applyBorder="1"/>
    <xf numFmtId="0" fontId="1" fillId="0" borderId="8" xfId="0" quotePrefix="1" applyFont="1" applyBorder="1" applyAlignment="1">
      <alignment horizontal="left"/>
    </xf>
    <xf numFmtId="0" fontId="1" fillId="0" borderId="3" xfId="0" quotePrefix="1" applyFont="1" applyBorder="1" applyAlignment="1">
      <alignment horizontal="left" vertical="top" wrapText="1"/>
    </xf>
    <xf numFmtId="43" fontId="1" fillId="0" borderId="3" xfId="0" applyNumberFormat="1" applyFont="1" applyBorder="1"/>
    <xf numFmtId="0" fontId="1" fillId="0" borderId="0" xfId="0" quotePrefix="1" applyFont="1" applyAlignment="1">
      <alignment horizontal="left"/>
    </xf>
    <xf numFmtId="169" fontId="1" fillId="0" borderId="0" xfId="0" applyNumberFormat="1" applyFont="1"/>
    <xf numFmtId="0" fontId="1" fillId="0" borderId="5" xfId="0" applyFont="1" applyBorder="1"/>
    <xf numFmtId="0" fontId="1" fillId="0" borderId="0" xfId="0" applyFont="1" applyAlignment="1">
      <alignment horizontal="left"/>
    </xf>
    <xf numFmtId="169" fontId="1" fillId="0" borderId="0" xfId="3" applyNumberFormat="1" applyFont="1" applyFill="1"/>
    <xf numFmtId="166" fontId="1" fillId="0" borderId="0" xfId="3" applyNumberFormat="1" applyFont="1" applyFill="1"/>
    <xf numFmtId="9" fontId="1" fillId="0" borderId="0" xfId="10" applyFont="1" applyFill="1"/>
    <xf numFmtId="170" fontId="1" fillId="0" borderId="0" xfId="0" applyNumberFormat="1" applyFont="1"/>
    <xf numFmtId="176" fontId="5" fillId="0" borderId="2" xfId="2" applyNumberFormat="1" applyFont="1" applyFill="1" applyBorder="1" applyAlignment="1">
      <alignment horizontal="center"/>
    </xf>
    <xf numFmtId="0" fontId="5" fillId="0" borderId="1" xfId="0" applyFont="1" applyBorder="1" applyAlignment="1">
      <alignment wrapText="1"/>
    </xf>
    <xf numFmtId="0" fontId="5" fillId="0" borderId="14" xfId="0" applyFont="1" applyBorder="1" applyAlignment="1">
      <alignment wrapText="1"/>
    </xf>
    <xf numFmtId="0" fontId="6" fillId="0" borderId="0" xfId="0" applyFont="1" applyAlignment="1">
      <alignment wrapText="1"/>
    </xf>
    <xf numFmtId="164" fontId="6" fillId="0" borderId="2" xfId="2" applyNumberFormat="1" applyFont="1" applyBorder="1"/>
    <xf numFmtId="0" fontId="5" fillId="0" borderId="2" xfId="0" applyFont="1" applyBorder="1" applyAlignment="1">
      <alignment wrapText="1"/>
    </xf>
    <xf numFmtId="0" fontId="5" fillId="0" borderId="3" xfId="0" applyFont="1" applyBorder="1" applyAlignment="1">
      <alignment horizontal="center" wrapText="1"/>
    </xf>
    <xf numFmtId="168" fontId="5" fillId="0" borderId="13" xfId="10" applyNumberFormat="1" applyFont="1" applyFill="1" applyBorder="1"/>
    <xf numFmtId="10" fontId="5" fillId="0" borderId="15" xfId="10" applyNumberFormat="1" applyFont="1" applyFill="1" applyBorder="1"/>
    <xf numFmtId="175" fontId="5" fillId="0" borderId="0" xfId="0" applyNumberFormat="1" applyFont="1" applyAlignment="1">
      <alignment horizontal="center"/>
    </xf>
    <xf numFmtId="3" fontId="5" fillId="0" borderId="0" xfId="0" applyNumberFormat="1" applyFont="1" applyAlignment="1">
      <alignment horizontal="center"/>
    </xf>
    <xf numFmtId="168" fontId="5" fillId="0" borderId="3" xfId="10" applyNumberFormat="1" applyFont="1" applyFill="1" applyBorder="1"/>
    <xf numFmtId="176" fontId="5" fillId="0" borderId="0" xfId="0" quotePrefix="1" applyNumberFormat="1" applyFont="1" applyAlignment="1">
      <alignment horizontal="center"/>
    </xf>
    <xf numFmtId="0" fontId="5" fillId="0" borderId="7" xfId="0" quotePrefix="1" applyFont="1" applyBorder="1" applyAlignment="1">
      <alignment horizontal="left" wrapText="1"/>
    </xf>
    <xf numFmtId="176" fontId="5" fillId="0" borderId="8" xfId="0" quotePrefix="1" applyNumberFormat="1" applyFont="1" applyBorder="1" applyAlignment="1">
      <alignment horizontal="center"/>
    </xf>
    <xf numFmtId="164" fontId="5" fillId="0" borderId="8" xfId="0" quotePrefix="1" applyNumberFormat="1" applyFont="1" applyBorder="1" applyAlignment="1">
      <alignment horizontal="center" wrapText="1"/>
    </xf>
    <xf numFmtId="176" fontId="5" fillId="0" borderId="3" xfId="0" quotePrefix="1" applyNumberFormat="1" applyFont="1" applyBorder="1" applyAlignment="1">
      <alignment horizontal="center"/>
    </xf>
    <xf numFmtId="176" fontId="5" fillId="0" borderId="2" xfId="0" quotePrefix="1" applyNumberFormat="1" applyFont="1" applyBorder="1" applyAlignment="1">
      <alignment horizontal="center"/>
    </xf>
    <xf numFmtId="164" fontId="5" fillId="0" borderId="2" xfId="0" quotePrefix="1" applyNumberFormat="1" applyFont="1" applyBorder="1" applyAlignment="1">
      <alignment horizontal="center" wrapText="1"/>
    </xf>
    <xf numFmtId="10" fontId="5" fillId="0" borderId="8" xfId="0" applyNumberFormat="1" applyFont="1" applyBorder="1" applyAlignment="1">
      <alignment horizontal="right"/>
    </xf>
    <xf numFmtId="176" fontId="5" fillId="0" borderId="2" xfId="10" applyNumberFormat="1" applyFont="1" applyFill="1" applyBorder="1" applyAlignment="1">
      <alignment horizontal="center"/>
    </xf>
    <xf numFmtId="176" fontId="5" fillId="0" borderId="8" xfId="10" applyNumberFormat="1" applyFont="1" applyFill="1" applyBorder="1" applyAlignment="1">
      <alignment horizontal="center"/>
    </xf>
    <xf numFmtId="164" fontId="5" fillId="0" borderId="8" xfId="2" quotePrefix="1" applyNumberFormat="1" applyFont="1" applyFill="1" applyBorder="1" applyAlignment="1">
      <alignment horizontal="right" wrapText="1"/>
    </xf>
    <xf numFmtId="164" fontId="5" fillId="0" borderId="8" xfId="2" quotePrefix="1" applyNumberFormat="1" applyFont="1" applyFill="1" applyBorder="1" applyAlignment="1">
      <alignment horizontal="center" wrapText="1"/>
    </xf>
    <xf numFmtId="176" fontId="5" fillId="0" borderId="8" xfId="10" applyNumberFormat="1" applyFont="1" applyFill="1" applyBorder="1" applyAlignment="1">
      <alignment horizontal="left"/>
    </xf>
    <xf numFmtId="164" fontId="5" fillId="0" borderId="3" xfId="2" applyNumberFormat="1" applyFont="1" applyFill="1" applyBorder="1" applyAlignment="1"/>
    <xf numFmtId="164" fontId="5" fillId="0" borderId="3" xfId="2" quotePrefix="1" applyNumberFormat="1" applyFont="1" applyFill="1" applyBorder="1" applyAlignment="1">
      <alignment horizontal="center" wrapText="1"/>
    </xf>
    <xf numFmtId="176" fontId="5" fillId="0" borderId="3" xfId="10" applyNumberFormat="1" applyFont="1" applyFill="1" applyBorder="1" applyAlignment="1">
      <alignment horizontal="center"/>
    </xf>
    <xf numFmtId="0" fontId="3" fillId="0" borderId="13" xfId="0" applyFont="1" applyBorder="1"/>
    <xf numFmtId="185" fontId="1" fillId="0" borderId="0" xfId="0" applyNumberFormat="1" applyFont="1"/>
    <xf numFmtId="178" fontId="1" fillId="0" borderId="0" xfId="2" applyNumberFormat="1" applyFont="1" applyFill="1" applyBorder="1"/>
    <xf numFmtId="178" fontId="1" fillId="0" borderId="0" xfId="0" applyNumberFormat="1" applyFont="1"/>
    <xf numFmtId="166" fontId="1" fillId="0" borderId="0" xfId="0" applyNumberFormat="1" applyFont="1"/>
    <xf numFmtId="178" fontId="1" fillId="0" borderId="0" xfId="2" applyNumberFormat="1" applyFont="1" applyFill="1"/>
    <xf numFmtId="166" fontId="1" fillId="0" borderId="0" xfId="2" applyNumberFormat="1" applyFont="1" applyFill="1"/>
    <xf numFmtId="0" fontId="4" fillId="0" borderId="0" xfId="0" applyFont="1"/>
    <xf numFmtId="0" fontId="6" fillId="0" borderId="3" xfId="0" applyFont="1" applyBorder="1" applyAlignment="1">
      <alignment horizontal="center" wrapText="1"/>
    </xf>
    <xf numFmtId="0" fontId="5" fillId="0" borderId="3" xfId="0" quotePrefix="1" applyFont="1" applyBorder="1" applyAlignment="1">
      <alignment horizontal="left" wrapText="1"/>
    </xf>
    <xf numFmtId="176" fontId="6" fillId="0" borderId="3" xfId="0" applyNumberFormat="1" applyFont="1" applyBorder="1" applyAlignment="1">
      <alignment horizontal="centerContinuous" vertical="center"/>
    </xf>
    <xf numFmtId="176" fontId="6" fillId="0" borderId="3" xfId="0" applyNumberFormat="1" applyFont="1" applyBorder="1" applyAlignment="1">
      <alignment horizontal="center"/>
    </xf>
    <xf numFmtId="165" fontId="6" fillId="0" borderId="2" xfId="0" applyNumberFormat="1" applyFont="1" applyBorder="1"/>
    <xf numFmtId="0" fontId="7" fillId="0" borderId="8" xfId="0" applyFont="1" applyBorder="1" applyAlignment="1">
      <alignment horizontal="center"/>
    </xf>
    <xf numFmtId="0" fontId="7" fillId="0" borderId="8" xfId="0" quotePrefix="1" applyFont="1" applyBorder="1" applyAlignment="1">
      <alignment horizontal="center"/>
    </xf>
    <xf numFmtId="167" fontId="5" fillId="0" borderId="8" xfId="0" applyNumberFormat="1" applyFont="1" applyBorder="1" applyAlignment="1">
      <alignment horizontal="left" indent="2"/>
    </xf>
    <xf numFmtId="164" fontId="6" fillId="0" borderId="8" xfId="2" applyNumberFormat="1" applyFont="1" applyFill="1" applyBorder="1" applyAlignment="1">
      <alignment horizontal="center"/>
    </xf>
    <xf numFmtId="167" fontId="5" fillId="0" borderId="0" xfId="0" applyNumberFormat="1" applyFont="1"/>
    <xf numFmtId="166" fontId="6" fillId="0" borderId="8" xfId="2" applyNumberFormat="1" applyFont="1" applyFill="1" applyBorder="1" applyAlignment="1">
      <alignment horizontal="center"/>
    </xf>
    <xf numFmtId="167" fontId="5" fillId="0" borderId="8" xfId="0" quotePrefix="1" applyNumberFormat="1" applyFont="1" applyBorder="1" applyAlignment="1">
      <alignment horizontal="left" indent="1"/>
    </xf>
    <xf numFmtId="167" fontId="5" fillId="0" borderId="8" xfId="0" applyNumberFormat="1" applyFont="1" applyBorder="1" applyAlignment="1">
      <alignment horizontal="left" indent="1"/>
    </xf>
    <xf numFmtId="164" fontId="7" fillId="0" borderId="2" xfId="2" quotePrefix="1" applyNumberFormat="1" applyFont="1" applyFill="1" applyBorder="1" applyAlignment="1">
      <alignment horizontal="center"/>
    </xf>
    <xf numFmtId="167" fontId="5" fillId="0" borderId="3" xfId="0" applyNumberFormat="1" applyFont="1" applyBorder="1" applyAlignment="1">
      <alignment horizontal="left" indent="2"/>
    </xf>
    <xf numFmtId="167" fontId="5" fillId="0" borderId="0" xfId="0" applyNumberFormat="1" applyFont="1" applyAlignment="1">
      <alignment horizontal="left" indent="2"/>
    </xf>
    <xf numFmtId="0" fontId="10" fillId="0" borderId="0" xfId="0" quotePrefix="1" applyFont="1" applyAlignment="1">
      <alignment horizontal="left"/>
    </xf>
    <xf numFmtId="0" fontId="0" fillId="0" borderId="0" xfId="0" applyAlignment="1">
      <alignment horizontal="center"/>
    </xf>
    <xf numFmtId="0" fontId="7" fillId="0" borderId="0" xfId="0" applyFont="1" applyAlignment="1">
      <alignment horizontal="center"/>
    </xf>
    <xf numFmtId="0" fontId="4" fillId="0" borderId="0" xfId="0" applyFont="1" applyAlignment="1">
      <alignment horizontal="center"/>
    </xf>
    <xf numFmtId="164" fontId="7" fillId="0" borderId="2" xfId="0" applyNumberFormat="1" applyFont="1" applyBorder="1" applyAlignment="1">
      <alignment horizontal="center"/>
    </xf>
    <xf numFmtId="169" fontId="1" fillId="0" borderId="0" xfId="3" applyNumberFormat="1" applyFill="1" applyAlignment="1">
      <alignment horizontal="center"/>
    </xf>
    <xf numFmtId="0" fontId="6" fillId="0" borderId="9" xfId="0" applyFont="1" applyBorder="1" applyAlignment="1">
      <alignment horizontal="left"/>
    </xf>
    <xf numFmtId="0" fontId="5" fillId="0" borderId="9" xfId="0" applyFont="1" applyBorder="1" applyAlignment="1">
      <alignment horizontal="left"/>
    </xf>
    <xf numFmtId="3" fontId="0" fillId="0" borderId="0" xfId="0" applyNumberFormat="1"/>
    <xf numFmtId="168" fontId="0" fillId="0" borderId="0" xfId="0" applyNumberFormat="1"/>
    <xf numFmtId="10" fontId="0" fillId="0" borderId="0" xfId="0" applyNumberFormat="1"/>
    <xf numFmtId="6" fontId="2" fillId="0" borderId="0" xfId="0" quotePrefix="1" applyNumberFormat="1" applyFont="1" applyAlignment="1">
      <alignment horizontal="centerContinuous"/>
    </xf>
    <xf numFmtId="0" fontId="1" fillId="0" borderId="0" xfId="0" applyFont="1" applyAlignment="1">
      <alignment horizontal="center"/>
    </xf>
    <xf numFmtId="6" fontId="6" fillId="0" borderId="0" xfId="0" quotePrefix="1" applyNumberFormat="1" applyFont="1" applyAlignment="1">
      <alignment horizontal="centerContinuous"/>
    </xf>
    <xf numFmtId="6" fontId="6" fillId="0" borderId="1" xfId="0" quotePrefix="1" applyNumberFormat="1" applyFont="1" applyBorder="1" applyAlignment="1">
      <alignment horizontal="centerContinuous"/>
    </xf>
    <xf numFmtId="6" fontId="6" fillId="0" borderId="9" xfId="0" quotePrefix="1" applyNumberFormat="1" applyFont="1" applyBorder="1" applyAlignment="1">
      <alignment horizontal="center"/>
    </xf>
    <xf numFmtId="6" fontId="6" fillId="0" borderId="9" xfId="0" applyNumberFormat="1" applyFont="1" applyBorder="1" applyAlignment="1">
      <alignment horizontal="center"/>
    </xf>
    <xf numFmtId="0" fontId="6" fillId="0" borderId="10" xfId="0" quotePrefix="1" applyFont="1" applyBorder="1" applyAlignment="1">
      <alignment horizontal="center" wrapText="1"/>
    </xf>
    <xf numFmtId="0" fontId="6" fillId="0" borderId="5" xfId="0" quotePrefix="1" applyFont="1" applyBorder="1" applyAlignment="1">
      <alignment horizontal="center" wrapText="1"/>
    </xf>
    <xf numFmtId="176" fontId="5" fillId="0" borderId="2" xfId="0" quotePrefix="1" applyNumberFormat="1" applyFont="1" applyBorder="1" applyAlignment="1">
      <alignment horizontal="center" wrapText="1"/>
    </xf>
    <xf numFmtId="176" fontId="5" fillId="0" borderId="5" xfId="0" quotePrefix="1" applyNumberFormat="1" applyFont="1" applyBorder="1" applyAlignment="1">
      <alignment horizontal="center" wrapText="1"/>
    </xf>
    <xf numFmtId="0" fontId="5" fillId="0" borderId="5" xfId="0" applyFont="1" applyBorder="1" applyAlignment="1">
      <alignment horizontal="center" wrapText="1"/>
    </xf>
    <xf numFmtId="0" fontId="5" fillId="0" borderId="12" xfId="0" quotePrefix="1" applyFont="1" applyBorder="1" applyAlignment="1">
      <alignment horizontal="center" vertical="top" wrapText="1"/>
    </xf>
    <xf numFmtId="0" fontId="5" fillId="0" borderId="5" xfId="0" quotePrefix="1" applyFont="1" applyBorder="1" applyAlignment="1">
      <alignment horizontal="center" vertical="top" wrapText="1"/>
    </xf>
    <xf numFmtId="0" fontId="5" fillId="0" borderId="2" xfId="0" quotePrefix="1" applyFont="1" applyBorder="1" applyAlignment="1">
      <alignment horizontal="center" vertical="top" wrapText="1"/>
    </xf>
    <xf numFmtId="0" fontId="5" fillId="0" borderId="2" xfId="0" applyFont="1" applyBorder="1" applyAlignment="1">
      <alignment horizontal="center" vertical="top" wrapText="1"/>
    </xf>
    <xf numFmtId="0" fontId="6" fillId="0" borderId="2" xfId="0" quotePrefix="1" applyFont="1" applyBorder="1" applyAlignment="1">
      <alignment horizontal="center" vertical="top" wrapText="1"/>
    </xf>
    <xf numFmtId="0" fontId="5" fillId="0" borderId="13" xfId="0" quotePrefix="1" applyFont="1" applyBorder="1" applyAlignment="1">
      <alignment horizontal="center" vertical="top" wrapText="1"/>
    </xf>
    <xf numFmtId="0" fontId="5" fillId="0" borderId="8" xfId="0" applyFont="1" applyBorder="1" applyAlignment="1">
      <alignment vertical="top" wrapText="1"/>
    </xf>
    <xf numFmtId="0" fontId="6" fillId="0" borderId="8" xfId="0" quotePrefix="1" applyFont="1" applyBorder="1" applyAlignment="1">
      <alignment horizontal="center" vertical="top" wrapText="1"/>
    </xf>
    <xf numFmtId="164" fontId="5" fillId="0" borderId="5" xfId="0" applyNumberFormat="1" applyFont="1" applyBorder="1"/>
    <xf numFmtId="164" fontId="5" fillId="0" borderId="0" xfId="0" applyNumberFormat="1" applyFont="1" applyAlignment="1">
      <alignment vertical="top" wrapText="1"/>
    </xf>
    <xf numFmtId="174" fontId="5" fillId="0" borderId="5" xfId="0" applyNumberFormat="1" applyFont="1" applyBorder="1" applyAlignment="1">
      <alignment horizontal="center"/>
    </xf>
    <xf numFmtId="164" fontId="5" fillId="0" borderId="10" xfId="0" applyNumberFormat="1" applyFont="1" applyBorder="1"/>
    <xf numFmtId="6" fontId="6" fillId="0" borderId="3" xfId="0" quotePrefix="1" applyNumberFormat="1" applyFont="1" applyBorder="1" applyAlignment="1">
      <alignment horizontal="centerContinuous"/>
    </xf>
    <xf numFmtId="0" fontId="5" fillId="0" borderId="5" xfId="0" quotePrefix="1" applyFont="1" applyBorder="1" applyAlignment="1">
      <alignment horizontal="left" wrapText="1"/>
    </xf>
    <xf numFmtId="6" fontId="6" fillId="0" borderId="9" xfId="0" applyNumberFormat="1" applyFont="1" applyBorder="1" applyAlignment="1">
      <alignment horizontal="center" wrapText="1"/>
    </xf>
    <xf numFmtId="0" fontId="5" fillId="0" borderId="2" xfId="0" applyFont="1" applyBorder="1" applyAlignment="1">
      <alignment horizontal="center" wrapText="1"/>
    </xf>
    <xf numFmtId="0" fontId="5" fillId="0" borderId="2" xfId="0" applyFont="1" applyBorder="1" applyAlignment="1">
      <alignment horizontal="left" wrapText="1"/>
    </xf>
    <xf numFmtId="169" fontId="6" fillId="0" borderId="0" xfId="0" applyNumberFormat="1" applyFont="1"/>
    <xf numFmtId="0" fontId="6" fillId="0" borderId="9" xfId="0" quotePrefix="1" applyFont="1" applyBorder="1" applyAlignment="1">
      <alignment horizontal="left"/>
    </xf>
    <xf numFmtId="169" fontId="6" fillId="0" borderId="5" xfId="0" applyNumberFormat="1" applyFont="1" applyBorder="1"/>
    <xf numFmtId="9" fontId="7" fillId="0" borderId="2" xfId="0" applyNumberFormat="1" applyFont="1" applyBorder="1" applyAlignment="1">
      <alignment horizontal="center"/>
    </xf>
    <xf numFmtId="0" fontId="6" fillId="0" borderId="1" xfId="0" applyFont="1" applyBorder="1" applyAlignment="1">
      <alignment horizontal="center"/>
    </xf>
    <xf numFmtId="0" fontId="6" fillId="0" borderId="1" xfId="0" applyFont="1" applyBorder="1"/>
    <xf numFmtId="0" fontId="6" fillId="0" borderId="1" xfId="0" quotePrefix="1" applyFont="1" applyBorder="1" applyAlignment="1">
      <alignment horizontal="left"/>
    </xf>
    <xf numFmtId="0" fontId="5" fillId="0" borderId="1" xfId="0" quotePrefix="1" applyFont="1" applyBorder="1" applyAlignment="1">
      <alignment horizontal="left"/>
    </xf>
    <xf numFmtId="177" fontId="5" fillId="0" borderId="1" xfId="0" applyNumberFormat="1" applyFont="1" applyBorder="1"/>
    <xf numFmtId="0" fontId="6" fillId="0" borderId="0" xfId="0" quotePrefix="1" applyFont="1" applyAlignment="1">
      <alignment horizontal="left"/>
    </xf>
    <xf numFmtId="0" fontId="6" fillId="0" borderId="9" xfId="0" quotePrefix="1" applyFont="1" applyBorder="1" applyAlignment="1">
      <alignment horizontal="left" wrapText="1"/>
    </xf>
    <xf numFmtId="0" fontId="5" fillId="0" borderId="4" xfId="0" applyFont="1" applyBorder="1"/>
    <xf numFmtId="0" fontId="7" fillId="0" borderId="5" xfId="0" applyFont="1" applyBorder="1"/>
    <xf numFmtId="0" fontId="7" fillId="0" borderId="0" xfId="0" quotePrefix="1" applyFont="1" applyAlignment="1">
      <alignment horizontal="center" wrapText="1"/>
    </xf>
    <xf numFmtId="0" fontId="7" fillId="0" borderId="0" xfId="0" applyFont="1" applyAlignment="1">
      <alignment horizontal="center" wrapText="1"/>
    </xf>
    <xf numFmtId="0" fontId="7" fillId="0" borderId="0" xfId="0" applyFont="1"/>
    <xf numFmtId="164" fontId="5" fillId="0" borderId="8" xfId="0" applyNumberFormat="1" applyFont="1" applyBorder="1" applyAlignment="1">
      <alignment horizontal="center" wrapText="1"/>
    </xf>
    <xf numFmtId="164" fontId="5" fillId="0" borderId="8" xfId="0" applyNumberFormat="1" applyFont="1" applyBorder="1" applyAlignment="1">
      <alignment wrapText="1"/>
    </xf>
    <xf numFmtId="164" fontId="7" fillId="0" borderId="0" xfId="0" quotePrefix="1" applyNumberFormat="1" applyFont="1" applyAlignment="1">
      <alignment horizontal="center" wrapText="1"/>
    </xf>
    <xf numFmtId="164" fontId="5" fillId="0" borderId="3" xfId="0" applyNumberFormat="1" applyFont="1" applyBorder="1" applyAlignment="1">
      <alignment horizontal="center" wrapText="1"/>
    </xf>
    <xf numFmtId="164" fontId="5" fillId="0" borderId="9" xfId="0" applyNumberFormat="1" applyFont="1" applyBorder="1" applyAlignment="1">
      <alignment horizontal="center" wrapText="1"/>
    </xf>
    <xf numFmtId="164" fontId="5" fillId="0" borderId="9" xfId="0" applyNumberFormat="1" applyFont="1" applyBorder="1" applyAlignment="1">
      <alignment wrapText="1"/>
    </xf>
    <xf numFmtId="164" fontId="5" fillId="0" borderId="3" xfId="0" applyNumberFormat="1" applyFont="1" applyBorder="1" applyAlignment="1">
      <alignment wrapText="1"/>
    </xf>
    <xf numFmtId="0" fontId="5" fillId="0" borderId="0" xfId="0" quotePrefix="1" applyFont="1" applyAlignment="1">
      <alignment horizontal="centerContinuous" wrapText="1"/>
    </xf>
    <xf numFmtId="164" fontId="6" fillId="0" borderId="0" xfId="0" applyNumberFormat="1" applyFont="1" applyAlignment="1">
      <alignment horizontal="centerContinuous" wrapText="1"/>
    </xf>
    <xf numFmtId="164" fontId="6" fillId="0" borderId="0" xfId="0" applyNumberFormat="1" applyFont="1" applyAlignment="1">
      <alignment horizontal="center"/>
    </xf>
    <xf numFmtId="166" fontId="5" fillId="0" borderId="0" xfId="0" applyNumberFormat="1" applyFont="1"/>
    <xf numFmtId="166" fontId="5" fillId="3" borderId="2" xfId="2" applyNumberFormat="1" applyFont="1" applyFill="1" applyBorder="1"/>
    <xf numFmtId="0" fontId="6" fillId="3" borderId="2" xfId="0" quotePrefix="1" applyFont="1" applyFill="1" applyBorder="1" applyAlignment="1">
      <alignment horizontal="center" vertical="top" wrapText="1"/>
    </xf>
    <xf numFmtId="164" fontId="5" fillId="3" borderId="8" xfId="10" applyNumberFormat="1" applyFont="1" applyFill="1" applyBorder="1"/>
    <xf numFmtId="0" fontId="5" fillId="3" borderId="2" xfId="0" applyFont="1" applyFill="1" applyBorder="1"/>
    <xf numFmtId="164" fontId="5" fillId="3" borderId="9" xfId="10" applyNumberFormat="1" applyFont="1" applyFill="1" applyBorder="1"/>
    <xf numFmtId="164" fontId="5" fillId="3" borderId="2" xfId="10" applyNumberFormat="1" applyFont="1" applyFill="1" applyBorder="1"/>
    <xf numFmtId="164" fontId="5" fillId="3" borderId="3" xfId="10" applyNumberFormat="1" applyFont="1" applyFill="1" applyBorder="1"/>
    <xf numFmtId="0" fontId="5" fillId="3" borderId="2" xfId="0" quotePrefix="1" applyFont="1" applyFill="1" applyBorder="1" applyAlignment="1">
      <alignment horizontal="center" vertical="top" wrapText="1"/>
    </xf>
    <xf numFmtId="176" fontId="5" fillId="0" borderId="10" xfId="0" applyNumberFormat="1" applyFont="1" applyBorder="1" applyAlignment="1">
      <alignment horizontal="center" vertical="center"/>
    </xf>
    <xf numFmtId="176" fontId="5" fillId="0" borderId="6" xfId="0" applyNumberFormat="1" applyFont="1" applyBorder="1" applyAlignment="1">
      <alignment horizontal="center" vertical="center"/>
    </xf>
    <xf numFmtId="176" fontId="5" fillId="0" borderId="11" xfId="0" applyNumberFormat="1" applyFont="1" applyBorder="1" applyAlignment="1">
      <alignment horizontal="center" vertical="center"/>
    </xf>
    <xf numFmtId="0" fontId="5" fillId="0" borderId="0" xfId="0" quotePrefix="1" applyFont="1" applyAlignment="1">
      <alignment horizontal="left" wrapText="1"/>
    </xf>
  </cellXfs>
  <cellStyles count="13">
    <cellStyle name="ac" xfId="1" xr:uid="{00000000-0005-0000-0000-000000000000}"/>
    <cellStyle name="Comma" xfId="2" builtinId="3"/>
    <cellStyle name="Currency" xfId="3" builtinId="4"/>
    <cellStyle name="Milliers [0]_EDYAN" xfId="4" xr:uid="{00000000-0005-0000-0000-000003000000}"/>
    <cellStyle name="Milliers_EDYAN" xfId="5" xr:uid="{00000000-0005-0000-0000-000004000000}"/>
    <cellStyle name="Monétaire [0]_EDYAN" xfId="6" xr:uid="{00000000-0005-0000-0000-000005000000}"/>
    <cellStyle name="Monétaire_EDYAN" xfId="7" xr:uid="{00000000-0005-0000-0000-000006000000}"/>
    <cellStyle name="Normal" xfId="0" builtinId="0"/>
    <cellStyle name="Normal - Style1" xfId="8" xr:uid="{00000000-0005-0000-0000-000008000000}"/>
    <cellStyle name="Normal 2" xfId="9" xr:uid="{00000000-0005-0000-0000-000009000000}"/>
    <cellStyle name="Normal 3" xfId="11" xr:uid="{00000000-0005-0000-0000-00000A000000}"/>
    <cellStyle name="Normal 4" xfId="12" xr:uid="{00000000-0005-0000-0000-00000B000000}"/>
    <cellStyle name="Percent" xfId="10" builtinId="5"/>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ExternalSSD\Folder%2019\FY25\UDCInputs25.xlsx" TargetMode="External"/><Relationship Id="rId1" Type="http://schemas.openxmlformats.org/officeDocument/2006/relationships/externalLinkPath" Target="UDCInputs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Changes"/>
      <sheetName val="Inputs"/>
      <sheetName val="CS6&amp;7 CRA"/>
      <sheetName val="7.0.8"/>
      <sheetName val="7.0.6"/>
      <sheetName val="CS7Shape"/>
      <sheetName val="City DAL Costs"/>
      <sheetName val="CS10 CRA"/>
      <sheetName val="RuralCosts"/>
      <sheetName val="RuralVols"/>
      <sheetName val="Rural DAL Costs"/>
      <sheetName val="CCSDALs"/>
      <sheetName val="RCSDALs"/>
      <sheetName val="BoxholderbyShape"/>
      <sheetName val="BYPBack"/>
      <sheetName val="DPS%"/>
      <sheetName val="CCSECRVols"/>
      <sheetName val="RCSECRVols"/>
      <sheetName val="RPWShape"/>
      <sheetName val="DALs"/>
      <sheetName val="CARMM"/>
      <sheetName val="CARMMCasing"/>
      <sheetName val="FCByIndicia"/>
      <sheetName val="PeriodicalsVolAdj"/>
      <sheetName val="ParcelVols"/>
      <sheetName val="LetterVols"/>
    </sheetNames>
    <sheetDataSet>
      <sheetData sheetId="0">
        <row r="5">
          <cell r="A5" t="str">
            <v>Inputs</v>
          </cell>
        </row>
        <row r="8">
          <cell r="A8" t="str">
            <v>7.0.6.10</v>
          </cell>
        </row>
        <row r="11">
          <cell r="A11" t="str">
            <v>CS7Shape</v>
          </cell>
        </row>
        <row r="12">
          <cell r="A12" t="str">
            <v>CS10CRA</v>
          </cell>
        </row>
        <row r="18">
          <cell r="A18" t="str">
            <v>CCSDALs</v>
          </cell>
        </row>
        <row r="19">
          <cell r="A19" t="str">
            <v>RCSDALs</v>
          </cell>
        </row>
        <row r="20">
          <cell r="A20" t="str">
            <v>BYPback</v>
          </cell>
        </row>
        <row r="22">
          <cell r="A22" t="str">
            <v>BoxholderbyShape</v>
          </cell>
        </row>
        <row r="23">
          <cell r="A23" t="str">
            <v>RPWShape</v>
          </cell>
        </row>
        <row r="24">
          <cell r="A24" t="str">
            <v>DALs</v>
          </cell>
        </row>
        <row r="25">
          <cell r="A25" t="str">
            <v>ParcelVols</v>
          </cell>
        </row>
        <row r="26">
          <cell r="A26" t="str">
            <v>CARMM</v>
          </cell>
        </row>
        <row r="29">
          <cell r="A29" t="str">
            <v>PeriodicalsVolAdj</v>
          </cell>
        </row>
        <row r="30">
          <cell r="A30" t="str">
            <v>LetterVols</v>
          </cell>
        </row>
      </sheetData>
      <sheetData sheetId="1"/>
      <sheetData sheetId="2">
        <row r="4">
          <cell r="C4" t="str">
            <v>Unit Delivery Cost Model -  12/16/2025</v>
          </cell>
        </row>
        <row r="6">
          <cell r="C6" t="str">
            <v>FY 2025</v>
          </cell>
        </row>
        <row r="8">
          <cell r="A8">
            <v>3</v>
          </cell>
          <cell r="C8">
            <v>3.1055057574030584E-3</v>
          </cell>
        </row>
        <row r="9">
          <cell r="A9">
            <v>4</v>
          </cell>
          <cell r="C9">
            <v>6.7217436053510687E-2</v>
          </cell>
        </row>
      </sheetData>
      <sheetData sheetId="3">
        <row r="11">
          <cell r="D11">
            <v>22864.587659383236</v>
          </cell>
        </row>
        <row r="12">
          <cell r="D12">
            <v>1283.8138769960376</v>
          </cell>
        </row>
        <row r="13">
          <cell r="D13">
            <v>49617.971492932767</v>
          </cell>
        </row>
        <row r="14">
          <cell r="D14">
            <v>3691.8118632100468</v>
          </cell>
        </row>
        <row r="15">
          <cell r="D15">
            <v>8743.5910439856252</v>
          </cell>
        </row>
        <row r="16">
          <cell r="D16">
            <v>9134.2483188754013</v>
          </cell>
        </row>
        <row r="20">
          <cell r="D20">
            <v>686.70203751520273</v>
          </cell>
          <cell r="F20">
            <v>13512.623026403799</v>
          </cell>
        </row>
        <row r="22">
          <cell r="D22">
            <v>65351.48059286629</v>
          </cell>
        </row>
        <row r="23">
          <cell r="D23">
            <v>30886.514976742477</v>
          </cell>
        </row>
        <row r="24">
          <cell r="D24">
            <v>203.35850396763101</v>
          </cell>
        </row>
        <row r="25">
          <cell r="D25">
            <v>26831.064672663375</v>
          </cell>
        </row>
        <row r="27">
          <cell r="D27">
            <v>1104.4209327790149</v>
          </cell>
        </row>
        <row r="28">
          <cell r="D28">
            <v>3348.899342996066</v>
          </cell>
        </row>
        <row r="29">
          <cell r="D29">
            <v>1138.2323080139715</v>
          </cell>
        </row>
        <row r="34">
          <cell r="D34">
            <v>4638.8340397809143</v>
          </cell>
        </row>
        <row r="35">
          <cell r="D35">
            <v>2930.8665273233273</v>
          </cell>
        </row>
        <row r="37">
          <cell r="D37">
            <v>6227.8720637710358</v>
          </cell>
        </row>
        <row r="38">
          <cell r="D38">
            <v>3436.8173351204669</v>
          </cell>
        </row>
        <row r="39">
          <cell r="D39">
            <v>0</v>
          </cell>
        </row>
        <row r="40">
          <cell r="D40">
            <v>0</v>
          </cell>
        </row>
      </sheetData>
      <sheetData sheetId="4">
        <row r="11">
          <cell r="F11">
            <v>562209.01744869398</v>
          </cell>
          <cell r="G11">
            <v>0</v>
          </cell>
          <cell r="H11">
            <v>3966989.2441247609</v>
          </cell>
          <cell r="I11">
            <v>229.54724631076814</v>
          </cell>
          <cell r="L11">
            <v>0</v>
          </cell>
        </row>
        <row r="12">
          <cell r="C12">
            <v>326604.929</v>
          </cell>
          <cell r="F12">
            <v>34284.934797224028</v>
          </cell>
          <cell r="G12">
            <v>0</v>
          </cell>
          <cell r="H12">
            <v>137332.12209117893</v>
          </cell>
          <cell r="I12">
            <v>5.485664347826086</v>
          </cell>
          <cell r="L12">
            <v>0</v>
          </cell>
        </row>
        <row r="13">
          <cell r="E13">
            <v>1113191.1507700824</v>
          </cell>
          <cell r="F13">
            <v>1113191.1507700824</v>
          </cell>
          <cell r="G13">
            <v>0</v>
          </cell>
          <cell r="H13">
            <v>15643944.666151881</v>
          </cell>
          <cell r="I13">
            <v>0</v>
          </cell>
          <cell r="L13">
            <v>0</v>
          </cell>
        </row>
        <row r="14">
          <cell r="E14">
            <v>103307.35392233297</v>
          </cell>
          <cell r="F14">
            <v>103307.35392233297</v>
          </cell>
          <cell r="G14">
            <v>0</v>
          </cell>
          <cell r="H14">
            <v>1245279.4773638372</v>
          </cell>
          <cell r="I14">
            <v>16.595866415447972</v>
          </cell>
          <cell r="L14">
            <v>0</v>
          </cell>
        </row>
        <row r="15">
          <cell r="F15">
            <v>0</v>
          </cell>
          <cell r="G15">
            <v>236517.93931811166</v>
          </cell>
          <cell r="H15">
            <v>0</v>
          </cell>
          <cell r="I15">
            <v>33.033469078175287</v>
          </cell>
          <cell r="L15">
            <v>0</v>
          </cell>
        </row>
        <row r="16">
          <cell r="F16">
            <v>0</v>
          </cell>
          <cell r="G16">
            <v>286041.98593909701</v>
          </cell>
          <cell r="H16">
            <v>0</v>
          </cell>
          <cell r="I16">
            <v>0</v>
          </cell>
          <cell r="L16">
            <v>0</v>
          </cell>
        </row>
        <row r="22">
          <cell r="E22">
            <v>1769970.0197193257</v>
          </cell>
          <cell r="F22">
            <v>1769970.0197193257</v>
          </cell>
          <cell r="G22">
            <v>0</v>
          </cell>
          <cell r="H22">
            <v>19974964.496089566</v>
          </cell>
          <cell r="I22">
            <v>257.65504868188594</v>
          </cell>
          <cell r="L22">
            <v>0</v>
          </cell>
        </row>
        <row r="23">
          <cell r="F23">
            <v>0</v>
          </cell>
          <cell r="G23">
            <v>1075918.7346976514</v>
          </cell>
          <cell r="H23">
            <v>0</v>
          </cell>
          <cell r="I23">
            <v>55.432769921825027</v>
          </cell>
          <cell r="L23">
            <v>0</v>
          </cell>
        </row>
        <row r="24">
          <cell r="F24">
            <v>0</v>
          </cell>
          <cell r="G24">
            <v>0</v>
          </cell>
          <cell r="H24">
            <v>0</v>
          </cell>
          <cell r="I24">
            <v>3983.7749374647788</v>
          </cell>
          <cell r="L24">
            <v>847.68225382433241</v>
          </cell>
        </row>
        <row r="25">
          <cell r="F25">
            <v>2468.5903069823953</v>
          </cell>
          <cell r="G25">
            <v>1234178.2925171582</v>
          </cell>
          <cell r="H25">
            <v>3222.7952674650178</v>
          </cell>
          <cell r="I25">
            <v>1123.6543535125595</v>
          </cell>
          <cell r="L25">
            <v>82.01766934167523</v>
          </cell>
        </row>
        <row r="27">
          <cell r="F27">
            <v>16.580178165853297</v>
          </cell>
          <cell r="G27">
            <v>62391.500544965624</v>
          </cell>
          <cell r="H27">
            <v>0</v>
          </cell>
          <cell r="I27">
            <v>516.01717034565797</v>
          </cell>
          <cell r="L27">
            <v>0</v>
          </cell>
        </row>
        <row r="28">
          <cell r="F28">
            <v>0</v>
          </cell>
          <cell r="G28">
            <v>0</v>
          </cell>
          <cell r="H28">
            <v>0</v>
          </cell>
          <cell r="I28">
            <v>83223.557761391785</v>
          </cell>
          <cell r="L28">
            <v>39823.766448335053</v>
          </cell>
        </row>
        <row r="29">
          <cell r="F29">
            <v>62.41439798673683</v>
          </cell>
          <cell r="G29">
            <v>672.34644523779457</v>
          </cell>
          <cell r="H29">
            <v>0</v>
          </cell>
          <cell r="I29">
            <v>16901.441113342036</v>
          </cell>
          <cell r="L29">
            <v>19277.314114203618</v>
          </cell>
        </row>
      </sheetData>
      <sheetData sheetId="5">
        <row r="10">
          <cell r="C10">
            <v>39848.010237723007</v>
          </cell>
          <cell r="D10">
            <v>345.00996138284899</v>
          </cell>
          <cell r="E10">
            <v>48.779805304720746</v>
          </cell>
          <cell r="F10">
            <v>287.80835001392506</v>
          </cell>
          <cell r="G10">
            <v>0</v>
          </cell>
          <cell r="I10">
            <v>6210.1993442897547</v>
          </cell>
          <cell r="J10">
            <v>7985.5832274443355</v>
          </cell>
          <cell r="L10">
            <v>280684.84819367272</v>
          </cell>
        </row>
        <row r="11">
          <cell r="I11">
            <v>348.69380615482055</v>
          </cell>
          <cell r="J11">
            <v>286.52084078814454</v>
          </cell>
          <cell r="L11">
            <v>10015.630145690035</v>
          </cell>
        </row>
        <row r="12">
          <cell r="I12">
            <v>13476.625890690158</v>
          </cell>
          <cell r="J12">
            <v>14074.444643306768</v>
          </cell>
          <cell r="L12">
            <v>423776.48259646801</v>
          </cell>
        </row>
        <row r="13">
          <cell r="I13">
            <v>1002.7247354596122</v>
          </cell>
          <cell r="J13">
            <v>1129.3377112884787</v>
          </cell>
          <cell r="L13">
            <v>34003.953625337061</v>
          </cell>
        </row>
        <row r="14">
          <cell r="I14">
            <v>2374.8271421730074</v>
          </cell>
          <cell r="J14">
            <v>327.95717935668216</v>
          </cell>
          <cell r="L14">
            <v>11610.129000014818</v>
          </cell>
        </row>
        <row r="15">
          <cell r="I15">
            <v>2480.9326879411547</v>
          </cell>
          <cell r="J15">
            <v>172.56867911851936</v>
          </cell>
          <cell r="L15">
            <v>5195.9810633055849</v>
          </cell>
        </row>
        <row r="17">
          <cell r="C17">
            <v>0</v>
          </cell>
          <cell r="D17">
            <v>0</v>
          </cell>
          <cell r="E17">
            <v>0</v>
          </cell>
          <cell r="F17">
            <v>0</v>
          </cell>
          <cell r="G17">
            <v>0</v>
          </cell>
          <cell r="I17">
            <v>2055.3570199256906</v>
          </cell>
          <cell r="J17">
            <v>3149.7943968293521</v>
          </cell>
        </row>
        <row r="18">
          <cell r="C18">
            <v>0</v>
          </cell>
          <cell r="D18">
            <v>0</v>
          </cell>
          <cell r="E18">
            <v>0</v>
          </cell>
          <cell r="F18">
            <v>0</v>
          </cell>
          <cell r="G18">
            <v>0</v>
          </cell>
          <cell r="I18">
            <v>2624.5968345935016</v>
          </cell>
          <cell r="J18">
            <v>6406.7181307821656</v>
          </cell>
        </row>
        <row r="19">
          <cell r="I19">
            <v>186.51359939785527</v>
          </cell>
          <cell r="J19">
            <v>448.78060152311463</v>
          </cell>
        </row>
        <row r="21">
          <cell r="I21">
            <v>17749.968990130932</v>
          </cell>
          <cell r="J21">
            <v>18658.892936851425</v>
          </cell>
          <cell r="L21">
            <v>562270.51734303695</v>
          </cell>
        </row>
        <row r="22">
          <cell r="I22">
            <v>8389.0170211421118</v>
          </cell>
          <cell r="J22">
            <v>670.45608801215769</v>
          </cell>
          <cell r="L22">
            <v>20207.345134003135</v>
          </cell>
        </row>
        <row r="23">
          <cell r="F23">
            <v>26.07650300173491</v>
          </cell>
          <cell r="I23">
            <v>55.233746910684232</v>
          </cell>
          <cell r="J23">
            <v>55.724838281051014</v>
          </cell>
          <cell r="L23">
            <v>1877.0597499192356</v>
          </cell>
        </row>
        <row r="24">
          <cell r="C24">
            <v>67.785703618956944</v>
          </cell>
          <cell r="D24">
            <v>0</v>
          </cell>
          <cell r="E24">
            <v>0</v>
          </cell>
          <cell r="F24">
            <v>0</v>
          </cell>
          <cell r="G24">
            <v>0</v>
          </cell>
          <cell r="I24">
            <v>7287.5252647903981</v>
          </cell>
          <cell r="J24">
            <v>772.77083208689737</v>
          </cell>
          <cell r="L24">
            <v>23335.638423524913</v>
          </cell>
        </row>
        <row r="26">
          <cell r="I26">
            <v>299.96929114745853</v>
          </cell>
          <cell r="J26">
            <v>48.704086149979119</v>
          </cell>
          <cell r="L26">
            <v>1466.7020992746795</v>
          </cell>
        </row>
        <row r="27">
          <cell r="F27">
            <v>492.12559657922293</v>
          </cell>
          <cell r="I27">
            <v>909.58703536609335</v>
          </cell>
          <cell r="J27">
            <v>1555.5790957513279</v>
          </cell>
          <cell r="L27">
            <v>53461.465196774458</v>
          </cell>
        </row>
        <row r="28">
          <cell r="C28">
            <v>47.306277260579492</v>
          </cell>
          <cell r="D28">
            <v>2853.5470130422527</v>
          </cell>
          <cell r="E28">
            <v>672.98091666876633</v>
          </cell>
          <cell r="F28">
            <v>337.27662804312126</v>
          </cell>
          <cell r="G28">
            <v>0</v>
          </cell>
          <cell r="I28">
            <v>309.15272289972512</v>
          </cell>
          <cell r="J28">
            <v>581.565156483686</v>
          </cell>
          <cell r="L28">
            <v>21084.552580681942</v>
          </cell>
        </row>
        <row r="34">
          <cell r="C34"/>
          <cell r="D34"/>
          <cell r="E34"/>
          <cell r="F34">
            <v>0</v>
          </cell>
          <cell r="G34"/>
          <cell r="I34">
            <v>1259.5557807620548</v>
          </cell>
          <cell r="J34">
            <v>1697.9576636324923</v>
          </cell>
        </row>
        <row r="35">
          <cell r="C35"/>
          <cell r="D35"/>
          <cell r="E35"/>
          <cell r="F35">
            <v>0</v>
          </cell>
          <cell r="G35"/>
          <cell r="I35">
            <v>795.80123916363573</v>
          </cell>
          <cell r="J35">
            <v>1451.8367331968598</v>
          </cell>
        </row>
        <row r="37">
          <cell r="C37"/>
          <cell r="D37">
            <v>0</v>
          </cell>
          <cell r="E37"/>
          <cell r="F37">
            <v>0</v>
          </cell>
          <cell r="G37"/>
          <cell r="I37">
            <v>1691.2755940921945</v>
          </cell>
          <cell r="J37">
            <v>614.62965319594571</v>
          </cell>
        </row>
        <row r="38">
          <cell r="C38"/>
          <cell r="D38">
            <v>0</v>
          </cell>
          <cell r="E38"/>
          <cell r="F38">
            <v>0</v>
          </cell>
          <cell r="G38"/>
          <cell r="I38">
            <v>933.32124050130733</v>
          </cell>
          <cell r="J38">
            <v>5792.0884775862205</v>
          </cell>
        </row>
        <row r="39">
          <cell r="C39"/>
          <cell r="D39">
            <v>0</v>
          </cell>
          <cell r="E39"/>
          <cell r="F39">
            <v>0</v>
          </cell>
          <cell r="G39"/>
          <cell r="I39">
            <v>0</v>
          </cell>
          <cell r="J39">
            <v>0</v>
          </cell>
        </row>
        <row r="40">
          <cell r="C40"/>
          <cell r="D40">
            <v>0</v>
          </cell>
          <cell r="E40"/>
          <cell r="F40">
            <v>0</v>
          </cell>
          <cell r="G40"/>
          <cell r="I40">
            <v>0</v>
          </cell>
          <cell r="J40">
            <v>0</v>
          </cell>
        </row>
      </sheetData>
      <sheetData sheetId="6">
        <row r="10">
          <cell r="C10">
            <v>10212.582599342706</v>
          </cell>
          <cell r="D10">
            <v>0</v>
          </cell>
          <cell r="E10">
            <v>102333.483632943</v>
          </cell>
          <cell r="F10">
            <v>52.737752799430616</v>
          </cell>
          <cell r="G10">
            <v>1784.6400225673881</v>
          </cell>
          <cell r="J10">
            <v>126059.60418160965</v>
          </cell>
        </row>
        <row r="18">
          <cell r="C18">
            <v>13432.395854231299</v>
          </cell>
          <cell r="D18">
            <v>0</v>
          </cell>
          <cell r="E18">
            <v>71929.886132348882</v>
          </cell>
          <cell r="F18">
            <v>0</v>
          </cell>
          <cell r="G18">
            <v>0</v>
          </cell>
          <cell r="I18">
            <v>9476.8981174239179</v>
          </cell>
          <cell r="J18">
            <v>0</v>
          </cell>
        </row>
        <row r="19">
          <cell r="C19">
            <v>0</v>
          </cell>
          <cell r="D19">
            <v>35237.96794311257</v>
          </cell>
          <cell r="E19">
            <v>756.36278767182137</v>
          </cell>
          <cell r="F19">
            <v>0</v>
          </cell>
          <cell r="G19">
            <v>0</v>
          </cell>
          <cell r="I19">
            <v>156909.65541271406</v>
          </cell>
          <cell r="J19">
            <v>0</v>
          </cell>
        </row>
        <row r="29">
          <cell r="C29">
            <v>44.842187925765799</v>
          </cell>
          <cell r="D29">
            <v>22418.97117169141</v>
          </cell>
          <cell r="E29">
            <v>83.136062756888435</v>
          </cell>
          <cell r="F29">
            <v>258.15602879122633</v>
          </cell>
          <cell r="G29">
            <v>56.798702963401993</v>
          </cell>
          <cell r="J29">
            <v>405.94856577726534</v>
          </cell>
        </row>
        <row r="33">
          <cell r="C33">
            <v>1.1337637338518285</v>
          </cell>
          <cell r="D33">
            <v>12.213239905907482</v>
          </cell>
          <cell r="E33">
            <v>0</v>
          </cell>
          <cell r="F33">
            <v>3883.052564189059</v>
          </cell>
          <cell r="G33">
            <v>13349.884812545981</v>
          </cell>
          <cell r="J33">
            <v>264.43399333554436</v>
          </cell>
        </row>
        <row r="57">
          <cell r="C57">
            <v>6877.4550341339555</v>
          </cell>
          <cell r="D57"/>
          <cell r="E57">
            <v>42354.224588809455</v>
          </cell>
          <cell r="F57"/>
          <cell r="G57"/>
        </row>
        <row r="58">
          <cell r="C58">
            <v>6554.9408200973439</v>
          </cell>
          <cell r="D58"/>
          <cell r="E58">
            <v>29575.661543539423</v>
          </cell>
          <cell r="F58"/>
          <cell r="G58"/>
        </row>
        <row r="60">
          <cell r="C60"/>
          <cell r="D60">
            <v>13890.790698488207</v>
          </cell>
          <cell r="E60">
            <v>31.934806056019241</v>
          </cell>
          <cell r="F60">
            <v>0</v>
          </cell>
          <cell r="G60"/>
        </row>
        <row r="61">
          <cell r="C61"/>
          <cell r="D61">
            <v>21347.177244624352</v>
          </cell>
          <cell r="E61">
            <v>724.42798161580208</v>
          </cell>
          <cell r="F61">
            <v>0</v>
          </cell>
          <cell r="G61"/>
        </row>
        <row r="62">
          <cell r="C62"/>
          <cell r="D62"/>
          <cell r="E62"/>
          <cell r="F62">
            <v>0</v>
          </cell>
          <cell r="G62"/>
        </row>
        <row r="63">
          <cell r="C63"/>
          <cell r="D63"/>
          <cell r="E63"/>
          <cell r="F63"/>
          <cell r="G63"/>
        </row>
      </sheetData>
      <sheetData sheetId="7">
        <row r="10">
          <cell r="J10">
            <v>525.81771682882834</v>
          </cell>
          <cell r="L10">
            <v>0.10031392229311877</v>
          </cell>
        </row>
        <row r="11">
          <cell r="J11">
            <v>724.42798161580208</v>
          </cell>
          <cell r="L11">
            <v>31.934806056019241</v>
          </cell>
        </row>
        <row r="15">
          <cell r="J15">
            <v>1473.7068056577132</v>
          </cell>
        </row>
        <row r="16">
          <cell r="J16">
            <v>4550.9462275859023</v>
          </cell>
          <cell r="L16">
            <v>67.097146050913835</v>
          </cell>
        </row>
      </sheetData>
      <sheetData sheetId="8">
        <row r="12">
          <cell r="D12">
            <v>6824.8070204386358</v>
          </cell>
          <cell r="E12"/>
        </row>
      </sheetData>
      <sheetData sheetId="9">
        <row r="3">
          <cell r="A3" t="str">
            <v>SOURCE:  CS10-NP-FY25.xlsx, W/S 10.1.2</v>
          </cell>
        </row>
        <row r="11">
          <cell r="C11">
            <v>49940.213987024639</v>
          </cell>
          <cell r="D11">
            <v>775.65753383815036</v>
          </cell>
          <cell r="E11">
            <v>0</v>
          </cell>
          <cell r="F11">
            <v>0</v>
          </cell>
          <cell r="G11">
            <v>0</v>
          </cell>
          <cell r="H11">
            <v>0</v>
          </cell>
          <cell r="I11">
            <v>78847.975794027792</v>
          </cell>
          <cell r="J11">
            <v>309.18189122897275</v>
          </cell>
          <cell r="K11">
            <v>7699.2631248031466</v>
          </cell>
          <cell r="L11">
            <v>0</v>
          </cell>
          <cell r="M11">
            <v>2911.9356767236422</v>
          </cell>
          <cell r="N11">
            <v>291.47557375337948</v>
          </cell>
          <cell r="P11">
            <v>140775.70358139972</v>
          </cell>
        </row>
        <row r="12">
          <cell r="C12">
            <v>3870.8244680916378</v>
          </cell>
          <cell r="D12">
            <v>6.4058559670830295</v>
          </cell>
          <cell r="E12">
            <v>0</v>
          </cell>
          <cell r="F12">
            <v>0</v>
          </cell>
          <cell r="G12">
            <v>0</v>
          </cell>
          <cell r="H12">
            <v>0</v>
          </cell>
          <cell r="I12">
            <v>2829.7251422127197</v>
          </cell>
          <cell r="J12">
            <v>2.257649415712863</v>
          </cell>
          <cell r="K12">
            <v>0</v>
          </cell>
          <cell r="L12">
            <v>0</v>
          </cell>
          <cell r="M12">
            <v>101.47271454803231</v>
          </cell>
          <cell r="N12">
            <v>14.121190203450665</v>
          </cell>
        </row>
        <row r="13">
          <cell r="C13">
            <v>95004.735252112383</v>
          </cell>
          <cell r="D13">
            <v>1185.6420367034193</v>
          </cell>
          <cell r="E13">
            <v>0</v>
          </cell>
          <cell r="F13">
            <v>0</v>
          </cell>
          <cell r="G13">
            <v>0</v>
          </cell>
          <cell r="H13">
            <v>0</v>
          </cell>
          <cell r="I13">
            <v>300688.73279021442</v>
          </cell>
          <cell r="J13">
            <v>0</v>
          </cell>
          <cell r="K13">
            <v>0</v>
          </cell>
          <cell r="L13">
            <v>0</v>
          </cell>
          <cell r="M13">
            <v>9050.2165546810284</v>
          </cell>
          <cell r="N13">
            <v>842.52923600769032</v>
          </cell>
          <cell r="P13">
            <v>406771.85586971894</v>
          </cell>
        </row>
        <row r="14">
          <cell r="C14">
            <v>7603.1914441078206</v>
          </cell>
          <cell r="D14">
            <v>18.777653297345395</v>
          </cell>
          <cell r="E14">
            <v>0</v>
          </cell>
          <cell r="F14">
            <v>7.4115110369293795</v>
          </cell>
          <cell r="G14">
            <v>0</v>
          </cell>
          <cell r="H14">
            <v>0</v>
          </cell>
          <cell r="I14">
            <v>23095.113194347876</v>
          </cell>
          <cell r="J14">
            <v>0</v>
          </cell>
          <cell r="K14">
            <v>0</v>
          </cell>
          <cell r="L14">
            <v>0</v>
          </cell>
          <cell r="M14">
            <v>727.10638708379656</v>
          </cell>
          <cell r="N14">
            <v>65.277707594668826</v>
          </cell>
          <cell r="P14">
            <v>31516.877897468436</v>
          </cell>
        </row>
        <row r="15">
          <cell r="C15">
            <v>1.8691303672239608</v>
          </cell>
          <cell r="D15">
            <v>17855.054321510848</v>
          </cell>
          <cell r="E15">
            <v>0</v>
          </cell>
          <cell r="F15">
            <v>0</v>
          </cell>
          <cell r="G15">
            <v>0</v>
          </cell>
          <cell r="H15">
            <v>0</v>
          </cell>
          <cell r="I15">
            <v>0</v>
          </cell>
          <cell r="J15">
            <v>201.41222956908598</v>
          </cell>
          <cell r="K15">
            <v>0</v>
          </cell>
          <cell r="L15">
            <v>0</v>
          </cell>
          <cell r="M15">
            <v>126.53203545561146</v>
          </cell>
          <cell r="N15">
            <v>37.830605021626909</v>
          </cell>
          <cell r="P15">
            <v>18222.698321924396</v>
          </cell>
        </row>
        <row r="16">
          <cell r="C16">
            <v>1.2545102336111011</v>
          </cell>
          <cell r="D16">
            <v>22439.218751696157</v>
          </cell>
          <cell r="E16">
            <v>0</v>
          </cell>
          <cell r="F16">
            <v>0</v>
          </cell>
          <cell r="G16">
            <v>0</v>
          </cell>
          <cell r="H16">
            <v>0</v>
          </cell>
          <cell r="I16">
            <v>0</v>
          </cell>
          <cell r="J16">
            <v>0</v>
          </cell>
          <cell r="K16">
            <v>0</v>
          </cell>
          <cell r="L16">
            <v>0</v>
          </cell>
          <cell r="M16">
            <v>134.46573296498349</v>
          </cell>
          <cell r="N16">
            <v>46.962724157689763</v>
          </cell>
          <cell r="P16">
            <v>22621.901719052439</v>
          </cell>
        </row>
        <row r="18">
          <cell r="C18">
            <v>70440.997368391123</v>
          </cell>
          <cell r="D18">
            <v>1915.5950660793253</v>
          </cell>
          <cell r="E18">
            <v>0</v>
          </cell>
          <cell r="F18">
            <v>0</v>
          </cell>
          <cell r="G18">
            <v>0</v>
          </cell>
          <cell r="H18">
            <v>12847.591502135423</v>
          </cell>
          <cell r="I18">
            <v>55415.843359600934</v>
          </cell>
          <cell r="J18">
            <v>0</v>
          </cell>
          <cell r="K18">
            <v>0</v>
          </cell>
          <cell r="L18">
            <v>0</v>
          </cell>
          <cell r="M18">
            <v>1869.5470688366654</v>
          </cell>
          <cell r="N18">
            <v>303.65556637381951</v>
          </cell>
        </row>
        <row r="19">
          <cell r="C19">
            <v>2892.0863114469921</v>
          </cell>
          <cell r="D19">
            <v>218533.40915900102</v>
          </cell>
          <cell r="E19">
            <v>0</v>
          </cell>
          <cell r="F19">
            <v>0</v>
          </cell>
          <cell r="G19">
            <v>0</v>
          </cell>
          <cell r="H19">
            <v>86461.101582688076</v>
          </cell>
          <cell r="I19">
            <v>204.70491709952327</v>
          </cell>
          <cell r="J19">
            <v>0</v>
          </cell>
          <cell r="K19">
            <v>0</v>
          </cell>
          <cell r="L19">
            <v>0</v>
          </cell>
          <cell r="M19">
            <v>2444.7772249583059</v>
          </cell>
          <cell r="N19">
            <v>637.59346771731111</v>
          </cell>
        </row>
        <row r="20">
          <cell r="C20">
            <v>0</v>
          </cell>
          <cell r="D20">
            <v>0</v>
          </cell>
          <cell r="E20">
            <v>0</v>
          </cell>
          <cell r="F20">
            <v>0</v>
          </cell>
          <cell r="G20">
            <v>0</v>
          </cell>
          <cell r="H20">
            <v>6078.8403169028643</v>
          </cell>
          <cell r="I20">
            <v>0</v>
          </cell>
          <cell r="J20">
            <v>0</v>
          </cell>
          <cell r="K20">
            <v>0</v>
          </cell>
          <cell r="L20">
            <v>0</v>
          </cell>
          <cell r="M20">
            <v>173.73495004747917</v>
          </cell>
          <cell r="N20">
            <v>12.989366077301581</v>
          </cell>
        </row>
        <row r="22">
          <cell r="C22">
            <v>172873.06592365124</v>
          </cell>
          <cell r="D22">
            <v>2512.2065542902865</v>
          </cell>
          <cell r="E22">
            <v>0</v>
          </cell>
          <cell r="F22">
            <v>173.68427150550579</v>
          </cell>
          <cell r="G22">
            <v>0</v>
          </cell>
          <cell r="H22">
            <v>398.74104570664866</v>
          </cell>
          <cell r="I22">
            <v>417010.15008957026</v>
          </cell>
          <cell r="J22">
            <v>4.6170293460880725</v>
          </cell>
          <cell r="K22">
            <v>0</v>
          </cell>
          <cell r="L22">
            <v>0</v>
          </cell>
          <cell r="M22">
            <v>11778.84724917116</v>
          </cell>
          <cell r="N22">
            <v>1254.9972808496013</v>
          </cell>
          <cell r="P22">
            <v>606006.3094440907</v>
          </cell>
        </row>
        <row r="23">
          <cell r="C23">
            <v>7.3754416033543215</v>
          </cell>
          <cell r="D23">
            <v>100382.67169564683</v>
          </cell>
          <cell r="E23">
            <v>0</v>
          </cell>
          <cell r="F23">
            <v>67.413357169164215</v>
          </cell>
          <cell r="G23">
            <v>0</v>
          </cell>
          <cell r="H23">
            <v>14.939512372242923</v>
          </cell>
          <cell r="I23">
            <v>0</v>
          </cell>
          <cell r="J23">
            <v>4.5152988314257261</v>
          </cell>
          <cell r="K23">
            <v>0</v>
          </cell>
          <cell r="L23">
            <v>0</v>
          </cell>
          <cell r="M23">
            <v>518.35450037370504</v>
          </cell>
          <cell r="N23">
            <v>210.10101172342473</v>
          </cell>
          <cell r="P23">
            <v>101205.37081772015</v>
          </cell>
        </row>
        <row r="24">
          <cell r="C24">
            <v>0</v>
          </cell>
          <cell r="D24">
            <v>0</v>
          </cell>
          <cell r="E24">
            <v>1613.4994578008432</v>
          </cell>
          <cell r="F24">
            <v>974.49580039739692</v>
          </cell>
          <cell r="G24">
            <v>71.876358896631075</v>
          </cell>
          <cell r="H24">
            <v>0</v>
          </cell>
          <cell r="I24">
            <v>0</v>
          </cell>
          <cell r="J24">
            <v>2.2662054125461513</v>
          </cell>
          <cell r="K24">
            <v>0</v>
          </cell>
          <cell r="L24">
            <v>0</v>
          </cell>
          <cell r="M24">
            <v>3.6369425122475865</v>
          </cell>
          <cell r="N24">
            <v>5.5364820827928867</v>
          </cell>
          <cell r="P24">
            <v>2671.3112471024583</v>
          </cell>
        </row>
        <row r="25">
          <cell r="C25">
            <v>298.56030606629031</v>
          </cell>
          <cell r="D25">
            <v>156173.81093202587</v>
          </cell>
          <cell r="E25">
            <v>5338.711622870338</v>
          </cell>
          <cell r="F25">
            <v>1329.1200648232168</v>
          </cell>
          <cell r="G25">
            <v>0</v>
          </cell>
          <cell r="H25">
            <v>848.14859933836328</v>
          </cell>
          <cell r="I25">
            <v>94.584005076610978</v>
          </cell>
          <cell r="J25">
            <v>0</v>
          </cell>
          <cell r="K25">
            <v>0</v>
          </cell>
          <cell r="L25">
            <v>0</v>
          </cell>
          <cell r="M25">
            <v>758.92180445812767</v>
          </cell>
          <cell r="N25">
            <v>342.89333499695908</v>
          </cell>
          <cell r="P25">
            <v>165184.75066965577</v>
          </cell>
        </row>
        <row r="27">
          <cell r="C27">
            <v>1.2292402672257201</v>
          </cell>
          <cell r="D27">
            <v>5103.7584592142357</v>
          </cell>
          <cell r="E27">
            <v>282.74940692426031</v>
          </cell>
          <cell r="F27">
            <v>761.49220514563228</v>
          </cell>
          <cell r="G27">
            <v>1.5028953673864085</v>
          </cell>
          <cell r="H27">
            <v>15.546448500732623</v>
          </cell>
          <cell r="I27">
            <v>0</v>
          </cell>
          <cell r="J27">
            <v>2.2662054125461513</v>
          </cell>
          <cell r="K27">
            <v>7.4203257386232568</v>
          </cell>
          <cell r="L27">
            <v>0</v>
          </cell>
          <cell r="M27">
            <v>32.400546012058228</v>
          </cell>
          <cell r="N27">
            <v>12.912018527235345</v>
          </cell>
          <cell r="P27">
            <v>6221.2777511099348</v>
          </cell>
        </row>
        <row r="28">
          <cell r="C28">
            <v>0</v>
          </cell>
          <cell r="D28">
            <v>0</v>
          </cell>
          <cell r="E28">
            <v>20201.550653223152</v>
          </cell>
          <cell r="F28">
            <v>50075.726112833625</v>
          </cell>
          <cell r="G28">
            <v>2071.9959198145962</v>
          </cell>
          <cell r="H28">
            <v>0</v>
          </cell>
          <cell r="I28">
            <v>0</v>
          </cell>
          <cell r="J28">
            <v>6.8269987760241451</v>
          </cell>
          <cell r="K28">
            <v>0.64895074922588547</v>
          </cell>
          <cell r="L28">
            <v>69.173682095437968</v>
          </cell>
          <cell r="M28">
            <v>70.18025591502979</v>
          </cell>
          <cell r="N28">
            <v>150.58404892322591</v>
          </cell>
          <cell r="P28">
            <v>72646.686622330308</v>
          </cell>
        </row>
        <row r="29">
          <cell r="C29">
            <v>0</v>
          </cell>
          <cell r="D29">
            <v>0</v>
          </cell>
          <cell r="E29">
            <v>5023.6908884272525</v>
          </cell>
          <cell r="F29">
            <v>15842.355837410661</v>
          </cell>
          <cell r="G29">
            <v>1011.6845689178235</v>
          </cell>
          <cell r="H29">
            <v>0</v>
          </cell>
          <cell r="I29">
            <v>0</v>
          </cell>
          <cell r="J29">
            <v>16.152046532304816</v>
          </cell>
          <cell r="K29">
            <v>18.236171559054682</v>
          </cell>
          <cell r="L29">
            <v>237.35058949475555</v>
          </cell>
          <cell r="M29">
            <v>21.467440797062945</v>
          </cell>
          <cell r="N29">
            <v>46.051373701473317</v>
          </cell>
          <cell r="P29">
            <v>22216.98891684039</v>
          </cell>
        </row>
      </sheetData>
      <sheetData sheetId="10">
        <row r="3">
          <cell r="A3" t="str">
            <v>SOURCE: CS10-NP-FY25.xlsx, Inputs DK</v>
          </cell>
        </row>
        <row r="9">
          <cell r="B9" t="str">
            <v>First-Class</v>
          </cell>
        </row>
        <row r="10">
          <cell r="B10" t="str">
            <v xml:space="preserve">   SINGLE-PIECE LETTERS</v>
          </cell>
          <cell r="C10">
            <v>319780.68089636124</v>
          </cell>
          <cell r="D10">
            <v>2453387.3380321576</v>
          </cell>
          <cell r="E10">
            <v>5279.5744485247687</v>
          </cell>
          <cell r="F10">
            <v>0</v>
          </cell>
          <cell r="G10">
            <v>0</v>
          </cell>
          <cell r="H10">
            <v>0</v>
          </cell>
          <cell r="I10">
            <v>0</v>
          </cell>
          <cell r="K10">
            <v>536.93706384059851</v>
          </cell>
          <cell r="L10">
            <v>1174553</v>
          </cell>
          <cell r="M10">
            <v>0</v>
          </cell>
        </row>
        <row r="11">
          <cell r="B11" t="str">
            <v xml:space="preserve">   SINGLE-PIECE CARDS</v>
          </cell>
          <cell r="C11">
            <v>24785.934725034331</v>
          </cell>
          <cell r="D11">
            <v>88048.066727183832</v>
          </cell>
          <cell r="E11">
            <v>43.601966085974283</v>
          </cell>
          <cell r="F11">
            <v>0</v>
          </cell>
          <cell r="G11">
            <v>0</v>
          </cell>
          <cell r="H11">
            <v>0</v>
          </cell>
          <cell r="I11">
            <v>0</v>
          </cell>
          <cell r="K11">
            <v>3.9207200772200768</v>
          </cell>
          <cell r="L11">
            <v>0</v>
          </cell>
          <cell r="M11">
            <v>0</v>
          </cell>
        </row>
        <row r="12">
          <cell r="B12" t="str">
            <v xml:space="preserve">   PRESORT LETTERS</v>
          </cell>
          <cell r="C12">
            <v>608340.98418545979</v>
          </cell>
          <cell r="D12">
            <v>9356054.1318591889</v>
          </cell>
          <cell r="E12">
            <v>8070.1664445927918</v>
          </cell>
          <cell r="F12">
            <v>0</v>
          </cell>
          <cell r="G12">
            <v>0</v>
          </cell>
          <cell r="H12">
            <v>0</v>
          </cell>
          <cell r="I12">
            <v>0</v>
          </cell>
          <cell r="K12">
            <v>0</v>
          </cell>
          <cell r="L12">
            <v>0</v>
          </cell>
          <cell r="M12">
            <v>0</v>
          </cell>
        </row>
        <row r="13">
          <cell r="B13" t="str">
            <v xml:space="preserve">   PRESORT CARDS</v>
          </cell>
          <cell r="C13">
            <v>48685.288725713035</v>
          </cell>
          <cell r="D13">
            <v>718613.98737041792</v>
          </cell>
          <cell r="E13">
            <v>127.81158465819512</v>
          </cell>
          <cell r="F13">
            <v>0</v>
          </cell>
          <cell r="G13">
            <v>3.9207200772200768</v>
          </cell>
          <cell r="H13">
            <v>0</v>
          </cell>
          <cell r="I13">
            <v>0</v>
          </cell>
          <cell r="K13">
            <v>0</v>
          </cell>
          <cell r="L13">
            <v>0</v>
          </cell>
          <cell r="M13">
            <v>0</v>
          </cell>
        </row>
        <row r="14">
          <cell r="B14" t="str">
            <v xml:space="preserve">   SINGLE PIECE FLATS</v>
          </cell>
          <cell r="C14">
            <v>11.968546664021908</v>
          </cell>
          <cell r="D14">
            <v>0</v>
          </cell>
          <cell r="E14">
            <v>121531.84164461466</v>
          </cell>
          <cell r="F14">
            <v>0</v>
          </cell>
          <cell r="G14">
            <v>0</v>
          </cell>
          <cell r="H14">
            <v>0</v>
          </cell>
          <cell r="I14">
            <v>0</v>
          </cell>
          <cell r="K14">
            <v>349.78015929892695</v>
          </cell>
          <cell r="L14">
            <v>0</v>
          </cell>
          <cell r="M14">
            <v>0</v>
          </cell>
        </row>
        <row r="15">
          <cell r="B15" t="str">
            <v xml:space="preserve">   PRESORT FLATS</v>
          </cell>
          <cell r="C15">
            <v>8.0329679163938259</v>
          </cell>
          <cell r="D15">
            <v>0</v>
          </cell>
          <cell r="E15">
            <v>152734.31997765251</v>
          </cell>
          <cell r="F15">
            <v>0</v>
          </cell>
          <cell r="G15">
            <v>0</v>
          </cell>
          <cell r="H15">
            <v>0</v>
          </cell>
          <cell r="I15">
            <v>0</v>
          </cell>
          <cell r="K15">
            <v>0</v>
          </cell>
          <cell r="L15">
            <v>0</v>
          </cell>
          <cell r="M15">
            <v>0</v>
          </cell>
        </row>
        <row r="16">
          <cell r="B16" t="str">
            <v>USPS MARKETING MAIL (A)</v>
          </cell>
        </row>
        <row r="17">
          <cell r="B17" t="str">
            <v>ECR</v>
          </cell>
          <cell r="C17">
            <v>470749.85565440706</v>
          </cell>
          <cell r="D17">
            <v>1733992.0011934331</v>
          </cell>
          <cell r="E17">
            <v>2569469.6817834517</v>
          </cell>
          <cell r="F17">
            <v>0</v>
          </cell>
          <cell r="G17">
            <v>0</v>
          </cell>
          <cell r="H17">
            <v>0</v>
          </cell>
          <cell r="I17">
            <v>1605978.8045811423</v>
          </cell>
          <cell r="K17">
            <v>0</v>
          </cell>
          <cell r="L17">
            <v>0</v>
          </cell>
          <cell r="M17">
            <v>0</v>
          </cell>
        </row>
        <row r="18">
          <cell r="B18" t="str">
            <v xml:space="preserve">    HIGH DENSITY &amp; SATURATION LETTERS</v>
          </cell>
          <cell r="C18">
            <v>468996.62671882298</v>
          </cell>
          <cell r="D18">
            <v>1730656.3358446942</v>
          </cell>
          <cell r="E18">
            <v>13038.649562969142</v>
          </cell>
          <cell r="F18">
            <v>0</v>
          </cell>
          <cell r="G18">
            <v>0</v>
          </cell>
          <cell r="H18">
            <v>0</v>
          </cell>
          <cell r="I18">
            <v>206513.68433607538</v>
          </cell>
          <cell r="K18">
            <v>0</v>
          </cell>
          <cell r="L18">
            <v>0</v>
          </cell>
          <cell r="M18">
            <v>0</v>
          </cell>
        </row>
        <row r="19">
          <cell r="B19" t="str">
            <v xml:space="preserve">    HIGH DENSITY &amp; SATURATION FLATS &amp; PARCELS</v>
          </cell>
          <cell r="C19">
            <v>574.91811799597554</v>
          </cell>
          <cell r="D19">
            <v>0</v>
          </cell>
          <cell r="E19">
            <v>1487464.9607743204</v>
          </cell>
          <cell r="F19">
            <v>0</v>
          </cell>
          <cell r="G19">
            <v>0</v>
          </cell>
          <cell r="H19">
            <v>0</v>
          </cell>
          <cell r="I19">
            <v>1129595.6704067294</v>
          </cell>
          <cell r="K19">
            <v>0</v>
          </cell>
          <cell r="L19">
            <v>0</v>
          </cell>
          <cell r="M19">
            <v>0</v>
          </cell>
        </row>
        <row r="20">
          <cell r="B20" t="str">
            <v xml:space="preserve">      EVERY DOOR DIRECT MAIL RETAIL</v>
          </cell>
          <cell r="C20">
            <v>0</v>
          </cell>
          <cell r="D20">
            <v>0</v>
          </cell>
          <cell r="E20">
            <v>0</v>
          </cell>
          <cell r="F20">
            <v>0</v>
          </cell>
          <cell r="G20">
            <v>0</v>
          </cell>
          <cell r="H20">
            <v>0</v>
          </cell>
          <cell r="I20">
            <v>244656.83658735105</v>
          </cell>
          <cell r="K20">
            <v>0</v>
          </cell>
          <cell r="L20">
            <v>0</v>
          </cell>
          <cell r="M20">
            <v>0</v>
          </cell>
        </row>
        <row r="21">
          <cell r="B21" t="str">
            <v xml:space="preserve">   CARRIER ROUTE</v>
          </cell>
          <cell r="C21">
            <v>1178.3108175881282</v>
          </cell>
          <cell r="D21">
            <v>3335.6653487389949</v>
          </cell>
          <cell r="E21">
            <v>1068966.0714461622</v>
          </cell>
          <cell r="F21">
            <v>0</v>
          </cell>
          <cell r="G21">
            <v>0</v>
          </cell>
          <cell r="H21">
            <v>0</v>
          </cell>
          <cell r="I21">
            <v>25212.613250986476</v>
          </cell>
          <cell r="K21">
            <v>0</v>
          </cell>
          <cell r="L21">
            <v>0</v>
          </cell>
          <cell r="M21">
            <v>0</v>
          </cell>
        </row>
        <row r="22">
          <cell r="B22" t="str">
            <v>Regular</v>
          </cell>
          <cell r="C22">
            <v>1107000.1675965646</v>
          </cell>
          <cell r="D22">
            <v>12975443.082181618</v>
          </cell>
          <cell r="E22">
            <v>700362.13972465356</v>
          </cell>
          <cell r="F22">
            <v>4088.0896426324325</v>
          </cell>
          <cell r="G22">
            <v>643.05396556141761</v>
          </cell>
          <cell r="H22">
            <v>131.27934385628893</v>
          </cell>
          <cell r="I22">
            <v>6205.0246278084969</v>
          </cell>
          <cell r="K22">
            <v>19.795128148054054</v>
          </cell>
          <cell r="L22">
            <v>0</v>
          </cell>
          <cell r="M22">
            <v>0</v>
          </cell>
        </row>
        <row r="23">
          <cell r="B23" t="str">
            <v xml:space="preserve">    LETTERS</v>
          </cell>
          <cell r="C23">
            <v>1106952.940651593</v>
          </cell>
          <cell r="D23">
            <v>12975443.082181618</v>
          </cell>
          <cell r="E23">
            <v>17099.53291862824</v>
          </cell>
          <cell r="F23">
            <v>0</v>
          </cell>
          <cell r="G23">
            <v>91.879699968861829</v>
          </cell>
          <cell r="H23">
            <v>0</v>
          </cell>
          <cell r="I23">
            <v>5980.9385778676669</v>
          </cell>
          <cell r="K23">
            <v>8.0181092459858192</v>
          </cell>
          <cell r="L23">
            <v>0</v>
          </cell>
          <cell r="M23">
            <v>0</v>
          </cell>
        </row>
        <row r="24">
          <cell r="B24" t="str">
            <v xml:space="preserve">    FLATS</v>
          </cell>
          <cell r="C24">
            <v>47.226944971537009</v>
          </cell>
          <cell r="D24">
            <v>0</v>
          </cell>
          <cell r="E24">
            <v>683262.60680602537</v>
          </cell>
          <cell r="F24">
            <v>0</v>
          </cell>
          <cell r="G24">
            <v>35.661945534315009</v>
          </cell>
          <cell r="H24">
            <v>0</v>
          </cell>
          <cell r="I24">
            <v>224.08604994083041</v>
          </cell>
          <cell r="K24">
            <v>7.8414401544401535</v>
          </cell>
          <cell r="L24">
            <v>0</v>
          </cell>
          <cell r="M24">
            <v>0</v>
          </cell>
        </row>
        <row r="25">
          <cell r="B25" t="str">
            <v xml:space="preserve">      PARCELS</v>
          </cell>
          <cell r="C25">
            <v>0</v>
          </cell>
          <cell r="D25">
            <v>0</v>
          </cell>
          <cell r="E25">
            <v>0</v>
          </cell>
          <cell r="F25">
            <v>4088.0896426324325</v>
          </cell>
          <cell r="G25">
            <v>515.51232005824079</v>
          </cell>
          <cell r="H25">
            <v>131.27934385628893</v>
          </cell>
          <cell r="I25">
            <v>0</v>
          </cell>
          <cell r="K25">
            <v>3.9355787476280835</v>
          </cell>
          <cell r="L25">
            <v>0</v>
          </cell>
          <cell r="M25">
            <v>0</v>
          </cell>
        </row>
        <row r="26">
          <cell r="B26" t="str">
            <v>TOTAL PERIODICALS</v>
          </cell>
          <cell r="C26">
            <v>1911.7622921541772</v>
          </cell>
          <cell r="D26">
            <v>2943.0203895342493</v>
          </cell>
          <cell r="E26">
            <v>1063009.4155670376</v>
          </cell>
          <cell r="F26">
            <v>13526.581360123102</v>
          </cell>
          <cell r="G26">
            <v>703.11002671695678</v>
          </cell>
          <cell r="H26">
            <v>0</v>
          </cell>
          <cell r="I26">
            <v>12721.852270205503</v>
          </cell>
          <cell r="K26">
            <v>0</v>
          </cell>
          <cell r="L26">
            <v>0</v>
          </cell>
          <cell r="M26">
            <v>0</v>
          </cell>
        </row>
        <row r="27">
          <cell r="B27" t="str">
            <v>PACKAGE SERVICES</v>
          </cell>
        </row>
        <row r="28">
          <cell r="B28" t="str">
            <v xml:space="preserve">   BOUND PRINTED MATTER FLATS</v>
          </cell>
          <cell r="C28">
            <v>7.8711574952561669</v>
          </cell>
          <cell r="D28">
            <v>0</v>
          </cell>
          <cell r="E28">
            <v>34739.136251762546</v>
          </cell>
          <cell r="F28">
            <v>716.39622580536798</v>
          </cell>
          <cell r="G28">
            <v>402.83253475367093</v>
          </cell>
          <cell r="H28">
            <v>2.7449793053497547</v>
          </cell>
          <cell r="I28">
            <v>233.18982228699687</v>
          </cell>
          <cell r="K28">
            <v>3.9355787476280835</v>
          </cell>
          <cell r="L28">
            <v>1132</v>
          </cell>
          <cell r="M28">
            <v>0</v>
          </cell>
        </row>
        <row r="29">
          <cell r="B29" t="str">
            <v xml:space="preserve">   BOUND PRINTED MATTER PARCELS</v>
          </cell>
          <cell r="C29">
            <v>0</v>
          </cell>
          <cell r="D29">
            <v>0</v>
          </cell>
          <cell r="E29">
            <v>0</v>
          </cell>
          <cell r="F29">
            <v>51184.24403012704</v>
          </cell>
          <cell r="G29">
            <v>26490.26679899569</v>
          </cell>
          <cell r="H29">
            <v>3784.419091364372</v>
          </cell>
          <cell r="I29">
            <v>0</v>
          </cell>
          <cell r="K29">
            <v>11.85602644149381</v>
          </cell>
          <cell r="L29">
            <v>99</v>
          </cell>
          <cell r="M29">
            <v>269</v>
          </cell>
        </row>
        <row r="30">
          <cell r="B30" t="str">
            <v xml:space="preserve">   MEDIA AND LIBRARY MAIL</v>
          </cell>
          <cell r="C30">
            <v>0</v>
          </cell>
          <cell r="D30">
            <v>0</v>
          </cell>
          <cell r="E30">
            <v>0</v>
          </cell>
          <cell r="F30">
            <v>12728.419950483385</v>
          </cell>
          <cell r="G30">
            <v>8380.6719429692057</v>
          </cell>
          <cell r="H30">
            <v>1847.8020928699202</v>
          </cell>
          <cell r="I30">
            <v>0</v>
          </cell>
          <cell r="K30">
            <v>28.050260012316585</v>
          </cell>
          <cell r="L30">
            <v>2782</v>
          </cell>
          <cell r="M30">
            <v>923</v>
          </cell>
        </row>
        <row r="31">
          <cell r="B31" t="str">
            <v>Free &amp; USPS</v>
          </cell>
          <cell r="C31">
            <v>15500.795708154634</v>
          </cell>
          <cell r="D31">
            <v>87608.04404002009</v>
          </cell>
          <cell r="E31">
            <v>6743.5539485850923</v>
          </cell>
          <cell r="F31">
            <v>3387.4475081598312</v>
          </cell>
          <cell r="G31">
            <v>1717.6093870689667</v>
          </cell>
          <cell r="H31">
            <v>83.426018805211157</v>
          </cell>
          <cell r="I31">
            <v>0</v>
          </cell>
          <cell r="K31">
            <v>39.681246008754208</v>
          </cell>
          <cell r="L31">
            <v>12696</v>
          </cell>
          <cell r="M31">
            <v>1636</v>
          </cell>
        </row>
        <row r="32">
          <cell r="B32" t="str">
            <v>TOTAL VOLUME</v>
          </cell>
          <cell r="C32">
            <v>2599380.0229292074</v>
          </cell>
          <cell r="D32">
            <v>27426004.433363102</v>
          </cell>
          <cell r="E32">
            <v>4663733.1389697772</v>
          </cell>
          <cell r="F32">
            <v>1687172.7721538884</v>
          </cell>
          <cell r="G32">
            <v>893179.33574800449</v>
          </cell>
          <cell r="H32">
            <v>150179.75029976005</v>
          </cell>
          <cell r="I32">
            <v>1625138.8713014433</v>
          </cell>
          <cell r="K32">
            <v>2309.7931202958594</v>
          </cell>
          <cell r="L32">
            <v>1304056</v>
          </cell>
          <cell r="M32">
            <v>143485</v>
          </cell>
        </row>
      </sheetData>
      <sheetData sheetId="11">
        <row r="13">
          <cell r="G13">
            <v>3594.9339299488006</v>
          </cell>
          <cell r="H13">
            <v>2317.5580117742752</v>
          </cell>
        </row>
        <row r="15">
          <cell r="G15">
            <v>49.678776793443127</v>
          </cell>
        </row>
        <row r="16">
          <cell r="G16"/>
        </row>
        <row r="17">
          <cell r="G17">
            <v>282.78858192679542</v>
          </cell>
        </row>
        <row r="18">
          <cell r="G18">
            <v>0</v>
          </cell>
          <cell r="H18">
            <v>223.77644918640854</v>
          </cell>
        </row>
      </sheetData>
      <sheetData sheetId="12"/>
      <sheetData sheetId="13">
        <row r="7">
          <cell r="E7">
            <v>4823.7023951570109</v>
          </cell>
          <cell r="F7">
            <v>1545.7756616649997</v>
          </cell>
        </row>
        <row r="11">
          <cell r="E11">
            <v>16133.120113960555</v>
          </cell>
          <cell r="F11">
            <v>1810.7716819507921</v>
          </cell>
        </row>
        <row r="14">
          <cell r="E14">
            <v>13805.518284021222</v>
          </cell>
          <cell r="F14">
            <v>0</v>
          </cell>
        </row>
      </sheetData>
      <sheetData sheetId="14">
        <row r="9">
          <cell r="C9">
            <v>0</v>
          </cell>
          <cell r="E9"/>
        </row>
        <row r="13">
          <cell r="C13">
            <v>8703.364390910152</v>
          </cell>
          <cell r="D13">
            <v>34691.682784567551</v>
          </cell>
          <cell r="E13"/>
        </row>
        <row r="14">
          <cell r="C14">
            <v>197539.47822775837</v>
          </cell>
          <cell r="D14">
            <v>1339831.6659269209</v>
          </cell>
          <cell r="E14"/>
        </row>
        <row r="16">
          <cell r="C16"/>
          <cell r="D16"/>
        </row>
        <row r="17">
          <cell r="E17"/>
        </row>
      </sheetData>
      <sheetData sheetId="15">
        <row r="7">
          <cell r="E7">
            <v>-2</v>
          </cell>
        </row>
        <row r="11">
          <cell r="D11">
            <v>1.2754927507123646</v>
          </cell>
          <cell r="E11">
            <v>1.2077066130157168</v>
          </cell>
        </row>
        <row r="12">
          <cell r="D12">
            <v>1.2630276845681907</v>
          </cell>
          <cell r="E12">
            <v>1.2077066130157168</v>
          </cell>
        </row>
        <row r="13">
          <cell r="D13">
            <v>1.2653303072868729</v>
          </cell>
          <cell r="E13">
            <v>1.2077066130157168</v>
          </cell>
        </row>
        <row r="14">
          <cell r="D14">
            <v>1.2673642915008811</v>
          </cell>
          <cell r="E14">
            <v>1.2077066130157168</v>
          </cell>
        </row>
        <row r="15">
          <cell r="D15">
            <v>1.2217358201742257</v>
          </cell>
          <cell r="E15">
            <v>1.2077066130157168</v>
          </cell>
        </row>
        <row r="17">
          <cell r="D17">
            <v>1.2755174867004588</v>
          </cell>
          <cell r="E17">
            <v>1.2077066130157168</v>
          </cell>
        </row>
        <row r="18">
          <cell r="D18">
            <v>1.2868129111356181</v>
          </cell>
          <cell r="E18">
            <v>1.2077066130157168</v>
          </cell>
          <cell r="F18"/>
        </row>
        <row r="19">
          <cell r="D19">
            <v>1.2864901090081715</v>
          </cell>
          <cell r="E19">
            <v>1.2077066130157168</v>
          </cell>
        </row>
        <row r="21">
          <cell r="D21">
            <v>1.2655293838393302</v>
          </cell>
          <cell r="E21">
            <v>1.2077066130157168</v>
          </cell>
        </row>
        <row r="22">
          <cell r="D22">
            <v>1.2184706136890548</v>
          </cell>
          <cell r="E22">
            <v>1.2077066130157168</v>
          </cell>
        </row>
        <row r="23">
          <cell r="D23">
            <v>1.2711721661744866</v>
          </cell>
          <cell r="E23">
            <v>1.2077066130157168</v>
          </cell>
        </row>
        <row r="24">
          <cell r="D24">
            <v>1.2208235070108524</v>
          </cell>
          <cell r="E24">
            <v>1.2077066130157168</v>
          </cell>
        </row>
        <row r="26">
          <cell r="D26">
            <v>1.2254767674605556</v>
          </cell>
          <cell r="E26">
            <v>1.2077066130157168</v>
          </cell>
        </row>
        <row r="27">
          <cell r="D27">
            <v>1.2847367023954521</v>
          </cell>
          <cell r="E27">
            <v>1.2077066130157168</v>
          </cell>
        </row>
        <row r="28">
          <cell r="D28">
            <v>1.2907177071660745</v>
          </cell>
          <cell r="E28">
            <v>1.2077066130157168</v>
          </cell>
        </row>
      </sheetData>
      <sheetData sheetId="16">
        <row r="8">
          <cell r="C8">
            <v>0</v>
          </cell>
          <cell r="D8">
            <v>1280.6255924917684</v>
          </cell>
          <cell r="E8">
            <v>2226.1520000000005</v>
          </cell>
        </row>
        <row r="9">
          <cell r="C9">
            <v>0</v>
          </cell>
          <cell r="D9">
            <v>0</v>
          </cell>
          <cell r="E9">
            <v>0</v>
          </cell>
        </row>
        <row r="10">
          <cell r="C10">
            <v>0.85382551272888774</v>
          </cell>
          <cell r="D10">
            <v>95018.56733883475</v>
          </cell>
          <cell r="E10">
            <v>165173.78299999994</v>
          </cell>
        </row>
        <row r="11">
          <cell r="C11">
            <v>0.90229116412190491</v>
          </cell>
          <cell r="D11">
            <v>190240.71838385021</v>
          </cell>
          <cell r="E11">
            <v>330701.46200000076</v>
          </cell>
        </row>
        <row r="12">
          <cell r="C12">
            <v>0</v>
          </cell>
          <cell r="D12">
            <v>978.41801327756923</v>
          </cell>
          <cell r="E12">
            <v>1700.8150000000005</v>
          </cell>
        </row>
        <row r="13">
          <cell r="C13">
            <v>0</v>
          </cell>
          <cell r="D13">
            <v>745.02756683463224</v>
          </cell>
          <cell r="E13">
            <v>1295.1049999999993</v>
          </cell>
        </row>
        <row r="14">
          <cell r="C14">
            <v>0.90229116412190491</v>
          </cell>
          <cell r="D14">
            <v>0</v>
          </cell>
          <cell r="E14">
            <v>0</v>
          </cell>
        </row>
        <row r="15">
          <cell r="C15">
            <v>0.90229116412190491</v>
          </cell>
          <cell r="D15">
            <v>0</v>
          </cell>
          <cell r="E15">
            <v>0</v>
          </cell>
        </row>
        <row r="16">
          <cell r="C16">
            <v>0.86458014797418015</v>
          </cell>
          <cell r="D16">
            <v>731633.4340223301</v>
          </cell>
          <cell r="E16">
            <v>1271821.5550000011</v>
          </cell>
        </row>
        <row r="17">
          <cell r="C17">
            <v>0.89522960503121563</v>
          </cell>
          <cell r="D17">
            <v>3462074.7927555311</v>
          </cell>
          <cell r="E17">
            <v>6018234.1889999779</v>
          </cell>
        </row>
        <row r="18">
          <cell r="C18">
            <v>0.88352277798782219</v>
          </cell>
          <cell r="D18">
            <v>0</v>
          </cell>
          <cell r="E18">
            <v>0</v>
          </cell>
        </row>
        <row r="19">
          <cell r="C19">
            <v>0</v>
          </cell>
          <cell r="D19">
            <v>431670.08162938233</v>
          </cell>
          <cell r="E19">
            <v>750385.76551451348</v>
          </cell>
        </row>
        <row r="20">
          <cell r="C20">
            <v>0.97585900911016799</v>
          </cell>
          <cell r="D20">
            <v>11843494.151619431</v>
          </cell>
          <cell r="E20">
            <v>20587920.73748548</v>
          </cell>
        </row>
        <row r="21">
          <cell r="C21">
            <v>0.94154181952989746</v>
          </cell>
          <cell r="D21">
            <v>12275164.233248813</v>
          </cell>
          <cell r="E21">
            <v>21338306.502999995</v>
          </cell>
        </row>
        <row r="22">
          <cell r="C22">
            <v>0.92750157456466986</v>
          </cell>
        </row>
        <row r="24">
          <cell r="C24">
            <v>0</v>
          </cell>
          <cell r="D24">
            <v>429.59251534221096</v>
          </cell>
          <cell r="F24">
            <v>748.98797977218669</v>
          </cell>
        </row>
        <row r="25">
          <cell r="C25">
            <v>0</v>
          </cell>
          <cell r="D25">
            <v>323.72731009082378</v>
          </cell>
          <cell r="F25">
            <v>564.41361365167586</v>
          </cell>
        </row>
        <row r="26">
          <cell r="C26">
            <v>0.85384008270572487</v>
          </cell>
          <cell r="D26">
            <v>92311.128755770347</v>
          </cell>
          <cell r="F26">
            <v>160943.0410634556</v>
          </cell>
        </row>
        <row r="27">
          <cell r="C27">
            <v>0.90228888681847952</v>
          </cell>
          <cell r="D27">
            <v>185729.80770449748</v>
          </cell>
          <cell r="F27">
            <v>323817.07894806901</v>
          </cell>
        </row>
        <row r="28">
          <cell r="C28">
            <v>0</v>
          </cell>
          <cell r="D28">
            <v>971.49390574190102</v>
          </cell>
          <cell r="F28">
            <v>1693.7847654142342</v>
          </cell>
        </row>
        <row r="29">
          <cell r="C29">
            <v>0</v>
          </cell>
          <cell r="D29">
            <v>747.16060384906996</v>
          </cell>
          <cell r="F29">
            <v>1302.6630847990832</v>
          </cell>
        </row>
        <row r="30">
          <cell r="C30">
            <v>0.86541423474782009</v>
          </cell>
          <cell r="D30">
            <v>557889.05957101285</v>
          </cell>
          <cell r="F30">
            <v>972671.04230677593</v>
          </cell>
        </row>
        <row r="31">
          <cell r="C31">
            <v>0.89507754917882254</v>
          </cell>
          <cell r="D31">
            <v>3178122.6931046229</v>
          </cell>
          <cell r="F31">
            <v>5541008.3052317118</v>
          </cell>
        </row>
        <row r="32">
          <cell r="C32">
            <v>0.88352277798782219</v>
          </cell>
          <cell r="D32">
            <v>33.191105259725724</v>
          </cell>
          <cell r="F32">
            <v>57.868184353921627</v>
          </cell>
        </row>
        <row r="33">
          <cell r="C33">
            <v>0.94154181952989746</v>
          </cell>
          <cell r="D33">
            <v>17728376.661232706</v>
          </cell>
          <cell r="F33">
            <v>30909153.548821993</v>
          </cell>
        </row>
        <row r="34">
          <cell r="C34">
            <v>0.9319830150439411</v>
          </cell>
          <cell r="D34">
            <v>21744934.515808892</v>
          </cell>
          <cell r="F34">
            <v>37911960.733999997</v>
          </cell>
        </row>
        <row r="36">
          <cell r="C36">
            <v>0.85382551272888774</v>
          </cell>
          <cell r="D36">
            <v>46595.509075607319</v>
          </cell>
          <cell r="E36">
            <v>80860.525999999998</v>
          </cell>
        </row>
        <row r="37">
          <cell r="C37">
            <v>0.86458014797418015</v>
          </cell>
          <cell r="D37">
            <v>110336.38571782364</v>
          </cell>
          <cell r="E37">
            <v>191474.63699999978</v>
          </cell>
        </row>
        <row r="38">
          <cell r="C38">
            <v>0.89522960503121563</v>
          </cell>
          <cell r="D38">
            <v>457897.86226103728</v>
          </cell>
          <cell r="E38">
            <v>794622.97399999877</v>
          </cell>
        </row>
        <row r="39">
          <cell r="C39">
            <v>0.88352277798782219</v>
          </cell>
          <cell r="D39">
            <v>0</v>
          </cell>
          <cell r="E39">
            <v>0</v>
          </cell>
        </row>
        <row r="40">
          <cell r="C40">
            <v>0.94154181952989746</v>
          </cell>
          <cell r="D40">
            <v>733757.07423170167</v>
          </cell>
          <cell r="E40">
            <v>1273341.2329999986</v>
          </cell>
        </row>
        <row r="41">
          <cell r="C41">
            <v>0</v>
          </cell>
          <cell r="D41">
            <v>25803.400273195763</v>
          </cell>
          <cell r="E41">
            <v>44778.48960279781</v>
          </cell>
        </row>
        <row r="42">
          <cell r="C42">
            <v>0.97585900911016799</v>
          </cell>
          <cell r="D42">
            <v>707953.67395850585</v>
          </cell>
          <cell r="E42">
            <v>1228562.7433972007</v>
          </cell>
        </row>
        <row r="43">
          <cell r="C43">
            <v>0.91648957826547328</v>
          </cell>
          <cell r="D43">
            <v>1348586.8312861701</v>
          </cell>
          <cell r="E43">
            <v>2340299.3699999973</v>
          </cell>
        </row>
      </sheetData>
      <sheetData sheetId="17">
        <row r="10">
          <cell r="C10">
            <v>1643112.6201303282</v>
          </cell>
        </row>
        <row r="11">
          <cell r="C11">
            <v>413699.9394349088</v>
          </cell>
        </row>
        <row r="12">
          <cell r="C12">
            <v>910014.63364181761</v>
          </cell>
        </row>
        <row r="13">
          <cell r="C13">
            <v>0</v>
          </cell>
        </row>
        <row r="14">
          <cell r="C14">
            <v>0</v>
          </cell>
        </row>
        <row r="16">
          <cell r="C16">
            <v>1174592.3716762194</v>
          </cell>
        </row>
        <row r="17">
          <cell r="C17">
            <v>557657.16522825533</v>
          </cell>
        </row>
        <row r="18">
          <cell r="C18">
            <v>4222044.129109242</v>
          </cell>
        </row>
        <row r="19">
          <cell r="C19">
            <v>0</v>
          </cell>
        </row>
        <row r="20">
          <cell r="C20">
            <v>0</v>
          </cell>
        </row>
      </sheetData>
      <sheetData sheetId="18">
        <row r="11">
          <cell r="C11">
            <v>979062.21685906453</v>
          </cell>
        </row>
        <row r="12">
          <cell r="C12">
            <v>751594.11898562964</v>
          </cell>
        </row>
        <row r="16">
          <cell r="E16">
            <v>255612.47967371228</v>
          </cell>
          <cell r="F16">
            <v>574.91811799597554</v>
          </cell>
        </row>
        <row r="17">
          <cell r="E17">
            <v>213384.14704511067</v>
          </cell>
          <cell r="F17">
            <v>0</v>
          </cell>
        </row>
        <row r="21">
          <cell r="E21">
            <v>6684.430049239656</v>
          </cell>
          <cell r="F21">
            <v>480083.19705302402</v>
          </cell>
          <cell r="G21">
            <v>0</v>
          </cell>
        </row>
        <row r="22">
          <cell r="E22">
            <v>6354.2195137294857</v>
          </cell>
          <cell r="F22">
            <v>1007381.7637212964</v>
          </cell>
          <cell r="G22">
            <v>0</v>
          </cell>
        </row>
        <row r="26">
          <cell r="E26">
            <v>0</v>
          </cell>
          <cell r="F26">
            <v>0</v>
          </cell>
        </row>
        <row r="27">
          <cell r="E27">
            <v>0</v>
          </cell>
          <cell r="F27">
            <v>0</v>
          </cell>
        </row>
        <row r="31">
          <cell r="E31">
            <v>0</v>
          </cell>
          <cell r="F31">
            <v>0</v>
          </cell>
          <cell r="G31">
            <v>0</v>
          </cell>
        </row>
        <row r="32">
          <cell r="E32">
            <v>0</v>
          </cell>
        </row>
        <row r="36">
          <cell r="E36">
            <v>0</v>
          </cell>
          <cell r="F36">
            <v>0</v>
          </cell>
          <cell r="G36">
            <v>0</v>
          </cell>
        </row>
        <row r="37">
          <cell r="E37">
            <v>0</v>
          </cell>
        </row>
        <row r="41">
          <cell r="G41">
            <v>0</v>
          </cell>
        </row>
        <row r="49">
          <cell r="E49"/>
        </row>
      </sheetData>
      <sheetData sheetId="19">
        <row r="10">
          <cell r="C10">
            <v>9372495.3469999991</v>
          </cell>
        </row>
        <row r="14">
          <cell r="D14">
            <v>407262.05699999997</v>
          </cell>
        </row>
        <row r="15">
          <cell r="D15">
            <v>432797.83499999996</v>
          </cell>
        </row>
        <row r="18">
          <cell r="C18">
            <v>3430799.22</v>
          </cell>
        </row>
        <row r="19">
          <cell r="C19">
            <v>2586614.3319999999</v>
          </cell>
        </row>
        <row r="21">
          <cell r="D21">
            <v>1307868.6629999999</v>
          </cell>
          <cell r="E21"/>
        </row>
        <row r="22">
          <cell r="D22">
            <v>6561008.1629999997</v>
          </cell>
          <cell r="E22">
            <v>0</v>
          </cell>
        </row>
        <row r="23">
          <cell r="D23">
            <v>559191.61399999994</v>
          </cell>
        </row>
        <row r="26">
          <cell r="D26">
            <v>1668400.57</v>
          </cell>
        </row>
        <row r="27">
          <cell r="E27">
            <v>11706.037</v>
          </cell>
        </row>
        <row r="28">
          <cell r="C28">
            <v>11646.645758875111</v>
          </cell>
          <cell r="D28">
            <v>2429662.3454087558</v>
          </cell>
          <cell r="E28">
            <v>1393.0018323693043</v>
          </cell>
        </row>
        <row r="30">
          <cell r="D30">
            <v>104285.946</v>
          </cell>
        </row>
        <row r="31">
          <cell r="E31">
            <v>225885.52600000001</v>
          </cell>
        </row>
        <row r="32">
          <cell r="D32">
            <v>5928.9068332888264</v>
          </cell>
          <cell r="E32">
            <v>63167.22516671117</v>
          </cell>
        </row>
      </sheetData>
      <sheetData sheetId="20">
        <row r="11">
          <cell r="D11">
            <v>126893.54120310355</v>
          </cell>
          <cell r="E11">
            <v>4900.9112686824465</v>
          </cell>
        </row>
        <row r="15">
          <cell r="D15">
            <v>84340.895904073506</v>
          </cell>
          <cell r="E15">
            <v>1243.4850089500299</v>
          </cell>
        </row>
      </sheetData>
      <sheetData sheetId="21">
        <row r="6">
          <cell r="C6">
            <v>-1</v>
          </cell>
        </row>
        <row r="10">
          <cell r="C10">
            <v>166784763.10762477</v>
          </cell>
          <cell r="D10">
            <v>166784.76310762478</v>
          </cell>
        </row>
        <row r="12">
          <cell r="D12">
            <v>361929.81521195872</v>
          </cell>
        </row>
        <row r="13">
          <cell r="D13">
            <v>26930.441570345323</v>
          </cell>
        </row>
        <row r="18">
          <cell r="C18">
            <v>33827055.964182079</v>
          </cell>
          <cell r="D18">
            <v>33827.05596418208</v>
          </cell>
        </row>
        <row r="19">
          <cell r="C19">
            <v>21372307.177429557</v>
          </cell>
        </row>
        <row r="21">
          <cell r="C21">
            <v>45414553.534857363</v>
          </cell>
          <cell r="D21">
            <v>45414.553534857361</v>
          </cell>
        </row>
        <row r="22">
          <cell r="D22">
            <v>0</v>
          </cell>
        </row>
        <row r="23">
          <cell r="C23">
            <v>45414553.534857363</v>
          </cell>
        </row>
        <row r="24">
          <cell r="C24">
            <v>0</v>
          </cell>
          <cell r="D24">
            <v>0</v>
          </cell>
        </row>
        <row r="25">
          <cell r="C25">
            <v>25061774.432284243</v>
          </cell>
          <cell r="D25">
            <v>25061.774432284245</v>
          </cell>
        </row>
        <row r="26">
          <cell r="D26">
            <v>182.79811481287598</v>
          </cell>
        </row>
        <row r="27">
          <cell r="C27">
            <v>24878976.317471366</v>
          </cell>
        </row>
        <row r="29">
          <cell r="C29">
            <v>0</v>
          </cell>
          <cell r="D29">
            <v>0</v>
          </cell>
        </row>
        <row r="32">
          <cell r="D32">
            <v>476703.92568861647</v>
          </cell>
        </row>
        <row r="36">
          <cell r="C36">
            <v>85464.204403230236</v>
          </cell>
        </row>
        <row r="37">
          <cell r="C37">
            <v>195493962.71163911</v>
          </cell>
        </row>
        <row r="38">
          <cell r="C38">
            <v>103211.61722937418</v>
          </cell>
        </row>
        <row r="43">
          <cell r="C43">
            <v>705981.03154192457</v>
          </cell>
          <cell r="D43">
            <v>705.98103154192461</v>
          </cell>
        </row>
        <row r="44">
          <cell r="C44">
            <v>7593345.556636435</v>
          </cell>
          <cell r="D44">
            <v>7593.3455566364346</v>
          </cell>
        </row>
      </sheetData>
      <sheetData sheetId="22">
        <row r="3">
          <cell r="A3" t="str">
            <v>SOURCE:  KLTable_Casing25.xlsx</v>
          </cell>
        </row>
        <row r="6">
          <cell r="C6">
            <v>-1</v>
          </cell>
        </row>
        <row r="10">
          <cell r="D10">
            <v>128202.82139651167</v>
          </cell>
          <cell r="E10">
            <v>38581.941711113104</v>
          </cell>
        </row>
        <row r="11">
          <cell r="D11">
            <v>6627.6224540897101</v>
          </cell>
          <cell r="E11">
            <v>2736.9130336959852</v>
          </cell>
        </row>
        <row r="12">
          <cell r="C12">
            <v>285096631.88555133</v>
          </cell>
          <cell r="D12">
            <v>285096.63188555132</v>
          </cell>
          <cell r="E12">
            <v>76833.183326407394</v>
          </cell>
        </row>
        <row r="13">
          <cell r="C13">
            <v>20746004.309347477</v>
          </cell>
          <cell r="D13">
            <v>20746.004309347478</v>
          </cell>
        </row>
        <row r="14">
          <cell r="D14">
            <v>50210.997987894065</v>
          </cell>
          <cell r="E14">
            <v>13557.657979548065</v>
          </cell>
        </row>
        <row r="15">
          <cell r="D15">
            <v>57186.656586226774</v>
          </cell>
          <cell r="E15">
            <v>9430.6527040258807</v>
          </cell>
        </row>
        <row r="18">
          <cell r="D18">
            <v>25524.362823455009</v>
          </cell>
          <cell r="E18">
            <v>8302.6931407270713</v>
          </cell>
        </row>
        <row r="19">
          <cell r="D19">
            <v>16794.799381632885</v>
          </cell>
          <cell r="E19">
            <v>4577.5077957966714</v>
          </cell>
        </row>
        <row r="21">
          <cell r="D21">
            <v>39792.276082923847</v>
          </cell>
          <cell r="E21">
            <v>5622.2774519335144</v>
          </cell>
        </row>
        <row r="22">
          <cell r="D22">
            <v>0</v>
          </cell>
        </row>
        <row r="23">
          <cell r="E23">
            <v>5622.2774519335144</v>
          </cell>
        </row>
        <row r="24">
          <cell r="D24">
            <v>0</v>
          </cell>
          <cell r="E24">
            <v>0</v>
          </cell>
        </row>
        <row r="25">
          <cell r="D25">
            <v>21534.62274505556</v>
          </cell>
          <cell r="E25">
            <v>3527.1516872286848</v>
          </cell>
        </row>
        <row r="26">
          <cell r="D26">
            <v>164.4518436703778</v>
          </cell>
        </row>
        <row r="27">
          <cell r="E27">
            <v>3508.8054160861866</v>
          </cell>
        </row>
        <row r="29">
          <cell r="D29">
            <v>0</v>
          </cell>
          <cell r="E29">
            <v>0</v>
          </cell>
        </row>
        <row r="30">
          <cell r="D30">
            <v>3687.7934468462458</v>
          </cell>
          <cell r="E30">
            <v>1319.7381989381124</v>
          </cell>
        </row>
        <row r="32">
          <cell r="C32">
            <v>381568133.39349383</v>
          </cell>
          <cell r="D32">
            <v>381568.13339349383</v>
          </cell>
        </row>
        <row r="33">
          <cell r="D33">
            <v>189274.66659465636</v>
          </cell>
          <cell r="E33">
            <v>35989.06534764485</v>
          </cell>
        </row>
        <row r="34">
          <cell r="D34">
            <v>949.65928904047928</v>
          </cell>
          <cell r="E34">
            <v>533.25455029726118</v>
          </cell>
        </row>
        <row r="36">
          <cell r="C36">
            <v>76480.84947995127</v>
          </cell>
        </row>
        <row r="37">
          <cell r="C37">
            <v>168217030.74177122</v>
          </cell>
        </row>
        <row r="38">
          <cell r="C38">
            <v>0</v>
          </cell>
        </row>
        <row r="40">
          <cell r="D40">
            <v>7135.0610954011645</v>
          </cell>
          <cell r="E40">
            <v>919.77910457484631</v>
          </cell>
        </row>
        <row r="41">
          <cell r="D41">
            <v>14198.229008894234</v>
          </cell>
          <cell r="E41">
            <v>10221.55421239637</v>
          </cell>
        </row>
        <row r="43">
          <cell r="D43">
            <v>487.01763999265671</v>
          </cell>
          <cell r="E43">
            <v>218.9633915492679</v>
          </cell>
        </row>
        <row r="44">
          <cell r="D44">
            <v>3749.2967717901001</v>
          </cell>
          <cell r="E44">
            <v>3844.0487848463345</v>
          </cell>
        </row>
      </sheetData>
      <sheetData sheetId="23">
        <row r="10">
          <cell r="C10">
            <v>0</v>
          </cell>
          <cell r="D10">
            <v>73385422.094188452</v>
          </cell>
          <cell r="E10">
            <v>57740256.682918727</v>
          </cell>
          <cell r="F10">
            <v>5472313.7748334734</v>
          </cell>
          <cell r="I10">
            <v>0.46266546471947928</v>
          </cell>
          <cell r="K10">
            <v>0.52006887110057531</v>
          </cell>
        </row>
        <row r="11">
          <cell r="C11">
            <v>1230921</v>
          </cell>
          <cell r="D11">
            <v>93079135.175785348</v>
          </cell>
          <cell r="E11">
            <v>70175814.826454729</v>
          </cell>
          <cell r="F11">
            <v>3891319.5774857318</v>
          </cell>
          <cell r="I11">
            <v>0.535282672410889</v>
          </cell>
          <cell r="K11">
            <v>0.47799869219296032</v>
          </cell>
        </row>
        <row r="12">
          <cell r="D12">
            <v>320205.83765098627</v>
          </cell>
          <cell r="E12">
            <v>286749.88713821757</v>
          </cell>
          <cell r="F12">
            <v>8863.6256807955469</v>
          </cell>
          <cell r="I12">
            <v>2.0518628696317618E-3</v>
          </cell>
          <cell r="K12">
            <v>1.932436706464392E-3</v>
          </cell>
        </row>
      </sheetData>
      <sheetData sheetId="24">
        <row r="6">
          <cell r="D6">
            <v>-2</v>
          </cell>
          <cell r="F6">
            <v>-4</v>
          </cell>
        </row>
        <row r="9">
          <cell r="A9">
            <v>1</v>
          </cell>
          <cell r="D9">
            <v>2468.5903069823953</v>
          </cell>
          <cell r="E9">
            <v>6537.3288072670684</v>
          </cell>
          <cell r="F9">
            <v>-4068.7385002846731</v>
          </cell>
          <cell r="I9">
            <v>-2251.6959862916274</v>
          </cell>
        </row>
        <row r="10">
          <cell r="E10">
            <v>1230535.7578238398</v>
          </cell>
        </row>
        <row r="11">
          <cell r="A11">
            <v>3</v>
          </cell>
          <cell r="D11">
            <v>1205.6720228542347</v>
          </cell>
          <cell r="E11">
            <v>779.46821588788885</v>
          </cell>
          <cell r="F11">
            <v>426.20380696634584</v>
          </cell>
          <cell r="H11">
            <v>505.07110782104365</v>
          </cell>
        </row>
      </sheetData>
      <sheetData sheetId="25"/>
      <sheetData sheetId="2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5.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6"/>
  </sheetPr>
  <dimension ref="A1:D14"/>
  <sheetViews>
    <sheetView workbookViewId="0">
      <selection activeCell="B14" sqref="B14"/>
    </sheetView>
  </sheetViews>
  <sheetFormatPr defaultRowHeight="12.75" x14ac:dyDescent="0.2"/>
  <cols>
    <col min="1" max="1" width="41.5703125" bestFit="1" customWidth="1"/>
    <col min="2" max="2" width="75.5703125" customWidth="1"/>
    <col min="3" max="3" width="21.140625" style="241" customWidth="1"/>
    <col min="4" max="4" width="55.42578125" style="241" customWidth="1"/>
  </cols>
  <sheetData>
    <row r="1" spans="1:4" x14ac:dyDescent="0.2">
      <c r="A1" s="263" t="str">
        <f>[1]Inputs!$C$4</f>
        <v>Unit Delivery Cost Model -  12/16/2025</v>
      </c>
    </row>
    <row r="2" spans="1:4" x14ac:dyDescent="0.2">
      <c r="A2" s="15" t="s">
        <v>185</v>
      </c>
    </row>
    <row r="4" spans="1:4" x14ac:dyDescent="0.2">
      <c r="A4" s="302" t="s">
        <v>271</v>
      </c>
      <c r="B4" s="303" t="s">
        <v>450</v>
      </c>
      <c r="C4"/>
      <c r="D4"/>
    </row>
    <row r="5" spans="1:4" s="207" customFormat="1" ht="12" x14ac:dyDescent="0.2">
      <c r="A5" s="256" t="s">
        <v>128</v>
      </c>
      <c r="B5" s="258" t="s">
        <v>451</v>
      </c>
    </row>
    <row r="6" spans="1:4" s="207" customFormat="1" ht="24" x14ac:dyDescent="0.2">
      <c r="A6" s="256" t="s">
        <v>272</v>
      </c>
      <c r="B6" s="258" t="s">
        <v>273</v>
      </c>
    </row>
    <row r="7" spans="1:4" s="207" customFormat="1" ht="24" x14ac:dyDescent="0.2">
      <c r="A7" s="256" t="s">
        <v>349</v>
      </c>
      <c r="B7" s="258" t="s">
        <v>452</v>
      </c>
    </row>
    <row r="8" spans="1:4" s="207" customFormat="1" ht="24" x14ac:dyDescent="0.2">
      <c r="A8" s="256" t="s">
        <v>350</v>
      </c>
      <c r="B8" s="257" t="s">
        <v>434</v>
      </c>
    </row>
    <row r="9" spans="1:4" s="207" customFormat="1" ht="48" x14ac:dyDescent="0.2">
      <c r="A9" s="256" t="s">
        <v>351</v>
      </c>
      <c r="B9" s="258" t="s">
        <v>435</v>
      </c>
    </row>
    <row r="10" spans="1:4" s="207" customFormat="1" ht="12" x14ac:dyDescent="0.2">
      <c r="A10" s="256" t="s">
        <v>333</v>
      </c>
      <c r="B10" s="257" t="s">
        <v>180</v>
      </c>
    </row>
    <row r="11" spans="1:4" s="207" customFormat="1" ht="24" x14ac:dyDescent="0.2">
      <c r="A11" s="256" t="s">
        <v>352</v>
      </c>
      <c r="B11" s="258" t="s">
        <v>436</v>
      </c>
    </row>
    <row r="12" spans="1:4" s="207" customFormat="1" ht="12" x14ac:dyDescent="0.2">
      <c r="A12" s="256" t="s">
        <v>332</v>
      </c>
      <c r="B12" s="258" t="s">
        <v>181</v>
      </c>
    </row>
    <row r="13" spans="1:4" s="207" customFormat="1" ht="12" x14ac:dyDescent="0.2">
      <c r="A13" s="256" t="s">
        <v>336</v>
      </c>
      <c r="B13" s="304" t="s">
        <v>453</v>
      </c>
    </row>
    <row r="14" spans="1:4" s="207" customFormat="1" ht="24" x14ac:dyDescent="0.2">
      <c r="A14" s="259" t="s">
        <v>353</v>
      </c>
      <c r="B14" s="258" t="s">
        <v>454</v>
      </c>
    </row>
  </sheetData>
  <phoneticPr fontId="10" type="noConversion"/>
  <pageMargins left="0.75" right="0.75" top="1" bottom="1" header="0.5" footer="0.5"/>
  <pageSetup scale="90" orientation="landscape" horizontalDpi="300" verticalDpi="300" r:id="rId1"/>
  <headerFooter alignWithMargins="0">
    <oddHeader>&amp;RUSPS-FY09-19</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sheetPr>
  <dimension ref="A1:B43"/>
  <sheetViews>
    <sheetView topLeftCell="A16" workbookViewId="0">
      <selection activeCell="A48" sqref="A48"/>
    </sheetView>
  </sheetViews>
  <sheetFormatPr defaultRowHeight="12.75" x14ac:dyDescent="0.2"/>
  <cols>
    <col min="1" max="1" width="30" customWidth="1"/>
    <col min="2" max="2" width="75.85546875" customWidth="1"/>
  </cols>
  <sheetData>
    <row r="1" spans="1:2" x14ac:dyDescent="0.2">
      <c r="A1" s="15" t="s">
        <v>288</v>
      </c>
    </row>
    <row r="3" spans="1:2" x14ac:dyDescent="0.2">
      <c r="A3" s="15" t="s">
        <v>366</v>
      </c>
    </row>
    <row r="4" spans="1:2" x14ac:dyDescent="0.2">
      <c r="A4" s="223" t="s">
        <v>369</v>
      </c>
      <c r="B4" s="223" t="s">
        <v>370</v>
      </c>
    </row>
    <row r="5" spans="1:2" x14ac:dyDescent="0.2">
      <c r="A5" s="223" t="s">
        <v>349</v>
      </c>
      <c r="B5" s="223" t="s">
        <v>372</v>
      </c>
    </row>
    <row r="6" spans="1:2" x14ac:dyDescent="0.2">
      <c r="A6" s="223"/>
      <c r="B6" s="223" t="s">
        <v>370</v>
      </c>
    </row>
    <row r="7" spans="1:2" x14ac:dyDescent="0.2">
      <c r="A7" s="223" t="s">
        <v>352</v>
      </c>
      <c r="B7" s="223" t="s">
        <v>368</v>
      </c>
    </row>
    <row r="8" spans="1:2" x14ac:dyDescent="0.2">
      <c r="A8" s="223" t="s">
        <v>332</v>
      </c>
      <c r="B8" s="223" t="s">
        <v>373</v>
      </c>
    </row>
    <row r="10" spans="1:2" x14ac:dyDescent="0.2">
      <c r="A10" s="15" t="s">
        <v>374</v>
      </c>
    </row>
    <row r="11" spans="1:2" x14ac:dyDescent="0.2">
      <c r="A11" s="223" t="s">
        <v>377</v>
      </c>
      <c r="B11" s="223" t="s">
        <v>378</v>
      </c>
    </row>
    <row r="12" spans="1:2" x14ac:dyDescent="0.2">
      <c r="A12" s="223" t="s">
        <v>349</v>
      </c>
      <c r="B12" s="223" t="s">
        <v>375</v>
      </c>
    </row>
    <row r="13" spans="1:2" x14ac:dyDescent="0.2">
      <c r="A13" s="223" t="s">
        <v>332</v>
      </c>
      <c r="B13" s="223" t="s">
        <v>376</v>
      </c>
    </row>
    <row r="15" spans="1:2" x14ac:dyDescent="0.2">
      <c r="A15" s="15" t="s">
        <v>380</v>
      </c>
    </row>
    <row r="16" spans="1:2" x14ac:dyDescent="0.2">
      <c r="A16" s="223" t="s">
        <v>332</v>
      </c>
      <c r="B16" s="223" t="s">
        <v>381</v>
      </c>
    </row>
    <row r="18" spans="1:2" x14ac:dyDescent="0.2">
      <c r="A18" s="15" t="s">
        <v>383</v>
      </c>
    </row>
    <row r="20" spans="1:2" x14ac:dyDescent="0.2">
      <c r="A20" s="15" t="s">
        <v>421</v>
      </c>
    </row>
    <row r="21" spans="1:2" x14ac:dyDescent="0.2">
      <c r="A21" t="s">
        <v>333</v>
      </c>
      <c r="B21" s="223" t="s">
        <v>386</v>
      </c>
    </row>
    <row r="22" spans="1:2" x14ac:dyDescent="0.2">
      <c r="A22" t="s">
        <v>385</v>
      </c>
      <c r="B22" s="223" t="s">
        <v>396</v>
      </c>
    </row>
    <row r="23" spans="1:2" x14ac:dyDescent="0.2">
      <c r="A23" t="s">
        <v>351</v>
      </c>
      <c r="B23" s="223" t="s">
        <v>404</v>
      </c>
    </row>
    <row r="25" spans="1:2" x14ac:dyDescent="0.2">
      <c r="A25" s="15" t="s">
        <v>422</v>
      </c>
    </row>
    <row r="26" spans="1:2" x14ac:dyDescent="0.2">
      <c r="A26" t="s">
        <v>382</v>
      </c>
      <c r="B26" s="223" t="s">
        <v>384</v>
      </c>
    </row>
    <row r="27" spans="1:2" x14ac:dyDescent="0.2">
      <c r="A27" t="s">
        <v>333</v>
      </c>
      <c r="B27" s="223" t="s">
        <v>384</v>
      </c>
    </row>
    <row r="28" spans="1:2" x14ac:dyDescent="0.2">
      <c r="A28" t="s">
        <v>332</v>
      </c>
      <c r="B28" s="223" t="s">
        <v>416</v>
      </c>
    </row>
    <row r="29" spans="1:2" x14ac:dyDescent="0.2">
      <c r="A29" t="s">
        <v>332</v>
      </c>
      <c r="B29" s="223" t="s">
        <v>415</v>
      </c>
    </row>
    <row r="30" spans="1:2" x14ac:dyDescent="0.2">
      <c r="A30" t="s">
        <v>377</v>
      </c>
      <c r="B30" s="223" t="s">
        <v>417</v>
      </c>
    </row>
    <row r="31" spans="1:2" x14ac:dyDescent="0.2">
      <c r="A31" t="s">
        <v>349</v>
      </c>
      <c r="B31" s="223" t="s">
        <v>417</v>
      </c>
    </row>
    <row r="32" spans="1:2" x14ac:dyDescent="0.2">
      <c r="A32" t="s">
        <v>418</v>
      </c>
      <c r="B32" s="223" t="s">
        <v>417</v>
      </c>
    </row>
    <row r="33" spans="1:2" x14ac:dyDescent="0.2">
      <c r="A33" t="s">
        <v>352</v>
      </c>
      <c r="B33" s="223" t="s">
        <v>419</v>
      </c>
    </row>
    <row r="35" spans="1:2" x14ac:dyDescent="0.2">
      <c r="A35" s="15" t="s">
        <v>423</v>
      </c>
    </row>
    <row r="36" spans="1:2" x14ac:dyDescent="0.2">
      <c r="A36" t="s">
        <v>385</v>
      </c>
      <c r="B36" s="223" t="s">
        <v>424</v>
      </c>
    </row>
    <row r="37" spans="1:2" x14ac:dyDescent="0.2">
      <c r="A37" t="s">
        <v>351</v>
      </c>
      <c r="B37" s="223" t="s">
        <v>424</v>
      </c>
    </row>
    <row r="38" spans="1:2" x14ac:dyDescent="0.2">
      <c r="A38" t="s">
        <v>352</v>
      </c>
      <c r="B38" s="223" t="s">
        <v>424</v>
      </c>
    </row>
    <row r="39" spans="1:2" x14ac:dyDescent="0.2">
      <c r="A39" t="s">
        <v>333</v>
      </c>
      <c r="B39" s="223" t="s">
        <v>433</v>
      </c>
    </row>
    <row r="41" spans="1:2" x14ac:dyDescent="0.2">
      <c r="A41" s="15" t="s">
        <v>455</v>
      </c>
    </row>
    <row r="42" spans="1:2" x14ac:dyDescent="0.2">
      <c r="A42" t="s">
        <v>385</v>
      </c>
      <c r="B42" t="s">
        <v>456</v>
      </c>
    </row>
    <row r="43" spans="1:2" x14ac:dyDescent="0.2">
      <c r="A43" t="s">
        <v>351</v>
      </c>
      <c r="B43" s="223" t="s">
        <v>457</v>
      </c>
    </row>
  </sheetData>
  <phoneticPr fontId="1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92D050"/>
    <pageSetUpPr fitToPage="1"/>
  </sheetPr>
  <dimension ref="A1:G82"/>
  <sheetViews>
    <sheetView showGridLines="0" tabSelected="1" workbookViewId="0">
      <selection activeCell="I12" sqref="I12"/>
    </sheetView>
  </sheetViews>
  <sheetFormatPr defaultColWidth="9.140625" defaultRowHeight="12.75" x14ac:dyDescent="0.2"/>
  <cols>
    <col min="1" max="1" width="36.42578125" style="16" customWidth="1"/>
    <col min="2" max="2" width="4.140625" style="16" customWidth="1"/>
    <col min="3" max="3" width="16.140625" style="306" bestFit="1" customWidth="1"/>
    <col min="4" max="4" width="3.5703125" style="16" customWidth="1"/>
    <col min="5" max="5" width="14.42578125" style="16" bestFit="1" customWidth="1"/>
    <col min="6" max="6" width="29.5703125" style="16" customWidth="1"/>
    <col min="7" max="7" width="11.5703125" style="16" customWidth="1"/>
    <col min="8" max="16384" width="9.140625" style="16"/>
  </cols>
  <sheetData>
    <row r="1" spans="1:7" x14ac:dyDescent="0.2">
      <c r="A1" s="263" t="str">
        <f>[1]Inputs!$C$4</f>
        <v>Unit Delivery Cost Model -  12/16/2025</v>
      </c>
    </row>
    <row r="2" spans="1:7" x14ac:dyDescent="0.2">
      <c r="A2" s="86"/>
    </row>
    <row r="3" spans="1:7" x14ac:dyDescent="0.2">
      <c r="A3" s="13" t="s">
        <v>448</v>
      </c>
    </row>
    <row r="4" spans="1:7" x14ac:dyDescent="0.2">
      <c r="A4" s="416"/>
      <c r="B4" s="23"/>
      <c r="C4" s="417"/>
    </row>
    <row r="5" spans="1:7" ht="25.5" customHeight="1" x14ac:dyDescent="0.2">
      <c r="A5" s="465" t="s">
        <v>114</v>
      </c>
      <c r="B5" s="22"/>
      <c r="C5" s="466" t="s">
        <v>449</v>
      </c>
      <c r="D5" s="223"/>
      <c r="E5" s="484"/>
      <c r="F5" s="223"/>
      <c r="G5" s="223"/>
    </row>
    <row r="6" spans="1:7" x14ac:dyDescent="0.2">
      <c r="A6" s="401" t="s">
        <v>51</v>
      </c>
      <c r="B6" s="24"/>
      <c r="C6" s="402"/>
      <c r="E6" s="484"/>
      <c r="F6" s="223"/>
      <c r="G6" s="223"/>
    </row>
    <row r="7" spans="1:7" x14ac:dyDescent="0.2">
      <c r="A7" s="20" t="s">
        <v>52</v>
      </c>
      <c r="C7" s="308">
        <f>'3.SummaryBY'!R10*100</f>
        <v>8.4079020361085046</v>
      </c>
      <c r="D7" s="394"/>
      <c r="E7" s="484"/>
      <c r="F7" s="514"/>
      <c r="G7" s="223"/>
    </row>
    <row r="8" spans="1:7" x14ac:dyDescent="0.2">
      <c r="A8" s="403" t="s">
        <v>337</v>
      </c>
      <c r="C8" s="308">
        <f>'3.SummaryBY'!R11*100</f>
        <v>7.2179001030546477</v>
      </c>
      <c r="D8" s="394"/>
      <c r="E8" s="484"/>
      <c r="F8" s="514"/>
      <c r="G8" s="223"/>
    </row>
    <row r="9" spans="1:7" x14ac:dyDescent="0.2">
      <c r="A9" s="403" t="s">
        <v>338</v>
      </c>
      <c r="C9" s="308">
        <f>'3.SummaryBY'!R12*100</f>
        <v>10.066518518459711</v>
      </c>
      <c r="D9" s="394"/>
      <c r="E9" s="484"/>
      <c r="F9" s="514"/>
      <c r="G9" s="223"/>
    </row>
    <row r="10" spans="1:7" x14ac:dyDescent="0.2">
      <c r="A10" s="403" t="s">
        <v>339</v>
      </c>
      <c r="C10" s="308">
        <f>'3.SummaryBY'!R13*100</f>
        <v>14.933839593739554</v>
      </c>
      <c r="D10" s="394"/>
      <c r="E10" s="484"/>
      <c r="F10" s="514"/>
      <c r="G10" s="223"/>
    </row>
    <row r="11" spans="1:7" x14ac:dyDescent="0.2">
      <c r="A11" s="404" t="s">
        <v>53</v>
      </c>
      <c r="C11" s="308">
        <f>'3.SummaryBY'!R14*100</f>
        <v>31.450286011186407</v>
      </c>
      <c r="D11" s="394"/>
      <c r="E11" s="484"/>
      <c r="F11" s="514"/>
      <c r="G11" s="223"/>
    </row>
    <row r="12" spans="1:7" x14ac:dyDescent="0.2">
      <c r="A12" s="405"/>
      <c r="B12" s="22"/>
      <c r="C12" s="406"/>
      <c r="D12" s="400"/>
      <c r="E12" s="484"/>
      <c r="F12" s="514"/>
      <c r="G12" s="223"/>
    </row>
    <row r="13" spans="1:7" x14ac:dyDescent="0.2">
      <c r="A13" s="391" t="s">
        <v>54</v>
      </c>
      <c r="B13" s="24"/>
      <c r="C13" s="309"/>
      <c r="D13" s="400"/>
      <c r="E13" s="484"/>
      <c r="F13" s="514"/>
      <c r="G13" s="223"/>
    </row>
    <row r="14" spans="1:7" x14ac:dyDescent="0.2">
      <c r="A14" s="20" t="s">
        <v>186</v>
      </c>
      <c r="C14" s="308">
        <f>'3.SummaryBY'!R18*100</f>
        <v>28.420198113507585</v>
      </c>
      <c r="D14" s="394"/>
      <c r="E14" s="484"/>
      <c r="F14" s="514"/>
      <c r="G14" s="223"/>
    </row>
    <row r="15" spans="1:7" x14ac:dyDescent="0.2">
      <c r="A15" s="20" t="s">
        <v>187</v>
      </c>
      <c r="C15" s="308">
        <f>'3.SummaryBY'!R19*100</f>
        <v>0</v>
      </c>
      <c r="D15" s="394"/>
      <c r="E15" s="484"/>
      <c r="F15" s="514"/>
      <c r="G15" s="223"/>
    </row>
    <row r="16" spans="1:7" x14ac:dyDescent="0.2">
      <c r="A16" s="20" t="s">
        <v>188</v>
      </c>
      <c r="C16" s="308">
        <f>'3.SummaryBY'!R20*100</f>
        <v>7.2605038642061022</v>
      </c>
      <c r="D16" s="394"/>
      <c r="E16" s="484"/>
      <c r="F16" s="514"/>
      <c r="G16" s="223"/>
    </row>
    <row r="17" spans="1:7" x14ac:dyDescent="0.2">
      <c r="A17" s="20" t="s">
        <v>189</v>
      </c>
      <c r="C17" s="308">
        <f>'3.SummaryBY'!R21*100</f>
        <v>6.05941728412507</v>
      </c>
      <c r="D17" s="394"/>
      <c r="E17" s="484"/>
      <c r="F17" s="514"/>
      <c r="G17" s="223"/>
    </row>
    <row r="18" spans="1:7" x14ac:dyDescent="0.2">
      <c r="A18" s="20" t="s">
        <v>190</v>
      </c>
      <c r="C18" s="308">
        <f>'3.SummaryBY'!R22*100</f>
        <v>28.420198113507578</v>
      </c>
      <c r="D18" s="394"/>
      <c r="E18" s="484"/>
      <c r="F18" s="514"/>
      <c r="G18" s="223"/>
    </row>
    <row r="19" spans="1:7" x14ac:dyDescent="0.2">
      <c r="A19" s="20" t="s">
        <v>191</v>
      </c>
      <c r="C19" s="308">
        <f>'3.SummaryBY'!R23*100</f>
        <v>28.420198113507578</v>
      </c>
      <c r="D19" s="394"/>
      <c r="E19" s="484"/>
      <c r="F19" s="514"/>
      <c r="G19" s="223"/>
    </row>
    <row r="20" spans="1:7" x14ac:dyDescent="0.2">
      <c r="A20" s="20" t="s">
        <v>192</v>
      </c>
      <c r="C20" s="308">
        <f>'3.SummaryBY'!R24*100</f>
        <v>0</v>
      </c>
      <c r="D20" s="394"/>
      <c r="E20" s="484"/>
      <c r="F20" s="514"/>
      <c r="G20" s="223"/>
    </row>
    <row r="21" spans="1:7" x14ac:dyDescent="0.2">
      <c r="A21" s="20" t="s">
        <v>193</v>
      </c>
      <c r="C21" s="308">
        <f>'3.SummaryBY'!R25*100</f>
        <v>0</v>
      </c>
      <c r="D21" s="394"/>
      <c r="E21" s="484"/>
      <c r="F21" s="514"/>
      <c r="G21" s="223"/>
    </row>
    <row r="22" spans="1:7" x14ac:dyDescent="0.2">
      <c r="A22" s="20" t="s">
        <v>194</v>
      </c>
      <c r="C22" s="308">
        <f>'3.SummaryBY'!R26*100</f>
        <v>6.9939800954025255</v>
      </c>
      <c r="D22" s="394"/>
      <c r="E22" s="484"/>
      <c r="F22" s="514"/>
      <c r="G22" s="223"/>
    </row>
    <row r="23" spans="1:7" x14ac:dyDescent="0.2">
      <c r="A23" s="20" t="s">
        <v>195</v>
      </c>
      <c r="C23" s="308">
        <f>'3.SummaryBY'!R27*100</f>
        <v>6.2344184161535576</v>
      </c>
      <c r="D23" s="394"/>
      <c r="E23" s="484"/>
      <c r="F23" s="514"/>
      <c r="G23" s="223"/>
    </row>
    <row r="24" spans="1:7" x14ac:dyDescent="0.2">
      <c r="A24" s="20" t="s">
        <v>196</v>
      </c>
      <c r="C24" s="308">
        <f>'3.SummaryBY'!R28*100</f>
        <v>0</v>
      </c>
      <c r="D24" s="394"/>
      <c r="E24" s="484"/>
      <c r="F24" s="514"/>
      <c r="G24" s="223"/>
    </row>
    <row r="25" spans="1:7" x14ac:dyDescent="0.2">
      <c r="A25" s="404" t="s">
        <v>197</v>
      </c>
      <c r="C25" s="308">
        <f>'3.SummaryBY'!R29*100</f>
        <v>28.420198113507578</v>
      </c>
      <c r="D25" s="394"/>
      <c r="E25" s="484"/>
      <c r="F25" s="514"/>
      <c r="G25" s="223"/>
    </row>
    <row r="26" spans="1:7" x14ac:dyDescent="0.2">
      <c r="A26" s="20" t="s">
        <v>198</v>
      </c>
      <c r="C26" s="308">
        <f>'3.SummaryBY'!R30*100</f>
        <v>4.2362425448783885</v>
      </c>
      <c r="D26" s="394"/>
      <c r="E26" s="484"/>
      <c r="F26" s="514"/>
      <c r="G26" s="223"/>
    </row>
    <row r="27" spans="1:7" x14ac:dyDescent="0.2">
      <c r="A27" s="20" t="s">
        <v>199</v>
      </c>
      <c r="C27" s="308">
        <f>'3.SummaryBY'!R31*100</f>
        <v>5.0866987893785547</v>
      </c>
      <c r="D27" s="394"/>
      <c r="E27" s="484"/>
      <c r="F27" s="514"/>
      <c r="G27" s="223"/>
    </row>
    <row r="28" spans="1:7" x14ac:dyDescent="0.2">
      <c r="A28" s="20" t="s">
        <v>55</v>
      </c>
      <c r="C28" s="308">
        <f>'3.SummaryBY'!R32*100</f>
        <v>5.4346472709131426</v>
      </c>
      <c r="D28" s="394"/>
      <c r="E28" s="484"/>
      <c r="F28" s="514"/>
      <c r="G28" s="223"/>
    </row>
    <row r="29" spans="1:7" x14ac:dyDescent="0.2">
      <c r="A29" s="407" t="s">
        <v>56</v>
      </c>
      <c r="C29" s="308">
        <f>'3.SummaryBY'!R33*100</f>
        <v>29.912119483028349</v>
      </c>
      <c r="D29" s="394"/>
      <c r="E29" s="484"/>
      <c r="F29" s="514"/>
      <c r="G29" s="223"/>
    </row>
    <row r="30" spans="1:7" x14ac:dyDescent="0.2">
      <c r="A30" s="405"/>
      <c r="B30" s="22"/>
      <c r="C30" s="406"/>
      <c r="D30" s="400"/>
      <c r="E30" s="484"/>
      <c r="F30" s="514"/>
      <c r="G30" s="223"/>
    </row>
    <row r="31" spans="1:7" x14ac:dyDescent="0.2">
      <c r="A31" s="408" t="s">
        <v>57</v>
      </c>
      <c r="C31" s="308"/>
      <c r="D31" s="400"/>
      <c r="E31" s="484"/>
      <c r="F31" s="514"/>
      <c r="G31" s="223"/>
    </row>
    <row r="32" spans="1:7" x14ac:dyDescent="0.2">
      <c r="A32" s="20" t="s">
        <v>58</v>
      </c>
      <c r="C32" s="308">
        <f>'3.SummaryBY'!R36*100</f>
        <v>10.760350910364766</v>
      </c>
      <c r="D32" s="394"/>
      <c r="E32" s="484"/>
      <c r="F32" s="514"/>
      <c r="G32" s="223"/>
    </row>
    <row r="33" spans="1:7" x14ac:dyDescent="0.2">
      <c r="A33" s="20" t="s">
        <v>218</v>
      </c>
      <c r="C33" s="308">
        <f>'3.SummaryBY'!R39*100</f>
        <v>6.4762572003040173</v>
      </c>
      <c r="D33" s="394"/>
      <c r="E33" s="484"/>
      <c r="F33" s="514"/>
      <c r="G33" s="223"/>
    </row>
    <row r="34" spans="1:7" x14ac:dyDescent="0.2">
      <c r="A34" s="409" t="s">
        <v>201</v>
      </c>
      <c r="C34" s="308">
        <f>'3.SummaryBY'!R40*100</f>
        <v>6.264368584601665</v>
      </c>
      <c r="D34" s="394"/>
      <c r="E34" s="484"/>
      <c r="F34" s="514"/>
      <c r="G34" s="223"/>
    </row>
    <row r="35" spans="1:7" x14ac:dyDescent="0.2">
      <c r="A35" s="409" t="s">
        <v>202</v>
      </c>
      <c r="C35" s="308">
        <f>'3.SummaryBY'!R41*100</f>
        <v>5.6605107242723998</v>
      </c>
      <c r="D35" s="394"/>
      <c r="E35" s="484"/>
      <c r="F35" s="514"/>
      <c r="G35" s="223"/>
    </row>
    <row r="36" spans="1:7" x14ac:dyDescent="0.2">
      <c r="A36" s="409" t="s">
        <v>203</v>
      </c>
      <c r="C36" s="308"/>
      <c r="D36" s="394"/>
      <c r="E36" s="484"/>
      <c r="F36" s="514"/>
      <c r="G36" s="223"/>
    </row>
    <row r="37" spans="1:7" x14ac:dyDescent="0.2">
      <c r="A37" s="409" t="s">
        <v>204</v>
      </c>
      <c r="C37" s="308">
        <f>'3.SummaryBY'!R43*100</f>
        <v>4.7480640632355602</v>
      </c>
      <c r="D37" s="394"/>
      <c r="E37" s="484"/>
      <c r="F37" s="514"/>
      <c r="G37" s="223"/>
    </row>
    <row r="38" spans="1:7" x14ac:dyDescent="0.2">
      <c r="A38" s="409" t="s">
        <v>205</v>
      </c>
      <c r="C38" s="308">
        <f>'3.SummaryBY'!R44*100</f>
        <v>23.298390337982298</v>
      </c>
      <c r="D38" s="394"/>
      <c r="E38" s="484"/>
      <c r="F38" s="514"/>
      <c r="G38" s="223"/>
    </row>
    <row r="39" spans="1:7" x14ac:dyDescent="0.2">
      <c r="A39" s="409" t="s">
        <v>206</v>
      </c>
      <c r="C39" s="308">
        <f>'3.SummaryBY'!R45*100</f>
        <v>4.0719442665979528</v>
      </c>
      <c r="D39" s="394"/>
      <c r="E39" s="484"/>
      <c r="F39" s="514"/>
      <c r="G39" s="223"/>
    </row>
    <row r="40" spans="1:7" x14ac:dyDescent="0.2">
      <c r="A40" s="410" t="s">
        <v>59</v>
      </c>
      <c r="B40" s="23"/>
      <c r="C40" s="310">
        <f>'3.SummaryBY'!R46*100</f>
        <v>5.2416451657730709</v>
      </c>
      <c r="D40" s="394"/>
      <c r="E40" s="484"/>
      <c r="F40" s="514"/>
      <c r="G40" s="223"/>
    </row>
    <row r="41" spans="1:7" x14ac:dyDescent="0.2">
      <c r="A41" s="404"/>
      <c r="C41" s="308"/>
      <c r="D41" s="400"/>
      <c r="E41" s="484"/>
      <c r="F41" s="514"/>
      <c r="G41" s="223"/>
    </row>
    <row r="42" spans="1:7" x14ac:dyDescent="0.2">
      <c r="A42" s="411" t="s">
        <v>49</v>
      </c>
      <c r="B42" s="24"/>
      <c r="C42" s="309"/>
      <c r="D42" s="400"/>
      <c r="E42" s="484"/>
      <c r="F42" s="514"/>
      <c r="G42" s="223"/>
    </row>
    <row r="43" spans="1:7" x14ac:dyDescent="0.2">
      <c r="A43" s="393" t="s">
        <v>70</v>
      </c>
      <c r="C43" s="308">
        <f>'3.SummaryBY'!R50*100</f>
        <v>12.774819646989446</v>
      </c>
      <c r="D43" s="394"/>
      <c r="E43" s="484"/>
      <c r="F43" s="514"/>
      <c r="G43" s="223"/>
    </row>
    <row r="44" spans="1:7" x14ac:dyDescent="0.2">
      <c r="A44" s="393" t="s">
        <v>71</v>
      </c>
      <c r="C44" s="308">
        <f>'3.SummaryBY'!R51*100</f>
        <v>20.838099534121895</v>
      </c>
      <c r="D44" s="394"/>
      <c r="E44" s="484"/>
      <c r="F44" s="514"/>
      <c r="G44" s="223"/>
    </row>
    <row r="45" spans="1:7" x14ac:dyDescent="0.2">
      <c r="A45" s="412" t="s">
        <v>73</v>
      </c>
      <c r="B45" s="23"/>
      <c r="C45" s="310">
        <f>'3.SummaryBY'!R52*100</f>
        <v>47.80751814711639</v>
      </c>
      <c r="D45" s="394"/>
      <c r="E45" s="484"/>
      <c r="F45" s="514"/>
      <c r="G45" s="223"/>
    </row>
    <row r="46" spans="1:7" x14ac:dyDescent="0.2">
      <c r="A46" s="404"/>
      <c r="C46" s="308"/>
      <c r="D46" s="400"/>
      <c r="E46" s="484"/>
      <c r="F46" s="514"/>
      <c r="G46" s="223"/>
    </row>
    <row r="47" spans="1:7" x14ac:dyDescent="0.2">
      <c r="A47" s="411" t="s">
        <v>169</v>
      </c>
      <c r="B47" s="24"/>
      <c r="C47" s="309"/>
      <c r="D47" s="400"/>
      <c r="E47" s="484"/>
      <c r="F47" s="514"/>
      <c r="G47" s="223"/>
    </row>
    <row r="48" spans="1:7" x14ac:dyDescent="0.2">
      <c r="A48" s="393" t="s">
        <v>71</v>
      </c>
      <c r="C48" s="308">
        <f>'3.SummaryBY'!R56*100</f>
        <v>20.101117438658047</v>
      </c>
      <c r="D48" s="394"/>
      <c r="E48" s="484"/>
      <c r="F48" s="514"/>
      <c r="G48" s="223"/>
    </row>
    <row r="49" spans="1:7" x14ac:dyDescent="0.2">
      <c r="A49" s="412" t="s">
        <v>73</v>
      </c>
      <c r="B49" s="23"/>
      <c r="C49" s="310">
        <f>'3.SummaryBY'!R57*100</f>
        <v>86.722943567164208</v>
      </c>
      <c r="D49" s="394"/>
      <c r="E49" s="484"/>
      <c r="F49" s="514"/>
      <c r="G49" s="223"/>
    </row>
    <row r="50" spans="1:7" x14ac:dyDescent="0.2">
      <c r="A50" s="393"/>
      <c r="C50" s="308"/>
      <c r="D50" s="400"/>
      <c r="E50" s="484"/>
      <c r="F50" s="514"/>
      <c r="G50" s="223"/>
    </row>
    <row r="51" spans="1:7" x14ac:dyDescent="0.2">
      <c r="A51" s="411" t="s">
        <v>365</v>
      </c>
      <c r="B51" s="24"/>
      <c r="C51" s="309"/>
      <c r="D51" s="400"/>
      <c r="E51" s="484"/>
      <c r="F51" s="514"/>
      <c r="G51" s="223"/>
    </row>
    <row r="52" spans="1:7" x14ac:dyDescent="0.2">
      <c r="A52" s="393" t="s">
        <v>71</v>
      </c>
      <c r="C52" s="369">
        <f>'3.SummaryBY'!R61*100</f>
        <v>18.488594878654869</v>
      </c>
      <c r="D52" s="394"/>
      <c r="E52" s="484"/>
      <c r="F52" s="514"/>
      <c r="G52" s="223"/>
    </row>
    <row r="53" spans="1:7" x14ac:dyDescent="0.2">
      <c r="A53" s="412" t="s">
        <v>73</v>
      </c>
      <c r="B53" s="23"/>
      <c r="C53" s="370">
        <f>'3.SummaryBY'!R62*100</f>
        <v>105.16404166481237</v>
      </c>
      <c r="D53" s="394"/>
      <c r="E53" s="484"/>
      <c r="F53" s="514"/>
      <c r="G53" s="223"/>
    </row>
    <row r="54" spans="1:7" x14ac:dyDescent="0.2">
      <c r="A54" s="405"/>
      <c r="B54" s="22"/>
      <c r="C54" s="413"/>
      <c r="D54" s="400"/>
      <c r="E54" s="484"/>
      <c r="F54" s="514"/>
      <c r="G54" s="223"/>
    </row>
    <row r="55" spans="1:7" x14ac:dyDescent="0.2">
      <c r="A55" s="414" t="s">
        <v>340</v>
      </c>
      <c r="C55" s="372"/>
      <c r="D55" s="400"/>
      <c r="E55" s="484"/>
      <c r="F55" s="514"/>
      <c r="G55" s="223"/>
    </row>
    <row r="56" spans="1:7" x14ac:dyDescent="0.2">
      <c r="A56" s="20" t="s">
        <v>186</v>
      </c>
      <c r="C56" s="308">
        <f>'3.SummaryBY'!R66*100</f>
        <v>33.135720912204256</v>
      </c>
      <c r="D56" s="394"/>
      <c r="E56" s="484"/>
      <c r="F56" s="514"/>
      <c r="G56" s="223"/>
    </row>
    <row r="57" spans="1:7" x14ac:dyDescent="0.2">
      <c r="A57" s="20" t="s">
        <v>187</v>
      </c>
      <c r="C57" s="308">
        <f>'3.SummaryBY'!R67*100</f>
        <v>33.135720912204256</v>
      </c>
      <c r="D57" s="394"/>
      <c r="E57" s="484"/>
      <c r="F57" s="514"/>
      <c r="G57" s="223"/>
    </row>
    <row r="58" spans="1:7" x14ac:dyDescent="0.2">
      <c r="A58" s="20" t="s">
        <v>188</v>
      </c>
      <c r="C58" s="308">
        <f>'3.SummaryBY'!R68*100</f>
        <v>8.0343192189714383</v>
      </c>
      <c r="D58" s="394"/>
      <c r="E58" s="484"/>
      <c r="F58" s="514"/>
      <c r="G58" s="223"/>
    </row>
    <row r="59" spans="1:7" x14ac:dyDescent="0.2">
      <c r="A59" s="20" t="s">
        <v>189</v>
      </c>
      <c r="C59" s="308">
        <f>'3.SummaryBY'!R69*100</f>
        <v>6.6100093063503129</v>
      </c>
      <c r="D59" s="394"/>
      <c r="E59" s="484"/>
      <c r="F59" s="514"/>
      <c r="G59" s="223"/>
    </row>
    <row r="60" spans="1:7" x14ac:dyDescent="0.2">
      <c r="A60" s="20" t="s">
        <v>190</v>
      </c>
      <c r="C60" s="308">
        <f>'3.SummaryBY'!R70*100</f>
        <v>33.135720912204256</v>
      </c>
      <c r="D60" s="394"/>
      <c r="E60" s="484"/>
      <c r="F60" s="514"/>
      <c r="G60" s="223"/>
    </row>
    <row r="61" spans="1:7" x14ac:dyDescent="0.2">
      <c r="A61" s="20" t="s">
        <v>191</v>
      </c>
      <c r="C61" s="308">
        <f>'3.SummaryBY'!R71*100</f>
        <v>33.135720912204256</v>
      </c>
      <c r="D61" s="394"/>
      <c r="E61" s="484"/>
      <c r="F61" s="514"/>
      <c r="G61" s="223"/>
    </row>
    <row r="62" spans="1:7" x14ac:dyDescent="0.2">
      <c r="A62" s="415" t="s">
        <v>194</v>
      </c>
      <c r="C62" s="308">
        <f>'3.SummaryBY'!R72*100</f>
        <v>7.6940594378347491</v>
      </c>
      <c r="D62" s="394"/>
      <c r="E62" s="484"/>
      <c r="F62" s="514"/>
      <c r="G62" s="223"/>
    </row>
    <row r="63" spans="1:7" x14ac:dyDescent="0.2">
      <c r="A63" s="415" t="s">
        <v>195</v>
      </c>
      <c r="C63" s="308">
        <f>'3.SummaryBY'!R73*100</f>
        <v>6.8220099918474677</v>
      </c>
      <c r="D63" s="394"/>
      <c r="E63" s="484"/>
      <c r="F63" s="514"/>
      <c r="G63" s="223"/>
    </row>
    <row r="64" spans="1:7" x14ac:dyDescent="0.2">
      <c r="A64" s="415" t="s">
        <v>207</v>
      </c>
      <c r="C64" s="308">
        <f>'3.SummaryBY'!R74*100</f>
        <v>7.1617000099356165</v>
      </c>
      <c r="D64" s="394"/>
      <c r="E64" s="484"/>
      <c r="F64" s="514"/>
      <c r="G64" s="223"/>
    </row>
    <row r="65" spans="1:7" x14ac:dyDescent="0.2">
      <c r="A65" s="415" t="s">
        <v>208</v>
      </c>
      <c r="C65" s="308">
        <f>'3.SummaryBY'!R75*100</f>
        <v>5.456041893032797</v>
      </c>
      <c r="D65" s="394"/>
      <c r="E65" s="484"/>
      <c r="F65" s="514"/>
      <c r="G65" s="223"/>
    </row>
    <row r="66" spans="1:7" x14ac:dyDescent="0.2">
      <c r="A66" s="393" t="s">
        <v>2</v>
      </c>
      <c r="C66" s="308">
        <f>'3.SummaryBY'!R76*100</f>
        <v>5.7370539888209491</v>
      </c>
      <c r="D66" s="394"/>
      <c r="E66" s="484"/>
      <c r="F66" s="514"/>
      <c r="G66" s="223"/>
    </row>
    <row r="67" spans="1:7" x14ac:dyDescent="0.2">
      <c r="A67" s="404" t="s">
        <v>60</v>
      </c>
      <c r="C67" s="308">
        <f>'3.SummaryBY'!R78*100</f>
        <v>28.170615055279232</v>
      </c>
      <c r="D67" s="394"/>
      <c r="E67" s="484"/>
      <c r="F67" s="514"/>
      <c r="G67" s="223"/>
    </row>
    <row r="68" spans="1:7" x14ac:dyDescent="0.2">
      <c r="A68" s="404" t="s">
        <v>61</v>
      </c>
      <c r="C68" s="308">
        <f>'3.SummaryBY'!R79*100</f>
        <v>67.742516311823536</v>
      </c>
      <c r="D68" s="394"/>
      <c r="E68" s="484"/>
      <c r="F68" s="514"/>
      <c r="G68" s="223"/>
    </row>
    <row r="69" spans="1:7" x14ac:dyDescent="0.2">
      <c r="A69" s="410" t="s">
        <v>62</v>
      </c>
      <c r="B69" s="23"/>
      <c r="C69" s="310">
        <f>'3.SummaryBY'!R80*100</f>
        <v>28.446329785725176</v>
      </c>
      <c r="D69" s="394"/>
      <c r="E69" s="484"/>
      <c r="F69" s="514"/>
      <c r="G69" s="223"/>
    </row>
    <row r="70" spans="1:7" x14ac:dyDescent="0.2">
      <c r="A70" s="288"/>
      <c r="B70" s="22"/>
      <c r="C70" s="371"/>
      <c r="D70" s="398"/>
      <c r="E70" s="23"/>
      <c r="F70" s="23"/>
      <c r="G70" s="399"/>
    </row>
    <row r="71" spans="1:7" x14ac:dyDescent="0.2">
      <c r="A71" s="391" t="s">
        <v>294</v>
      </c>
      <c r="B71" s="24"/>
      <c r="C71" s="373"/>
      <c r="D71" s="364"/>
      <c r="E71" s="513"/>
      <c r="F71" s="24"/>
      <c r="G71" s="392"/>
    </row>
    <row r="72" spans="1:7" x14ac:dyDescent="0.2">
      <c r="A72" s="393" t="s">
        <v>209</v>
      </c>
      <c r="C72" s="311">
        <f>'1a.DAdjustment'!C27</f>
        <v>5.9308064952012334</v>
      </c>
      <c r="D72" s="394"/>
      <c r="E72" s="404" t="s">
        <v>284</v>
      </c>
      <c r="G72" s="308">
        <f>'1a.DAdjustment'!C29</f>
        <v>13.369719233423455</v>
      </c>
    </row>
    <row r="73" spans="1:7" x14ac:dyDescent="0.2">
      <c r="A73" s="20" t="s">
        <v>63</v>
      </c>
      <c r="C73" s="311">
        <f>'1a.DAdjustment'!C28</f>
        <v>5.78792298364126</v>
      </c>
      <c r="D73" s="394"/>
      <c r="E73" s="404" t="s">
        <v>285</v>
      </c>
      <c r="G73" s="308">
        <f>'1a.DAdjustment'!C30</f>
        <v>13.335758026254915</v>
      </c>
    </row>
    <row r="74" spans="1:7" x14ac:dyDescent="0.2">
      <c r="A74" s="20"/>
      <c r="C74" s="311"/>
      <c r="D74" s="467"/>
      <c r="E74" s="404" t="s">
        <v>217</v>
      </c>
      <c r="G74" s="308">
        <f>'1a.DAdjustment'!C31</f>
        <v>7.0666987239929799</v>
      </c>
    </row>
    <row r="75" spans="1:7" x14ac:dyDescent="0.2">
      <c r="A75" s="395"/>
      <c r="B75" s="23"/>
      <c r="C75" s="396"/>
      <c r="D75" s="23"/>
      <c r="E75" s="395" t="s">
        <v>213</v>
      </c>
      <c r="F75" s="23"/>
      <c r="G75" s="397">
        <f>'1a.DAdjustment'!C32</f>
        <v>6.9411895077232932</v>
      </c>
    </row>
    <row r="76" spans="1:7" ht="14.25" x14ac:dyDescent="0.2">
      <c r="A76" s="239"/>
    </row>
    <row r="77" spans="1:7" x14ac:dyDescent="0.2">
      <c r="A77" s="365" t="s">
        <v>326</v>
      </c>
      <c r="B77" s="22"/>
      <c r="C77" s="366"/>
      <c r="D77" s="22"/>
      <c r="E77" s="468">
        <f>'2.FCSP_Let_Col_Cost_By_Indicia'!P18*100</f>
        <v>1.4767608588927152</v>
      </c>
    </row>
    <row r="78" spans="1:7" x14ac:dyDescent="0.2">
      <c r="A78" s="223"/>
    </row>
    <row r="79" spans="1:7" x14ac:dyDescent="0.2">
      <c r="C79" s="516"/>
      <c r="D79" s="223"/>
      <c r="E79" s="484"/>
      <c r="F79" s="223"/>
      <c r="G79" s="517"/>
    </row>
    <row r="80" spans="1:7" x14ac:dyDescent="0.2">
      <c r="C80" s="518"/>
      <c r="D80" s="223"/>
      <c r="E80" s="484"/>
      <c r="F80" s="223"/>
      <c r="G80" s="519"/>
    </row>
    <row r="81" spans="1:7" x14ac:dyDescent="0.2">
      <c r="C81" s="515"/>
      <c r="D81" s="223"/>
      <c r="E81" s="484"/>
      <c r="F81" s="223"/>
      <c r="G81" s="519"/>
    </row>
    <row r="82" spans="1:7" x14ac:dyDescent="0.2">
      <c r="A82"/>
      <c r="C82" s="515"/>
      <c r="D82" s="223"/>
      <c r="E82" s="484"/>
      <c r="F82" s="223"/>
      <c r="G82" s="519"/>
    </row>
  </sheetData>
  <customSheetViews>
    <customSheetView guid="{4B7ED599-3000-45CD-B5C1-4F696B7BEDDF}" fitToPage="1" showRuler="0">
      <pageMargins left="0.75" right="0.75" top="0.75" bottom="0.75" header="0.5" footer="0.5"/>
      <pageSetup scale="92" orientation="portrait" r:id="rId1"/>
      <headerFooter alignWithMargins="0">
        <oddHeader xml:space="preserve">&amp;C
 &amp;R&amp;12USPS-LR-J-117 (Revised 11/20/01)&amp;10
</oddHeader>
        <oddFooter>&amp;R&amp;12 5</oddFooter>
      </headerFooter>
    </customSheetView>
  </customSheetViews>
  <phoneticPr fontId="6" type="noConversion"/>
  <pageMargins left="0.75" right="0.75" top="0.75" bottom="0.75" header="0.5" footer="0.5"/>
  <pageSetup scale="78" orientation="portrait" r:id="rId2"/>
  <headerFooter alignWithMargins="0">
    <oddHeader xml:space="preserve">&amp;C
 &amp;R&amp;12USPS-FY09-19&amp;10
</oddHeader>
    <oddFooter xml:space="preserve">&amp;R&amp;12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sheetPr>
  <dimension ref="A1:O44"/>
  <sheetViews>
    <sheetView workbookViewId="0">
      <selection activeCell="C26" sqref="C26"/>
    </sheetView>
  </sheetViews>
  <sheetFormatPr defaultRowHeight="12.75" x14ac:dyDescent="0.2"/>
  <cols>
    <col min="2" max="2" width="34.85546875" bestFit="1" customWidth="1"/>
    <col min="3" max="3" width="22.42578125" bestFit="1" customWidth="1"/>
    <col min="4" max="10" width="13" customWidth="1"/>
    <col min="11" max="15" width="13.5703125" customWidth="1"/>
  </cols>
  <sheetData>
    <row r="1" spans="1:15" x14ac:dyDescent="0.2">
      <c r="A1" s="263" t="str">
        <f>[1]Inputs!$C$4</f>
        <v>Unit Delivery Cost Model -  12/16/2025</v>
      </c>
    </row>
    <row r="2" spans="1:15" x14ac:dyDescent="0.2">
      <c r="A2" s="290" t="s">
        <v>260</v>
      </c>
    </row>
    <row r="5" spans="1:15" ht="56.25" x14ac:dyDescent="0.2">
      <c r="A5" s="47"/>
      <c r="B5" s="64" t="s">
        <v>146</v>
      </c>
      <c r="C5" s="291" t="s">
        <v>262</v>
      </c>
      <c r="D5" s="47" t="s">
        <v>164</v>
      </c>
      <c r="E5" s="47" t="s">
        <v>130</v>
      </c>
      <c r="F5" s="47" t="s">
        <v>145</v>
      </c>
      <c r="G5" s="47" t="s">
        <v>296</v>
      </c>
      <c r="H5" s="47" t="s">
        <v>131</v>
      </c>
      <c r="I5" s="47" t="s">
        <v>165</v>
      </c>
      <c r="J5" s="81" t="s">
        <v>134</v>
      </c>
      <c r="K5" s="47" t="s">
        <v>140</v>
      </c>
      <c r="L5" s="47" t="s">
        <v>141</v>
      </c>
      <c r="M5" s="47" t="s">
        <v>142</v>
      </c>
      <c r="N5" s="47" t="s">
        <v>143</v>
      </c>
      <c r="O5" s="81" t="s">
        <v>144</v>
      </c>
    </row>
    <row r="6" spans="1:15" x14ac:dyDescent="0.2">
      <c r="B6" s="48" t="s">
        <v>22</v>
      </c>
      <c r="D6" s="55">
        <v>-1</v>
      </c>
      <c r="E6" s="55">
        <f t="shared" ref="E6:O6" si="0">D6-1</f>
        <v>-2</v>
      </c>
      <c r="F6" s="55">
        <f t="shared" si="0"/>
        <v>-3</v>
      </c>
      <c r="G6" s="55">
        <f t="shared" si="0"/>
        <v>-4</v>
      </c>
      <c r="H6" s="55">
        <f t="shared" si="0"/>
        <v>-5</v>
      </c>
      <c r="I6" s="55">
        <f t="shared" si="0"/>
        <v>-6</v>
      </c>
      <c r="J6" s="55">
        <f t="shared" si="0"/>
        <v>-7</v>
      </c>
      <c r="K6" s="55">
        <f t="shared" si="0"/>
        <v>-8</v>
      </c>
      <c r="L6" s="55">
        <f t="shared" si="0"/>
        <v>-9</v>
      </c>
      <c r="M6" s="55">
        <f t="shared" si="0"/>
        <v>-10</v>
      </c>
      <c r="N6" s="55">
        <f t="shared" si="0"/>
        <v>-11</v>
      </c>
      <c r="O6" s="55">
        <f t="shared" si="0"/>
        <v>-12</v>
      </c>
    </row>
    <row r="7" spans="1:15" x14ac:dyDescent="0.2">
      <c r="B7" s="50" t="s">
        <v>94</v>
      </c>
      <c r="D7" s="67" t="s">
        <v>96</v>
      </c>
      <c r="E7" s="67" t="s">
        <v>96</v>
      </c>
      <c r="F7" s="67" t="s">
        <v>96</v>
      </c>
      <c r="G7" s="67" t="s">
        <v>96</v>
      </c>
      <c r="H7" s="67" t="s">
        <v>96</v>
      </c>
      <c r="I7" s="67" t="s">
        <v>96</v>
      </c>
      <c r="J7" s="67" t="s">
        <v>259</v>
      </c>
      <c r="K7" s="49"/>
      <c r="L7" s="49"/>
      <c r="M7" s="49"/>
      <c r="N7" s="49"/>
      <c r="O7" s="87"/>
    </row>
    <row r="8" spans="1:15" ht="22.5" x14ac:dyDescent="0.2">
      <c r="A8" s="5"/>
      <c r="B8" s="218" t="s">
        <v>95</v>
      </c>
      <c r="C8" s="218"/>
      <c r="D8" s="69" t="str">
        <f>NOTES!A7&amp;" C"&amp;-'3.SummaryBY'!E6</f>
        <v>3.SummaryBY C3</v>
      </c>
      <c r="E8" s="69" t="str">
        <f>NOTES!A7&amp;" C"&amp;-'3.SummaryBY'!F6</f>
        <v>3.SummaryBY C4</v>
      </c>
      <c r="F8" s="69" t="str">
        <f>NOTES!A7&amp;" C"&amp;-'3.SummaryBY'!G6</f>
        <v>3.SummaryBY C5</v>
      </c>
      <c r="G8" s="69" t="str">
        <f>NOTES!A7&amp;" C"&amp;-'3.SummaryBY'!H6</f>
        <v>3.SummaryBY C6</v>
      </c>
      <c r="H8" s="69" t="str">
        <f>NOTES!A7&amp;" C"&amp;-'3.SummaryBY'!I6</f>
        <v>3.SummaryBY C7</v>
      </c>
      <c r="I8" s="69" t="str">
        <f>NOTES!A7&amp;" C"&amp;-'3.SummaryBY'!J6</f>
        <v>3.SummaryBY C8</v>
      </c>
      <c r="J8" s="69" t="str">
        <f>NOTES!A7&amp;" C"&amp;-'3.SummaryBY'!L6</f>
        <v>3.SummaryBY C10</v>
      </c>
      <c r="K8" s="69" t="str">
        <f>NOTES!A7&amp;" C"&amp;-'3.SummaryBY'!N6&amp;""</f>
        <v>3.SummaryBY C12</v>
      </c>
      <c r="L8" s="69" t="str">
        <f>NOTES!A7&amp;" C"&amp;-'3.SummaryBY'!O6&amp;""</f>
        <v>3.SummaryBY C13</v>
      </c>
      <c r="M8" s="69" t="str">
        <f>NOTES!A7&amp;" C"&amp;-'3.SummaryBY'!P6&amp;""</f>
        <v>3.SummaryBY C14</v>
      </c>
      <c r="N8" s="69" t="str">
        <f>NOTES!A7&amp;" C"&amp;-'3.SummaryBY'!Q6&amp;""</f>
        <v>3.SummaryBY C15</v>
      </c>
      <c r="O8" s="69" t="str">
        <f>NOTES!A7&amp;" C"&amp;-'3.SummaryBY'!R6&amp;""</f>
        <v>3.SummaryBY C16</v>
      </c>
    </row>
    <row r="9" spans="1:15" x14ac:dyDescent="0.2">
      <c r="A9" s="211">
        <v>1</v>
      </c>
      <c r="B9" s="127" t="s">
        <v>257</v>
      </c>
      <c r="C9" s="127"/>
      <c r="D9" s="47"/>
      <c r="E9" s="47"/>
      <c r="F9" s="47"/>
      <c r="G9" s="47"/>
      <c r="H9" s="47"/>
      <c r="I9" s="47"/>
      <c r="J9" s="47"/>
      <c r="K9" s="4"/>
      <c r="L9" s="4"/>
      <c r="M9" s="4"/>
      <c r="N9" s="4"/>
      <c r="O9" s="4"/>
    </row>
    <row r="10" spans="1:15" s="207" customFormat="1" ht="11.25" x14ac:dyDescent="0.2">
      <c r="A10" s="209">
        <f>A9+1</f>
        <v>2</v>
      </c>
      <c r="B10" s="266" t="s">
        <v>209</v>
      </c>
      <c r="C10" s="266"/>
      <c r="D10" s="213">
        <f>'3.SummaryBY'!E84</f>
        <v>25524.362823455009</v>
      </c>
      <c r="E10" s="213">
        <f>'3.SummaryBY'!F84</f>
        <v>8302.6931407270713</v>
      </c>
      <c r="F10" s="213">
        <f>'3.SummaryBY'!G84</f>
        <v>5898.3898205429687</v>
      </c>
      <c r="G10" s="213">
        <f>'3.SummaryBY'!H84</f>
        <v>49231.679622943411</v>
      </c>
      <c r="H10" s="213">
        <f>'3.SummaryBY'!I84</f>
        <v>1697.9576636324923</v>
      </c>
      <c r="I10" s="213">
        <f>'3.SummaryBY'!J84</f>
        <v>73259.33023182764</v>
      </c>
      <c r="J10" s="213">
        <f>'3.SummaryBY'!L84</f>
        <v>3430799.22</v>
      </c>
      <c r="K10" s="459">
        <f>'3.SummaryBY'!N84</f>
        <v>1.5400573472506538E-2</v>
      </c>
      <c r="L10" s="459">
        <f>'3.SummaryBY'!O84</f>
        <v>1.8303568420042653E-2</v>
      </c>
      <c r="M10" s="459">
        <f>'3.SummaryBY'!P84</f>
        <v>3.3704141892549194E-2</v>
      </c>
      <c r="N10" s="459">
        <f>'3.SummaryBY'!Q84</f>
        <v>2.578867835526687E-2</v>
      </c>
      <c r="O10" s="459">
        <f>'3.SummaryBY'!R84</f>
        <v>5.9492820247816061E-2</v>
      </c>
    </row>
    <row r="11" spans="1:15" s="207" customFormat="1" ht="11.25" x14ac:dyDescent="0.2">
      <c r="A11" s="209">
        <f t="shared" ref="A11:A19" si="1">A10+1</f>
        <v>3</v>
      </c>
      <c r="B11" s="210" t="s">
        <v>63</v>
      </c>
      <c r="C11" s="210"/>
      <c r="D11" s="213">
        <f>'3.SummaryBY'!E85</f>
        <v>16794.799381632885</v>
      </c>
      <c r="E11" s="213">
        <f>'3.SummaryBY'!F85</f>
        <v>4577.5077957966714</v>
      </c>
      <c r="F11" s="213">
        <f>'3.SummaryBY'!G85</f>
        <v>3726.667766486963</v>
      </c>
      <c r="G11" s="213">
        <f>'3.SummaryBY'!H85</f>
        <v>45607.500481060684</v>
      </c>
      <c r="H11" s="213">
        <f>'3.SummaryBY'!I85</f>
        <v>1451.8367331968598</v>
      </c>
      <c r="I11" s="213">
        <f>'3.SummaryBY'!J85</f>
        <v>56686.308197454251</v>
      </c>
      <c r="J11" s="213">
        <f>'3.SummaryBY'!L85</f>
        <v>2586614.3319999999</v>
      </c>
      <c r="K11" s="459">
        <f>'3.SummaryBY'!N85</f>
        <v>1.3092800175611511E-2</v>
      </c>
      <c r="L11" s="459">
        <f>'3.SummaryBY'!O85</f>
        <v>2.2490080437817854E-2</v>
      </c>
      <c r="M11" s="459">
        <f>'3.SummaryBY'!P85</f>
        <v>3.5582880613429367E-2</v>
      </c>
      <c r="N11" s="459">
        <f>'3.SummaryBY'!Q85</f>
        <v>2.6467196300029059E-2</v>
      </c>
      <c r="O11" s="459">
        <f>'3.SummaryBY'!R85</f>
        <v>6.205007691345843E-2</v>
      </c>
    </row>
    <row r="12" spans="1:15" s="207" customFormat="1" ht="11.25" x14ac:dyDescent="0.2">
      <c r="A12" s="209">
        <f t="shared" si="1"/>
        <v>4</v>
      </c>
      <c r="B12" s="217" t="s">
        <v>210</v>
      </c>
      <c r="C12" s="217"/>
      <c r="D12" s="213">
        <f>'3.SummaryBY'!E88</f>
        <v>39792.276082923847</v>
      </c>
      <c r="E12" s="213">
        <f>'3.SummaryBY'!F88</f>
        <v>5622.2774519335144</v>
      </c>
      <c r="F12" s="212">
        <f>'3.SummaryBY'!G88</f>
        <v>7919.1476578632301</v>
      </c>
      <c r="G12" s="213">
        <f>'3.SummaryBY'!H88</f>
        <v>13922.725504544225</v>
      </c>
      <c r="H12" s="213">
        <f>'3.SummaryBY'!I88</f>
        <v>614.62965319594571</v>
      </c>
      <c r="I12" s="213">
        <f>'3.SummaryBY'!J88</f>
        <v>71941.295443966461</v>
      </c>
      <c r="J12" s="213">
        <f>'3.SummaryBY'!L88</f>
        <v>1307868.6629999999</v>
      </c>
      <c r="K12" s="459">
        <f>'3.SummaryBY'!N88</f>
        <v>5.3079801229813033E-2</v>
      </c>
      <c r="L12" s="459">
        <f>'3.SummaryBY'!O88</f>
        <v>1.369857956252957E-2</v>
      </c>
      <c r="M12" s="459">
        <f>'3.SummaryBY'!P88</f>
        <v>6.677838079234262E-2</v>
      </c>
      <c r="N12" s="459">
        <f>'3.SummaryBY'!Q88</f>
        <v>6.6431730275806566E-2</v>
      </c>
      <c r="O12" s="459">
        <f>'3.SummaryBY'!R88</f>
        <v>0.13321011106814917</v>
      </c>
    </row>
    <row r="13" spans="1:15" s="207" customFormat="1" ht="11.25" x14ac:dyDescent="0.2">
      <c r="A13" s="209">
        <f>A12+1</f>
        <v>5</v>
      </c>
      <c r="B13" s="217" t="s">
        <v>274</v>
      </c>
      <c r="C13" s="217"/>
      <c r="D13" s="213">
        <f>'3.SummaryBY'!E118</f>
        <v>39792.276082923847</v>
      </c>
      <c r="E13" s="213">
        <f>'3.SummaryBY'!F118</f>
        <v>5622.2774519335144</v>
      </c>
      <c r="F13" s="212">
        <f>'3.SummaryBY'!G118</f>
        <v>7919.1476578632301</v>
      </c>
      <c r="G13" s="213">
        <f>'3.SummaryBY'!H118</f>
        <v>13890.690384565913</v>
      </c>
      <c r="H13" s="213">
        <f>'3.SummaryBY'!I118</f>
        <v>613.52478986629376</v>
      </c>
      <c r="I13" s="213">
        <f>'3.SummaryBY'!J118</f>
        <v>71608.828085246219</v>
      </c>
      <c r="J13" s="213">
        <f>'3.SummaryBY'!L118</f>
        <v>1307868.6629999999</v>
      </c>
      <c r="K13" s="459">
        <f>'3.SummaryBY'!N118</f>
        <v>5.3078714153994289E-2</v>
      </c>
      <c r="L13" s="459">
        <f>'3.SummaryBY'!O118</f>
        <v>1.3667060185114934E-2</v>
      </c>
      <c r="M13" s="459">
        <f>'3.SummaryBY'!P118</f>
        <v>6.6745774339109221E-2</v>
      </c>
      <c r="N13" s="459">
        <f>'3.SummaryBY'!Q118</f>
        <v>6.6124724657354569E-2</v>
      </c>
      <c r="O13" s="459">
        <f>'3.SummaryBY'!R118</f>
        <v>0.1328704989964638</v>
      </c>
    </row>
    <row r="14" spans="1:15" s="207" customFormat="1" ht="11.25" x14ac:dyDescent="0.2">
      <c r="A14" s="209">
        <f>A13+1</f>
        <v>6</v>
      </c>
      <c r="B14" s="210" t="s">
        <v>0</v>
      </c>
      <c r="C14" s="210"/>
      <c r="D14" s="213">
        <f>'3.SummaryBY'!E89</f>
        <v>21534.62274505556</v>
      </c>
      <c r="E14" s="213">
        <f>'3.SummaryBY'!F89</f>
        <v>3527.1516872286848</v>
      </c>
      <c r="F14" s="213">
        <f>'3.SummaryBY'!G89</f>
        <v>4370.1385756217742</v>
      </c>
      <c r="G14" s="213">
        <f>'3.SummaryBY'!H89</f>
        <v>178981.26063895421</v>
      </c>
      <c r="H14" s="213">
        <f>'3.SummaryBY'!I89</f>
        <v>5792.0884775862205</v>
      </c>
      <c r="I14" s="213">
        <f>'3.SummaryBY'!J89</f>
        <v>146692.43531935383</v>
      </c>
      <c r="J14" s="213">
        <f>'3.SummaryBY'!L89</f>
        <v>6561008.1629999997</v>
      </c>
      <c r="K14" s="459">
        <f>'3.SummaryBY'!N89</f>
        <v>6.9084961895042249E-3</v>
      </c>
      <c r="L14" s="459">
        <f>'3.SummaryBY'!O89</f>
        <v>3.5103659577863489E-2</v>
      </c>
      <c r="M14" s="459">
        <f>'3.SummaryBY'!P89</f>
        <v>4.2012155767367713E-2</v>
      </c>
      <c r="N14" s="459">
        <f>'3.SummaryBY'!Q89</f>
        <v>2.7002164882775796E-2</v>
      </c>
      <c r="O14" s="459">
        <f>'3.SummaryBY'!R89</f>
        <v>6.9014320650143512E-2</v>
      </c>
    </row>
    <row r="15" spans="1:15" s="207" customFormat="1" ht="11.25" x14ac:dyDescent="0.2">
      <c r="A15" s="297">
        <f t="shared" si="1"/>
        <v>7</v>
      </c>
      <c r="B15" s="89" t="s">
        <v>275</v>
      </c>
      <c r="C15" s="218"/>
      <c r="D15" s="214">
        <f>'3.SummaryBY'!E111</f>
        <v>21370.170901385183</v>
      </c>
      <c r="E15" s="214">
        <f>'3.SummaryBY'!F111</f>
        <v>3508.8054160861866</v>
      </c>
      <c r="F15" s="214">
        <f>'3.SummaryBY'!G111</f>
        <v>4338.2632151897687</v>
      </c>
      <c r="G15" s="215">
        <f>'3.SummaryBY'!H111</f>
        <v>176257.30813485186</v>
      </c>
      <c r="H15" s="215">
        <f>'3.SummaryBY'!I111</f>
        <v>5705.3761109091292</v>
      </c>
      <c r="I15" s="214">
        <f>'3.SummaryBY'!J111</f>
        <v>143097.50138940502</v>
      </c>
      <c r="J15" s="214">
        <f>'3.SummaryBY'!L111</f>
        <v>6561008.1629999997</v>
      </c>
      <c r="K15" s="460">
        <f>'3.SummaryBY'!N111</f>
        <v>6.8493852749948077E-3</v>
      </c>
      <c r="L15" s="460">
        <f>'3.SummaryBY'!O111</f>
        <v>3.4569409785070011E-2</v>
      </c>
      <c r="M15" s="460">
        <f>'3.SummaryBY'!P111</f>
        <v>4.1418795060064809E-2</v>
      </c>
      <c r="N15" s="460">
        <f>'3.SummaryBY'!Q111</f>
        <v>2.6340433427381817E-2</v>
      </c>
      <c r="O15" s="460">
        <f>'3.SummaryBY'!R111</f>
        <v>6.7759228487446629E-2</v>
      </c>
    </row>
    <row r="16" spans="1:15" s="207" customFormat="1" ht="11.25" x14ac:dyDescent="0.2">
      <c r="A16" s="209">
        <f t="shared" si="1"/>
        <v>8</v>
      </c>
      <c r="B16" s="289" t="s">
        <v>258</v>
      </c>
      <c r="C16" s="289"/>
      <c r="D16" s="208"/>
      <c r="E16" s="208"/>
      <c r="F16" s="208"/>
      <c r="G16" s="208"/>
      <c r="H16" s="208"/>
      <c r="I16" s="208"/>
      <c r="J16" s="208"/>
      <c r="K16" s="210"/>
      <c r="L16" s="210"/>
      <c r="M16" s="210"/>
      <c r="N16" s="210"/>
      <c r="O16" s="210"/>
    </row>
    <row r="17" spans="1:15" s="207" customFormat="1" ht="11.25" x14ac:dyDescent="0.2">
      <c r="A17" s="209">
        <f t="shared" si="1"/>
        <v>9</v>
      </c>
      <c r="B17" s="266" t="s">
        <v>209</v>
      </c>
      <c r="C17" s="266" t="str">
        <f>"L"&amp;A10&amp;" x [UDCInputs.xls] " &amp;[1]NOTES!$A$5&amp;" L"&amp;[1]Inputs!A8</f>
        <v>L2 x [UDCInputs.xls] Inputs L3</v>
      </c>
      <c r="D17" s="213">
        <f>D10*(1-[1]Inputs!$C$8)</f>
        <v>25445.096767752722</v>
      </c>
      <c r="E17" s="213">
        <f>E10*(1-[1]Inputs!$C$8)</f>
        <v>8276.9090793765918</v>
      </c>
      <c r="F17" s="213">
        <f>F10*(1-[1]Inputs!$C$8)</f>
        <v>5880.072336995865</v>
      </c>
      <c r="G17" s="213">
        <f>G10*(1-[1]Inputs!$C$8)</f>
        <v>49078.790358427737</v>
      </c>
      <c r="H17" s="213">
        <f>H10*(1-[1]Inputs!$C$8)</f>
        <v>1692.6846463322549</v>
      </c>
      <c r="I17" s="213">
        <f>I10*(1-[1]Inputs!$C$8)</f>
        <v>73031.822960009202</v>
      </c>
      <c r="J17" s="213">
        <f t="shared" ref="J17:J22" si="2">J10</f>
        <v>3430799.22</v>
      </c>
      <c r="K17" s="459">
        <f>SUM(D17:F17,H17)*[1]BYPBack!$D$17/J17</f>
        <v>1.5352746902920362E-2</v>
      </c>
      <c r="L17" s="459">
        <f>SUM(G17:G17)*[1]BYPBack!$D$17/J17</f>
        <v>1.8246726582933189E-2</v>
      </c>
      <c r="M17" s="459">
        <f>SUM(D17:H17)*[1]BYPBack!$D$17/J17</f>
        <v>3.3599473485853557E-2</v>
      </c>
      <c r="N17" s="459">
        <f>I17*[1]BYPBack!$E$17/J17</f>
        <v>2.5708591466158774E-2</v>
      </c>
      <c r="O17" s="459">
        <f t="shared" ref="O17:O22" si="3">M17+N17</f>
        <v>5.9308064952012331E-2</v>
      </c>
    </row>
    <row r="18" spans="1:15" s="207" customFormat="1" ht="11.25" x14ac:dyDescent="0.2">
      <c r="A18" s="209">
        <f t="shared" si="1"/>
        <v>10</v>
      </c>
      <c r="B18" s="210" t="s">
        <v>63</v>
      </c>
      <c r="C18" s="266" t="str">
        <f>"L"&amp;A11&amp;" x [UDCInputs.xls] " &amp;[1]NOTES!$A$5&amp;" L"&amp;[1]Inputs!A9</f>
        <v>L3 x [UDCInputs.xls] Inputs L4</v>
      </c>
      <c r="D18" s="213">
        <f>D11*(1-[1]Inputs!$C$9)</f>
        <v>15665.896028166435</v>
      </c>
      <c r="E18" s="213">
        <f>E11*(1-[1]Inputs!$C$9)</f>
        <v>4269.819458248262</v>
      </c>
      <c r="F18" s="213">
        <f>F11*(1-[1]Inputs!$C$9)</f>
        <v>3476.1707142004461</v>
      </c>
      <c r="G18" s="213">
        <f>G11*(1-[1]Inputs!$C$9)</f>
        <v>42541.88123391453</v>
      </c>
      <c r="H18" s="213">
        <f>H11*(1-[1]Inputs!$C$9)</f>
        <v>1354.247990423062</v>
      </c>
      <c r="I18" s="213">
        <f>I11*(1-[1]Inputs!$C$9)</f>
        <v>52875.999901082272</v>
      </c>
      <c r="J18" s="213">
        <f t="shared" si="2"/>
        <v>2586614.3319999999</v>
      </c>
      <c r="K18" s="459">
        <f>SUM(D18:F18,H18)*[1]BYPBack!$D$17/J18</f>
        <v>1.2212735717045951E-2</v>
      </c>
      <c r="L18" s="459">
        <f>SUM(G18:G18)*[1]BYPBack!$D$17/J18</f>
        <v>2.0978354894150519E-2</v>
      </c>
      <c r="M18" s="459">
        <f>SUM(D18:H18)*[1]BYPBack!$D$17/J18</f>
        <v>3.3191090611196461E-2</v>
      </c>
      <c r="N18" s="459">
        <f>I18*[1]BYPBack!$E$17/J18</f>
        <v>2.4688139225216142E-2</v>
      </c>
      <c r="O18" s="459">
        <f t="shared" si="3"/>
        <v>5.7879229836412603E-2</v>
      </c>
    </row>
    <row r="19" spans="1:15" s="207" customFormat="1" ht="11.25" x14ac:dyDescent="0.2">
      <c r="A19" s="209">
        <f t="shared" si="1"/>
        <v>11</v>
      </c>
      <c r="B19" s="217" t="s">
        <v>210</v>
      </c>
      <c r="C19" s="217" t="str">
        <f>"L"&amp;A12&amp;" +(L"&amp;A10&amp;" - L"&amp;A17&amp;")"</f>
        <v>L4 +(L2 - L9)</v>
      </c>
      <c r="D19" s="213">
        <f t="shared" ref="D19:I19" si="4">D12+(D10-D17)</f>
        <v>39871.54213862613</v>
      </c>
      <c r="E19" s="213">
        <f t="shared" si="4"/>
        <v>5648.0615132839939</v>
      </c>
      <c r="F19" s="212">
        <f t="shared" si="4"/>
        <v>7937.4651414103337</v>
      </c>
      <c r="G19" s="213">
        <f t="shared" si="4"/>
        <v>14075.614769059899</v>
      </c>
      <c r="H19" s="213">
        <f t="shared" si="4"/>
        <v>619.90267049618308</v>
      </c>
      <c r="I19" s="213">
        <f t="shared" si="4"/>
        <v>72168.802715784899</v>
      </c>
      <c r="J19" s="213">
        <f t="shared" si="2"/>
        <v>1307868.6629999999</v>
      </c>
      <c r="K19" s="459">
        <f>SUM(D19:F19,H19)*[1]BYPBack!$D$18/J19</f>
        <v>5.3206370825593853E-2</v>
      </c>
      <c r="L19" s="459">
        <f>SUM(G19:G19)*[1]BYPBack!$D$18/J19</f>
        <v>1.3849007419025124E-2</v>
      </c>
      <c r="M19" s="459">
        <f>SUM(D19:H19)*[1]BYPBack!$D$18/J19</f>
        <v>6.7055378244618991E-2</v>
      </c>
      <c r="N19" s="459">
        <f>I19*[1]BYPBack!$E$18/J19</f>
        <v>6.6641814089615545E-2</v>
      </c>
      <c r="O19" s="459">
        <f t="shared" si="3"/>
        <v>0.13369719233423455</v>
      </c>
    </row>
    <row r="20" spans="1:15" s="207" customFormat="1" ht="11.25" x14ac:dyDescent="0.2">
      <c r="A20" s="209">
        <f>A19+1</f>
        <v>12</v>
      </c>
      <c r="B20" s="217" t="s">
        <v>274</v>
      </c>
      <c r="C20" s="217" t="str">
        <f>"L"&amp;A13&amp;" +(L"&amp;A10&amp;" - L"&amp;A17&amp;")"</f>
        <v>L5 +(L2 - L9)</v>
      </c>
      <c r="D20" s="213">
        <f>D13+(D10-D17)</f>
        <v>39871.54213862613</v>
      </c>
      <c r="E20" s="213">
        <f t="shared" ref="E20:I20" si="5">E13+(E10-E17)</f>
        <v>5648.0615132839939</v>
      </c>
      <c r="F20" s="212">
        <f t="shared" si="5"/>
        <v>7937.4651414103337</v>
      </c>
      <c r="G20" s="213">
        <f t="shared" si="5"/>
        <v>14043.579649081586</v>
      </c>
      <c r="H20" s="213">
        <f t="shared" si="5"/>
        <v>618.79780716653113</v>
      </c>
      <c r="I20" s="213">
        <f t="shared" si="5"/>
        <v>71836.335357064658</v>
      </c>
      <c r="J20" s="213">
        <f t="shared" si="2"/>
        <v>1307868.6629999999</v>
      </c>
      <c r="K20" s="459">
        <f>SUM(D20:F20,H20)*[1]BYPBack!$D$18/J20</f>
        <v>5.3205283749775109E-2</v>
      </c>
      <c r="L20" s="459">
        <f>SUM(G20:G20)*[1]BYPBack!$D$18/J20</f>
        <v>1.3817488041610489E-2</v>
      </c>
      <c r="M20" s="459">
        <f>SUM(D20:H20)*[1]BYPBack!$D$18/J20</f>
        <v>6.7022771791385605E-2</v>
      </c>
      <c r="N20" s="459">
        <f>I20*[1]BYPBack!$E$18/J20</f>
        <v>6.6334808471163548E-2</v>
      </c>
      <c r="O20" s="459">
        <f t="shared" si="3"/>
        <v>0.13335758026254915</v>
      </c>
    </row>
    <row r="21" spans="1:15" s="207" customFormat="1" ht="11.25" x14ac:dyDescent="0.2">
      <c r="A21" s="209">
        <f>A20+1</f>
        <v>13</v>
      </c>
      <c r="B21" s="210" t="s">
        <v>0</v>
      </c>
      <c r="C21" s="217" t="str">
        <f>"L"&amp;A14&amp;" +(L"&amp;A11&amp;" - L"&amp;A18&amp;")"</f>
        <v>L6 +(L3 - L10)</v>
      </c>
      <c r="D21" s="213">
        <f>D14+(D11-D18)</f>
        <v>22663.526098522008</v>
      </c>
      <c r="E21" s="213">
        <f t="shared" ref="E21:I21" si="6">E14+(E11-E18)</f>
        <v>3834.8400247770942</v>
      </c>
      <c r="F21" s="213">
        <f t="shared" si="6"/>
        <v>4620.6356279082911</v>
      </c>
      <c r="G21" s="213">
        <f t="shared" si="6"/>
        <v>182046.87988610036</v>
      </c>
      <c r="H21" s="213">
        <f t="shared" si="6"/>
        <v>5889.6772203600185</v>
      </c>
      <c r="I21" s="213">
        <f t="shared" si="6"/>
        <v>150502.74361572581</v>
      </c>
      <c r="J21" s="213">
        <f t="shared" si="2"/>
        <v>6561008.1629999997</v>
      </c>
      <c r="K21" s="459">
        <f>SUM(D21:F21,H21)*[1]BYPBack!$D$18/J21</f>
        <v>7.2585256322727412E-3</v>
      </c>
      <c r="L21" s="459">
        <f>SUM(G21:G21)*[1]BYPBack!$D$18/J21</f>
        <v>3.5704920592916051E-2</v>
      </c>
      <c r="M21" s="459">
        <f>SUM(D21:H21)*[1]BYPBack!$D$18/J21</f>
        <v>4.2963446225188801E-2</v>
      </c>
      <c r="N21" s="459">
        <f>I21*[1]BYPBack!$E$18/J21</f>
        <v>2.7703541014741002E-2</v>
      </c>
      <c r="O21" s="459">
        <f t="shared" si="3"/>
        <v>7.0666987239929799E-2</v>
      </c>
    </row>
    <row r="22" spans="1:15" s="207" customFormat="1" ht="11.25" x14ac:dyDescent="0.2">
      <c r="A22" s="297">
        <f>A21+1</f>
        <v>14</v>
      </c>
      <c r="B22" s="298" t="s">
        <v>275</v>
      </c>
      <c r="C22" s="299" t="str">
        <f>"L"&amp;A15&amp;" +(L"&amp;A11&amp;" - L"&amp;A18&amp;")"</f>
        <v>L7 +(L3 - L10)</v>
      </c>
      <c r="D22" s="214">
        <f>D15+(D11-D18)</f>
        <v>22499.074254851635</v>
      </c>
      <c r="E22" s="214">
        <f t="shared" ref="E22:I22" si="7">E15+(E11-E18)</f>
        <v>3816.493753634596</v>
      </c>
      <c r="F22" s="214">
        <f t="shared" si="7"/>
        <v>4588.7602674762857</v>
      </c>
      <c r="G22" s="215">
        <f t="shared" si="7"/>
        <v>179322.92738199802</v>
      </c>
      <c r="H22" s="215">
        <f t="shared" si="7"/>
        <v>5802.9648536829272</v>
      </c>
      <c r="I22" s="214">
        <f t="shared" si="7"/>
        <v>146907.809685777</v>
      </c>
      <c r="J22" s="214">
        <f t="shared" si="2"/>
        <v>6561008.1629999997</v>
      </c>
      <c r="K22" s="460">
        <f>SUM(D22:F22,H22)*[1]BYPBack!$D$18/J22</f>
        <v>7.1994147177633283E-3</v>
      </c>
      <c r="L22" s="460">
        <f>SUM(G22:G22)*[1]BYPBack!$D$18/J22</f>
        <v>3.5170670800122573E-2</v>
      </c>
      <c r="M22" s="460">
        <f>SUM(D22:H22)*[1]BYPBack!$D$18/J22</f>
        <v>4.2370085517885903E-2</v>
      </c>
      <c r="N22" s="460">
        <f>I22*[1]BYPBack!$E$18/J22</f>
        <v>2.7041809559347027E-2</v>
      </c>
      <c r="O22" s="460">
        <f t="shared" si="3"/>
        <v>6.941189507723293E-2</v>
      </c>
    </row>
    <row r="24" spans="1:15" x14ac:dyDescent="0.2">
      <c r="A24" s="13" t="s">
        <v>261</v>
      </c>
    </row>
    <row r="25" spans="1:15" x14ac:dyDescent="0.2">
      <c r="A25" s="13"/>
    </row>
    <row r="26" spans="1:15" x14ac:dyDescent="0.2">
      <c r="B26" s="469" t="s">
        <v>341</v>
      </c>
      <c r="C26" s="470" t="s">
        <v>449</v>
      </c>
    </row>
    <row r="27" spans="1:15" s="223" customFormat="1" x14ac:dyDescent="0.2">
      <c r="B27" s="471" t="s">
        <v>209</v>
      </c>
      <c r="C27" s="472">
        <f t="shared" ref="C27:C32" si="8">O17*100</f>
        <v>5.9308064952012334</v>
      </c>
    </row>
    <row r="28" spans="1:15" s="223" customFormat="1" x14ac:dyDescent="0.2">
      <c r="B28" s="473" t="s">
        <v>63</v>
      </c>
      <c r="C28" s="472">
        <f t="shared" si="8"/>
        <v>5.78792298364126</v>
      </c>
    </row>
    <row r="29" spans="1:15" s="223" customFormat="1" x14ac:dyDescent="0.2">
      <c r="B29" s="474" t="s">
        <v>210</v>
      </c>
      <c r="C29" s="472">
        <f t="shared" si="8"/>
        <v>13.369719233423455</v>
      </c>
    </row>
    <row r="30" spans="1:15" s="223" customFormat="1" ht="14.25" x14ac:dyDescent="0.2">
      <c r="B30" s="474" t="s">
        <v>276</v>
      </c>
      <c r="C30" s="472">
        <f t="shared" si="8"/>
        <v>13.335758026254915</v>
      </c>
    </row>
    <row r="31" spans="1:15" s="223" customFormat="1" x14ac:dyDescent="0.2">
      <c r="B31" s="473" t="s">
        <v>0</v>
      </c>
      <c r="C31" s="472">
        <f t="shared" si="8"/>
        <v>7.0666987239929799</v>
      </c>
    </row>
    <row r="32" spans="1:15" s="223" customFormat="1" ht="14.25" x14ac:dyDescent="0.2">
      <c r="B32" s="475" t="s">
        <v>277</v>
      </c>
      <c r="C32" s="476">
        <f t="shared" si="8"/>
        <v>6.9411895077232932</v>
      </c>
    </row>
    <row r="34" spans="1:4" x14ac:dyDescent="0.2">
      <c r="A34" s="207" t="s">
        <v>278</v>
      </c>
      <c r="B34" s="207"/>
      <c r="C34" s="207"/>
      <c r="D34" s="207"/>
    </row>
    <row r="35" spans="1:4" x14ac:dyDescent="0.2">
      <c r="A35" s="305" t="s">
        <v>286</v>
      </c>
      <c r="B35" s="207"/>
      <c r="C35" s="207"/>
      <c r="D35" s="207"/>
    </row>
    <row r="36" spans="1:4" x14ac:dyDescent="0.2">
      <c r="A36" s="207" t="s">
        <v>279</v>
      </c>
      <c r="B36" s="207"/>
      <c r="C36" s="207"/>
      <c r="D36" s="207"/>
    </row>
    <row r="37" spans="1:4" x14ac:dyDescent="0.2">
      <c r="A37" s="207" t="s">
        <v>280</v>
      </c>
      <c r="B37" s="207"/>
      <c r="C37" s="207"/>
      <c r="D37" s="207"/>
    </row>
    <row r="44" spans="1:4" x14ac:dyDescent="0.2">
      <c r="D44" s="1"/>
    </row>
  </sheetData>
  <phoneticPr fontId="10" type="noConversion"/>
  <pageMargins left="0.75" right="0.75" top="1" bottom="1" header="0.5" footer="0.5"/>
  <pageSetup orientation="portrait" r:id="rId1"/>
  <headerFooter alignWithMargins="0">
    <oddHeader xml:space="preserve">&amp;RUSPS-FY09-19
</oddHeader>
  </headerFooter>
  <ignoredErrors>
    <ignoredError sqref="D7:I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5">
    <tabColor rgb="FF92D050"/>
  </sheetPr>
  <dimension ref="A1:P31"/>
  <sheetViews>
    <sheetView workbookViewId="0">
      <selection activeCell="L15" sqref="L15"/>
    </sheetView>
  </sheetViews>
  <sheetFormatPr defaultColWidth="9.140625" defaultRowHeight="12.75" x14ac:dyDescent="0.2"/>
  <cols>
    <col min="1" max="1" width="9.140625" style="316"/>
    <col min="2" max="2" width="28.5703125" style="316" bestFit="1" customWidth="1"/>
    <col min="3" max="3" width="9.140625" style="316"/>
    <col min="4" max="4" width="10.140625" style="316" customWidth="1"/>
    <col min="5" max="6" width="9.140625" style="316"/>
    <col min="7" max="7" width="12.140625" style="316" customWidth="1"/>
    <col min="8" max="8" width="9.140625" style="316"/>
    <col min="9" max="9" width="12.85546875" style="316" bestFit="1" customWidth="1"/>
    <col min="10" max="10" width="13.5703125" style="316" customWidth="1"/>
    <col min="11" max="11" width="9.140625" style="316"/>
    <col min="12" max="12" width="12.5703125" style="316" bestFit="1" customWidth="1"/>
    <col min="13" max="16" width="10.5703125" style="316" bestFit="1" customWidth="1"/>
    <col min="17" max="16384" width="9.140625" style="316"/>
  </cols>
  <sheetData>
    <row r="1" spans="1:16" x14ac:dyDescent="0.2">
      <c r="A1" s="263" t="str">
        <f>[1]Inputs!$C$4</f>
        <v>Unit Delivery Cost Model -  12/16/2025</v>
      </c>
      <c r="D1" s="319"/>
      <c r="F1" s="319"/>
    </row>
    <row r="2" spans="1:16" x14ac:dyDescent="0.2">
      <c r="A2" s="325" t="s">
        <v>300</v>
      </c>
      <c r="D2" s="319"/>
      <c r="F2" s="319"/>
    </row>
    <row r="3" spans="1:16" x14ac:dyDescent="0.2">
      <c r="A3" s="325"/>
      <c r="D3" s="319"/>
      <c r="F3" s="319"/>
    </row>
    <row r="4" spans="1:16" x14ac:dyDescent="0.2">
      <c r="A4" s="326"/>
      <c r="B4" s="326"/>
      <c r="C4" s="327"/>
      <c r="D4" s="327"/>
      <c r="E4" s="327"/>
      <c r="F4" s="327"/>
      <c r="G4" s="327"/>
      <c r="H4" s="327"/>
      <c r="I4" s="327"/>
      <c r="J4" s="327"/>
      <c r="K4" s="327"/>
      <c r="L4" s="328"/>
      <c r="M4" s="328"/>
      <c r="N4" s="328"/>
      <c r="O4" s="328"/>
      <c r="P4" s="329"/>
    </row>
    <row r="5" spans="1:16" s="333" customFormat="1" ht="67.5" x14ac:dyDescent="0.2">
      <c r="A5" s="335" t="s">
        <v>23</v>
      </c>
      <c r="B5" s="335" t="s">
        <v>146</v>
      </c>
      <c r="C5" s="336" t="s">
        <v>301</v>
      </c>
      <c r="D5" s="336" t="s">
        <v>130</v>
      </c>
      <c r="E5" s="336" t="s">
        <v>145</v>
      </c>
      <c r="F5" s="336" t="s">
        <v>302</v>
      </c>
      <c r="G5" s="336" t="s">
        <v>131</v>
      </c>
      <c r="H5" s="336" t="s">
        <v>303</v>
      </c>
      <c r="I5" s="335" t="s">
        <v>72</v>
      </c>
      <c r="J5" s="335" t="s">
        <v>134</v>
      </c>
      <c r="K5" s="336"/>
      <c r="L5" s="336" t="s">
        <v>140</v>
      </c>
      <c r="M5" s="336" t="s">
        <v>141</v>
      </c>
      <c r="N5" s="336" t="s">
        <v>142</v>
      </c>
      <c r="O5" s="336" t="s">
        <v>143</v>
      </c>
      <c r="P5" s="335" t="s">
        <v>144</v>
      </c>
    </row>
    <row r="6" spans="1:16" s="333" customFormat="1" ht="11.25" x14ac:dyDescent="0.2">
      <c r="A6" s="337"/>
      <c r="B6" s="338" t="s">
        <v>22</v>
      </c>
      <c r="C6" s="339">
        <v>-1</v>
      </c>
      <c r="D6" s="339">
        <f>C6-1</f>
        <v>-2</v>
      </c>
      <c r="E6" s="339">
        <f t="shared" ref="E6:J6" si="0">D6-1</f>
        <v>-3</v>
      </c>
      <c r="F6" s="339">
        <f t="shared" si="0"/>
        <v>-4</v>
      </c>
      <c r="G6" s="339">
        <f t="shared" si="0"/>
        <v>-5</v>
      </c>
      <c r="H6" s="339">
        <f t="shared" si="0"/>
        <v>-6</v>
      </c>
      <c r="I6" s="339">
        <f t="shared" si="0"/>
        <v>-7</v>
      </c>
      <c r="J6" s="339">
        <f t="shared" si="0"/>
        <v>-8</v>
      </c>
      <c r="K6" s="339"/>
      <c r="L6" s="339">
        <f>J6-1</f>
        <v>-9</v>
      </c>
      <c r="M6" s="339">
        <f>L6-1</f>
        <v>-10</v>
      </c>
      <c r="N6" s="339">
        <f t="shared" ref="N6:P6" si="1">M6-1</f>
        <v>-11</v>
      </c>
      <c r="O6" s="339">
        <f t="shared" si="1"/>
        <v>-12</v>
      </c>
      <c r="P6" s="339">
        <f t="shared" si="1"/>
        <v>-13</v>
      </c>
    </row>
    <row r="7" spans="1:16" s="333" customFormat="1" ht="11.25" x14ac:dyDescent="0.2">
      <c r="A7" s="340"/>
      <c r="B7" s="341" t="s">
        <v>94</v>
      </c>
      <c r="C7" s="342" t="s">
        <v>96</v>
      </c>
      <c r="D7" s="342" t="s">
        <v>96</v>
      </c>
      <c r="E7" s="342" t="s">
        <v>96</v>
      </c>
      <c r="F7" s="342" t="s">
        <v>96</v>
      </c>
      <c r="G7" s="342" t="s">
        <v>96</v>
      </c>
      <c r="H7" s="342" t="s">
        <v>96</v>
      </c>
      <c r="I7" s="342" t="s">
        <v>96</v>
      </c>
      <c r="J7" s="342" t="s">
        <v>96</v>
      </c>
      <c r="K7" s="342"/>
      <c r="L7" s="342" t="s">
        <v>96</v>
      </c>
      <c r="M7" s="342" t="s">
        <v>96</v>
      </c>
      <c r="N7" s="342" t="s">
        <v>96</v>
      </c>
      <c r="O7" s="342" t="s">
        <v>96</v>
      </c>
      <c r="P7" s="342" t="s">
        <v>96</v>
      </c>
    </row>
    <row r="8" spans="1:16" s="333" customFormat="1" ht="11.25" x14ac:dyDescent="0.2">
      <c r="A8" s="343">
        <v>1</v>
      </c>
      <c r="B8" s="344" t="s">
        <v>132</v>
      </c>
      <c r="C8" s="345"/>
      <c r="D8" s="345"/>
      <c r="E8" s="345"/>
      <c r="F8" s="345"/>
      <c r="G8" s="345"/>
      <c r="H8" s="345"/>
      <c r="I8" s="345"/>
      <c r="J8" s="345"/>
      <c r="K8" s="345"/>
      <c r="L8" s="345"/>
      <c r="M8" s="345"/>
      <c r="N8" s="345"/>
      <c r="O8" s="345"/>
      <c r="P8" s="345"/>
    </row>
    <row r="9" spans="1:16" s="333" customFormat="1" ht="11.25" x14ac:dyDescent="0.2">
      <c r="A9" s="346">
        <f>A8+1</f>
        <v>2</v>
      </c>
      <c r="B9" s="347" t="s">
        <v>52</v>
      </c>
      <c r="C9" s="117">
        <f>'3.SummaryBY'!E$10</f>
        <v>128202.82139651167</v>
      </c>
      <c r="D9" s="117">
        <f>'3.SummaryBY'!F$10</f>
        <v>38581.941711113104</v>
      </c>
      <c r="E9" s="117">
        <f>'3.SummaryBY'!G$10</f>
        <v>29074.787003672991</v>
      </c>
      <c r="F9" s="117">
        <f>'3.SummaryBY'!H$10</f>
        <v>280684.84819367272</v>
      </c>
      <c r="G9" s="117">
        <f>'3.SummaryBY'!I$10</f>
        <v>7985.5832274443355</v>
      </c>
      <c r="H9" s="117">
        <f>'3.SummaryBY'!J$10</f>
        <v>140775.70358139972</v>
      </c>
      <c r="I9" s="117">
        <f>SUM(C9:G9)*[1]BYPBack!$D$11+H9*[1]BYPBack!$E$11</f>
        <v>788030.22711458767</v>
      </c>
      <c r="J9" s="117">
        <f>'3.SummaryBY'!L$10</f>
        <v>9372495.3469999991</v>
      </c>
      <c r="K9" s="348"/>
      <c r="L9" s="349">
        <f>SUM($C9:$E9, G9)*[1]BYPBack!$D$11/J9</f>
        <v>2.7741063635180582E-2</v>
      </c>
      <c r="M9" s="349">
        <f>SUM($F9:$F9)*[1]BYPBack!$D$11/J9</f>
        <v>3.8198097289045274E-2</v>
      </c>
      <c r="N9" s="349">
        <f>SUM($C9:$G9)*[1]BYPBack!$D$11/J9</f>
        <v>6.5939160924225845E-2</v>
      </c>
      <c r="O9" s="349">
        <f>H9*[1]BYPBack!$E$11/J9</f>
        <v>1.8139859436859189E-2</v>
      </c>
      <c r="P9" s="349">
        <f>I9/J9</f>
        <v>8.4079020361085041E-2</v>
      </c>
    </row>
    <row r="10" spans="1:16" s="333" customFormat="1" ht="11.25" x14ac:dyDescent="0.2">
      <c r="A10" s="346">
        <v>3</v>
      </c>
      <c r="B10" s="350" t="s">
        <v>304</v>
      </c>
      <c r="C10" s="117">
        <v>0</v>
      </c>
      <c r="D10" s="117">
        <f>D13+D14</f>
        <v>1230.921</v>
      </c>
      <c r="E10" s="117">
        <f>(C10+D10)/(C9+D9)*E9</f>
        <v>214.58054816586559</v>
      </c>
      <c r="F10" s="117">
        <f>'8.CityCosts'!$C$29+'8.CityCosts'!M11</f>
        <v>165899.20637362811</v>
      </c>
      <c r="G10" s="117">
        <f>('8.CityCosts'!$C$29/'8.CityCosts'!$C$83*'8.CityCosts'!$C$102)</f>
        <v>4186.473478079397</v>
      </c>
      <c r="H10" s="117">
        <f>'5.RuralCrosswalk'!$X$39</f>
        <v>7699.2631248031466</v>
      </c>
      <c r="I10" s="351">
        <f>SUM(C10:G10)*[1]BYPBack!$D$11+H10*[1]BYPBack!$E$11</f>
        <v>228085.22938783889</v>
      </c>
      <c r="J10" s="351">
        <f>J9</f>
        <v>9372495.3469999991</v>
      </c>
      <c r="L10" s="349">
        <f>SUM($C10:$E10, G10)*[1]BYPBack!$D$11/J10</f>
        <v>7.6644938751218054E-4</v>
      </c>
      <c r="M10" s="349">
        <f>SUM($F10:$F10)*[1]BYPBack!$D$11/J10</f>
        <v>2.2577043492075816E-2</v>
      </c>
      <c r="N10" s="349">
        <f>SUM($C10:$G10)*[1]BYPBack!$D$11/J10</f>
        <v>2.3343492879587993E-2</v>
      </c>
      <c r="O10" s="349">
        <f>H10*[1]BYPBack!$E$11/J10</f>
        <v>9.9209982474401698E-4</v>
      </c>
      <c r="P10" s="349">
        <f>I10/J10</f>
        <v>2.4335592704332009E-2</v>
      </c>
    </row>
    <row r="11" spans="1:16" s="333" customFormat="1" ht="11.25" x14ac:dyDescent="0.2">
      <c r="A11" s="352">
        <v>4</v>
      </c>
      <c r="B11" s="353" t="s">
        <v>305</v>
      </c>
      <c r="C11" s="122">
        <f>C9-C10</f>
        <v>128202.82139651167</v>
      </c>
      <c r="D11" s="122">
        <f t="shared" ref="D11:H11" si="2">D9-D10</f>
        <v>37351.020711113102</v>
      </c>
      <c r="E11" s="122">
        <f t="shared" si="2"/>
        <v>28860.206455507127</v>
      </c>
      <c r="F11" s="122">
        <f t="shared" si="2"/>
        <v>114785.64182004461</v>
      </c>
      <c r="G11" s="122">
        <f t="shared" si="2"/>
        <v>3799.1097493649386</v>
      </c>
      <c r="H11" s="122">
        <f t="shared" si="2"/>
        <v>133076.44045659658</v>
      </c>
      <c r="I11" s="354">
        <f>SUM(C11:G11)*[1]BYPBack!$D$11+H11*[1]BYPBack!$E$11</f>
        <v>559944.99772674893</v>
      </c>
      <c r="J11" s="354">
        <f>J9</f>
        <v>9372495.3469999991</v>
      </c>
      <c r="K11" s="355"/>
      <c r="L11" s="356">
        <f>SUM($C11:$E11, G11)*[1]BYPBack!$D$11/J11</f>
        <v>2.6974614247668401E-2</v>
      </c>
      <c r="M11" s="356">
        <f>SUM($F11:$F11)*[1]BYPBack!$D$11/J11</f>
        <v>1.562105379696946E-2</v>
      </c>
      <c r="N11" s="356">
        <f>SUM($C11:$G11)*[1]BYPBack!$D$11/J11</f>
        <v>4.2595668044637866E-2</v>
      </c>
      <c r="O11" s="356">
        <f>H11*[1]BYPBack!$E$11/J11</f>
        <v>1.7147759612115173E-2</v>
      </c>
      <c r="P11" s="356">
        <f>I11/J11</f>
        <v>5.9743427656753043E-2</v>
      </c>
    </row>
    <row r="12" spans="1:16" s="333" customFormat="1" ht="11.25" x14ac:dyDescent="0.2"/>
    <row r="13" spans="1:16" s="333" customFormat="1" ht="11.25" x14ac:dyDescent="0.2">
      <c r="A13" s="357">
        <v>5</v>
      </c>
      <c r="B13" s="358" t="s">
        <v>308</v>
      </c>
      <c r="C13" s="359"/>
      <c r="D13" s="360">
        <f>[1]FCByIndicia!$C$10/1000</f>
        <v>0</v>
      </c>
      <c r="E13" s="113">
        <f>D13/D10*E10</f>
        <v>0</v>
      </c>
      <c r="F13" s="113">
        <f t="shared" ref="F13:H15" si="3">F$10*$J13/$J$10</f>
        <v>96863.450775820427</v>
      </c>
      <c r="G13" s="113">
        <f t="shared" si="3"/>
        <v>2444.3532704728091</v>
      </c>
      <c r="H13" s="113">
        <f t="shared" si="3"/>
        <v>4495.3632449564875</v>
      </c>
      <c r="I13" s="113">
        <f>SUM(C13:G13)*[1]BYPBack!$D$11+H13*[1]BYPBack!$E$11</f>
        <v>132095.4640690528</v>
      </c>
      <c r="J13" s="360">
        <f>J11-SUM(J14:J15)</f>
        <v>5472312.1438334715</v>
      </c>
      <c r="K13" s="359"/>
      <c r="L13" s="456">
        <f>SUM($C13:$E13, G13)*[1]BYPBack!$D$11/J13</f>
        <v>5.6973264585818636E-4</v>
      </c>
      <c r="M13" s="456">
        <f>SUM($F13:$F13)*[1]BYPBack!$D$11/J13</f>
        <v>2.2577043492075812E-2</v>
      </c>
      <c r="N13" s="456">
        <f>SUM($C13:$G13)*[1]BYPBack!$D$11/J13</f>
        <v>2.3146776137934002E-2</v>
      </c>
      <c r="O13" s="456">
        <f>H13*[1]BYPBack!$E$11/J13</f>
        <v>9.9209982474401676E-4</v>
      </c>
      <c r="P13" s="456">
        <f>I13/J13</f>
        <v>2.4138875962678018E-2</v>
      </c>
    </row>
    <row r="14" spans="1:16" s="333" customFormat="1" ht="11.25" x14ac:dyDescent="0.2">
      <c r="A14" s="346">
        <v>6</v>
      </c>
      <c r="B14" s="350" t="s">
        <v>309</v>
      </c>
      <c r="C14" s="361"/>
      <c r="D14" s="273">
        <f>[1]FCByIndicia!$C$11/1000</f>
        <v>1230.921</v>
      </c>
      <c r="E14" s="117">
        <f>D14/D10*E10</f>
        <v>214.58054816586559</v>
      </c>
      <c r="F14" s="117">
        <f t="shared" si="3"/>
        <v>68878.863712392398</v>
      </c>
      <c r="G14" s="117">
        <f t="shared" si="3"/>
        <v>1738.161034253234</v>
      </c>
      <c r="H14" s="117">
        <f t="shared" si="3"/>
        <v>3196.6186400242186</v>
      </c>
      <c r="I14" s="117">
        <f>SUM(C14:G14)*[1]BYPBack!$D$11+H14*[1]BYPBack!$E$11</f>
        <v>95775.807357897778</v>
      </c>
      <c r="J14" s="273">
        <f>[1]FCByIndicia!$F$11</f>
        <v>3891319.5774857318</v>
      </c>
      <c r="K14" s="361"/>
      <c r="L14" s="457">
        <f>SUM($C14:$E14, G14)*[1]BYPBack!$D$11/J14</f>
        <v>1.0435376647254197E-3</v>
      </c>
      <c r="M14" s="457">
        <f>SUM($F14:$F14)*[1]BYPBack!$D$11/J14</f>
        <v>2.2577043492075816E-2</v>
      </c>
      <c r="N14" s="457">
        <f>SUM($C14:$G14)*[1]BYPBack!$D$11/J14</f>
        <v>2.3620581156801233E-2</v>
      </c>
      <c r="O14" s="457">
        <f>H14*[1]BYPBack!$E$11/J14</f>
        <v>9.9209982474401676E-4</v>
      </c>
      <c r="P14" s="457">
        <f>I14/J14</f>
        <v>2.4612680981545253E-2</v>
      </c>
    </row>
    <row r="15" spans="1:16" s="333" customFormat="1" ht="11.25" x14ac:dyDescent="0.2">
      <c r="A15" s="352">
        <v>7</v>
      </c>
      <c r="B15" s="362" t="s">
        <v>310</v>
      </c>
      <c r="C15" s="363"/>
      <c r="D15" s="315"/>
      <c r="E15" s="122"/>
      <c r="F15" s="122">
        <f t="shared" si="3"/>
        <v>156.89188541529299</v>
      </c>
      <c r="G15" s="122">
        <f t="shared" si="3"/>
        <v>3.9591733533537066</v>
      </c>
      <c r="H15" s="122">
        <f t="shared" si="3"/>
        <v>7.2812398224397166</v>
      </c>
      <c r="I15" s="122">
        <f>SUM(C15:G15)*[1]BYPBack!$D$11+H15*[1]BYPBack!$E$11</f>
        <v>213.95796088833123</v>
      </c>
      <c r="J15" s="315">
        <f>[1]FCByIndicia!$F$12</f>
        <v>8863.6256807955469</v>
      </c>
      <c r="K15" s="363"/>
      <c r="L15" s="458">
        <f>SUM($C15:$E15, G15)*[1]BYPBack!$D$11/J15</f>
        <v>5.6973264585818636E-4</v>
      </c>
      <c r="M15" s="458">
        <f>SUM($F15:$F15)*[1]BYPBack!$D$11/J15</f>
        <v>2.2577043492075816E-2</v>
      </c>
      <c r="N15" s="458">
        <f>SUM($C15:$G15)*[1]BYPBack!$D$11/J15</f>
        <v>2.3146776137934002E-2</v>
      </c>
      <c r="O15" s="458">
        <f>H15*[1]BYPBack!$E$11/J15</f>
        <v>9.9209982474401676E-4</v>
      </c>
      <c r="P15" s="458">
        <f>I15/J15</f>
        <v>2.4138875962678021E-2</v>
      </c>
    </row>
    <row r="16" spans="1:16" x14ac:dyDescent="0.2">
      <c r="B16" s="330"/>
      <c r="D16" s="331"/>
      <c r="E16" s="331"/>
      <c r="F16" s="331"/>
      <c r="G16" s="331"/>
      <c r="H16" s="331"/>
      <c r="I16" s="331"/>
      <c r="J16" s="331"/>
    </row>
    <row r="17" spans="1:16" x14ac:dyDescent="0.2">
      <c r="J17" s="319"/>
    </row>
    <row r="18" spans="1:16" x14ac:dyDescent="0.2">
      <c r="A18" s="332" t="s">
        <v>311</v>
      </c>
      <c r="B18" s="333" t="s">
        <v>312</v>
      </c>
      <c r="C18" s="333" t="s">
        <v>313</v>
      </c>
      <c r="E18" s="333"/>
      <c r="L18" s="317" t="s">
        <v>314</v>
      </c>
      <c r="M18" s="317"/>
      <c r="N18" s="317"/>
      <c r="O18" s="317"/>
      <c r="P18" s="367">
        <f>P14*0.6</f>
        <v>1.4767608588927152E-2</v>
      </c>
    </row>
    <row r="19" spans="1:16" x14ac:dyDescent="0.2">
      <c r="A19" s="332"/>
      <c r="B19" s="333" t="s">
        <v>315</v>
      </c>
      <c r="C19" s="333" t="s">
        <v>316</v>
      </c>
      <c r="E19" s="333"/>
      <c r="M19" s="317"/>
      <c r="N19" s="317"/>
      <c r="O19" s="317"/>
      <c r="P19" s="317"/>
    </row>
    <row r="20" spans="1:16" x14ac:dyDescent="0.2">
      <c r="A20" s="332"/>
      <c r="B20" s="333" t="s">
        <v>317</v>
      </c>
      <c r="C20" s="333" t="s">
        <v>318</v>
      </c>
      <c r="E20" s="333"/>
      <c r="M20" s="317"/>
      <c r="N20" s="317"/>
      <c r="O20" s="317"/>
      <c r="P20" s="317"/>
    </row>
    <row r="21" spans="1:16" x14ac:dyDescent="0.2">
      <c r="P21" s="334"/>
    </row>
    <row r="22" spans="1:16" x14ac:dyDescent="0.2">
      <c r="A22" s="318" t="s">
        <v>319</v>
      </c>
    </row>
    <row r="23" spans="1:16" x14ac:dyDescent="0.2">
      <c r="A23" s="320" t="s">
        <v>320</v>
      </c>
    </row>
    <row r="24" spans="1:16" x14ac:dyDescent="0.2">
      <c r="A24" s="321" t="s">
        <v>321</v>
      </c>
    </row>
    <row r="25" spans="1:16" x14ac:dyDescent="0.2">
      <c r="A25" s="321" t="s">
        <v>325</v>
      </c>
    </row>
    <row r="26" spans="1:16" x14ac:dyDescent="0.2">
      <c r="A26" s="322" t="s">
        <v>322</v>
      </c>
    </row>
    <row r="27" spans="1:16" x14ac:dyDescent="0.2">
      <c r="A27" s="321" t="s">
        <v>323</v>
      </c>
    </row>
    <row r="28" spans="1:16" x14ac:dyDescent="0.2">
      <c r="A28" s="324" t="s">
        <v>324</v>
      </c>
    </row>
    <row r="29" spans="1:16" x14ac:dyDescent="0.2">
      <c r="A29" s="323" t="s">
        <v>298</v>
      </c>
    </row>
    <row r="30" spans="1:16" x14ac:dyDescent="0.2">
      <c r="A30" s="320" t="s">
        <v>297</v>
      </c>
    </row>
    <row r="31" spans="1:16" x14ac:dyDescent="0.2">
      <c r="A31" s="321" t="s">
        <v>299</v>
      </c>
    </row>
  </sheetData>
  <pageMargins left="0.75" right="0.75" top="1" bottom="1" header="0.5" footer="0.5"/>
  <pageSetup orientation="portrait" r:id="rId1"/>
  <headerFooter alignWithMargins="0"/>
  <ignoredErrors>
    <ignoredError sqref="C7:J7 L7:P7" numberStoredAsText="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92D050"/>
  </sheetPr>
  <dimension ref="A1:U145"/>
  <sheetViews>
    <sheetView workbookViewId="0">
      <pane ySplit="5" topLeftCell="A6" activePane="bottomLeft" state="frozen"/>
      <selection activeCell="B1" sqref="B1"/>
      <selection pane="bottomLeft" activeCell="L106" sqref="L106"/>
    </sheetView>
  </sheetViews>
  <sheetFormatPr defaultColWidth="8.85546875" defaultRowHeight="12.75" x14ac:dyDescent="0.2"/>
  <cols>
    <col min="1" max="1" width="5.42578125" style="16" customWidth="1"/>
    <col min="2" max="2" width="28.140625" style="16" customWidth="1"/>
    <col min="3" max="3" width="12.42578125" style="16" customWidth="1"/>
    <col min="4" max="4" width="11.140625" style="16" bestFit="1" customWidth="1"/>
    <col min="5" max="10" width="14.5703125" style="16" customWidth="1"/>
    <col min="11" max="11" width="15.140625" style="421" customWidth="1"/>
    <col min="12" max="12" width="14.42578125" style="16" customWidth="1"/>
    <col min="13" max="13" width="12.42578125" style="16" customWidth="1"/>
    <col min="14" max="17" width="10.5703125" style="16" customWidth="1"/>
    <col min="18" max="18" width="12.5703125" style="16" customWidth="1"/>
    <col min="19" max="19" width="7.42578125" style="16" customWidth="1"/>
    <col min="20" max="16384" width="8.85546875" style="16"/>
  </cols>
  <sheetData>
    <row r="1" spans="1:21" x14ac:dyDescent="0.2">
      <c r="A1" s="263" t="str">
        <f>[1]Inputs!$C$4</f>
        <v>Unit Delivery Cost Model -  12/16/2025</v>
      </c>
    </row>
    <row r="2" spans="1:21" x14ac:dyDescent="0.2">
      <c r="A2" s="15" t="s">
        <v>147</v>
      </c>
      <c r="F2" s="17"/>
      <c r="H2" s="17"/>
      <c r="I2" s="17"/>
      <c r="J2" s="17"/>
      <c r="L2" s="386"/>
    </row>
    <row r="3" spans="1:21" x14ac:dyDescent="0.2">
      <c r="A3" s="264" t="str">
        <f>[1]Inputs!$C$6</f>
        <v>FY 2025</v>
      </c>
      <c r="F3" s="17"/>
      <c r="H3" s="17"/>
    </row>
    <row r="4" spans="1:21" s="35" customFormat="1" x14ac:dyDescent="0.2">
      <c r="A4" s="6"/>
      <c r="B4" s="6"/>
      <c r="D4" s="36"/>
      <c r="K4" s="422"/>
      <c r="N4" s="37"/>
      <c r="O4" s="37"/>
      <c r="P4" s="37"/>
      <c r="Q4" s="37"/>
      <c r="R4" s="25"/>
    </row>
    <row r="5" spans="1:21" s="136" customFormat="1" ht="56.25" x14ac:dyDescent="0.2">
      <c r="A5" s="64" t="s">
        <v>23</v>
      </c>
      <c r="B5" s="64" t="s">
        <v>146</v>
      </c>
      <c r="C5" s="46" t="s">
        <v>148</v>
      </c>
      <c r="D5" s="63" t="s">
        <v>163</v>
      </c>
      <c r="E5" s="46" t="s">
        <v>164</v>
      </c>
      <c r="F5" s="46" t="s">
        <v>130</v>
      </c>
      <c r="G5" s="46" t="s">
        <v>145</v>
      </c>
      <c r="H5" s="46" t="s">
        <v>296</v>
      </c>
      <c r="I5" s="46" t="s">
        <v>131</v>
      </c>
      <c r="J5" s="46" t="s">
        <v>165</v>
      </c>
      <c r="K5" s="423" t="s">
        <v>72</v>
      </c>
      <c r="L5" s="64" t="s">
        <v>328</v>
      </c>
      <c r="M5" s="46" t="s">
        <v>329</v>
      </c>
      <c r="N5" s="46" t="s">
        <v>140</v>
      </c>
      <c r="O5" s="46" t="s">
        <v>141</v>
      </c>
      <c r="P5" s="46" t="s">
        <v>142</v>
      </c>
      <c r="Q5" s="46" t="s">
        <v>143</v>
      </c>
      <c r="R5" s="64" t="s">
        <v>144</v>
      </c>
      <c r="T5"/>
      <c r="U5"/>
    </row>
    <row r="6" spans="1:21" s="136" customFormat="1" x14ac:dyDescent="0.2">
      <c r="A6" s="66"/>
      <c r="B6" s="48" t="s">
        <v>22</v>
      </c>
      <c r="C6" s="55">
        <v>-1</v>
      </c>
      <c r="D6" s="55">
        <f t="shared" ref="D6:R6" si="0">C6-1</f>
        <v>-2</v>
      </c>
      <c r="E6" s="55">
        <f t="shared" si="0"/>
        <v>-3</v>
      </c>
      <c r="F6" s="55">
        <f t="shared" si="0"/>
        <v>-4</v>
      </c>
      <c r="G6" s="55">
        <f t="shared" si="0"/>
        <v>-5</v>
      </c>
      <c r="H6" s="55">
        <f t="shared" si="0"/>
        <v>-6</v>
      </c>
      <c r="I6" s="55">
        <f t="shared" si="0"/>
        <v>-7</v>
      </c>
      <c r="J6" s="55">
        <f t="shared" si="0"/>
        <v>-8</v>
      </c>
      <c r="K6" s="424">
        <f t="shared" si="0"/>
        <v>-9</v>
      </c>
      <c r="L6" s="55">
        <f t="shared" si="0"/>
        <v>-10</v>
      </c>
      <c r="M6" s="55">
        <f t="shared" si="0"/>
        <v>-11</v>
      </c>
      <c r="N6" s="55">
        <f t="shared" si="0"/>
        <v>-12</v>
      </c>
      <c r="O6" s="55">
        <f t="shared" si="0"/>
        <v>-13</v>
      </c>
      <c r="P6" s="55">
        <f t="shared" si="0"/>
        <v>-14</v>
      </c>
      <c r="Q6" s="55">
        <f t="shared" si="0"/>
        <v>-15</v>
      </c>
      <c r="R6" s="55">
        <f t="shared" si="0"/>
        <v>-16</v>
      </c>
      <c r="T6"/>
      <c r="U6"/>
    </row>
    <row r="7" spans="1:21" s="136" customFormat="1" ht="11.1" customHeight="1" x14ac:dyDescent="0.2">
      <c r="A7" s="68"/>
      <c r="B7" s="50" t="s">
        <v>94</v>
      </c>
      <c r="D7" s="58"/>
      <c r="E7" s="67" t="s">
        <v>96</v>
      </c>
      <c r="F7" s="67" t="s">
        <v>96</v>
      </c>
      <c r="G7" s="67" t="s">
        <v>96</v>
      </c>
      <c r="H7" s="67" t="s">
        <v>96</v>
      </c>
      <c r="I7" s="67" t="s">
        <v>96</v>
      </c>
      <c r="J7" s="67" t="s">
        <v>96</v>
      </c>
      <c r="K7" s="425" t="s">
        <v>96</v>
      </c>
      <c r="L7" s="67" t="s">
        <v>96</v>
      </c>
      <c r="M7" s="67"/>
      <c r="N7" s="49"/>
      <c r="O7" s="49"/>
      <c r="P7" s="49"/>
      <c r="Q7" s="49"/>
      <c r="R7" s="87"/>
      <c r="T7"/>
      <c r="U7"/>
    </row>
    <row r="8" spans="1:21" s="161" customFormat="1" ht="67.5" x14ac:dyDescent="0.2">
      <c r="A8" s="95"/>
      <c r="B8" s="240" t="s">
        <v>174</v>
      </c>
      <c r="C8" s="69" t="str">
        <f>NOTES!A14&amp;" C"&amp;-'10.In-Office Detail'!C14</f>
        <v>10.In-OfficeDetail C9</v>
      </c>
      <c r="D8" s="94" t="str">
        <f>"L"&amp;$A10&amp;"..L"&amp;$A118&amp;" = (C"&amp;-E6&amp;"+C"&amp;-F6&amp;")/C"&amp;-L6</f>
        <v>L2..L95 = (C3+C4)/C10</v>
      </c>
      <c r="E8" s="95" t="str">
        <f>"L"&amp;$A10&amp;" ,L"&amp;$A15&amp;" from [UDCInputs.xls] CARMMCasing and FCByIndicia"</f>
        <v>L2 ,L7 from [UDCInputs.xls] CARMMCasing and FCByIndicia</v>
      </c>
      <c r="F8" s="95" t="str">
        <f>"L"&amp;$A10&amp;" ,L"&amp;$A15&amp;" from [UDCInputs.xls] CARMMCasing and FCByIndicia"</f>
        <v>L2 ,L7 from [UDCInputs.xls] CARMMCasing and FCByIndicia</v>
      </c>
      <c r="G8" s="95" t="str">
        <f>"L"&amp;$A10&amp;" ,L"&amp;$A15&amp;" from [UDCInputs.xls] 7.0.6 and CS6&amp;7 CRA"</f>
        <v>L2 ,L7 from [UDCInputs.xls] 7.0.6 and CS6&amp;7 CRA</v>
      </c>
      <c r="H8" s="95" t="str">
        <f>"L"&amp;$A10&amp;" ,L"&amp;$A15&amp;".. from [UDCInputs.xls] 7.0.6"</f>
        <v>L2 ,L7.. from [UDCInputs.xls] 7.0.6</v>
      </c>
      <c r="I8" s="95" t="str">
        <f>"L"&amp;$A10&amp;" ,L"&amp;$A15&amp;".. from [UDCInputs.xls] 7.0.6"</f>
        <v>L2 ,L7.. from [UDCInputs.xls] 7.0.6</v>
      </c>
      <c r="J8" s="95" t="str">
        <f>"L"&amp;$A10&amp;" ,L"&amp;$A15&amp;".. from [UDCInputs.xls] Rural Costs"</f>
        <v>L2 ,L7.. from [UDCInputs.xls] Rural Costs</v>
      </c>
      <c r="K8" s="426" t="str">
        <f>"L"&amp;$A10&amp;"..L"&amp;$A118&amp;" = (C"&amp;-E6&amp;"..C"&amp;-I6&amp;" x [UDCInputs.xls] " &amp;[1]NOTES!$A$23&amp;" C"&amp;-[1]BYPBack!$E$7 &amp; ") + 
(C"&amp;-J6&amp;" x [UDCInputs.xls] " &amp;[1]NOTES!$A$23&amp;" C"&amp;-[1]BYPBack!$F$7&amp;")"</f>
        <v>L2..L95 = (C3..C7 x [UDCInputs.xls] RPWShape C2) + 
(C8 x [UDCInputs.xls] RPWShape C0)</v>
      </c>
      <c r="L8" s="95" t="str">
        <f>"[UDCInputs.xls] RPWShape and FCByIndicia"</f>
        <v>[UDCInputs.xls] RPWShape and FCByIndicia</v>
      </c>
      <c r="M8" s="95"/>
      <c r="N8" s="95" t="str">
        <f>"L"&amp;$A10&amp;"..L"&amp;$A118&amp;" = C"&amp;-E6&amp;"..C"&amp;-G6&amp;", C"&amp;-I6&amp;" x [UDCInputs.xls] " &amp;[1]NOTES!$A$23&amp;" C"&amp;-[1]BYPBack!$E$7</f>
        <v>L2..L95 = C3..C5, C7 x [UDCInputs.xls] RPWShape C2</v>
      </c>
      <c r="O8" s="95" t="str">
        <f>"L"&amp;$A10&amp;"..L"&amp;$A118&amp;" = C"&amp;-H6&amp;"..C"&amp;" x [UDCInputs.xls] " &amp;[1]NOTES!$A$23&amp;" C"&amp;-[1]BYPBack!$E$7</f>
        <v>L2..L95 = C6..C x [UDCInputs.xls] RPWShape C2</v>
      </c>
      <c r="P8" s="95" t="str">
        <f>"L"&amp;$A10&amp;"..L"&amp;$A118&amp;" = C"&amp;-E6&amp;"..C"&amp;-I6&amp;" x [UDCInputs.xls] " &amp;[1]NOTES!$A$23&amp;" C"&amp;-[1]BYPBack!$E$7</f>
        <v>L2..L95 = C3..C7 x [UDCInputs.xls] RPWShape C2</v>
      </c>
      <c r="Q8" s="95" t="str">
        <f>"L"&amp;$A10&amp;"..L"&amp;$A118&amp;" = C"&amp;-J6&amp;" x [UDCInputs.xls] " &amp;[1]NOTES!$A$23&amp;" C"&amp;-[1]BYPBack!$F$7</f>
        <v>L2..L95 = C8 x [UDCInputs.xls] RPWShape C0</v>
      </c>
      <c r="R8" s="95" t="str">
        <f>"C"&amp;-K6&amp;" / C"&amp;-L6</f>
        <v>C9 / C10</v>
      </c>
      <c r="T8"/>
      <c r="U8"/>
    </row>
    <row r="9" spans="1:21" s="136" customFormat="1" x14ac:dyDescent="0.2">
      <c r="A9" s="68">
        <v>1</v>
      </c>
      <c r="B9" s="73" t="s">
        <v>132</v>
      </c>
      <c r="C9" s="67"/>
      <c r="D9" s="67"/>
      <c r="E9" s="67"/>
      <c r="F9" s="67"/>
      <c r="G9" s="430"/>
      <c r="H9" s="67"/>
      <c r="I9" s="67"/>
      <c r="J9" s="67"/>
      <c r="K9" s="425"/>
      <c r="L9" s="67"/>
      <c r="M9" s="67"/>
      <c r="N9" s="67"/>
      <c r="O9" s="67"/>
      <c r="P9" s="67"/>
      <c r="Q9" s="67"/>
      <c r="R9" s="67"/>
      <c r="T9"/>
      <c r="U9"/>
    </row>
    <row r="10" spans="1:21" s="2" customFormat="1" x14ac:dyDescent="0.2">
      <c r="A10" s="58">
        <f>A9+1</f>
        <v>2</v>
      </c>
      <c r="B10" s="138" t="s">
        <v>52</v>
      </c>
      <c r="C10" s="118"/>
      <c r="D10" s="139">
        <f t="shared" ref="D10:D15" si="1">(E10+F10)/L10</f>
        <v>1.7795128931273375E-2</v>
      </c>
      <c r="E10" s="117">
        <f>[1]CARMMCasing!$D$10</f>
        <v>128202.82139651167</v>
      </c>
      <c r="F10" s="117">
        <f>[1]CARMMCasing!$E$10</f>
        <v>38581.941711113104</v>
      </c>
      <c r="G10" s="117">
        <f>'[1]7.0.6'!$I$10+'[1]CS6&amp;7 CRA'!$D$11</f>
        <v>29074.787003672991</v>
      </c>
      <c r="H10" s="117">
        <f>'[1]7.0.6'!$L$10</f>
        <v>280684.84819367272</v>
      </c>
      <c r="I10" s="117">
        <f>'[1]7.0.6'!$J$10</f>
        <v>7985.5832274443355</v>
      </c>
      <c r="J10" s="117">
        <f>[1]RuralCosts!$P$11</f>
        <v>140775.70358139972</v>
      </c>
      <c r="K10" s="117">
        <f>SUM(E10:I10)*[1]BYPBack!$D$11+J10*[1]BYPBack!$E$11</f>
        <v>788030.22711458767</v>
      </c>
      <c r="L10" s="117">
        <f>[1]RPWShape!$C$10</f>
        <v>9372495.3469999991</v>
      </c>
      <c r="M10" s="119"/>
      <c r="N10" s="139">
        <f>SUM($E10:$G10,I10)*[1]BYPBack!$D$11/L10</f>
        <v>2.7741063635180582E-2</v>
      </c>
      <c r="O10" s="139">
        <f>SUM($H10:$H10)*[1]BYPBack!$D$11/L10</f>
        <v>3.8198097289045274E-2</v>
      </c>
      <c r="P10" s="139">
        <f>SUM($E10:$I10)*[1]BYPBack!$D$11/L10</f>
        <v>6.5939160924225845E-2</v>
      </c>
      <c r="Q10" s="139">
        <f>J10*[1]BYPBack!$E$11/L10</f>
        <v>1.8139859436859189E-2</v>
      </c>
      <c r="R10" s="163">
        <f t="shared" ref="R10:R15" si="2">K10/L10</f>
        <v>8.4079020361085041E-2</v>
      </c>
      <c r="S10" s="9"/>
      <c r="T10"/>
      <c r="U10"/>
    </row>
    <row r="11" spans="1:21" s="2" customFormat="1" x14ac:dyDescent="0.2">
      <c r="A11" s="58">
        <f t="shared" ref="A11:A14" si="3">A10+1</f>
        <v>3</v>
      </c>
      <c r="B11" s="368" t="s">
        <v>321</v>
      </c>
      <c r="C11" s="118"/>
      <c r="D11" s="139">
        <f t="shared" si="1"/>
        <v>1.3410309626556753E-2</v>
      </c>
      <c r="E11" s="117">
        <f>[1]FCByIndicia!$E10/1000</f>
        <v>57740.256682918727</v>
      </c>
      <c r="F11" s="117">
        <f>([1]FCByIndicia!$D10-[1]FCByIndicia!$E10)/1000</f>
        <v>15645.165411269725</v>
      </c>
      <c r="G11" s="117">
        <f>$G$10*(E11+F11)/(E$10+F$10)</f>
        <v>12792.928303566503</v>
      </c>
      <c r="H11" s="117">
        <f>'2.FCSP_Let_Col_Cost_By_Indicia'!F11*[1]FCByIndicia!$I$10+'2.FCSP_Let_Col_Cost_By_Indicia'!F13</f>
        <v>149970.80309161506</v>
      </c>
      <c r="I11" s="117">
        <f>'2.FCSP_Let_Col_Cost_By_Indicia'!G$11*[1]FCByIndicia!$I10+'2.FCSP_Let_Col_Cost_By_Indicia'!G13</f>
        <v>4202.0701481830429</v>
      </c>
      <c r="J11" s="378">
        <f>J$10*[1]FCByIndicia!$K10</f>
        <v>73213.061239967763</v>
      </c>
      <c r="K11" s="117">
        <f>SUM(E11:I11)*[1]BYPBack!$D$11+J11*[1]BYPBack!$E$11</f>
        <v>394986.14159317897</v>
      </c>
      <c r="L11" s="162">
        <f>[1]FCByIndicia!$F10</f>
        <v>5472313.7748334734</v>
      </c>
      <c r="M11" s="119"/>
      <c r="N11" s="139">
        <f>SUM($E11:$G11,I11)*[1]BYPBack!$D$11/L11</f>
        <v>2.10659651394326E-2</v>
      </c>
      <c r="O11" s="139">
        <f>SUM($H11:$H11)*[1]BYPBack!$D$11/L11</f>
        <v>3.4955355272493938E-2</v>
      </c>
      <c r="P11" s="139">
        <f>SUM($E11:$I11)*[1]BYPBack!$D$11/L11</f>
        <v>5.6021320411926541E-2</v>
      </c>
      <c r="Q11" s="139">
        <f>J11*[1]BYPBack!$E$11/L11</f>
        <v>1.6157680618619937E-2</v>
      </c>
      <c r="R11" s="163">
        <f t="shared" si="2"/>
        <v>7.2179001030546475E-2</v>
      </c>
      <c r="S11" s="9"/>
      <c r="T11"/>
      <c r="U11"/>
    </row>
    <row r="12" spans="1:21" s="2" customFormat="1" x14ac:dyDescent="0.2">
      <c r="A12" s="58">
        <f t="shared" si="3"/>
        <v>4</v>
      </c>
      <c r="B12" s="368" t="s">
        <v>323</v>
      </c>
      <c r="C12" s="118"/>
      <c r="D12" s="139">
        <f t="shared" si="1"/>
        <v>2.3919684138593893E-2</v>
      </c>
      <c r="E12" s="117">
        <f>[1]FCByIndicia!$E11/1000</f>
        <v>70175.814826454734</v>
      </c>
      <c r="F12" s="117">
        <f>([1]FCByIndicia!$D11-[1]FCByIndicia!$E11)/1000</f>
        <v>22903.320349330617</v>
      </c>
      <c r="G12" s="117">
        <f>$G$10*(E12+F12)/(E$10+F$10)</f>
        <v>16226.038753766263</v>
      </c>
      <c r="H12" s="117">
        <f>'2.FCSP_Let_Col_Cost_By_Indicia'!F$11*[1]FCByIndicia!$I11+'2.FCSP_Let_Col_Cost_By_Indicia'!F14</f>
        <v>130321.62882022499</v>
      </c>
      <c r="I12" s="117">
        <f>'2.FCSP_Let_Col_Cost_By_Indicia'!G$11*[1]FCByIndicia!$I11+'2.FCSP_Let_Col_Cost_By_Indicia'!G14</f>
        <v>3771.7586536755607</v>
      </c>
      <c r="J12" s="378">
        <f>J$10*[1]FCByIndicia!$K11</f>
        <v>67290.602204452909</v>
      </c>
      <c r="K12" s="117">
        <f>SUM(E12:I12)*[1]BYPBack!$D$11+J12*[1]BYPBack!$E$11</f>
        <v>391720.40588004934</v>
      </c>
      <c r="L12" s="162">
        <f>[1]FCByIndicia!$F11</f>
        <v>3891319.5774857318</v>
      </c>
      <c r="M12" s="119"/>
      <c r="N12" s="139">
        <f>SUM($E12:$G12,I12)*[1]BYPBack!$D$11/L12</f>
        <v>3.7064241296749643E-2</v>
      </c>
      <c r="O12" s="139">
        <f>SUM($H12:$H12)*[1]BYPBack!$D$11/L12</f>
        <v>4.2716690189867616E-2</v>
      </c>
      <c r="P12" s="139">
        <f>SUM($E12:$I12)*[1]BYPBack!$D$11/L12</f>
        <v>7.978093148661726E-2</v>
      </c>
      <c r="Q12" s="139">
        <f>J12*[1]BYPBack!$E$11/L12</f>
        <v>2.0884253697979843E-2</v>
      </c>
      <c r="R12" s="163">
        <f t="shared" si="2"/>
        <v>0.10066518518459711</v>
      </c>
      <c r="S12" s="9"/>
      <c r="T12"/>
      <c r="U12"/>
    </row>
    <row r="13" spans="1:21" s="2" customFormat="1" x14ac:dyDescent="0.2">
      <c r="A13" s="58">
        <f t="shared" si="3"/>
        <v>5</v>
      </c>
      <c r="B13" s="368" t="s">
        <v>299</v>
      </c>
      <c r="C13" s="118"/>
      <c r="D13" s="139">
        <f t="shared" si="1"/>
        <v>3.6125830352331224E-2</v>
      </c>
      <c r="E13" s="117">
        <f>[1]FCByIndicia!$E12/1000</f>
        <v>286.74988713821756</v>
      </c>
      <c r="F13" s="117">
        <f>([1]FCByIndicia!$D12-[1]FCByIndicia!$E12)/1000</f>
        <v>33.455950512768702</v>
      </c>
      <c r="G13" s="117">
        <f>$G$10*(E13+F13)/(E$10+F$10)</f>
        <v>55.81994634022719</v>
      </c>
      <c r="H13" s="117">
        <f>'2.FCSP_Let_Col_Cost_By_Indicia'!F$11*[1]FCByIndicia!$I12+'2.FCSP_Let_Col_Cost_By_Indicia'!F15</f>
        <v>392.41628183269324</v>
      </c>
      <c r="I13" s="117">
        <f>'2.FCSP_Let_Col_Cost_By_Indicia'!G$11*[1]FCByIndicia!$I12+'2.FCSP_Let_Col_Cost_By_Indicia'!G15</f>
        <v>11.754425585731653</v>
      </c>
      <c r="J13" s="378">
        <f>J$10*[1]FCByIndicia!$K12</f>
        <v>272.04013697904759</v>
      </c>
      <c r="K13" s="117">
        <f>SUM(E13:I13)*[1]BYPBack!$D$11+J13*[1]BYPBack!$E$11</f>
        <v>1323.6796413595125</v>
      </c>
      <c r="L13" s="162">
        <f>[1]FCByIndicia!$F12</f>
        <v>8863.6256807955469</v>
      </c>
      <c r="M13" s="119"/>
      <c r="N13" s="139">
        <f>SUM($E13:$G13,I13)*[1]BYPBack!$D$11/L13</f>
        <v>5.5802316568576212E-2</v>
      </c>
      <c r="O13" s="139">
        <f>SUM($H13:$H13)*[1]BYPBack!$D$11/L13</f>
        <v>5.6469456265912203E-2</v>
      </c>
      <c r="P13" s="139">
        <f>SUM($E13:$I13)*[1]BYPBack!$D$11/L13</f>
        <v>0.11227177283448839</v>
      </c>
      <c r="Q13" s="139">
        <f>J13*[1]BYPBack!$E$11/L13</f>
        <v>3.7066623102907141E-2</v>
      </c>
      <c r="R13" s="163">
        <f t="shared" si="2"/>
        <v>0.14933839593739553</v>
      </c>
      <c r="S13" s="9"/>
      <c r="T13"/>
      <c r="U13"/>
    </row>
    <row r="14" spans="1:21" s="2" customFormat="1" x14ac:dyDescent="0.2">
      <c r="A14" s="58">
        <f t="shared" si="3"/>
        <v>6</v>
      </c>
      <c r="B14" s="142" t="s">
        <v>53</v>
      </c>
      <c r="C14" s="118"/>
      <c r="D14" s="139">
        <f t="shared" si="1"/>
        <v>0.15657892718309904</v>
      </c>
      <c r="E14" s="117">
        <f>[1]CARMMCasing!$D$14</f>
        <v>50210.997987894065</v>
      </c>
      <c r="F14" s="117">
        <f>[1]CARMMCasing!$E$14</f>
        <v>13557.657979548065</v>
      </c>
      <c r="G14" s="117">
        <f>'[1]7.0.6'!$I$14+'[1]CS6&amp;7 CRA'!$D$15</f>
        <v>11118.418186158633</v>
      </c>
      <c r="H14" s="117">
        <f>'[1]7.0.6'!$L$14</f>
        <v>11610.129000014818</v>
      </c>
      <c r="I14" s="117">
        <f>'[1]7.0.6'!$J$14</f>
        <v>327.95717935668216</v>
      </c>
      <c r="J14" s="117">
        <f>[1]RuralCosts!$P15</f>
        <v>18222.698321924396</v>
      </c>
      <c r="K14" s="117">
        <f>SUM(E14:I14)*[1]BYPBack!$D$15+J14*[1]BYPBack!$E$15</f>
        <v>128085.081741541</v>
      </c>
      <c r="L14" s="117">
        <f>[1]RPWShape!$D$14</f>
        <v>407262.05699999997</v>
      </c>
      <c r="M14" s="119"/>
      <c r="N14" s="139">
        <f>SUM($E14:$G14,I14)*[1]BYPBack!$D$15/L14</f>
        <v>0.22563579497660113</v>
      </c>
      <c r="O14" s="139">
        <f>SUM($H14:$H14)*[1]BYPBack!$D$15/L14</f>
        <v>3.4828951610784767E-2</v>
      </c>
      <c r="P14" s="139">
        <f>SUM($E14:$I14)*[1]BYPBack!$D$15/L14</f>
        <v>0.26046474658738589</v>
      </c>
      <c r="Q14" s="139">
        <f>J14*[1]BYPBack!$E$15/L14</f>
        <v>5.4038113524478168E-2</v>
      </c>
      <c r="R14" s="163">
        <f t="shared" si="2"/>
        <v>0.31450286011186407</v>
      </c>
      <c r="S14" s="9"/>
      <c r="T14"/>
      <c r="U14"/>
    </row>
    <row r="15" spans="1:21" s="2" customFormat="1" x14ac:dyDescent="0.2">
      <c r="A15" s="91">
        <f>A14+1</f>
        <v>7</v>
      </c>
      <c r="B15" s="130" t="s">
        <v>9</v>
      </c>
      <c r="C15" s="166"/>
      <c r="D15" s="145">
        <f t="shared" si="1"/>
        <v>2.3574554004864041E-2</v>
      </c>
      <c r="E15" s="122">
        <f t="shared" ref="E15:L15" si="4">E10+E14</f>
        <v>178413.81938440574</v>
      </c>
      <c r="F15" s="122">
        <f t="shared" si="4"/>
        <v>52139.599690661169</v>
      </c>
      <c r="G15" s="122">
        <f t="shared" si="4"/>
        <v>40193.205189831628</v>
      </c>
      <c r="H15" s="122">
        <f t="shared" si="4"/>
        <v>292294.97719368752</v>
      </c>
      <c r="I15" s="122">
        <f t="shared" si="4"/>
        <v>8313.5404068010175</v>
      </c>
      <c r="J15" s="122">
        <f t="shared" si="4"/>
        <v>158998.40190332412</v>
      </c>
      <c r="K15" s="122">
        <f t="shared" si="4"/>
        <v>916115.30885612871</v>
      </c>
      <c r="L15" s="122">
        <f t="shared" si="4"/>
        <v>9779757.4039999992</v>
      </c>
      <c r="M15" s="122"/>
      <c r="N15" s="145">
        <f>SUMPRODUCT(N10:N14,$L10:$L14)/SUM($L10:$L14)</f>
        <v>3.194918287286367E-2</v>
      </c>
      <c r="O15" s="145">
        <f>SUMPRODUCT(O10:O14,$L10:$L14)/SUM($L10:$L14)</f>
        <v>3.8126451023650657E-2</v>
      </c>
      <c r="P15" s="145">
        <f>SUMPRODUCT(P10:P14,$L10:$L14)/SUM($L10:$L14)</f>
        <v>7.0075633896514319E-2</v>
      </c>
      <c r="Q15" s="145">
        <f>SUMPRODUCT(Q10:Q14,$L10:$L14)/SUM($L10:$L14)</f>
        <v>1.8903214336220903E-2</v>
      </c>
      <c r="R15" s="146">
        <f t="shared" si="2"/>
        <v>9.3674645598205764E-2</v>
      </c>
      <c r="S15" s="9"/>
      <c r="T15"/>
      <c r="U15"/>
    </row>
    <row r="16" spans="1:21" s="2" customFormat="1" ht="78.75" x14ac:dyDescent="0.2">
      <c r="A16" s="61"/>
      <c r="B16" s="237" t="s">
        <v>175</v>
      </c>
      <c r="C16" s="134"/>
      <c r="D16" s="139"/>
      <c r="E16" s="95" t="str">
        <f>"L"&amp;A17&amp;".. L"&amp;A31&amp;" from "&amp;NOTES!A14&amp;" C"&amp;-'10.In-Office Detail'!E14&amp; "; L"&amp;$A32&amp;"..L"&amp;A33&amp;" from [UDCInputs.xls] CARMMCasing"</f>
        <v>L8.. L22 from 10.In-OfficeDetail C11; L23..L24 from [UDCInputs.xls] CARMMCasing</v>
      </c>
      <c r="F16" s="95" t="str">
        <f>"L"&amp;A17&amp;".. L"&amp;A31&amp;" from "&amp;NOTES!A14&amp;" C"&amp;-'10.In-Office Detail'!G$14&amp;";
 L"&amp;$A32&amp;"..L"&amp;A33&amp;" from [UDCInputs.xls] CARMMCasing"</f>
        <v>L8.. L22 from 10.In-OfficeDetail C13;
 L23..L24 from [UDCInputs.xls] CARMMCasing</v>
      </c>
      <c r="G16" s="95" t="str">
        <f>"L"&amp;A17&amp;"..L"&amp;A31&amp;" = (C"&amp;-E$6&amp;"..C"&amp;-F$6&amp;") / (L"&amp;A32&amp;" C"&amp;-E6&amp;"..C"&amp;-F$6&amp;") x C"&amp;-G$6&amp;"L"&amp;A32&amp; "; 
L"&amp;$A32&amp;"..L"&amp;A33&amp;" from [UDCInputs.xls] 7.0.6 and CS6&amp;7 CRA"</f>
        <v>L8..L22 = (C3..C4) / (L23 C3..C4) x C5L23; 
L23..L24 from [UDCInputs.xls] 7.0.6 and CS6&amp;7 CRA</v>
      </c>
      <c r="H16" s="95" t="str">
        <f>"L"&amp;A17&amp;"..L"&amp;A31&amp;" = C"&amp;-$L$6&amp;"L{i}/C"&amp;-$L$6&amp;"L"&amp;$A$32&amp;" x C"&amp;-H$6&amp;"L"&amp;$A$32&amp; "; 
L"&amp;$A$32&amp;"..L"&amp;A33&amp;" from [UDCInputs.xls] 7.0.6"</f>
        <v>L8..L22 = C10L{i}/C10L23 x C6L23; 
L23..L24 from [UDCInputs.xls] 7.0.6</v>
      </c>
      <c r="I16" s="95" t="str">
        <f>"L"&amp;A17&amp;"..L"&amp;A31&amp;" = C"&amp;-$L6&amp;"L{i}/C"&amp;-$L6&amp;"L"&amp;$A32&amp;" x C"&amp;-I6&amp;"L"&amp;$A32&amp; "; 
L"&amp;$A32&amp;"..L"&amp;A33&amp;" from [UDCInputs.xls] 7.0.6"</f>
        <v>L8..L22 = C10L{i}/C10L23 x C7L23; 
L23..L24 from [UDCInputs.xls] 7.0.6</v>
      </c>
      <c r="J16" s="95" t="str">
        <f>"L"&amp;A17&amp;"..L"&amp;A31&amp;" = from "&amp;NOTES!A11&amp;" C"&amp;-'7.RuralDisagg'!O$6&amp;"; 
L"&amp;A32&amp;"..L"&amp;A33&amp;" from [UDCInputs.xls] Rural Costs"</f>
        <v>L8..L22 = from 7.RuralDisagg C12; 
L23..L24 from [UDCInputs.xls] Rural Costs</v>
      </c>
      <c r="K16" s="117"/>
      <c r="L16" s="95" t="str">
        <f>"L"&amp;A17&amp;"..L"&amp;A31&amp;" = from [UDCInputs.xls] "&amp; [1]NOTES!$A$24&amp;"; 
L"&amp;A33&amp;" from [UDCInputs.xls] RPWShape"</f>
        <v>L8..L22 = from [UDCInputs.xls] DALs; 
L24 from [UDCInputs.xls] RPWShape</v>
      </c>
      <c r="M16" s="95" t="str">
        <f>"L"&amp;A17&amp;"..L"&amp;A31&amp;" = C"&amp;-L6&amp;"L{i} / C"&amp;-L6&amp;"L"&amp;A32</f>
        <v>L8..L22 = C10L{i} / C10L23</v>
      </c>
      <c r="N16" s="139"/>
      <c r="O16" s="139"/>
      <c r="P16" s="139"/>
      <c r="Q16" s="139"/>
      <c r="R16" s="140"/>
      <c r="S16" s="9"/>
      <c r="T16"/>
      <c r="U16"/>
    </row>
    <row r="17" spans="1:21" s="2" customFormat="1" x14ac:dyDescent="0.2">
      <c r="A17" s="60">
        <f>A15+1</f>
        <v>8</v>
      </c>
      <c r="B17" s="112" t="s">
        <v>133</v>
      </c>
      <c r="C17" s="147"/>
      <c r="D17" s="129"/>
      <c r="E17" s="129"/>
      <c r="F17" s="113"/>
      <c r="G17" s="113"/>
      <c r="H17" s="113"/>
      <c r="I17" s="113"/>
      <c r="J17" s="113"/>
      <c r="K17" s="113"/>
      <c r="L17" s="113"/>
      <c r="M17" s="113"/>
      <c r="N17" s="113"/>
      <c r="O17" s="113"/>
      <c r="P17" s="113"/>
      <c r="Q17" s="113"/>
      <c r="R17" s="148"/>
      <c r="S17" s="9"/>
      <c r="T17"/>
      <c r="U17"/>
    </row>
    <row r="18" spans="1:21" s="2" customFormat="1" x14ac:dyDescent="0.2">
      <c r="A18" s="58">
        <f>A17+1</f>
        <v>9</v>
      </c>
      <c r="B18" s="143" t="s">
        <v>186</v>
      </c>
      <c r="C18" s="165">
        <f>'10.In-Office Detail'!C18</f>
        <v>0</v>
      </c>
      <c r="D18" s="139"/>
      <c r="E18" s="117">
        <f>'10.In-Office Detail'!E18</f>
        <v>300.52866298532797</v>
      </c>
      <c r="F18" s="117">
        <f>'10.In-Office Detail'!G18</f>
        <v>5.8717994528066511</v>
      </c>
      <c r="G18" s="117">
        <f>(SUM(E18:F18)/SUM(E$32:F$32))*G$32</f>
        <v>53.414261558883638</v>
      </c>
      <c r="H18" s="117">
        <f t="shared" ref="H18:H31" si="5">L18/L$32*H$32</f>
        <v>32.386143732340123</v>
      </c>
      <c r="I18" s="117">
        <f t="shared" ref="I18:I31" si="6">$L18/$L$32*I$32</f>
        <v>1.0756070850798942</v>
      </c>
      <c r="J18" s="117">
        <f>'7.RuralDisagg'!O10</f>
        <v>111.82530966268922</v>
      </c>
      <c r="K18" s="117">
        <f>SUM(E18:I18)*[1]BYPBack!$D$13+J18*[1]BYPBack!$E$13</f>
        <v>632.67680870781146</v>
      </c>
      <c r="L18" s="117">
        <f>'[1]DPS%'!$E8</f>
        <v>2226.1520000000005</v>
      </c>
      <c r="M18" s="118">
        <f>'3.SummaryBY'!L18/'3.SummaryBY'!L$32</f>
        <v>7.6422701736328125E-5</v>
      </c>
      <c r="N18" s="139">
        <f>SUM($E18:$G18,I18)*[1]BYPBack!$D$13/L18</f>
        <v>0.2051277152346167</v>
      </c>
      <c r="O18" s="139">
        <f>SUM($H18:$H18)*[1]BYPBack!$D$13/L18</f>
        <v>1.8408073303475572E-2</v>
      </c>
      <c r="P18" s="139">
        <f>SUM($E18:$I18)*[1]BYPBack!$D$13/L18</f>
        <v>0.22353578853809231</v>
      </c>
      <c r="Q18" s="139">
        <f>R18-P18</f>
        <v>6.0666192596983526E-2</v>
      </c>
      <c r="R18" s="140">
        <f>K18/L18</f>
        <v>0.28420198113507583</v>
      </c>
      <c r="S18" s="9"/>
      <c r="T18"/>
      <c r="U18"/>
    </row>
    <row r="19" spans="1:21" s="2" customFormat="1" x14ac:dyDescent="0.2">
      <c r="A19" s="58">
        <f t="shared" ref="A19:A34" si="7">A18+1</f>
        <v>10</v>
      </c>
      <c r="B19" s="143" t="s">
        <v>187</v>
      </c>
      <c r="C19" s="165">
        <f>'10.In-Office Detail'!C19</f>
        <v>0</v>
      </c>
      <c r="D19" s="139"/>
      <c r="E19" s="117">
        <f>'10.In-Office Detail'!E19</f>
        <v>0</v>
      </c>
      <c r="F19" s="117">
        <f>'10.In-Office Detail'!G19</f>
        <v>0</v>
      </c>
      <c r="G19" s="117">
        <f t="shared" ref="G19:G31" si="8">(SUM(E19:F19)/SUM(E$32:F$32))*G$32</f>
        <v>0</v>
      </c>
      <c r="H19" s="117">
        <f t="shared" si="5"/>
        <v>0</v>
      </c>
      <c r="I19" s="117">
        <f t="shared" si="6"/>
        <v>0</v>
      </c>
      <c r="J19" s="117">
        <f>'7.RuralDisagg'!O11</f>
        <v>0</v>
      </c>
      <c r="K19" s="117">
        <f>SUM(E19:I19)*[1]BYPBack!$D$13+J19*[1]BYPBack!$E$13</f>
        <v>0</v>
      </c>
      <c r="L19" s="117">
        <f>'[1]DPS%'!$E9</f>
        <v>0</v>
      </c>
      <c r="M19" s="118">
        <f>'3.SummaryBY'!L19/'3.SummaryBY'!L$32</f>
        <v>0</v>
      </c>
      <c r="N19" s="139">
        <f>IFERROR(SUM($E19:$G19,I19)*[1]BYPBack!$D$13/L19,0)</f>
        <v>0</v>
      </c>
      <c r="O19" s="139">
        <f>IFERROR(SUM($H19:$H19)*[1]BYPBack!$D$13/L19,0)</f>
        <v>0</v>
      </c>
      <c r="P19" s="139">
        <f>IFERROR(SUM($E19:$I19)*[1]BYPBack!$D$13/L19,0)</f>
        <v>0</v>
      </c>
      <c r="Q19" s="139">
        <f t="shared" ref="Q19:Q31" si="9">R19-P19</f>
        <v>0</v>
      </c>
      <c r="R19" s="140">
        <f>IFERROR(K19/L19,0)</f>
        <v>0</v>
      </c>
      <c r="S19" s="9"/>
      <c r="T19"/>
      <c r="U19"/>
    </row>
    <row r="20" spans="1:21" s="2" customFormat="1" x14ac:dyDescent="0.2">
      <c r="A20" s="58">
        <f t="shared" si="7"/>
        <v>11</v>
      </c>
      <c r="B20" s="143" t="s">
        <v>188</v>
      </c>
      <c r="C20" s="165">
        <f>'10.In-Office Detail'!C20</f>
        <v>0.85382551272888774</v>
      </c>
      <c r="D20" s="139"/>
      <c r="E20" s="117">
        <f>'10.In-Office Detail'!E20</f>
        <v>3259.4459198507971</v>
      </c>
      <c r="F20" s="117">
        <f>'10.In-Office Detail'!G20</f>
        <v>435.66985930763212</v>
      </c>
      <c r="G20" s="117">
        <f t="shared" si="8"/>
        <v>644.16312934964265</v>
      </c>
      <c r="H20" s="117">
        <f t="shared" si="5"/>
        <v>2402.9544600064837</v>
      </c>
      <c r="I20" s="117">
        <f t="shared" si="6"/>
        <v>79.806810704861505</v>
      </c>
      <c r="J20" s="117">
        <f>'7.RuralDisagg'!O12</f>
        <v>2782.3932276767036</v>
      </c>
      <c r="K20" s="117">
        <f>SUM(E20:I20)*[1]BYPBack!$D$13+J20*[1]BYPBack!$E$13</f>
        <v>11992.448897370399</v>
      </c>
      <c r="L20" s="117">
        <f>'[1]DPS%'!$E10</f>
        <v>165173.78299999994</v>
      </c>
      <c r="M20" s="118">
        <f>'3.SummaryBY'!L20/'3.SummaryBY'!L$32</f>
        <v>5.6703346190511593E-3</v>
      </c>
      <c r="N20" s="139">
        <f>SUM($E20:$G20,I20)*[1]BYPBack!$D$13/L20</f>
        <v>3.385284873579928E-2</v>
      </c>
      <c r="O20" s="139">
        <f>SUM($H20:$H20)*[1]BYPBack!$D$13/L20</f>
        <v>1.8408073303475572E-2</v>
      </c>
      <c r="P20" s="139">
        <f>SUM($E20:$I20)*[1]BYPBack!$D$13/L20</f>
        <v>5.2260922039274856E-2</v>
      </c>
      <c r="Q20" s="139">
        <f t="shared" si="9"/>
        <v>2.0344116602786171E-2</v>
      </c>
      <c r="R20" s="140">
        <f t="shared" ref="R20:R31" si="10">K20/L20</f>
        <v>7.2605038642061026E-2</v>
      </c>
      <c r="S20" s="9"/>
      <c r="T20"/>
      <c r="U20"/>
    </row>
    <row r="21" spans="1:21" s="2" customFormat="1" x14ac:dyDescent="0.2">
      <c r="A21" s="58">
        <f t="shared" si="7"/>
        <v>12</v>
      </c>
      <c r="B21" s="143" t="s">
        <v>189</v>
      </c>
      <c r="C21" s="165">
        <f>'10.In-Office Detail'!C21</f>
        <v>0.90229116412190491</v>
      </c>
      <c r="D21" s="139"/>
      <c r="E21" s="117">
        <f>'10.In-Office Detail'!E21</f>
        <v>4362.1544537025557</v>
      </c>
      <c r="F21" s="117">
        <f>'10.In-Office Detail'!G21</f>
        <v>872.27317075112728</v>
      </c>
      <c r="G21" s="117">
        <f t="shared" si="8"/>
        <v>912.50869538118809</v>
      </c>
      <c r="H21" s="117">
        <f t="shared" si="5"/>
        <v>4811.057412444</v>
      </c>
      <c r="I21" s="117">
        <f t="shared" si="6"/>
        <v>159.78461289861613</v>
      </c>
      <c r="J21" s="117">
        <f>'7.RuralDisagg'!O13</f>
        <v>4944.0150389851915</v>
      </c>
      <c r="K21" s="117">
        <f>SUM(E21:I21)*[1]BYPBack!$D$13+J21*[1]BYPBack!$E$13</f>
        <v>20038.581547282345</v>
      </c>
      <c r="L21" s="117">
        <f>'[1]DPS%'!$E11</f>
        <v>330701.46200000076</v>
      </c>
      <c r="M21" s="118">
        <f>'3.SummaryBY'!L21/'3.SummaryBY'!L$32</f>
        <v>1.1352818313481604E-2</v>
      </c>
      <c r="N21" s="139">
        <f>SUM($E21:$G21,I21)*[1]BYPBack!$D$13/L21</f>
        <v>2.413078275350412E-2</v>
      </c>
      <c r="O21" s="139">
        <f>SUM($H21:$H21)*[1]BYPBack!$D$13/L21</f>
        <v>1.8408073303475568E-2</v>
      </c>
      <c r="P21" s="139">
        <f>SUM($E21:$I21)*[1]BYPBack!$D$13/L21</f>
        <v>4.2538856056979699E-2</v>
      </c>
      <c r="Q21" s="139">
        <f t="shared" si="9"/>
        <v>1.8055316784270997E-2</v>
      </c>
      <c r="R21" s="140">
        <f t="shared" si="10"/>
        <v>6.0594172841250696E-2</v>
      </c>
      <c r="S21" s="9"/>
      <c r="T21"/>
      <c r="U21"/>
    </row>
    <row r="22" spans="1:21" s="2" customFormat="1" x14ac:dyDescent="0.2">
      <c r="A22" s="58">
        <f t="shared" si="7"/>
        <v>13</v>
      </c>
      <c r="B22" s="143" t="s">
        <v>190</v>
      </c>
      <c r="C22" s="165">
        <f>'10.In-Office Detail'!C22</f>
        <v>0</v>
      </c>
      <c r="D22" s="139"/>
      <c r="E22" s="117">
        <f>'10.In-Office Detail'!E22</f>
        <v>229.60860621170104</v>
      </c>
      <c r="F22" s="117">
        <f>'10.In-Office Detail'!G22</f>
        <v>4.4861467619126394</v>
      </c>
      <c r="G22" s="117">
        <f t="shared" si="8"/>
        <v>40.809332549292535</v>
      </c>
      <c r="H22" s="117">
        <f t="shared" si="5"/>
        <v>24.743521130686524</v>
      </c>
      <c r="I22" s="117">
        <f t="shared" si="6"/>
        <v>0.82178066206178213</v>
      </c>
      <c r="J22" s="117">
        <f>'7.RuralDisagg'!O14</f>
        <v>85.436288292060382</v>
      </c>
      <c r="K22" s="117">
        <f>SUM(E22:I22)*[1]BYPBack!$D$13+J22*[1]BYPBack!$E$13</f>
        <v>483.3749925442541</v>
      </c>
      <c r="L22" s="117">
        <f>'[1]DPS%'!$E12</f>
        <v>1700.8150000000005</v>
      </c>
      <c r="M22" s="118">
        <f>'3.SummaryBY'!L22/'3.SummaryBY'!L$32</f>
        <v>5.8388141265139544E-5</v>
      </c>
      <c r="N22" s="139">
        <f>SUM($E22:$G22,I22)*[1]BYPBack!$D$13/L22</f>
        <v>0.2051277152346167</v>
      </c>
      <c r="O22" s="139">
        <f>SUM($H22:$H22)*[1]BYPBack!$D$13/L22</f>
        <v>1.8408073303475572E-2</v>
      </c>
      <c r="P22" s="139">
        <f>SUM($E22:$I22)*[1]BYPBack!$D$13/L22</f>
        <v>0.22353578853809228</v>
      </c>
      <c r="Q22" s="139">
        <f t="shared" si="9"/>
        <v>6.0666192596983498E-2</v>
      </c>
      <c r="R22" s="140">
        <f t="shared" si="10"/>
        <v>0.28420198113507578</v>
      </c>
      <c r="S22" s="9"/>
      <c r="T22"/>
      <c r="U22"/>
    </row>
    <row r="23" spans="1:21" s="2" customFormat="1" x14ac:dyDescent="0.2">
      <c r="A23" s="58">
        <f t="shared" si="7"/>
        <v>14</v>
      </c>
      <c r="B23" s="143" t="s">
        <v>191</v>
      </c>
      <c r="C23" s="165">
        <f>'10.In-Office Detail'!C23</f>
        <v>0</v>
      </c>
      <c r="D23" s="139"/>
      <c r="E23" s="117">
        <f>'10.In-Office Detail'!E23</f>
        <v>174.83809464745121</v>
      </c>
      <c r="F23" s="117">
        <f>'10.In-Office Detail'!G23</f>
        <v>3.416027670315033</v>
      </c>
      <c r="G23" s="117">
        <f t="shared" si="8"/>
        <v>31.074732190891687</v>
      </c>
      <c r="H23" s="117">
        <f t="shared" si="5"/>
        <v>18.841236662398757</v>
      </c>
      <c r="I23" s="117">
        <f t="shared" si="6"/>
        <v>0.62575426741857487</v>
      </c>
      <c r="J23" s="117">
        <f>'7.RuralDisagg'!O15</f>
        <v>65.056437148360502</v>
      </c>
      <c r="K23" s="117">
        <f>SUM(E23:I23)*[1]BYPBack!$D$13+J23*[1]BYPBack!$E$13</f>
        <v>368.07140677794212</v>
      </c>
      <c r="L23" s="117">
        <f>'[1]DPS%'!$E13</f>
        <v>1295.1049999999993</v>
      </c>
      <c r="M23" s="118">
        <f>'3.SummaryBY'!L23/'3.SummaryBY'!L$32</f>
        <v>4.4460316785299095E-5</v>
      </c>
      <c r="N23" s="139">
        <f>SUM($E23:$G23,I23)*[1]BYPBack!$D$13/L23</f>
        <v>0.20512771523461668</v>
      </c>
      <c r="O23" s="139">
        <f>SUM($H23:$H23)*[1]BYPBack!$D$13/L23</f>
        <v>1.8408073303475568E-2</v>
      </c>
      <c r="P23" s="139">
        <f>SUM($E23:$I23)*[1]BYPBack!$D$13/L23</f>
        <v>0.22353578853809222</v>
      </c>
      <c r="Q23" s="139">
        <f t="shared" si="9"/>
        <v>6.0666192596983554E-2</v>
      </c>
      <c r="R23" s="140">
        <f t="shared" si="10"/>
        <v>0.28420198113507578</v>
      </c>
      <c r="S23" s="9"/>
      <c r="T23"/>
      <c r="U23"/>
    </row>
    <row r="24" spans="1:21" s="2" customFormat="1" x14ac:dyDescent="0.2">
      <c r="A24" s="58">
        <f t="shared" si="7"/>
        <v>15</v>
      </c>
      <c r="B24" s="143" t="s">
        <v>192</v>
      </c>
      <c r="C24" s="165">
        <f>'10.In-Office Detail'!C24</f>
        <v>0.90229116412190491</v>
      </c>
      <c r="D24" s="139"/>
      <c r="E24" s="117">
        <f>'10.In-Office Detail'!E24</f>
        <v>0</v>
      </c>
      <c r="F24" s="117">
        <f>'10.In-Office Detail'!G24</f>
        <v>0</v>
      </c>
      <c r="G24" s="117">
        <f t="shared" si="8"/>
        <v>0</v>
      </c>
      <c r="H24" s="117">
        <f t="shared" si="5"/>
        <v>0</v>
      </c>
      <c r="I24" s="117">
        <f t="shared" si="6"/>
        <v>0</v>
      </c>
      <c r="J24" s="117">
        <f>'7.RuralDisagg'!O16</f>
        <v>0</v>
      </c>
      <c r="K24" s="117">
        <f>SUM(E24:I24)*[1]BYPBack!$D$13+J24*[1]BYPBack!$E$13</f>
        <v>0</v>
      </c>
      <c r="L24" s="117">
        <f>'[1]DPS%'!$E14</f>
        <v>0</v>
      </c>
      <c r="M24" s="118">
        <f>'3.SummaryBY'!L24/'3.SummaryBY'!L$32</f>
        <v>0</v>
      </c>
      <c r="N24" s="139">
        <f>IFERROR(SUM($E24:$G24,I24)*[1]BYPBack!$D$13/L24,0)</f>
        <v>0</v>
      </c>
      <c r="O24" s="139">
        <f>IFERROR(SUM($H24:$H24)*[1]BYPBack!$D$13/L24,0)</f>
        <v>0</v>
      </c>
      <c r="P24" s="139">
        <f>IFERROR(SUM($E24:$I24)*[1]BYPBack!$D$13/L24,0)</f>
        <v>0</v>
      </c>
      <c r="Q24" s="139">
        <f t="shared" si="9"/>
        <v>0</v>
      </c>
      <c r="R24" s="140">
        <f>IFERROR(K24/L24,0)</f>
        <v>0</v>
      </c>
      <c r="S24" s="9"/>
      <c r="T24"/>
      <c r="U24"/>
    </row>
    <row r="25" spans="1:21" s="2" customFormat="1" x14ac:dyDescent="0.2">
      <c r="A25" s="58">
        <f t="shared" si="7"/>
        <v>16</v>
      </c>
      <c r="B25" s="143" t="s">
        <v>193</v>
      </c>
      <c r="C25" s="165">
        <f>'10.In-Office Detail'!C25</f>
        <v>0.90229116412190491</v>
      </c>
      <c r="D25" s="139"/>
      <c r="E25" s="117">
        <f>'10.In-Office Detail'!E25</f>
        <v>0</v>
      </c>
      <c r="F25" s="117">
        <f>'10.In-Office Detail'!G25</f>
        <v>0</v>
      </c>
      <c r="G25" s="117">
        <f t="shared" si="8"/>
        <v>0</v>
      </c>
      <c r="H25" s="117">
        <f t="shared" si="5"/>
        <v>0</v>
      </c>
      <c r="I25" s="117">
        <f t="shared" si="6"/>
        <v>0</v>
      </c>
      <c r="J25" s="117">
        <f>'7.RuralDisagg'!O17</f>
        <v>0</v>
      </c>
      <c r="K25" s="117">
        <f>SUM(E25:I25)*[1]BYPBack!$D$13+J25*[1]BYPBack!$E$13</f>
        <v>0</v>
      </c>
      <c r="L25" s="117">
        <f>'[1]DPS%'!$E15</f>
        <v>0</v>
      </c>
      <c r="M25" s="118">
        <f>'3.SummaryBY'!L25/'3.SummaryBY'!L$32</f>
        <v>0</v>
      </c>
      <c r="N25" s="139">
        <f>IFERROR(SUM($E25:$G25,I25)*[1]BYPBack!$D$13/L25,0)</f>
        <v>0</v>
      </c>
      <c r="O25" s="139">
        <f>IFERROR(SUM($H25:$H25)*[1]BYPBack!$D$13/L25,0)</f>
        <v>0</v>
      </c>
      <c r="P25" s="139">
        <f>IFERROR(SUM($E25:$I25)*[1]BYPBack!$D$13/L25,0)</f>
        <v>0</v>
      </c>
      <c r="Q25" s="139">
        <f t="shared" si="9"/>
        <v>0</v>
      </c>
      <c r="R25" s="140">
        <f>IFERROR(K25/L25,0)</f>
        <v>0</v>
      </c>
      <c r="S25" s="9"/>
      <c r="T25"/>
      <c r="U25"/>
    </row>
    <row r="26" spans="1:21" s="2" customFormat="1" x14ac:dyDescent="0.2">
      <c r="A26" s="58">
        <f t="shared" si="7"/>
        <v>17</v>
      </c>
      <c r="B26" s="143" t="s">
        <v>194</v>
      </c>
      <c r="C26" s="165">
        <f>'10.In-Office Detail'!C26</f>
        <v>0.86458014797418015</v>
      </c>
      <c r="D26" s="143"/>
      <c r="E26" s="117">
        <f>'10.In-Office Detail'!E26</f>
        <v>23250.891044507738</v>
      </c>
      <c r="F26" s="117">
        <f>'10.In-Office Detail'!G26</f>
        <v>3354.6142000711134</v>
      </c>
      <c r="G26" s="117">
        <f t="shared" si="8"/>
        <v>4638.09161621981</v>
      </c>
      <c r="H26" s="117">
        <f t="shared" si="5"/>
        <v>18502.508221414504</v>
      </c>
      <c r="I26" s="117">
        <f t="shared" si="6"/>
        <v>614.50443434021088</v>
      </c>
      <c r="J26" s="117">
        <f>'7.RuralDisagg'!O18</f>
        <v>20889.295975624478</v>
      </c>
      <c r="K26" s="117">
        <f>SUM(E26:I26)*[1]BYPBack!$D$13+J26*[1]BYPBack!$E$13</f>
        <v>88950.94640573897</v>
      </c>
      <c r="L26" s="117">
        <f>'[1]DPS%'!$E16</f>
        <v>1271821.5550000011</v>
      </c>
      <c r="M26" s="118">
        <f>'3.SummaryBY'!L26/'3.SummaryBY'!L$32</f>
        <v>4.3661007586004053E-2</v>
      </c>
      <c r="N26" s="139">
        <f>SUM($E26:$G26,I26)*[1]BYPBack!$D$13/L26</f>
        <v>3.1695500790088718E-2</v>
      </c>
      <c r="O26" s="139">
        <f>SUM($H26:$H26)*[1]BYPBack!$D$13/L26</f>
        <v>1.8408073303475572E-2</v>
      </c>
      <c r="P26" s="139">
        <f>SUM($E26:$I26)*[1]BYPBack!$D$13/L26</f>
        <v>5.0103574093564286E-2</v>
      </c>
      <c r="Q26" s="139">
        <f t="shared" si="9"/>
        <v>1.9836226860460972E-2</v>
      </c>
      <c r="R26" s="140">
        <f t="shared" si="10"/>
        <v>6.9939800954025258E-2</v>
      </c>
      <c r="S26" s="9"/>
      <c r="T26"/>
      <c r="U26"/>
    </row>
    <row r="27" spans="1:21" s="2" customFormat="1" x14ac:dyDescent="0.2">
      <c r="A27" s="58">
        <f t="shared" si="7"/>
        <v>18</v>
      </c>
      <c r="B27" s="143" t="s">
        <v>195</v>
      </c>
      <c r="C27" s="165">
        <f>'10.In-Office Detail'!C27</f>
        <v>0.89522960503121563</v>
      </c>
      <c r="D27" s="143"/>
      <c r="E27" s="117">
        <f>'10.In-Office Detail'!E27</f>
        <v>85121.398375748846</v>
      </c>
      <c r="F27" s="117">
        <f>'10.In-Office Detail'!G27</f>
        <v>15873.967374120159</v>
      </c>
      <c r="G27" s="117">
        <f t="shared" si="8"/>
        <v>17606.347064465819</v>
      </c>
      <c r="H27" s="117">
        <f t="shared" si="5"/>
        <v>87553.499248854801</v>
      </c>
      <c r="I27" s="117">
        <f t="shared" si="6"/>
        <v>2907.8227063374043</v>
      </c>
      <c r="J27" s="117">
        <f>'7.RuralDisagg'!O19</f>
        <v>91634.926385529616</v>
      </c>
      <c r="K27" s="117">
        <f>SUM(E27:I27)*[1]BYPBack!$D$13+J27*[1]BYPBack!$E$13</f>
        <v>375201.90060626436</v>
      </c>
      <c r="L27" s="117">
        <f>'[1]DPS%'!$E17</f>
        <v>6018234.1889999779</v>
      </c>
      <c r="M27" s="118">
        <f>'3.SummaryBY'!L27/'3.SummaryBY'!L$32</f>
        <v>0.20660301560958899</v>
      </c>
      <c r="N27" s="139">
        <f>SUM($E27:$G27,I27)*[1]BYPBack!$D$13/L27</f>
        <v>2.5547310571542459E-2</v>
      </c>
      <c r="O27" s="139">
        <f>SUM($H27:$H27)*[1]BYPBack!$D$13/L27</f>
        <v>1.8408073303475572E-2</v>
      </c>
      <c r="P27" s="139">
        <f>SUM($E27:$I27)*[1]BYPBack!$D$13/L27</f>
        <v>4.3955383875018031E-2</v>
      </c>
      <c r="Q27" s="139">
        <f t="shared" si="9"/>
        <v>1.838880028651755E-2</v>
      </c>
      <c r="R27" s="140">
        <f t="shared" si="10"/>
        <v>6.234418416153558E-2</v>
      </c>
      <c r="S27" s="9"/>
      <c r="T27"/>
      <c r="U27"/>
    </row>
    <row r="28" spans="1:21" s="2" customFormat="1" x14ac:dyDescent="0.2">
      <c r="A28" s="58">
        <f t="shared" si="7"/>
        <v>19</v>
      </c>
      <c r="B28" s="143" t="s">
        <v>196</v>
      </c>
      <c r="C28" s="165">
        <f>'10.In-Office Detail'!C28</f>
        <v>0.88352277798782219</v>
      </c>
      <c r="D28" s="143"/>
      <c r="E28" s="117">
        <f>'10.In-Office Detail'!E28</f>
        <v>0</v>
      </c>
      <c r="F28" s="117">
        <f>'10.In-Office Detail'!G28</f>
        <v>0</v>
      </c>
      <c r="G28" s="117">
        <f t="shared" si="8"/>
        <v>0</v>
      </c>
      <c r="H28" s="117">
        <f t="shared" si="5"/>
        <v>0</v>
      </c>
      <c r="I28" s="117">
        <f t="shared" si="6"/>
        <v>0</v>
      </c>
      <c r="J28" s="117">
        <f>'7.RuralDisagg'!O20</f>
        <v>0</v>
      </c>
      <c r="K28" s="117">
        <f>SUM(E28:I28)*[1]BYPBack!$D$13+J28*[1]BYPBack!$E$13</f>
        <v>0</v>
      </c>
      <c r="L28" s="117">
        <f>'[1]DPS%'!$E18</f>
        <v>0</v>
      </c>
      <c r="M28" s="118">
        <f>'3.SummaryBY'!L28/'3.SummaryBY'!L$32</f>
        <v>0</v>
      </c>
      <c r="N28" s="139"/>
      <c r="O28" s="139"/>
      <c r="P28" s="139"/>
      <c r="Q28" s="139"/>
      <c r="R28" s="140"/>
      <c r="S28" s="9"/>
      <c r="T28"/>
      <c r="U28"/>
    </row>
    <row r="29" spans="1:21" s="2" customFormat="1" x14ac:dyDescent="0.2">
      <c r="A29" s="58">
        <f t="shared" si="7"/>
        <v>20</v>
      </c>
      <c r="B29" s="154" t="s">
        <v>197</v>
      </c>
      <c r="C29" s="165">
        <f>'10.In-Office Detail'!C29</f>
        <v>0</v>
      </c>
      <c r="D29" s="143"/>
      <c r="E29" s="117">
        <f>'10.In-Office Detail'!E29</f>
        <v>101301.45238658389</v>
      </c>
      <c r="F29" s="117">
        <f>'10.In-Office Detail'!G29</f>
        <v>1979.2515189178541</v>
      </c>
      <c r="G29" s="117">
        <f t="shared" si="8"/>
        <v>18004.74610415431</v>
      </c>
      <c r="H29" s="117">
        <f t="shared" si="5"/>
        <v>10916.640578296134</v>
      </c>
      <c r="I29" s="117">
        <f t="shared" si="6"/>
        <v>362.56295434027442</v>
      </c>
      <c r="J29" s="117">
        <f>'7.RuralDisagg'!O21</f>
        <v>37693.796557977425</v>
      </c>
      <c r="K29" s="117">
        <f>SUM(E29:I29)*[1]BYPBack!$D$13+J29*[1]BYPBack!$E$13</f>
        <v>213261.12117478513</v>
      </c>
      <c r="L29" s="117">
        <f>'[1]DPS%'!$E19</f>
        <v>750385.76551451348</v>
      </c>
      <c r="M29" s="118">
        <f>'3.SummaryBY'!L29/'3.SummaryBY'!L$32</f>
        <v>2.5760373750355725E-2</v>
      </c>
      <c r="N29" s="139">
        <f>SUM($E29:$G29,I29)*[1]BYPBack!$D$13/L29</f>
        <v>0.2051277152346167</v>
      </c>
      <c r="O29" s="139">
        <f>SUM($H29:$H29)*[1]BYPBack!$D$13/L29</f>
        <v>1.8408073303475568E-2</v>
      </c>
      <c r="P29" s="139">
        <f>SUM($E29:$I29)*[1]BYPBack!$D$13/L29</f>
        <v>0.22353578853809222</v>
      </c>
      <c r="Q29" s="139">
        <f t="shared" si="9"/>
        <v>6.0666192596983554E-2</v>
      </c>
      <c r="R29" s="140">
        <f t="shared" si="10"/>
        <v>0.28420198113507578</v>
      </c>
      <c r="S29" s="9"/>
      <c r="T29"/>
      <c r="U29"/>
    </row>
    <row r="30" spans="1:21" s="2" customFormat="1" x14ac:dyDescent="0.2">
      <c r="A30" s="58">
        <f t="shared" si="7"/>
        <v>21</v>
      </c>
      <c r="B30" s="143" t="s">
        <v>198</v>
      </c>
      <c r="C30" s="165">
        <f>'10.In-Office Detail'!C30</f>
        <v>0.97585900911016799</v>
      </c>
      <c r="D30" s="143"/>
      <c r="E30" s="117">
        <f>'10.In-Office Detail'!E30</f>
        <v>67096.314341312769</v>
      </c>
      <c r="F30" s="117">
        <f>'10.In-Office Detail'!G30</f>
        <v>54303.633229354469</v>
      </c>
      <c r="G30" s="117">
        <f t="shared" si="8"/>
        <v>21163.442447753041</v>
      </c>
      <c r="H30" s="117">
        <f t="shared" si="5"/>
        <v>299513.85177392664</v>
      </c>
      <c r="I30" s="117">
        <f t="shared" si="6"/>
        <v>9947.4399826708395</v>
      </c>
      <c r="J30" s="117">
        <f>'7.RuralDisagg'!O22</f>
        <v>248565.11064882251</v>
      </c>
      <c r="K30" s="117">
        <f>SUM(E30:I30)*[1]BYPBack!$D$13+J30*[1]BYPBack!$E$13</f>
        <v>872154.25738720037</v>
      </c>
      <c r="L30" s="117">
        <f>'[1]DPS%'!$E20</f>
        <v>20587920.73748548</v>
      </c>
      <c r="M30" s="118">
        <f>'3.SummaryBY'!L30/'3.SummaryBY'!L$32</f>
        <v>0.70677317896173164</v>
      </c>
      <c r="N30" s="139">
        <f>SUM($E30:$G30,I30)*[1]BYPBack!$D$13/L30</f>
        <v>9.3732911570081155E-3</v>
      </c>
      <c r="O30" s="139">
        <f>SUM($H30:$H30)*[1]BYPBack!$D$13/L30</f>
        <v>1.8408073303475568E-2</v>
      </c>
      <c r="P30" s="139">
        <f>SUM($E30:$I30)*[1]BYPBack!$D$13/L30</f>
        <v>2.7781364460483682E-2</v>
      </c>
      <c r="Q30" s="139">
        <f t="shared" si="9"/>
        <v>1.4581060988300205E-2</v>
      </c>
      <c r="R30" s="140">
        <f t="shared" si="10"/>
        <v>4.2362425448783887E-2</v>
      </c>
      <c r="S30" s="9"/>
      <c r="T30"/>
      <c r="U30"/>
    </row>
    <row r="31" spans="1:21" s="2" customFormat="1" x14ac:dyDescent="0.2">
      <c r="A31" s="58">
        <f t="shared" si="7"/>
        <v>22</v>
      </c>
      <c r="B31" s="143" t="s">
        <v>199</v>
      </c>
      <c r="C31" s="165">
        <f>'10.In-Office Detail'!C31</f>
        <v>0.94154181952989746</v>
      </c>
      <c r="D31" s="143"/>
      <c r="E31" s="117">
        <f>'10.In-Office Detail'!E31</f>
        <v>168397.7667278969</v>
      </c>
      <c r="F31" s="117">
        <f>'10.In-Office Detail'!G31</f>
        <v>56282.884748272329</v>
      </c>
      <c r="G31" s="117">
        <f t="shared" si="8"/>
        <v>39168.188551907399</v>
      </c>
      <c r="H31" s="117">
        <f t="shared" si="5"/>
        <v>310430.49235222279</v>
      </c>
      <c r="I31" s="117">
        <f t="shared" si="6"/>
        <v>10310.002937011115</v>
      </c>
      <c r="J31" s="117">
        <f>'7.RuralDisagg'!O23</f>
        <v>286258.90720680001</v>
      </c>
      <c r="K31" s="117">
        <f>SUM(E31:I31)*[1]BYPBack!$D$13+J31*[1]BYPBack!$E$13</f>
        <v>1085415.3785619861</v>
      </c>
      <c r="L31" s="117">
        <f>'[1]DPS%'!$E21</f>
        <v>21338306.502999995</v>
      </c>
      <c r="M31" s="118">
        <f>'3.SummaryBY'!L31/'3.SummaryBY'!L$32</f>
        <v>0.73253355271208742</v>
      </c>
      <c r="N31" s="139">
        <f>SUM($E31:$G31,I31)*[1]BYPBack!$D$13/L31</f>
        <v>1.6257217645910958E-2</v>
      </c>
      <c r="O31" s="139">
        <f>SUM($H31:$H31)*[1]BYPBack!$D$13/L31</f>
        <v>1.8408073303475568E-2</v>
      </c>
      <c r="P31" s="139">
        <f>SUM($E31:$I31)*[1]BYPBack!$D$13/L31</f>
        <v>3.4665290949386522E-2</v>
      </c>
      <c r="Q31" s="139">
        <f t="shared" si="9"/>
        <v>1.6201696944399026E-2</v>
      </c>
      <c r="R31" s="140">
        <f t="shared" si="10"/>
        <v>5.0866987893785548E-2</v>
      </c>
      <c r="S31" s="9"/>
      <c r="T31"/>
      <c r="U31"/>
    </row>
    <row r="32" spans="1:21" s="2" customFormat="1" x14ac:dyDescent="0.2">
      <c r="A32" s="58">
        <f>A31+1</f>
        <v>23</v>
      </c>
      <c r="B32" s="138" t="s">
        <v>11</v>
      </c>
      <c r="C32" s="118">
        <f>'10.In-Office Detail'!C32</f>
        <v>0.92750157456466986</v>
      </c>
      <c r="D32" s="139"/>
      <c r="E32" s="117">
        <f>[1]CARMMCasing!$D$12</f>
        <v>285096.63188555132</v>
      </c>
      <c r="F32" s="117">
        <f>[1]CARMMCasing!$E12</f>
        <v>76833.183326407394</v>
      </c>
      <c r="G32" s="117">
        <f>'[1]7.0.6'!$I$12+'[1]CS6&amp;7 CRA'!$D$13</f>
        <v>63094.597383622924</v>
      </c>
      <c r="H32" s="117">
        <f>'[1]7.0.6'!L$12</f>
        <v>423776.48259646801</v>
      </c>
      <c r="I32" s="117">
        <f>'[1]7.0.6'!J$12</f>
        <v>14074.444643306768</v>
      </c>
      <c r="J32" s="117">
        <f>[1]RuralCosts!$P$13</f>
        <v>406771.85586971894</v>
      </c>
      <c r="K32" s="117">
        <f>SUM(E32:I32)*[1]BYPBack!$D$13+J32*[1]BYPBack!$E$13</f>
        <v>1583083.379226672</v>
      </c>
      <c r="L32" s="117">
        <f>SUM(L18:L30)</f>
        <v>29129459.563999973</v>
      </c>
      <c r="M32" s="118"/>
      <c r="N32" s="139">
        <f>SUM($E32:$G32,I32)*[1]BYPBack!$D$13/L32</f>
        <v>1.907364916052371E-2</v>
      </c>
      <c r="O32" s="139">
        <f>SUM($H32:$H32)*[1]BYPBack!$D$13/L32</f>
        <v>1.8408073303475568E-2</v>
      </c>
      <c r="P32" s="139">
        <f>SUM($E32:$I32)*[1]BYPBack!$D$13/L32</f>
        <v>3.7481722463999285E-2</v>
      </c>
      <c r="Q32" s="139">
        <f>R32-P32</f>
        <v>1.6864750245132142E-2</v>
      </c>
      <c r="R32" s="140">
        <f>K32/L32</f>
        <v>5.4346472709131427E-2</v>
      </c>
      <c r="S32" s="9"/>
      <c r="T32"/>
      <c r="U32"/>
    </row>
    <row r="33" spans="1:21" s="2" customFormat="1" x14ac:dyDescent="0.2">
      <c r="A33" s="58">
        <f t="shared" si="7"/>
        <v>24</v>
      </c>
      <c r="B33" s="149" t="s">
        <v>56</v>
      </c>
      <c r="C33" s="143"/>
      <c r="D33" s="139">
        <f>(E33+F33)/L33</f>
        <v>0.15392246426152445</v>
      </c>
      <c r="E33" s="117">
        <f>[1]CARMMCasing!$D$15</f>
        <v>57186.656586226774</v>
      </c>
      <c r="F33" s="117">
        <f>[1]CARMMCasing!$E15</f>
        <v>9430.6527040258807</v>
      </c>
      <c r="G33" s="117">
        <f>'[1]7.0.6'!$I$15+'[1]CS6&amp;7 CRA'!$D$16</f>
        <v>11615.181006816556</v>
      </c>
      <c r="H33" s="117">
        <f>'[1]7.0.6'!L$15</f>
        <v>5195.9810633055849</v>
      </c>
      <c r="I33" s="117">
        <f>'[1]7.0.6'!J$15</f>
        <v>172.56867911851936</v>
      </c>
      <c r="J33" s="117">
        <f>[1]RuralCosts!$P$16</f>
        <v>22621.901719052439</v>
      </c>
      <c r="K33" s="117">
        <f>SUM(E33:I33)*[1]BYPBack!$D$15+J33*[1]BYPBack!$E$15</f>
        <v>129459.00552515988</v>
      </c>
      <c r="L33" s="117">
        <f>[1]RPWShape!$D$15</f>
        <v>432797.83499999996</v>
      </c>
      <c r="M33" s="117"/>
      <c r="N33" s="139">
        <f>SUM($E33:$G33,I33)*[1]BYPBack!$D$15/L33</f>
        <v>0.22132797645367439</v>
      </c>
      <c r="O33" s="139">
        <f>SUM($H33:$H33)*[1]BYPBack!$D$15/L33</f>
        <v>1.4667624633536797E-2</v>
      </c>
      <c r="P33" s="139">
        <f>SUM($E33:$I33)*[1]BYPBack!$D$15/L33</f>
        <v>0.23599560108721118</v>
      </c>
      <c r="Q33" s="139">
        <f>R33-P33</f>
        <v>6.3125593743072306E-2</v>
      </c>
      <c r="R33" s="140">
        <f>K33/L33</f>
        <v>0.29912119483028349</v>
      </c>
      <c r="S33" s="9"/>
      <c r="T33"/>
      <c r="U33"/>
    </row>
    <row r="34" spans="1:21" s="2" customFormat="1" x14ac:dyDescent="0.2">
      <c r="A34" s="58">
        <f t="shared" si="7"/>
        <v>25</v>
      </c>
      <c r="B34" s="132" t="s">
        <v>12</v>
      </c>
      <c r="C34" s="143"/>
      <c r="D34" s="139">
        <f>(E34+F34)/L34</f>
        <v>1.4496427614377925E-2</v>
      </c>
      <c r="E34" s="117">
        <f t="shared" ref="E34:J34" si="11">SUM(E32,E33)</f>
        <v>342283.2884717781</v>
      </c>
      <c r="F34" s="117">
        <f t="shared" si="11"/>
        <v>86263.836030433275</v>
      </c>
      <c r="G34" s="117">
        <f t="shared" si="11"/>
        <v>74709.778390439475</v>
      </c>
      <c r="H34" s="117">
        <f t="shared" si="11"/>
        <v>428972.46365977358</v>
      </c>
      <c r="I34" s="117">
        <f t="shared" si="11"/>
        <v>14247.013322425288</v>
      </c>
      <c r="J34" s="117">
        <f t="shared" si="11"/>
        <v>429393.7575887714</v>
      </c>
      <c r="K34" s="117">
        <f>SUM(E34:I34)*[1]BYPBack!$D$13+J34*[1]BYPBack!$E$13</f>
        <v>1716186.9292144375</v>
      </c>
      <c r="L34" s="117">
        <f>SUM(L32,L33)</f>
        <v>29562257.398999974</v>
      </c>
      <c r="M34" s="119"/>
      <c r="N34" s="139">
        <f>SUMPRODUCT(N32:N33,$L32:$L33)/SUM($L32:$L33)</f>
        <v>2.2034696207452478E-2</v>
      </c>
      <c r="O34" s="139">
        <f>SUMPRODUCT(O32:O33,$L32:$L33)/SUM($L32:$L33)</f>
        <v>1.8353312326854991E-2</v>
      </c>
      <c r="P34" s="139">
        <f>SUMPRODUCT(P32:P33,$L32:$L33)/SUM($L32:$L33)</f>
        <v>4.0388008534307476E-2</v>
      </c>
      <c r="Q34" s="139">
        <f>SUMPRODUCT(Q32:Q33,$L32:$L33)/SUM($L32:$L33)</f>
        <v>1.7542018988210593E-2</v>
      </c>
      <c r="R34" s="140">
        <f>K34/L34</f>
        <v>5.8053311222183331E-2</v>
      </c>
      <c r="S34" s="9"/>
      <c r="T34"/>
      <c r="U34"/>
    </row>
    <row r="35" spans="1:21" s="2" customFormat="1" ht="45" x14ac:dyDescent="0.2">
      <c r="A35" s="61"/>
      <c r="B35" s="238" t="s">
        <v>172</v>
      </c>
      <c r="C35" s="126"/>
      <c r="D35" s="151"/>
      <c r="E35" s="101" t="str">
        <f>"L"&amp;$A36&amp;" from [UDCInputs.xls] CARMMCasing"</f>
        <v>L26 from [UDCInputs.xls] CARMMCasing</v>
      </c>
      <c r="F35" s="101" t="str">
        <f>"L"&amp;$A36&amp;" from [UDCInputs.xls] CARMMCasing"</f>
        <v>L26 from [UDCInputs.xls] CARMMCasing</v>
      </c>
      <c r="G35" s="101" t="str">
        <f>"L"&amp;$A36&amp;"  from [UDCInputs.xls] 7.0.6 and CS6&amp;7 CRA"</f>
        <v>L26  from [UDCInputs.xls] 7.0.6 and CS6&amp;7 CRA</v>
      </c>
      <c r="H35" s="101" t="str">
        <f>"L"&amp;$A36&amp;"  from [UDCInputs.xls] 7.0.6"</f>
        <v>L26  from [UDCInputs.xls] 7.0.6</v>
      </c>
      <c r="I35" s="101" t="str">
        <f>"L"&amp;$A36&amp;"  from [UDCInputs.xls] 7.0.6"</f>
        <v>L26  from [UDCInputs.xls] 7.0.6</v>
      </c>
      <c r="J35" s="101" t="str">
        <f>"L"&amp;$A36 &amp; " from CS10.xls W/S Outputs to CRA"</f>
        <v>L26 from CS10.xls W/S Outputs to CRA</v>
      </c>
      <c r="K35" s="125"/>
      <c r="L35" s="101" t="str">
        <f>"L"&amp;$A36 &amp; " from [UDCInputs.xls] " &amp;[1]NOTES!$A$8</f>
        <v>L26 from [UDCInputs.xls] 7.0.6.10</v>
      </c>
      <c r="M35" s="125"/>
      <c r="N35" s="151"/>
      <c r="O35" s="151"/>
      <c r="P35" s="151"/>
      <c r="Q35" s="151"/>
      <c r="R35" s="152"/>
      <c r="S35" s="9"/>
      <c r="T35"/>
      <c r="U35"/>
    </row>
    <row r="36" spans="1:21" s="2" customFormat="1" x14ac:dyDescent="0.2">
      <c r="A36" s="91">
        <f>A34+1</f>
        <v>26</v>
      </c>
      <c r="B36" s="132" t="s">
        <v>10</v>
      </c>
      <c r="C36" s="118"/>
      <c r="D36" s="139">
        <f>(E36+F36)/L36</f>
        <v>2.8672364242811825E-2</v>
      </c>
      <c r="E36" s="117">
        <f>[1]CARMMCasing!$D$11</f>
        <v>6627.6224540897101</v>
      </c>
      <c r="F36" s="117">
        <f>[1]CARMMCasing!$E$11</f>
        <v>2736.9130336959852</v>
      </c>
      <c r="G36" s="117">
        <f>'[1]CS6&amp;7 CRA'!$D$12+'[1]7.0.6'!$I$11</f>
        <v>1632.5076831508582</v>
      </c>
      <c r="H36" s="117">
        <f>'[1]7.0.6'!$L$11</f>
        <v>10015.630145690035</v>
      </c>
      <c r="I36" s="117">
        <f>'[1]7.0.6'!$J$11</f>
        <v>286.52084078814454</v>
      </c>
      <c r="J36" s="117">
        <f>'[1]CS10 CRA'!$D$12+'[1]CS10 CRA'!$E$12</f>
        <v>6824.8070204386358</v>
      </c>
      <c r="K36" s="117">
        <f>SUM(E36:I36)*[1]BYPBack!$D$12+J36*[1]BYPBack!$E$12</f>
        <v>35143.836450947696</v>
      </c>
      <c r="L36" s="117">
        <f>'[1]7.0.8'!$C$12</f>
        <v>326604.929</v>
      </c>
      <c r="M36" s="117"/>
      <c r="N36" s="139">
        <f>SUM($E36:$G36,I36)*[1]BYPBack!$D$12/L36</f>
        <v>4.3635145896422187E-2</v>
      </c>
      <c r="O36" s="139">
        <f>SUM($H36:$H36)*[1]BYPBack!$D$12/L36</f>
        <v>3.8731865410403084E-2</v>
      </c>
      <c r="P36" s="139">
        <f>SUM($E36:$I36)*[1]BYPBack!$D$12/L36</f>
        <v>8.2367011306825264E-2</v>
      </c>
      <c r="Q36" s="139">
        <f>R36-P36</f>
        <v>2.5236497796822396E-2</v>
      </c>
      <c r="R36" s="140">
        <f>K36/L36</f>
        <v>0.10760350910364766</v>
      </c>
      <c r="S36" s="9"/>
      <c r="T36"/>
      <c r="U36"/>
    </row>
    <row r="37" spans="1:21" s="2" customFormat="1" ht="67.5" x14ac:dyDescent="0.2">
      <c r="A37" s="105"/>
      <c r="B37" s="238" t="s">
        <v>173</v>
      </c>
      <c r="C37" s="105"/>
      <c r="D37" s="105"/>
      <c r="E37" s="101" t="str">
        <f>"L"&amp;A39&amp;"..L"&amp;A46&amp;" from "&amp;NOTES!A14&amp;" C"&amp;-'10.In-Office Detail'!E14</f>
        <v>L28..L35 from 10.In-OfficeDetail C11</v>
      </c>
      <c r="F37" s="101" t="str">
        <f>"L"&amp;A39&amp;"..L"&amp;A46&amp;" from "&amp;NOTES!A14&amp;" C"&amp;-'10.In-Office Detail'!G14</f>
        <v>L28..L35 from 10.In-OfficeDetail C13</v>
      </c>
      <c r="G37" s="101" t="str">
        <f>"L"&amp;A39&amp;"..L"&amp;A46&amp;" = (C"&amp;-E6&amp;"..C"&amp;-F6&amp;") / (L"&amp;A47&amp;" C"&amp;-E6&amp;"..C"&amp;-F6&amp;") x C"&amp;-G6&amp;"L"&amp;A47&amp;"; 
L"&amp;A47&amp;" from [UDCInputs.xls] 7.0.6"</f>
        <v>L28..L35 = (C3..C4) / (L36 C3..C4) x C5L36; 
L36 from [UDCInputs.xls] 7.0.6</v>
      </c>
      <c r="H37" s="101" t="str">
        <f>"L"&amp;A39&amp;"..L"&amp;A46&amp;" = C"&amp;-$L6&amp;"L{i}/C"&amp;-$L6&amp;"L"&amp;$A$47&amp;" x C"&amp;-H6&amp;"L"&amp;$A47&amp;"; 
L"&amp;A47&amp;" from [UDCInputs.xls] 7.0.6"</f>
        <v>L28..L35 = C10L{i}/C10L36 x C6L36; 
L36 from [UDCInputs.xls] 7.0.6</v>
      </c>
      <c r="I37" s="101" t="str">
        <f>"L"&amp;A39&amp;"..L"&amp;A46&amp;" = C"&amp;-$L6&amp;"L{i}/C"&amp;-$L6&amp;"L"&amp;$A$47&amp;" x C"&amp;-I6&amp;"L"&amp;$A47&amp;"; 
L"&amp;A47&amp;" from [UDCInputs.xls] 7.0.6"</f>
        <v>L28..L35 = C10L{i}/C10L36 x C7L36; 
L36 from [UDCInputs.xls] 7.0.6</v>
      </c>
      <c r="J37" s="101" t="str">
        <f>"L"&amp;A39&amp;"..L"&amp;A46&amp;" = from "&amp;NOTES!A11&amp;" C"&amp;-'7.RuralDisagg'!O$6&amp;"; 
L"&amp;A47&amp;" from [UDCInputs.xls] RuralCosts"</f>
        <v>L28..L35 = from 7.RuralDisagg C12; 
L36 from [UDCInputs.xls] RuralCosts</v>
      </c>
      <c r="K37" s="427"/>
      <c r="L37" s="101" t="str">
        <f>"L"&amp;A39&amp;"..L"&amp;A46&amp;" = from [UDCInputs.xls] "&amp; [1]NOTES!$A$24</f>
        <v>L28..L35 = from [UDCInputs.xls] DALs</v>
      </c>
      <c r="M37" s="105"/>
      <c r="N37" s="105"/>
      <c r="O37" s="105"/>
      <c r="P37" s="105"/>
      <c r="Q37" s="105"/>
      <c r="R37" s="105"/>
      <c r="S37" s="9"/>
      <c r="T37"/>
      <c r="U37"/>
    </row>
    <row r="38" spans="1:21" s="2" customFormat="1" x14ac:dyDescent="0.2">
      <c r="A38" s="58">
        <f>A36+1</f>
        <v>27</v>
      </c>
      <c r="B38" s="124" t="s">
        <v>67</v>
      </c>
      <c r="C38" s="143"/>
      <c r="D38" s="139"/>
      <c r="E38" s="139"/>
      <c r="F38" s="117"/>
      <c r="G38" s="117"/>
      <c r="H38" s="117"/>
      <c r="I38" s="117"/>
      <c r="J38" s="117"/>
      <c r="K38" s="117"/>
      <c r="L38" s="119"/>
      <c r="M38" s="119"/>
      <c r="N38" s="119"/>
      <c r="O38" s="119"/>
      <c r="P38" s="119"/>
      <c r="Q38" s="119"/>
      <c r="R38" s="140"/>
      <c r="S38" s="9"/>
      <c r="T38"/>
      <c r="U38"/>
    </row>
    <row r="39" spans="1:21" s="2" customFormat="1" x14ac:dyDescent="0.2">
      <c r="A39" s="58">
        <f t="shared" ref="A39:A47" si="12">A38+1</f>
        <v>28</v>
      </c>
      <c r="B39" s="271" t="s">
        <v>218</v>
      </c>
      <c r="C39" s="118">
        <f>'10.In-Office Detail'!C34</f>
        <v>0.85382551272888774</v>
      </c>
      <c r="D39" s="268"/>
      <c r="E39" s="117">
        <f>'10.In-Office Detail'!E34</f>
        <v>1254.6728848447983</v>
      </c>
      <c r="F39" s="117">
        <f>'10.In-Office Detail'!G34</f>
        <v>213.6807180947477</v>
      </c>
      <c r="G39" s="117">
        <f>(SUM(E39:F39)/SUM(E$47:F$47))*G$47</f>
        <v>255.96460090645905</v>
      </c>
      <c r="H39" s="117">
        <f t="shared" ref="H39:I46" si="13">$L39/$L$47*H$47</f>
        <v>1174.8828425417919</v>
      </c>
      <c r="I39" s="117">
        <f t="shared" si="13"/>
        <v>39.020153804691503</v>
      </c>
      <c r="J39" s="117">
        <f>'7.RuralDisagg'!O28</f>
        <v>1252.7372056413433</v>
      </c>
      <c r="K39" s="117">
        <f>SUM(E39:I39)*[1]BYPBack!$D$14+J39*[1]BYPBack!$E$14</f>
        <v>5236.7356372787017</v>
      </c>
      <c r="L39" s="119">
        <f>'[1]DPS%'!$E36</f>
        <v>80860.525999999998</v>
      </c>
      <c r="M39" s="118">
        <f>'3.SummaryBY'!L39/'3.SummaryBY'!L$47</f>
        <v>3.4551359982633374E-2</v>
      </c>
      <c r="N39" s="139">
        <f>SUM($E39:$G39,I39)*[1]BYPBack!$D$14/L39</f>
        <v>2.7637614777824997E-2</v>
      </c>
      <c r="O39" s="139">
        <f>SUM($H39:$H39)*[1]BYPBack!$D$14/L39</f>
        <v>1.8414480278480003E-2</v>
      </c>
      <c r="P39" s="139">
        <f>SUM($E39:$I39)*[1]BYPBack!$D$14/L39</f>
        <v>4.6052095056304997E-2</v>
      </c>
      <c r="Q39" s="139">
        <f>J39*[1]BYPBack!$E$14/L39</f>
        <v>1.8710476946735173E-2</v>
      </c>
      <c r="R39" s="163">
        <f>K39/L39</f>
        <v>6.476257200304017E-2</v>
      </c>
      <c r="S39" s="9"/>
      <c r="T39"/>
      <c r="U39"/>
    </row>
    <row r="40" spans="1:21" s="2" customFormat="1" x14ac:dyDescent="0.2">
      <c r="A40" s="58">
        <f t="shared" si="12"/>
        <v>29</v>
      </c>
      <c r="B40" s="271" t="s">
        <v>201</v>
      </c>
      <c r="C40" s="118">
        <f>'10.In-Office Detail'!C35</f>
        <v>0.86458014797418015</v>
      </c>
      <c r="D40" s="268"/>
      <c r="E40" s="117">
        <f>'10.In-Office Detail'!E35</f>
        <v>2752.4279601020971</v>
      </c>
      <c r="F40" s="117">
        <f>'10.In-Office Detail'!G35</f>
        <v>505.98777864852252</v>
      </c>
      <c r="G40" s="117">
        <f t="shared" ref="G40:G46" si="14">(SUM(E40:F40)/SUM(E$47:F$47))*G$47</f>
        <v>568.00969636124216</v>
      </c>
      <c r="H40" s="117">
        <f t="shared" si="13"/>
        <v>2782.0776950327718</v>
      </c>
      <c r="I40" s="117">
        <f t="shared" si="13"/>
        <v>92.398233786377617</v>
      </c>
      <c r="J40" s="117">
        <f>'7.RuralDisagg'!O29</f>
        <v>2899.8714260967367</v>
      </c>
      <c r="K40" s="117">
        <f>SUM(E40:I40)*[1]BYPBack!$D$14+J40*[1]BYPBack!$E$14</f>
        <v>11994.677007708062</v>
      </c>
      <c r="L40" s="119">
        <f>'[1]DPS%'!$E37</f>
        <v>191474.63699999978</v>
      </c>
      <c r="M40" s="118">
        <f>'3.SummaryBY'!L40/'3.SummaryBY'!L$47</f>
        <v>8.1816300706862133E-2</v>
      </c>
      <c r="N40" s="139">
        <f>SUM($E40:$G40,I40)*[1]BYPBack!$D$14/L40</f>
        <v>2.5938564294811051E-2</v>
      </c>
      <c r="O40" s="139">
        <f>SUM($H40:$H40)*[1]BYPBack!$D$14/L40</f>
        <v>1.8414480278480003E-2</v>
      </c>
      <c r="P40" s="139">
        <f>SUM($E40:$I40)*[1]BYPBack!$D$14/L40</f>
        <v>4.4353044573291055E-2</v>
      </c>
      <c r="Q40" s="139">
        <f>J40*[1]BYPBack!$E$14/L40</f>
        <v>1.8290641272725588E-2</v>
      </c>
      <c r="R40" s="163">
        <f t="shared" ref="R40:R47" si="15">K40/L40</f>
        <v>6.264368584601665E-2</v>
      </c>
      <c r="S40" s="9"/>
      <c r="T40"/>
      <c r="U40"/>
    </row>
    <row r="41" spans="1:21" s="2" customFormat="1" x14ac:dyDescent="0.2">
      <c r="A41" s="58">
        <f t="shared" si="12"/>
        <v>30</v>
      </c>
      <c r="B41" s="271" t="s">
        <v>202</v>
      </c>
      <c r="C41" s="118">
        <f>'10.In-Office Detail'!C36</f>
        <v>0.89522960503121563</v>
      </c>
      <c r="D41" s="268"/>
      <c r="E41" s="117">
        <f>'10.In-Office Detail'!E36</f>
        <v>8837.3502854089602</v>
      </c>
      <c r="F41" s="117">
        <f>'10.In-Office Detail'!G36</f>
        <v>2099.8578181262856</v>
      </c>
      <c r="G41" s="117">
        <f t="shared" si="14"/>
        <v>1906.583061224354</v>
      </c>
      <c r="H41" s="117">
        <f t="shared" si="13"/>
        <v>11545.669372001501</v>
      </c>
      <c r="I41" s="117">
        <f t="shared" si="13"/>
        <v>383.45422910334929</v>
      </c>
      <c r="J41" s="117">
        <f>'7.RuralDisagg'!O30</f>
        <v>11247.277230876538</v>
      </c>
      <c r="K41" s="117">
        <f>SUM(E41:I41)*[1]BYPBack!$D$14+J41*[1]BYPBack!$E$14</f>
        <v>44979.718660802209</v>
      </c>
      <c r="L41" s="119">
        <f>'[1]DPS%'!$E38</f>
        <v>794622.97399999877</v>
      </c>
      <c r="M41" s="118">
        <f>'3.SummaryBY'!L41/'3.SummaryBY'!L$47</f>
        <v>0.33953902829106847</v>
      </c>
      <c r="N41" s="139">
        <f>SUM($E41:$G41,I41)*[1]BYPBack!$D$14/L41</f>
        <v>2.1096468432967096E-2</v>
      </c>
      <c r="O41" s="139">
        <f>SUM($H41:$H41)*[1]BYPBack!$D$14/L41</f>
        <v>1.8414480278480003E-2</v>
      </c>
      <c r="P41" s="139">
        <f>SUM($E41:$I41)*[1]BYPBack!$D$14/L41</f>
        <v>3.95109487114471E-2</v>
      </c>
      <c r="Q41" s="139">
        <f>J41*[1]BYPBack!$E$14/L41</f>
        <v>1.7094158531276892E-2</v>
      </c>
      <c r="R41" s="163">
        <f t="shared" si="15"/>
        <v>5.6605107242723995E-2</v>
      </c>
      <c r="S41" s="9"/>
      <c r="T41"/>
      <c r="U41"/>
    </row>
    <row r="42" spans="1:21" s="2" customFormat="1" x14ac:dyDescent="0.2">
      <c r="A42" s="58">
        <f t="shared" si="12"/>
        <v>31</v>
      </c>
      <c r="B42" s="271" t="s">
        <v>203</v>
      </c>
      <c r="C42" s="118">
        <f>'10.In-Office Detail'!C37</f>
        <v>0.88352277798782219</v>
      </c>
      <c r="D42" s="268"/>
      <c r="E42" s="117">
        <f>'10.In-Office Detail'!E37</f>
        <v>0</v>
      </c>
      <c r="F42" s="117">
        <f>'10.In-Office Detail'!G37</f>
        <v>0</v>
      </c>
      <c r="G42" s="117">
        <f t="shared" si="14"/>
        <v>0</v>
      </c>
      <c r="H42" s="117">
        <f t="shared" si="13"/>
        <v>0</v>
      </c>
      <c r="I42" s="117">
        <f t="shared" si="13"/>
        <v>0</v>
      </c>
      <c r="J42" s="117">
        <f>'7.RuralDisagg'!O31</f>
        <v>0</v>
      </c>
      <c r="K42" s="117">
        <f>SUM(E42:I42)*[1]BYPBack!$D$14+J42*[1]BYPBack!$E$14</f>
        <v>0</v>
      </c>
      <c r="L42" s="119">
        <f>'[1]DPS%'!$E39</f>
        <v>0</v>
      </c>
      <c r="M42" s="118">
        <f>'3.SummaryBY'!L42/'3.SummaryBY'!L$47</f>
        <v>0</v>
      </c>
      <c r="N42" s="139"/>
      <c r="O42" s="139"/>
      <c r="P42" s="139"/>
      <c r="Q42" s="139"/>
      <c r="R42" s="163"/>
      <c r="S42" s="9"/>
      <c r="T42"/>
      <c r="U42"/>
    </row>
    <row r="43" spans="1:21" s="2" customFormat="1" x14ac:dyDescent="0.2">
      <c r="A43" s="58">
        <f t="shared" si="12"/>
        <v>32</v>
      </c>
      <c r="B43" s="271" t="s">
        <v>204</v>
      </c>
      <c r="C43" s="118">
        <f>'10.In-Office Detail'!C38</f>
        <v>0.94154181952989746</v>
      </c>
      <c r="D43" s="268"/>
      <c r="E43" s="117">
        <f>'10.In-Office Detail'!E38</f>
        <v>7901.5531789916222</v>
      </c>
      <c r="F43" s="117">
        <f>'10.In-Office Detail'!G38</f>
        <v>3364.9109461282892</v>
      </c>
      <c r="G43" s="117">
        <f t="shared" si="14"/>
        <v>1963.979240177604</v>
      </c>
      <c r="H43" s="117">
        <f t="shared" si="13"/>
        <v>18501.323715760995</v>
      </c>
      <c r="I43" s="117">
        <f t="shared" si="13"/>
        <v>614.46509459406013</v>
      </c>
      <c r="J43" s="117">
        <f>'7.RuralDisagg'!O32</f>
        <v>16116.992034853814</v>
      </c>
      <c r="K43" s="117">
        <f>SUM(E43:I43)*[1]BYPBack!$D$14+J43*[1]BYPBack!$E$14</f>
        <v>60459.057486433514</v>
      </c>
      <c r="L43" s="119">
        <f>'[1]DPS%'!$E40</f>
        <v>1273341.2329999986</v>
      </c>
      <c r="M43" s="118">
        <f>'3.SummaryBY'!L43/'3.SummaryBY'!L$47</f>
        <v>0.54409331101943592</v>
      </c>
      <c r="N43" s="139">
        <f>SUM($E43:$G43,I43)*[1]BYPBack!$D$14/L43</f>
        <v>1.377992178877715E-2</v>
      </c>
      <c r="O43" s="139">
        <f>SUM($H43:$H43)*[1]BYPBack!$D$14/L43</f>
        <v>1.841448027848E-2</v>
      </c>
      <c r="P43" s="139">
        <f>SUM($E43:$I43)*[1]BYPBack!$D$14/L43</f>
        <v>3.2194402067257155E-2</v>
      </c>
      <c r="Q43" s="139">
        <f>J43*[1]BYPBack!$E$14/L43</f>
        <v>1.5286238565098448E-2</v>
      </c>
      <c r="R43" s="163">
        <f t="shared" si="15"/>
        <v>4.7480640632355603E-2</v>
      </c>
      <c r="S43" s="9"/>
      <c r="T43"/>
      <c r="U43"/>
    </row>
    <row r="44" spans="1:21" s="2" customFormat="1" x14ac:dyDescent="0.2">
      <c r="A44" s="58">
        <f>A43+1</f>
        <v>33</v>
      </c>
      <c r="B44" s="271" t="s">
        <v>205</v>
      </c>
      <c r="C44" s="118">
        <f>'10.In-Office Detail'!C39</f>
        <v>0</v>
      </c>
      <c r="D44" s="268"/>
      <c r="E44" s="117">
        <f>'10.In-Office Detail'!E39</f>
        <v>4753.2626393737</v>
      </c>
      <c r="F44" s="117">
        <f>'10.In-Office Detail'!G39</f>
        <v>118.33091233569306</v>
      </c>
      <c r="G44" s="117">
        <f t="shared" si="14"/>
        <v>849.22017199770721</v>
      </c>
      <c r="H44" s="117">
        <f t="shared" si="13"/>
        <v>650.62004604401363</v>
      </c>
      <c r="I44" s="117">
        <f t="shared" si="13"/>
        <v>21.608362422017262</v>
      </c>
      <c r="J44" s="117">
        <f>'7.RuralDisagg'!O33</f>
        <v>1929.5696136967676</v>
      </c>
      <c r="K44" s="117">
        <f>SUM(E44:I44)*[1]BYPBack!$D$14+J44*[1]BYPBack!$E$14</f>
        <v>10432.667295112653</v>
      </c>
      <c r="L44" s="119">
        <f>'[1]DPS%'!$E41</f>
        <v>44778.48960279781</v>
      </c>
      <c r="M44" s="118">
        <f>'3.SummaryBY'!L44/'3.SummaryBY'!L$47</f>
        <v>1.9133658786054306E-2</v>
      </c>
      <c r="N44" s="139">
        <f>SUM($E44:$G44,I44)*[1]BYPBack!$D$14/L44</f>
        <v>0.1625276056258789</v>
      </c>
      <c r="O44" s="139">
        <f>SUM($H44:$H44)*[1]BYPBack!$D$14/L44</f>
        <v>1.841448027848E-2</v>
      </c>
      <c r="P44" s="139">
        <f>SUM($E44:$I44)*[1]BYPBack!$D$14/L44</f>
        <v>0.18094208590435892</v>
      </c>
      <c r="Q44" s="139">
        <f>J44*[1]BYPBack!$E$14/L44</f>
        <v>5.2041817475464047E-2</v>
      </c>
      <c r="R44" s="163">
        <f t="shared" si="15"/>
        <v>0.23298390337982297</v>
      </c>
      <c r="S44" s="9"/>
      <c r="T44"/>
      <c r="U44"/>
    </row>
    <row r="45" spans="1:21" s="2" customFormat="1" x14ac:dyDescent="0.2">
      <c r="A45" s="58">
        <f t="shared" si="12"/>
        <v>34</v>
      </c>
      <c r="B45" s="271" t="s">
        <v>206</v>
      </c>
      <c r="C45" s="118">
        <f>'10.In-Office Detail'!C40</f>
        <v>0.97585900911016799</v>
      </c>
      <c r="D45" s="268"/>
      <c r="E45" s="117">
        <f>'10.In-Office Detail'!E40</f>
        <v>3148.2905396179058</v>
      </c>
      <c r="F45" s="117">
        <f>'10.In-Office Detail'!G40</f>
        <v>3246.5800337925957</v>
      </c>
      <c r="G45" s="117">
        <f t="shared" si="14"/>
        <v>1114.7590681798938</v>
      </c>
      <c r="H45" s="117">
        <f t="shared" si="13"/>
        <v>17850.703669716979</v>
      </c>
      <c r="I45" s="117">
        <f t="shared" si="13"/>
        <v>592.85673217204283</v>
      </c>
      <c r="J45" s="117">
        <f>'7.RuralDisagg'!O34</f>
        <v>14187.422421157042</v>
      </c>
      <c r="K45" s="117">
        <f>SUM(E45:I45)*[1]BYPBack!$D$14+J45*[1]BYPBack!$E$14</f>
        <v>50026.390191320832</v>
      </c>
      <c r="L45" s="119">
        <f>'[1]DPS%'!$E42</f>
        <v>1228562.7433972007</v>
      </c>
      <c r="M45" s="118">
        <f>'3.SummaryBY'!L45/'3.SummaryBY'!L$47</f>
        <v>0.52495965223338159</v>
      </c>
      <c r="N45" s="139">
        <f>SUM($E45:$G45,I45)*[1]BYPBack!$D$14/L45</f>
        <v>8.358386218097303E-3</v>
      </c>
      <c r="O45" s="139">
        <f>SUM($H45:$H45)*[1]BYPBack!$D$14/L45</f>
        <v>1.841448027848E-2</v>
      </c>
      <c r="P45" s="139">
        <f>SUM($E45:$I45)*[1]BYPBack!$D$14/L45</f>
        <v>2.677286649657731E-2</v>
      </c>
      <c r="Q45" s="139">
        <f>J45*[1]BYPBack!$E$14/L45</f>
        <v>1.3946576169402218E-2</v>
      </c>
      <c r="R45" s="163">
        <f t="shared" si="15"/>
        <v>4.071944266597953E-2</v>
      </c>
      <c r="S45" s="9"/>
      <c r="T45"/>
      <c r="U45"/>
    </row>
    <row r="46" spans="1:21" s="2" customFormat="1" x14ac:dyDescent="0.2">
      <c r="A46" s="58">
        <f t="shared" si="12"/>
        <v>35</v>
      </c>
      <c r="B46" s="271" t="s">
        <v>212</v>
      </c>
      <c r="C46" s="118">
        <f>'10.In-Office Detail'!C41</f>
        <v>0.91648957826547328</v>
      </c>
      <c r="D46" s="268"/>
      <c r="E46" s="117">
        <f>'10.In-Office Detail'!E41</f>
        <v>20746.004309347478</v>
      </c>
      <c r="F46" s="117">
        <f>'10.In-Office Detail'!G41</f>
        <v>6184.4372609978454</v>
      </c>
      <c r="G46" s="117">
        <f t="shared" si="14"/>
        <v>4694.5365986696597</v>
      </c>
      <c r="H46" s="117">
        <f t="shared" si="13"/>
        <v>34003.953625337061</v>
      </c>
      <c r="I46" s="117">
        <f t="shared" si="13"/>
        <v>1129.3377112884787</v>
      </c>
      <c r="J46" s="117">
        <f>'7.RuralDisagg'!O35</f>
        <v>31516.877897468443</v>
      </c>
      <c r="K46" s="117">
        <f>SUM(E46:I46)*[1]BYPBack!$D$14+J46*[1]BYPBack!$E$14</f>
        <v>122670.1887922225</v>
      </c>
      <c r="L46" s="119">
        <f>'[1]DPS%'!$E43</f>
        <v>2340299.3699999973</v>
      </c>
      <c r="M46" s="118">
        <f>'3.SummaryBY'!L46/'3.SummaryBY'!L$47</f>
        <v>1</v>
      </c>
      <c r="N46" s="139">
        <f>SUM($E46:$G46,I46)*[1]BYPBack!$D$14/L46</f>
        <v>1.7737752217245994E-2</v>
      </c>
      <c r="O46" s="139">
        <f>SUM($H46:$H46)*[1]BYPBack!$D$14/L46</f>
        <v>1.841448027848E-2</v>
      </c>
      <c r="P46" s="139">
        <f>SUM($E46:$I46)*[1]BYPBack!$D$14/L46</f>
        <v>3.6152232495725994E-2</v>
      </c>
      <c r="Q46" s="139">
        <f>J46*[1]BYPBack!$E$14/L46</f>
        <v>1.6264219162004715E-2</v>
      </c>
      <c r="R46" s="163">
        <f t="shared" si="15"/>
        <v>5.2416451657730713E-2</v>
      </c>
      <c r="S46" s="9"/>
      <c r="T46"/>
      <c r="U46"/>
    </row>
    <row r="47" spans="1:21" s="2" customFormat="1" x14ac:dyDescent="0.2">
      <c r="A47" s="58">
        <f t="shared" si="12"/>
        <v>36</v>
      </c>
      <c r="B47" s="130" t="s">
        <v>13</v>
      </c>
      <c r="C47" s="123">
        <f>'10.In-Office Detail'!C42</f>
        <v>0.91648957826547328</v>
      </c>
      <c r="D47" s="145">
        <f>(E47+F47)/L47</f>
        <v>1.1507263521737114E-2</v>
      </c>
      <c r="E47" s="122">
        <f>E43+E42+E41+E40+E39</f>
        <v>20746.004309347474</v>
      </c>
      <c r="F47" s="122">
        <f>F43+F42+F41+F40+F39</f>
        <v>6184.4372609978454</v>
      </c>
      <c r="G47" s="122">
        <f>'[1]CS6&amp;7 CRA'!$D$14+'[1]7.0.6'!$I$13</f>
        <v>4694.5365986696588</v>
      </c>
      <c r="H47" s="122">
        <f>'[1]7.0.6'!$L$13</f>
        <v>34003.953625337061</v>
      </c>
      <c r="I47" s="122">
        <f>'[1]7.0.6'!$J$13</f>
        <v>1129.3377112884787</v>
      </c>
      <c r="J47" s="122">
        <f>[1]RuralCosts!$P$14</f>
        <v>31516.877897468436</v>
      </c>
      <c r="K47" s="122">
        <f>K43+K42+K41+K40+K39</f>
        <v>122670.18879222249</v>
      </c>
      <c r="L47" s="122">
        <f>L46</f>
        <v>2340299.3699999973</v>
      </c>
      <c r="M47" s="123">
        <f>M39+M40+M41+M42+M43</f>
        <v>0.99999999999999989</v>
      </c>
      <c r="N47" s="139">
        <f>SUM($E47:$G47,I47)*[1]BYPBack!$D$14/L47</f>
        <v>1.7737752217245994E-2</v>
      </c>
      <c r="O47" s="139">
        <f>SUM($H47:$H47)*[1]BYPBack!$D$14/L47</f>
        <v>1.841448027848E-2</v>
      </c>
      <c r="P47" s="139">
        <f>SUM($E47:$I47)*[1]BYPBack!$D$14/L47</f>
        <v>3.6152232495725994E-2</v>
      </c>
      <c r="Q47" s="139">
        <f>J47*[1]BYPBack!$E$14/L47</f>
        <v>1.6264219162004712E-2</v>
      </c>
      <c r="R47" s="163">
        <f t="shared" si="15"/>
        <v>5.2416451657730706E-2</v>
      </c>
      <c r="S47" s="9"/>
      <c r="T47"/>
      <c r="U47"/>
    </row>
    <row r="48" spans="1:21" s="2" customFormat="1" ht="79.5" customHeight="1" x14ac:dyDescent="0.2">
      <c r="A48" s="61"/>
      <c r="B48" s="238" t="s">
        <v>170</v>
      </c>
      <c r="C48" s="126"/>
      <c r="D48" s="151"/>
      <c r="E48" s="95" t="str">
        <f>"L"&amp;$A50&amp;"..L"&amp;$A52&amp;" from " &amp;NOTES!A13&amp;" C"&amp;-'9.ByShape'!E$6</f>
        <v>L38..L40 from 9.ByShape C2</v>
      </c>
      <c r="F48" s="95" t="str">
        <f>"L"&amp;$A50&amp;"..L"&amp;$A52&amp;" from " &amp;NOTES!A13&amp;" C"&amp;-'9.ByShape'!G$6</f>
        <v>L38..L40 from 9.ByShape C4</v>
      </c>
      <c r="G48" s="95" t="str">
        <f>"L"&amp;$A50&amp;"..L"&amp;$A52&amp;" from " &amp;NOTES!A12&amp;"; 
L"&amp;A53&amp;" from [UDCInputs.xls] 7.0.6, CS6&amp;7 CRA"</f>
        <v>L38..L40 from 8.CityCosts; 
L41 from [UDCInputs.xls] 7.0.6, CS6&amp;7 CRA</v>
      </c>
      <c r="H48" s="95" t="str">
        <f>"L"&amp;$A50&amp;"..L"&amp;$A52&amp;" from " &amp;NOTES!A12&amp; " C"&amp;-'8.CityCosts'!$C$80&amp;"..C"&amp;-'8.CityCosts'!$E$80&amp;" L"&amp;'8.CityCosts'!$A$94&amp; " + C"&amp;-'8.CityCosts'!$H$80&amp;"..C"&amp;-'8.CityCosts'!$J$80&amp;" L"&amp;'8.CityCosts'!$A$94&amp;"; 
L"&amp;A53&amp;" from [UDCInputs.xls] 7.0.6"</f>
        <v>L38..L40 from 8.CityCosts C29..C31 L69 + C33..C35 L69; 
L41 from [UDCInputs.xls] 7.0.6</v>
      </c>
      <c r="I48" s="95" t="str">
        <f>"L"&amp;$A50&amp;"..L"&amp;$A52&amp;" from " &amp;NOTES!A12&amp; " C"&amp;-'8.CityCosts'!$C$189&amp;"..C"&amp;-'8.CityCosts'!$E$189&amp;" L"&amp;'8.CityCosts'!$A$202&amp;"; 
L"&amp;A53&amp;" from [UDCInputs.xls] 7.0.6"</f>
        <v>L38..L40 from 8.CityCosts C73..C75 L153; 
L41 from [UDCInputs.xls] 7.0.6</v>
      </c>
      <c r="J48" s="95" t="str">
        <f>"L"&amp;$A50&amp;"..L"&amp;$A52&amp;" from "&amp;NOTES!A9&amp;" L"&amp;'5.RuralCrosswalk'!A$112&amp;"; 
L"&amp;A53&amp;" from [UDCInputs.xls] RuralCosts"</f>
        <v>L38..L40 from 5.RuralCrosswalk L89; 
L41 from [UDCInputs.xls] RuralCosts</v>
      </c>
      <c r="K48" s="384"/>
      <c r="L48" s="101" t="str">
        <f>"L"&amp;A50&amp;"..L"&amp;A52&amp;" = from [UDCInputs.xls] "&amp; [1]NOTES!$A$26</f>
        <v>L38..L40 = from [UDCInputs.xls] CARMM</v>
      </c>
      <c r="M48" s="126"/>
      <c r="N48" s="151"/>
      <c r="O48" s="151"/>
      <c r="P48" s="151"/>
      <c r="Q48" s="151"/>
      <c r="R48" s="152"/>
      <c r="S48" s="9"/>
      <c r="T48"/>
      <c r="U48"/>
    </row>
    <row r="49" spans="1:21" s="2" customFormat="1" x14ac:dyDescent="0.2">
      <c r="A49" s="58">
        <f>A47+1</f>
        <v>37</v>
      </c>
      <c r="B49" s="137" t="s">
        <v>49</v>
      </c>
      <c r="C49" s="118"/>
      <c r="D49" s="139"/>
      <c r="E49" s="117"/>
      <c r="F49" s="117"/>
      <c r="G49" s="117"/>
      <c r="H49" s="117"/>
      <c r="I49" s="117"/>
      <c r="J49" s="117"/>
      <c r="K49" s="117"/>
      <c r="L49" s="117"/>
      <c r="M49" s="118"/>
      <c r="N49" s="139"/>
      <c r="O49" s="139"/>
      <c r="P49" s="139"/>
      <c r="Q49" s="139"/>
      <c r="R49" s="140"/>
      <c r="S49" s="9"/>
      <c r="T49"/>
      <c r="U49"/>
    </row>
    <row r="50" spans="1:21" s="2" customFormat="1" x14ac:dyDescent="0.2">
      <c r="A50" s="91">
        <f>A49+1</f>
        <v>38</v>
      </c>
      <c r="B50" s="116" t="s">
        <v>70</v>
      </c>
      <c r="C50" s="118"/>
      <c r="D50" s="139">
        <f>(E50+F50)/L50</f>
        <v>1.9432769420416073E-2</v>
      </c>
      <c r="E50" s="117">
        <f>'9.ByShape'!E15/1000</f>
        <v>202.53683209212556</v>
      </c>
      <c r="F50" s="117">
        <f>'9.ByShape'!G15/1000</f>
        <v>23.789749461361236</v>
      </c>
      <c r="G50" s="117">
        <f>'8.CityCosts'!C220</f>
        <v>39.461568414288074</v>
      </c>
      <c r="H50" s="117">
        <f>'8.CityCosts'!C94+'8.CityCosts'!H94</f>
        <v>204.38916784366029</v>
      </c>
      <c r="I50" s="117">
        <f>'8.CityCosts'!C202</f>
        <v>6.7762739367424238</v>
      </c>
      <c r="J50" s="117">
        <f>'5.RuralCrosswalk'!K112</f>
        <v>749.81938850145502</v>
      </c>
      <c r="K50" s="117">
        <f>SUM(E50:I50)*[1]BYPBack!$D$24+J50*[1]BYPBack!$E$24</f>
        <v>1487.8379906200407</v>
      </c>
      <c r="L50" s="117">
        <f>[1]RPWShape!$C$28</f>
        <v>11646.645758875111</v>
      </c>
      <c r="M50" s="118">
        <f>L50/L$53</f>
        <v>4.7679355861872056E-3</v>
      </c>
      <c r="N50" s="139">
        <f>SUM($E50:$G50,I50)*[1]BYPBack!$D$24/L50</f>
        <v>2.857072008255571E-2</v>
      </c>
      <c r="O50" s="139">
        <f>SUM($H50:$H50)*[1]BYPBack!$D$24/L50</f>
        <v>2.1424460385238611E-2</v>
      </c>
      <c r="P50" s="139">
        <f>SUM($E50:$I50)*[1]BYPBack!$D$24/L50</f>
        <v>4.9995180467794317E-2</v>
      </c>
      <c r="Q50" s="139">
        <f>R50-P50</f>
        <v>7.7753016002100148E-2</v>
      </c>
      <c r="R50" s="163">
        <f>K50/L50</f>
        <v>0.12774819646989446</v>
      </c>
      <c r="S50" s="9"/>
      <c r="T50"/>
      <c r="U50"/>
    </row>
    <row r="51" spans="1:21" s="2" customFormat="1" x14ac:dyDescent="0.2">
      <c r="A51" s="91">
        <f>A50+1</f>
        <v>39</v>
      </c>
      <c r="B51" s="116" t="s">
        <v>71</v>
      </c>
      <c r="C51" s="118"/>
      <c r="D51" s="139">
        <f>(E51+F51)/L51</f>
        <v>8.0418411185046848E-2</v>
      </c>
      <c r="E51" s="117">
        <f>'9.ByShape'!E16/1000</f>
        <v>168090.97475915906</v>
      </c>
      <c r="F51" s="117">
        <f>'9.ByShape'!G16/1000</f>
        <v>27298.61077474758</v>
      </c>
      <c r="G51" s="117">
        <f>'8.CityCosts'!D220</f>
        <v>34067.49416733221</v>
      </c>
      <c r="H51" s="117">
        <f>'8.CityCosts'!D94+'8.CityCosts'!I94</f>
        <v>22907.254104205775</v>
      </c>
      <c r="I51" s="117">
        <f>'8.CityCosts'!D202</f>
        <v>758.55665932325917</v>
      </c>
      <c r="J51" s="117">
        <f>'5.RuralCrosswalk'!L112</f>
        <v>163348.51603140804</v>
      </c>
      <c r="K51" s="117">
        <f>SUM(E51:I51)*[1]BYPBack!$D$24+J51*[1]BYPBack!$E$24</f>
        <v>506295.4578793571</v>
      </c>
      <c r="L51" s="117">
        <f>[1]RPWShape!$D$28</f>
        <v>2429662.3454087558</v>
      </c>
      <c r="M51" s="118">
        <f>L51/L$53</f>
        <v>0.99466179352675366</v>
      </c>
      <c r="N51" s="139">
        <f>SUM($E51:$G51,I51)*[1]BYPBack!$D$24/L51</f>
        <v>0.115675604505923</v>
      </c>
      <c r="O51" s="139">
        <f>SUM($H51:$H51)*[1]BYPBack!$D$24/L51</f>
        <v>1.1510123760336916E-2</v>
      </c>
      <c r="P51" s="139">
        <f>SUM($E51:$I51)*[1]BYPBack!$D$24/L51</f>
        <v>0.12718572826625993</v>
      </c>
      <c r="Q51" s="139">
        <f>R51-P51</f>
        <v>8.1195267074959027E-2</v>
      </c>
      <c r="R51" s="163">
        <f>K51/L51</f>
        <v>0.20838099534121896</v>
      </c>
      <c r="S51" s="9"/>
      <c r="T51"/>
      <c r="U51"/>
    </row>
    <row r="52" spans="1:21" s="314" customFormat="1" x14ac:dyDescent="0.2">
      <c r="A52" s="91">
        <f>A51+1</f>
        <v>40</v>
      </c>
      <c r="B52" s="313" t="s">
        <v>73</v>
      </c>
      <c r="C52" s="312"/>
      <c r="D52" s="312">
        <f>(E52+F52)/L52</f>
        <v>4.7901170164342532E-2</v>
      </c>
      <c r="E52" s="312">
        <f>'9.ByShape'!E17/1000</f>
        <v>0</v>
      </c>
      <c r="F52" s="312">
        <f>'9.ByShape'!G17/1000</f>
        <v>66.726417811562996</v>
      </c>
      <c r="G52" s="117">
        <f>'8.CityCosts'!E220</f>
        <v>11.634201707275322</v>
      </c>
      <c r="H52" s="117">
        <f>'8.CityCosts'!E94+'8.CityCosts'!J94</f>
        <v>223.99515147547905</v>
      </c>
      <c r="I52" s="117">
        <f>'8.CityCosts'!E202</f>
        <v>7.4378988268958839</v>
      </c>
      <c r="J52" s="117">
        <f>'5.RuralCrosswalk'!M112</f>
        <v>238.26665040789882</v>
      </c>
      <c r="K52" s="117">
        <f>SUM(E52:I52)*[1]BYPBack!$D$24+J52*[1]BYPBack!$E$24</f>
        <v>665.959603799619</v>
      </c>
      <c r="L52" s="117">
        <f>[1]RPWShape!$E$28</f>
        <v>1393.0018323693043</v>
      </c>
      <c r="M52" s="312">
        <f>L52/L$53</f>
        <v>5.7027088705916657E-4</v>
      </c>
      <c r="N52" s="163">
        <f>SUM($E52:$G52,I52)*[1]BYPBack!$D$24/L52</f>
        <v>7.5193618291957032E-2</v>
      </c>
      <c r="O52" s="163">
        <f>SUM($H52:$H52)*[1]BYPBack!$D$24/L52</f>
        <v>0.19630882029250896</v>
      </c>
      <c r="P52" s="163">
        <f>SUM($E52:$I52)*[1]BYPBack!$D$24/L52</f>
        <v>0.27150243858446599</v>
      </c>
      <c r="Q52" s="163">
        <f>R52-P52</f>
        <v>0.20657274288669791</v>
      </c>
      <c r="R52" s="163">
        <f>K52/L52</f>
        <v>0.4780751814711639</v>
      </c>
      <c r="T52"/>
      <c r="U52"/>
    </row>
    <row r="53" spans="1:21" s="2" customFormat="1" x14ac:dyDescent="0.2">
      <c r="A53" s="91">
        <f>A52+1</f>
        <v>41</v>
      </c>
      <c r="B53" s="137" t="s">
        <v>167</v>
      </c>
      <c r="C53" s="118"/>
      <c r="D53" s="139"/>
      <c r="E53" s="117">
        <f>SUM(E50:E52)</f>
        <v>168293.51159125118</v>
      </c>
      <c r="F53" s="117">
        <f>SUM(F50:F52)</f>
        <v>27389.126942020503</v>
      </c>
      <c r="G53" s="122">
        <f>'[1]7.0.6'!$I$24+'[1]CS6&amp;7 CRA'!$D$25</f>
        <v>34118.589937453769</v>
      </c>
      <c r="H53" s="122">
        <f>'[1]7.0.6'!$L$24</f>
        <v>23335.638423524913</v>
      </c>
      <c r="I53" s="122">
        <f>'[1]7.0.6'!$J$24</f>
        <v>772.77083208689737</v>
      </c>
      <c r="J53" s="122">
        <f>[1]RuralCosts!$P$25</f>
        <v>165184.75066965577</v>
      </c>
      <c r="K53" s="117">
        <f>SUM(K50:K52)</f>
        <v>508449.25547377678</v>
      </c>
      <c r="L53" s="122">
        <f>SUM(L50:L52)</f>
        <v>2442701.9930000002</v>
      </c>
      <c r="M53" s="118"/>
      <c r="N53" s="139">
        <f>SUMPRODUCT(N50:N52,$L50:$L52)/SUM($L50:$L52)</f>
        <v>0.11523720832956195</v>
      </c>
      <c r="O53" s="139">
        <f>SUMPRODUCT(O50:O52,$L50:$L52)/SUM($L50:$L52)</f>
        <v>1.1662779995343002E-2</v>
      </c>
      <c r="P53" s="139">
        <f>SUMPRODUCT(P50:P52,$L50:$L52)/SUM($L50:$L52)</f>
        <v>0.12689998832490496</v>
      </c>
      <c r="Q53" s="139">
        <f>SUMPRODUCT(Q50:Q52,$L50:$L52)/SUM($L50:$L52)</f>
        <v>8.1250353767920558E-2</v>
      </c>
      <c r="R53" s="163">
        <f>K53/L53</f>
        <v>0.20815034209282554</v>
      </c>
      <c r="S53" s="9"/>
      <c r="T53"/>
      <c r="U53"/>
    </row>
    <row r="54" spans="1:21" s="2" customFormat="1" ht="45" x14ac:dyDescent="0.2">
      <c r="A54" s="61"/>
      <c r="B54" s="237" t="s">
        <v>171</v>
      </c>
      <c r="C54" s="126"/>
      <c r="D54" s="151"/>
      <c r="E54" s="101" t="str">
        <f>"L"&amp;$A56&amp;" ,L"&amp;$A57&amp;" from [UDCInputs.xls] CARMMCasing"</f>
        <v>L43 ,L44 from [UDCInputs.xls] CARMMCasing</v>
      </c>
      <c r="F54" s="101" t="str">
        <f>"L"&amp;$A56&amp;" ,L"&amp;$A57&amp;" from [UDCInputs.xls] CARMMCasing"</f>
        <v>L43 ,L44 from [UDCInputs.xls] CARMMCasing</v>
      </c>
      <c r="G54" s="101" t="str">
        <f>"L"&amp;$A56&amp;"..L"&amp;$A57&amp;" from [UDCInputs.xls] 7.0.6 and CS6&amp;7 CRA"</f>
        <v>L43..L44 from [UDCInputs.xls] 7.0.6 and CS6&amp;7 CRA</v>
      </c>
      <c r="H54" s="101" t="str">
        <f>"L"&amp;$A56&amp;"..L"&amp;$A57&amp;" from [UDCInputs.xls] 7.0.6"</f>
        <v>L43..L44 from [UDCInputs.xls] 7.0.6</v>
      </c>
      <c r="I54" s="101" t="str">
        <f>"L"&amp;$A56&amp;"..L"&amp;$A57&amp;" from [UDCInputs.xls] 7.0.6"</f>
        <v>L43..L44 from [UDCInputs.xls] 7.0.6</v>
      </c>
      <c r="J54" s="101" t="str">
        <f>"L"&amp;$A56&amp;"..L"&amp;$A57&amp;" from [UDCInputs.xls] Rural Costs"</f>
        <v>L43..L44 from [UDCInputs.xls] Rural Costs</v>
      </c>
      <c r="K54" s="125"/>
      <c r="L54" s="101" t="str">
        <f>"L"&amp;A56&amp;"..L"&amp;A58&amp;" = from [UDCInputs.xls] "&amp; [1]NOTES!$A$26</f>
        <v>L43..L45 = from [UDCInputs.xls] CARMM</v>
      </c>
      <c r="M54" s="126"/>
      <c r="N54" s="151"/>
      <c r="O54" s="151"/>
      <c r="P54" s="151"/>
      <c r="Q54" s="151"/>
      <c r="R54" s="236"/>
      <c r="S54" s="9"/>
      <c r="T54"/>
      <c r="U54"/>
    </row>
    <row r="55" spans="1:21" s="2" customFormat="1" x14ac:dyDescent="0.2">
      <c r="A55" s="60">
        <f>A53+1</f>
        <v>42</v>
      </c>
      <c r="B55" s="133" t="s">
        <v>169</v>
      </c>
      <c r="C55" s="115"/>
      <c r="D55" s="129"/>
      <c r="E55" s="113"/>
      <c r="F55" s="113"/>
      <c r="G55" s="128"/>
      <c r="H55" s="128"/>
      <c r="I55" s="128"/>
      <c r="J55" s="128"/>
      <c r="K55" s="113"/>
      <c r="L55" s="113"/>
      <c r="M55" s="113"/>
      <c r="N55" s="129"/>
      <c r="O55" s="129"/>
      <c r="P55" s="129"/>
      <c r="Q55" s="129"/>
      <c r="R55" s="148"/>
      <c r="S55" s="9"/>
      <c r="T55"/>
      <c r="U55"/>
    </row>
    <row r="56" spans="1:21" s="2" customFormat="1" x14ac:dyDescent="0.2">
      <c r="A56" s="91">
        <f>A55+1</f>
        <v>43</v>
      </c>
      <c r="B56" s="116" t="s">
        <v>71</v>
      </c>
      <c r="C56" s="143"/>
      <c r="D56" s="139"/>
      <c r="E56" s="117">
        <f>[1]CARMMCasing!$D$40</f>
        <v>7135.0610954011645</v>
      </c>
      <c r="F56" s="117">
        <f>[1]CARMMCasing!$E$40</f>
        <v>919.77910457484631</v>
      </c>
      <c r="G56" s="119">
        <f>'[1]7.0.6'!$I$26+'[1]CS6&amp;7 CRA'!$D$27</f>
        <v>1404.3902239264735</v>
      </c>
      <c r="H56" s="119">
        <f>'[1]7.0.6'!$L$26</f>
        <v>1466.7020992746795</v>
      </c>
      <c r="I56" s="119">
        <f>'[1]7.0.6'!$J$26</f>
        <v>48.704086149979119</v>
      </c>
      <c r="J56" s="119">
        <f>[1]RuralCosts!$P$27+[1]RuralCosts!$P$49</f>
        <v>6221.2777511099348</v>
      </c>
      <c r="K56" s="117">
        <f>SUM(E56:I56)*[1]BYPBack!$D$26+J56*[1]BYPBack!$E$26</f>
        <v>20962.640477475514</v>
      </c>
      <c r="L56" s="117">
        <f>[1]RPWShape!$D$30</f>
        <v>104285.946</v>
      </c>
      <c r="M56" s="180">
        <f>L56/L$58</f>
        <v>0.31585389666857711</v>
      </c>
      <c r="N56" s="139">
        <f>SUM($E56:$G56,I56)*[1]BYPBack!$D$26/L56</f>
        <v>0.11172888865203136</v>
      </c>
      <c r="O56" s="139">
        <f>SUM($H56:$H56)*[1]BYPBack!$D$26/L56</f>
        <v>1.7235393803175982E-2</v>
      </c>
      <c r="P56" s="139">
        <f>SUM($E56:$I56)*[1]BYPBack!$D$26/L56</f>
        <v>0.12896428245520736</v>
      </c>
      <c r="Q56" s="139">
        <f>J56*[1]BYPBack!$E$26/L56</f>
        <v>7.2046891931373147E-2</v>
      </c>
      <c r="R56" s="163">
        <f>K56/L56</f>
        <v>0.20101117438658048</v>
      </c>
      <c r="S56" s="9"/>
      <c r="T56"/>
      <c r="U56"/>
    </row>
    <row r="57" spans="1:21" s="2" customFormat="1" x14ac:dyDescent="0.2">
      <c r="A57" s="91">
        <f>A56+1</f>
        <v>44</v>
      </c>
      <c r="B57" s="116" t="s">
        <v>73</v>
      </c>
      <c r="C57" s="143"/>
      <c r="D57" s="139"/>
      <c r="E57" s="117">
        <f>[1]CARMMCasing!$D$41</f>
        <v>14198.229008894234</v>
      </c>
      <c r="F57" s="117">
        <f>[1]CARMMCasing!$E$41</f>
        <v>10221.55421239637</v>
      </c>
      <c r="G57" s="119">
        <f>'[1]7.0.6'!$I$27+'[1]CS6&amp;7 CRA'!$D$28</f>
        <v>4258.4863783621595</v>
      </c>
      <c r="H57" s="119">
        <f>'[1]7.0.6'!$L$27+'[1]7.0.6'!$F$27</f>
        <v>53953.59079335368</v>
      </c>
      <c r="I57" s="119">
        <f>'[1]7.0.6'!$J$27</f>
        <v>1555.5790957513279</v>
      </c>
      <c r="J57" s="119">
        <f>[1]RuralCosts!$P$28+[1]RuralCosts!$P$50</f>
        <v>72646.686622330308</v>
      </c>
      <c r="K57" s="117">
        <f>SUM(E57:I57)*[1]BYPBack!$D$27+J57*[1]BYPBack!$E$27</f>
        <v>195894.57723937204</v>
      </c>
      <c r="L57" s="117">
        <f>[1]RPWShape!$E$31</f>
        <v>225885.52600000001</v>
      </c>
      <c r="M57" s="180">
        <f>L57/L$58</f>
        <v>0.68414610333142289</v>
      </c>
      <c r="N57" s="139">
        <f>SUM($E57:$G57,I57)*[1]BYPBack!$D$27/L57</f>
        <v>0.1719567241048304</v>
      </c>
      <c r="O57" s="139">
        <f>SUM($H57:$H57)*[1]BYPBack!$D$27/L57</f>
        <v>0.30686409857994545</v>
      </c>
      <c r="P57" s="139">
        <f>SUM($E57:$I57)*[1]BYPBack!$D$27/L57</f>
        <v>0.47882082268477577</v>
      </c>
      <c r="Q57" s="139">
        <f>J57*[1]BYPBack!$E$27/L57</f>
        <v>0.38840861298686624</v>
      </c>
      <c r="R57" s="163">
        <f>K57/L57</f>
        <v>0.86722943567164201</v>
      </c>
      <c r="S57" s="9"/>
      <c r="T57"/>
      <c r="U57"/>
    </row>
    <row r="58" spans="1:21" s="2" customFormat="1" x14ac:dyDescent="0.2">
      <c r="A58" s="96">
        <f>A57+1</f>
        <v>45</v>
      </c>
      <c r="B58" s="130" t="s">
        <v>168</v>
      </c>
      <c r="C58" s="131"/>
      <c r="D58" s="145"/>
      <c r="E58" s="122">
        <f t="shared" ref="E58:L58" si="16">E56+E57</f>
        <v>21333.290104295396</v>
      </c>
      <c r="F58" s="122">
        <f t="shared" si="16"/>
        <v>11141.333316971217</v>
      </c>
      <c r="G58" s="122">
        <f t="shared" si="16"/>
        <v>5662.876602288633</v>
      </c>
      <c r="H58" s="122">
        <f t="shared" si="16"/>
        <v>55420.292892628357</v>
      </c>
      <c r="I58" s="122">
        <f t="shared" si="16"/>
        <v>1604.283181901307</v>
      </c>
      <c r="J58" s="122">
        <f t="shared" si="16"/>
        <v>78867.964373440249</v>
      </c>
      <c r="K58" s="122">
        <f t="shared" si="16"/>
        <v>216857.21771684755</v>
      </c>
      <c r="L58" s="122">
        <f t="shared" si="16"/>
        <v>330171.47200000001</v>
      </c>
      <c r="M58" s="122"/>
      <c r="N58" s="145">
        <f>SUMPRODUCT(N56:N57,$L56:$L57)/SUM($L56:$L57)</f>
        <v>0.15293352758914994</v>
      </c>
      <c r="O58" s="145">
        <f>SUMPRODUCT(O56:O57,$L56:$L57)/SUM($L56:$L57)</f>
        <v>0.2153837435891299</v>
      </c>
      <c r="P58" s="145">
        <f>SUMPRODUCT(P56:P57,$L56:$L57)/SUM($L56:$L57)</f>
        <v>0.36831727117827984</v>
      </c>
      <c r="Q58" s="145">
        <f>SUMPRODUCT(Q56:Q57,$L56:$L57)/SUM($L56:$L57)</f>
        <v>0.2884845306347113</v>
      </c>
      <c r="R58" s="163">
        <f>K58/L58</f>
        <v>0.65680180181299108</v>
      </c>
      <c r="S58" s="9"/>
      <c r="T58"/>
      <c r="U58"/>
    </row>
    <row r="59" spans="1:21" s="2" customFormat="1" ht="83.25" customHeight="1" x14ac:dyDescent="0.2">
      <c r="A59" s="61"/>
      <c r="B59" s="237" t="s">
        <v>371</v>
      </c>
      <c r="C59" s="105"/>
      <c r="D59" s="151"/>
      <c r="E59" s="101" t="str">
        <f>"L"&amp;$A61&amp;" ,L"&amp;$A62&amp;" from [UDCInputs.xls] CARMMCasing"</f>
        <v>L47 ,L48 from [UDCInputs.xls] CARMMCasing</v>
      </c>
      <c r="F59" s="101" t="str">
        <f>"L"&amp;$A61&amp;" ,L"&amp;$A62&amp;" from [UDCInputs.xls] CARMMCasing"</f>
        <v>L47 ,L48 from [UDCInputs.xls] CARMMCasing</v>
      </c>
      <c r="G59" s="101" t="str">
        <f>"L"&amp;$A61&amp;"..L"&amp;$A62&amp;" from " &amp;NOTES!A12&amp;" C"&amp;-'8.CityCosts'!$D207&amp;"..C"&amp;-'8.CityCosts'!$E207&amp;" L"&amp;'8.CityCosts'!$A222&amp;"; 
L"&amp;A63&amp;" from [UDCInputs.xls] 7.0.6, CS6&amp;7CRA"</f>
        <v>L47..L48 from 8.CityCosts C78..C79 L169; 
L49 from [UDCInputs.xls] 7.0.6, CS6&amp;7CRA</v>
      </c>
      <c r="H59" s="101" t="str">
        <f>"L"&amp;$A61&amp;"..L"&amp;$A62&amp;" from " &amp;NOTES!A12&amp; " C"&amp;-'8.CityCosts'!$C80&amp;"..C"&amp;-'8.CityCosts'!$E80&amp;" L"&amp;'8.CityCosts'!$A96&amp; " + C"&amp;-'8.CityCosts'!$H80&amp;"..C"&amp;-'8.CityCosts'!$J80&amp;" L"&amp;'8.CityCosts'!$A96&amp;"; 
L"&amp;A63&amp;" from [UDCInputs.xls] 7.0.6"</f>
        <v>L47..L48 from 8.CityCosts C29..C31 L71 + C33..C35 L71; 
L49 from [UDCInputs.xls] 7.0.6</v>
      </c>
      <c r="I59" s="101" t="str">
        <f>"L"&amp;$A61&amp;"..L"&amp;$A62&amp;" from " &amp;NOTES!A12&amp; " C"&amp;-'8.CityCosts'!$C189&amp;"..C"&amp;-'8.CityCosts'!$E189&amp;" L"&amp;'8.CityCosts'!$A204&amp;"; 
L"&amp;A63&amp;" from [UDCInputs.xls] 7.0.6"</f>
        <v>L47..L48 from 8.CityCosts C73..C75 L155; 
L49 from [UDCInputs.xls] 7.0.6</v>
      </c>
      <c r="J59" s="101" t="str">
        <f>"L"&amp;$A61&amp;"..L"&amp;$A62&amp;" from "&amp;NOTES!A9&amp;" C"&amp;-'5.RuralCrosswalk'!K91&amp;".C"&amp;-'5.RuralCrosswalk'!L91&amp;" L"&amp;'5.RuralCrosswalk'!A116&amp;" + C"&amp;-'5.RuralCrosswalk'!Y34&amp;"..C"&amp;-'5.RuralCrosswalk'!X34&amp;" L"&amp;'5.RuralCrosswalk'!A60&amp;"; 
L"&amp;A63&amp;" from [UDCInputs.xls] RuralCosts"</f>
        <v>L47..L48 from 5.RuralCrosswalk C65.C66 L93 + C51..C50 L47; 
L49 from [UDCInputs.xls] RuralCosts</v>
      </c>
      <c r="K59" s="384"/>
      <c r="L59" s="101" t="str">
        <f>"L"&amp;A61&amp;"..L"&amp;A63&amp;" = from [UDCInputs.xls] "&amp; [1]NOTES!$A$26</f>
        <v>L47..L49 = from [UDCInputs.xls] CARMM</v>
      </c>
      <c r="M59" s="125"/>
      <c r="N59" s="151"/>
      <c r="O59" s="151"/>
      <c r="P59" s="151"/>
      <c r="Q59" s="151"/>
      <c r="R59" s="152"/>
      <c r="S59" s="9"/>
      <c r="T59"/>
      <c r="U59"/>
    </row>
    <row r="60" spans="1:21" s="2" customFormat="1" x14ac:dyDescent="0.2">
      <c r="A60" s="60">
        <f>A58+1</f>
        <v>46</v>
      </c>
      <c r="B60" s="133" t="s">
        <v>365</v>
      </c>
      <c r="C60" s="115"/>
      <c r="D60" s="129"/>
      <c r="E60" s="113"/>
      <c r="F60" s="113"/>
      <c r="G60" s="113"/>
      <c r="H60" s="128"/>
      <c r="I60" s="128"/>
      <c r="J60" s="113"/>
      <c r="K60" s="113"/>
      <c r="L60" s="113"/>
      <c r="M60" s="113"/>
      <c r="N60" s="129"/>
      <c r="O60" s="129"/>
      <c r="P60" s="129"/>
      <c r="Q60" s="129"/>
      <c r="R60" s="148"/>
      <c r="S60" s="9"/>
      <c r="T60"/>
      <c r="U60"/>
    </row>
    <row r="61" spans="1:21" s="2" customFormat="1" x14ac:dyDescent="0.2">
      <c r="A61" s="91">
        <f>A60+1</f>
        <v>47</v>
      </c>
      <c r="B61" s="116" t="s">
        <v>71</v>
      </c>
      <c r="C61" s="143"/>
      <c r="D61" s="139">
        <f>(E61+F61)/L61</f>
        <v>0.11907440130077226</v>
      </c>
      <c r="E61" s="117">
        <f>[1]CARMMCasing!D43</f>
        <v>487.01763999265671</v>
      </c>
      <c r="F61" s="117">
        <f>[1]CARMMCasing!E43</f>
        <v>218.9633915492679</v>
      </c>
      <c r="G61" s="117">
        <f>'8.CityCosts'!D222</f>
        <v>123.12160104872741</v>
      </c>
      <c r="H61" s="119">
        <f>'8.CityCosts'!C96+'8.CityCosts'!D96+'8.CityCosts'!H96+'8.CityCosts'!I96</f>
        <v>19.552170973348197</v>
      </c>
      <c r="I61" s="119">
        <f>'8.CityCosts'!C204+'8.CityCosts'!D204</f>
        <v>0.61809247957586622</v>
      </c>
      <c r="J61" s="117">
        <f>'5.RuralCrosswalk'!K116+'5.RuralCrosswalk'!L116+'5.RuralCrosswalk'!Y60+'5.RuralCrosswalk'!X60</f>
        <v>0</v>
      </c>
      <c r="K61" s="117">
        <f>SUM(E61:I61)*[1]BYPBack!$D$28+J61*[1]BYPBack!$E$28</f>
        <v>1096.1715651396564</v>
      </c>
      <c r="L61" s="119">
        <f>[1]RPWShape!$D$32</f>
        <v>5928.9068332888264</v>
      </c>
      <c r="M61" s="180">
        <f>L61/L$63</f>
        <v>8.5806638688383119E-2</v>
      </c>
      <c r="N61" s="139">
        <f>SUM($E61:$G61,I61)*[1]BYPBack!$D$28/L61</f>
        <v>0.18062945867826338</v>
      </c>
      <c r="O61" s="139">
        <f>SUM($H61:$H61)*[1]BYPBack!$D$28/L61</f>
        <v>4.2564901082853077E-3</v>
      </c>
      <c r="P61" s="139">
        <f>SUM($E61:$I61)*[1]BYPBack!$D$28/L61</f>
        <v>0.18488594878654868</v>
      </c>
      <c r="Q61" s="139">
        <f>J61*[1]BYPBack!$E$28/L61</f>
        <v>0</v>
      </c>
      <c r="R61" s="163">
        <f>K61/L61</f>
        <v>0.18488594878654868</v>
      </c>
      <c r="S61" s="9"/>
      <c r="T61"/>
      <c r="U61"/>
    </row>
    <row r="62" spans="1:21" s="2" customFormat="1" x14ac:dyDescent="0.2">
      <c r="A62" s="91">
        <f>A61+1</f>
        <v>48</v>
      </c>
      <c r="B62" s="116" t="s">
        <v>73</v>
      </c>
      <c r="C62" s="143"/>
      <c r="D62" s="139">
        <f>(E62+F62)/L62</f>
        <v>0.1202102124415953</v>
      </c>
      <c r="E62" s="117">
        <f>[1]CARMMCasing!$D44</f>
        <v>3749.2967717901001</v>
      </c>
      <c r="F62" s="117">
        <f>[1]CARMMCasing!E44</f>
        <v>3844.0487848463345</v>
      </c>
      <c r="G62" s="117">
        <f>'8.CityCosts'!E222</f>
        <v>1324.2634298649693</v>
      </c>
      <c r="H62" s="119">
        <f>'8.CityCosts'!E96+'8.CityCosts'!J96</f>
        <v>21402.277037751715</v>
      </c>
      <c r="I62" s="119">
        <f>'8.CityCosts'!E204</f>
        <v>580.94706400411008</v>
      </c>
      <c r="J62" s="117">
        <f>'5.RuralCrosswalk'!M116+'5.RuralCrosswalk'!Z60</f>
        <v>21979.638327345634</v>
      </c>
      <c r="K62" s="117">
        <f>SUM(E62:I62)*[1]BYPBack!$D$28+J62*[1]BYPBack!$E$28</f>
        <v>66429.206992825973</v>
      </c>
      <c r="L62" s="119">
        <f>[1]RPWShape!$E$32</f>
        <v>63167.22516671117</v>
      </c>
      <c r="M62" s="180">
        <f>L62/L$63</f>
        <v>0.91419336131161688</v>
      </c>
      <c r="N62" s="139">
        <f>SUM($E62:$G62,I62)*[1]BYPBack!$D$28/L62</f>
        <v>0.19408727317909574</v>
      </c>
      <c r="O62" s="139">
        <f>SUM($H62:$H62)*[1]BYPBack!$D$28/L62</f>
        <v>0.43732011139311361</v>
      </c>
      <c r="P62" s="139">
        <f>SUM($E62:$I62)*[1]BYPBack!$D$28/L62</f>
        <v>0.63140738457220935</v>
      </c>
      <c r="Q62" s="139">
        <f>J62*[1]BYPBack!$E$28/L62</f>
        <v>0.42023303207591423</v>
      </c>
      <c r="R62" s="163">
        <f>K62/L62</f>
        <v>1.0516404166481237</v>
      </c>
      <c r="S62" s="9"/>
      <c r="T62"/>
      <c r="U62"/>
    </row>
    <row r="63" spans="1:21" s="2" customFormat="1" x14ac:dyDescent="0.2">
      <c r="A63" s="96">
        <f>A62+1</f>
        <v>49</v>
      </c>
      <c r="B63" s="130" t="s">
        <v>367</v>
      </c>
      <c r="C63" s="131"/>
      <c r="D63" s="145"/>
      <c r="E63" s="122">
        <f t="shared" ref="E63:L63" si="17">E61+E62</f>
        <v>4236.3144117827569</v>
      </c>
      <c r="F63" s="122">
        <f t="shared" si="17"/>
        <v>4063.0121763956022</v>
      </c>
      <c r="G63" s="119">
        <f>'[1]CS6&amp;7 CRA'!$D$29+'[1]7.0.6'!$I$28</f>
        <v>1447.3850309136967</v>
      </c>
      <c r="H63" s="119">
        <f>'[1]7.0.6'!$L$28+'[1]7.0.6'!$F$28</f>
        <v>21421.829208725063</v>
      </c>
      <c r="I63" s="119">
        <f>'[1]7.0.6'!$J$28</f>
        <v>581.565156483686</v>
      </c>
      <c r="J63" s="119">
        <f>[1]RuralCosts!$P$29</f>
        <v>22216.98891684039</v>
      </c>
      <c r="K63" s="122">
        <f t="shared" si="17"/>
        <v>67525.378557965625</v>
      </c>
      <c r="L63" s="119">
        <f t="shared" si="17"/>
        <v>69096.131999999998</v>
      </c>
      <c r="M63" s="122"/>
      <c r="N63" s="145">
        <f>SUMPRODUCT(N61:N62,$L61:$L62)/SUM($L61:$L62)</f>
        <v>0.19293250335268752</v>
      </c>
      <c r="O63" s="145">
        <f>SUMPRODUCT(O61:O62,$L61:$L62)/SUM($L61:$L62)</f>
        <v>0.40016037771244356</v>
      </c>
      <c r="P63" s="145">
        <f>SUMPRODUCT(P61:P62,$L61:$L62)/SUM($L61:$L62)</f>
        <v>0.59309288106513114</v>
      </c>
      <c r="Q63" s="145">
        <f>SUMPRODUCT(Q61:Q62,$L61:$L62)/SUM($L61:$L62)</f>
        <v>0.3841742481276525</v>
      </c>
      <c r="R63" s="163">
        <f>K63/L63</f>
        <v>0.97726712919278358</v>
      </c>
      <c r="S63" s="9"/>
      <c r="T63"/>
      <c r="U63"/>
    </row>
    <row r="64" spans="1:21" s="2" customFormat="1" ht="67.5" x14ac:dyDescent="0.2">
      <c r="A64" s="100"/>
      <c r="B64" s="237" t="s">
        <v>342</v>
      </c>
      <c r="C64" s="105"/>
      <c r="D64" s="157"/>
      <c r="E64" s="101" t="str">
        <f>"L"&amp;A66&amp;"..L"&amp;A76&amp;" from "&amp;NOTES!A14&amp;" C"&amp;-'10.In-Office Detail'!E14&amp; "; L"&amp;$A78&amp;"..L"&amp;$A79&amp;" from [UDCInputs.xls] CARMMCasing"</f>
        <v>L51..L61 from 10.In-OfficeDetail C11; L63..L64 from [UDCInputs.xls] CARMMCasing</v>
      </c>
      <c r="F64" s="101" t="str">
        <f>"L"&amp;A66&amp;"..L"&amp;A76&amp;" from "&amp;NOTES!A14&amp;" C"&amp;-'10.In-Office Detail'!G$14&amp; "; L"&amp;$A78&amp;"..L"&amp;$A79&amp;" from [UDCInputs.xls] CARMMCasing"</f>
        <v>L51..L61 from 10.In-OfficeDetail C13; L63..L64 from [UDCInputs.xls] CARMMCasing</v>
      </c>
      <c r="G64" s="101" t="str">
        <f>"L"&amp;A66&amp;"..L"&amp;A76&amp;" = (C"&amp;-$E$6&amp;"..C"&amp;-$F$6&amp;") / (L"&amp;A77&amp;" C"&amp;-E6&amp;"..C"&amp;-F$6&amp;") x C"&amp;-G$6&amp;"L"&amp;A78&amp; "; 
L"&amp;$A77&amp;"..L"&amp;$A79&amp;" from [UDCInputs.xls] 7.0.6, CS6&amp;7 CRA"</f>
        <v>L51..L61 = (C3..C4) / (L62 C3..C4) x C5L63; 
L62..L64 from [UDCInputs.xls] 7.0.6, CS6&amp;7 CRA</v>
      </c>
      <c r="H64" s="101" t="str">
        <f>"L"&amp;A66&amp;"..L"&amp;A76&amp;" = C"&amp;-$L$6&amp;"L{i}/C"&amp;-$L$6&amp;"L"&amp;$A$77&amp;" x C"&amp;-H$6&amp;"L"&amp;$A$77&amp; "; 
L"&amp;$A$77&amp;"..L"&amp;$A$79&amp;" from [UDCInputs.xls] 7.0.6"</f>
        <v>L51..L61 = C10L{i}/C10L62 x C6L62; 
L62..L64 from [UDCInputs.xls] 7.0.6</v>
      </c>
      <c r="I64" s="101" t="str">
        <f>"L"&amp;A66&amp;"..L"&amp;A76&amp;" = C"&amp;-$L$6&amp;"L{i}/C"&amp;-$L$6&amp;"L"&amp;$A$77&amp;" x C"&amp;-I$6&amp;"L"&amp;$A$77&amp; "; L"&amp;$A$77&amp;"..L"&amp;$A$79&amp;" from [UDCInputs.xls] 7.0.6"</f>
        <v>L51..L61 = C10L{i}/C10L62 x C7L62; L62..L64 from [UDCInputs.xls] 7.0.6</v>
      </c>
      <c r="J64" s="101" t="str">
        <f>"L"&amp;A66&amp;"..L"&amp;A76&amp;" = from "&amp;NOTES!A11&amp;" C"&amp;-'7.RuralDisagg'!O$6&amp;"; L"&amp;A77&amp;"..L"&amp;A79&amp;" from [UDCInputs.xls] Rural Costs"</f>
        <v>L51..L61 = from 7.RuralDisagg C12; L62..L64 from [UDCInputs.xls] Rural Costs</v>
      </c>
      <c r="K64" s="427"/>
      <c r="L64" s="101" t="str">
        <f>"L"&amp;A65&amp;"..L"&amp;A76&amp;" from [UDCInputs.xls] " &amp;[1]NOTES!$A$24&amp;" ; 
L"&amp;A78&amp;"..L"&amp;A79&amp;" from [UDCInputs.xls] " &amp;[1]NOTES!$A$26</f>
        <v>L50..L61 from [UDCInputs.xls] DALs ; 
L63..L64 from [UDCInputs.xls] CARMM</v>
      </c>
      <c r="M64" s="105"/>
      <c r="N64" s="105"/>
      <c r="O64" s="105"/>
      <c r="P64" s="105"/>
      <c r="Q64" s="105"/>
      <c r="R64" s="105"/>
      <c r="S64" s="9"/>
      <c r="T64"/>
      <c r="U64"/>
    </row>
    <row r="65" spans="1:21" s="2" customFormat="1" x14ac:dyDescent="0.2">
      <c r="A65" s="62">
        <f>A63+1</f>
        <v>50</v>
      </c>
      <c r="B65" s="133" t="s">
        <v>340</v>
      </c>
      <c r="C65" s="113"/>
      <c r="D65" s="168"/>
      <c r="E65" s="168"/>
      <c r="F65" s="168"/>
      <c r="G65" s="117"/>
      <c r="H65" s="168"/>
      <c r="I65" s="168"/>
      <c r="J65" s="115"/>
      <c r="K65" s="360"/>
      <c r="L65" s="169"/>
      <c r="M65" s="128"/>
      <c r="N65" s="128"/>
      <c r="O65" s="115"/>
      <c r="P65" s="115"/>
      <c r="Q65" s="115"/>
      <c r="R65" s="115"/>
      <c r="S65" s="9"/>
      <c r="T65"/>
      <c r="U65"/>
    </row>
    <row r="66" spans="1:21" s="2" customFormat="1" x14ac:dyDescent="0.2">
      <c r="A66" s="91">
        <f>A65+1</f>
        <v>51</v>
      </c>
      <c r="B66" s="143" t="s">
        <v>186</v>
      </c>
      <c r="C66" s="118">
        <f>'10.In-Office Detail'!C44</f>
        <v>0</v>
      </c>
      <c r="D66" s="156"/>
      <c r="E66" s="117">
        <f>'10.In-Office Detail'!E44</f>
        <v>110.82897657152185</v>
      </c>
      <c r="F66" s="117">
        <f>'10.In-Office Detail'!G44</f>
        <v>1.8795009146347643</v>
      </c>
      <c r="G66" s="117">
        <f t="shared" ref="G66:G75" si="18">SUM(E66:F66)/SUM(E$77:F$77)*G$77</f>
        <v>19.647914260119318</v>
      </c>
      <c r="H66" s="117">
        <f t="shared" ref="H66:H76" si="19">$L66/$L$77*H$77</f>
        <v>11.108205714418366</v>
      </c>
      <c r="I66" s="117">
        <f t="shared" ref="I66:I76" si="20">$L66/$L$77*$I$77</f>
        <v>0.36862473623065956</v>
      </c>
      <c r="J66" s="117">
        <f>'7.RuralDisagg'!O40</f>
        <v>54.779361864691374</v>
      </c>
      <c r="K66" s="117">
        <f>SUM(E66:I66)*[1]BYPBack!$D$21+J66*[1]BYPBack!$E$21</f>
        <v>248.18256664326867</v>
      </c>
      <c r="L66" s="117">
        <f>'[1]DPS%'!$F24</f>
        <v>748.98797977218669</v>
      </c>
      <c r="M66" s="118">
        <f>'3.SummaryBY'!L66/'3.SummaryBY'!L$77</f>
        <v>1.9755981101248698E-5</v>
      </c>
      <c r="N66" s="139">
        <f>SUM($E66:$G66,I66)*[1]BYPBack!$D$21/L66</f>
        <v>0.22425915083478473</v>
      </c>
      <c r="O66" s="139">
        <f>SUM($H66:$H66)*[1]BYPBack!$D$21/L66</f>
        <v>1.8769007130934507E-2</v>
      </c>
      <c r="P66" s="139">
        <f>SUM($E66:$I66)*[1]BYPBack!$D$21/L66</f>
        <v>0.24302815796571925</v>
      </c>
      <c r="Q66" s="139">
        <f>R66-P66</f>
        <v>8.8329051156323335E-2</v>
      </c>
      <c r="R66" s="140">
        <f>K66/L66</f>
        <v>0.33135720912204258</v>
      </c>
      <c r="S66" s="9"/>
      <c r="T66"/>
      <c r="U66"/>
    </row>
    <row r="67" spans="1:21" s="2" customFormat="1" x14ac:dyDescent="0.2">
      <c r="A67" s="91">
        <f t="shared" ref="A67:A77" si="21">A66+1</f>
        <v>52</v>
      </c>
      <c r="B67" s="143" t="s">
        <v>187</v>
      </c>
      <c r="C67" s="118">
        <f>'10.In-Office Detail'!C45</f>
        <v>0</v>
      </c>
      <c r="D67" s="156"/>
      <c r="E67" s="117">
        <f>'10.In-Office Detail'!E45</f>
        <v>83.51720568743427</v>
      </c>
      <c r="F67" s="117">
        <f>'10.In-Office Detail'!G45</f>
        <v>1.4163323467664952</v>
      </c>
      <c r="G67" s="117">
        <f t="shared" si="18"/>
        <v>14.806045741408631</v>
      </c>
      <c r="H67" s="117">
        <f t="shared" si="19"/>
        <v>8.3707919189411353</v>
      </c>
      <c r="I67" s="117">
        <f t="shared" si="20"/>
        <v>0.27778392320878809</v>
      </c>
      <c r="J67" s="117">
        <f>'7.RuralDisagg'!O41</f>
        <v>41.279991693574836</v>
      </c>
      <c r="K67" s="117">
        <f>SUM(E67:I67)*[1]BYPBack!$D$21+J67*[1]BYPBack!$E$21</f>
        <v>187.0225198101061</v>
      </c>
      <c r="L67" s="117">
        <f>'[1]DPS%'!$F25</f>
        <v>564.41361365167586</v>
      </c>
      <c r="M67" s="118">
        <f>'3.SummaryBY'!L67/'3.SummaryBY'!L$77</f>
        <v>1.488748148933119E-5</v>
      </c>
      <c r="N67" s="139">
        <f>SUM($E67:$G67,I67)*[1]BYPBack!$D$21/L67</f>
        <v>0.22425915083478476</v>
      </c>
      <c r="O67" s="139">
        <f>SUM($H67:$H67)*[1]BYPBack!$D$21/L67</f>
        <v>1.8769007130934511E-2</v>
      </c>
      <c r="P67" s="139">
        <f>SUM($E67:$I67)*[1]BYPBack!$D$21/L67</f>
        <v>0.24302815796571925</v>
      </c>
      <c r="Q67" s="139">
        <f t="shared" ref="Q67:Q76" si="22">R67-P67</f>
        <v>8.8329051156323335E-2</v>
      </c>
      <c r="R67" s="140">
        <f t="shared" ref="R67:R76" si="23">K67/L67</f>
        <v>0.33135720912204258</v>
      </c>
      <c r="S67" s="9"/>
      <c r="T67"/>
      <c r="U67"/>
    </row>
    <row r="68" spans="1:21" s="2" customFormat="1" x14ac:dyDescent="0.2">
      <c r="A68" s="91">
        <f t="shared" si="21"/>
        <v>53</v>
      </c>
      <c r="B68" s="143" t="s">
        <v>188</v>
      </c>
      <c r="C68" s="118">
        <f>'10.In-Office Detail'!C46</f>
        <v>0.85384008270572487</v>
      </c>
      <c r="D68" s="156"/>
      <c r="E68" s="117">
        <f>'10.In-Office Detail'!E46</f>
        <v>3480.7991697796242</v>
      </c>
      <c r="F68" s="117">
        <f>'10.In-Office Detail'!G46</f>
        <v>403.86842119264963</v>
      </c>
      <c r="G68" s="117">
        <f t="shared" si="18"/>
        <v>677.19498531831528</v>
      </c>
      <c r="H68" s="117">
        <f t="shared" si="19"/>
        <v>2386.9387182698497</v>
      </c>
      <c r="I68" s="117">
        <f t="shared" si="20"/>
        <v>79.210331357015505</v>
      </c>
      <c r="J68" s="117">
        <f>'7.RuralDisagg'!O42</f>
        <v>3342.3038457294688</v>
      </c>
      <c r="K68" s="117">
        <f>SUM(E68:I68)*[1]BYPBack!$D$21+J68*[1]BYPBack!$E$21</f>
        <v>12930.677679758306</v>
      </c>
      <c r="L68" s="117">
        <f>'[1]DPS%'!$F26</f>
        <v>160943.0410634556</v>
      </c>
      <c r="M68" s="118">
        <f>'3.SummaryBY'!L68/'3.SummaryBY'!L$77</f>
        <v>4.2451785122028666E-3</v>
      </c>
      <c r="N68" s="139">
        <f>SUM($E68:$G68,I68)*[1]BYPBack!$D$21/L68</f>
        <v>3.649374398768164E-2</v>
      </c>
      <c r="O68" s="139">
        <f>SUM($H68:$H68)*[1]BYPBack!$D$21/L68</f>
        <v>1.8769007130934507E-2</v>
      </c>
      <c r="P68" s="139">
        <f>SUM($E68:$I68)*[1]BYPBack!$D$21/L68</f>
        <v>5.5262751118616137E-2</v>
      </c>
      <c r="Q68" s="139">
        <f t="shared" si="22"/>
        <v>2.508044107109824E-2</v>
      </c>
      <c r="R68" s="140">
        <f t="shared" si="23"/>
        <v>8.0343192189714377E-2</v>
      </c>
      <c r="S68" s="9"/>
      <c r="T68"/>
      <c r="U68"/>
    </row>
    <row r="69" spans="1:21" s="2" customFormat="1" x14ac:dyDescent="0.2">
      <c r="A69" s="91">
        <f t="shared" si="21"/>
        <v>54</v>
      </c>
      <c r="B69" s="143" t="s">
        <v>189</v>
      </c>
      <c r="C69" s="118">
        <f>'10.In-Office Detail'!C47</f>
        <v>0.90228888681847952</v>
      </c>
      <c r="D69" s="156"/>
      <c r="E69" s="117">
        <f>'10.In-Office Detail'!E47</f>
        <v>4681.9005753615702</v>
      </c>
      <c r="F69" s="117">
        <f>'10.In-Office Detail'!G47</f>
        <v>812.58246125975279</v>
      </c>
      <c r="G69" s="117">
        <f t="shared" si="18"/>
        <v>957.82619031896104</v>
      </c>
      <c r="H69" s="117">
        <f t="shared" si="19"/>
        <v>4802.5159601243267</v>
      </c>
      <c r="I69" s="117">
        <f t="shared" si="20"/>
        <v>159.37102935953851</v>
      </c>
      <c r="J69" s="117">
        <f>'7.RuralDisagg'!O43</f>
        <v>5762.441204034435</v>
      </c>
      <c r="K69" s="117">
        <f>SUM(E69:I69)*[1]BYPBack!$D$21+J69*[1]BYPBack!$E$21</f>
        <v>21404.339054019103</v>
      </c>
      <c r="L69" s="117">
        <f>'[1]DPS%'!$F27</f>
        <v>323817.07894806901</v>
      </c>
      <c r="M69" s="118">
        <f>'3.SummaryBY'!L69/'3.SummaryBY'!L$77</f>
        <v>8.5412907346062196E-3</v>
      </c>
      <c r="N69" s="139">
        <f>SUM($E69:$G69,I69)*[1]BYPBack!$D$21/L69</f>
        <v>2.5839513061136753E-2</v>
      </c>
      <c r="O69" s="139">
        <f>SUM($H69:$H69)*[1]BYPBack!$D$21/L69</f>
        <v>1.8769007130934504E-2</v>
      </c>
      <c r="P69" s="139">
        <f>SUM($E69:$I69)*[1]BYPBack!$D$21/L69</f>
        <v>4.4608520192071247E-2</v>
      </c>
      <c r="Q69" s="139">
        <f t="shared" si="22"/>
        <v>2.1491572871431885E-2</v>
      </c>
      <c r="R69" s="140">
        <f t="shared" si="23"/>
        <v>6.6100093063503132E-2</v>
      </c>
      <c r="S69" s="9"/>
      <c r="T69"/>
      <c r="U69"/>
    </row>
    <row r="70" spans="1:21" s="2" customFormat="1" x14ac:dyDescent="0.2">
      <c r="A70" s="91">
        <f t="shared" si="21"/>
        <v>55</v>
      </c>
      <c r="B70" s="143" t="s">
        <v>190</v>
      </c>
      <c r="C70" s="118">
        <f>'10.In-Office Detail'!C48</f>
        <v>0</v>
      </c>
      <c r="D70" s="156"/>
      <c r="E70" s="117">
        <f>'10.In-Office Detail'!E48</f>
        <v>250.63210245429053</v>
      </c>
      <c r="F70" s="117">
        <f>'10.In-Office Detail'!G48</f>
        <v>4.2503619574225633</v>
      </c>
      <c r="G70" s="117">
        <f t="shared" si="18"/>
        <v>44.432405785841155</v>
      </c>
      <c r="H70" s="117">
        <f t="shared" si="19"/>
        <v>25.120442675050594</v>
      </c>
      <c r="I70" s="117">
        <f t="shared" si="20"/>
        <v>0.8336194695303939</v>
      </c>
      <c r="J70" s="117">
        <f>'7.RuralDisagg'!O44</f>
        <v>123.87975653995034</v>
      </c>
      <c r="K70" s="117">
        <f>SUM(E70:I70)*[1]BYPBack!$D$21+J70*[1]BYPBack!$E$21</f>
        <v>561.24779272109413</v>
      </c>
      <c r="L70" s="117">
        <f>'[1]DPS%'!$F28</f>
        <v>1693.7847654142342</v>
      </c>
      <c r="M70" s="118">
        <f>'3.SummaryBY'!L70/'3.SummaryBY'!L$77</f>
        <v>4.4676791509103442E-5</v>
      </c>
      <c r="N70" s="139">
        <f>SUM($E70:$G70,I70)*[1]BYPBack!$D$21/L70</f>
        <v>0.2242591508347847</v>
      </c>
      <c r="O70" s="139">
        <f>SUM($H70:$H70)*[1]BYPBack!$D$21/L70</f>
        <v>1.8769007130934507E-2</v>
      </c>
      <c r="P70" s="139">
        <f>SUM($E70:$I70)*[1]BYPBack!$D$21/L70</f>
        <v>0.24302815796571919</v>
      </c>
      <c r="Q70" s="139">
        <f t="shared" si="22"/>
        <v>8.8329051156323335E-2</v>
      </c>
      <c r="R70" s="140">
        <f t="shared" si="23"/>
        <v>0.33135720912204253</v>
      </c>
      <c r="S70" s="9"/>
      <c r="T70"/>
      <c r="U70"/>
    </row>
    <row r="71" spans="1:21" s="2" customFormat="1" x14ac:dyDescent="0.2">
      <c r="A71" s="91">
        <f t="shared" si="21"/>
        <v>56</v>
      </c>
      <c r="B71" s="143" t="s">
        <v>191</v>
      </c>
      <c r="C71" s="118">
        <f>'10.In-Office Detail'!C49</f>
        <v>0</v>
      </c>
      <c r="D71" s="156"/>
      <c r="E71" s="117">
        <f>'10.In-Office Detail'!E49</f>
        <v>192.75718757155039</v>
      </c>
      <c r="F71" s="117">
        <f>'10.In-Office Detail'!G49</f>
        <v>3.2688861843757708</v>
      </c>
      <c r="G71" s="117">
        <f t="shared" si="18"/>
        <v>34.172260825520624</v>
      </c>
      <c r="H71" s="117">
        <f t="shared" si="19"/>
        <v>19.319735313947664</v>
      </c>
      <c r="I71" s="117">
        <f t="shared" si="20"/>
        <v>0.64112355471650673</v>
      </c>
      <c r="J71" s="117">
        <f>'7.RuralDisagg'!O45</f>
        <v>95.273962249285759</v>
      </c>
      <c r="K71" s="117">
        <f>SUM(E71:I71)*[1]BYPBack!$D$21+J71*[1]BYPBack!$E$21</f>
        <v>431.64680420533489</v>
      </c>
      <c r="L71" s="117">
        <f>'[1]DPS%'!$F29</f>
        <v>1302.6630847990832</v>
      </c>
      <c r="M71" s="118">
        <f>'3.SummaryBY'!L71/'3.SummaryBY'!L$77</f>
        <v>3.4360214021609174E-5</v>
      </c>
      <c r="N71" s="139">
        <f>SUM($E71:$G71,I71)*[1]BYPBack!$D$21/L71</f>
        <v>0.22425915083478473</v>
      </c>
      <c r="O71" s="139">
        <f>SUM($H71:$H71)*[1]BYPBack!$D$21/L71</f>
        <v>1.8769007130934507E-2</v>
      </c>
      <c r="P71" s="139">
        <f>SUM($E71:$I71)*[1]BYPBack!$D$21/L71</f>
        <v>0.24302815796571922</v>
      </c>
      <c r="Q71" s="139">
        <f t="shared" si="22"/>
        <v>8.8329051156323363E-2</v>
      </c>
      <c r="R71" s="140">
        <f t="shared" si="23"/>
        <v>0.33135720912204258</v>
      </c>
      <c r="S71" s="9"/>
      <c r="T71"/>
      <c r="U71"/>
    </row>
    <row r="72" spans="1:21" s="2" customFormat="1" x14ac:dyDescent="0.2">
      <c r="A72" s="91">
        <f>A71+1</f>
        <v>57</v>
      </c>
      <c r="B72" s="267" t="s">
        <v>194</v>
      </c>
      <c r="C72" s="118">
        <f>'10.In-Office Detail'!C50</f>
        <v>0.86541423474782009</v>
      </c>
      <c r="D72" s="139"/>
      <c r="E72" s="117">
        <f>'10.In-Office Detail'!E50</f>
        <v>19370.623042233496</v>
      </c>
      <c r="F72" s="117">
        <f>'10.In-Office Detail'!G50</f>
        <v>2440.8083480997702</v>
      </c>
      <c r="G72" s="117">
        <f t="shared" si="18"/>
        <v>3802.2795037789374</v>
      </c>
      <c r="H72" s="117">
        <f t="shared" si="19"/>
        <v>14425.638758165051</v>
      </c>
      <c r="I72" s="117">
        <f t="shared" si="20"/>
        <v>478.71343211488295</v>
      </c>
      <c r="J72" s="117">
        <f>'7.RuralDisagg'!O46</f>
        <v>19508.950655907029</v>
      </c>
      <c r="K72" s="117">
        <f>SUM(E72:I72)*[1]BYPBack!$D$21+J72*[1]BYPBack!$E$21</f>
        <v>74837.888129690124</v>
      </c>
      <c r="L72" s="117">
        <f>'[1]DPS%'!$F30</f>
        <v>972671.04230677593</v>
      </c>
      <c r="M72" s="118">
        <f>'3.SummaryBY'!L72/'3.SummaryBY'!L$77</f>
        <v>2.5656046890618095E-2</v>
      </c>
      <c r="N72" s="139">
        <f>SUM($E72:$G72,I72)*[1]BYPBack!$D$21/L72</f>
        <v>3.3948506991770738E-2</v>
      </c>
      <c r="O72" s="139">
        <f>SUM($H72:$H72)*[1]BYPBack!$D$21/L72</f>
        <v>1.8769007130934507E-2</v>
      </c>
      <c r="P72" s="139">
        <f>SUM($E72:$I72)*[1]BYPBack!$D$21/L72</f>
        <v>5.2717514122705249E-2</v>
      </c>
      <c r="Q72" s="139">
        <f t="shared" si="22"/>
        <v>2.4223080255642244E-2</v>
      </c>
      <c r="R72" s="140">
        <f t="shared" si="23"/>
        <v>7.6940594378347493E-2</v>
      </c>
      <c r="S72" s="9"/>
      <c r="T72"/>
      <c r="U72"/>
    </row>
    <row r="73" spans="1:21" s="2" customFormat="1" x14ac:dyDescent="0.2">
      <c r="A73" s="91">
        <f t="shared" si="21"/>
        <v>58</v>
      </c>
      <c r="B73" s="267" t="s">
        <v>195</v>
      </c>
      <c r="C73" s="118">
        <f>'10.In-Office Detail'!C51</f>
        <v>0.89507754917882254</v>
      </c>
      <c r="D73" s="139"/>
      <c r="E73" s="117">
        <f>'10.In-Office Detail'!E51</f>
        <v>86027.18310583492</v>
      </c>
      <c r="F73" s="117">
        <f>'10.In-Office Detail'!G51</f>
        <v>13904.535798891548</v>
      </c>
      <c r="G73" s="117">
        <f t="shared" si="18"/>
        <v>17420.60480896453</v>
      </c>
      <c r="H73" s="117">
        <f t="shared" si="19"/>
        <v>82178.435144627918</v>
      </c>
      <c r="I73" s="117">
        <f t="shared" si="20"/>
        <v>2727.0834514449748</v>
      </c>
      <c r="J73" s="117">
        <f>'7.RuralDisagg'!O47</f>
        <v>101055.08768582789</v>
      </c>
      <c r="K73" s="117">
        <f>SUM(E73:I73)*[1]BYPBack!$D$21+J73*[1]BYPBack!$E$21</f>
        <v>378008.14023200539</v>
      </c>
      <c r="L73" s="117">
        <f>'[1]DPS%'!$F31</f>
        <v>5541008.3052317118</v>
      </c>
      <c r="M73" s="118">
        <f>'3.SummaryBY'!L73/'3.SummaryBY'!L$77</f>
        <v>0.14615462239235902</v>
      </c>
      <c r="N73" s="139">
        <f>SUM($E73:$G73,I73)*[1]BYPBack!$D$21/L73</f>
        <v>2.7425336651815724E-2</v>
      </c>
      <c r="O73" s="139">
        <f>SUM($H73:$H73)*[1]BYPBack!$D$21/L73</f>
        <v>1.8769007130934507E-2</v>
      </c>
      <c r="P73" s="139">
        <f>SUM($E73:$I73)*[1]BYPBack!$D$21/L73</f>
        <v>4.6194343782750232E-2</v>
      </c>
      <c r="Q73" s="139">
        <f t="shared" si="22"/>
        <v>2.2025756135724446E-2</v>
      </c>
      <c r="R73" s="140">
        <f t="shared" si="23"/>
        <v>6.8220099918474678E-2</v>
      </c>
      <c r="S73" s="9"/>
      <c r="T73"/>
      <c r="U73"/>
    </row>
    <row r="74" spans="1:21" s="2" customFormat="1" x14ac:dyDescent="0.2">
      <c r="A74" s="91">
        <f t="shared" si="21"/>
        <v>59</v>
      </c>
      <c r="B74" s="267" t="s">
        <v>207</v>
      </c>
      <c r="C74" s="118">
        <f>'10.In-Office Detail'!C52</f>
        <v>0.88352277798782219</v>
      </c>
      <c r="D74" s="139"/>
      <c r="E74" s="117">
        <f>'10.In-Office Detail'!E52</f>
        <v>0.99737696890650185</v>
      </c>
      <c r="F74" s="117">
        <f>'10.In-Office Detail'!G52</f>
        <v>0.14521368614557803</v>
      </c>
      <c r="G74" s="117">
        <f t="shared" si="18"/>
        <v>0.19918220639289702</v>
      </c>
      <c r="H74" s="117">
        <f t="shared" si="19"/>
        <v>0.8582403369394076</v>
      </c>
      <c r="I74" s="117">
        <f t="shared" si="20"/>
        <v>2.8480622880089221E-2</v>
      </c>
      <c r="J74" s="117">
        <f>'7.RuralDisagg'!O48</f>
        <v>1.0963932281561084</v>
      </c>
      <c r="K74" s="117">
        <f>SUM(E74:I74)*[1]BYPBack!$D$21+J74*[1]BYPBack!$E$21</f>
        <v>4.144345764624366</v>
      </c>
      <c r="L74" s="117">
        <f>'[1]DPS%'!$F32</f>
        <v>57.868184353921627</v>
      </c>
      <c r="M74" s="118">
        <f>'3.SummaryBY'!L74/'3.SummaryBY'!L$77</f>
        <v>1.5263833163349053E-6</v>
      </c>
      <c r="N74" s="139">
        <f>IFERROR(SUM($E74:$G74,I74)*[1]BYPBack!$D$21/L74,0)</f>
        <v>2.9966311663000695E-2</v>
      </c>
      <c r="O74" s="139">
        <f>IFERROR(SUM($H74:$H74)*[1]BYPBack!$D$21/L74,0)</f>
        <v>1.8769007130934504E-2</v>
      </c>
      <c r="P74" s="139">
        <f>IFERROR(SUM($E74:$I74)*[1]BYPBack!$D$21/L74,0)</f>
        <v>4.8735318793935216E-2</v>
      </c>
      <c r="Q74" s="139">
        <f t="shared" si="22"/>
        <v>2.2881681305420946E-2</v>
      </c>
      <c r="R74" s="140">
        <f>IFERROR(K74/L74,0)</f>
        <v>7.1617000099356162E-2</v>
      </c>
      <c r="S74" s="9"/>
      <c r="T74"/>
      <c r="U74"/>
    </row>
    <row r="75" spans="1:21" s="2" customFormat="1" x14ac:dyDescent="0.2">
      <c r="A75" s="91">
        <f t="shared" si="21"/>
        <v>60</v>
      </c>
      <c r="B75" s="267" t="s">
        <v>208</v>
      </c>
      <c r="C75" s="118">
        <f>'10.In-Office Detail'!C53</f>
        <v>0.94154181952989746</v>
      </c>
      <c r="D75" s="139"/>
      <c r="E75" s="117">
        <f>'10.In-Office Detail'!E53</f>
        <v>267368.89465103013</v>
      </c>
      <c r="F75" s="117">
        <f>'10.In-Office Detail'!G53</f>
        <v>77563.036970589586</v>
      </c>
      <c r="G75" s="117">
        <f t="shared" si="18"/>
        <v>60130.286285797185</v>
      </c>
      <c r="H75" s="117">
        <f t="shared" si="19"/>
        <v>458412.21134589048</v>
      </c>
      <c r="I75" s="117">
        <f t="shared" si="20"/>
        <v>15212.365060268447</v>
      </c>
      <c r="J75" s="117">
        <f>'7.RuralDisagg'!O49</f>
        <v>475622.47554130951</v>
      </c>
      <c r="K75" s="117">
        <f>SUM(E75:I75)*[1]BYPBack!$D$21+J75*[1]BYPBack!$E$21</f>
        <v>1686416.3664055616</v>
      </c>
      <c r="L75" s="117">
        <f>'[1]DPS%'!$F33</f>
        <v>30909153.548821993</v>
      </c>
      <c r="M75" s="118">
        <f>'3.SummaryBY'!L75/'3.SummaryBY'!L$77</f>
        <v>0.81528765461877617</v>
      </c>
      <c r="N75" s="139">
        <f>SUM($E75:$G75,I75)*[1]BYPBack!$D$21/L75</f>
        <v>1.7207518581391138E-2</v>
      </c>
      <c r="O75" s="139">
        <f>SUM($H75:$H75)*[1]BYPBack!$D$21/L75</f>
        <v>1.8769007130934504E-2</v>
      </c>
      <c r="P75" s="139">
        <f>SUM($E75:$I75)*[1]BYPBack!$D$21/L75</f>
        <v>3.5976525712325645E-2</v>
      </c>
      <c r="Q75" s="139">
        <f t="shared" si="22"/>
        <v>1.8583893218002329E-2</v>
      </c>
      <c r="R75" s="140">
        <f t="shared" si="23"/>
        <v>5.4560418930327974E-2</v>
      </c>
      <c r="S75" s="9"/>
      <c r="T75"/>
      <c r="U75"/>
    </row>
    <row r="76" spans="1:21" s="2" customFormat="1" x14ac:dyDescent="0.2">
      <c r="A76" s="91">
        <f t="shared" si="21"/>
        <v>61</v>
      </c>
      <c r="B76" s="267" t="s">
        <v>69</v>
      </c>
      <c r="C76" s="118">
        <f>'10.In-Office Detail'!C54</f>
        <v>0.9319830150439411</v>
      </c>
      <c r="D76" s="139"/>
      <c r="E76" s="117">
        <f>'10.In-Office Detail'!E54</f>
        <v>381568.13339349383</v>
      </c>
      <c r="F76" s="117">
        <f>'10.In-Office Detail'!G54</f>
        <v>95135.792295122636</v>
      </c>
      <c r="G76" s="117">
        <f>SUM(E76:F76)/SUM(E$77:F$77)*G$77</f>
        <v>83101.449582997273</v>
      </c>
      <c r="H76" s="117">
        <f t="shared" si="19"/>
        <v>562270.51734303695</v>
      </c>
      <c r="I76" s="117">
        <f t="shared" si="20"/>
        <v>18658.892936851425</v>
      </c>
      <c r="J76" s="117">
        <f>'7.RuralDisagg'!O50</f>
        <v>605607.56839838414</v>
      </c>
      <c r="K76" s="117">
        <f>SUM(E76:I76)*[1]BYPBack!$D$21+J76*[1]BYPBack!$E$21</f>
        <v>2175029.6555301789</v>
      </c>
      <c r="L76" s="117">
        <f>'[1]DPS%'!$F34</f>
        <v>37911960.733999997</v>
      </c>
      <c r="M76" s="118">
        <f>'3.SummaryBY'!L76/'3.SummaryBY'!L$77</f>
        <v>1</v>
      </c>
      <c r="N76" s="139">
        <f>SUM($E76:$G76,I76)*[1]BYPBack!$D$21/L76</f>
        <v>1.9309566552235924E-2</v>
      </c>
      <c r="O76" s="139">
        <f>SUM($H76:$H76)*[1]BYPBack!$D$21/L76</f>
        <v>1.8769007130934507E-2</v>
      </c>
      <c r="P76" s="139">
        <f>SUM($E76:$I76)*[1]BYPBack!$D$21/L76</f>
        <v>3.8078573683170421E-2</v>
      </c>
      <c r="Q76" s="139">
        <f t="shared" si="22"/>
        <v>1.929196620503907E-2</v>
      </c>
      <c r="R76" s="140">
        <f t="shared" si="23"/>
        <v>5.737053988820949E-2</v>
      </c>
      <c r="S76" s="9"/>
      <c r="T76"/>
      <c r="U76"/>
    </row>
    <row r="77" spans="1:21" s="2" customFormat="1" x14ac:dyDescent="0.2">
      <c r="A77" s="91">
        <f t="shared" si="21"/>
        <v>62</v>
      </c>
      <c r="B77" s="142" t="s">
        <v>343</v>
      </c>
      <c r="C77" s="118">
        <f>C76</f>
        <v>0.9319830150439411</v>
      </c>
      <c r="D77" s="139"/>
      <c r="E77" s="119">
        <f>SUM(E66:E71,E72:E75)</f>
        <v>381568.13339349348</v>
      </c>
      <c r="F77" s="119">
        <f>F76</f>
        <v>95135.792295122636</v>
      </c>
      <c r="G77" s="119">
        <f>'[1]CS6&amp;7 CRA'!$D$22+'[1]7.0.6'!$I$21</f>
        <v>83101.449582997215</v>
      </c>
      <c r="H77" s="119">
        <f>'[1]7.0.6'!$L$21</f>
        <v>562270.51734303695</v>
      </c>
      <c r="I77" s="119">
        <f>'[1]7.0.6'!$J$21</f>
        <v>18658.892936851425</v>
      </c>
      <c r="J77" s="119">
        <f>[1]RuralCosts!$P22</f>
        <v>606006.3094440907</v>
      </c>
      <c r="K77" s="117">
        <f>SUM(E77:I77)*[1]BYPBack!$D$21+J77*[1]BYPBack!$E$21</f>
        <v>2175511.2177279596</v>
      </c>
      <c r="L77" s="117">
        <f>SUM(L66:L75)</f>
        <v>37911960.733999997</v>
      </c>
      <c r="M77" s="118">
        <f>M75+M74+M73+M72+M71+M70+M69+M68+M67+M66</f>
        <v>0.99999999999999989</v>
      </c>
      <c r="N77" s="139">
        <f>SUM($E77:$G77,I77)*[1]BYPBack!$D$21/L77</f>
        <v>1.930956655223591E-2</v>
      </c>
      <c r="O77" s="139">
        <f>SUM($H77:$H77)*[1]BYPBack!$D$21/L77</f>
        <v>1.8769007130934507E-2</v>
      </c>
      <c r="P77" s="139">
        <f>SUM($E77:$I77)*[1]BYPBack!$D$21/L77</f>
        <v>3.8078573683170414E-2</v>
      </c>
      <c r="Q77" s="139">
        <f>R77-P77</f>
        <v>1.9304668323010754E-2</v>
      </c>
      <c r="R77" s="140">
        <f>K77/L77</f>
        <v>5.7383242006181168E-2</v>
      </c>
      <c r="S77" s="9"/>
      <c r="T77"/>
      <c r="U77"/>
    </row>
    <row r="78" spans="1:21" s="2" customFormat="1" x14ac:dyDescent="0.2">
      <c r="A78" s="91">
        <f>A77+1</f>
        <v>63</v>
      </c>
      <c r="B78" s="142" t="s">
        <v>60</v>
      </c>
      <c r="C78" s="143"/>
      <c r="D78" s="139">
        <f>(E78+F78)/L78</f>
        <v>0.13501777450381786</v>
      </c>
      <c r="E78" s="119">
        <f>[1]CARMMCasing!$D$33</f>
        <v>189274.66659465636</v>
      </c>
      <c r="F78" s="119">
        <f>[1]CARMMCasing!$E$33</f>
        <v>35989.06534764485</v>
      </c>
      <c r="G78" s="119">
        <f>'[1]CS6&amp;7 CRA'!$D$23+'[1]7.0.6'!$I$22</f>
        <v>39275.531997884587</v>
      </c>
      <c r="H78" s="119">
        <f>'[1]7.0.6'!$L$22</f>
        <v>20207.345134003135</v>
      </c>
      <c r="I78" s="119">
        <f>'[1]7.0.6'!$J$22</f>
        <v>670.45608801215769</v>
      </c>
      <c r="J78" s="119">
        <f>[1]RuralCosts!$P23</f>
        <v>101205.37081772015</v>
      </c>
      <c r="K78" s="117">
        <f>SUM(E78:I78)*[1]BYPBack!$D$22+J78*[1]BYPBack!$E$22</f>
        <v>469998.70215478452</v>
      </c>
      <c r="L78" s="117">
        <f>[1]RPWShape!$D$26</f>
        <v>1668400.57</v>
      </c>
      <c r="M78" s="117"/>
      <c r="N78" s="139">
        <f>SUM($E78:$G78,I78)*[1]BYPBack!$D$22/L78</f>
        <v>0.19368864775625241</v>
      </c>
      <c r="O78" s="139">
        <f>SUM($H78:$H78)*[1]BYPBack!$D$22/L78</f>
        <v>1.475788049296539E-2</v>
      </c>
      <c r="P78" s="139">
        <f>SUM($E78:$I78)*[1]BYPBack!$D$22/L78</f>
        <v>0.20844652824921778</v>
      </c>
      <c r="Q78" s="139">
        <f>R78-P78</f>
        <v>7.3259622303574523E-2</v>
      </c>
      <c r="R78" s="140">
        <f>K78/L78</f>
        <v>0.2817061505527923</v>
      </c>
      <c r="S78" s="9"/>
      <c r="T78"/>
      <c r="U78"/>
    </row>
    <row r="79" spans="1:21" s="2" customFormat="1" x14ac:dyDescent="0.2">
      <c r="A79" s="91">
        <f>A78+1</f>
        <v>64</v>
      </c>
      <c r="B79" s="142" t="s">
        <v>61</v>
      </c>
      <c r="C79" s="143"/>
      <c r="D79" s="139">
        <f>(E79+F79)/L79</f>
        <v>0.12667940818380638</v>
      </c>
      <c r="E79" s="119">
        <f>[1]CARMMCasing!$D$34</f>
        <v>949.65928904047928</v>
      </c>
      <c r="F79" s="119">
        <f>[1]CARMMCasing!$E$34</f>
        <v>533.25455029726118</v>
      </c>
      <c r="G79" s="119">
        <f>'[1]7.0.6'!$I$23+'[1]CS6&amp;7 CRA'!$D$24</f>
        <v>258.59225087831521</v>
      </c>
      <c r="H79" s="119">
        <f>'[1]7.0.6'!$L$23+'[1]7.0.6'!$F$23</f>
        <v>1903.1362529209705</v>
      </c>
      <c r="I79" s="119">
        <f>'[1]7.0.6'!$J$23</f>
        <v>55.724838281051014</v>
      </c>
      <c r="J79" s="119">
        <f>[1]RuralCosts!$P24</f>
        <v>2671.3112471024583</v>
      </c>
      <c r="K79" s="117">
        <f>SUM(E79:I79)*[1]BYPBack!$D$23+J79*[1]BYPBack!$E$23</f>
        <v>7929.9640241930974</v>
      </c>
      <c r="L79" s="117">
        <f>[1]RPWShape!$E$27</f>
        <v>11706.037</v>
      </c>
      <c r="M79" s="117"/>
      <c r="N79" s="139">
        <f>SUM($E79:$G79,I79)*[1]BYPBack!$D$23/L79</f>
        <v>0.19516339581819631</v>
      </c>
      <c r="O79" s="139">
        <f>SUM($H79:$H79)*[1]BYPBack!$D$23/L79</f>
        <v>0.20666377811301517</v>
      </c>
      <c r="P79" s="139">
        <f>SUM($E79:$I79)*[1]BYPBack!$D$23/L79</f>
        <v>0.40182717393121142</v>
      </c>
      <c r="Q79" s="139">
        <f>R79-P79</f>
        <v>0.27559798918702388</v>
      </c>
      <c r="R79" s="140">
        <f>K79/L79</f>
        <v>0.67742516311823531</v>
      </c>
      <c r="S79" s="9"/>
      <c r="T79"/>
      <c r="U79"/>
    </row>
    <row r="80" spans="1:21" s="2" customFormat="1" x14ac:dyDescent="0.2">
      <c r="A80" s="91">
        <f>A79+1</f>
        <v>65</v>
      </c>
      <c r="B80" s="142" t="s">
        <v>62</v>
      </c>
      <c r="C80" s="143"/>
      <c r="D80" s="139">
        <f>(E80+F80)/L80</f>
        <v>0.13495967746149037</v>
      </c>
      <c r="E80" s="119">
        <f t="shared" ref="E80:L80" si="24">SUM(E78:E79)</f>
        <v>190224.32588369685</v>
      </c>
      <c r="F80" s="119">
        <f t="shared" si="24"/>
        <v>36522.319897942114</v>
      </c>
      <c r="G80" s="119">
        <f t="shared" si="24"/>
        <v>39534.124248762906</v>
      </c>
      <c r="H80" s="117">
        <f t="shared" si="24"/>
        <v>22110.481386924104</v>
      </c>
      <c r="I80" s="117">
        <f t="shared" si="24"/>
        <v>726.1809262932087</v>
      </c>
      <c r="J80" s="119">
        <f>SUM(J78:J79)</f>
        <v>103876.68206482261</v>
      </c>
      <c r="K80" s="117">
        <f t="shared" si="24"/>
        <v>477928.66617897764</v>
      </c>
      <c r="L80" s="117">
        <f t="shared" si="24"/>
        <v>1680106.6070000001</v>
      </c>
      <c r="M80" s="119"/>
      <c r="N80" s="139">
        <f>SUMPRODUCT(N78:N79,$L78:$L79)/SUM($L78:$L79)</f>
        <v>0.19369892297051969</v>
      </c>
      <c r="O80" s="139">
        <f>SUMPRODUCT(O78:O79,$L78:$L79)/SUM($L78:$L79)</f>
        <v>1.6094972751694012E-2</v>
      </c>
      <c r="P80" s="139">
        <f>SUMPRODUCT(P78:P79,$L78:$L79)/SUM($L78:$L79)</f>
        <v>0.20979389572221369</v>
      </c>
      <c r="Q80" s="139">
        <f>SUMPRODUCT(Q78:Q79,$L78:$L79)/SUM($L78:$L79)</f>
        <v>7.466940213503806E-2</v>
      </c>
      <c r="R80" s="140">
        <f>K80/L80</f>
        <v>0.28446329785725177</v>
      </c>
      <c r="S80" s="9"/>
      <c r="T80"/>
      <c r="U80"/>
    </row>
    <row r="81" spans="1:21" s="2" customFormat="1" x14ac:dyDescent="0.2">
      <c r="A81" s="96">
        <f>A80+1</f>
        <v>66</v>
      </c>
      <c r="B81" s="144" t="s">
        <v>14</v>
      </c>
      <c r="C81" s="131"/>
      <c r="D81" s="145">
        <f>(E81+F81)/L81</f>
        <v>1.7767462492209625E-2</v>
      </c>
      <c r="E81" s="159">
        <f>SUM(E77,E78:E79)</f>
        <v>571792.45927719038</v>
      </c>
      <c r="F81" s="159">
        <f>SUM(F77,F78:F79)</f>
        <v>131658.11219306474</v>
      </c>
      <c r="G81" s="159">
        <f>SUM(G77,G78:G79)</f>
        <v>122635.57383176012</v>
      </c>
      <c r="H81" s="122">
        <f t="shared" ref="H81:L81" si="25">SUM(H77:H79)</f>
        <v>584380.99872996099</v>
      </c>
      <c r="I81" s="122">
        <f t="shared" si="25"/>
        <v>19385.073863144633</v>
      </c>
      <c r="J81" s="122">
        <f t="shared" si="25"/>
        <v>709882.99150891334</v>
      </c>
      <c r="K81" s="122">
        <f t="shared" si="25"/>
        <v>2653439.8839069372</v>
      </c>
      <c r="L81" s="122">
        <f t="shared" si="25"/>
        <v>39592067.340999998</v>
      </c>
      <c r="M81" s="122"/>
      <c r="N81" s="145">
        <f>SUMPRODUCT(N77:N79,$L77:$L79)/SUM($L77:$L79)</f>
        <v>2.6709854781323272E-2</v>
      </c>
      <c r="O81" s="145">
        <f>SUMPRODUCT(O77:O79,$L77:$L79)/SUM($L77:$L79)</f>
        <v>1.8655533318384824E-2</v>
      </c>
      <c r="P81" s="145">
        <f>SUMPRODUCT(P77:P79,$L77:$L79)/SUM($L77:$L79)</f>
        <v>4.5365388099708089E-2</v>
      </c>
      <c r="Q81" s="145">
        <f>SUMPRODUCT(Q77:Q79,$L77:$L79)/SUM($L77:$L79)</f>
        <v>2.1654094895541782E-2</v>
      </c>
      <c r="R81" s="146">
        <f>K81/L81</f>
        <v>6.7019482995249874E-2</v>
      </c>
      <c r="S81" s="9"/>
      <c r="T81"/>
      <c r="U81"/>
    </row>
    <row r="82" spans="1:21" s="2" customFormat="1" ht="33.75" x14ac:dyDescent="0.2">
      <c r="A82" s="59"/>
      <c r="B82" s="240" t="s">
        <v>344</v>
      </c>
      <c r="C82" s="131"/>
      <c r="D82" s="59"/>
      <c r="E82" s="101" t="str">
        <f>"L"&amp;$A84&amp;" ,L"&amp;$A85&amp;" from [UDCInputs.xls] CARMMCasing"</f>
        <v>L68 ,L69 from [UDCInputs.xls] CARMMCasing</v>
      </c>
      <c r="F82" s="101" t="str">
        <f>"L"&amp;$A84&amp;" ,L"&amp;$A85&amp;" from [UDCInputs.xls] CARMMCasing"</f>
        <v>L68 ,L69 from [UDCInputs.xls] CARMMCasing</v>
      </c>
      <c r="G82" s="101" t="str">
        <f>"L"&amp;$A84&amp;"..L"&amp;$A85&amp;" from " &amp;NOTES!A12</f>
        <v>L68..L69 from 8.CityCosts</v>
      </c>
      <c r="H82" s="101" t="str">
        <f>"L"&amp;$A84&amp;"..L"&amp;$A85&amp;" from " &amp;NOTES!A12</f>
        <v>L68..L69 from 8.CityCosts</v>
      </c>
      <c r="I82" s="101" t="str">
        <f>"L"&amp;$A84&amp;"..L"&amp;$A85&amp;" from " &amp;NOTES!A12</f>
        <v>L68..L69 from 8.CityCosts</v>
      </c>
      <c r="J82" s="101" t="str">
        <f>"L"&amp;$A84&amp;"..L"&amp;A85&amp;" from " &amp;NOTES!A9</f>
        <v>L68..L69 from 5.RuralCrosswalk</v>
      </c>
      <c r="K82" s="428"/>
      <c r="L82" s="95" t="str">
        <f>"L"&amp;$A84&amp;"..L"&amp;$A85&amp;" from [UDCInputs.xls] " &amp;[1]NOTES!$A$26</f>
        <v>L68..L69 from [UDCInputs.xls] CARMM</v>
      </c>
      <c r="M82" s="69"/>
      <c r="N82" s="172" t="s">
        <v>162</v>
      </c>
      <c r="O82" s="173"/>
      <c r="P82" s="173"/>
      <c r="Q82" s="173"/>
      <c r="R82" s="173"/>
      <c r="S82" s="9"/>
      <c r="T82"/>
      <c r="U82"/>
    </row>
    <row r="83" spans="1:21" s="2" customFormat="1" x14ac:dyDescent="0.2">
      <c r="A83" s="60">
        <f>A81+1</f>
        <v>67</v>
      </c>
      <c r="B83" s="112" t="s">
        <v>345</v>
      </c>
      <c r="C83" s="231"/>
      <c r="D83" s="129"/>
      <c r="E83" s="231"/>
      <c r="F83" s="231"/>
      <c r="G83" s="231"/>
      <c r="H83" s="231"/>
      <c r="I83" s="231"/>
      <c r="J83" s="231"/>
      <c r="K83" s="113"/>
      <c r="L83" s="231"/>
      <c r="M83" s="113"/>
      <c r="N83" s="293"/>
      <c r="O83" s="292"/>
      <c r="P83" s="293"/>
      <c r="Q83" s="174"/>
      <c r="R83" s="114"/>
      <c r="S83" s="9"/>
      <c r="T83"/>
      <c r="U83"/>
    </row>
    <row r="84" spans="1:21" s="2" customFormat="1" x14ac:dyDescent="0.2">
      <c r="A84" s="91">
        <f>A83+1</f>
        <v>68</v>
      </c>
      <c r="B84" s="191" t="s">
        <v>209</v>
      </c>
      <c r="C84" s="143"/>
      <c r="D84" s="139">
        <f>(E84+F84)/L84</f>
        <v>9.8598180176169212E-3</v>
      </c>
      <c r="E84" s="117">
        <f>[1]CARMMCasing!$D$18</f>
        <v>25524.362823455009</v>
      </c>
      <c r="F84" s="117">
        <f>[1]CARMMCasing!$E$18</f>
        <v>8302.6931407270713</v>
      </c>
      <c r="G84" s="117">
        <f>'8.CityCosts'!F213</f>
        <v>5898.3898205429687</v>
      </c>
      <c r="H84" s="117">
        <f>'8.CityCosts'!F177</f>
        <v>49231.679622943411</v>
      </c>
      <c r="I84" s="119">
        <f>'8.CityCosts'!F195</f>
        <v>1697.9576636324923</v>
      </c>
      <c r="J84" s="119">
        <f>'5.RuralCrosswalk'!P102</f>
        <v>73259.33023182764</v>
      </c>
      <c r="K84" s="117">
        <f>SUM(E84:I84)*[1]BYPBack!$D$17+J84*[1]BYPBack!$E$17</f>
        <v>204107.92130180757</v>
      </c>
      <c r="L84" s="117">
        <f>[1]RPWShape!$C$18</f>
        <v>3430799.22</v>
      </c>
      <c r="M84" s="118">
        <f>L84/L$86</f>
        <v>0.57014516126446213</v>
      </c>
      <c r="N84" s="139">
        <f>SUM($E84:$G84,I84)*[1]BYPBack!$D$17/L84</f>
        <v>1.5400573472506538E-2</v>
      </c>
      <c r="O84" s="139">
        <f>SUM($H84:$H84)*[1]BYPBack!$D$17/L84</f>
        <v>1.8303568420042653E-2</v>
      </c>
      <c r="P84" s="139">
        <f>SUM($E84:$I84)*[1]BYPBack!$D$17/L84</f>
        <v>3.3704141892549194E-2</v>
      </c>
      <c r="Q84" s="139">
        <f>$J84*[1]BYPBack!$E$17/L84</f>
        <v>2.578867835526687E-2</v>
      </c>
      <c r="R84" s="140">
        <f>SUM($P84:$Q84)</f>
        <v>5.9492820247816061E-2</v>
      </c>
      <c r="S84" s="9"/>
      <c r="T84"/>
      <c r="U84"/>
    </row>
    <row r="85" spans="1:21" s="2" customFormat="1" x14ac:dyDescent="0.2">
      <c r="A85" s="58">
        <f>A84+1</f>
        <v>69</v>
      </c>
      <c r="B85" s="143" t="s">
        <v>63</v>
      </c>
      <c r="C85" s="143"/>
      <c r="D85" s="139">
        <f>(E85+F85)/L85</f>
        <v>8.2626570621775856E-3</v>
      </c>
      <c r="E85" s="117">
        <f>[1]CARMMCasing!$D$19</f>
        <v>16794.799381632885</v>
      </c>
      <c r="F85" s="117">
        <f>[1]CARMMCasing!$E$19</f>
        <v>4577.5077957966714</v>
      </c>
      <c r="G85" s="117">
        <f>'8.CityCosts'!F214</f>
        <v>3726.667766486963</v>
      </c>
      <c r="H85" s="119">
        <f>'8.CityCosts'!F178</f>
        <v>45607.500481060684</v>
      </c>
      <c r="I85" s="119">
        <f>'8.CityCosts'!F196</f>
        <v>1451.8367331968598</v>
      </c>
      <c r="J85" s="119">
        <f>'5.RuralCrosswalk'!P103</f>
        <v>56686.308197454251</v>
      </c>
      <c r="K85" s="117">
        <f>SUM(E85:I85)*[1]BYPBack!$D$17+J85*[1]BYPBack!$E$17</f>
        <v>160499.61824605387</v>
      </c>
      <c r="L85" s="117">
        <f>[1]RPWShape!$C$19</f>
        <v>2586614.3319999999</v>
      </c>
      <c r="M85" s="118">
        <f>L85/L$86</f>
        <v>0.42985483873553781</v>
      </c>
      <c r="N85" s="139">
        <f>SUM($E85:$G85,I85)*[1]BYPBack!$D$17/L85</f>
        <v>1.3092800175611511E-2</v>
      </c>
      <c r="O85" s="139">
        <f>SUM($H85:$H85)*[1]BYPBack!$D$17/L85</f>
        <v>2.2490080437817854E-2</v>
      </c>
      <c r="P85" s="139">
        <f>SUM($E85:$I85)*[1]BYPBack!$D$17/L85</f>
        <v>3.5582880613429367E-2</v>
      </c>
      <c r="Q85" s="139">
        <f>$J85*[1]BYPBack!$E$17/L85</f>
        <v>2.6467196300029059E-2</v>
      </c>
      <c r="R85" s="140">
        <f>SUM($P85:$Q85)</f>
        <v>6.205007691345843E-2</v>
      </c>
      <c r="S85" s="9"/>
      <c r="T85"/>
      <c r="U85"/>
    </row>
    <row r="86" spans="1:21" s="2" customFormat="1" x14ac:dyDescent="0.2">
      <c r="A86" s="59">
        <f>A85+1</f>
        <v>70</v>
      </c>
      <c r="B86" s="131" t="s">
        <v>291</v>
      </c>
      <c r="C86" s="131"/>
      <c r="D86" s="145">
        <f>(E86+F86)/L86</f>
        <v>9.1732706526818485E-3</v>
      </c>
      <c r="E86" s="122">
        <f t="shared" ref="E86:L86" si="26">SUM(E84:E85)</f>
        <v>42319.162205087894</v>
      </c>
      <c r="F86" s="122">
        <f t="shared" si="26"/>
        <v>12880.200936523743</v>
      </c>
      <c r="G86" s="122">
        <f t="shared" si="26"/>
        <v>9625.0575870299326</v>
      </c>
      <c r="H86" s="122">
        <f t="shared" si="26"/>
        <v>94839.180104004103</v>
      </c>
      <c r="I86" s="122">
        <f t="shared" si="26"/>
        <v>3149.7943968293521</v>
      </c>
      <c r="J86" s="122">
        <f t="shared" si="26"/>
        <v>129945.63842928188</v>
      </c>
      <c r="K86" s="122">
        <f t="shared" si="26"/>
        <v>364607.53954786144</v>
      </c>
      <c r="L86" s="122">
        <f t="shared" si="26"/>
        <v>6017413.5520000001</v>
      </c>
      <c r="M86" s="123">
        <f>L86/L$86</f>
        <v>1</v>
      </c>
      <c r="N86" s="139">
        <f>SUMPRODUCT(N84:N85,$L84:$L85)/SUM($L84:$L85)</f>
        <v>1.4408565954131546E-2</v>
      </c>
      <c r="O86" s="139">
        <f>SUMPRODUCT(O84:O85,$L84:$L85)/SUM($L84:$L85)</f>
        <v>2.0103160868307803E-2</v>
      </c>
      <c r="P86" s="139">
        <f>SUMPRODUCT(P84:P85,$L84:$L85)/SUM($L84:$L85)</f>
        <v>3.4511726822439352E-2</v>
      </c>
      <c r="Q86" s="139">
        <f>SUMPRODUCT(Q84:Q85,$L84:$L85)/SUM($L84:$L85)</f>
        <v>2.6080342576991794E-2</v>
      </c>
      <c r="R86" s="146">
        <f>SUM($P86:$Q86)</f>
        <v>6.0592069399431146E-2</v>
      </c>
      <c r="S86" s="9"/>
      <c r="T86"/>
      <c r="U86"/>
    </row>
    <row r="87" spans="1:21" s="2" customFormat="1" ht="33.75" x14ac:dyDescent="0.2">
      <c r="A87" s="98"/>
      <c r="B87" s="99" t="s">
        <v>176</v>
      </c>
      <c r="C87" s="105"/>
      <c r="D87" s="104"/>
      <c r="E87" s="101" t="str">
        <f>"L"&amp;$A88&amp;" ,L"&amp;$A89&amp;" from [UDCInputs.xls] CARMMCasing"</f>
        <v>L71 ,L72 from [UDCInputs.xls] CARMMCasing</v>
      </c>
      <c r="F87" s="101" t="str">
        <f>"L"&amp;$A88&amp;" ,L"&amp;$A89&amp;" from [UDCInputs.xls] CARMMCasing"</f>
        <v>L71 ,L72 from [UDCInputs.xls] CARMMCasing</v>
      </c>
      <c r="G87" s="101" t="str">
        <f>"L"&amp;$A88&amp;"..L"&amp;$A89&amp;" from " &amp;NOTES!A12</f>
        <v>L71..L72 from 8.CityCosts</v>
      </c>
      <c r="H87" s="101" t="str">
        <f>"L"&amp;$A88&amp;"..L"&amp;$A89&amp;" from " &amp;NOTES!A12</f>
        <v>L71..L72 from 8.CityCosts</v>
      </c>
      <c r="I87" s="101" t="str">
        <f>"L"&amp;$A88&amp;"..L"&amp;$A89&amp;" from " &amp;NOTES!A12</f>
        <v>L71..L72 from 8.CityCosts</v>
      </c>
      <c r="J87" s="101" t="str">
        <f>"L"&amp;A88&amp;"..L"&amp;A89&amp;" from " &amp;NOTES!A9</f>
        <v>L71..L72 from 5.RuralCrosswalk</v>
      </c>
      <c r="K87" s="429"/>
      <c r="L87" s="95" t="str">
        <f>"L"&amp;$A89&amp;"..L"&amp;$A90&amp;" from [UDCInputs.xls] " &amp;[1]NOTES!$A$26</f>
        <v>L72..L73 from [UDCInputs.xls] CARMM</v>
      </c>
      <c r="M87" s="105"/>
      <c r="N87" s="105"/>
      <c r="O87" s="105"/>
      <c r="P87" s="151"/>
      <c r="Q87" s="105"/>
      <c r="R87" s="105"/>
      <c r="S87" s="9"/>
      <c r="T87"/>
      <c r="U87"/>
    </row>
    <row r="88" spans="1:21" s="2" customFormat="1" x14ac:dyDescent="0.2">
      <c r="A88" s="58">
        <f>A86+1</f>
        <v>71</v>
      </c>
      <c r="B88" s="154" t="s">
        <v>210</v>
      </c>
      <c r="C88" s="143"/>
      <c r="D88" s="139">
        <f>(E88+F88)/L88</f>
        <v>3.4724093343352296E-2</v>
      </c>
      <c r="E88" s="117">
        <f>[1]CARMMCasing!$D$21</f>
        <v>39792.276082923847</v>
      </c>
      <c r="F88" s="117">
        <f>[1]CARMMCasing!$E$21</f>
        <v>5622.2774519335144</v>
      </c>
      <c r="G88" s="117">
        <f>'8.CityCosts'!F216</f>
        <v>7919.1476578632301</v>
      </c>
      <c r="H88" s="117">
        <f>'8.CityCosts'!F180</f>
        <v>13922.725504544225</v>
      </c>
      <c r="I88" s="119">
        <f>'8.CityCosts'!F198</f>
        <v>614.62965319594571</v>
      </c>
      <c r="J88" s="119">
        <f>'5.RuralCrosswalk'!P104</f>
        <v>71941.295443966461</v>
      </c>
      <c r="K88" s="117">
        <f>SUM(E88:I88)*[1]BYPBack!$D$18+J88*[1]BYPBack!$E$18</f>
        <v>174221.32986078179</v>
      </c>
      <c r="L88" s="117">
        <f>[1]RPWShape!$D$21</f>
        <v>1307868.6629999999</v>
      </c>
      <c r="M88" s="118">
        <f>L88/L$90</f>
        <v>0.16620779457096055</v>
      </c>
      <c r="N88" s="139">
        <f>SUM($E88:$G88,I88)*[1]BYPBack!$D$18/L88</f>
        <v>5.3079801229813033E-2</v>
      </c>
      <c r="O88" s="139">
        <f>SUM($H88:$H88)*[1]BYPBack!$D$18/L88</f>
        <v>1.369857956252957E-2</v>
      </c>
      <c r="P88" s="139">
        <f>SUM($E88:$I88)*[1]BYPBack!$D$18/L88</f>
        <v>6.677838079234262E-2</v>
      </c>
      <c r="Q88" s="139">
        <f>$J88*[1]BYPBack!$E$18/L88</f>
        <v>6.6431730275806566E-2</v>
      </c>
      <c r="R88" s="140">
        <f>SUM($P88:$Q88)</f>
        <v>0.13321011106814917</v>
      </c>
      <c r="S88" s="9"/>
      <c r="T88"/>
      <c r="U88"/>
    </row>
    <row r="89" spans="1:21" s="2" customFormat="1" x14ac:dyDescent="0.2">
      <c r="A89" s="58">
        <f>A88+1</f>
        <v>72</v>
      </c>
      <c r="B89" s="143" t="s">
        <v>0</v>
      </c>
      <c r="C89" s="143"/>
      <c r="D89" s="139">
        <f>(E89+F89)/L89</f>
        <v>3.8198054033246058E-3</v>
      </c>
      <c r="E89" s="117">
        <f>[1]CARMMCasing!$D$25</f>
        <v>21534.62274505556</v>
      </c>
      <c r="F89" s="117">
        <f>[1]CARMMCasing!$E$25</f>
        <v>3527.1516872286848</v>
      </c>
      <c r="G89" s="117">
        <f>'8.CityCosts'!F217</f>
        <v>4370.1385756217742</v>
      </c>
      <c r="H89" s="119">
        <f>'8.CityCosts'!F181</f>
        <v>178981.26063895421</v>
      </c>
      <c r="I89" s="119">
        <f>'8.CityCosts'!F199</f>
        <v>5792.0884775862205</v>
      </c>
      <c r="J89" s="119">
        <f>'5.RuralCrosswalk'!P105</f>
        <v>146692.43531935383</v>
      </c>
      <c r="K89" s="117">
        <f>SUM(E89:I89)*[1]BYPBack!$D$18+J89*[1]BYPBack!$E$18</f>
        <v>452803.52114949102</v>
      </c>
      <c r="L89" s="117">
        <f>[1]RPWShape!$D$22</f>
        <v>6561008.1629999997</v>
      </c>
      <c r="M89" s="118">
        <f>L89/L$90</f>
        <v>0.83379220542903953</v>
      </c>
      <c r="N89" s="139">
        <f>SUM($E89:$G89,I89)*[1]BYPBack!$D$18/L89</f>
        <v>6.9084961895042249E-3</v>
      </c>
      <c r="O89" s="139">
        <f>SUM($H89:$H89)*[1]BYPBack!$D$18/L89</f>
        <v>3.5103659577863489E-2</v>
      </c>
      <c r="P89" s="139">
        <f>SUM($E89:$I89)*[1]BYPBack!$D$18/L89</f>
        <v>4.2012155767367713E-2</v>
      </c>
      <c r="Q89" s="139">
        <f>$J89*[1]BYPBack!$E$18/L89</f>
        <v>2.7002164882775796E-2</v>
      </c>
      <c r="R89" s="140">
        <f>SUM($P89:$Q89)</f>
        <v>6.9014320650143512E-2</v>
      </c>
      <c r="S89" s="9"/>
      <c r="T89"/>
      <c r="U89"/>
    </row>
    <row r="90" spans="1:21" s="2" customFormat="1" x14ac:dyDescent="0.2">
      <c r="A90" s="59">
        <f>A89+1</f>
        <v>73</v>
      </c>
      <c r="B90" s="131" t="s">
        <v>292</v>
      </c>
      <c r="C90" s="131"/>
      <c r="D90" s="145">
        <f>(E90+F90)/L90</f>
        <v>8.9563389446225411E-3</v>
      </c>
      <c r="E90" s="122">
        <f t="shared" ref="E90:M90" si="27">SUM(E88:E89)</f>
        <v>61326.898827979407</v>
      </c>
      <c r="F90" s="122">
        <f t="shared" si="27"/>
        <v>9149.4291391621991</v>
      </c>
      <c r="G90" s="122">
        <f t="shared" si="27"/>
        <v>12289.286233485003</v>
      </c>
      <c r="H90" s="122">
        <f t="shared" si="27"/>
        <v>192903.98614349842</v>
      </c>
      <c r="I90" s="122">
        <f t="shared" si="27"/>
        <v>6406.7181307821666</v>
      </c>
      <c r="J90" s="122">
        <f t="shared" si="27"/>
        <v>218633.73076332029</v>
      </c>
      <c r="K90" s="122">
        <f t="shared" si="27"/>
        <v>627024.85101027275</v>
      </c>
      <c r="L90" s="122">
        <f t="shared" si="27"/>
        <v>7868876.8259999994</v>
      </c>
      <c r="M90" s="123">
        <f t="shared" si="27"/>
        <v>1</v>
      </c>
      <c r="N90" s="145">
        <f>SUMPRODUCT(N88:N89,$L88:$L89)/SUM($L88:$L89)</f>
        <v>1.4582526972717027E-2</v>
      </c>
      <c r="O90" s="145">
        <f>SUMPRODUCT(O88:O89,$L88:$L89)/SUM($L88:$L89)</f>
        <v>3.1545968435899893E-2</v>
      </c>
      <c r="P90" s="145">
        <f>SUMPRODUCT(P88:P89,$L88:$L89)/SUM($L88:$L89)</f>
        <v>4.6128495408616924E-2</v>
      </c>
      <c r="Q90" s="145">
        <f>SUMPRODUCT(Q88:Q89,$L88:$L89)/SUM($L88:$L89)</f>
        <v>3.355566598764291E-2</v>
      </c>
      <c r="R90" s="146">
        <f>SUM($P90:$Q90)</f>
        <v>7.9684161396259834E-2</v>
      </c>
      <c r="S90" s="9"/>
      <c r="T90"/>
      <c r="U90"/>
    </row>
    <row r="91" spans="1:21" s="2" customFormat="1" x14ac:dyDescent="0.2">
      <c r="A91" s="59"/>
      <c r="B91" s="131"/>
      <c r="C91" s="131"/>
      <c r="D91" s="145"/>
      <c r="E91" s="122"/>
      <c r="F91" s="122"/>
      <c r="G91" s="122"/>
      <c r="H91" s="122"/>
      <c r="I91" s="122"/>
      <c r="J91" s="122"/>
      <c r="K91" s="122"/>
      <c r="L91" s="122"/>
      <c r="M91" s="123"/>
      <c r="N91" s="151"/>
      <c r="O91" s="151"/>
      <c r="P91" s="151"/>
      <c r="Q91" s="151"/>
      <c r="R91" s="152"/>
      <c r="S91" s="9"/>
      <c r="T91"/>
      <c r="U91"/>
    </row>
    <row r="92" spans="1:21" s="2" customFormat="1" x14ac:dyDescent="0.2">
      <c r="A92" s="59">
        <f>A90+1</f>
        <v>74</v>
      </c>
      <c r="B92" s="131" t="s">
        <v>306</v>
      </c>
      <c r="C92" s="131"/>
      <c r="D92" s="145"/>
      <c r="E92" s="122">
        <f>[1]CARMMCasing!$D$30</f>
        <v>3687.7934468462458</v>
      </c>
      <c r="F92" s="122">
        <f>[1]CARMMCasing!$E$30</f>
        <v>1319.7381989381124</v>
      </c>
      <c r="G92" s="119">
        <f>'[1]7.0.6'!$P$19+'[1]CS6&amp;7 CRA'!$D$20+'[1]7.0.6'!$I$19</f>
        <v>873.21563691305801</v>
      </c>
      <c r="H92" s="122">
        <f>'[1]CS6&amp;7 CRA'!$F$20</f>
        <v>13512.623026403799</v>
      </c>
      <c r="I92" s="119">
        <f>'[1]7.0.6'!$J$19</f>
        <v>448.78060152311463</v>
      </c>
      <c r="J92" s="122">
        <f>'5.RuralCrosswalk'!P108</f>
        <v>6265.564633027645</v>
      </c>
      <c r="K92" s="122">
        <f>SUM(E92:I92)*[1]BYPBack!$D$19+J92*[1]BYPBack!$E$19</f>
        <v>33093.69472955056</v>
      </c>
      <c r="L92" s="122">
        <f>[1]RPWShape!$D$23</f>
        <v>559191.61399999994</v>
      </c>
      <c r="M92" s="123">
        <f>L92/L$90</f>
        <v>7.1063714220604327E-2</v>
      </c>
      <c r="N92" s="139">
        <f>SUM($E92:$G92,I92)*[1]BYPBack!$D$19/L92</f>
        <v>1.4561868979925605E-2</v>
      </c>
      <c r="O92" s="139">
        <f>SUM($H92:$H92)*[1]BYPBack!$D$19/L92</f>
        <v>3.1087475983186959E-2</v>
      </c>
      <c r="P92" s="139">
        <f>SUM($E92:$I92)*[1]BYPBack!$D$19/L92</f>
        <v>4.5649344963112563E-2</v>
      </c>
      <c r="Q92" s="139">
        <f>$J92*[1]BYPBack!$E$19/L92</f>
        <v>1.3531969457583604E-2</v>
      </c>
      <c r="R92" s="140">
        <f>SUM($P92:$Q92)</f>
        <v>5.9181314420696171E-2</v>
      </c>
      <c r="S92" s="9"/>
      <c r="T92"/>
      <c r="U92"/>
    </row>
    <row r="93" spans="1:21" s="2" customFormat="1" ht="33.75" x14ac:dyDescent="0.2">
      <c r="A93" s="98"/>
      <c r="B93" s="99" t="s">
        <v>177</v>
      </c>
      <c r="C93" s="105"/>
      <c r="D93" s="104"/>
      <c r="E93" s="101" t="str">
        <f>"L"&amp;$A94&amp;" ,L"&amp;$A95&amp;" from [UDCInputs.xls] CARMMCasing"</f>
        <v>L75 ,L76 from [UDCInputs.xls] CARMMCasing</v>
      </c>
      <c r="F93" s="101" t="str">
        <f>"L"&amp;$A94&amp;" ,L"&amp;$A95&amp;" from [UDCInputs.xls] CARMMCasing"</f>
        <v>L75 ,L76 from [UDCInputs.xls] CARMMCasing</v>
      </c>
      <c r="G93" s="101" t="str">
        <f>"L"&amp;$A94&amp;"..L"&amp;$A95&amp;" from " &amp;NOTES!A12</f>
        <v>L75..L76 from 8.CityCosts</v>
      </c>
      <c r="H93" s="101" t="str">
        <f>"L"&amp;$A94&amp;"..L"&amp;$A95&amp;" from " &amp;NOTES!A12</f>
        <v>L75..L76 from 8.CityCosts</v>
      </c>
      <c r="I93" s="101" t="str">
        <f>"L"&amp;$A94&amp;"..L"&amp;$A95&amp;" from " &amp;NOTES!A12</f>
        <v>L75..L76 from 8.CityCosts</v>
      </c>
      <c r="J93" s="101" t="str">
        <f>"L"&amp;A94&amp;"..L"&amp;A95&amp;" from " &amp;NOTES!A9</f>
        <v>L75..L76 from 5.RuralCrosswalk</v>
      </c>
      <c r="K93" s="427"/>
      <c r="L93" s="95" t="str">
        <f>"L"&amp;$A95&amp;"..L"&amp;$A96&amp;" from [UDCInputs.xls] " &amp;[1]NOTES!$A$26</f>
        <v>L76..L77 from [UDCInputs.xls] CARMM</v>
      </c>
      <c r="M93" s="105"/>
      <c r="N93" s="151"/>
      <c r="O93" s="105"/>
      <c r="P93" s="151"/>
      <c r="Q93" s="151"/>
      <c r="R93" s="105"/>
      <c r="S93" s="9"/>
      <c r="T93"/>
      <c r="U93"/>
    </row>
    <row r="94" spans="1:21" s="2" customFormat="1" x14ac:dyDescent="0.2">
      <c r="A94" s="58">
        <f>A92+1</f>
        <v>75</v>
      </c>
      <c r="B94" s="154" t="s">
        <v>214</v>
      </c>
      <c r="C94" s="143"/>
      <c r="D94" s="139"/>
      <c r="E94" s="117">
        <f>[1]CARMMCasing!$D$24</f>
        <v>0</v>
      </c>
      <c r="F94" s="117">
        <f>[1]CARMMCasing!$E$24</f>
        <v>0</v>
      </c>
      <c r="G94" s="117">
        <f>'8.CityCosts'!F218</f>
        <v>0</v>
      </c>
      <c r="H94" s="117">
        <f>'8.CityCosts'!F182</f>
        <v>0</v>
      </c>
      <c r="I94" s="117">
        <f>'8.CityCosts'!F200</f>
        <v>0</v>
      </c>
      <c r="J94" s="119">
        <f>'5.RuralCrosswalk'!P106</f>
        <v>0</v>
      </c>
      <c r="K94" s="117">
        <f>SUM(E94:I94)*[1]BYPBack!$E$18+J94*[1]BYPBack!$F$18</f>
        <v>0</v>
      </c>
      <c r="L94" s="117">
        <f>[1]RPWShape!$E$21</f>
        <v>0</v>
      </c>
      <c r="M94" s="118">
        <f>IF(L$96,L94/L$96,0)</f>
        <v>0</v>
      </c>
      <c r="N94" s="139"/>
      <c r="O94" s="139"/>
      <c r="P94" s="139"/>
      <c r="Q94" s="139"/>
      <c r="R94" s="140">
        <f>SUM(P94:Q94)</f>
        <v>0</v>
      </c>
      <c r="S94" s="9"/>
      <c r="T94"/>
      <c r="U94"/>
    </row>
    <row r="95" spans="1:21" s="2" customFormat="1" x14ac:dyDescent="0.2">
      <c r="A95" s="58">
        <f>A94+1</f>
        <v>76</v>
      </c>
      <c r="B95" s="143" t="s">
        <v>1</v>
      </c>
      <c r="C95" s="143"/>
      <c r="D95" s="139">
        <f>IF(L95,(E95+F95)/L95,0)</f>
        <v>0</v>
      </c>
      <c r="E95" s="117">
        <f>[1]CARMMCasing!$D$29</f>
        <v>0</v>
      </c>
      <c r="F95" s="117">
        <f>[1]CARMMCasing!$E$29</f>
        <v>0</v>
      </c>
      <c r="G95" s="117">
        <f>'8.CityCosts'!F219</f>
        <v>0</v>
      </c>
      <c r="H95" s="119">
        <f>'8.CityCosts'!F183</f>
        <v>0</v>
      </c>
      <c r="I95" s="117">
        <f>'8.CityCosts'!F201</f>
        <v>0</v>
      </c>
      <c r="J95" s="119">
        <f>'5.RuralCrosswalk'!P107</f>
        <v>0</v>
      </c>
      <c r="K95" s="117">
        <f>SUM(E95:I95)*[1]BYPBack!$E$18+J95*[1]BYPBack!$F$18</f>
        <v>0</v>
      </c>
      <c r="L95" s="117">
        <f>[1]RPWShape!$E$22</f>
        <v>0</v>
      </c>
      <c r="M95" s="118">
        <f t="shared" ref="M95:M96" si="28">IF(L$96,L95/L$96,0)</f>
        <v>0</v>
      </c>
      <c r="N95" s="139">
        <f>IF(L95,SUM($E95:$G95,I95)*[1]BYPBack!$D$18/L95,0)</f>
        <v>0</v>
      </c>
      <c r="O95" s="139">
        <f>IF(L95,SUM($H95:$H95)*[1]BYPBack!$D$18/L95,0)</f>
        <v>0</v>
      </c>
      <c r="P95" s="139">
        <f>IF(L95,SUM($E95:$I95)*[1]BYPBack!$D$18/L95,0)</f>
        <v>0</v>
      </c>
      <c r="Q95" s="139">
        <f>IF(L95,$J95*[1]BYPBack!$E$18/L95,0)</f>
        <v>0</v>
      </c>
      <c r="R95" s="140">
        <f>SUM(P95:Q95)</f>
        <v>0</v>
      </c>
      <c r="S95" s="9"/>
      <c r="T95"/>
      <c r="U95"/>
    </row>
    <row r="96" spans="1:21" s="2" customFormat="1" x14ac:dyDescent="0.2">
      <c r="A96" s="59">
        <f>A95+1</f>
        <v>77</v>
      </c>
      <c r="B96" s="131" t="s">
        <v>293</v>
      </c>
      <c r="C96" s="131"/>
      <c r="D96" s="139">
        <f>IF(L96,(E96+F96)/L96,0)</f>
        <v>0</v>
      </c>
      <c r="E96" s="122">
        <f t="shared" ref="E96:L96" si="29">SUM(E94:E95)</f>
        <v>0</v>
      </c>
      <c r="F96" s="122">
        <f t="shared" si="29"/>
        <v>0</v>
      </c>
      <c r="G96" s="122">
        <f t="shared" si="29"/>
        <v>0</v>
      </c>
      <c r="H96" s="122">
        <f t="shared" si="29"/>
        <v>0</v>
      </c>
      <c r="I96" s="122">
        <f t="shared" si="29"/>
        <v>0</v>
      </c>
      <c r="J96" s="159">
        <f t="shared" si="29"/>
        <v>0</v>
      </c>
      <c r="K96" s="315">
        <f t="shared" si="29"/>
        <v>0</v>
      </c>
      <c r="L96" s="159">
        <f t="shared" si="29"/>
        <v>0</v>
      </c>
      <c r="M96" s="118">
        <f t="shared" si="28"/>
        <v>0</v>
      </c>
      <c r="N96" s="139">
        <f>IF(L96,SUM($E96:$G96,I96)*[1]BYPBack!$D$18/L96,0)</f>
        <v>0</v>
      </c>
      <c r="O96" s="139">
        <f>IF(L96,SUM($H96:$H96)*[1]BYPBack!$D$18/L96,0)</f>
        <v>0</v>
      </c>
      <c r="P96" s="139">
        <f>IF(L96,SUM($E96:$I96)*[1]BYPBack!$D$18/L96,0)</f>
        <v>0</v>
      </c>
      <c r="Q96" s="139">
        <f>IF(L96,$J96*[1]BYPBack!$E$18/L96,0)</f>
        <v>0</v>
      </c>
      <c r="R96" s="140">
        <f>SUM(P96:Q96)</f>
        <v>0</v>
      </c>
      <c r="S96" s="9"/>
      <c r="T96"/>
      <c r="U96"/>
    </row>
    <row r="97" spans="1:21" s="2" customFormat="1" ht="33.75" x14ac:dyDescent="0.2">
      <c r="A97" s="98"/>
      <c r="B97" s="99" t="s">
        <v>178</v>
      </c>
      <c r="C97" s="105"/>
      <c r="D97" s="105"/>
      <c r="E97" s="101" t="str">
        <f>"L"&amp;A98&amp;"..L"&amp;$A100&amp;" = L"&amp;$A88&amp;"..L"&amp;$A89&amp;" + L"&amp;$A94&amp;"..L"&amp;$A95</f>
        <v>L78..L80 = L71..L72 + L75..L76</v>
      </c>
      <c r="F97" s="101" t="str">
        <f>"L"&amp;A98&amp;"..L"&amp;$A100&amp;" = L"&amp;$A88&amp;"..L"&amp;$A89&amp;" + L"&amp;$A94&amp;"..L"&amp;$A95</f>
        <v>L78..L80 = L71..L72 + L75..L76</v>
      </c>
      <c r="G97" s="101" t="str">
        <f>"L"&amp;A98&amp;"..L"&amp;$A100&amp;" = L"&amp;$A88&amp;"..L"&amp;$A89&amp;" + L"&amp;$A94&amp;"..L"&amp;$A95</f>
        <v>L78..L80 = L71..L72 + L75..L76</v>
      </c>
      <c r="H97" s="101" t="str">
        <f>"L"&amp;A98&amp;"..L"&amp;$A100&amp;" = L"&amp;$A88&amp;"..L"&amp;$A89&amp;" + L"&amp;$A94&amp;"..L"&amp;$A95</f>
        <v>L78..L80 = L71..L72 + L75..L76</v>
      </c>
      <c r="I97" s="101" t="str">
        <f>"L"&amp;A98&amp;"..L"&amp;$A100&amp;" = L"&amp;$A88&amp;"..L"&amp;$A89&amp;" + L"&amp;$A94&amp;"..L"&amp;$A95</f>
        <v>L78..L80 = L71..L72 + L75..L76</v>
      </c>
      <c r="J97" s="101" t="str">
        <f>"L"&amp;A98&amp;"..L"&amp;$A100&amp;" = L"&amp;$A88&amp;"..L"&amp;$A89&amp;" + L"&amp;$A94&amp;"..L"&amp;$A95</f>
        <v>L78..L80 = L71..L72 + L75..L76</v>
      </c>
      <c r="K97" s="125"/>
      <c r="L97" s="101" t="str">
        <f>"L"&amp;A98&amp;"..L"&amp;$A100&amp;" = L"&amp;$A88&amp;"..L"&amp;$A89&amp;" + L"&amp;$A94&amp;"..L"&amp;$A95</f>
        <v>L78..L80 = L71..L72 + L75..L76</v>
      </c>
      <c r="M97" s="105"/>
      <c r="N97" s="105"/>
      <c r="O97" s="105"/>
      <c r="P97" s="105"/>
      <c r="Q97" s="105"/>
      <c r="R97" s="105"/>
      <c r="S97" s="9"/>
      <c r="T97"/>
      <c r="U97"/>
    </row>
    <row r="98" spans="1:21" s="2" customFormat="1" x14ac:dyDescent="0.2">
      <c r="A98" s="58">
        <f>A96+1</f>
        <v>78</v>
      </c>
      <c r="B98" s="154" t="s">
        <v>215</v>
      </c>
      <c r="C98" s="143"/>
      <c r="D98" s="139">
        <f>(E98+F98)/L98</f>
        <v>3.4724093343352296E-2</v>
      </c>
      <c r="E98" s="117">
        <f t="shared" ref="E98:G99" si="30">SUM(E88,E94)</f>
        <v>39792.276082923847</v>
      </c>
      <c r="F98" s="117">
        <f t="shared" si="30"/>
        <v>5622.2774519335144</v>
      </c>
      <c r="G98" s="167">
        <f t="shared" si="30"/>
        <v>7919.1476578632301</v>
      </c>
      <c r="H98" s="119">
        <f t="shared" ref="H98:H100" si="31">H88+H94</f>
        <v>13922.725504544225</v>
      </c>
      <c r="I98" s="119">
        <f>(H98/$H$100)*$I$100</f>
        <v>462.40090577243421</v>
      </c>
      <c r="J98" s="119">
        <f t="shared" ref="J98:K100" si="32">J88+J94</f>
        <v>71941.295443966461</v>
      </c>
      <c r="K98" s="117">
        <f t="shared" si="32"/>
        <v>174221.32986078179</v>
      </c>
      <c r="L98" s="117">
        <f>SUM(L88,L94)</f>
        <v>1307868.6629999999</v>
      </c>
      <c r="M98" s="118">
        <f>L98/L$100</f>
        <v>0.16620779457096055</v>
      </c>
      <c r="N98" s="139">
        <f>SUM($E98:$G98,I98)*[1]BYPBack!$D$18/L98</f>
        <v>5.293002325655595E-2</v>
      </c>
      <c r="O98" s="139">
        <f>SUM($H98:$H98)*[1]BYPBack!$D$18/L98</f>
        <v>1.369857956252957E-2</v>
      </c>
      <c r="P98" s="139">
        <f>SUM($E98:$I98)*[1]BYPBack!$D$18/L98</f>
        <v>6.6628602819085531E-2</v>
      </c>
      <c r="Q98" s="139">
        <f>$J98*[1]BYPBack!$E$18/L98</f>
        <v>6.6431730275806566E-2</v>
      </c>
      <c r="R98" s="140">
        <f>SUM(P98:Q98)</f>
        <v>0.1330603330948921</v>
      </c>
      <c r="S98" s="9"/>
      <c r="T98"/>
      <c r="U98"/>
    </row>
    <row r="99" spans="1:21" s="2" customFormat="1" x14ac:dyDescent="0.2">
      <c r="A99" s="58">
        <f>A98+1</f>
        <v>79</v>
      </c>
      <c r="B99" s="143" t="s">
        <v>64</v>
      </c>
      <c r="C99" s="143"/>
      <c r="D99" s="139">
        <f>(E99+F99)/L99</f>
        <v>3.8198054033246058E-3</v>
      </c>
      <c r="E99" s="117">
        <f t="shared" si="30"/>
        <v>21534.62274505556</v>
      </c>
      <c r="F99" s="117">
        <f t="shared" si="30"/>
        <v>3527.1516872286848</v>
      </c>
      <c r="G99" s="167">
        <f t="shared" si="30"/>
        <v>4370.1385756217742</v>
      </c>
      <c r="H99" s="119">
        <f t="shared" si="31"/>
        <v>178981.26063895421</v>
      </c>
      <c r="I99" s="119">
        <f>(H99/$H$100)*$I$100</f>
        <v>5944.3172250097323</v>
      </c>
      <c r="J99" s="119">
        <f t="shared" si="32"/>
        <v>146692.43531935383</v>
      </c>
      <c r="K99" s="117">
        <f t="shared" si="32"/>
        <v>452803.52114949102</v>
      </c>
      <c r="L99" s="117">
        <f>SUM(L89,L95)</f>
        <v>6561008.1629999997</v>
      </c>
      <c r="M99" s="118">
        <f>L99/L$100</f>
        <v>0.83379220542903953</v>
      </c>
      <c r="N99" s="139">
        <f>SUM($E99:$G99,I99)*[1]BYPBack!$D$18/L99</f>
        <v>6.9383528689601773E-3</v>
      </c>
      <c r="O99" s="139">
        <f>SUM($H99:$H99)*[1]BYPBack!$D$18/L99</f>
        <v>3.5103659577863489E-2</v>
      </c>
      <c r="P99" s="139">
        <f>SUM($E99:$I99)*[1]BYPBack!$D$18/L99</f>
        <v>4.2042012446823672E-2</v>
      </c>
      <c r="Q99" s="139">
        <f>$J99*[1]BYPBack!$E$18/L99</f>
        <v>2.7002164882775796E-2</v>
      </c>
      <c r="R99" s="140">
        <f>SUM(P99:Q99)</f>
        <v>6.9044177329599471E-2</v>
      </c>
      <c r="S99" s="9"/>
      <c r="T99"/>
      <c r="U99"/>
    </row>
    <row r="100" spans="1:21" s="2" customFormat="1" x14ac:dyDescent="0.2">
      <c r="A100" s="96">
        <f>A99+1</f>
        <v>80</v>
      </c>
      <c r="B100" s="144" t="s">
        <v>295</v>
      </c>
      <c r="C100" s="131"/>
      <c r="D100" s="145">
        <f>(E100+F100)/L100</f>
        <v>8.9563389446225411E-3</v>
      </c>
      <c r="E100" s="171">
        <f>SUM(E98:E99)</f>
        <v>61326.898827979407</v>
      </c>
      <c r="F100" s="171">
        <f>SUM(F98:F99)</f>
        <v>9149.4291391621991</v>
      </c>
      <c r="G100" s="171">
        <f>SUM(G90,G96)</f>
        <v>12289.286233485003</v>
      </c>
      <c r="H100" s="159">
        <f t="shared" si="31"/>
        <v>192903.98614349842</v>
      </c>
      <c r="I100" s="159">
        <f>SUM(I90,I96)</f>
        <v>6406.7181307821666</v>
      </c>
      <c r="J100" s="159">
        <f t="shared" si="32"/>
        <v>218633.73076332029</v>
      </c>
      <c r="K100" s="117">
        <f t="shared" si="32"/>
        <v>627024.85101027275</v>
      </c>
      <c r="L100" s="122">
        <f>SUM(L98:L99)</f>
        <v>7868876.8259999994</v>
      </c>
      <c r="M100" s="123">
        <f>L100/L$100</f>
        <v>1</v>
      </c>
      <c r="N100" s="139">
        <f>SUMPRODUCT(N98:N99,$L98:$L99)/SUM($L98:$L99)</f>
        <v>1.4582526972717025E-2</v>
      </c>
      <c r="O100" s="139">
        <f>SUMPRODUCT(O98:O99,$L98:$L99)/SUM($L98:$L99)</f>
        <v>3.1545968435899893E-2</v>
      </c>
      <c r="P100" s="139">
        <f>SUMPRODUCT(P98:P99,$L98:$L99)/SUM($L98:$L99)</f>
        <v>4.6128495408616924E-2</v>
      </c>
      <c r="Q100" s="139">
        <f>SUMPRODUCT(Q98:Q99,$L98:$L99)/SUM($L98:$L99)</f>
        <v>3.355566598764291E-2</v>
      </c>
      <c r="R100" s="140">
        <f>SUM(P100:Q100)</f>
        <v>7.9684161396259834E-2</v>
      </c>
      <c r="S100" s="9"/>
      <c r="T100"/>
      <c r="U100"/>
    </row>
    <row r="101" spans="1:21" s="2" customFormat="1" ht="22.5" x14ac:dyDescent="0.2">
      <c r="A101" s="61"/>
      <c r="B101" s="99" t="s">
        <v>112</v>
      </c>
      <c r="C101" s="105"/>
      <c r="D101" s="105"/>
      <c r="E101" s="101" t="str">
        <f t="shared" ref="E101:J101" si="33">"L"&amp;$A102&amp;" = L"&amp;$A86&amp;"+L"&amp;$A90&amp;"+L"&amp;$A96</f>
        <v>L81 = L70+L73+L77</v>
      </c>
      <c r="F101" s="101" t="str">
        <f t="shared" si="33"/>
        <v>L81 = L70+L73+L77</v>
      </c>
      <c r="G101" s="101" t="str">
        <f t="shared" si="33"/>
        <v>L81 = L70+L73+L77</v>
      </c>
      <c r="H101" s="101" t="str">
        <f t="shared" si="33"/>
        <v>L81 = L70+L73+L77</v>
      </c>
      <c r="I101" s="101" t="str">
        <f t="shared" si="33"/>
        <v>L81 = L70+L73+L77</v>
      </c>
      <c r="J101" s="101" t="str">
        <f t="shared" si="33"/>
        <v>L81 = L70+L73+L77</v>
      </c>
      <c r="K101" s="427"/>
      <c r="L101" s="101" t="str">
        <f>"L"&amp;$A102&amp;" = L"&amp;$A86&amp;"+L"&amp;$A90&amp;"+L"&amp;$A96</f>
        <v>L81 = L70+L73+L77</v>
      </c>
      <c r="M101" s="105"/>
      <c r="N101" s="151"/>
      <c r="O101" s="151"/>
      <c r="P101" s="105"/>
      <c r="Q101" s="105"/>
      <c r="R101" s="152"/>
      <c r="S101" s="9"/>
      <c r="T101"/>
      <c r="U101"/>
    </row>
    <row r="102" spans="1:21" s="2" customFormat="1" x14ac:dyDescent="0.2">
      <c r="A102" s="61">
        <f>A100+1</f>
        <v>81</v>
      </c>
      <c r="B102" s="150" t="s">
        <v>15</v>
      </c>
      <c r="C102" s="105"/>
      <c r="D102" s="151">
        <f>(E102+F102)/L102</f>
        <v>9.0503430137008224E-3</v>
      </c>
      <c r="E102" s="125">
        <f t="shared" ref="E102:L102" si="34">SUM(E86,E90,E96)</f>
        <v>103646.06103306729</v>
      </c>
      <c r="F102" s="125">
        <f t="shared" si="34"/>
        <v>22029.630075685942</v>
      </c>
      <c r="G102" s="125">
        <f t="shared" si="34"/>
        <v>21914.343820514936</v>
      </c>
      <c r="H102" s="125">
        <f t="shared" si="34"/>
        <v>287743.16624750255</v>
      </c>
      <c r="I102" s="125">
        <f t="shared" si="34"/>
        <v>9556.5125276115177</v>
      </c>
      <c r="J102" s="125">
        <f t="shared" si="34"/>
        <v>348579.36919260217</v>
      </c>
      <c r="K102" s="125">
        <f t="shared" si="34"/>
        <v>991632.39055813418</v>
      </c>
      <c r="L102" s="125">
        <f t="shared" si="34"/>
        <v>13886290.377999999</v>
      </c>
      <c r="M102" s="125"/>
      <c r="N102" s="139"/>
      <c r="O102" s="139"/>
      <c r="P102" s="139"/>
      <c r="Q102" s="139"/>
      <c r="R102" s="152">
        <f>K102/L102</f>
        <v>7.1410892582886923E-2</v>
      </c>
      <c r="S102" s="9"/>
      <c r="T102"/>
      <c r="U102"/>
    </row>
    <row r="103" spans="1:21" s="2" customFormat="1" x14ac:dyDescent="0.2">
      <c r="A103" s="91"/>
      <c r="B103" s="170"/>
      <c r="C103" s="143"/>
      <c r="D103" s="139"/>
      <c r="E103" s="113"/>
      <c r="F103" s="113"/>
      <c r="G103" s="113"/>
      <c r="H103" s="128"/>
      <c r="I103" s="128"/>
      <c r="J103" s="113"/>
      <c r="K103" s="117"/>
      <c r="L103" s="113"/>
      <c r="M103" s="117"/>
      <c r="N103" s="129"/>
      <c r="O103" s="129"/>
      <c r="P103" s="129"/>
      <c r="Q103" s="129"/>
      <c r="R103" s="148"/>
      <c r="S103" s="9"/>
      <c r="T103"/>
      <c r="U103"/>
    </row>
    <row r="104" spans="1:21" s="2" customFormat="1" ht="67.5" x14ac:dyDescent="0.2">
      <c r="A104" s="97"/>
      <c r="B104" s="240" t="s">
        <v>179</v>
      </c>
      <c r="C104" s="143"/>
      <c r="D104" s="139"/>
      <c r="E104" s="95" t="str">
        <f>"L"&amp;$A108&amp;", L"&amp;A115&amp;" from [UDCInputs.xls] CARMMCasing"</f>
        <v>L85, L92 from [UDCInputs.xls] CARMMCasing</v>
      </c>
      <c r="F104" s="95" t="str">
        <f>"L"&amp;$A107&amp;", L"&amp;A115&amp;" from [UDCInputs.xls] CARMM - C"&amp;-E6&amp;"; 
L"&amp;A109&amp;", L"&amp;A116&amp;" from [UDCInputs.xls] 7.0.6"</f>
        <v>L84, L92 from [UDCInputs.xls] CARMM - C3; 
L86, L93 from [UDCInputs.xls] 7.0.6</v>
      </c>
      <c r="G104" s="95" t="str">
        <f>"L"&amp;A106&amp;"=L"&amp;$A85&amp;"; 
L"&amp;$A108&amp;"..L"&amp;$A109&amp;" = (C"&amp;-E6&amp;"+C"&amp;-F6&amp;" L{i}) / (C"&amp;-E6&amp;"+C"&amp;-F6&amp;" L"&amp;A89&amp;") * C"&amp;-G6&amp;"L"&amp;A89&amp;";
L"&amp;$A110&amp;" = L"&amp;$A109&amp;"+L"&amp;$A108</f>
        <v>L83=L69; 
L85..L86 = (C3+C4 L{i}) / (C3+C4 L72) * C5L72;
L87 = L86+L85</v>
      </c>
      <c r="H104" s="95" t="str">
        <f xml:space="preserve">
"L"&amp;$A108&amp;"..L"&amp;A109&amp;" from [UDCInputs.xls] City Dal Costs""; 
L"&amp;A115&amp;", L"&amp;A116&amp;" from [UDCInputs.xls] City Dal Costs"</f>
        <v>L85..L86 from [UDCInputs.xls] City Dal Costs"; 
L92, L93 from [UDCInputs.xls] City Dal Costs</v>
      </c>
      <c r="I104" s="95"/>
      <c r="J104" s="95" t="str">
        <f>"L"&amp;A108&amp;"..L"&amp;A109&amp;"..L"&amp;A115&amp;"..L"&amp;A116&amp;" from [UDCInputs.xls] Rural DAL Costs"</f>
        <v>L85..L86..L92..L93 from [UDCInputs.xls] Rural DAL Costs</v>
      </c>
      <c r="K104" s="117"/>
      <c r="L104" s="95" t="str">
        <f>"L"&amp;$A108&amp;"..L"&amp;$A110&amp; " from [UDCInputs.xls] DALs"</f>
        <v>L85..L87 from [UDCInputs.xls] DALs</v>
      </c>
      <c r="M104" s="117"/>
      <c r="N104" s="69"/>
      <c r="O104" s="69"/>
      <c r="P104" s="69"/>
      <c r="Q104" s="69"/>
      <c r="R104" s="69"/>
      <c r="S104" s="9"/>
      <c r="T104"/>
      <c r="U104"/>
    </row>
    <row r="105" spans="1:21" s="2" customFormat="1" x14ac:dyDescent="0.2">
      <c r="A105" s="62">
        <f>A102+1</f>
        <v>82</v>
      </c>
      <c r="B105" s="133" t="s">
        <v>264</v>
      </c>
      <c r="C105" s="115"/>
      <c r="D105" s="129"/>
      <c r="E105" s="113"/>
      <c r="F105" s="113"/>
      <c r="G105" s="113"/>
      <c r="H105" s="113"/>
      <c r="I105" s="113"/>
      <c r="J105" s="113"/>
      <c r="K105" s="113"/>
      <c r="L105" s="113"/>
      <c r="M105" s="113"/>
      <c r="N105" s="202" t="s">
        <v>137</v>
      </c>
      <c r="O105" s="220"/>
      <c r="P105" s="220"/>
      <c r="Q105" s="220"/>
      <c r="R105" s="220"/>
      <c r="S105" s="9"/>
      <c r="T105"/>
      <c r="U105"/>
    </row>
    <row r="106" spans="1:21" s="2" customFormat="1" ht="22.5" x14ac:dyDescent="0.2">
      <c r="A106" s="184">
        <f t="shared" ref="A106:A118" si="35">A105+1</f>
        <v>83</v>
      </c>
      <c r="B106" s="260" t="s">
        <v>138</v>
      </c>
      <c r="C106" s="247"/>
      <c r="D106" s="261">
        <f t="shared" ref="D106:D111" si="36">SUM(E106:F106)/L106</f>
        <v>8.2626570621775856E-3</v>
      </c>
      <c r="E106" s="244">
        <f>E85</f>
        <v>16794.799381632885</v>
      </c>
      <c r="F106" s="244">
        <f>F85</f>
        <v>4577.5077957966714</v>
      </c>
      <c r="G106" s="244">
        <f>G85</f>
        <v>3726.667766486963</v>
      </c>
      <c r="H106" s="244">
        <f>H85</f>
        <v>45607.500481060684</v>
      </c>
      <c r="I106" s="244">
        <f>($H106/$H85)*I85</f>
        <v>1451.8367331968598</v>
      </c>
      <c r="J106" s="244">
        <f>($H106/$H85)*J85</f>
        <v>56686.308197454251</v>
      </c>
      <c r="K106" s="244">
        <f>SUM(E106:I106)*[1]BYPBack!$D$17+J106*[1]BYPBack!$E$17</f>
        <v>160499.61824605387</v>
      </c>
      <c r="L106" s="244">
        <f>L85</f>
        <v>2586614.3319999999</v>
      </c>
      <c r="M106" s="244"/>
      <c r="N106" s="261">
        <f>SUM($E106:$G106,I106)*[1]BYPBack!$D$17/L106</f>
        <v>1.3092800175611511E-2</v>
      </c>
      <c r="O106" s="261">
        <f>SUM($H106:$H106)*[1]BYPBack!D$17/L106</f>
        <v>2.2490080437817854E-2</v>
      </c>
      <c r="P106" s="261">
        <f>SUM($E106:$I106)*[1]BYPBack!D$17/L106</f>
        <v>3.5582880613429367E-2</v>
      </c>
      <c r="Q106" s="261">
        <f>$J106*[1]BYPBack!$E$17/L106</f>
        <v>2.6467196300029059E-2</v>
      </c>
      <c r="R106" s="262">
        <f>SUM(P106:Q106)</f>
        <v>6.205007691345843E-2</v>
      </c>
      <c r="S106" s="9"/>
      <c r="T106"/>
      <c r="U106"/>
    </row>
    <row r="107" spans="1:21" s="2" customFormat="1" x14ac:dyDescent="0.2">
      <c r="A107" s="184">
        <f t="shared" si="35"/>
        <v>84</v>
      </c>
      <c r="B107" s="260" t="s">
        <v>254</v>
      </c>
      <c r="C107" s="247"/>
      <c r="D107" s="261">
        <f t="shared" si="36"/>
        <v>3.8198054033246058E-3</v>
      </c>
      <c r="E107" s="244">
        <f t="shared" ref="E107:J107" si="37">E89</f>
        <v>21534.62274505556</v>
      </c>
      <c r="F107" s="244">
        <f t="shared" si="37"/>
        <v>3527.1516872286848</v>
      </c>
      <c r="G107" s="244">
        <f t="shared" si="37"/>
        <v>4370.1385756217742</v>
      </c>
      <c r="H107" s="244">
        <f t="shared" si="37"/>
        <v>178981.26063895421</v>
      </c>
      <c r="I107" s="244">
        <f t="shared" si="37"/>
        <v>5792.0884775862205</v>
      </c>
      <c r="J107" s="244">
        <f t="shared" si="37"/>
        <v>146692.43531935383</v>
      </c>
      <c r="K107" s="244">
        <f>SUM(E107:I107)*[1]BYPBack!$D$18+J107*[1]BYPBack!$E$18</f>
        <v>452803.52114949102</v>
      </c>
      <c r="L107" s="244">
        <f>L89</f>
        <v>6561008.1629999997</v>
      </c>
      <c r="M107" s="244"/>
      <c r="N107" s="261">
        <f>SUM($E107:$G107,I107)*[1]BYPBack!$D$18/L107</f>
        <v>6.9084961895042249E-3</v>
      </c>
      <c r="O107" s="261">
        <f>SUM($H107:$H107)*[1]BYPBack!$D$18/L107</f>
        <v>3.5103659577863489E-2</v>
      </c>
      <c r="P107" s="261">
        <f>SUM($E107:$I107)*[1]BYPBack!D$18/L107</f>
        <v>4.2012155767367713E-2</v>
      </c>
      <c r="Q107" s="261">
        <f>$J107*[1]BYPBack!$E$18/L107</f>
        <v>2.7002164882775796E-2</v>
      </c>
      <c r="R107" s="262">
        <f>SUM(P107:Q107)</f>
        <v>6.9014320650143512E-2</v>
      </c>
      <c r="S107" s="9"/>
      <c r="T107"/>
      <c r="U107"/>
    </row>
    <row r="108" spans="1:21" s="2" customFormat="1" x14ac:dyDescent="0.2">
      <c r="A108" s="184">
        <f t="shared" si="35"/>
        <v>85</v>
      </c>
      <c r="B108" s="88" t="s">
        <v>255</v>
      </c>
      <c r="C108" s="247"/>
      <c r="D108" s="261">
        <f t="shared" si="36"/>
        <v>1.4405627983877648E-3</v>
      </c>
      <c r="E108" s="244">
        <f>[1]CARMMCasing!$D$26</f>
        <v>164.4518436703778</v>
      </c>
      <c r="F108" s="244">
        <f>[1]CARMM!$D$26-E108</f>
        <v>18.346271142498182</v>
      </c>
      <c r="G108" s="244">
        <f>G$89*SUM(E$108:F$108)/SUM(E$89:F$89)</f>
        <v>31.875360432005781</v>
      </c>
      <c r="H108" s="244">
        <f>'[1]City DAL Costs'!$J$11+'[1]City DAL Costs'!$J$15+'[1]City DAL Costs'!$J$10</f>
        <v>2723.9525041023435</v>
      </c>
      <c r="I108" s="244">
        <f>($H108/$H85)*I85</f>
        <v>86.71236667709131</v>
      </c>
      <c r="J108" s="244">
        <f>'[1]Rural DAL Costs'!$G$13</f>
        <v>3594.9339299488006</v>
      </c>
      <c r="K108" s="244">
        <f>SUM(E108:I108)*[1]BYPBack!$D$17+J108*[1]BYPBack!$E$17</f>
        <v>8200.4974440932056</v>
      </c>
      <c r="L108" s="244">
        <f>L109</f>
        <v>126893.54120310355</v>
      </c>
      <c r="M108" s="244"/>
      <c r="N108" s="261">
        <f>SUM($E108:$G108,I108)*[1]BYPBack!$D$17/L108</f>
        <v>3.0294915562338698E-3</v>
      </c>
      <c r="O108" s="261">
        <f>SUM($H108:$H108)*[1]BYPBack!D$17/L108</f>
        <v>2.7380818747605923E-2</v>
      </c>
      <c r="P108" s="261">
        <f>SUM($E108:$I108)*[1]BYPBack!D$17/L108</f>
        <v>3.0410310303839796E-2</v>
      </c>
      <c r="Q108" s="261">
        <f>$J108*[1]BYPBack!$E$17/L108</f>
        <v>3.4214708167097471E-2</v>
      </c>
      <c r="R108" s="262">
        <f>SUM(P108:Q108)</f>
        <v>6.4625018470937268E-2</v>
      </c>
      <c r="S108" s="9"/>
      <c r="T108"/>
      <c r="U108"/>
    </row>
    <row r="109" spans="1:21" s="2" customFormat="1" x14ac:dyDescent="0.2">
      <c r="A109" s="184">
        <f t="shared" si="35"/>
        <v>86</v>
      </c>
      <c r="B109" s="260" t="s">
        <v>139</v>
      </c>
      <c r="C109" s="247"/>
      <c r="D109" s="261">
        <f t="shared" si="36"/>
        <v>5.5237651922187094E-4</v>
      </c>
      <c r="E109" s="244">
        <v>0</v>
      </c>
      <c r="F109" s="244">
        <f>[1]DALs!$D$15/[1]CCSECRVols!$C$18*[1]CARMMCasing!$E$27</f>
        <v>70.093012601507397</v>
      </c>
      <c r="G109" s="244">
        <f>G$89*SUM(E109:F109)/SUM(E89:F89)</f>
        <v>12.222445744176763</v>
      </c>
      <c r="H109" s="244">
        <f>'[1]City DAL Costs'!$J$16</f>
        <v>4550.9462275859023</v>
      </c>
      <c r="I109" s="244">
        <f>($H109/$H89)*I89</f>
        <v>147.27510082794555</v>
      </c>
      <c r="J109" s="244">
        <f>'[1]Rural DAL Costs'!$H$13</f>
        <v>2317.5580117742752</v>
      </c>
      <c r="K109" s="244">
        <f>SUM(E109:I109)*[1]BYPBack!$D$18+J109*[1]BYPBack!$E$18</f>
        <v>8950.5865962282951</v>
      </c>
      <c r="L109" s="244">
        <f>[1]DALs!$D$11</f>
        <v>126893.54120310355</v>
      </c>
      <c r="M109" s="244"/>
      <c r="N109" s="261">
        <f>SUM($E109:$G109,I109)*[1]BYPBack!$D$18/L109</f>
        <v>2.3282516432148164E-3</v>
      </c>
      <c r="O109" s="261">
        <f>SUM($H109:$H109)*[1]BYPBack!D$18/L109</f>
        <v>4.6150626013093277E-2</v>
      </c>
      <c r="P109" s="261">
        <f>SUM($E109:$I109)*[1]BYPBack!D$18/L109</f>
        <v>4.8478877656308095E-2</v>
      </c>
      <c r="Q109" s="261">
        <f>$J109*[1]BYPBack!$E$18/L109</f>
        <v>2.2057309697011536E-2</v>
      </c>
      <c r="R109" s="262">
        <f>SUM(P109:Q109)</f>
        <v>7.0536187353319624E-2</v>
      </c>
      <c r="S109" s="9"/>
      <c r="T109"/>
      <c r="U109"/>
    </row>
    <row r="110" spans="1:21" s="2" customFormat="1" ht="22.5" x14ac:dyDescent="0.2">
      <c r="A110" s="184">
        <f t="shared" si="35"/>
        <v>87</v>
      </c>
      <c r="B110" s="260" t="s">
        <v>256</v>
      </c>
      <c r="C110" s="247"/>
      <c r="D110" s="261">
        <f t="shared" si="36"/>
        <v>1.9929393176096356E-3</v>
      </c>
      <c r="E110" s="244">
        <f t="shared" ref="E110:K110" si="38">E108+E109</f>
        <v>164.4518436703778</v>
      </c>
      <c r="F110" s="244">
        <f t="shared" si="38"/>
        <v>88.439283744005579</v>
      </c>
      <c r="G110" s="244">
        <f t="shared" si="38"/>
        <v>44.097806176182544</v>
      </c>
      <c r="H110" s="244">
        <f t="shared" si="38"/>
        <v>7274.8987316882458</v>
      </c>
      <c r="I110" s="244">
        <f t="shared" si="38"/>
        <v>233.98746750503688</v>
      </c>
      <c r="J110" s="244">
        <f t="shared" si="38"/>
        <v>5912.4919417230758</v>
      </c>
      <c r="K110" s="244">
        <f t="shared" si="38"/>
        <v>17151.084040321501</v>
      </c>
      <c r="L110" s="244">
        <f>L109</f>
        <v>126893.54120310355</v>
      </c>
      <c r="M110" s="244"/>
      <c r="N110" s="261">
        <f>N108+N109</f>
        <v>5.3577431994486866E-3</v>
      </c>
      <c r="O110" s="261">
        <f>O108+O109</f>
        <v>7.3531444760699199E-2</v>
      </c>
      <c r="P110" s="261">
        <f>P108+P109</f>
        <v>7.8889187960147891E-2</v>
      </c>
      <c r="Q110" s="261">
        <f>Q108+Q109</f>
        <v>5.6272017864109007E-2</v>
      </c>
      <c r="R110" s="262">
        <f>SUM(P110:Q110)</f>
        <v>0.13516120582425689</v>
      </c>
      <c r="S110" s="9"/>
      <c r="T110"/>
      <c r="U110"/>
    </row>
    <row r="111" spans="1:21" s="2" customFormat="1" ht="12" customHeight="1" x14ac:dyDescent="0.2">
      <c r="A111" s="95">
        <f t="shared" si="35"/>
        <v>88</v>
      </c>
      <c r="B111" s="298" t="s">
        <v>283</v>
      </c>
      <c r="C111" s="219"/>
      <c r="D111" s="295">
        <f t="shared" si="36"/>
        <v>3.7919441188586389E-3</v>
      </c>
      <c r="E111" s="248">
        <f t="shared" ref="E111:J111" si="39">E107-E108</f>
        <v>21370.170901385183</v>
      </c>
      <c r="F111" s="248">
        <f t="shared" si="39"/>
        <v>3508.8054160861866</v>
      </c>
      <c r="G111" s="248">
        <f t="shared" si="39"/>
        <v>4338.2632151897687</v>
      </c>
      <c r="H111" s="248">
        <f t="shared" si="39"/>
        <v>176257.30813485186</v>
      </c>
      <c r="I111" s="248">
        <f t="shared" si="39"/>
        <v>5705.3761109091292</v>
      </c>
      <c r="J111" s="248">
        <f t="shared" si="39"/>
        <v>143097.50138940502</v>
      </c>
      <c r="K111" s="248">
        <f>SUM(E111:I111)*[1]BYPBack!$D$18+J111*[1]BYPBack!$E$18</f>
        <v>444568.85122471943</v>
      </c>
      <c r="L111" s="248">
        <f>L107</f>
        <v>6561008.1629999997</v>
      </c>
      <c r="M111" s="248"/>
      <c r="N111" s="295">
        <f>SUM($E111:$G111,I111)*[1]BYPBack!$D$18/L111</f>
        <v>6.8493852749948077E-3</v>
      </c>
      <c r="O111" s="295">
        <f>SUM($H111:$H111)*[1]BYPBack!D18/L111</f>
        <v>3.4569409785070011E-2</v>
      </c>
      <c r="P111" s="295">
        <f>SUM($E111:$I111)*[1]BYPBack!D$18/L111</f>
        <v>4.1418795060064809E-2</v>
      </c>
      <c r="Q111" s="295">
        <f>$J111*[1]BYPBack!$E$18/L111</f>
        <v>2.6340433427381817E-2</v>
      </c>
      <c r="R111" s="296">
        <f>K111/L111</f>
        <v>6.7759228487446629E-2</v>
      </c>
      <c r="S111" s="9"/>
      <c r="T111"/>
      <c r="U111"/>
    </row>
    <row r="112" spans="1:21" s="2" customFormat="1" x14ac:dyDescent="0.2">
      <c r="A112" s="62">
        <f>A111+1</f>
        <v>89</v>
      </c>
      <c r="B112" s="32" t="s">
        <v>265</v>
      </c>
      <c r="C112" s="115"/>
      <c r="D112" s="115"/>
      <c r="E112" s="301"/>
      <c r="F112" s="301"/>
      <c r="G112" s="301"/>
      <c r="H112" s="301"/>
      <c r="I112" s="301"/>
      <c r="J112" s="301"/>
      <c r="K112" s="360"/>
      <c r="L112" s="115"/>
      <c r="M112" s="301"/>
      <c r="N112" s="115"/>
      <c r="O112" s="115"/>
      <c r="P112" s="115"/>
      <c r="Q112" s="115"/>
      <c r="R112" s="115"/>
      <c r="S112" s="9"/>
      <c r="T112"/>
      <c r="U112"/>
    </row>
    <row r="113" spans="1:21" s="2" customFormat="1" ht="22.5" x14ac:dyDescent="0.2">
      <c r="A113" s="184">
        <f t="shared" si="35"/>
        <v>90</v>
      </c>
      <c r="B113" s="300" t="s">
        <v>266</v>
      </c>
      <c r="C113" s="143"/>
      <c r="D113" s="261">
        <f t="shared" ref="D113:D118" si="40">SUM(E113:F113)/L113</f>
        <v>9.8598180176169212E-3</v>
      </c>
      <c r="E113" s="244">
        <f>E84</f>
        <v>25524.362823455009</v>
      </c>
      <c r="F113" s="244">
        <f>F84</f>
        <v>8302.6931407270713</v>
      </c>
      <c r="G113" s="244">
        <f>G84</f>
        <v>5898.3898205429687</v>
      </c>
      <c r="H113" s="244">
        <f>H84</f>
        <v>49231.679622943411</v>
      </c>
      <c r="I113" s="244">
        <f>($H113/$H$84)*I$84</f>
        <v>1697.9576636324923</v>
      </c>
      <c r="J113" s="244">
        <f>($H113/$H84)*J$84</f>
        <v>73259.33023182764</v>
      </c>
      <c r="K113" s="244">
        <f>SUM(E113:I113)*[1]BYPBack!$D$17+J113*[1]BYPBack!$E$17</f>
        <v>204107.92130180757</v>
      </c>
      <c r="L113" s="244">
        <f>L84</f>
        <v>3430799.22</v>
      </c>
      <c r="M113" s="167"/>
      <c r="N113" s="261">
        <f>SUM($E113:$G113,I113)*[1]BYPBack!$D$17/L113</f>
        <v>1.5400573472506538E-2</v>
      </c>
      <c r="O113" s="261">
        <f>SUM($H113:$H113)*[1]BYPBack!D$17/L113</f>
        <v>1.8303568420042653E-2</v>
      </c>
      <c r="P113" s="261">
        <f>SUM($E113:$I113)*[1]BYPBack!D$17/L113</f>
        <v>3.3704141892549194E-2</v>
      </c>
      <c r="Q113" s="261">
        <f>$J113*[1]BYPBack!$E$17/L113</f>
        <v>2.578867835526687E-2</v>
      </c>
      <c r="R113" s="262">
        <f>SUM(P113:Q113)</f>
        <v>5.9492820247816061E-2</v>
      </c>
      <c r="S113" s="9"/>
      <c r="T113"/>
      <c r="U113"/>
    </row>
    <row r="114" spans="1:21" s="2" customFormat="1" x14ac:dyDescent="0.2">
      <c r="A114" s="184">
        <f t="shared" si="35"/>
        <v>91</v>
      </c>
      <c r="B114" s="260" t="s">
        <v>267</v>
      </c>
      <c r="C114" s="247"/>
      <c r="D114" s="261">
        <f t="shared" si="40"/>
        <v>3.4724093343352296E-2</v>
      </c>
      <c r="E114" s="244">
        <f t="shared" ref="E114:J114" si="41">E88</f>
        <v>39792.276082923847</v>
      </c>
      <c r="F114" s="244">
        <f t="shared" si="41"/>
        <v>5622.2774519335144</v>
      </c>
      <c r="G114" s="244">
        <f t="shared" si="41"/>
        <v>7919.1476578632301</v>
      </c>
      <c r="H114" s="244">
        <f t="shared" si="41"/>
        <v>13922.725504544225</v>
      </c>
      <c r="I114" s="244">
        <f t="shared" si="41"/>
        <v>614.62965319594571</v>
      </c>
      <c r="J114" s="244">
        <f t="shared" si="41"/>
        <v>71941.295443966461</v>
      </c>
      <c r="K114" s="244">
        <f>SUM(E114:I114)*[1]BYPBack!$D$18+J114*[1]BYPBack!$E$18</f>
        <v>174221.32986078179</v>
      </c>
      <c r="L114" s="244">
        <f>L88</f>
        <v>1307868.6629999999</v>
      </c>
      <c r="M114" s="244"/>
      <c r="N114" s="261">
        <f>SUM($E114:$G114,I114)*[1]BYPBack!$D$18/L114</f>
        <v>5.3079801229813033E-2</v>
      </c>
      <c r="O114" s="261">
        <f>SUM($H114:$H114)*[1]BYPBack!D$18/L114</f>
        <v>1.369857956252957E-2</v>
      </c>
      <c r="P114" s="261">
        <f>SUM($E114:$I114)*[1]BYPBack!D$18/L114</f>
        <v>6.677838079234262E-2</v>
      </c>
      <c r="Q114" s="261">
        <f>$J114*[1]BYPBack!$E$18/L114</f>
        <v>6.6431730275806566E-2</v>
      </c>
      <c r="R114" s="262">
        <f>SUM(P114:Q114)</f>
        <v>0.13321011106814917</v>
      </c>
      <c r="S114" s="9"/>
      <c r="T114"/>
      <c r="U114"/>
    </row>
    <row r="115" spans="1:21" s="2" customFormat="1" x14ac:dyDescent="0.2">
      <c r="A115" s="184">
        <f t="shared" si="35"/>
        <v>92</v>
      </c>
      <c r="B115" s="260" t="s">
        <v>268</v>
      </c>
      <c r="C115" s="247"/>
      <c r="D115" s="261">
        <f t="shared" si="40"/>
        <v>0</v>
      </c>
      <c r="E115" s="244">
        <f>[1]CARMMCasing!$D$22</f>
        <v>0</v>
      </c>
      <c r="F115" s="244">
        <f>[1]CARMM!$D$22-E115</f>
        <v>0</v>
      </c>
      <c r="G115" s="244">
        <f>G$88*SUM(E115:F115)/SUM(E$88:F$88)</f>
        <v>0</v>
      </c>
      <c r="H115" s="244">
        <f>'[1]City DAL Costs'!$L$10+'[1]City DAL Costs'!$L$11</f>
        <v>32.035119978312359</v>
      </c>
      <c r="I115" s="244">
        <f>($H115/$H$84)*I$84</f>
        <v>1.1048633296519197</v>
      </c>
      <c r="J115" s="244">
        <f>SUM('[1]Rural DAL Costs'!$G$15:$G$18)</f>
        <v>332.46735872023856</v>
      </c>
      <c r="K115" s="244">
        <f>SUM(E115:I115)*[1]BYPBack!$D$17+J115*[1]BYPBack!$E$17</f>
        <v>443.79365595657038</v>
      </c>
      <c r="L115" s="244">
        <f>[1]DALs!$E$11</f>
        <v>4900.9112686824465</v>
      </c>
      <c r="M115" s="244"/>
      <c r="N115" s="261">
        <f>SUM($E115:$G115,I115)*[1]BYPBack!$D$17/L115</f>
        <v>2.8755315493887403E-4</v>
      </c>
      <c r="O115" s="261">
        <f>SUM($H115:$H115)*[1]BYPBack!D$17/L115</f>
        <v>8.3375016360722129E-3</v>
      </c>
      <c r="P115" s="261">
        <f>SUM($E115:$I115)*[1]BYPBack!D$17/L115</f>
        <v>8.6250547910110865E-3</v>
      </c>
      <c r="Q115" s="261">
        <f>$J115*[1]BYPBack!$E$17/L115</f>
        <v>8.1928238591890579E-2</v>
      </c>
      <c r="R115" s="262">
        <f>SUM(P115:Q115)</f>
        <v>9.0553293382901662E-2</v>
      </c>
      <c r="S115" s="9"/>
      <c r="T115"/>
      <c r="U115"/>
    </row>
    <row r="116" spans="1:21" s="2" customFormat="1" x14ac:dyDescent="0.2">
      <c r="A116" s="184">
        <f t="shared" si="35"/>
        <v>93</v>
      </c>
      <c r="B116" s="260" t="s">
        <v>269</v>
      </c>
      <c r="C116" s="247"/>
      <c r="D116" s="261">
        <f t="shared" si="40"/>
        <v>1.5675724125852643E-3</v>
      </c>
      <c r="E116" s="244">
        <v>0</v>
      </c>
      <c r="F116" s="244">
        <f>[1]DALs!$E$15/[1]CCSECRVols!$C$12*[1]CARMMCasing!$E$23</f>
        <v>7.6825333013148507</v>
      </c>
      <c r="G116" s="244">
        <f>G$88*SUM(E116:F116)/SUM(E$88:F$88)</f>
        <v>1.3396391875319764</v>
      </c>
      <c r="H116" s="244">
        <f>'[1]City DAL Costs'!$L$16</f>
        <v>67.097146050913835</v>
      </c>
      <c r="I116" s="244">
        <f>($H116/$H$84)*I$84</f>
        <v>2.3141220087872831</v>
      </c>
      <c r="J116" s="244">
        <f>'[1]Rural DAL Costs'!$H$18</f>
        <v>223.77644918640854</v>
      </c>
      <c r="K116" s="244">
        <f>SUM(E116:I116)*[1]BYPBack!$D$18+J116*[1]BYPBack!$E$18</f>
        <v>371.18546148226051</v>
      </c>
      <c r="L116" s="244">
        <f>L115</f>
        <v>4900.9112686824465</v>
      </c>
      <c r="M116" s="244"/>
      <c r="N116" s="261">
        <f>SUM($E116:$G116,I116)*[1]BYPBack!$D$18/L116</f>
        <v>2.9765260630627518E-3</v>
      </c>
      <c r="O116" s="261">
        <f>SUM($H116:$H116)*[1]BYPBack!D$18/L116</f>
        <v>1.7617432576346171E-2</v>
      </c>
      <c r="P116" s="261">
        <f>SUM($E116:$I116)*[1]BYPBack!D$18/L116</f>
        <v>2.0593958639408921E-2</v>
      </c>
      <c r="Q116" s="261">
        <f>$J116*[1]BYPBack!$E$18/L116</f>
        <v>5.5144091109459406E-2</v>
      </c>
      <c r="R116" s="262">
        <f>SUM(P116:Q116)</f>
        <v>7.573804974886833E-2</v>
      </c>
      <c r="S116" s="9"/>
      <c r="T116"/>
      <c r="U116"/>
    </row>
    <row r="117" spans="1:21" s="2" customFormat="1" ht="22.5" x14ac:dyDescent="0.2">
      <c r="A117" s="184">
        <f t="shared" si="35"/>
        <v>94</v>
      </c>
      <c r="B117" s="260" t="s">
        <v>270</v>
      </c>
      <c r="C117" s="247"/>
      <c r="D117" s="261">
        <f t="shared" si="40"/>
        <v>1.5675724125852643E-3</v>
      </c>
      <c r="E117" s="244">
        <f t="shared" ref="E117:K117" si="42">E115+E116</f>
        <v>0</v>
      </c>
      <c r="F117" s="244">
        <f t="shared" si="42"/>
        <v>7.6825333013148507</v>
      </c>
      <c r="G117" s="244">
        <f t="shared" si="42"/>
        <v>1.3396391875319764</v>
      </c>
      <c r="H117" s="244">
        <f t="shared" si="42"/>
        <v>99.132266029226201</v>
      </c>
      <c r="I117" s="244">
        <f t="shared" si="42"/>
        <v>3.418985338439203</v>
      </c>
      <c r="J117" s="244">
        <f t="shared" si="42"/>
        <v>556.24380790664713</v>
      </c>
      <c r="K117" s="244">
        <f t="shared" si="42"/>
        <v>814.97911743883083</v>
      </c>
      <c r="L117" s="244">
        <f>L115</f>
        <v>4900.9112686824465</v>
      </c>
      <c r="M117" s="244"/>
      <c r="N117" s="261">
        <f>N115+N116</f>
        <v>3.2640792180016259E-3</v>
      </c>
      <c r="O117" s="261">
        <f>O115+O116</f>
        <v>2.5954934212418384E-2</v>
      </c>
      <c r="P117" s="261">
        <f>P115+P116</f>
        <v>2.9219013430420007E-2</v>
      </c>
      <c r="Q117" s="261">
        <f>Q115+Q116</f>
        <v>0.13707232970134997</v>
      </c>
      <c r="R117" s="262">
        <f>SUM(P117:Q117)</f>
        <v>0.16629134313176996</v>
      </c>
      <c r="S117" s="9"/>
      <c r="T117"/>
      <c r="U117"/>
    </row>
    <row r="118" spans="1:21" s="2" customFormat="1" x14ac:dyDescent="0.2">
      <c r="A118" s="95">
        <f t="shared" si="35"/>
        <v>95</v>
      </c>
      <c r="B118" s="299" t="s">
        <v>282</v>
      </c>
      <c r="C118" s="131"/>
      <c r="D118" s="295">
        <f t="shared" si="40"/>
        <v>3.4724093343352296E-2</v>
      </c>
      <c r="E118" s="248">
        <f t="shared" ref="E118:J118" si="43">E114-E115</f>
        <v>39792.276082923847</v>
      </c>
      <c r="F118" s="248">
        <f t="shared" si="43"/>
        <v>5622.2774519335144</v>
      </c>
      <c r="G118" s="248">
        <f t="shared" si="43"/>
        <v>7919.1476578632301</v>
      </c>
      <c r="H118" s="248">
        <f t="shared" si="43"/>
        <v>13890.690384565913</v>
      </c>
      <c r="I118" s="248">
        <f t="shared" si="43"/>
        <v>613.52478986629376</v>
      </c>
      <c r="J118" s="248">
        <f t="shared" si="43"/>
        <v>71608.828085246219</v>
      </c>
      <c r="K118" s="248">
        <f>SUM(E118:I118)*[1]BYPBack!$D$18+J118*[1]BYPBack!$E$18</f>
        <v>173777.16187464795</v>
      </c>
      <c r="L118" s="248">
        <f>L114</f>
        <v>1307868.6629999999</v>
      </c>
      <c r="M118" s="171"/>
      <c r="N118" s="295">
        <f>SUM($E118:$G118,I118)*[1]BYPBack!$D$18/L118</f>
        <v>5.3078714153994289E-2</v>
      </c>
      <c r="O118" s="295">
        <f>SUM($H118:$H118)*[1]BYPBack!D$18/L118</f>
        <v>1.3667060185114934E-2</v>
      </c>
      <c r="P118" s="295">
        <f>SUM($E118:$I118)*[1]BYPBack!D$18/L118</f>
        <v>6.6745774339109221E-2</v>
      </c>
      <c r="Q118" s="295">
        <f>$J118*[1]BYPBack!$E$18/L118</f>
        <v>6.6124724657354569E-2</v>
      </c>
      <c r="R118" s="296">
        <f>K118/L118</f>
        <v>0.1328704989964638</v>
      </c>
      <c r="S118" s="9"/>
      <c r="T118"/>
      <c r="U118"/>
    </row>
    <row r="119" spans="1:21" s="2" customFormat="1" x14ac:dyDescent="0.2">
      <c r="A119" s="12"/>
      <c r="E119" s="110"/>
      <c r="F119" s="110"/>
      <c r="G119" s="110"/>
      <c r="H119" s="110"/>
      <c r="I119" s="110"/>
      <c r="J119" s="110"/>
      <c r="K119" s="331"/>
      <c r="M119" s="110"/>
      <c r="T119"/>
      <c r="U119"/>
    </row>
    <row r="120" spans="1:21" s="2" customFormat="1" x14ac:dyDescent="0.2">
      <c r="A120" s="12"/>
      <c r="E120" s="110"/>
      <c r="F120" s="110"/>
      <c r="G120" s="110"/>
      <c r="H120" s="110"/>
      <c r="I120" s="110"/>
      <c r="J120" s="110"/>
      <c r="K120" s="331"/>
      <c r="M120" s="110"/>
      <c r="T120"/>
      <c r="U120"/>
    </row>
    <row r="121" spans="1:21" s="2" customFormat="1" x14ac:dyDescent="0.2">
      <c r="A121" s="12"/>
      <c r="E121" s="110"/>
      <c r="F121" s="110"/>
      <c r="G121" s="110"/>
      <c r="H121" s="110"/>
      <c r="I121" s="110"/>
      <c r="J121" s="110"/>
      <c r="K121" s="331"/>
      <c r="M121" s="110"/>
      <c r="T121"/>
      <c r="U121"/>
    </row>
    <row r="122" spans="1:21" s="2" customFormat="1" x14ac:dyDescent="0.2">
      <c r="A122" s="12"/>
      <c r="E122" s="110"/>
      <c r="F122" s="110"/>
      <c r="G122" s="110"/>
      <c r="H122" s="110"/>
      <c r="I122" s="110"/>
      <c r="J122" s="110"/>
      <c r="K122" s="331"/>
      <c r="M122" s="110"/>
      <c r="T122"/>
      <c r="U122"/>
    </row>
    <row r="123" spans="1:21" s="2" customFormat="1" x14ac:dyDescent="0.2">
      <c r="A123" s="12"/>
      <c r="E123" s="110"/>
      <c r="F123" s="110"/>
      <c r="G123" s="110"/>
      <c r="H123" s="110"/>
      <c r="I123" s="110"/>
      <c r="J123" s="110"/>
      <c r="K123" s="331"/>
      <c r="M123" s="110"/>
      <c r="T123"/>
      <c r="U123"/>
    </row>
    <row r="124" spans="1:21" s="2" customFormat="1" x14ac:dyDescent="0.2">
      <c r="A124" s="71"/>
      <c r="B124" s="286"/>
      <c r="C124" s="182"/>
      <c r="D124" s="181"/>
      <c r="E124" s="181"/>
      <c r="F124" s="181"/>
      <c r="G124" s="181"/>
      <c r="H124" s="181"/>
      <c r="I124" s="181"/>
      <c r="J124" s="181"/>
      <c r="K124" s="181"/>
      <c r="L124" s="181"/>
      <c r="M124" s="182"/>
      <c r="N124" s="160"/>
      <c r="O124" s="160"/>
      <c r="P124" s="160"/>
      <c r="Q124" s="160"/>
      <c r="R124" s="287"/>
      <c r="T124"/>
      <c r="U124"/>
    </row>
    <row r="125" spans="1:21" s="2" customFormat="1" x14ac:dyDescent="0.2">
      <c r="A125" s="71"/>
      <c r="B125" s="286"/>
      <c r="C125" s="182"/>
      <c r="D125" s="181"/>
      <c r="E125" s="181"/>
      <c r="F125" s="181"/>
      <c r="G125" s="181"/>
      <c r="H125" s="181"/>
      <c r="I125" s="181"/>
      <c r="J125" s="181"/>
      <c r="K125" s="181"/>
      <c r="L125" s="181"/>
      <c r="M125" s="182"/>
      <c r="N125" s="160"/>
      <c r="O125" s="160"/>
      <c r="P125" s="160"/>
      <c r="Q125" s="160"/>
      <c r="R125" s="287"/>
      <c r="T125"/>
      <c r="U125"/>
    </row>
    <row r="126" spans="1:21" s="2" customFormat="1" ht="11.25" x14ac:dyDescent="0.2">
      <c r="A126" s="71"/>
      <c r="B126" s="38" t="s">
        <v>154</v>
      </c>
      <c r="C126" s="182"/>
      <c r="D126" s="181"/>
      <c r="E126" s="181"/>
      <c r="F126" s="181"/>
      <c r="G126" s="181"/>
      <c r="H126" s="181"/>
      <c r="I126" s="181"/>
      <c r="J126" s="181"/>
      <c r="K126" s="181"/>
      <c r="L126" s="181"/>
      <c r="M126" s="182"/>
      <c r="N126" s="160"/>
      <c r="O126" s="160"/>
      <c r="P126" s="160"/>
      <c r="Q126" s="160"/>
      <c r="R126" s="287"/>
    </row>
    <row r="127" spans="1:21" s="2" customFormat="1" ht="11.25" x14ac:dyDescent="0.2">
      <c r="A127" s="12" t="s">
        <v>160</v>
      </c>
      <c r="B127" s="12" t="s">
        <v>287</v>
      </c>
      <c r="K127" s="331"/>
    </row>
    <row r="128" spans="1:21" s="2" customFormat="1" ht="11.25" x14ac:dyDescent="0.2">
      <c r="A128" s="38" t="s">
        <v>149</v>
      </c>
      <c r="B128" s="38" t="s">
        <v>150</v>
      </c>
      <c r="K128" s="331"/>
    </row>
    <row r="129" spans="1:13" s="2" customFormat="1" ht="11.25" x14ac:dyDescent="0.2">
      <c r="A129" s="2" t="s">
        <v>155</v>
      </c>
      <c r="B129" s="38" t="s">
        <v>8</v>
      </c>
      <c r="K129" s="331"/>
    </row>
    <row r="130" spans="1:13" s="2" customFormat="1" ht="11.25" x14ac:dyDescent="0.2">
      <c r="A130" s="2" t="s">
        <v>156</v>
      </c>
      <c r="B130" s="38" t="s">
        <v>152</v>
      </c>
      <c r="K130" s="331"/>
    </row>
    <row r="131" spans="1:13" s="2" customFormat="1" ht="11.25" x14ac:dyDescent="0.2">
      <c r="A131" s="38" t="s">
        <v>157</v>
      </c>
      <c r="B131" s="38" t="s">
        <v>151</v>
      </c>
      <c r="I131" s="141"/>
      <c r="J131" s="141"/>
      <c r="K131" s="153"/>
      <c r="L131" s="141"/>
      <c r="M131" s="141"/>
    </row>
    <row r="132" spans="1:13" s="2" customFormat="1" ht="11.25" x14ac:dyDescent="0.2">
      <c r="A132" s="38" t="s">
        <v>158</v>
      </c>
      <c r="B132" s="38" t="s">
        <v>153</v>
      </c>
      <c r="I132" s="8"/>
      <c r="J132" s="8"/>
      <c r="K132" s="331"/>
      <c r="L132" s="8"/>
    </row>
    <row r="133" spans="1:13" s="2" customFormat="1" ht="11.25" x14ac:dyDescent="0.2">
      <c r="A133" s="38"/>
      <c r="B133" s="12" t="s">
        <v>219</v>
      </c>
      <c r="K133" s="331"/>
    </row>
    <row r="134" spans="1:13" x14ac:dyDescent="0.2">
      <c r="A134" s="38" t="s">
        <v>159</v>
      </c>
      <c r="B134" s="12" t="s">
        <v>281</v>
      </c>
      <c r="C134" s="12"/>
      <c r="D134" s="12"/>
      <c r="E134" s="12"/>
      <c r="F134" s="12"/>
    </row>
    <row r="135" spans="1:13" x14ac:dyDescent="0.2">
      <c r="B135" s="12" t="s">
        <v>279</v>
      </c>
      <c r="C135" s="12"/>
      <c r="D135" s="12"/>
      <c r="E135" s="12"/>
      <c r="F135" s="12"/>
    </row>
    <row r="136" spans="1:13" x14ac:dyDescent="0.2">
      <c r="B136" s="12" t="s">
        <v>280</v>
      </c>
      <c r="C136" s="12"/>
      <c r="D136" s="12"/>
      <c r="E136" s="12"/>
      <c r="F136" s="12"/>
    </row>
    <row r="140" spans="1:13" x14ac:dyDescent="0.2">
      <c r="B140"/>
    </row>
    <row r="141" spans="1:13" x14ac:dyDescent="0.2">
      <c r="B141"/>
    </row>
    <row r="142" spans="1:13" x14ac:dyDescent="0.2">
      <c r="B142"/>
    </row>
    <row r="143" spans="1:13" x14ac:dyDescent="0.2">
      <c r="B143"/>
    </row>
    <row r="144" spans="1:13" x14ac:dyDescent="0.2">
      <c r="B144"/>
    </row>
    <row r="145" spans="2:2" x14ac:dyDescent="0.2">
      <c r="B145"/>
    </row>
  </sheetData>
  <phoneticPr fontId="6" type="noConversion"/>
  <pageMargins left="0.41" right="0.36" top="0.6" bottom="0.63" header="0.37" footer="0.5"/>
  <pageSetup scale="70" fitToHeight="4" orientation="landscape" r:id="rId1"/>
  <headerFooter alignWithMargins="0">
    <oddHeader xml:space="preserve">&amp;RUSPS-FY09-19
</oddHeader>
  </headerFooter>
  <rowBreaks count="2" manualBreakCount="2">
    <brk id="63" max="16383" man="1"/>
    <brk id="103" max="16383" man="1"/>
  </rowBreaks>
  <ignoredErrors>
    <ignoredError sqref="Q74:R74 I98:I99 H100:I100 K110 I114 K117 Q19:R19 N110:Q110 N117:Q117 N74:O74 K107:K108 K114:K115 N107:Q107 K33:K34 N19:P19 N108:Q108 N114:Q114 N115:Q115" formula="1"/>
    <ignoredError sqref="E7:L7" numberStoredAsText="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92D050"/>
    <pageSetUpPr fitToPage="1"/>
  </sheetPr>
  <dimension ref="A1:T91"/>
  <sheetViews>
    <sheetView topLeftCell="B1" workbookViewId="0">
      <selection activeCell="N47" sqref="N47"/>
    </sheetView>
  </sheetViews>
  <sheetFormatPr defaultColWidth="9.140625" defaultRowHeight="12.75" x14ac:dyDescent="0.2"/>
  <cols>
    <col min="1" max="1" width="4.85546875" style="10" customWidth="1"/>
    <col min="2" max="2" width="37.85546875" customWidth="1"/>
    <col min="3" max="13" width="11" customWidth="1"/>
    <col min="14" max="14" width="11.42578125" customWidth="1"/>
    <col min="15" max="17" width="11" customWidth="1"/>
    <col min="20" max="20" width="16.140625" bestFit="1" customWidth="1"/>
  </cols>
  <sheetData>
    <row r="1" spans="1:17" x14ac:dyDescent="0.2">
      <c r="A1" s="263" t="str">
        <f>[1]Inputs!$C$4</f>
        <v>Unit Delivery Cost Model -  12/16/2025</v>
      </c>
      <c r="C1" s="16"/>
      <c r="D1" s="16"/>
    </row>
    <row r="2" spans="1:17" x14ac:dyDescent="0.2">
      <c r="A2" s="15" t="str">
        <f>"DEVELOPMENT OF " &amp; [1]Inputs!$C$6 &amp; " RURAL CARRIER KEY"</f>
        <v>DEVELOPMENT OF FY 2025 RURAL CARRIER KEY</v>
      </c>
      <c r="C2" s="520"/>
      <c r="D2" s="520"/>
    </row>
    <row r="3" spans="1:17" x14ac:dyDescent="0.2">
      <c r="A3" s="15" t="str">
        <f>[1]RuralCosts!$A$3 &amp; " for Costs"</f>
        <v>SOURCE:  CS10-NP-FY25.xlsx, W/S 10.1.2 for Costs</v>
      </c>
      <c r="C3" s="15"/>
      <c r="D3" s="520"/>
    </row>
    <row r="4" spans="1:17" x14ac:dyDescent="0.2">
      <c r="A4" s="15" t="str">
        <f>[1]RuralVols!$A$3 &amp; " for Volumes"</f>
        <v>SOURCE: CS10-NP-FY25.xlsx, Inputs DK for Volumes</v>
      </c>
      <c r="C4" s="520"/>
      <c r="D4" s="520"/>
    </row>
    <row r="5" spans="1:17" s="2" customFormat="1" ht="33.75" x14ac:dyDescent="0.2">
      <c r="A5" s="64" t="s">
        <v>23</v>
      </c>
      <c r="B5" s="105"/>
      <c r="C5" s="175" t="s">
        <v>70</v>
      </c>
      <c r="D5" s="175" t="s">
        <v>71</v>
      </c>
      <c r="E5" s="64" t="s">
        <v>387</v>
      </c>
      <c r="F5" s="64" t="s">
        <v>388</v>
      </c>
      <c r="G5" s="64" t="s">
        <v>389</v>
      </c>
      <c r="H5" s="64" t="s">
        <v>445</v>
      </c>
      <c r="I5" s="175" t="s">
        <v>76</v>
      </c>
      <c r="J5" s="175" t="s">
        <v>20</v>
      </c>
      <c r="K5" s="46" t="s">
        <v>48</v>
      </c>
      <c r="L5" s="46" t="s">
        <v>327</v>
      </c>
      <c r="M5" s="46" t="s">
        <v>390</v>
      </c>
      <c r="N5" s="46" t="s">
        <v>426</v>
      </c>
      <c r="O5" s="46" t="s">
        <v>425</v>
      </c>
      <c r="P5" s="46" t="s">
        <v>125</v>
      </c>
      <c r="Q5" s="46" t="s">
        <v>129</v>
      </c>
    </row>
    <row r="6" spans="1:17" s="2" customFormat="1" ht="11.25" x14ac:dyDescent="0.2">
      <c r="A6" s="81"/>
      <c r="B6" s="48" t="s">
        <v>22</v>
      </c>
      <c r="C6" s="55">
        <v>-1</v>
      </c>
      <c r="D6" s="55">
        <f t="shared" ref="D6:G6" si="0">C6-1</f>
        <v>-2</v>
      </c>
      <c r="E6" s="55">
        <f t="shared" si="0"/>
        <v>-3</v>
      </c>
      <c r="F6" s="55">
        <f t="shared" si="0"/>
        <v>-4</v>
      </c>
      <c r="G6" s="55">
        <f t="shared" si="0"/>
        <v>-5</v>
      </c>
      <c r="H6" s="55">
        <f t="shared" ref="H6" si="1">G6-1</f>
        <v>-6</v>
      </c>
      <c r="I6" s="55">
        <f t="shared" ref="I6" si="2">H6-1</f>
        <v>-7</v>
      </c>
      <c r="J6" s="55">
        <f t="shared" ref="J6" si="3">I6-1</f>
        <v>-8</v>
      </c>
      <c r="K6" s="55">
        <f t="shared" ref="K6" si="4">J6-1</f>
        <v>-9</v>
      </c>
      <c r="L6" s="55">
        <f t="shared" ref="L6" si="5">K6-1</f>
        <v>-10</v>
      </c>
      <c r="M6" s="55">
        <f t="shared" ref="M6" si="6">L6-1</f>
        <v>-11</v>
      </c>
      <c r="N6" s="55">
        <f t="shared" ref="N6" si="7">M6-1</f>
        <v>-12</v>
      </c>
      <c r="O6" s="55">
        <f t="shared" ref="O6" si="8">N6-1</f>
        <v>-13</v>
      </c>
      <c r="P6" s="55">
        <f t="shared" ref="P6" si="9">O6-1</f>
        <v>-14</v>
      </c>
      <c r="Q6" s="55">
        <f t="shared" ref="Q6" si="10">P6-1</f>
        <v>-15</v>
      </c>
    </row>
    <row r="7" spans="1:17" s="2" customFormat="1" ht="11.25" x14ac:dyDescent="0.2">
      <c r="A7" s="87"/>
      <c r="B7" s="50" t="s">
        <v>94</v>
      </c>
      <c r="C7" s="67" t="s">
        <v>96</v>
      </c>
      <c r="D7" s="67" t="s">
        <v>96</v>
      </c>
      <c r="E7" s="67" t="s">
        <v>96</v>
      </c>
      <c r="F7" s="67" t="s">
        <v>96</v>
      </c>
      <c r="G7" s="67" t="s">
        <v>96</v>
      </c>
      <c r="H7" s="67" t="s">
        <v>96</v>
      </c>
      <c r="I7" s="67" t="s">
        <v>96</v>
      </c>
      <c r="J7" s="67" t="s">
        <v>96</v>
      </c>
      <c r="K7" s="67" t="s">
        <v>96</v>
      </c>
      <c r="L7" s="67" t="s">
        <v>96</v>
      </c>
      <c r="M7" s="67" t="s">
        <v>96</v>
      </c>
      <c r="N7" s="67" t="s">
        <v>96</v>
      </c>
      <c r="O7" s="67" t="s">
        <v>96</v>
      </c>
      <c r="P7" s="67" t="s">
        <v>96</v>
      </c>
      <c r="Q7" s="67" t="s">
        <v>96</v>
      </c>
    </row>
    <row r="8" spans="1:17" s="2" customFormat="1" ht="11.25" x14ac:dyDescent="0.2">
      <c r="A8" s="521"/>
      <c r="B8" s="522" t="s">
        <v>112</v>
      </c>
      <c r="C8" s="611" t="str">
        <f>"L"&amp;A12&amp; ", " &amp; A16 &amp;  ", " &amp; A20 &amp;", " &amp; A22 &amp;", " &amp; A25&amp;", " &amp; A27&amp;", " &amp; A29&amp;", " &amp; A31&amp;", " &amp; A33&amp;", " &amp; A35&amp;", " &amp; A40&amp;", " &amp; A42&amp;", " &amp; A44&amp; " = cost / volume"</f>
        <v>L4, 8, 12, 14, 17, 19, 21, 23, 25, 27, 32, 34, 36 = cost / volume</v>
      </c>
      <c r="D8" s="612"/>
      <c r="E8" s="612"/>
      <c r="F8" s="612"/>
      <c r="G8" s="612"/>
      <c r="H8" s="612"/>
      <c r="I8" s="612"/>
      <c r="J8" s="612"/>
      <c r="K8" s="612"/>
      <c r="L8" s="612"/>
      <c r="M8" s="613"/>
      <c r="N8" s="523"/>
      <c r="O8" s="523"/>
      <c r="P8" s="57" t="str">
        <f>"=C"&amp;-C6&amp;"..C"&amp;-K6</f>
        <v>=C1..C9</v>
      </c>
      <c r="Q8" s="524"/>
    </row>
    <row r="9" spans="1:17" s="2" customFormat="1" ht="11.25" x14ac:dyDescent="0.2">
      <c r="A9" s="55">
        <v>1</v>
      </c>
      <c r="B9" s="133"/>
      <c r="C9" s="385">
        <f>C12</f>
        <v>0.15617020342517166</v>
      </c>
      <c r="D9" s="385">
        <f>D20</f>
        <v>0.14691667697855582</v>
      </c>
      <c r="E9" s="385"/>
      <c r="F9" s="385"/>
      <c r="G9" s="385"/>
      <c r="H9" s="385">
        <f>H18</f>
        <v>1.8903443477108399</v>
      </c>
      <c r="I9" s="385">
        <f>I12</f>
        <v>0</v>
      </c>
      <c r="J9" s="385">
        <f>J12</f>
        <v>3.213841311224469E-2</v>
      </c>
      <c r="K9" s="385">
        <f>K12</f>
        <v>0.57582519824103662</v>
      </c>
      <c r="L9" s="385">
        <f>L44</f>
        <v>0.25715123455553146</v>
      </c>
      <c r="M9" s="385">
        <f>M12</f>
        <v>6.5550580729887425E-3</v>
      </c>
      <c r="N9" s="525"/>
      <c r="O9" s="525"/>
      <c r="P9" s="176"/>
      <c r="Q9" s="176"/>
    </row>
    <row r="10" spans="1:17" s="2" customFormat="1" ht="11.25" x14ac:dyDescent="0.2">
      <c r="A10" s="40">
        <f t="shared" ref="A10:A44" si="11">A9+1</f>
        <v>2</v>
      </c>
      <c r="B10" s="124" t="s">
        <v>74</v>
      </c>
      <c r="C10" s="526"/>
      <c r="D10" s="526"/>
      <c r="E10" s="526"/>
      <c r="F10" s="526"/>
      <c r="G10" s="526"/>
      <c r="H10" s="526"/>
      <c r="I10" s="526"/>
      <c r="J10" s="527"/>
      <c r="K10" s="526"/>
      <c r="L10" s="526"/>
      <c r="M10" s="526"/>
      <c r="N10" s="526"/>
      <c r="O10" s="526"/>
      <c r="P10" s="526"/>
      <c r="Q10" s="526"/>
    </row>
    <row r="11" spans="1:17" s="2" customFormat="1" ht="11.25" x14ac:dyDescent="0.2">
      <c r="A11" s="44">
        <f t="shared" si="11"/>
        <v>3</v>
      </c>
      <c r="B11" s="120" t="s">
        <v>52</v>
      </c>
      <c r="C11" s="97">
        <f>[1]RuralCosts!C11</f>
        <v>49940.213987024639</v>
      </c>
      <c r="D11" s="97">
        <f>[1]RuralCosts!D11</f>
        <v>775.65753383815036</v>
      </c>
      <c r="E11" s="97">
        <f>[1]RuralCosts!E11</f>
        <v>0</v>
      </c>
      <c r="F11" s="97">
        <f>[1]RuralCosts!F11</f>
        <v>0</v>
      </c>
      <c r="G11" s="97">
        <f>[1]RuralCosts!G11</f>
        <v>0</v>
      </c>
      <c r="H11" s="97">
        <f>SUM(E11:G11)</f>
        <v>0</v>
      </c>
      <c r="I11" s="97">
        <f>[1]RuralCosts!H11</f>
        <v>0</v>
      </c>
      <c r="J11" s="97">
        <f>[1]RuralCosts!I11</f>
        <v>78847.975794027792</v>
      </c>
      <c r="K11" s="97">
        <f>[1]RuralCosts!J11</f>
        <v>309.18189122897275</v>
      </c>
      <c r="L11" s="97">
        <f>[1]RuralCosts!$L$11</f>
        <v>0</v>
      </c>
      <c r="M11" s="97">
        <f>[1]RuralCosts!$K$11</f>
        <v>7699.2631248031466</v>
      </c>
      <c r="N11" s="97">
        <f>[1]RuralCosts!M$11</f>
        <v>2911.9356767236422</v>
      </c>
      <c r="O11" s="97">
        <f>[1]RuralCosts!N$11</f>
        <v>291.47557375337948</v>
      </c>
      <c r="P11" s="97">
        <f>SUM(C11:K11)+O11+N11-H11</f>
        <v>133076.44045659658</v>
      </c>
      <c r="Q11" s="97">
        <f>SUM(C11:O11)-H11</f>
        <v>140775.70358139972</v>
      </c>
    </row>
    <row r="12" spans="1:17" s="530" customFormat="1" ht="11.25" x14ac:dyDescent="0.2">
      <c r="A12" s="44">
        <f t="shared" si="11"/>
        <v>4</v>
      </c>
      <c r="B12" s="528" t="s">
        <v>65</v>
      </c>
      <c r="C12" s="385">
        <f>IFERROR(C11/C52,0)</f>
        <v>0.15617020342517166</v>
      </c>
      <c r="D12" s="385">
        <f t="shared" ref="D12:M12" si="12">IFERROR(D11/D52,0)</f>
        <v>0.14691667697855582</v>
      </c>
      <c r="E12" s="385">
        <f t="shared" si="12"/>
        <v>0</v>
      </c>
      <c r="F12" s="385">
        <f t="shared" si="12"/>
        <v>0</v>
      </c>
      <c r="G12" s="385">
        <f t="shared" si="12"/>
        <v>0</v>
      </c>
      <c r="H12" s="385">
        <f t="shared" si="12"/>
        <v>0</v>
      </c>
      <c r="I12" s="385">
        <f t="shared" si="12"/>
        <v>0</v>
      </c>
      <c r="J12" s="385">
        <f t="shared" si="12"/>
        <v>3.213841311224469E-2</v>
      </c>
      <c r="K12" s="385">
        <f t="shared" si="12"/>
        <v>0.57582519824103662</v>
      </c>
      <c r="L12" s="385">
        <f t="shared" si="12"/>
        <v>0</v>
      </c>
      <c r="M12" s="385">
        <f t="shared" si="12"/>
        <v>6.5550580729887425E-3</v>
      </c>
      <c r="N12" s="462"/>
      <c r="O12" s="462"/>
      <c r="P12" s="529"/>
      <c r="Q12" s="97"/>
    </row>
    <row r="13" spans="1:17" s="530" customFormat="1" ht="11.25" x14ac:dyDescent="0.2">
      <c r="A13" s="44">
        <f t="shared" si="11"/>
        <v>5</v>
      </c>
      <c r="B13" s="120" t="s">
        <v>430</v>
      </c>
      <c r="C13" s="97">
        <f>[1]RuralCosts!C12</f>
        <v>3870.8244680916378</v>
      </c>
      <c r="D13" s="97">
        <f>[1]RuralCosts!D12</f>
        <v>6.4058559670830295</v>
      </c>
      <c r="E13" s="97">
        <f>[1]RuralCosts!E12</f>
        <v>0</v>
      </c>
      <c r="F13" s="97">
        <f>[1]RuralCosts!F12</f>
        <v>0</v>
      </c>
      <c r="G13" s="97">
        <f>[1]RuralCosts!G12</f>
        <v>0</v>
      </c>
      <c r="H13" s="97">
        <f>SUM(E13:G13)</f>
        <v>0</v>
      </c>
      <c r="I13" s="97">
        <f>[1]RuralCosts!H12</f>
        <v>0</v>
      </c>
      <c r="J13" s="97">
        <f>[1]RuralCosts!I12</f>
        <v>2829.7251422127197</v>
      </c>
      <c r="K13" s="97">
        <f>[1]RuralCosts!J12</f>
        <v>2.257649415712863</v>
      </c>
      <c r="L13" s="97">
        <f>[1]RuralCosts!$L12</f>
        <v>0</v>
      </c>
      <c r="M13" s="97">
        <f>[1]RuralCosts!$K$12</f>
        <v>0</v>
      </c>
      <c r="N13" s="97">
        <f>[1]RuralCosts!M$12</f>
        <v>101.47271454803231</v>
      </c>
      <c r="O13" s="97">
        <f>[1]RuralCosts!N$12</f>
        <v>14.121190203450665</v>
      </c>
      <c r="P13" s="97">
        <f>SUM(C13:K13)+O13+N13-H13</f>
        <v>6824.8070204386358</v>
      </c>
      <c r="Q13" s="97">
        <f>SUM(C13:O13)-H13</f>
        <v>6824.8070204386358</v>
      </c>
    </row>
    <row r="14" spans="1:17" s="530" customFormat="1" ht="11.25" x14ac:dyDescent="0.2">
      <c r="A14" s="44">
        <f t="shared" si="11"/>
        <v>6</v>
      </c>
      <c r="B14" s="528" t="s">
        <v>65</v>
      </c>
      <c r="C14" s="385">
        <f>IFERROR(C13/C53,0)</f>
        <v>0.15617020342517166</v>
      </c>
      <c r="D14" s="385">
        <f t="shared" ref="D14:M14" si="13">IFERROR(D13/D53,0)</f>
        <v>0.14691667697855582</v>
      </c>
      <c r="E14" s="385">
        <f t="shared" si="13"/>
        <v>0</v>
      </c>
      <c r="F14" s="385">
        <f t="shared" si="13"/>
        <v>0</v>
      </c>
      <c r="G14" s="385">
        <f t="shared" si="13"/>
        <v>0</v>
      </c>
      <c r="H14" s="385">
        <f t="shared" si="13"/>
        <v>0</v>
      </c>
      <c r="I14" s="385">
        <f t="shared" si="13"/>
        <v>0</v>
      </c>
      <c r="J14" s="385">
        <f t="shared" si="13"/>
        <v>3.2138413112244683E-2</v>
      </c>
      <c r="K14" s="385">
        <f t="shared" si="13"/>
        <v>0.57582519824103662</v>
      </c>
      <c r="L14" s="385">
        <f t="shared" si="13"/>
        <v>0</v>
      </c>
      <c r="M14" s="385">
        <f t="shared" si="13"/>
        <v>0</v>
      </c>
      <c r="N14" s="385"/>
      <c r="O14" s="385"/>
      <c r="P14" s="529"/>
      <c r="Q14" s="97"/>
    </row>
    <row r="15" spans="1:17" s="2" customFormat="1" ht="11.25" x14ac:dyDescent="0.2">
      <c r="A15" s="44">
        <f t="shared" si="11"/>
        <v>7</v>
      </c>
      <c r="B15" s="120" t="s">
        <v>68</v>
      </c>
      <c r="C15" s="97">
        <f>[1]RuralCosts!C13</f>
        <v>95004.735252112383</v>
      </c>
      <c r="D15" s="97">
        <f>[1]RuralCosts!D13</f>
        <v>1185.6420367034193</v>
      </c>
      <c r="E15" s="97">
        <f>[1]RuralCosts!E13</f>
        <v>0</v>
      </c>
      <c r="F15" s="97">
        <f>[1]RuralCosts!F13</f>
        <v>0</v>
      </c>
      <c r="G15" s="97">
        <f>[1]RuralCosts!G13</f>
        <v>0</v>
      </c>
      <c r="H15" s="97">
        <f>SUM(E15:G15)</f>
        <v>0</v>
      </c>
      <c r="I15" s="97">
        <f>[1]RuralCosts!H13</f>
        <v>0</v>
      </c>
      <c r="J15" s="97">
        <f>[1]RuralCosts!I13</f>
        <v>300688.73279021442</v>
      </c>
      <c r="K15" s="97">
        <f>[1]RuralCosts!J13</f>
        <v>0</v>
      </c>
      <c r="L15" s="97">
        <f>[1]RuralCosts!$L13</f>
        <v>0</v>
      </c>
      <c r="M15" s="97">
        <f>[1]RuralCosts!$K$13</f>
        <v>0</v>
      </c>
      <c r="N15" s="97">
        <f>[1]RuralCosts!M$13</f>
        <v>9050.2165546810284</v>
      </c>
      <c r="O15" s="97">
        <f>[1]RuralCosts!N$13</f>
        <v>842.52923600769032</v>
      </c>
      <c r="P15" s="97">
        <f>SUM(C15:K15)+O15+N15-H15</f>
        <v>406771.85586971894</v>
      </c>
      <c r="Q15" s="97">
        <f>SUM(C15:O15)-H15</f>
        <v>406771.85586971894</v>
      </c>
    </row>
    <row r="16" spans="1:17" s="530" customFormat="1" ht="11.25" x14ac:dyDescent="0.2">
      <c r="A16" s="44">
        <f t="shared" si="11"/>
        <v>8</v>
      </c>
      <c r="B16" s="528" t="s">
        <v>65</v>
      </c>
      <c r="C16" s="385">
        <f>IFERROR(C15/C54,0)</f>
        <v>0.15617020342517166</v>
      </c>
      <c r="D16" s="385">
        <f>IFERROR(D15/D54,0)</f>
        <v>0.14691667697855579</v>
      </c>
      <c r="E16" s="385">
        <f t="shared" ref="E16:L16" si="14">IFERROR(E15/E54,0)</f>
        <v>0</v>
      </c>
      <c r="F16" s="385">
        <f t="shared" si="14"/>
        <v>0</v>
      </c>
      <c r="G16" s="385">
        <f t="shared" si="14"/>
        <v>0</v>
      </c>
      <c r="H16" s="385">
        <f t="shared" si="14"/>
        <v>0</v>
      </c>
      <c r="I16" s="385">
        <f t="shared" si="14"/>
        <v>0</v>
      </c>
      <c r="J16" s="385">
        <f t="shared" si="14"/>
        <v>3.2138413112244683E-2</v>
      </c>
      <c r="K16" s="385">
        <f t="shared" si="14"/>
        <v>0</v>
      </c>
      <c r="L16" s="385">
        <f t="shared" si="14"/>
        <v>0</v>
      </c>
      <c r="M16" s="385">
        <f>IFERROR(M15/M54,0)</f>
        <v>0</v>
      </c>
      <c r="N16" s="462"/>
      <c r="O16" s="462"/>
      <c r="P16" s="531"/>
      <c r="Q16" s="163"/>
    </row>
    <row r="17" spans="1:17" s="530" customFormat="1" ht="11.25" x14ac:dyDescent="0.2">
      <c r="A17" s="44">
        <f t="shared" si="11"/>
        <v>9</v>
      </c>
      <c r="B17" s="120" t="s">
        <v>67</v>
      </c>
      <c r="C17" s="97">
        <f>[1]RuralCosts!C14</f>
        <v>7603.1914441078206</v>
      </c>
      <c r="D17" s="97">
        <f>[1]RuralCosts!D14</f>
        <v>18.777653297345395</v>
      </c>
      <c r="E17" s="97">
        <f>[1]RuralCosts!E14</f>
        <v>0</v>
      </c>
      <c r="F17" s="97">
        <f>[1]RuralCosts!F14</f>
        <v>7.4115110369293795</v>
      </c>
      <c r="G17" s="97">
        <f>[1]RuralCosts!G14</f>
        <v>0</v>
      </c>
      <c r="H17" s="97">
        <f>SUM(E17:G17)</f>
        <v>7.4115110369293795</v>
      </c>
      <c r="I17" s="97">
        <f>[1]RuralCosts!H14</f>
        <v>0</v>
      </c>
      <c r="J17" s="97">
        <f>[1]RuralCosts!I14</f>
        <v>23095.113194347876</v>
      </c>
      <c r="K17" s="97">
        <f>[1]RuralCosts!J14</f>
        <v>0</v>
      </c>
      <c r="L17" s="97">
        <f>[1]RuralCosts!$L14</f>
        <v>0</v>
      </c>
      <c r="M17" s="97">
        <f>[1]RuralCosts!$K$14</f>
        <v>0</v>
      </c>
      <c r="N17" s="97">
        <f>[1]RuralCosts!M$14</f>
        <v>727.10638708379656</v>
      </c>
      <c r="O17" s="97">
        <f>[1]RuralCosts!N$14</f>
        <v>65.277707594668826</v>
      </c>
      <c r="P17" s="97">
        <f>SUM(C17:K17)+O17+N17-H17</f>
        <v>31516.877897468436</v>
      </c>
      <c r="Q17" s="97">
        <f>SUM(C17:O17)-H17</f>
        <v>31516.877897468436</v>
      </c>
    </row>
    <row r="18" spans="1:17" s="530" customFormat="1" ht="11.25" x14ac:dyDescent="0.2">
      <c r="A18" s="44">
        <f t="shared" si="11"/>
        <v>10</v>
      </c>
      <c r="B18" s="528" t="s">
        <v>65</v>
      </c>
      <c r="C18" s="385">
        <f>IFERROR(C17/C55,0)</f>
        <v>0.15617020342517166</v>
      </c>
      <c r="D18" s="385">
        <f t="shared" ref="D18:M18" si="15">IFERROR(D17/D55,0)</f>
        <v>0.14691667697855584</v>
      </c>
      <c r="E18" s="385">
        <f t="shared" si="15"/>
        <v>0</v>
      </c>
      <c r="F18" s="385">
        <f t="shared" si="15"/>
        <v>1.8903443477108399</v>
      </c>
      <c r="G18" s="385">
        <f t="shared" si="15"/>
        <v>0</v>
      </c>
      <c r="H18" s="385">
        <f t="shared" si="15"/>
        <v>1.8903443477108399</v>
      </c>
      <c r="I18" s="385">
        <f t="shared" si="15"/>
        <v>0</v>
      </c>
      <c r="J18" s="385">
        <f t="shared" si="15"/>
        <v>3.2138413112244683E-2</v>
      </c>
      <c r="K18" s="385">
        <f t="shared" si="15"/>
        <v>0</v>
      </c>
      <c r="L18" s="385">
        <f t="shared" si="15"/>
        <v>0</v>
      </c>
      <c r="M18" s="385">
        <f t="shared" si="15"/>
        <v>0</v>
      </c>
      <c r="N18" s="385"/>
      <c r="O18" s="385"/>
      <c r="P18" s="531"/>
      <c r="Q18" s="163"/>
    </row>
    <row r="19" spans="1:17" s="530" customFormat="1" ht="11.25" x14ac:dyDescent="0.2">
      <c r="A19" s="44">
        <f t="shared" si="11"/>
        <v>11</v>
      </c>
      <c r="B19" s="532" t="s">
        <v>233</v>
      </c>
      <c r="C19" s="97">
        <f>[1]RuralCosts!C15</f>
        <v>1.8691303672239608</v>
      </c>
      <c r="D19" s="97">
        <f>[1]RuralCosts!D15</f>
        <v>17855.054321510848</v>
      </c>
      <c r="E19" s="97">
        <f>[1]RuralCosts!E15</f>
        <v>0</v>
      </c>
      <c r="F19" s="97">
        <f>[1]RuralCosts!F15</f>
        <v>0</v>
      </c>
      <c r="G19" s="97">
        <f>[1]RuralCosts!G15</f>
        <v>0</v>
      </c>
      <c r="H19" s="97">
        <f>SUM(E19:G19)</f>
        <v>0</v>
      </c>
      <c r="I19" s="97">
        <f>[1]RuralCosts!H15</f>
        <v>0</v>
      </c>
      <c r="J19" s="97">
        <f>[1]RuralCosts!I15</f>
        <v>0</v>
      </c>
      <c r="K19" s="97">
        <f>[1]RuralCosts!J15</f>
        <v>201.41222956908598</v>
      </c>
      <c r="L19" s="97">
        <f>[1]RuralCosts!L15</f>
        <v>0</v>
      </c>
      <c r="M19" s="97">
        <f>[1]RuralCosts!K15</f>
        <v>0</v>
      </c>
      <c r="N19" s="97">
        <f>[1]RuralCosts!M15</f>
        <v>126.53203545561146</v>
      </c>
      <c r="O19" s="97">
        <f>[1]RuralCosts!N15</f>
        <v>37.830605021626909</v>
      </c>
      <c r="P19" s="97">
        <f>SUM(C19:K19)+O19+N19-H19</f>
        <v>18222.698321924396</v>
      </c>
      <c r="Q19" s="97">
        <f>SUM(C19:O19)-H19</f>
        <v>18222.698321924396</v>
      </c>
    </row>
    <row r="20" spans="1:17" s="530" customFormat="1" ht="11.25" x14ac:dyDescent="0.2">
      <c r="A20" s="44">
        <f t="shared" si="11"/>
        <v>12</v>
      </c>
      <c r="B20" s="528" t="s">
        <v>65</v>
      </c>
      <c r="C20" s="385">
        <f>IFERROR(C19/C56,0)</f>
        <v>0.15617020342517166</v>
      </c>
      <c r="D20" s="385">
        <f t="shared" ref="D20:K20" si="16">IFERROR(D19/D56,0)</f>
        <v>0.14691667697855582</v>
      </c>
      <c r="E20" s="385">
        <f t="shared" si="16"/>
        <v>0</v>
      </c>
      <c r="F20" s="385">
        <f t="shared" si="16"/>
        <v>0</v>
      </c>
      <c r="G20" s="385">
        <f t="shared" si="16"/>
        <v>0</v>
      </c>
      <c r="H20" s="385">
        <f t="shared" si="16"/>
        <v>0</v>
      </c>
      <c r="I20" s="385">
        <f t="shared" si="16"/>
        <v>0</v>
      </c>
      <c r="J20" s="385">
        <f t="shared" si="16"/>
        <v>0</v>
      </c>
      <c r="K20" s="385">
        <f t="shared" si="16"/>
        <v>0.57582519824103662</v>
      </c>
      <c r="L20" s="385">
        <f t="shared" ref="L20" si="17">IFERROR(L19/L56,0)</f>
        <v>0</v>
      </c>
      <c r="M20" s="385">
        <f>IFERROR(M19/M56,0)</f>
        <v>0</v>
      </c>
      <c r="N20" s="385"/>
      <c r="O20" s="385"/>
      <c r="P20" s="531"/>
      <c r="Q20" s="531"/>
    </row>
    <row r="21" spans="1:17" s="530" customFormat="1" ht="11.25" x14ac:dyDescent="0.2">
      <c r="A21" s="44">
        <f t="shared" si="11"/>
        <v>13</v>
      </c>
      <c r="B21" s="533" t="s">
        <v>56</v>
      </c>
      <c r="C21" s="97">
        <f>[1]RuralCosts!C16</f>
        <v>1.2545102336111011</v>
      </c>
      <c r="D21" s="97">
        <f>[1]RuralCosts!D16</f>
        <v>22439.218751696157</v>
      </c>
      <c r="E21" s="97">
        <f>[1]RuralCosts!E16</f>
        <v>0</v>
      </c>
      <c r="F21" s="97">
        <f>[1]RuralCosts!F16</f>
        <v>0</v>
      </c>
      <c r="G21" s="97">
        <f>[1]RuralCosts!G16</f>
        <v>0</v>
      </c>
      <c r="H21" s="97">
        <f>SUM(E21:G21)</f>
        <v>0</v>
      </c>
      <c r="I21" s="97">
        <f>[1]RuralCosts!H16</f>
        <v>0</v>
      </c>
      <c r="J21" s="97">
        <f>[1]RuralCosts!I16</f>
        <v>0</v>
      </c>
      <c r="K21" s="97">
        <f>[1]RuralCosts!J16</f>
        <v>0</v>
      </c>
      <c r="L21" s="97">
        <f>[1]RuralCosts!L16</f>
        <v>0</v>
      </c>
      <c r="M21" s="97">
        <f>[1]RuralCosts!K16</f>
        <v>0</v>
      </c>
      <c r="N21" s="97">
        <f>[1]RuralCosts!M16</f>
        <v>134.46573296498349</v>
      </c>
      <c r="O21" s="97">
        <f>[1]RuralCosts!N16</f>
        <v>46.962724157689763</v>
      </c>
      <c r="P21" s="97">
        <f>SUM(C21:K21)+O21+N21-H21</f>
        <v>22621.901719052439</v>
      </c>
      <c r="Q21" s="97">
        <f>SUM(C21:O21)-H21</f>
        <v>22621.901719052439</v>
      </c>
    </row>
    <row r="22" spans="1:17" s="530" customFormat="1" ht="11.25" x14ac:dyDescent="0.2">
      <c r="A22" s="44">
        <f t="shared" si="11"/>
        <v>14</v>
      </c>
      <c r="B22" s="528" t="s">
        <v>65</v>
      </c>
      <c r="C22" s="385">
        <f>IFERROR(C21/C57,0)</f>
        <v>0.15617020342517166</v>
      </c>
      <c r="D22" s="385">
        <f t="shared" ref="D22:L22" si="18">IFERROR(D21/D57,0)</f>
        <v>0.14691667697855582</v>
      </c>
      <c r="E22" s="385">
        <f t="shared" si="18"/>
        <v>0</v>
      </c>
      <c r="F22" s="385">
        <f t="shared" si="18"/>
        <v>0</v>
      </c>
      <c r="G22" s="385">
        <f t="shared" si="18"/>
        <v>0</v>
      </c>
      <c r="H22" s="385">
        <f t="shared" si="18"/>
        <v>0</v>
      </c>
      <c r="I22" s="385">
        <f t="shared" si="18"/>
        <v>0</v>
      </c>
      <c r="J22" s="385">
        <f t="shared" si="18"/>
        <v>0</v>
      </c>
      <c r="K22" s="385">
        <f t="shared" si="18"/>
        <v>0</v>
      </c>
      <c r="L22" s="385">
        <f t="shared" si="18"/>
        <v>0</v>
      </c>
      <c r="M22" s="385">
        <f>IFERROR(M21/M57,0)</f>
        <v>0</v>
      </c>
      <c r="N22" s="385"/>
      <c r="O22" s="385"/>
      <c r="P22" s="531"/>
      <c r="Q22" s="531"/>
    </row>
    <row r="23" spans="1:17" s="2" customFormat="1" ht="11.25" x14ac:dyDescent="0.2">
      <c r="A23" s="44">
        <f t="shared" si="11"/>
        <v>15</v>
      </c>
      <c r="B23" s="127" t="s">
        <v>346</v>
      </c>
      <c r="C23" s="274"/>
      <c r="D23" s="274"/>
      <c r="E23" s="274"/>
      <c r="F23" s="274"/>
      <c r="G23" s="274"/>
      <c r="H23" s="274"/>
      <c r="I23" s="274"/>
      <c r="J23" s="274"/>
      <c r="K23" s="274"/>
      <c r="L23" s="274"/>
      <c r="M23" s="274"/>
      <c r="N23" s="274"/>
      <c r="O23" s="274"/>
      <c r="P23" s="534"/>
      <c r="Q23" s="274"/>
    </row>
    <row r="24" spans="1:17" s="2" customFormat="1" ht="11.25" x14ac:dyDescent="0.2">
      <c r="A24" s="44">
        <f t="shared" si="11"/>
        <v>16</v>
      </c>
      <c r="B24" s="120" t="s">
        <v>392</v>
      </c>
      <c r="C24" s="97">
        <f>[1]RuralCosts!C18</f>
        <v>70440.997368391123</v>
      </c>
      <c r="D24" s="97">
        <f>[1]RuralCosts!D18</f>
        <v>1915.5950660793253</v>
      </c>
      <c r="E24" s="97">
        <f>[1]RuralCosts!E18</f>
        <v>0</v>
      </c>
      <c r="F24" s="97">
        <f>[1]RuralCosts!F18</f>
        <v>0</v>
      </c>
      <c r="G24" s="97">
        <f>[1]RuralCosts!G18</f>
        <v>0</v>
      </c>
      <c r="H24" s="97">
        <f>SUM(E24:G24)</f>
        <v>0</v>
      </c>
      <c r="I24" s="97">
        <f>[1]RuralCosts!H18</f>
        <v>12847.591502135423</v>
      </c>
      <c r="J24" s="97">
        <f>[1]RuralCosts!I18</f>
        <v>55415.843359600934</v>
      </c>
      <c r="K24" s="97">
        <f>[1]RuralCosts!J18</f>
        <v>0</v>
      </c>
      <c r="L24" s="97">
        <f>[1]RuralCosts!L18</f>
        <v>0</v>
      </c>
      <c r="M24" s="97">
        <f>[1]RuralCosts!K18</f>
        <v>0</v>
      </c>
      <c r="N24" s="97">
        <f>[1]RuralCosts!M$18</f>
        <v>1869.5470688366654</v>
      </c>
      <c r="O24" s="97">
        <f>[1]RuralCosts!N$18</f>
        <v>303.65556637381951</v>
      </c>
      <c r="P24" s="97">
        <f>SUM(C24:K24)+O24+N24-H24</f>
        <v>142793.22993141727</v>
      </c>
      <c r="Q24" s="97">
        <f>SUM(C24:O24)-H24</f>
        <v>142793.22993141727</v>
      </c>
    </row>
    <row r="25" spans="1:17" s="530" customFormat="1" ht="11.25" x14ac:dyDescent="0.2">
      <c r="A25" s="44">
        <f t="shared" si="11"/>
        <v>17</v>
      </c>
      <c r="B25" s="528" t="s">
        <v>65</v>
      </c>
      <c r="C25" s="385">
        <f>IFERROR(C24/C60,0)</f>
        <v>0.15019510451750548</v>
      </c>
      <c r="D25" s="385">
        <f>IFERROR(D24/D60,0)</f>
        <v>0.14691667697855582</v>
      </c>
      <c r="E25" s="385">
        <f t="shared" ref="E25:L25" si="19">IFERROR(E24/E60,0)</f>
        <v>0</v>
      </c>
      <c r="F25" s="385">
        <f t="shared" si="19"/>
        <v>0</v>
      </c>
      <c r="G25" s="385">
        <f t="shared" si="19"/>
        <v>0</v>
      </c>
      <c r="H25" s="385">
        <f t="shared" si="19"/>
        <v>0</v>
      </c>
      <c r="I25" s="385">
        <f t="shared" si="19"/>
        <v>6.2211816826760802E-2</v>
      </c>
      <c r="J25" s="385">
        <f t="shared" si="19"/>
        <v>3.2020131444845008E-2</v>
      </c>
      <c r="K25" s="385">
        <f t="shared" si="19"/>
        <v>0</v>
      </c>
      <c r="L25" s="385">
        <f t="shared" si="19"/>
        <v>0</v>
      </c>
      <c r="M25" s="385">
        <f>IFERROR(M24/M60,0)</f>
        <v>0</v>
      </c>
      <c r="N25" s="462"/>
      <c r="O25" s="462"/>
      <c r="P25" s="97"/>
      <c r="Q25" s="97"/>
    </row>
    <row r="26" spans="1:17" s="530" customFormat="1" ht="11.25" x14ac:dyDescent="0.2">
      <c r="A26" s="44">
        <f t="shared" si="11"/>
        <v>18</v>
      </c>
      <c r="B26" s="120" t="s">
        <v>391</v>
      </c>
      <c r="C26" s="97">
        <f>[1]RuralCosts!C19</f>
        <v>2892.0863114469921</v>
      </c>
      <c r="D26" s="97">
        <f>[1]RuralCosts!D19</f>
        <v>218533.40915900102</v>
      </c>
      <c r="E26" s="97">
        <f>[1]RuralCosts!E19</f>
        <v>0</v>
      </c>
      <c r="F26" s="97">
        <f>[1]RuralCosts!F19</f>
        <v>0</v>
      </c>
      <c r="G26" s="97">
        <f>[1]RuralCosts!G19</f>
        <v>0</v>
      </c>
      <c r="H26" s="97">
        <f>SUM(E26:G26)</f>
        <v>0</v>
      </c>
      <c r="I26" s="97">
        <f>[1]RuralCosts!H19</f>
        <v>86461.101582688076</v>
      </c>
      <c r="J26" s="97">
        <f>[1]RuralCosts!I19</f>
        <v>204.70491709952327</v>
      </c>
      <c r="K26" s="97">
        <f>[1]RuralCosts!J19</f>
        <v>0</v>
      </c>
      <c r="L26" s="97">
        <f>[1]RuralCosts!L19</f>
        <v>0</v>
      </c>
      <c r="M26" s="97">
        <f>[1]RuralCosts!K19</f>
        <v>0</v>
      </c>
      <c r="N26" s="97">
        <f>[1]RuralCosts!M$19</f>
        <v>2444.7772249583059</v>
      </c>
      <c r="O26" s="97">
        <f>[1]RuralCosts!N$19</f>
        <v>637.59346771731111</v>
      </c>
      <c r="P26" s="97">
        <f>SUM(C26:K26)+O26+N26-H26</f>
        <v>311173.67266291118</v>
      </c>
      <c r="Q26" s="97">
        <f>SUM(C26:O26)-H26</f>
        <v>311173.67266291118</v>
      </c>
    </row>
    <row r="27" spans="1:17" s="530" customFormat="1" ht="11.25" x14ac:dyDescent="0.2">
      <c r="A27" s="44">
        <f t="shared" si="11"/>
        <v>19</v>
      </c>
      <c r="B27" s="528" t="s">
        <v>65</v>
      </c>
      <c r="C27" s="385">
        <f>IFERROR(C26/C61,0)</f>
        <v>5.0304316752585576</v>
      </c>
      <c r="D27" s="385">
        <f t="shared" ref="D27:L27" si="20">IFERROR(D26/D61,0)</f>
        <v>0.14691667697855582</v>
      </c>
      <c r="E27" s="385">
        <f t="shared" si="20"/>
        <v>0</v>
      </c>
      <c r="F27" s="385">
        <f t="shared" si="20"/>
        <v>0</v>
      </c>
      <c r="G27" s="385">
        <f t="shared" si="20"/>
        <v>0</v>
      </c>
      <c r="H27" s="385">
        <f t="shared" si="20"/>
        <v>0</v>
      </c>
      <c r="I27" s="385">
        <f t="shared" si="20"/>
        <v>7.6541636842106825E-2</v>
      </c>
      <c r="J27" s="385">
        <f t="shared" si="20"/>
        <v>0</v>
      </c>
      <c r="K27" s="385">
        <f t="shared" si="20"/>
        <v>0</v>
      </c>
      <c r="L27" s="385">
        <f t="shared" si="20"/>
        <v>0</v>
      </c>
      <c r="M27" s="385">
        <f>IFERROR(M26/M61,0)</f>
        <v>0</v>
      </c>
      <c r="N27" s="462"/>
      <c r="O27" s="462"/>
      <c r="P27" s="97"/>
      <c r="Q27" s="97"/>
    </row>
    <row r="28" spans="1:17" s="530" customFormat="1" ht="11.25" x14ac:dyDescent="0.2">
      <c r="A28" s="44">
        <f t="shared" si="11"/>
        <v>20</v>
      </c>
      <c r="B28" s="533" t="s">
        <v>307</v>
      </c>
      <c r="C28" s="97">
        <f>[1]RuralCosts!C20</f>
        <v>0</v>
      </c>
      <c r="D28" s="97">
        <f>[1]RuralCosts!D20</f>
        <v>0</v>
      </c>
      <c r="E28" s="97">
        <f>[1]RuralCosts!E20</f>
        <v>0</v>
      </c>
      <c r="F28" s="97">
        <f>[1]RuralCosts!F20</f>
        <v>0</v>
      </c>
      <c r="G28" s="97">
        <f>[1]RuralCosts!G20</f>
        <v>0</v>
      </c>
      <c r="H28" s="97">
        <f>SUM(E28:G28)</f>
        <v>0</v>
      </c>
      <c r="I28" s="97">
        <f>[1]RuralCosts!H20</f>
        <v>6078.8403169028643</v>
      </c>
      <c r="J28" s="97">
        <f>[1]RuralCosts!I20</f>
        <v>0</v>
      </c>
      <c r="K28" s="97">
        <f>[1]RuralCosts!J20</f>
        <v>0</v>
      </c>
      <c r="L28" s="97">
        <f>[1]RuralCosts!L20</f>
        <v>0</v>
      </c>
      <c r="M28" s="97">
        <f>[1]RuralCosts!K20</f>
        <v>0</v>
      </c>
      <c r="N28" s="97">
        <f>[1]RuralCosts!M$20</f>
        <v>173.73495004747917</v>
      </c>
      <c r="O28" s="97">
        <f>[1]RuralCosts!N$20</f>
        <v>12.989366077301581</v>
      </c>
      <c r="P28" s="97">
        <f>SUM(C28:K28)+O28+N28-H28</f>
        <v>6265.564633027645</v>
      </c>
      <c r="Q28" s="97">
        <f>SUM(C28:O28)-H28</f>
        <v>6265.564633027645</v>
      </c>
    </row>
    <row r="29" spans="1:17" s="530" customFormat="1" ht="11.25" x14ac:dyDescent="0.2">
      <c r="A29" s="44">
        <f t="shared" si="11"/>
        <v>21</v>
      </c>
      <c r="B29" s="528" t="s">
        <v>65</v>
      </c>
      <c r="C29" s="385">
        <f>IFERROR(C28/C62,0)</f>
        <v>0</v>
      </c>
      <c r="D29" s="385">
        <f t="shared" ref="D29:L29" si="21">IFERROR(D28/D62,0)</f>
        <v>0</v>
      </c>
      <c r="E29" s="385">
        <f t="shared" si="21"/>
        <v>0</v>
      </c>
      <c r="F29" s="385">
        <f t="shared" si="21"/>
        <v>0</v>
      </c>
      <c r="G29" s="385">
        <f t="shared" si="21"/>
        <v>0</v>
      </c>
      <c r="H29" s="385">
        <f t="shared" si="21"/>
        <v>0</v>
      </c>
      <c r="I29" s="385">
        <f t="shared" si="21"/>
        <v>2.4846394655039634E-2</v>
      </c>
      <c r="J29" s="385">
        <f t="shared" si="21"/>
        <v>0</v>
      </c>
      <c r="K29" s="385">
        <f t="shared" si="21"/>
        <v>0</v>
      </c>
      <c r="L29" s="385">
        <f t="shared" si="21"/>
        <v>0</v>
      </c>
      <c r="M29" s="385">
        <f>IFERROR(M28/M62,0)</f>
        <v>0</v>
      </c>
      <c r="N29" s="462"/>
      <c r="O29" s="462"/>
      <c r="P29" s="97"/>
      <c r="Q29" s="97"/>
    </row>
    <row r="30" spans="1:17" s="2" customFormat="1" ht="11.25" x14ac:dyDescent="0.2">
      <c r="A30" s="44">
        <f t="shared" si="11"/>
        <v>22</v>
      </c>
      <c r="B30" s="120" t="s">
        <v>236</v>
      </c>
      <c r="C30" s="97">
        <f>[1]RuralCosts!C22</f>
        <v>172873.06592365124</v>
      </c>
      <c r="D30" s="97">
        <f>[1]RuralCosts!D22</f>
        <v>2512.2065542902865</v>
      </c>
      <c r="E30" s="97">
        <f>[1]RuralCosts!E22</f>
        <v>0</v>
      </c>
      <c r="F30" s="97">
        <f>[1]RuralCosts!F22</f>
        <v>173.68427150550579</v>
      </c>
      <c r="G30" s="97">
        <f>[1]RuralCosts!G22</f>
        <v>0</v>
      </c>
      <c r="H30" s="97">
        <f>SUM(E30:G30)</f>
        <v>173.68427150550579</v>
      </c>
      <c r="I30" s="97">
        <f>[1]RuralCosts!H22</f>
        <v>398.74104570664866</v>
      </c>
      <c r="J30" s="97">
        <f>[1]RuralCosts!I22</f>
        <v>417010.15008957026</v>
      </c>
      <c r="K30" s="97">
        <f>[1]RuralCosts!J22</f>
        <v>4.6170293460880725</v>
      </c>
      <c r="L30" s="97">
        <f>[1]RuralCosts!L22</f>
        <v>0</v>
      </c>
      <c r="M30" s="97">
        <f>[1]RuralCosts!K22</f>
        <v>0</v>
      </c>
      <c r="N30" s="97">
        <f>[1]RuralCosts!M$22</f>
        <v>11778.84724917116</v>
      </c>
      <c r="O30" s="97">
        <f>[1]RuralCosts!N$22</f>
        <v>1254.9972808496013</v>
      </c>
      <c r="P30" s="97">
        <f>SUM(C30:K30)+O30+N30-H30</f>
        <v>606006.30944409082</v>
      </c>
      <c r="Q30" s="97">
        <f>SUM(C30:O30)-H30</f>
        <v>606006.30944409082</v>
      </c>
    </row>
    <row r="31" spans="1:17" s="530" customFormat="1" ht="11.25" x14ac:dyDescent="0.2">
      <c r="A31" s="44">
        <f t="shared" si="11"/>
        <v>23</v>
      </c>
      <c r="B31" s="528" t="s">
        <v>65</v>
      </c>
      <c r="C31" s="385">
        <f>IFERROR(C30/C65,0)</f>
        <v>0.15617020342517166</v>
      </c>
      <c r="D31" s="385">
        <f>IFERROR(D30/D65,0)</f>
        <v>0.14691667697855579</v>
      </c>
      <c r="E31" s="385">
        <f t="shared" ref="E31:L31" si="22">IFERROR(E30/E65,0)</f>
        <v>0</v>
      </c>
      <c r="F31" s="385">
        <f t="shared" si="22"/>
        <v>1.8903443477108399</v>
      </c>
      <c r="G31" s="385">
        <f t="shared" si="22"/>
        <v>0</v>
      </c>
      <c r="H31" s="385">
        <f t="shared" si="22"/>
        <v>1.8903443477108399</v>
      </c>
      <c r="I31" s="385">
        <f t="shared" si="22"/>
        <v>6.6668640801994056E-2</v>
      </c>
      <c r="J31" s="385">
        <f t="shared" si="22"/>
        <v>3.2138413112244683E-2</v>
      </c>
      <c r="K31" s="385">
        <f t="shared" si="22"/>
        <v>0.57582519824103651</v>
      </c>
      <c r="L31" s="385">
        <f t="shared" si="22"/>
        <v>0</v>
      </c>
      <c r="M31" s="385">
        <f>IFERROR(M30/M65,0)</f>
        <v>0</v>
      </c>
      <c r="N31" s="462"/>
      <c r="O31" s="462"/>
      <c r="P31" s="97"/>
      <c r="Q31" s="97"/>
    </row>
    <row r="32" spans="1:17" s="530" customFormat="1" ht="11.25" x14ac:dyDescent="0.2">
      <c r="A32" s="44">
        <f t="shared" si="11"/>
        <v>24</v>
      </c>
      <c r="B32" s="120" t="s">
        <v>237</v>
      </c>
      <c r="C32" s="97">
        <f>[1]RuralCosts!C23</f>
        <v>7.3754416033543215</v>
      </c>
      <c r="D32" s="97">
        <f>[1]RuralCosts!D23</f>
        <v>100382.67169564683</v>
      </c>
      <c r="E32" s="97">
        <f>[1]RuralCosts!E23</f>
        <v>0</v>
      </c>
      <c r="F32" s="97">
        <f>[1]RuralCosts!F23</f>
        <v>67.413357169164215</v>
      </c>
      <c r="G32" s="97">
        <f>[1]RuralCosts!G23</f>
        <v>0</v>
      </c>
      <c r="H32" s="97">
        <f>SUM(E32:G32)</f>
        <v>67.413357169164215</v>
      </c>
      <c r="I32" s="97">
        <f>[1]RuralCosts!H23</f>
        <v>14.939512372242923</v>
      </c>
      <c r="J32" s="97">
        <f>[1]RuralCosts!I23</f>
        <v>0</v>
      </c>
      <c r="K32" s="97">
        <f>[1]RuralCosts!J23</f>
        <v>4.5152988314257261</v>
      </c>
      <c r="L32" s="97">
        <f>[1]RuralCosts!L23</f>
        <v>0</v>
      </c>
      <c r="M32" s="97">
        <f>[1]RuralCosts!K23</f>
        <v>0</v>
      </c>
      <c r="N32" s="97">
        <f>[1]RuralCosts!M23</f>
        <v>518.35450037370504</v>
      </c>
      <c r="O32" s="97">
        <f>[1]RuralCosts!N23</f>
        <v>210.10101172342473</v>
      </c>
      <c r="P32" s="97">
        <f>SUM(C32:K32)+O32+N32-H32</f>
        <v>101205.37081772015</v>
      </c>
      <c r="Q32" s="97">
        <f>SUM(C32:O32)-H32</f>
        <v>101205.37081772015</v>
      </c>
    </row>
    <row r="33" spans="1:18" s="530" customFormat="1" ht="11.25" x14ac:dyDescent="0.2">
      <c r="A33" s="44">
        <f t="shared" si="11"/>
        <v>25</v>
      </c>
      <c r="B33" s="528" t="s">
        <v>65</v>
      </c>
      <c r="C33" s="385">
        <f>IFERROR(C32/C66,0)</f>
        <v>0.15617020342517163</v>
      </c>
      <c r="D33" s="385">
        <f t="shared" ref="D33:L33" si="23">IFERROR(D32/D66,0)</f>
        <v>0.14691667697855582</v>
      </c>
      <c r="E33" s="385">
        <f t="shared" si="23"/>
        <v>0</v>
      </c>
      <c r="F33" s="385">
        <f t="shared" si="23"/>
        <v>1.8903443477108401</v>
      </c>
      <c r="G33" s="385">
        <f t="shared" si="23"/>
        <v>0</v>
      </c>
      <c r="H33" s="385">
        <f t="shared" si="23"/>
        <v>1.8903443477108401</v>
      </c>
      <c r="I33" s="385">
        <f t="shared" si="23"/>
        <v>6.6668640801994056E-2</v>
      </c>
      <c r="J33" s="385">
        <f t="shared" si="23"/>
        <v>0</v>
      </c>
      <c r="K33" s="385">
        <f t="shared" si="23"/>
        <v>0.57582519824103662</v>
      </c>
      <c r="L33" s="385">
        <f t="shared" si="23"/>
        <v>0</v>
      </c>
      <c r="M33" s="385">
        <f>IFERROR(M32/M66,0)</f>
        <v>0</v>
      </c>
      <c r="N33" s="462"/>
      <c r="O33" s="462"/>
      <c r="P33" s="97"/>
      <c r="Q33" s="97"/>
    </row>
    <row r="34" spans="1:18" s="530" customFormat="1" ht="11.25" x14ac:dyDescent="0.2">
      <c r="A34" s="44">
        <f t="shared" si="11"/>
        <v>26</v>
      </c>
      <c r="B34" s="120" t="s">
        <v>238</v>
      </c>
      <c r="C34" s="97">
        <f>[1]RuralCosts!C24</f>
        <v>0</v>
      </c>
      <c r="D34" s="97">
        <f>[1]RuralCosts!D24</f>
        <v>0</v>
      </c>
      <c r="E34" s="97">
        <f>[1]RuralCosts!E24</f>
        <v>1613.4994578008432</v>
      </c>
      <c r="F34" s="97">
        <f>[1]RuralCosts!F24</f>
        <v>974.49580039739692</v>
      </c>
      <c r="G34" s="97">
        <f>[1]RuralCosts!G24</f>
        <v>71.876358896631075</v>
      </c>
      <c r="H34" s="97">
        <f>SUM(E34:G34)</f>
        <v>2659.8716170948715</v>
      </c>
      <c r="I34" s="97">
        <f>[1]RuralCosts!H24</f>
        <v>0</v>
      </c>
      <c r="J34" s="97">
        <f>[1]RuralCosts!I24</f>
        <v>0</v>
      </c>
      <c r="K34" s="97">
        <f>[1]RuralCosts!J24</f>
        <v>2.2662054125461513</v>
      </c>
      <c r="L34" s="97">
        <f>[1]RuralCosts!L24</f>
        <v>0</v>
      </c>
      <c r="M34" s="97">
        <f>[1]RuralCosts!K24</f>
        <v>0</v>
      </c>
      <c r="N34" s="97">
        <f>[1]RuralCosts!M24</f>
        <v>3.6369425122475865</v>
      </c>
      <c r="O34" s="97">
        <f>[1]RuralCosts!N24</f>
        <v>5.5364820827928867</v>
      </c>
      <c r="P34" s="97">
        <f>SUM(C34:K34)+O34+N34-H34</f>
        <v>2671.3112471024574</v>
      </c>
      <c r="Q34" s="97">
        <f>SUM(C34:O34)-H34</f>
        <v>2671.3112471024574</v>
      </c>
    </row>
    <row r="35" spans="1:18" s="530" customFormat="1" ht="11.25" x14ac:dyDescent="0.2">
      <c r="A35" s="44">
        <f t="shared" si="11"/>
        <v>27</v>
      </c>
      <c r="B35" s="535" t="s">
        <v>65</v>
      </c>
      <c r="C35" s="461">
        <f>IFERROR(C34/C67,0)</f>
        <v>0</v>
      </c>
      <c r="D35" s="461">
        <f t="shared" ref="D35:L35" si="24">IFERROR(D34/D67,0)</f>
        <v>0</v>
      </c>
      <c r="E35" s="461">
        <f t="shared" si="24"/>
        <v>0.39468299348784996</v>
      </c>
      <c r="F35" s="461">
        <f t="shared" si="24"/>
        <v>1.8903443477108399</v>
      </c>
      <c r="G35" s="461">
        <f t="shared" si="24"/>
        <v>0.54750699375306056</v>
      </c>
      <c r="H35" s="461">
        <f t="shared" si="24"/>
        <v>0.5617609914354228</v>
      </c>
      <c r="I35" s="461">
        <f t="shared" si="24"/>
        <v>0</v>
      </c>
      <c r="J35" s="461">
        <f t="shared" si="24"/>
        <v>0</v>
      </c>
      <c r="K35" s="461">
        <f t="shared" si="24"/>
        <v>0.57582519824103651</v>
      </c>
      <c r="L35" s="461">
        <f t="shared" si="24"/>
        <v>0</v>
      </c>
      <c r="M35" s="461">
        <f>IFERROR(M34/M67,0)</f>
        <v>0</v>
      </c>
      <c r="N35" s="463"/>
      <c r="O35" s="463"/>
      <c r="P35" s="177"/>
      <c r="Q35" s="177"/>
    </row>
    <row r="36" spans="1:18" s="2" customFormat="1" ht="11.25" x14ac:dyDescent="0.2">
      <c r="A36" s="44">
        <f t="shared" si="11"/>
        <v>28</v>
      </c>
      <c r="B36" s="124" t="s">
        <v>49</v>
      </c>
      <c r="C36" s="97">
        <f>[1]RuralCosts!C25</f>
        <v>298.56030606629031</v>
      </c>
      <c r="D36" s="97">
        <f>[1]RuralCosts!D25</f>
        <v>156173.81093202587</v>
      </c>
      <c r="E36" s="97">
        <f>[1]RuralCosts!E25</f>
        <v>5338.711622870338</v>
      </c>
      <c r="F36" s="97">
        <f>[1]RuralCosts!F25</f>
        <v>1329.1200648232168</v>
      </c>
      <c r="G36" s="97">
        <f>[1]RuralCosts!G25</f>
        <v>0</v>
      </c>
      <c r="H36" s="97">
        <f>SUM(E36:G36)</f>
        <v>6667.8316876935551</v>
      </c>
      <c r="I36" s="97">
        <f>[1]RuralCosts!H25</f>
        <v>848.14859933836328</v>
      </c>
      <c r="J36" s="97">
        <f>[1]RuralCosts!I25</f>
        <v>94.584005076610978</v>
      </c>
      <c r="K36" s="97">
        <f>[1]RuralCosts!J25</f>
        <v>0</v>
      </c>
      <c r="L36" s="97">
        <f>[1]RuralCosts!L25</f>
        <v>0</v>
      </c>
      <c r="M36" s="97">
        <f>[1]RuralCosts!K25</f>
        <v>0</v>
      </c>
      <c r="N36" s="97">
        <f>[1]RuralCosts!M25</f>
        <v>758.92180445812767</v>
      </c>
      <c r="O36" s="97">
        <f>[1]RuralCosts!N25</f>
        <v>342.89333499695908</v>
      </c>
      <c r="P36" s="97">
        <f>SUM(C36:K36)+O36+N36-H36</f>
        <v>165184.75066965577</v>
      </c>
      <c r="Q36" s="97">
        <f>SUM(C36:O36)-H36</f>
        <v>165184.75066965577</v>
      </c>
    </row>
    <row r="37" spans="1:18" s="2" customFormat="1" ht="11.25" x14ac:dyDescent="0.2">
      <c r="A37" s="44">
        <f t="shared" si="11"/>
        <v>29</v>
      </c>
      <c r="B37" s="528" t="s">
        <v>65</v>
      </c>
      <c r="C37" s="385">
        <f>IFERROR(C36/C68,0)</f>
        <v>0.15617020342517166</v>
      </c>
      <c r="D37" s="385">
        <f t="shared" ref="D37:L37" si="25">IFERROR(D36/D68,0)</f>
        <v>0.14691667697855582</v>
      </c>
      <c r="E37" s="385">
        <f t="shared" si="25"/>
        <v>0.39468299348784991</v>
      </c>
      <c r="F37" s="385">
        <f t="shared" si="25"/>
        <v>1.8903443477108397</v>
      </c>
      <c r="G37" s="385">
        <f t="shared" si="25"/>
        <v>0</v>
      </c>
      <c r="H37" s="385">
        <f t="shared" si="25"/>
        <v>0.46858582568137191</v>
      </c>
      <c r="I37" s="385">
        <f t="shared" si="25"/>
        <v>6.6668640801994056E-2</v>
      </c>
      <c r="J37" s="385">
        <f t="shared" si="25"/>
        <v>3.2138413112244683E-2</v>
      </c>
      <c r="K37" s="385">
        <f t="shared" si="25"/>
        <v>0</v>
      </c>
      <c r="L37" s="385">
        <f t="shared" si="25"/>
        <v>0</v>
      </c>
      <c r="M37" s="385">
        <f>IFERROR(M36/M68,0)</f>
        <v>0</v>
      </c>
      <c r="N37" s="462"/>
      <c r="O37" s="462"/>
      <c r="P37" s="531"/>
      <c r="Q37" s="97"/>
    </row>
    <row r="38" spans="1:18" s="530" customFormat="1" ht="11.25" x14ac:dyDescent="0.2">
      <c r="A38" s="44">
        <f t="shared" si="11"/>
        <v>30</v>
      </c>
      <c r="B38" s="127" t="s">
        <v>166</v>
      </c>
      <c r="C38" s="229"/>
      <c r="D38" s="229"/>
      <c r="E38" s="229"/>
      <c r="F38" s="229"/>
      <c r="G38" s="229"/>
      <c r="H38" s="229"/>
      <c r="I38" s="229"/>
      <c r="J38" s="229"/>
      <c r="K38" s="229"/>
      <c r="L38" s="229"/>
      <c r="M38" s="229"/>
      <c r="N38" s="229"/>
      <c r="O38" s="229"/>
      <c r="P38" s="230"/>
      <c r="Q38" s="230"/>
    </row>
    <row r="39" spans="1:18" s="2" customFormat="1" ht="11.25" x14ac:dyDescent="0.2">
      <c r="A39" s="44">
        <f t="shared" si="11"/>
        <v>31</v>
      </c>
      <c r="B39" s="120" t="s">
        <v>393</v>
      </c>
      <c r="C39" s="97">
        <f>[1]RuralCosts!C27</f>
        <v>1.2292402672257201</v>
      </c>
      <c r="D39" s="97">
        <f>[1]RuralCosts!D27</f>
        <v>5103.7584592142357</v>
      </c>
      <c r="E39" s="97">
        <f>[1]RuralCosts!E27</f>
        <v>282.74940692426031</v>
      </c>
      <c r="F39" s="97">
        <f>[1]RuralCosts!F27</f>
        <v>761.49220514563228</v>
      </c>
      <c r="G39" s="97">
        <f>[1]RuralCosts!G27</f>
        <v>1.5028953673864085</v>
      </c>
      <c r="H39" s="97">
        <f>SUM(E39:G39)</f>
        <v>1045.744507437279</v>
      </c>
      <c r="I39" s="97">
        <f>[1]RuralCosts!H27</f>
        <v>15.546448500732623</v>
      </c>
      <c r="J39" s="97">
        <f>[1]RuralCosts!I27</f>
        <v>0</v>
      </c>
      <c r="K39" s="97">
        <f>[1]RuralCosts!J27</f>
        <v>2.2662054125461513</v>
      </c>
      <c r="L39" s="97">
        <f>[1]RuralCosts!L27</f>
        <v>0</v>
      </c>
      <c r="M39" s="97">
        <f>[1]RuralCosts!K27</f>
        <v>7.4203257386232568</v>
      </c>
      <c r="N39" s="97">
        <f>[1]RuralCosts!M27</f>
        <v>32.400546012058228</v>
      </c>
      <c r="O39" s="97">
        <f>[1]RuralCosts!N27</f>
        <v>12.912018527235345</v>
      </c>
      <c r="P39" s="97">
        <f>SUM(C39:K39)+O39+N39-H39</f>
        <v>6213.8574253713114</v>
      </c>
      <c r="Q39" s="97">
        <f>SUM(C39:O39)-H39</f>
        <v>6221.2777511099348</v>
      </c>
    </row>
    <row r="40" spans="1:18" s="164" customFormat="1" ht="11.25" x14ac:dyDescent="0.2">
      <c r="A40" s="44">
        <f t="shared" si="11"/>
        <v>32</v>
      </c>
      <c r="B40" s="232" t="s">
        <v>65</v>
      </c>
      <c r="C40" s="385">
        <f>IFERROR(C39/C70,0)</f>
        <v>0.15617020342517166</v>
      </c>
      <c r="D40" s="385">
        <f t="shared" ref="D40:M40" si="26">IFERROR(D39/D70,0)</f>
        <v>0.14691667697855582</v>
      </c>
      <c r="E40" s="385">
        <f t="shared" si="26"/>
        <v>0.39468299348784991</v>
      </c>
      <c r="F40" s="385">
        <f t="shared" si="26"/>
        <v>1.8903443477108399</v>
      </c>
      <c r="G40" s="385">
        <f t="shared" si="26"/>
        <v>0.54750699375306056</v>
      </c>
      <c r="H40" s="385">
        <f t="shared" si="26"/>
        <v>0.93205791747289624</v>
      </c>
      <c r="I40" s="385">
        <f t="shared" si="26"/>
        <v>6.6668640801994056E-2</v>
      </c>
      <c r="J40" s="385">
        <f t="shared" si="26"/>
        <v>0</v>
      </c>
      <c r="K40" s="385">
        <f t="shared" si="26"/>
        <v>0.57582519824103651</v>
      </c>
      <c r="L40" s="385">
        <f t="shared" si="26"/>
        <v>0</v>
      </c>
      <c r="M40" s="385">
        <f t="shared" si="26"/>
        <v>6.5550580729887425E-3</v>
      </c>
      <c r="N40" s="385"/>
      <c r="O40" s="385"/>
      <c r="P40" s="163"/>
      <c r="Q40" s="163"/>
    </row>
    <row r="41" spans="1:18" s="164" customFormat="1" ht="11.25" x14ac:dyDescent="0.2">
      <c r="A41" s="44">
        <f t="shared" si="11"/>
        <v>33</v>
      </c>
      <c r="B41" s="120" t="s">
        <v>394</v>
      </c>
      <c r="C41" s="97">
        <f>[1]RuralCosts!C28</f>
        <v>0</v>
      </c>
      <c r="D41" s="97">
        <f>[1]RuralCosts!D28</f>
        <v>0</v>
      </c>
      <c r="E41" s="97">
        <f>[1]RuralCosts!E28</f>
        <v>20201.550653223152</v>
      </c>
      <c r="F41" s="97">
        <f>[1]RuralCosts!F28</f>
        <v>50075.726112833625</v>
      </c>
      <c r="G41" s="97">
        <f>[1]RuralCosts!G28</f>
        <v>2071.9959198145962</v>
      </c>
      <c r="H41" s="97">
        <f>SUM(E41:G41)</f>
        <v>72349.272685871372</v>
      </c>
      <c r="I41" s="97">
        <f>[1]RuralCosts!H28</f>
        <v>0</v>
      </c>
      <c r="J41" s="97">
        <f>[1]RuralCosts!I28</f>
        <v>0</v>
      </c>
      <c r="K41" s="97">
        <f>[1]RuralCosts!J28</f>
        <v>6.8269987760241451</v>
      </c>
      <c r="L41" s="97">
        <f>[1]RuralCosts!L28</f>
        <v>69.173682095437968</v>
      </c>
      <c r="M41" s="97">
        <f>[1]RuralCosts!K28</f>
        <v>0.64895074922588547</v>
      </c>
      <c r="N41" s="97">
        <f>[1]RuralCosts!M28</f>
        <v>70.18025591502979</v>
      </c>
      <c r="O41" s="97">
        <f>[1]RuralCosts!N28</f>
        <v>150.58404892322591</v>
      </c>
      <c r="P41" s="97">
        <f>SUM(C41:K41)+O41+N41-H41</f>
        <v>72576.863989485661</v>
      </c>
      <c r="Q41" s="97">
        <f>SUM(C41:O41)-H41</f>
        <v>72646.686622330308</v>
      </c>
    </row>
    <row r="42" spans="1:18" s="164" customFormat="1" ht="11.25" x14ac:dyDescent="0.2">
      <c r="A42" s="44">
        <f t="shared" si="11"/>
        <v>34</v>
      </c>
      <c r="B42" s="232" t="s">
        <v>65</v>
      </c>
      <c r="C42" s="385">
        <f>IFERROR(C41/C71,0)</f>
        <v>0</v>
      </c>
      <c r="D42" s="385">
        <f t="shared" ref="D42:M42" si="27">IFERROR(D41/D71,0)</f>
        <v>0</v>
      </c>
      <c r="E42" s="385">
        <f t="shared" si="27"/>
        <v>0.39468299348784991</v>
      </c>
      <c r="F42" s="385">
        <f t="shared" si="27"/>
        <v>1.8903443477108399</v>
      </c>
      <c r="G42" s="385">
        <f t="shared" si="27"/>
        <v>0.54750699375306056</v>
      </c>
      <c r="H42" s="385">
        <f t="shared" si="27"/>
        <v>0.88816870975953444</v>
      </c>
      <c r="I42" s="385">
        <f t="shared" si="27"/>
        <v>0</v>
      </c>
      <c r="J42" s="385">
        <f t="shared" si="27"/>
        <v>0</v>
      </c>
      <c r="K42" s="385">
        <f t="shared" si="27"/>
        <v>0.57582519824103662</v>
      </c>
      <c r="L42" s="385">
        <f t="shared" si="27"/>
        <v>0.25715123455553146</v>
      </c>
      <c r="M42" s="385">
        <f t="shared" si="27"/>
        <v>6.5550580729887425E-3</v>
      </c>
      <c r="N42" s="385"/>
      <c r="O42" s="385"/>
      <c r="P42" s="163"/>
      <c r="Q42" s="163"/>
    </row>
    <row r="43" spans="1:18" s="2" customFormat="1" ht="11.25" x14ac:dyDescent="0.2">
      <c r="A43" s="44">
        <f t="shared" si="11"/>
        <v>35</v>
      </c>
      <c r="B43" s="120" t="s">
        <v>395</v>
      </c>
      <c r="C43" s="97">
        <f>[1]RuralCosts!C29</f>
        <v>0</v>
      </c>
      <c r="D43" s="97">
        <f>[1]RuralCosts!D29</f>
        <v>0</v>
      </c>
      <c r="E43" s="97">
        <f>[1]RuralCosts!E29</f>
        <v>5023.6908884272525</v>
      </c>
      <c r="F43" s="97">
        <f>[1]RuralCosts!F29</f>
        <v>15842.355837410661</v>
      </c>
      <c r="G43" s="97">
        <f>[1]RuralCosts!G29</f>
        <v>1011.6845689178235</v>
      </c>
      <c r="H43" s="97">
        <f>SUM(E43:G43)</f>
        <v>21877.731294755737</v>
      </c>
      <c r="I43" s="97">
        <f>[1]RuralCosts!H29</f>
        <v>0</v>
      </c>
      <c r="J43" s="97">
        <f>[1]RuralCosts!I29</f>
        <v>0</v>
      </c>
      <c r="K43" s="97">
        <f>[1]RuralCosts!J29</f>
        <v>16.152046532304816</v>
      </c>
      <c r="L43" s="97">
        <f>[1]RuralCosts!L29</f>
        <v>237.35058949475555</v>
      </c>
      <c r="M43" s="97">
        <f>[1]RuralCosts!K29</f>
        <v>18.236171559054682</v>
      </c>
      <c r="N43" s="97">
        <f>[1]RuralCosts!M29</f>
        <v>21.467440797062945</v>
      </c>
      <c r="O43" s="97">
        <f>[1]RuralCosts!N29</f>
        <v>46.051373701473317</v>
      </c>
      <c r="P43" s="97">
        <f>SUM(C43:K43)+O43+N43-H43</f>
        <v>21961.402155786571</v>
      </c>
      <c r="Q43" s="97">
        <f>SUM(C43:O43)-H43</f>
        <v>22216.988916840375</v>
      </c>
      <c r="R43" s="164"/>
    </row>
    <row r="44" spans="1:18" s="2" customFormat="1" ht="11.25" x14ac:dyDescent="0.2">
      <c r="A44" s="44">
        <f t="shared" si="11"/>
        <v>36</v>
      </c>
      <c r="B44" s="535" t="s">
        <v>65</v>
      </c>
      <c r="C44" s="461">
        <f>IFERROR(C43/C72,0)</f>
        <v>0</v>
      </c>
      <c r="D44" s="461">
        <f t="shared" ref="D44:M44" si="28">IFERROR(D43/D72,0)</f>
        <v>0</v>
      </c>
      <c r="E44" s="461">
        <f t="shared" si="28"/>
        <v>0.39468299348784991</v>
      </c>
      <c r="F44" s="461">
        <f t="shared" si="28"/>
        <v>1.8903443477108399</v>
      </c>
      <c r="G44" s="461">
        <f t="shared" si="28"/>
        <v>0.54750699375306056</v>
      </c>
      <c r="H44" s="461">
        <f t="shared" si="28"/>
        <v>0.95299178137034879</v>
      </c>
      <c r="I44" s="461">
        <f t="shared" si="28"/>
        <v>0</v>
      </c>
      <c r="J44" s="461">
        <f t="shared" si="28"/>
        <v>0</v>
      </c>
      <c r="K44" s="461">
        <f t="shared" si="28"/>
        <v>0.57582519824103651</v>
      </c>
      <c r="L44" s="461">
        <f>IFERROR(L43/L72,0)</f>
        <v>0.25715123455553146</v>
      </c>
      <c r="M44" s="461">
        <f t="shared" si="28"/>
        <v>6.5550580729887425E-3</v>
      </c>
      <c r="N44" s="461"/>
      <c r="O44" s="461"/>
      <c r="P44" s="131"/>
      <c r="Q44" s="131"/>
      <c r="R44" s="164"/>
    </row>
    <row r="45" spans="1:18" s="2" customFormat="1" ht="11.25" x14ac:dyDescent="0.2">
      <c r="A45" s="82"/>
      <c r="B45" s="536"/>
      <c r="C45" s="418"/>
      <c r="D45" s="418"/>
      <c r="E45" s="418"/>
      <c r="F45" s="418"/>
      <c r="G45" s="418"/>
      <c r="H45" s="418"/>
      <c r="I45" s="418"/>
      <c r="J45" s="418"/>
      <c r="K45" s="418"/>
      <c r="L45" s="418"/>
      <c r="M45" s="418"/>
      <c r="N45" s="418"/>
      <c r="O45" s="418"/>
      <c r="R45" s="164"/>
    </row>
    <row r="46" spans="1:18" x14ac:dyDescent="0.2">
      <c r="B46" s="537"/>
      <c r="I46" s="1"/>
      <c r="R46" s="164"/>
    </row>
    <row r="47" spans="1:18" ht="33.75" x14ac:dyDescent="0.2">
      <c r="B47" s="12"/>
      <c r="C47" s="175" t="s">
        <v>70</v>
      </c>
      <c r="D47" s="175" t="s">
        <v>71</v>
      </c>
      <c r="E47" s="64" t="s">
        <v>387</v>
      </c>
      <c r="F47" s="64" t="s">
        <v>388</v>
      </c>
      <c r="G47" s="64" t="s">
        <v>389</v>
      </c>
      <c r="H47" s="64" t="s">
        <v>445</v>
      </c>
      <c r="I47" s="175" t="s">
        <v>76</v>
      </c>
      <c r="J47" s="175" t="s">
        <v>20</v>
      </c>
      <c r="K47" s="46" t="s">
        <v>48</v>
      </c>
      <c r="L47" s="46" t="s">
        <v>327</v>
      </c>
      <c r="M47" s="46" t="s">
        <v>390</v>
      </c>
    </row>
    <row r="48" spans="1:18" x14ac:dyDescent="0.2">
      <c r="B48" s="12"/>
      <c r="C48" s="97">
        <v>-1</v>
      </c>
      <c r="D48" s="97">
        <f>+C48-1</f>
        <v>-2</v>
      </c>
      <c r="E48" s="97">
        <f t="shared" ref="E48:G48" si="29">+D48-1</f>
        <v>-3</v>
      </c>
      <c r="F48" s="97">
        <f t="shared" si="29"/>
        <v>-4</v>
      </c>
      <c r="G48" s="97">
        <f t="shared" si="29"/>
        <v>-5</v>
      </c>
      <c r="H48" s="97">
        <f t="shared" ref="H48" si="30">+G48-1</f>
        <v>-6</v>
      </c>
      <c r="I48" s="97">
        <f t="shared" ref="I48" si="31">+H48-1</f>
        <v>-7</v>
      </c>
      <c r="J48" s="97">
        <f t="shared" ref="J48" si="32">+I48-1</f>
        <v>-8</v>
      </c>
      <c r="K48" s="97">
        <f t="shared" ref="K48" si="33">+J48-1</f>
        <v>-9</v>
      </c>
      <c r="L48" s="97">
        <f t="shared" ref="L48" si="34">+K48-1</f>
        <v>-10</v>
      </c>
      <c r="M48" s="97">
        <f t="shared" ref="M48" si="35">+L48-1</f>
        <v>-11</v>
      </c>
    </row>
    <row r="49" spans="1:19" x14ac:dyDescent="0.2">
      <c r="B49" s="12"/>
      <c r="C49" s="97" t="s">
        <v>119</v>
      </c>
      <c r="D49" s="97" t="s">
        <v>119</v>
      </c>
      <c r="E49" s="97" t="s">
        <v>119</v>
      </c>
      <c r="F49" s="97" t="s">
        <v>119</v>
      </c>
      <c r="G49" s="97" t="s">
        <v>119</v>
      </c>
      <c r="H49" s="97" t="s">
        <v>119</v>
      </c>
      <c r="I49" s="97" t="s">
        <v>119</v>
      </c>
      <c r="J49" s="97" t="s">
        <v>119</v>
      </c>
      <c r="K49" s="97" t="s">
        <v>119</v>
      </c>
      <c r="L49" s="97" t="s">
        <v>119</v>
      </c>
      <c r="M49" s="97" t="s">
        <v>119</v>
      </c>
    </row>
    <row r="50" spans="1:19" x14ac:dyDescent="0.2">
      <c r="B50" s="12"/>
      <c r="C50" s="57"/>
      <c r="D50" s="57"/>
      <c r="E50" s="57"/>
      <c r="F50" s="57"/>
      <c r="G50" s="57"/>
      <c r="H50" s="57"/>
      <c r="I50" s="57"/>
      <c r="J50" s="57"/>
      <c r="K50" s="57"/>
      <c r="L50" s="57"/>
      <c r="M50" s="57"/>
    </row>
    <row r="51" spans="1:19" x14ac:dyDescent="0.2">
      <c r="B51" s="127" t="str">
        <f>[1]RuralVols!B9</f>
        <v>First-Class</v>
      </c>
      <c r="C51" s="55"/>
      <c r="D51" s="55"/>
      <c r="E51" s="55"/>
      <c r="F51" s="55"/>
      <c r="G51" s="55"/>
      <c r="H51" s="55"/>
      <c r="I51" s="55"/>
      <c r="J51" s="55"/>
      <c r="K51" s="55"/>
      <c r="L51" s="55"/>
      <c r="M51" s="55"/>
    </row>
    <row r="52" spans="1:19" x14ac:dyDescent="0.2">
      <c r="B52" s="191" t="str">
        <f>[1]RuralVols!B10</f>
        <v xml:space="preserve">   SINGLE-PIECE LETTERS</v>
      </c>
      <c r="C52" s="97">
        <f>[1]RuralVols!C10</f>
        <v>319780.68089636124</v>
      </c>
      <c r="D52" s="97">
        <f>[1]RuralVols!E10</f>
        <v>5279.5744485247687</v>
      </c>
      <c r="E52" s="97">
        <f>[1]RuralVols!F10</f>
        <v>0</v>
      </c>
      <c r="F52" s="97">
        <f>[1]RuralVols!G10</f>
        <v>0</v>
      </c>
      <c r="G52" s="97">
        <f>[1]RuralVols!H10</f>
        <v>0</v>
      </c>
      <c r="H52" s="97">
        <f t="shared" ref="H52:H74" si="36">SUM(E52:G52)</f>
        <v>0</v>
      </c>
      <c r="I52" s="97">
        <f>[1]RuralVols!I10</f>
        <v>0</v>
      </c>
      <c r="J52" s="97">
        <f>[1]RuralVols!D10</f>
        <v>2453387.3380321576</v>
      </c>
      <c r="K52" s="97">
        <f>[1]RuralVols!K10</f>
        <v>536.93706384059851</v>
      </c>
      <c r="L52" s="97">
        <f>[1]RuralVols!$M10</f>
        <v>0</v>
      </c>
      <c r="M52" s="97">
        <f>[1]RuralVols!L10</f>
        <v>1174553</v>
      </c>
    </row>
    <row r="53" spans="1:19" x14ac:dyDescent="0.2">
      <c r="B53" s="191" t="str">
        <f>[1]RuralVols!B11</f>
        <v xml:space="preserve">   SINGLE-PIECE CARDS</v>
      </c>
      <c r="C53" s="97">
        <f>[1]RuralVols!C11</f>
        <v>24785.934725034331</v>
      </c>
      <c r="D53" s="97">
        <f>[1]RuralVols!E11</f>
        <v>43.601966085974283</v>
      </c>
      <c r="E53" s="97">
        <f>[1]RuralVols!F11</f>
        <v>0</v>
      </c>
      <c r="F53" s="97">
        <f>[1]RuralVols!G11</f>
        <v>0</v>
      </c>
      <c r="G53" s="97">
        <f>[1]RuralVols!H11</f>
        <v>0</v>
      </c>
      <c r="H53" s="97">
        <f t="shared" si="36"/>
        <v>0</v>
      </c>
      <c r="I53" s="97">
        <f>[1]RuralVols!I11</f>
        <v>0</v>
      </c>
      <c r="J53" s="97">
        <f>[1]RuralVols!D11</f>
        <v>88048.066727183832</v>
      </c>
      <c r="K53" s="97">
        <f>[1]RuralVols!K11</f>
        <v>3.9207200772200768</v>
      </c>
      <c r="L53" s="97">
        <f>[1]RuralVols!$M11</f>
        <v>0</v>
      </c>
      <c r="M53" s="97">
        <f>[1]RuralVols!L11</f>
        <v>0</v>
      </c>
    </row>
    <row r="54" spans="1:19" x14ac:dyDescent="0.2">
      <c r="B54" s="191" t="str">
        <f>[1]RuralVols!B12</f>
        <v xml:space="preserve">   PRESORT LETTERS</v>
      </c>
      <c r="C54" s="97">
        <f>[1]RuralVols!C12</f>
        <v>608340.98418545979</v>
      </c>
      <c r="D54" s="97">
        <f>[1]RuralVols!E12</f>
        <v>8070.1664445927918</v>
      </c>
      <c r="E54" s="97">
        <f>[1]RuralVols!F12</f>
        <v>0</v>
      </c>
      <c r="F54" s="97">
        <f>[1]RuralVols!G12</f>
        <v>0</v>
      </c>
      <c r="G54" s="97">
        <f>[1]RuralVols!H12</f>
        <v>0</v>
      </c>
      <c r="H54" s="97">
        <f t="shared" si="36"/>
        <v>0</v>
      </c>
      <c r="I54" s="97">
        <f>[1]RuralVols!I12</f>
        <v>0</v>
      </c>
      <c r="J54" s="97">
        <f>[1]RuralVols!D12</f>
        <v>9356054.1318591889</v>
      </c>
      <c r="K54" s="97">
        <f>[1]RuralVols!K12</f>
        <v>0</v>
      </c>
      <c r="L54" s="97">
        <f>[1]RuralVols!$M12</f>
        <v>0</v>
      </c>
      <c r="M54" s="97">
        <f>[1]RuralVols!L12</f>
        <v>0</v>
      </c>
      <c r="P54" s="538"/>
    </row>
    <row r="55" spans="1:19" x14ac:dyDescent="0.2">
      <c r="B55" s="191" t="str">
        <f>[1]RuralVols!B13</f>
        <v xml:space="preserve">   PRESORT CARDS</v>
      </c>
      <c r="C55" s="97">
        <f>[1]RuralVols!C13</f>
        <v>48685.288725713035</v>
      </c>
      <c r="D55" s="97">
        <f>[1]RuralVols!E13</f>
        <v>127.81158465819512</v>
      </c>
      <c r="E55" s="97">
        <f>[1]RuralVols!F13</f>
        <v>0</v>
      </c>
      <c r="F55" s="97">
        <f>[1]RuralVols!G13</f>
        <v>3.9207200772200768</v>
      </c>
      <c r="G55" s="97">
        <f>[1]RuralVols!H13</f>
        <v>0</v>
      </c>
      <c r="H55" s="97">
        <f t="shared" si="36"/>
        <v>3.9207200772200768</v>
      </c>
      <c r="I55" s="97">
        <f>[1]RuralVols!I13</f>
        <v>0</v>
      </c>
      <c r="J55" s="97">
        <f>[1]RuralVols!D13</f>
        <v>718613.98737041792</v>
      </c>
      <c r="K55" s="97">
        <f>[1]RuralVols!K13</f>
        <v>0</v>
      </c>
      <c r="L55" s="97">
        <f>[1]RuralVols!$M13</f>
        <v>0</v>
      </c>
      <c r="M55" s="97">
        <f>[1]RuralVols!L13</f>
        <v>0</v>
      </c>
      <c r="P55" s="538"/>
    </row>
    <row r="56" spans="1:19" x14ac:dyDescent="0.2">
      <c r="A56" s="539"/>
      <c r="B56" s="154" t="str">
        <f>[1]RuralVols!B14</f>
        <v xml:space="preserve">   SINGLE PIECE FLATS</v>
      </c>
      <c r="C56" s="97">
        <f>[1]RuralVols!C14</f>
        <v>11.968546664021908</v>
      </c>
      <c r="D56" s="97">
        <f>[1]RuralVols!E14</f>
        <v>121531.84164461466</v>
      </c>
      <c r="E56" s="97">
        <f>[1]RuralVols!F14</f>
        <v>0</v>
      </c>
      <c r="F56" s="97">
        <f>[1]RuralVols!G14</f>
        <v>0</v>
      </c>
      <c r="G56" s="97">
        <f>[1]RuralVols!H14</f>
        <v>0</v>
      </c>
      <c r="H56" s="97">
        <f t="shared" si="36"/>
        <v>0</v>
      </c>
      <c r="I56" s="97">
        <f>[1]RuralVols!I14</f>
        <v>0</v>
      </c>
      <c r="J56" s="97">
        <f>[1]RuralVols!D14</f>
        <v>0</v>
      </c>
      <c r="K56" s="97">
        <f>[1]RuralVols!K14</f>
        <v>349.78015929892695</v>
      </c>
      <c r="L56" s="97">
        <f>[1]RuralVols!$M14</f>
        <v>0</v>
      </c>
      <c r="M56" s="97">
        <f>[1]RuralVols!L14</f>
        <v>0</v>
      </c>
      <c r="P56" s="540"/>
    </row>
    <row r="57" spans="1:19" x14ac:dyDescent="0.2">
      <c r="A57" s="11"/>
      <c r="B57" s="144" t="str">
        <f>[1]RuralVols!B15</f>
        <v xml:space="preserve">   PRESORT FLATS</v>
      </c>
      <c r="C57" s="97">
        <f>[1]RuralVols!C15</f>
        <v>8.0329679163938259</v>
      </c>
      <c r="D57" s="97">
        <f>[1]RuralVols!E15</f>
        <v>152734.31997765251</v>
      </c>
      <c r="E57" s="97">
        <f>[1]RuralVols!F15</f>
        <v>0</v>
      </c>
      <c r="F57" s="97">
        <f>[1]RuralVols!G15</f>
        <v>0</v>
      </c>
      <c r="G57" s="97">
        <f>[1]RuralVols!H15</f>
        <v>0</v>
      </c>
      <c r="H57" s="97">
        <f t="shared" si="36"/>
        <v>0</v>
      </c>
      <c r="I57" s="97">
        <f>[1]RuralVols!I15</f>
        <v>0</v>
      </c>
      <c r="J57" s="97">
        <f>[1]RuralVols!D15</f>
        <v>0</v>
      </c>
      <c r="K57" s="97">
        <f>[1]RuralVols!K15</f>
        <v>0</v>
      </c>
      <c r="L57" s="97">
        <f>[1]RuralVols!$M15</f>
        <v>0</v>
      </c>
      <c r="M57" s="97">
        <f>[1]RuralVols!L15</f>
        <v>0</v>
      </c>
      <c r="P57" s="27"/>
      <c r="S57" s="27"/>
    </row>
    <row r="58" spans="1:19" x14ac:dyDescent="0.2">
      <c r="A58" s="11"/>
      <c r="B58" s="124" t="str">
        <f>[1]RuralVols!B16</f>
        <v>USPS MARKETING MAIL (A)</v>
      </c>
      <c r="C58" s="541"/>
      <c r="D58" s="541"/>
      <c r="E58" s="541"/>
      <c r="F58" s="541"/>
      <c r="G58" s="541"/>
      <c r="H58" s="541"/>
      <c r="I58" s="541"/>
      <c r="J58" s="541"/>
      <c r="K58" s="541"/>
      <c r="L58" s="541"/>
      <c r="M58" s="541"/>
      <c r="P58" s="27"/>
      <c r="S58" s="27"/>
    </row>
    <row r="59" spans="1:19" x14ac:dyDescent="0.2">
      <c r="A59" s="74"/>
      <c r="B59" s="116" t="str">
        <f>[1]RuralVols!B17</f>
        <v>ECR</v>
      </c>
      <c r="C59" s="97">
        <f>[1]RuralVols!C17</f>
        <v>470749.85565440706</v>
      </c>
      <c r="D59" s="97">
        <f>[1]RuralVols!E17</f>
        <v>2569469.6817834517</v>
      </c>
      <c r="E59" s="97">
        <f>[1]RuralVols!F17</f>
        <v>0</v>
      </c>
      <c r="F59" s="97">
        <f>[1]RuralVols!G17</f>
        <v>0</v>
      </c>
      <c r="G59" s="97">
        <f>[1]RuralVols!H17</f>
        <v>0</v>
      </c>
      <c r="H59" s="97">
        <f t="shared" si="36"/>
        <v>0</v>
      </c>
      <c r="I59" s="97">
        <f>[1]RuralVols!I17</f>
        <v>1605978.8045811423</v>
      </c>
      <c r="J59" s="97">
        <f>[1]RuralVols!D17</f>
        <v>1733992.0011934331</v>
      </c>
      <c r="K59" s="97">
        <f>[1]RuralVols!K17</f>
        <v>0</v>
      </c>
      <c r="L59" s="97">
        <f>[1]RuralVols!$M17</f>
        <v>0</v>
      </c>
      <c r="M59" s="97">
        <f>[1]RuralVols!L17</f>
        <v>0</v>
      </c>
      <c r="P59" s="542"/>
    </row>
    <row r="60" spans="1:19" x14ac:dyDescent="0.2">
      <c r="B60" s="120" t="str">
        <f>[1]RuralVols!B18</f>
        <v xml:space="preserve">    HIGH DENSITY &amp; SATURATION LETTERS</v>
      </c>
      <c r="C60" s="97">
        <f>[1]RuralVols!C18</f>
        <v>468996.62671882298</v>
      </c>
      <c r="D60" s="97">
        <f>[1]RuralVols!E18</f>
        <v>13038.649562969142</v>
      </c>
      <c r="E60" s="97">
        <f>[1]RuralVols!F18</f>
        <v>0</v>
      </c>
      <c r="F60" s="97">
        <f>[1]RuralVols!G18</f>
        <v>0</v>
      </c>
      <c r="G60" s="97">
        <f>[1]RuralVols!H18</f>
        <v>0</v>
      </c>
      <c r="H60" s="97">
        <f t="shared" si="36"/>
        <v>0</v>
      </c>
      <c r="I60" s="97">
        <f>[1]RuralVols!I18</f>
        <v>206513.68433607538</v>
      </c>
      <c r="J60" s="97">
        <f>[1]RuralVols!D18</f>
        <v>1730656.3358446942</v>
      </c>
      <c r="K60" s="97">
        <f>[1]RuralVols!K18</f>
        <v>0</v>
      </c>
      <c r="L60" s="97">
        <f>[1]RuralVols!$M18</f>
        <v>0</v>
      </c>
      <c r="M60" s="97">
        <f>[1]RuralVols!L18</f>
        <v>0</v>
      </c>
      <c r="P60" s="538"/>
    </row>
    <row r="61" spans="1:19" x14ac:dyDescent="0.2">
      <c r="A61" s="539"/>
      <c r="B61" s="120" t="str">
        <f>[1]RuralVols!B19</f>
        <v xml:space="preserve">    HIGH DENSITY &amp; SATURATION FLATS &amp; PARCELS</v>
      </c>
      <c r="C61" s="97">
        <f>[1]RuralVols!C19</f>
        <v>574.91811799597554</v>
      </c>
      <c r="D61" s="97">
        <f>[1]RuralVols!E19</f>
        <v>1487464.9607743204</v>
      </c>
      <c r="E61" s="97">
        <f>[1]RuralVols!F19</f>
        <v>0</v>
      </c>
      <c r="F61" s="97">
        <f>[1]RuralVols!G19</f>
        <v>0</v>
      </c>
      <c r="G61" s="97">
        <f>[1]RuralVols!H19</f>
        <v>0</v>
      </c>
      <c r="H61" s="97">
        <f t="shared" si="36"/>
        <v>0</v>
      </c>
      <c r="I61" s="97">
        <f>[1]RuralVols!I19</f>
        <v>1129595.6704067294</v>
      </c>
      <c r="J61" s="97">
        <f>[1]RuralVols!D19</f>
        <v>0</v>
      </c>
      <c r="K61" s="97">
        <f>[1]RuralVols!K19</f>
        <v>0</v>
      </c>
      <c r="L61" s="97">
        <f>[1]RuralVols!$M19</f>
        <v>0</v>
      </c>
      <c r="M61" s="97">
        <f>[1]RuralVols!L19</f>
        <v>0</v>
      </c>
      <c r="P61" s="540"/>
    </row>
    <row r="62" spans="1:19" x14ac:dyDescent="0.2">
      <c r="A62" s="11"/>
      <c r="B62" s="117" t="str">
        <f>[1]RuralVols!B20</f>
        <v xml:space="preserve">      EVERY DOOR DIRECT MAIL RETAIL</v>
      </c>
      <c r="C62" s="97">
        <f>[1]RuralVols!C20</f>
        <v>0</v>
      </c>
      <c r="D62" s="97">
        <f>[1]RuralVols!E20</f>
        <v>0</v>
      </c>
      <c r="E62" s="97">
        <f>[1]RuralVols!F20</f>
        <v>0</v>
      </c>
      <c r="F62" s="97">
        <f>[1]RuralVols!G20</f>
        <v>0</v>
      </c>
      <c r="G62" s="97">
        <f>[1]RuralVols!H20</f>
        <v>0</v>
      </c>
      <c r="H62" s="97">
        <f t="shared" si="36"/>
        <v>0</v>
      </c>
      <c r="I62" s="97">
        <f>[1]RuralVols!I20</f>
        <v>244656.83658735105</v>
      </c>
      <c r="J62" s="97">
        <f>[1]RuralVols!D20</f>
        <v>0</v>
      </c>
      <c r="K62" s="97">
        <f>[1]RuralVols!K20</f>
        <v>0</v>
      </c>
      <c r="L62" s="97">
        <f>[1]RuralVols!$M20</f>
        <v>0</v>
      </c>
      <c r="M62" s="97">
        <f>[1]RuralVols!L20</f>
        <v>0</v>
      </c>
      <c r="P62" s="27"/>
    </row>
    <row r="63" spans="1:19" x14ac:dyDescent="0.2">
      <c r="A63" s="11"/>
      <c r="B63" s="120" t="str">
        <f>[1]RuralVols!B21</f>
        <v xml:space="preserve">   CARRIER ROUTE</v>
      </c>
      <c r="C63" s="97">
        <f>[1]RuralVols!C21</f>
        <v>1178.3108175881282</v>
      </c>
      <c r="D63" s="97">
        <f>[1]RuralVols!E21</f>
        <v>1068966.0714461622</v>
      </c>
      <c r="E63" s="97">
        <f>[1]RuralVols!F21</f>
        <v>0</v>
      </c>
      <c r="F63" s="97">
        <f>[1]RuralVols!G21</f>
        <v>0</v>
      </c>
      <c r="G63" s="97">
        <f>[1]RuralVols!H21</f>
        <v>0</v>
      </c>
      <c r="H63" s="97">
        <f t="shared" si="36"/>
        <v>0</v>
      </c>
      <c r="I63" s="97">
        <f>[1]RuralVols!I21</f>
        <v>25212.613250986476</v>
      </c>
      <c r="J63" s="97">
        <f>[1]RuralVols!D21</f>
        <v>3335.6653487389949</v>
      </c>
      <c r="K63" s="97">
        <f>[1]RuralVols!K21</f>
        <v>0</v>
      </c>
      <c r="L63" s="97">
        <f>[1]RuralVols!$M21</f>
        <v>0</v>
      </c>
      <c r="M63" s="97">
        <f>[1]RuralVols!L21</f>
        <v>0</v>
      </c>
      <c r="P63" s="27"/>
    </row>
    <row r="64" spans="1:19" x14ac:dyDescent="0.2">
      <c r="A64" s="11"/>
      <c r="B64" s="116" t="str">
        <f>[1]RuralVols!B22</f>
        <v>Regular</v>
      </c>
      <c r="C64" s="97">
        <f>[1]RuralVols!C22</f>
        <v>1107000.1675965646</v>
      </c>
      <c r="D64" s="97">
        <f>[1]RuralVols!E22</f>
        <v>700362.13972465356</v>
      </c>
      <c r="E64" s="97">
        <f>[1]RuralVols!F22</f>
        <v>4088.0896426324325</v>
      </c>
      <c r="F64" s="97">
        <f>[1]RuralVols!G22</f>
        <v>643.05396556141761</v>
      </c>
      <c r="G64" s="97">
        <f>[1]RuralVols!H22</f>
        <v>131.27934385628893</v>
      </c>
      <c r="H64" s="97">
        <f t="shared" si="36"/>
        <v>4862.4229520501385</v>
      </c>
      <c r="I64" s="97">
        <f>[1]RuralVols!I22</f>
        <v>6205.0246278084969</v>
      </c>
      <c r="J64" s="97">
        <f>[1]RuralVols!D22</f>
        <v>12975443.082181618</v>
      </c>
      <c r="K64" s="97">
        <f>[1]RuralVols!K22</f>
        <v>19.795128148054054</v>
      </c>
      <c r="L64" s="97">
        <f>[1]RuralVols!$M22</f>
        <v>0</v>
      </c>
      <c r="M64" s="97">
        <f>[1]RuralVols!L22</f>
        <v>0</v>
      </c>
      <c r="P64" s="27"/>
    </row>
    <row r="65" spans="1:20" x14ac:dyDescent="0.2">
      <c r="A65" s="11"/>
      <c r="B65" s="120" t="str">
        <f>[1]RuralVols!B23</f>
        <v xml:space="preserve">    LETTERS</v>
      </c>
      <c r="C65" s="97">
        <f>[1]RuralVols!C23</f>
        <v>1106952.940651593</v>
      </c>
      <c r="D65" s="97">
        <f>[1]RuralVols!E23</f>
        <v>17099.53291862824</v>
      </c>
      <c r="E65" s="97">
        <f>[1]RuralVols!F23</f>
        <v>0</v>
      </c>
      <c r="F65" s="97">
        <f>[1]RuralVols!G23</f>
        <v>91.879699968861829</v>
      </c>
      <c r="G65" s="97">
        <f>[1]RuralVols!H23</f>
        <v>0</v>
      </c>
      <c r="H65" s="97">
        <f t="shared" si="36"/>
        <v>91.879699968861829</v>
      </c>
      <c r="I65" s="97">
        <f>[1]RuralVols!I23</f>
        <v>5980.9385778676669</v>
      </c>
      <c r="J65" s="97">
        <f>[1]RuralVols!D23</f>
        <v>12975443.082181618</v>
      </c>
      <c r="K65" s="97">
        <f>[1]RuralVols!K23</f>
        <v>8.0181092459858192</v>
      </c>
      <c r="L65" s="97">
        <f>[1]RuralVols!$M23</f>
        <v>0</v>
      </c>
      <c r="M65" s="97">
        <f>[1]RuralVols!L23</f>
        <v>0</v>
      </c>
      <c r="P65" s="27"/>
    </row>
    <row r="66" spans="1:20" x14ac:dyDescent="0.2">
      <c r="B66" s="120" t="str">
        <f>[1]RuralVols!B24</f>
        <v xml:space="preserve">    FLATS</v>
      </c>
      <c r="C66" s="97">
        <f>[1]RuralVols!C24</f>
        <v>47.226944971537009</v>
      </c>
      <c r="D66" s="97">
        <f>[1]RuralVols!E24</f>
        <v>683262.60680602537</v>
      </c>
      <c r="E66" s="97">
        <f>[1]RuralVols!F24</f>
        <v>0</v>
      </c>
      <c r="F66" s="97">
        <f>[1]RuralVols!G24</f>
        <v>35.661945534315009</v>
      </c>
      <c r="G66" s="97">
        <f>[1]RuralVols!H24</f>
        <v>0</v>
      </c>
      <c r="H66" s="97">
        <f t="shared" si="36"/>
        <v>35.661945534315009</v>
      </c>
      <c r="I66" s="97">
        <f>[1]RuralVols!I24</f>
        <v>224.08604994083041</v>
      </c>
      <c r="J66" s="97">
        <f>[1]RuralVols!D24</f>
        <v>0</v>
      </c>
      <c r="K66" s="97">
        <f>[1]RuralVols!K24</f>
        <v>7.8414401544401535</v>
      </c>
      <c r="L66" s="97">
        <f>[1]RuralVols!$M24</f>
        <v>0</v>
      </c>
      <c r="M66" s="97">
        <f>[1]RuralVols!L24</f>
        <v>0</v>
      </c>
    </row>
    <row r="67" spans="1:20" x14ac:dyDescent="0.2">
      <c r="B67" s="122" t="str">
        <f>[1]RuralVols!B25</f>
        <v xml:space="preserve">      PARCELS</v>
      </c>
      <c r="C67" s="177">
        <f>[1]RuralVols!C25</f>
        <v>0</v>
      </c>
      <c r="D67" s="177">
        <f>[1]RuralVols!E25</f>
        <v>0</v>
      </c>
      <c r="E67" s="177">
        <f>[1]RuralVols!F25</f>
        <v>4088.0896426324325</v>
      </c>
      <c r="F67" s="177">
        <f>[1]RuralVols!G25</f>
        <v>515.51232005824079</v>
      </c>
      <c r="G67" s="177">
        <f>[1]RuralVols!H25</f>
        <v>131.27934385628893</v>
      </c>
      <c r="H67" s="177">
        <f t="shared" si="36"/>
        <v>4734.8813065469622</v>
      </c>
      <c r="I67" s="177">
        <f>[1]RuralVols!I25</f>
        <v>0</v>
      </c>
      <c r="J67" s="177">
        <f>[1]RuralVols!D25</f>
        <v>0</v>
      </c>
      <c r="K67" s="177">
        <f>[1]RuralVols!K25</f>
        <v>3.9355787476280835</v>
      </c>
      <c r="L67" s="177">
        <f>[1]RuralVols!$M25</f>
        <v>0</v>
      </c>
      <c r="M67" s="177">
        <f>[1]RuralVols!L25</f>
        <v>0</v>
      </c>
    </row>
    <row r="68" spans="1:20" x14ac:dyDescent="0.2">
      <c r="A68" s="75"/>
      <c r="B68" s="543" t="str">
        <f>[1]RuralVols!B26</f>
        <v>TOTAL PERIODICALS</v>
      </c>
      <c r="C68" s="284">
        <f>[1]RuralVols!C26</f>
        <v>1911.7622921541772</v>
      </c>
      <c r="D68" s="284">
        <f>[1]RuralVols!E26</f>
        <v>1063009.4155670376</v>
      </c>
      <c r="E68" s="284">
        <f>[1]RuralVols!F26</f>
        <v>13526.581360123102</v>
      </c>
      <c r="F68" s="284">
        <f>[1]RuralVols!G26</f>
        <v>703.11002671695678</v>
      </c>
      <c r="G68" s="284">
        <f>[1]RuralVols!H26</f>
        <v>0</v>
      </c>
      <c r="H68" s="284">
        <f t="shared" si="36"/>
        <v>14229.691386840059</v>
      </c>
      <c r="I68" s="284">
        <f>[1]RuralVols!I26</f>
        <v>12721.852270205503</v>
      </c>
      <c r="J68" s="284">
        <f>[1]RuralVols!$D$26</f>
        <v>2943.0203895342493</v>
      </c>
      <c r="K68" s="284">
        <f>[1]RuralVols!K26</f>
        <v>0</v>
      </c>
      <c r="L68" s="284">
        <f>[1]RuralVols!$M26</f>
        <v>0</v>
      </c>
      <c r="M68" s="284">
        <f>[1]RuralVols!L26</f>
        <v>0</v>
      </c>
      <c r="T68" s="1"/>
    </row>
    <row r="69" spans="1:20" x14ac:dyDescent="0.2">
      <c r="A69" s="76"/>
      <c r="B69" s="132" t="str">
        <f>[1]RuralVols!B27</f>
        <v>PACKAGE SERVICES</v>
      </c>
      <c r="C69" s="143"/>
      <c r="D69" s="143"/>
      <c r="E69" s="143"/>
      <c r="F69" s="143"/>
      <c r="G69" s="143"/>
      <c r="H69" s="143"/>
      <c r="I69" s="143"/>
      <c r="J69" s="143"/>
      <c r="K69" s="143"/>
      <c r="L69" s="143"/>
      <c r="M69" s="143"/>
    </row>
    <row r="70" spans="1:20" x14ac:dyDescent="0.2">
      <c r="A70" s="77"/>
      <c r="B70" s="154" t="str">
        <f>[1]RuralVols!B28</f>
        <v xml:space="preserve">   BOUND PRINTED MATTER FLATS</v>
      </c>
      <c r="C70" s="97">
        <f>[1]RuralVols!C28</f>
        <v>7.8711574952561669</v>
      </c>
      <c r="D70" s="97">
        <f>[1]RuralVols!E28</f>
        <v>34739.136251762546</v>
      </c>
      <c r="E70" s="97">
        <f>[1]RuralVols!F28</f>
        <v>716.39622580536798</v>
      </c>
      <c r="F70" s="97">
        <f>[1]RuralVols!G28</f>
        <v>402.83253475367093</v>
      </c>
      <c r="G70" s="97">
        <f>[1]RuralVols!H28</f>
        <v>2.7449793053497547</v>
      </c>
      <c r="H70" s="97">
        <f t="shared" si="36"/>
        <v>1121.9737398643886</v>
      </c>
      <c r="I70" s="97">
        <f>[1]RuralVols!I28</f>
        <v>233.18982228699687</v>
      </c>
      <c r="J70" s="97">
        <f>[1]RuralVols!D28</f>
        <v>0</v>
      </c>
      <c r="K70" s="97">
        <f>[1]RuralVols!K28</f>
        <v>3.9355787476280835</v>
      </c>
      <c r="L70" s="97">
        <f>[1]RuralVols!$M28</f>
        <v>0</v>
      </c>
      <c r="M70" s="97">
        <f>[1]RuralVols!L28</f>
        <v>1132</v>
      </c>
    </row>
    <row r="71" spans="1:20" x14ac:dyDescent="0.2">
      <c r="A71" s="77"/>
      <c r="B71" s="154" t="str">
        <f>[1]RuralVols!B29</f>
        <v xml:space="preserve">   BOUND PRINTED MATTER PARCELS</v>
      </c>
      <c r="C71" s="97">
        <f>[1]RuralVols!C29</f>
        <v>0</v>
      </c>
      <c r="D71" s="97">
        <f>[1]RuralVols!E29</f>
        <v>0</v>
      </c>
      <c r="E71" s="97">
        <f>[1]RuralVols!F29</f>
        <v>51184.24403012704</v>
      </c>
      <c r="F71" s="97">
        <f>[1]RuralVols!G29</f>
        <v>26490.26679899569</v>
      </c>
      <c r="G71" s="97">
        <f>[1]RuralVols!H29</f>
        <v>3784.419091364372</v>
      </c>
      <c r="H71" s="97">
        <f t="shared" si="36"/>
        <v>81458.929920487106</v>
      </c>
      <c r="I71" s="97">
        <f>[1]RuralVols!I29</f>
        <v>0</v>
      </c>
      <c r="J71" s="97">
        <f>[1]RuralVols!D29</f>
        <v>0</v>
      </c>
      <c r="K71" s="97">
        <f>[1]RuralVols!K29</f>
        <v>11.85602644149381</v>
      </c>
      <c r="L71" s="97">
        <f>[1]RuralVols!$M29</f>
        <v>269</v>
      </c>
      <c r="M71" s="97">
        <f>[1]RuralVols!L29</f>
        <v>99</v>
      </c>
    </row>
    <row r="72" spans="1:20" x14ac:dyDescent="0.2">
      <c r="B72" s="154" t="str">
        <f>[1]RuralVols!B30</f>
        <v xml:space="preserve">   MEDIA AND LIBRARY MAIL</v>
      </c>
      <c r="C72" s="97">
        <f>[1]RuralVols!C30</f>
        <v>0</v>
      </c>
      <c r="D72" s="97">
        <f>[1]RuralVols!E30</f>
        <v>0</v>
      </c>
      <c r="E72" s="97">
        <f>[1]RuralVols!F30</f>
        <v>12728.419950483385</v>
      </c>
      <c r="F72" s="97">
        <f>[1]RuralVols!G30</f>
        <v>8380.6719429692057</v>
      </c>
      <c r="G72" s="97">
        <f>[1]RuralVols!H30</f>
        <v>1847.8020928699202</v>
      </c>
      <c r="H72" s="97">
        <f t="shared" si="36"/>
        <v>22956.89398632251</v>
      </c>
      <c r="I72" s="97">
        <f>[1]RuralVols!I30</f>
        <v>0</v>
      </c>
      <c r="J72" s="97">
        <f>[1]RuralVols!D30</f>
        <v>0</v>
      </c>
      <c r="K72" s="97">
        <f>[1]RuralVols!K30</f>
        <v>28.050260012316585</v>
      </c>
      <c r="L72" s="97">
        <f>[1]RuralVols!$M30</f>
        <v>923</v>
      </c>
      <c r="M72" s="97">
        <f>[1]RuralVols!L30</f>
        <v>2782</v>
      </c>
    </row>
    <row r="73" spans="1:20" x14ac:dyDescent="0.2">
      <c r="B73" s="178" t="str">
        <f>[1]RuralVols!B31</f>
        <v>Free &amp; USPS</v>
      </c>
      <c r="C73" s="284">
        <f>[1]RuralVols!C31</f>
        <v>15500.795708154634</v>
      </c>
      <c r="D73" s="284">
        <f>[1]RuralVols!E31</f>
        <v>6743.5539485850923</v>
      </c>
      <c r="E73" s="284">
        <f>[1]RuralVols!F31</f>
        <v>3387.4475081598312</v>
      </c>
      <c r="F73" s="284">
        <f>[1]RuralVols!G31</f>
        <v>1717.6093870689667</v>
      </c>
      <c r="G73" s="284">
        <f>[1]RuralVols!H31</f>
        <v>83.426018805211157</v>
      </c>
      <c r="H73" s="284">
        <f t="shared" si="36"/>
        <v>5188.4829140340089</v>
      </c>
      <c r="I73" s="284">
        <f>[1]RuralVols!I31</f>
        <v>0</v>
      </c>
      <c r="J73" s="284">
        <f>[1]RuralVols!D31</f>
        <v>87608.04404002009</v>
      </c>
      <c r="K73" s="284">
        <f>[1]RuralVols!K31</f>
        <v>39.681246008754208</v>
      </c>
      <c r="L73" s="284">
        <f>[1]RuralVols!$M31</f>
        <v>1636</v>
      </c>
      <c r="M73" s="284">
        <f>[1]RuralVols!L31</f>
        <v>12696</v>
      </c>
    </row>
    <row r="74" spans="1:20" x14ac:dyDescent="0.2">
      <c r="A74" s="75"/>
      <c r="B74" s="544" t="str">
        <f>[1]RuralVols!B32</f>
        <v>TOTAL VOLUME</v>
      </c>
      <c r="C74" s="284">
        <f>[1]RuralVols!C32</f>
        <v>2599380.0229292074</v>
      </c>
      <c r="D74" s="284">
        <f>[1]RuralVols!E32</f>
        <v>4663733.1389697772</v>
      </c>
      <c r="E74" s="284">
        <f>[1]RuralVols!F32</f>
        <v>1687172.7721538884</v>
      </c>
      <c r="F74" s="284">
        <f>[1]RuralVols!G32</f>
        <v>893179.33574800449</v>
      </c>
      <c r="G74" s="284">
        <f>[1]RuralVols!H32</f>
        <v>150179.75029976005</v>
      </c>
      <c r="H74" s="284">
        <f t="shared" si="36"/>
        <v>2730531.8582016528</v>
      </c>
      <c r="I74" s="284">
        <f>[1]RuralVols!I32</f>
        <v>1625138.8713014433</v>
      </c>
      <c r="J74" s="284">
        <f>[1]RuralVols!D32</f>
        <v>27426004.433363102</v>
      </c>
      <c r="K74" s="284">
        <f>[1]RuralVols!K32</f>
        <v>2309.7931202958594</v>
      </c>
      <c r="L74" s="284">
        <f>[1]RuralVols!$M32</f>
        <v>143485</v>
      </c>
      <c r="M74" s="284">
        <f>[1]RuralVols!L32</f>
        <v>1304056</v>
      </c>
    </row>
    <row r="75" spans="1:20" x14ac:dyDescent="0.2">
      <c r="A75" s="77"/>
      <c r="D75" s="31"/>
      <c r="E75" s="31"/>
      <c r="F75" s="31"/>
      <c r="G75" s="31"/>
      <c r="H75" s="31"/>
      <c r="I75" s="1"/>
    </row>
    <row r="76" spans="1:20" x14ac:dyDescent="0.2">
      <c r="A76" s="77"/>
      <c r="J76" s="153"/>
    </row>
    <row r="77" spans="1:20" x14ac:dyDescent="0.2">
      <c r="A77" s="77"/>
      <c r="D77" s="28"/>
      <c r="E77" s="29"/>
      <c r="F77" s="29"/>
      <c r="G77" s="29"/>
      <c r="H77" s="29"/>
      <c r="I77" s="540"/>
      <c r="J77" s="153"/>
    </row>
    <row r="78" spans="1:20" x14ac:dyDescent="0.2">
      <c r="A78" s="77"/>
      <c r="J78" s="153"/>
    </row>
    <row r="79" spans="1:20" x14ac:dyDescent="0.2">
      <c r="A79" s="77"/>
      <c r="C79" s="545"/>
      <c r="D79" s="545"/>
      <c r="F79" s="31"/>
      <c r="G79" s="31"/>
      <c r="H79" s="31"/>
      <c r="I79" s="1"/>
    </row>
    <row r="81" spans="1:16" x14ac:dyDescent="0.2">
      <c r="A81" s="75"/>
      <c r="K81" s="538"/>
      <c r="L81" s="538"/>
      <c r="M81" s="538"/>
      <c r="N81" s="538"/>
      <c r="O81" s="538"/>
      <c r="P81" s="538"/>
    </row>
    <row r="83" spans="1:16" x14ac:dyDescent="0.2">
      <c r="A83" s="78"/>
      <c r="D83" s="26"/>
      <c r="E83" s="26"/>
      <c r="F83" s="26"/>
      <c r="G83" s="26"/>
      <c r="H83" s="26"/>
      <c r="I83" s="26"/>
      <c r="J83" s="153"/>
      <c r="K83" s="1"/>
      <c r="L83" s="1"/>
      <c r="M83" s="1"/>
      <c r="N83" s="1"/>
      <c r="O83" s="1"/>
      <c r="P83" s="1"/>
    </row>
    <row r="84" spans="1:16" x14ac:dyDescent="0.2">
      <c r="A84" s="78"/>
      <c r="D84" s="26"/>
      <c r="E84" s="26"/>
      <c r="F84" s="26"/>
      <c r="G84" s="26"/>
      <c r="H84" s="26"/>
      <c r="I84" s="26"/>
      <c r="K84" s="30"/>
      <c r="L84" s="30"/>
      <c r="M84" s="30"/>
      <c r="N84" s="30"/>
      <c r="O84" s="30"/>
    </row>
    <row r="87" spans="1:16" x14ac:dyDescent="0.2">
      <c r="B87" s="520"/>
    </row>
    <row r="88" spans="1:16" x14ac:dyDescent="0.2">
      <c r="A88" s="78"/>
      <c r="C88" s="26"/>
      <c r="D88" s="26"/>
      <c r="E88" s="26"/>
      <c r="F88" s="26"/>
      <c r="G88" s="26"/>
      <c r="H88" s="26"/>
      <c r="I88" s="26"/>
      <c r="J88" s="21"/>
      <c r="K88" s="546"/>
      <c r="L88" s="546"/>
      <c r="M88" s="546"/>
      <c r="N88" s="546"/>
      <c r="O88" s="546"/>
      <c r="P88" s="546"/>
    </row>
    <row r="89" spans="1:16" x14ac:dyDescent="0.2">
      <c r="A89" s="78"/>
      <c r="C89" s="26"/>
      <c r="D89" s="26"/>
      <c r="E89" s="26"/>
      <c r="F89" s="26"/>
      <c r="G89" s="26"/>
      <c r="H89" s="26"/>
      <c r="I89" s="26"/>
      <c r="J89" s="21"/>
      <c r="K89" s="546"/>
      <c r="L89" s="546"/>
      <c r="M89" s="546"/>
      <c r="N89" s="546"/>
      <c r="O89" s="546"/>
      <c r="P89" s="546"/>
    </row>
    <row r="90" spans="1:16" x14ac:dyDescent="0.2">
      <c r="A90" s="78"/>
      <c r="C90" s="26"/>
      <c r="D90" s="26"/>
      <c r="E90" s="26"/>
      <c r="F90" s="26"/>
      <c r="G90" s="26"/>
      <c r="H90" s="26"/>
      <c r="I90" s="26"/>
      <c r="J90" s="21"/>
      <c r="K90" s="547"/>
      <c r="L90" s="547"/>
      <c r="M90" s="547"/>
      <c r="N90" s="547"/>
      <c r="O90" s="547"/>
      <c r="P90" s="547"/>
    </row>
    <row r="91" spans="1:16" x14ac:dyDescent="0.2">
      <c r="A91" s="78"/>
      <c r="C91" s="26"/>
      <c r="D91" s="26"/>
      <c r="E91" s="26"/>
      <c r="F91" s="26"/>
      <c r="G91" s="26"/>
      <c r="H91" s="26"/>
      <c r="I91" s="26"/>
      <c r="J91" s="546"/>
      <c r="K91" s="547"/>
      <c r="L91" s="547"/>
      <c r="M91" s="547"/>
      <c r="N91" s="547"/>
      <c r="O91" s="547"/>
      <c r="P91" s="547"/>
    </row>
  </sheetData>
  <customSheetViews>
    <customSheetView guid="{4B7ED599-3000-45CD-B5C1-4F696B7BEDDF}" fitToPage="1" showRuler="0">
      <selection activeCell="C8" sqref="C8"/>
      <pageMargins left="0.75" right="0.75" top="0.5" bottom="0.5" header="0.5" footer="0.5"/>
      <pageSetup scale="71" orientation="portrait" horizontalDpi="300" verticalDpi="300" r:id="rId1"/>
      <headerFooter alignWithMargins="0">
        <oddHeader>&amp;RUSPS LR-J-117
Page &amp;P of &amp;N</oddHeader>
      </headerFooter>
    </customSheetView>
  </customSheetViews>
  <mergeCells count="1">
    <mergeCell ref="C8:M8"/>
  </mergeCells>
  <phoneticPr fontId="6" type="noConversion"/>
  <pageMargins left="0.1" right="0.05" top="0.5" bottom="0.5" header="0.5" footer="0.5"/>
  <pageSetup scale="68" orientation="landscape" horizontalDpi="300" verticalDpi="300" r:id="rId2"/>
  <headerFooter alignWithMargins="0">
    <oddHeader xml:space="preserve">&amp;RUSPS-FY09-19
</oddHeader>
  </headerFooter>
  <ignoredErrors>
    <ignoredError sqref="I7:Q7 C7:H7" numberStoredAsText="1"/>
    <ignoredError sqref="H12:H44 L9" formula="1"/>
  </ignoredErrors>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92D050"/>
  </sheetPr>
  <dimension ref="A1:AU145"/>
  <sheetViews>
    <sheetView topLeftCell="A23" zoomScaleNormal="100" workbookViewId="0">
      <pane xSplit="2" topLeftCell="C1" activePane="topRight" state="frozen"/>
      <selection activeCell="A20" sqref="A20"/>
      <selection pane="topRight" activeCell="O37" sqref="O37:O60"/>
    </sheetView>
  </sheetViews>
  <sheetFormatPr defaultColWidth="8.85546875" defaultRowHeight="11.25" x14ac:dyDescent="0.2"/>
  <cols>
    <col min="1" max="1" width="4.85546875" style="10" customWidth="1"/>
    <col min="2" max="2" width="27.5703125" style="2" customWidth="1"/>
    <col min="3" max="3" width="12.5703125" style="2" customWidth="1"/>
    <col min="4" max="6" width="11.42578125" style="2" customWidth="1"/>
    <col min="7" max="9" width="12.42578125" style="2" customWidth="1"/>
    <col min="10" max="10" width="11.5703125" style="2" customWidth="1"/>
    <col min="11" max="13" width="11.42578125" style="2" customWidth="1"/>
    <col min="14" max="14" width="12.85546875" style="2" customWidth="1"/>
    <col min="15" max="16" width="11.42578125" style="2" customWidth="1"/>
    <col min="17" max="17" width="13.42578125" style="2" customWidth="1"/>
    <col min="18" max="22" width="12" style="2" customWidth="1"/>
    <col min="23" max="23" width="10.5703125" style="2" customWidth="1"/>
    <col min="24" max="24" width="11.42578125" style="2" bestFit="1" customWidth="1"/>
    <col min="25" max="25" width="13.5703125" style="2" customWidth="1"/>
    <col min="26" max="30" width="11.5703125" style="2" customWidth="1"/>
    <col min="31" max="31" width="13.5703125" style="2" customWidth="1"/>
    <col min="32" max="32" width="17.5703125" style="2" customWidth="1"/>
    <col min="33" max="33" width="19" style="2" customWidth="1"/>
    <col min="34" max="34" width="15.85546875" style="2" customWidth="1"/>
    <col min="35" max="37" width="16" style="2" customWidth="1"/>
    <col min="38" max="38" width="14.5703125" style="2" customWidth="1"/>
    <col min="39" max="39" width="13.5703125" style="2" customWidth="1"/>
    <col min="40" max="40" width="15" style="2" customWidth="1"/>
    <col min="41" max="16384" width="8.85546875" style="2"/>
  </cols>
  <sheetData>
    <row r="1" spans="1:32" s="223" customFormat="1" ht="12.75" x14ac:dyDescent="0.2">
      <c r="A1" s="263" t="str">
        <f>[1]Inputs!$C$4</f>
        <v>Unit Delivery Cost Model -  12/16/2025</v>
      </c>
      <c r="B1" s="6"/>
      <c r="D1" s="548"/>
      <c r="E1" s="548"/>
      <c r="F1" s="548"/>
      <c r="G1" s="548"/>
      <c r="H1" s="548"/>
      <c r="I1" s="548"/>
      <c r="J1" s="548"/>
      <c r="K1" s="548"/>
      <c r="N1" s="549"/>
      <c r="O1" s="549"/>
      <c r="P1" s="549"/>
      <c r="Q1" s="549"/>
    </row>
    <row r="2" spans="1:32" ht="12.75" x14ac:dyDescent="0.2">
      <c r="A2" s="15" t="s">
        <v>118</v>
      </c>
      <c r="D2" s="550"/>
      <c r="E2" s="550"/>
      <c r="F2" s="550"/>
      <c r="G2" s="550"/>
      <c r="H2" s="550"/>
      <c r="I2" s="550"/>
      <c r="J2" s="550"/>
      <c r="K2" s="550"/>
      <c r="N2" s="10"/>
      <c r="O2" s="10"/>
      <c r="P2" s="10"/>
      <c r="Q2" s="10"/>
    </row>
    <row r="3" spans="1:32" ht="12.75" x14ac:dyDescent="0.2">
      <c r="A3" s="15" t="s">
        <v>182</v>
      </c>
      <c r="D3" s="550"/>
      <c r="E3" s="550"/>
      <c r="F3" s="550"/>
      <c r="G3" s="550"/>
      <c r="H3" s="550"/>
      <c r="I3" s="550"/>
      <c r="J3" s="550"/>
      <c r="K3" s="550"/>
      <c r="N3" s="10"/>
      <c r="O3" s="10"/>
      <c r="P3" s="10"/>
      <c r="Q3" s="10"/>
    </row>
    <row r="4" spans="1:32" ht="12.75" x14ac:dyDescent="0.2">
      <c r="B4" s="3"/>
      <c r="C4" s="3"/>
      <c r="D4" s="551"/>
      <c r="E4" s="550"/>
      <c r="F4" s="550"/>
      <c r="G4" s="550"/>
      <c r="H4" s="15"/>
      <c r="I4" s="15"/>
      <c r="J4" s="550"/>
      <c r="K4" s="550"/>
      <c r="N4" s="10"/>
      <c r="O4" s="10"/>
      <c r="P4" s="10"/>
      <c r="Q4" s="10"/>
    </row>
    <row r="5" spans="1:32" s="10" customFormat="1" ht="43.35" customHeight="1" x14ac:dyDescent="0.2">
      <c r="A5" s="552"/>
      <c r="B5" s="553" t="s">
        <v>120</v>
      </c>
      <c r="C5" s="46" t="s">
        <v>77</v>
      </c>
      <c r="D5" s="46" t="s">
        <v>244</v>
      </c>
      <c r="E5" s="64" t="s">
        <v>431</v>
      </c>
      <c r="F5" s="64" t="s">
        <v>183</v>
      </c>
      <c r="G5" s="64" t="s">
        <v>290</v>
      </c>
      <c r="H5" s="64" t="s">
        <v>432</v>
      </c>
      <c r="I5" s="46" t="s">
        <v>78</v>
      </c>
      <c r="J5" s="64" t="s">
        <v>183</v>
      </c>
      <c r="K5" s="46" t="s">
        <v>289</v>
      </c>
      <c r="L5" s="64" t="s">
        <v>79</v>
      </c>
      <c r="M5" s="64" t="s">
        <v>80</v>
      </c>
      <c r="N5" s="64" t="s">
        <v>81</v>
      </c>
      <c r="O5" s="46" t="s">
        <v>82</v>
      </c>
      <c r="P5" s="46" t="s">
        <v>83</v>
      </c>
      <c r="Q5" s="64" t="s">
        <v>84</v>
      </c>
      <c r="R5" s="175" t="s">
        <v>85</v>
      </c>
      <c r="S5" s="64" t="s">
        <v>86</v>
      </c>
      <c r="T5" s="63" t="s">
        <v>4</v>
      </c>
      <c r="U5" s="63" t="s">
        <v>401</v>
      </c>
      <c r="V5" s="63" t="s">
        <v>402</v>
      </c>
      <c r="W5" s="63" t="s">
        <v>403</v>
      </c>
      <c r="X5" s="175" t="s">
        <v>398</v>
      </c>
      <c r="Y5" s="64" t="s">
        <v>399</v>
      </c>
      <c r="Z5" s="175" t="s">
        <v>400</v>
      </c>
      <c r="AA5" s="175" t="s">
        <v>427</v>
      </c>
      <c r="AB5" s="64" t="s">
        <v>428</v>
      </c>
      <c r="AC5" s="175" t="s">
        <v>429</v>
      </c>
      <c r="AD5" s="554" t="s">
        <v>87</v>
      </c>
      <c r="AE5" s="555"/>
    </row>
    <row r="6" spans="1:32" x14ac:dyDescent="0.2">
      <c r="A6" s="66"/>
      <c r="B6" s="48" t="s">
        <v>22</v>
      </c>
      <c r="C6" s="556">
        <v>-1</v>
      </c>
      <c r="D6" s="556">
        <f t="shared" ref="D6" si="0">C6-1</f>
        <v>-2</v>
      </c>
      <c r="E6" s="556">
        <f>D6-1</f>
        <v>-3</v>
      </c>
      <c r="F6" s="556">
        <f t="shared" ref="F6:I6" si="1">E6-1</f>
        <v>-4</v>
      </c>
      <c r="G6" s="556">
        <f t="shared" si="1"/>
        <v>-5</v>
      </c>
      <c r="H6" s="556">
        <f t="shared" si="1"/>
        <v>-6</v>
      </c>
      <c r="I6" s="556">
        <f t="shared" si="1"/>
        <v>-7</v>
      </c>
      <c r="J6" s="556">
        <f t="shared" ref="J6:W6" si="2">I6-1</f>
        <v>-8</v>
      </c>
      <c r="K6" s="556">
        <f t="shared" si="2"/>
        <v>-9</v>
      </c>
      <c r="L6" s="556">
        <f t="shared" si="2"/>
        <v>-10</v>
      </c>
      <c r="M6" s="556">
        <f t="shared" si="2"/>
        <v>-11</v>
      </c>
      <c r="N6" s="556">
        <f t="shared" si="2"/>
        <v>-12</v>
      </c>
      <c r="O6" s="556">
        <f t="shared" si="2"/>
        <v>-13</v>
      </c>
      <c r="P6" s="556">
        <f t="shared" si="2"/>
        <v>-14</v>
      </c>
      <c r="Q6" s="556">
        <f t="shared" si="2"/>
        <v>-15</v>
      </c>
      <c r="R6" s="556">
        <f t="shared" si="2"/>
        <v>-16</v>
      </c>
      <c r="S6" s="556">
        <f t="shared" si="2"/>
        <v>-17</v>
      </c>
      <c r="T6" s="556">
        <f t="shared" si="2"/>
        <v>-18</v>
      </c>
      <c r="U6" s="556">
        <f t="shared" si="2"/>
        <v>-19</v>
      </c>
      <c r="V6" s="556">
        <f t="shared" si="2"/>
        <v>-20</v>
      </c>
      <c r="W6" s="556">
        <f t="shared" si="2"/>
        <v>-21</v>
      </c>
      <c r="X6" s="556">
        <f>W6-1</f>
        <v>-22</v>
      </c>
      <c r="Y6" s="556">
        <f t="shared" ref="Y6:AD6" si="3">X6-1</f>
        <v>-23</v>
      </c>
      <c r="Z6" s="556">
        <f t="shared" si="3"/>
        <v>-24</v>
      </c>
      <c r="AA6" s="556">
        <f t="shared" si="3"/>
        <v>-25</v>
      </c>
      <c r="AB6" s="556">
        <f t="shared" si="3"/>
        <v>-26</v>
      </c>
      <c r="AC6" s="556">
        <f t="shared" si="3"/>
        <v>-27</v>
      </c>
      <c r="AD6" s="556">
        <f t="shared" si="3"/>
        <v>-28</v>
      </c>
      <c r="AE6" s="557"/>
    </row>
    <row r="7" spans="1:32" x14ac:dyDescent="0.2">
      <c r="A7" s="68"/>
      <c r="B7" s="50" t="s">
        <v>94</v>
      </c>
      <c r="C7" s="68" t="s">
        <v>119</v>
      </c>
      <c r="D7" s="68"/>
      <c r="E7" s="68"/>
      <c r="F7" s="68"/>
      <c r="G7" s="68"/>
      <c r="H7" s="68"/>
      <c r="I7" s="68" t="s">
        <v>119</v>
      </c>
      <c r="J7" s="68" t="s">
        <v>119</v>
      </c>
      <c r="K7" s="68"/>
      <c r="L7" s="68" t="s">
        <v>119</v>
      </c>
      <c r="M7" s="68" t="s">
        <v>119</v>
      </c>
      <c r="N7" s="68" t="s">
        <v>119</v>
      </c>
      <c r="O7" s="68" t="s">
        <v>119</v>
      </c>
      <c r="P7" s="68" t="s">
        <v>119</v>
      </c>
      <c r="Q7" s="68" t="s">
        <v>119</v>
      </c>
      <c r="R7" s="68" t="s">
        <v>119</v>
      </c>
      <c r="S7" s="68" t="s">
        <v>119</v>
      </c>
      <c r="T7" s="68" t="s">
        <v>119</v>
      </c>
      <c r="U7" s="68" t="s">
        <v>119</v>
      </c>
      <c r="V7" s="68" t="s">
        <v>119</v>
      </c>
      <c r="W7" s="68" t="s">
        <v>119</v>
      </c>
      <c r="X7" s="68" t="s">
        <v>119</v>
      </c>
      <c r="Y7" s="68" t="s">
        <v>119</v>
      </c>
      <c r="Z7" s="68" t="s">
        <v>119</v>
      </c>
      <c r="AA7" s="68" t="s">
        <v>119</v>
      </c>
      <c r="AB7" s="68" t="s">
        <v>119</v>
      </c>
      <c r="AC7" s="68" t="s">
        <v>119</v>
      </c>
      <c r="AD7" s="558" t="s">
        <v>119</v>
      </c>
      <c r="AE7" s="555"/>
    </row>
    <row r="8" spans="1:32" s="93" customFormat="1" ht="56.25" x14ac:dyDescent="0.2">
      <c r="A8" s="95"/>
      <c r="B8" s="89" t="s">
        <v>112</v>
      </c>
      <c r="C8" s="95" t="str">
        <f>"[UDCInputs.xls] " &amp;[1]NOTES!$A$18&amp;"; L"&amp;$A17&amp;"..L"&amp;$A22&amp;" from [UDCInputs.xls] "&amp;[1]NOTES!$A$20</f>
        <v>[UDCInputs.xls] CCSDALs; L9..L14 from [UDCInputs.xls] BYPback</v>
      </c>
      <c r="D8" s="95" t="str">
        <f>"[UDCInputs.xls] " &amp;[1]NOTES!$A$18&amp;"; L"&amp;$A17&amp;"..L"&amp;$A22&amp;" from [UDCInputs.xls] "&amp;[1]NOTES!$A$20</f>
        <v>[UDCInputs.xls] CCSDALs; L9..L14 from [UDCInputs.xls] BYPback</v>
      </c>
      <c r="E8" s="95"/>
      <c r="F8" s="95" t="str">
        <f>"[UDCInputs.xls] " &amp;[1]NOTES!$A$18</f>
        <v>[UDCInputs.xls] CCSDALs</v>
      </c>
      <c r="G8" s="95" t="str">
        <f>"[UDCInputs.xls] " &amp;[1]NOTES!$A$18</f>
        <v>[UDCInputs.xls] CCSDALs</v>
      </c>
      <c r="H8" s="95" t="str">
        <f>"[UDCInputs.xls] " &amp;[1]NOTES!$A$22</f>
        <v>[UDCInputs.xls] BoxholderbyShape</v>
      </c>
      <c r="I8" s="95" t="str">
        <f>"[UDCInputs.xls] " &amp;[1]NOTES!$A$25</f>
        <v>[UDCInputs.xls] ParcelVols</v>
      </c>
      <c r="J8" s="95" t="str">
        <f>"[UDCInputs.xls] "&amp;[1]NOTES!$A$20</f>
        <v>[UDCInputs.xls] BYPback</v>
      </c>
      <c r="K8" s="95" t="str">
        <f>"[UDCInputs.xls] " &amp;[1]NOTES!$A$18&amp;"; L"&amp;$A17&amp;"..L"&amp;$A22&amp;" from [UDCInputs.xls] "&amp;[1]NOTES!$A$20</f>
        <v>[UDCInputs.xls] CCSDALs; L9..L14 from [UDCInputs.xls] BYPback</v>
      </c>
      <c r="L8" s="95" t="str">
        <f>"[UDCInputs.xls] " &amp;[1]NOTES!$A$18&amp;"; L"&amp;$A17&amp;"..L"&amp;$A22&amp;" from [UDCInputs.xls] "&amp;[1]NOTES!$A$20</f>
        <v>[UDCInputs.xls] CCSDALs; L9..L14 from [UDCInputs.xls] BYPback</v>
      </c>
      <c r="M8" s="95" t="str">
        <f>"[UDCInputs.xls] " &amp;[1]NOTES!$A$18</f>
        <v>[UDCInputs.xls] CCSDALs</v>
      </c>
      <c r="N8" s="95" t="str">
        <f>"[UDCInputs.xls] " &amp;[1]NOTES!$A$25&amp;" and "&amp;[1]NOTES!$A$22</f>
        <v>[UDCInputs.xls] ParcelVols and BoxholderbyShape</v>
      </c>
      <c r="O8" s="95" t="str">
        <f>"[UDCInputs.xls] " &amp;[1]NOTES!$A$18</f>
        <v>[UDCInputs.xls] CCSDALs</v>
      </c>
      <c r="P8" s="95" t="str">
        <f>"[UDCInputs.xls] " &amp;[1]NOTES!$A$18&amp;" and "&amp;[1]NOTES!$A$20</f>
        <v>[UDCInputs.xls] CCSDALs and BYPback</v>
      </c>
      <c r="Q8" s="95" t="str">
        <f>"[UDCInputs.xls] " &amp;[1]NOTES!$A$25</f>
        <v>[UDCInputs.xls] ParcelVols</v>
      </c>
      <c r="R8" s="95" t="str">
        <f>"[UDCInputs.xls] "&amp; [1]NOTES!$A$18</f>
        <v>[UDCInputs.xls] CCSDALs</v>
      </c>
      <c r="S8" s="95" t="str">
        <f>"[UDCInputs.xls] "&amp; [1]NOTES!$A$18</f>
        <v>[UDCInputs.xls] CCSDALs</v>
      </c>
      <c r="T8" s="95" t="str">
        <f>"[UDCInputs.xls] "&amp; [1]NOTES!$A$18</f>
        <v>[UDCInputs.xls] CCSDALs</v>
      </c>
      <c r="U8" s="95" t="s">
        <v>439</v>
      </c>
      <c r="V8" s="95" t="s">
        <v>439</v>
      </c>
      <c r="W8" s="95" t="s">
        <v>439</v>
      </c>
      <c r="X8" s="95" t="str">
        <f>"[UDCInputs.xls] "&amp; [1]NOTES!$A$18</f>
        <v>[UDCInputs.xls] CCSDALs</v>
      </c>
      <c r="Y8" s="95" t="str">
        <f>"[UDCInputs.xls] "&amp; [1]NOTES!$A$18</f>
        <v>[UDCInputs.xls] CCSDALs</v>
      </c>
      <c r="Z8" s="95" t="str">
        <f>"[UDCInputs.xls] "&amp; [1]NOTES!$A$18</f>
        <v>[UDCInputs.xls] CCSDALs</v>
      </c>
      <c r="AA8" s="559" t="s">
        <v>439</v>
      </c>
      <c r="AB8" s="559" t="s">
        <v>439</v>
      </c>
      <c r="AC8" s="559" t="s">
        <v>439</v>
      </c>
      <c r="AD8" s="559" t="str">
        <f>"=C"&amp;-C6&amp;"..C"&amp;-Z6</f>
        <v>=C1..C24</v>
      </c>
      <c r="AE8" s="560"/>
    </row>
    <row r="9" spans="1:32" s="93" customFormat="1" x14ac:dyDescent="0.2">
      <c r="A9" s="561">
        <v>1</v>
      </c>
      <c r="B9" s="127" t="s">
        <v>74</v>
      </c>
      <c r="C9" s="562"/>
      <c r="D9" s="563"/>
      <c r="E9" s="562"/>
      <c r="F9" s="562"/>
      <c r="G9" s="562"/>
      <c r="H9" s="562"/>
      <c r="I9" s="561"/>
      <c r="J9" s="561"/>
      <c r="K9" s="561"/>
      <c r="L9" s="561"/>
      <c r="M9" s="561"/>
      <c r="N9" s="561"/>
      <c r="O9" s="561"/>
      <c r="P9" s="563"/>
      <c r="Q9" s="561"/>
      <c r="R9" s="561"/>
      <c r="S9" s="561"/>
      <c r="T9" s="561"/>
      <c r="U9" s="561"/>
      <c r="V9" s="561"/>
      <c r="W9" s="561"/>
      <c r="X9" s="561"/>
      <c r="Y9" s="561"/>
      <c r="Z9" s="561"/>
      <c r="AA9" s="564"/>
      <c r="AB9" s="564"/>
      <c r="AC9" s="564"/>
      <c r="AD9" s="564"/>
      <c r="AE9" s="560"/>
    </row>
    <row r="10" spans="1:32" s="93" customFormat="1" x14ac:dyDescent="0.2">
      <c r="A10" s="58">
        <f>A9+1</f>
        <v>2</v>
      </c>
      <c r="B10" s="191" t="s">
        <v>220</v>
      </c>
      <c r="C10" s="134">
        <f>'4.Rural cost'!C52</f>
        <v>319780.68089636124</v>
      </c>
      <c r="D10" s="134">
        <f>'4.Rural cost'!H52</f>
        <v>0</v>
      </c>
      <c r="E10" s="134">
        <f>'4.Rural cost'!J52</f>
        <v>2453387.3380321576</v>
      </c>
      <c r="F10" s="134"/>
      <c r="G10" s="134"/>
      <c r="H10" s="134"/>
      <c r="I10" s="134">
        <f>'4.Rural cost'!I52</f>
        <v>0</v>
      </c>
      <c r="J10" s="565"/>
      <c r="K10" s="134">
        <f>'4.Rural cost'!D52</f>
        <v>5279.5744485247687</v>
      </c>
      <c r="L10" s="134"/>
      <c r="M10" s="184"/>
      <c r="N10" s="184"/>
      <c r="O10" s="565"/>
      <c r="P10" s="566"/>
      <c r="Q10" s="184"/>
      <c r="R10" s="119">
        <f>SUM($C10,$D10,$E10,$I10,$K10)/SUM($C10:$D10,$E10:$Q10)*'4.Rural cost'!$K52</f>
        <v>536.93706384059851</v>
      </c>
      <c r="S10" s="119">
        <f>SUM($F10,$H10,$J10,$L10,$M10,$N10)/SUM($C10:$D10,$E10:$Q10)*'4.Rural cost'!$K52</f>
        <v>0</v>
      </c>
      <c r="T10" s="119">
        <f>SUM($G10,$O10,$P10,$Q10)/SUM($C10:$D10,$E10:$Q10)*'4.Rural cost'!$K52</f>
        <v>0</v>
      </c>
      <c r="U10" s="119">
        <f>SUM($C10,$D10,$E10,$I10,$K10)/SUM($C10:$D10,$E10:$Q10)*'4.Rural cost'!$L52</f>
        <v>0</v>
      </c>
      <c r="V10" s="119">
        <f>SUM($F10,$H10,$J10,$L10,$M10,$N10)/SUM($C10:$D10,$E10:$Q10)*'4.Rural cost'!$L52</f>
        <v>0</v>
      </c>
      <c r="W10" s="119">
        <f>SUM($G10,$O10,$P10,$Q10)/SUM($C10:$D10,$E10:$Q10)*'4.Rural cost'!$L52</f>
        <v>0</v>
      </c>
      <c r="X10" s="119">
        <f>SUM($C10,$D10,$E10,$I10,$K10)/SUM($C10:$D10,$E10:$Q10)*'4.Rural cost'!$M52</f>
        <v>1174553</v>
      </c>
      <c r="Y10" s="119">
        <f>SUM($F10,$H10,$J10,$L10,$M10,$N10)/SUM($C10:$D10,$E10:$Q10)*'4.Rural cost'!$M52</f>
        <v>0</v>
      </c>
      <c r="Z10" s="119">
        <f>SUM($G10,$O10,$P10,$Q10)/SUM($C10:$D10,$E10:$Q10)*'4.Rural cost'!$M52</f>
        <v>0</v>
      </c>
      <c r="AA10" s="567"/>
      <c r="AB10" s="567"/>
      <c r="AC10" s="567"/>
      <c r="AD10" s="567">
        <f t="shared" ref="AD10:AD15" si="4">SUM(C10:Z10)</f>
        <v>3953537.5304408846</v>
      </c>
      <c r="AE10" s="560"/>
      <c r="AF10" s="568">
        <f>AD10-SUM('4.Rural cost'!C52:D52,'4.Rural cost'!H52:M52)</f>
        <v>0</v>
      </c>
    </row>
    <row r="11" spans="1:32" s="93" customFormat="1" x14ac:dyDescent="0.2">
      <c r="A11" s="58">
        <f>A10+1</f>
        <v>3</v>
      </c>
      <c r="B11" s="191" t="s">
        <v>221</v>
      </c>
      <c r="C11" s="134">
        <f>'4.Rural cost'!C53</f>
        <v>24785.934725034331</v>
      </c>
      <c r="D11" s="134">
        <f>'4.Rural cost'!H53</f>
        <v>0</v>
      </c>
      <c r="E11" s="134">
        <f>'4.Rural cost'!J53</f>
        <v>88048.066727183832</v>
      </c>
      <c r="F11" s="134"/>
      <c r="G11" s="134"/>
      <c r="H11" s="134"/>
      <c r="I11" s="134">
        <f>'4.Rural cost'!I53</f>
        <v>0</v>
      </c>
      <c r="J11" s="565"/>
      <c r="K11" s="134">
        <f>'4.Rural cost'!D53</f>
        <v>43.601966085974283</v>
      </c>
      <c r="L11" s="134"/>
      <c r="M11" s="184"/>
      <c r="N11" s="184"/>
      <c r="O11" s="565"/>
      <c r="P11" s="566"/>
      <c r="Q11" s="184"/>
      <c r="R11" s="119">
        <f>SUM($C11,$D11,$E11,$I11,$K11)/SUM($C11:$D11,$E11:$Q11)*'4.Rural cost'!$K53</f>
        <v>3.9207200772200768</v>
      </c>
      <c r="S11" s="119">
        <f>SUM($F11,$H11,$J11,$L11,$M11,$N11)/SUM($C11:$D11,$E11:$Q11)*'4.Rural cost'!$K53</f>
        <v>0</v>
      </c>
      <c r="T11" s="119">
        <f>SUM($G11,$O11,$P11,$Q11)/SUM($C11:$D11,$E11:$Q11)*'4.Rural cost'!$K53</f>
        <v>0</v>
      </c>
      <c r="U11" s="119">
        <f>SUM($C11,$D11,$E11,$I11,$K11)/SUM($C11:$D11,$E11:$Q11)*'4.Rural cost'!$L53</f>
        <v>0</v>
      </c>
      <c r="V11" s="119">
        <f>SUM($F11,$H11,$J11,$L11,$M11,$N11)/SUM($C11:$D11,$E11:$Q11)*'4.Rural cost'!$L53</f>
        <v>0</v>
      </c>
      <c r="W11" s="119">
        <f>SUM($G11,$O11,$P11,$Q11)/SUM($C11:$D11,$E11:$Q11)*'4.Rural cost'!$L53</f>
        <v>0</v>
      </c>
      <c r="X11" s="119">
        <f>SUM($C11,$D11,$E11,$I11,$K11)/SUM($C11:$D11,$E11:$Q11)*'4.Rural cost'!$M53</f>
        <v>0</v>
      </c>
      <c r="Y11" s="119">
        <f>SUM($F11,$H11,$J11,$L11,$M11,$N11)/SUM($C11:$D11,$E11:$Q11)*'4.Rural cost'!$M53</f>
        <v>0</v>
      </c>
      <c r="Z11" s="119">
        <f>SUM($G11,$O11,$P11,$Q11)/SUM($C11:$D11,$E11:$Q11)*'4.Rural cost'!$M53</f>
        <v>0</v>
      </c>
      <c r="AA11" s="567"/>
      <c r="AB11" s="567"/>
      <c r="AC11" s="567"/>
      <c r="AD11" s="567">
        <f t="shared" si="4"/>
        <v>112881.52413838136</v>
      </c>
      <c r="AE11" s="560"/>
      <c r="AF11" s="568">
        <f>AD11-SUM('4.Rural cost'!C53:D53,'4.Rural cost'!H53:M53)</f>
        <v>0</v>
      </c>
    </row>
    <row r="12" spans="1:32" s="93" customFormat="1" x14ac:dyDescent="0.2">
      <c r="A12" s="58">
        <f t="shared" ref="A12:A31" si="5">A11+1</f>
        <v>4</v>
      </c>
      <c r="B12" s="191" t="s">
        <v>222</v>
      </c>
      <c r="C12" s="134">
        <f>'4.Rural cost'!C54</f>
        <v>608340.98418545979</v>
      </c>
      <c r="D12" s="134">
        <f>'4.Rural cost'!H54</f>
        <v>0</v>
      </c>
      <c r="E12" s="134">
        <f>'4.Rural cost'!J54</f>
        <v>9356054.1318591889</v>
      </c>
      <c r="F12" s="134"/>
      <c r="G12" s="134"/>
      <c r="H12" s="134"/>
      <c r="I12" s="134">
        <f>'4.Rural cost'!I54</f>
        <v>0</v>
      </c>
      <c r="J12" s="565"/>
      <c r="K12" s="134">
        <f>'4.Rural cost'!D54</f>
        <v>8070.1664445927918</v>
      </c>
      <c r="L12" s="134"/>
      <c r="M12" s="184"/>
      <c r="N12" s="184"/>
      <c r="O12" s="565"/>
      <c r="P12" s="566"/>
      <c r="Q12" s="184"/>
      <c r="R12" s="119">
        <f>SUM($C12,$D12,$E12,$I12,$K12)/SUM($C12:$D12,$E12:$Q12)*'4.Rural cost'!$K54</f>
        <v>0</v>
      </c>
      <c r="S12" s="119">
        <f>SUM($F12,$H12,$J12,$L12,$M12,$N12)/SUM($C12:$D12,$E12:$Q12)*'4.Rural cost'!$K54</f>
        <v>0</v>
      </c>
      <c r="T12" s="119">
        <f>SUM($G12,$O12,$P12,$Q12)/SUM($C12:$D12,$E12:$Q12)*'4.Rural cost'!$K54</f>
        <v>0</v>
      </c>
      <c r="U12" s="119">
        <f>SUM($C12,$D12,$E12,$I12,$K12)/SUM($C12:$D12,$E12:$Q12)*'4.Rural cost'!$L54</f>
        <v>0</v>
      </c>
      <c r="V12" s="119">
        <f>SUM($F12,$H12,$J12,$L12,$M12,$N12)/SUM($C12:$D12,$E12:$Q12)*'4.Rural cost'!$L54</f>
        <v>0</v>
      </c>
      <c r="W12" s="119">
        <f>SUM($G12,$O12,$P12,$Q12)/SUM($C12:$D12,$E12:$Q12)*'4.Rural cost'!$L54</f>
        <v>0</v>
      </c>
      <c r="X12" s="119">
        <f>SUM($C12,$D12,$E12,$I12,$K12)/SUM($C12:$D12,$E12:$Q12)*'4.Rural cost'!$M54</f>
        <v>0</v>
      </c>
      <c r="Y12" s="119">
        <f>SUM($F12,$H12,$J12,$L12,$M12,$N12)/SUM($C12:$D12,$E12:$Q12)*'4.Rural cost'!$M54</f>
        <v>0</v>
      </c>
      <c r="Z12" s="119">
        <f>SUM($G12,$O12,$P12,$Q12)/SUM($C12:$D12,$E12:$Q12)*'4.Rural cost'!$M54</f>
        <v>0</v>
      </c>
      <c r="AA12" s="567"/>
      <c r="AB12" s="567"/>
      <c r="AC12" s="567"/>
      <c r="AD12" s="567">
        <f t="shared" si="4"/>
        <v>9972465.2824892402</v>
      </c>
      <c r="AE12" s="390"/>
      <c r="AF12" s="568">
        <f>AD12-SUM('4.Rural cost'!C54:D54,'4.Rural cost'!H54:M54)</f>
        <v>0</v>
      </c>
    </row>
    <row r="13" spans="1:32" s="93" customFormat="1" x14ac:dyDescent="0.2">
      <c r="A13" s="58">
        <f t="shared" si="5"/>
        <v>5</v>
      </c>
      <c r="B13" s="191" t="s">
        <v>223</v>
      </c>
      <c r="C13" s="134">
        <f>'4.Rural cost'!C55</f>
        <v>48685.288725713035</v>
      </c>
      <c r="D13" s="134">
        <f>'4.Rural cost'!H55</f>
        <v>3.9207200772200768</v>
      </c>
      <c r="E13" s="134">
        <f>'4.Rural cost'!J55</f>
        <v>718613.98737041792</v>
      </c>
      <c r="F13" s="134"/>
      <c r="G13" s="134"/>
      <c r="H13" s="134"/>
      <c r="I13" s="134">
        <f>'4.Rural cost'!I55</f>
        <v>0</v>
      </c>
      <c r="J13" s="565"/>
      <c r="K13" s="134">
        <f>'4.Rural cost'!D55</f>
        <v>127.81158465819512</v>
      </c>
      <c r="L13" s="134"/>
      <c r="M13" s="184"/>
      <c r="N13" s="184"/>
      <c r="O13" s="565"/>
      <c r="P13" s="566"/>
      <c r="Q13" s="184"/>
      <c r="R13" s="119">
        <f>SUM($C13,$D13,$E13,$I13,$K13)/SUM($C13:$D13,$E13:$Q13)*'4.Rural cost'!$K55</f>
        <v>0</v>
      </c>
      <c r="S13" s="119">
        <f>SUM($F13,$H13,$J13,$L13,$M13,$N13)/SUM($C13:$D13,$E13:$Q13)*'4.Rural cost'!$K55</f>
        <v>0</v>
      </c>
      <c r="T13" s="119">
        <f>SUM($G13,$O13,$P13,$Q13)/SUM($C13:$D13,$E13:$Q13)*'4.Rural cost'!$K55</f>
        <v>0</v>
      </c>
      <c r="U13" s="119">
        <f>SUM($C13,$D13,$E13,$I13,$K13)/SUM($C13:$D13,$E13:$Q13)*'4.Rural cost'!$L55</f>
        <v>0</v>
      </c>
      <c r="V13" s="119">
        <f>SUM($F13,$H13,$J13,$L13,$M13,$N13)/SUM($C13:$D13,$E13:$Q13)*'4.Rural cost'!$L55</f>
        <v>0</v>
      </c>
      <c r="W13" s="119">
        <f>SUM($G13,$O13,$P13,$Q13)/SUM($C13:$D13,$E13:$Q13)*'4.Rural cost'!$L55</f>
        <v>0</v>
      </c>
      <c r="X13" s="119">
        <f>SUM($C13,$D13,$E13,$I13,$K13)/SUM($C13:$D13,$E13:$Q13)*'4.Rural cost'!$M55</f>
        <v>0</v>
      </c>
      <c r="Y13" s="119">
        <f>SUM($F13,$H13,$J13,$L13,$M13,$N13)/SUM($C13:$D13,$E13:$Q13)*'4.Rural cost'!$M55</f>
        <v>0</v>
      </c>
      <c r="Z13" s="119">
        <f>SUM($G13,$O13,$P13,$Q13)/SUM($C13:$D13,$E13:$Q13)*'4.Rural cost'!$M55</f>
        <v>0</v>
      </c>
      <c r="AA13" s="567"/>
      <c r="AB13" s="567"/>
      <c r="AC13" s="567"/>
      <c r="AD13" s="567">
        <f>SUM(C13:Z13)</f>
        <v>767431.00840086641</v>
      </c>
      <c r="AE13" s="560"/>
      <c r="AF13" s="568">
        <f>AD13-SUM('4.Rural cost'!C55:D55,'4.Rural cost'!H55:M55)</f>
        <v>0</v>
      </c>
    </row>
    <row r="14" spans="1:32" s="93" customFormat="1" x14ac:dyDescent="0.2">
      <c r="A14" s="58">
        <f t="shared" si="5"/>
        <v>6</v>
      </c>
      <c r="B14" s="154" t="s">
        <v>224</v>
      </c>
      <c r="C14" s="134"/>
      <c r="D14" s="566"/>
      <c r="E14" s="134"/>
      <c r="F14" s="134">
        <f>'4.Rural cost'!C56</f>
        <v>11.968546664021908</v>
      </c>
      <c r="G14" s="134"/>
      <c r="H14" s="134">
        <f>'4.Rural cost'!J56</f>
        <v>0</v>
      </c>
      <c r="I14" s="134"/>
      <c r="J14" s="184"/>
      <c r="K14" s="184"/>
      <c r="L14" s="134">
        <f>'4.Rural cost'!D56</f>
        <v>121531.84164461466</v>
      </c>
      <c r="M14" s="134">
        <f>'4.Rural cost'!$H$56</f>
        <v>0</v>
      </c>
      <c r="N14" s="134">
        <f>'4.Rural cost'!I56</f>
        <v>0</v>
      </c>
      <c r="O14" s="565"/>
      <c r="P14" s="566"/>
      <c r="Q14" s="184"/>
      <c r="R14" s="119">
        <f>SUM($C14,$D14,$E14,$I14,$K14)/SUM($C14:$D14,$E14:$Q14)*'4.Rural cost'!$K56</f>
        <v>0</v>
      </c>
      <c r="S14" s="119">
        <f>SUM($F14,$H14,$J14,$L14,$M14,$N14)/SUM($C14:$D14,$E14:$Q14)*'4.Rural cost'!$K56</f>
        <v>349.78015929892695</v>
      </c>
      <c r="T14" s="119">
        <f>SUM($G14,$O14,$P14,$Q14)/SUM($C14:$D14,$E14:$Q14)*'4.Rural cost'!$K56</f>
        <v>0</v>
      </c>
      <c r="U14" s="119">
        <f>SUM($C14,$D14,$E14,$I14,$K14)/SUM($C14:$D14,$E14:$Q14)*'4.Rural cost'!$L56</f>
        <v>0</v>
      </c>
      <c r="V14" s="119">
        <f>SUM($F14,$H14,$J14,$L14,$M14,$N14)/SUM($C14:$D14,$E14:$Q14)*'4.Rural cost'!$L56</f>
        <v>0</v>
      </c>
      <c r="W14" s="119">
        <f>SUM($G14,$O14,$P14,$Q14)/SUM($C14:$D14,$E14:$Q14)*'4.Rural cost'!$L56</f>
        <v>0</v>
      </c>
      <c r="X14" s="119">
        <f>SUM($C14,$D14,$E14,$I14,$K14)/SUM($C14:$D14,$E14:$Q14)*'4.Rural cost'!$M56</f>
        <v>0</v>
      </c>
      <c r="Y14" s="119">
        <f>SUM($F14,$H14,$J14,$L14,$M14,$N14)/SUM($C14:$D14,$E14:$Q14)*'4.Rural cost'!$M56</f>
        <v>0</v>
      </c>
      <c r="Z14" s="119">
        <f>SUM($G14,$O14,$P14,$Q14)/SUM($C14:$D14,$E14:$Q14)*'4.Rural cost'!$M56</f>
        <v>0</v>
      </c>
      <c r="AA14" s="567"/>
      <c r="AB14" s="567"/>
      <c r="AC14" s="567"/>
      <c r="AD14" s="567">
        <f t="shared" si="4"/>
        <v>121893.59035057761</v>
      </c>
      <c r="AE14" s="560"/>
      <c r="AF14" s="568">
        <f>AD14-SUM('4.Rural cost'!C56:D56,'4.Rural cost'!H56:M56)</f>
        <v>0</v>
      </c>
    </row>
    <row r="15" spans="1:32" s="93" customFormat="1" x14ac:dyDescent="0.2">
      <c r="A15" s="59">
        <f t="shared" si="5"/>
        <v>7</v>
      </c>
      <c r="B15" s="154" t="s">
        <v>225</v>
      </c>
      <c r="C15" s="134"/>
      <c r="D15" s="566"/>
      <c r="E15" s="134"/>
      <c r="F15" s="134">
        <f>'4.Rural cost'!C57</f>
        <v>8.0329679163938259</v>
      </c>
      <c r="G15" s="134"/>
      <c r="H15" s="134">
        <f>'4.Rural cost'!J57</f>
        <v>0</v>
      </c>
      <c r="I15" s="134"/>
      <c r="J15" s="184"/>
      <c r="K15" s="184"/>
      <c r="L15" s="134">
        <f>'4.Rural cost'!D57</f>
        <v>152734.31997765251</v>
      </c>
      <c r="M15" s="134">
        <f>'4.Rural cost'!H57</f>
        <v>0</v>
      </c>
      <c r="N15" s="134">
        <f>'4.Rural cost'!I57</f>
        <v>0</v>
      </c>
      <c r="O15" s="565"/>
      <c r="P15" s="566"/>
      <c r="Q15" s="184"/>
      <c r="R15" s="159">
        <f>SUM($C15,$D15,$E15,$I15,$K15)/SUM($C15:$D15,$E15:$Q15)*'4.Rural cost'!$K57</f>
        <v>0</v>
      </c>
      <c r="S15" s="119">
        <f>SUM($F15,$H15,$J15,$L15,$M15,$N15)/SUM($C15:$D15,$E15:$Q15)*'4.Rural cost'!$K57</f>
        <v>0</v>
      </c>
      <c r="T15" s="119">
        <f>SUM($G15,$O15,$P15,$Q15)/SUM($C15:$D15,$E15:$Q15)*'4.Rural cost'!$K57</f>
        <v>0</v>
      </c>
      <c r="U15" s="159">
        <f>SUM($C15,$D15,$E15,$I15,$K15)/SUM($C15:$D15,$E15:$Q15)*'4.Rural cost'!$L57</f>
        <v>0</v>
      </c>
      <c r="V15" s="119">
        <f>SUM($F15,$H15,$J15,$L15,$M15,$N15)/SUM($C15:$D15,$E15:$Q15)*'4.Rural cost'!$L57</f>
        <v>0</v>
      </c>
      <c r="W15" s="159">
        <f>SUM($G15,$O15,$P15,$Q15)/SUM($C15:$D15,$E15:$Q15)*'4.Rural cost'!$L57</f>
        <v>0</v>
      </c>
      <c r="X15" s="159">
        <f>SUM($C15,$D15,$E15,$I15,$K15)/SUM($C15:$D15,$E15:$Q15)*'4.Rural cost'!$M57</f>
        <v>0</v>
      </c>
      <c r="Y15" s="119">
        <f>SUM($F15,$H15,$J15,$L15,$M15,$N15)/SUM($C15:$D15,$E15:$Q15)*'4.Rural cost'!$M57</f>
        <v>0</v>
      </c>
      <c r="Z15" s="119">
        <f>SUM($G15,$O15,$P15,$Q15)/SUM($C15:$D15,$E15:$Q15)*'4.Rural cost'!$M57</f>
        <v>0</v>
      </c>
      <c r="AA15" s="567"/>
      <c r="AB15" s="567"/>
      <c r="AC15" s="567"/>
      <c r="AD15" s="567">
        <f t="shared" si="4"/>
        <v>152742.35294556891</v>
      </c>
      <c r="AE15" s="560"/>
      <c r="AF15" s="568">
        <f>AD15-SUM('4.Rural cost'!C57:D57,'4.Rural cost'!H57:M57)</f>
        <v>0</v>
      </c>
    </row>
    <row r="16" spans="1:32" x14ac:dyDescent="0.2">
      <c r="A16" s="58">
        <f>A15+1</f>
        <v>8</v>
      </c>
      <c r="B16" s="127" t="s">
        <v>346</v>
      </c>
      <c r="C16" s="115"/>
      <c r="D16" s="115"/>
      <c r="E16" s="115"/>
      <c r="F16" s="115"/>
      <c r="G16" s="115"/>
      <c r="H16" s="115"/>
      <c r="I16" s="115"/>
      <c r="J16" s="115"/>
      <c r="K16" s="115"/>
      <c r="L16" s="115"/>
      <c r="M16" s="115"/>
      <c r="N16" s="115"/>
      <c r="O16" s="115"/>
      <c r="P16" s="115"/>
      <c r="Q16" s="115"/>
      <c r="R16" s="115"/>
      <c r="S16" s="115"/>
      <c r="T16" s="115"/>
      <c r="U16" s="115"/>
      <c r="V16" s="115"/>
      <c r="W16" s="115"/>
      <c r="X16" s="115"/>
      <c r="Y16" s="115"/>
      <c r="Z16" s="115"/>
      <c r="AA16" s="200"/>
      <c r="AB16" s="200"/>
      <c r="AC16" s="200"/>
      <c r="AD16" s="200"/>
      <c r="AE16" s="80"/>
      <c r="AF16" s="568"/>
    </row>
    <row r="17" spans="1:47" x14ac:dyDescent="0.2">
      <c r="A17" s="58">
        <f t="shared" si="5"/>
        <v>9</v>
      </c>
      <c r="B17" s="120" t="s">
        <v>239</v>
      </c>
      <c r="C17" s="119">
        <f>[1]RCSECRVols!$E$16-[1]RCSDALs!$F$11</f>
        <v>253801.70799176148</v>
      </c>
      <c r="D17" s="119">
        <f>[1]RCSECRVols!$E$31+[1]RCSECRVols!$E$36+[1]RCSECRVols!$E$26</f>
        <v>0</v>
      </c>
      <c r="E17" s="119">
        <f>[1]RCSECRVols!$C$11-H19</f>
        <v>977516.44119739952</v>
      </c>
      <c r="F17" s="134"/>
      <c r="G17" s="134"/>
      <c r="H17" s="134"/>
      <c r="I17" s="119">
        <f>[1]BoxholderbyShape!$C$13-[1]RCSDALs!$F$14</f>
        <v>8703.364390910152</v>
      </c>
      <c r="J17" s="117"/>
      <c r="K17" s="119">
        <f>[1]RCSECRVols!$E$21</f>
        <v>6684.430049239656</v>
      </c>
      <c r="L17" s="134"/>
      <c r="M17" s="119"/>
      <c r="N17" s="117"/>
      <c r="O17" s="143"/>
      <c r="P17" s="119"/>
      <c r="Q17" s="117"/>
      <c r="R17" s="119"/>
      <c r="S17" s="119"/>
      <c r="T17" s="119"/>
      <c r="U17" s="119"/>
      <c r="V17" s="119"/>
      <c r="W17" s="119"/>
      <c r="X17" s="119"/>
      <c r="Y17" s="119"/>
      <c r="Z17" s="119"/>
      <c r="AA17" s="567"/>
      <c r="AB17" s="567"/>
      <c r="AC17" s="567"/>
      <c r="AD17" s="567">
        <f t="shared" ref="AD17:AD27" si="6">SUM(C17:Z17)</f>
        <v>1246705.9436293107</v>
      </c>
      <c r="AE17" s="569"/>
      <c r="AF17" s="568"/>
      <c r="AL17" s="235"/>
    </row>
    <row r="18" spans="1:47" x14ac:dyDescent="0.2">
      <c r="A18" s="58">
        <f t="shared" si="5"/>
        <v>10</v>
      </c>
      <c r="B18" s="116" t="s">
        <v>235</v>
      </c>
      <c r="C18" s="119">
        <f>[1]RCSECRVols!$E$17-[1]RCSDALs!$E$11</f>
        <v>197251.02693115012</v>
      </c>
      <c r="D18" s="119">
        <f>[1]RCSECRVols!$E$32+[1]RCSECRVols!$E$37+[1]RCSECRVols!$E$27</f>
        <v>0</v>
      </c>
      <c r="E18" s="119">
        <f>[1]RCSECRVols!$C$12-H20</f>
        <v>746770.41659047268</v>
      </c>
      <c r="F18" s="134"/>
      <c r="G18" s="134"/>
      <c r="H18" s="143"/>
      <c r="I18" s="119">
        <f>[1]BoxholderbyShape!$C$14-[1]RCSDALs!$E$14</f>
        <v>183733.95994373714</v>
      </c>
      <c r="J18" s="134"/>
      <c r="K18" s="119">
        <f>[1]RCSECRVols!$E$22</f>
        <v>6354.2195137294857</v>
      </c>
      <c r="L18" s="134"/>
      <c r="M18" s="119"/>
      <c r="N18" s="134"/>
      <c r="O18" s="134"/>
      <c r="P18" s="119"/>
      <c r="Q18" s="134"/>
      <c r="R18" s="119"/>
      <c r="S18" s="119"/>
      <c r="T18" s="119"/>
      <c r="U18" s="119">
        <f>[1]RCSECRVols!$E$49</f>
        <v>0</v>
      </c>
      <c r="V18" s="119"/>
      <c r="W18" s="119"/>
      <c r="X18" s="143"/>
      <c r="Y18" s="143"/>
      <c r="Z18" s="143"/>
      <c r="AA18" s="80"/>
      <c r="AB18" s="80"/>
      <c r="AC18" s="80"/>
      <c r="AD18" s="567">
        <f t="shared" si="6"/>
        <v>1134109.6229790894</v>
      </c>
      <c r="AE18" s="80"/>
      <c r="AF18" s="568"/>
      <c r="AL18" s="235"/>
    </row>
    <row r="19" spans="1:47" x14ac:dyDescent="0.2">
      <c r="A19" s="58">
        <f t="shared" si="5"/>
        <v>11</v>
      </c>
      <c r="B19" s="116" t="s">
        <v>240</v>
      </c>
      <c r="C19" s="134"/>
      <c r="D19" s="134"/>
      <c r="E19" s="134"/>
      <c r="F19" s="134"/>
      <c r="G19" s="134"/>
      <c r="H19" s="119">
        <f>[1]RCSDALs!$F$7</f>
        <v>1545.7756616649997</v>
      </c>
      <c r="I19" s="117"/>
      <c r="J19" s="119">
        <f>[1]RCSDALs!$F$11+[1]RCSECRVols!$F$16</f>
        <v>2385.6897999467674</v>
      </c>
      <c r="K19" s="117"/>
      <c r="L19" s="119">
        <f>[1]RCSECRVols!$F$21</f>
        <v>480083.19705302402</v>
      </c>
      <c r="M19" s="119">
        <f>[1]RCSECRVols!$F$31+[1]RCSECRVols!$F$36+[1]RCSECRVols!$F$26</f>
        <v>0</v>
      </c>
      <c r="N19" s="119">
        <f>[1]BoxholderbyShape!$D$13+[1]RCSDALs!$F$14</f>
        <v>34691.682784567551</v>
      </c>
      <c r="O19" s="119"/>
      <c r="P19" s="119"/>
      <c r="Q19" s="117"/>
      <c r="R19" s="119"/>
      <c r="S19" s="119"/>
      <c r="T19" s="119"/>
      <c r="U19" s="119"/>
      <c r="V19" s="119"/>
      <c r="W19" s="119"/>
      <c r="X19" s="119"/>
      <c r="Y19" s="119"/>
      <c r="Z19" s="119"/>
      <c r="AA19" s="567"/>
      <c r="AB19" s="567"/>
      <c r="AC19" s="567"/>
      <c r="AD19" s="567">
        <f t="shared" si="6"/>
        <v>518706.3452992033</v>
      </c>
      <c r="AE19" s="569"/>
      <c r="AF19" s="568"/>
    </row>
    <row r="20" spans="1:47" x14ac:dyDescent="0.2">
      <c r="A20" s="58">
        <f t="shared" si="5"/>
        <v>12</v>
      </c>
      <c r="B20" s="116" t="s">
        <v>241</v>
      </c>
      <c r="C20" s="134"/>
      <c r="D20" s="134"/>
      <c r="E20" s="134"/>
      <c r="F20" s="134"/>
      <c r="G20" s="134"/>
      <c r="H20" s="119">
        <f>[1]RCSDALs!$E$7</f>
        <v>4823.7023951570109</v>
      </c>
      <c r="I20" s="134"/>
      <c r="J20" s="119">
        <f>[1]RCSDALs!$E$11+[1]RCSECRVols!$F$17</f>
        <v>16133.120113960555</v>
      </c>
      <c r="K20" s="134"/>
      <c r="L20" s="119">
        <f>[1]RCSECRVols!$F$22</f>
        <v>1007381.7637212964</v>
      </c>
      <c r="M20" s="119">
        <f>[1]RCSECRVols!$F$31+[1]RCSECRVols!$F$36+[1]RCSECRVols!$F$27</f>
        <v>0</v>
      </c>
      <c r="N20" s="119">
        <f>[1]BoxholderbyShape!$D$14+[1]RCSDALs!$E$14</f>
        <v>1353637.1842109421</v>
      </c>
      <c r="O20" s="134"/>
      <c r="P20" s="119"/>
      <c r="Q20" s="134"/>
      <c r="R20" s="119"/>
      <c r="S20" s="119"/>
      <c r="T20" s="119"/>
      <c r="U20" s="119"/>
      <c r="V20" s="119"/>
      <c r="W20" s="119"/>
      <c r="X20" s="143"/>
      <c r="Y20" s="143"/>
      <c r="Z20" s="143"/>
      <c r="AA20" s="80"/>
      <c r="AB20" s="80"/>
      <c r="AC20" s="80"/>
      <c r="AD20" s="567">
        <f t="shared" si="6"/>
        <v>2381975.7704413561</v>
      </c>
      <c r="AE20" s="80"/>
      <c r="AF20" s="568"/>
    </row>
    <row r="21" spans="1:47" x14ac:dyDescent="0.2">
      <c r="A21" s="58">
        <f t="shared" si="5"/>
        <v>13</v>
      </c>
      <c r="B21" s="116" t="s">
        <v>242</v>
      </c>
      <c r="C21" s="134"/>
      <c r="D21" s="134"/>
      <c r="E21" s="134"/>
      <c r="F21" s="134"/>
      <c r="G21" s="134"/>
      <c r="H21" s="134"/>
      <c r="I21" s="134"/>
      <c r="J21" s="134"/>
      <c r="K21" s="134"/>
      <c r="L21" s="134"/>
      <c r="M21" s="119"/>
      <c r="N21" s="119"/>
      <c r="O21" s="119">
        <f>+[1]RCSECRVols!$G$31+[1]RCSECRVols!$G$36+[1]RCSECRVols!$G$41</f>
        <v>0</v>
      </c>
      <c r="P21" s="119">
        <f>+[1]RCSECRVols!$G$21</f>
        <v>0</v>
      </c>
      <c r="Q21" s="119">
        <f>[1]BoxholderbyShape!$E$13</f>
        <v>0</v>
      </c>
      <c r="R21" s="119"/>
      <c r="S21" s="119"/>
      <c r="T21" s="119"/>
      <c r="U21" s="119"/>
      <c r="V21" s="134"/>
      <c r="W21" s="119"/>
      <c r="X21" s="143"/>
      <c r="Y21" s="143"/>
      <c r="Z21" s="143"/>
      <c r="AA21" s="80"/>
      <c r="AB21" s="80"/>
      <c r="AC21" s="80"/>
      <c r="AD21" s="567">
        <f t="shared" si="6"/>
        <v>0</v>
      </c>
      <c r="AE21" s="80"/>
      <c r="AF21" s="568"/>
    </row>
    <row r="22" spans="1:47" x14ac:dyDescent="0.2">
      <c r="A22" s="58">
        <f t="shared" si="5"/>
        <v>14</v>
      </c>
      <c r="B22" s="116" t="s">
        <v>243</v>
      </c>
      <c r="C22" s="134"/>
      <c r="D22" s="134"/>
      <c r="E22" s="134"/>
      <c r="F22" s="134"/>
      <c r="G22" s="134"/>
      <c r="H22" s="134"/>
      <c r="I22" s="134"/>
      <c r="J22" s="134"/>
      <c r="K22" s="134"/>
      <c r="L22" s="134"/>
      <c r="M22" s="119"/>
      <c r="N22" s="134"/>
      <c r="O22" s="119">
        <f>+[1]RCSECRVols!$G$31+[1]RCSECRVols!$G$36+[1]RCSECRVols!$G$41</f>
        <v>0</v>
      </c>
      <c r="P22" s="119">
        <f>+[1]RCSECRVols!$G$22</f>
        <v>0</v>
      </c>
      <c r="Q22" s="119">
        <f>[1]BoxholderbyShape!$E$14</f>
        <v>0</v>
      </c>
      <c r="R22" s="119"/>
      <c r="S22" s="119"/>
      <c r="T22" s="119"/>
      <c r="U22" s="119"/>
      <c r="V22" s="119"/>
      <c r="W22" s="119"/>
      <c r="X22" s="143"/>
      <c r="Y22" s="143"/>
      <c r="Z22" s="143"/>
      <c r="AA22" s="80"/>
      <c r="AB22" s="80"/>
      <c r="AC22" s="80"/>
      <c r="AD22" s="567">
        <f t="shared" si="6"/>
        <v>0</v>
      </c>
      <c r="AE22" s="80"/>
      <c r="AF22" s="568"/>
    </row>
    <row r="23" spans="1:47" x14ac:dyDescent="0.2">
      <c r="A23" s="58">
        <f t="shared" si="5"/>
        <v>15</v>
      </c>
      <c r="B23" s="116" t="s">
        <v>307</v>
      </c>
      <c r="C23" s="134"/>
      <c r="D23" s="134"/>
      <c r="E23" s="134"/>
      <c r="F23" s="134"/>
      <c r="G23" s="134"/>
      <c r="H23" s="134"/>
      <c r="I23" s="119">
        <f>[1]BoxholderbyShape!$C$16</f>
        <v>0</v>
      </c>
      <c r="J23" s="134"/>
      <c r="K23" s="134"/>
      <c r="L23" s="134"/>
      <c r="M23" s="119"/>
      <c r="N23" s="119">
        <f>[1]BoxholderbyShape!$D$16</f>
        <v>0</v>
      </c>
      <c r="O23" s="8"/>
      <c r="P23" s="134"/>
      <c r="Q23" s="134">
        <v>0</v>
      </c>
      <c r="R23" s="119"/>
      <c r="S23" s="119"/>
      <c r="T23" s="119"/>
      <c r="U23" s="119"/>
      <c r="V23" s="119"/>
      <c r="W23" s="119"/>
      <c r="X23" s="143"/>
      <c r="Y23" s="143"/>
      <c r="Z23" s="143"/>
      <c r="AA23" s="80"/>
      <c r="AB23" s="80"/>
      <c r="AC23" s="80"/>
      <c r="AD23" s="567">
        <f t="shared" si="6"/>
        <v>0</v>
      </c>
      <c r="AE23" s="80"/>
      <c r="AF23" s="568"/>
    </row>
    <row r="24" spans="1:47" x14ac:dyDescent="0.2">
      <c r="A24" s="58">
        <f t="shared" si="5"/>
        <v>16</v>
      </c>
      <c r="B24" s="116" t="s">
        <v>236</v>
      </c>
      <c r="C24" s="134">
        <f>'4.Rural cost'!C65</f>
        <v>1106952.940651593</v>
      </c>
      <c r="D24" s="134">
        <f>'4.Rural cost'!H65</f>
        <v>91.879699968861829</v>
      </c>
      <c r="E24" s="134">
        <f>'4.Rural cost'!J65</f>
        <v>12975443.082181618</v>
      </c>
      <c r="F24" s="134"/>
      <c r="G24" s="134"/>
      <c r="H24" s="134"/>
      <c r="I24" s="134">
        <f>'4.Rural cost'!I65</f>
        <v>5980.9385778676669</v>
      </c>
      <c r="J24" s="134"/>
      <c r="K24" s="134">
        <f>'4.Rural cost'!D65</f>
        <v>17099.53291862824</v>
      </c>
      <c r="L24" s="134"/>
      <c r="M24" s="119"/>
      <c r="N24" s="119"/>
      <c r="P24" s="134"/>
      <c r="Q24" s="119"/>
      <c r="R24" s="134">
        <f>SUM($C24,$D24,$E24,$I24,$K24)/SUM($C24:$D24,$E24:$Q24)*'4.Rural cost'!$K65</f>
        <v>8.0181092459858192</v>
      </c>
      <c r="S24" s="134">
        <f>SUM($F24,$H24,$J24,$L24,$M24,$N24)/SUM($C24:$D24,$E24:$Q24)*'4.Rural cost'!$K65</f>
        <v>0</v>
      </c>
      <c r="T24" s="134">
        <f>SUM($G24,$O24,$P24,$Q24)/SUM($C24:$D24,$E24:$Q24)*'4.Rural cost'!$K65</f>
        <v>0</v>
      </c>
      <c r="U24" s="134">
        <f>SUM($C24,$D24,$E24,$I24,$K24)/SUM($C24:$D24,$E24:$Q24)*'4.Rural cost'!$L65</f>
        <v>0</v>
      </c>
      <c r="V24" s="134">
        <f>SUM($F24,$H24,$J24,$L24,$M24,$N24)/SUM($C24:$D24,$E24:$Q24)*'4.Rural cost'!$L65</f>
        <v>0</v>
      </c>
      <c r="W24" s="134">
        <f>SUM($G24,$O24,$P24,$Q24)/SUM($C24:$D24,$E24:$Q24)*'4.Rural cost'!$L65</f>
        <v>0</v>
      </c>
      <c r="X24" s="134">
        <f>SUM($C24,$D24,$E24,$I24,$K24)/SUM($C24:$D24,$E24:$Q24)*'4.Rural cost'!$M65</f>
        <v>0</v>
      </c>
      <c r="Y24" s="134">
        <f>SUM($F24,$H24,$J24,$L24,$M24,$N24)/SUM($C24:$D24,$E24:$Q24)*'4.Rural cost'!$M65</f>
        <v>0</v>
      </c>
      <c r="Z24" s="134">
        <f>SUM($G24,$O24,$P24,$Q24)/SUM($C24:$D24,$E24:$Q24)*'4.Rural cost'!$M65</f>
        <v>0</v>
      </c>
      <c r="AA24" s="419"/>
      <c r="AB24" s="419"/>
      <c r="AC24" s="419"/>
      <c r="AD24" s="567">
        <f t="shared" si="6"/>
        <v>14105576.392138921</v>
      </c>
      <c r="AE24" s="560"/>
      <c r="AF24" s="568">
        <f>AD24-SUM('4.Rural cost'!C65:D65,'4.Rural cost'!H65:M65)</f>
        <v>0</v>
      </c>
      <c r="AU24" s="38"/>
    </row>
    <row r="25" spans="1:47" x14ac:dyDescent="0.2">
      <c r="A25" s="58">
        <f t="shared" si="5"/>
        <v>17</v>
      </c>
      <c r="B25" s="116" t="s">
        <v>237</v>
      </c>
      <c r="C25" s="134"/>
      <c r="D25" s="134"/>
      <c r="E25" s="134"/>
      <c r="F25" s="134">
        <f>'4.Rural cost'!C66</f>
        <v>47.226944971537009</v>
      </c>
      <c r="G25" s="134"/>
      <c r="H25" s="134">
        <f>'4.Rural cost'!J66</f>
        <v>0</v>
      </c>
      <c r="I25" s="134"/>
      <c r="J25" s="134"/>
      <c r="K25" s="134"/>
      <c r="L25" s="134">
        <f>'4.Rural cost'!D66</f>
        <v>683262.60680602537</v>
      </c>
      <c r="M25" s="134">
        <f>'4.Rural cost'!$H$66</f>
        <v>35.661945534315009</v>
      </c>
      <c r="N25" s="134">
        <f>'4.Rural cost'!I66</f>
        <v>224.08604994083041</v>
      </c>
      <c r="P25" s="134"/>
      <c r="Q25" s="119"/>
      <c r="R25" s="134">
        <f>SUM($C25,$D25,$E25,$I25,$K25)/SUM($C25:$D25,$E25:$Q25)*'4.Rural cost'!$K66</f>
        <v>0</v>
      </c>
      <c r="S25" s="134">
        <f>SUM($F25,$H25,$J25,$L25,$M25,$N25)/SUM($C25:$D25,$E25:$Q25)*'4.Rural cost'!$K66</f>
        <v>7.8414401544401535</v>
      </c>
      <c r="T25" s="134">
        <f>SUM($G25,$O25,$P25,$Q25)/SUM($C25:$D25,$E25:$Q25)*'4.Rural cost'!$K66</f>
        <v>0</v>
      </c>
      <c r="U25" s="134">
        <f>SUM($C25,$D25,$E25,$I25,$K25)/SUM($C25:$D25,$E25:$Q25)*'4.Rural cost'!$L66</f>
        <v>0</v>
      </c>
      <c r="V25" s="134">
        <f>SUM($F25,$H25,$J25,$L25,$M25,$N25)/SUM($C25:$D25,$E25:$Q25)*'4.Rural cost'!$L66</f>
        <v>0</v>
      </c>
      <c r="W25" s="134">
        <f>SUM($G25,$O25,$P25,$Q25)/SUM($C25:$D25,$E25:$Q25)*'4.Rural cost'!$L66</f>
        <v>0</v>
      </c>
      <c r="X25" s="134">
        <f>SUM($C25,$D25,$E25,$I25,$K25)/SUM($C25:$D25,$E25:$Q25)*'4.Rural cost'!$M66</f>
        <v>0</v>
      </c>
      <c r="Y25" s="134">
        <f>SUM($F25,$H25,$J25,$L25,$M25,$N25)/SUM($C25:$D25,$E25:$Q25)*'4.Rural cost'!$M66</f>
        <v>0</v>
      </c>
      <c r="Z25" s="134">
        <f>SUM($G25,$O25,$P25,$Q25)/SUM($C25:$D25,$E25:$Q25)*'4.Rural cost'!$M66</f>
        <v>0</v>
      </c>
      <c r="AA25" s="419"/>
      <c r="AB25" s="419"/>
      <c r="AC25" s="419"/>
      <c r="AD25" s="567">
        <f t="shared" si="6"/>
        <v>683577.4231866264</v>
      </c>
      <c r="AE25" s="80"/>
      <c r="AF25" s="568">
        <f>AD25-SUM('4.Rural cost'!C66:D66,'4.Rural cost'!H66:M66)</f>
        <v>0</v>
      </c>
      <c r="AU25" s="38"/>
    </row>
    <row r="26" spans="1:47" x14ac:dyDescent="0.2">
      <c r="A26" s="59">
        <f>A25+1</f>
        <v>18</v>
      </c>
      <c r="B26" s="179" t="s">
        <v>238</v>
      </c>
      <c r="C26" s="166"/>
      <c r="D26" s="166"/>
      <c r="E26" s="166">
        <f>'4.Rural cost'!J67</f>
        <v>0</v>
      </c>
      <c r="F26" s="166"/>
      <c r="G26" s="134">
        <f>'4.Rural cost'!C67</f>
        <v>0</v>
      </c>
      <c r="H26" s="166"/>
      <c r="I26" s="134"/>
      <c r="J26" s="166"/>
      <c r="K26" s="134"/>
      <c r="L26" s="134"/>
      <c r="M26" s="159"/>
      <c r="N26" s="166"/>
      <c r="O26" s="134">
        <f>'4.Rural cost'!$H$67</f>
        <v>4734.8813065469622</v>
      </c>
      <c r="P26" s="134">
        <f>'4.Rural cost'!D67</f>
        <v>0</v>
      </c>
      <c r="Q26" s="159">
        <f>'4.Rural cost'!I67</f>
        <v>0</v>
      </c>
      <c r="R26" s="166">
        <f>SUM($C26,$D26,$E26,$I26,$K26)/SUM($C26:$D26,$E26:$Q26)*'4.Rural cost'!$K67</f>
        <v>0</v>
      </c>
      <c r="S26" s="166">
        <f>SUM($F26,$H26,$J26,$L26,$M26,$N26)/SUM($C26:$D26,$E26:$Q26)*'4.Rural cost'!$K67</f>
        <v>0</v>
      </c>
      <c r="T26" s="166">
        <f>SUM($G26,$O26,$P26,$Q26)/SUM($C26:$D26,$E26:$Q26)*'4.Rural cost'!$K67</f>
        <v>3.9355787476280835</v>
      </c>
      <c r="U26" s="166">
        <f>SUM($C26,$D26,$E26,$I26,$K26)/SUM($C26:$D26,$E26:$Q26)*'4.Rural cost'!$L67</f>
        <v>0</v>
      </c>
      <c r="V26" s="166">
        <f>SUM($F26,$H26,$J26,$L26,$M26,$N26)/SUM($C26:$D26,$E26:$Q26)*'4.Rural cost'!$L67</f>
        <v>0</v>
      </c>
      <c r="W26" s="166">
        <f>SUM($G26,$O26,$P26,$Q26)/SUM($C26:$D26,$E26:$Q26)*'4.Rural cost'!$L67</f>
        <v>0</v>
      </c>
      <c r="X26" s="166">
        <f>SUM($C26,$D26,$E26,$I26,$K26)/SUM($C26:$D26,$E26:$Q26)*'4.Rural cost'!$M67</f>
        <v>0</v>
      </c>
      <c r="Y26" s="166">
        <f>SUM($F26,$H26,$J26,$L26,$M26,$N26)/SUM($C26:$D26,$E26:$Q26)*'4.Rural cost'!$M67</f>
        <v>0</v>
      </c>
      <c r="Z26" s="166">
        <f>SUM($G26,$O26,$P26,$Q26)/SUM($C26:$D26,$E26:$Q26)*'4.Rural cost'!$M67</f>
        <v>0</v>
      </c>
      <c r="AA26" s="419"/>
      <c r="AB26" s="419"/>
      <c r="AC26" s="419"/>
      <c r="AD26" s="567">
        <f t="shared" si="6"/>
        <v>4738.8168852945901</v>
      </c>
      <c r="AE26" s="80"/>
      <c r="AF26" s="568">
        <f>AD26-SUM('4.Rural cost'!C67:D67,'4.Rural cost'!H67:M67)</f>
        <v>0</v>
      </c>
      <c r="AU26" s="38"/>
    </row>
    <row r="27" spans="1:47" x14ac:dyDescent="0.2">
      <c r="A27" s="98">
        <f t="shared" si="5"/>
        <v>19</v>
      </c>
      <c r="B27" s="543" t="s">
        <v>232</v>
      </c>
      <c r="C27" s="228">
        <f>'4.Rural cost'!C68-J27</f>
        <v>4163.4582784458044</v>
      </c>
      <c r="D27" s="228"/>
      <c r="E27" s="228">
        <f>'4.Rural cost'!J68</f>
        <v>2943.0203895342493</v>
      </c>
      <c r="F27" s="228"/>
      <c r="G27" s="228"/>
      <c r="H27" s="228"/>
      <c r="I27" s="125">
        <f>[1]BoxholderbyShape!$C$9</f>
        <v>0</v>
      </c>
      <c r="J27" s="125">
        <f>[1]PeriodicalsVolAdj!$I$9</f>
        <v>-2251.6959862916274</v>
      </c>
      <c r="K27" s="125"/>
      <c r="L27" s="228">
        <f>'4.Rural cost'!D68</f>
        <v>1063009.4155670376</v>
      </c>
      <c r="M27" s="104">
        <f>'4.Rural cost'!$H$68-O27</f>
        <v>13724.620279019015</v>
      </c>
      <c r="N27" s="125">
        <f>'4.Rural cost'!I68</f>
        <v>12721.852270205503</v>
      </c>
      <c r="O27" s="125">
        <f>[1]PeriodicalsVolAdj!$H$11</f>
        <v>505.07110782104365</v>
      </c>
      <c r="P27" s="104"/>
      <c r="Q27" s="125">
        <f>[1]BoxholderbyShape!$E$9</f>
        <v>0</v>
      </c>
      <c r="R27" s="122">
        <f>SUM($C27,$D27,$E27,$I27,$K27)/SUM($C27:$D27,$E27:$Q27)*'4.Rural cost'!$K68</f>
        <v>0</v>
      </c>
      <c r="S27" s="125">
        <f>SUM($F27,$H27,$J27,$L27,$M27,$N27)/SUM($C27:$D27,$E27:$Q27)*'4.Rural cost'!$K68</f>
        <v>0</v>
      </c>
      <c r="T27" s="125">
        <f>SUM($G27,$O27,$P27,$Q27)/SUM($C27:$D27,$E27:$Q27)*'4.Rural cost'!$K68</f>
        <v>0</v>
      </c>
      <c r="U27" s="122">
        <f>SUM($C27,$D27,$E27,$I27,$K27)/SUM($C27:$D27,$E27:$Q27)*'4.Rural cost'!$L68</f>
        <v>0</v>
      </c>
      <c r="V27" s="125">
        <f>SUM($F27,$H27,$J27,$L27,$M27,$N27)/SUM($C27:$D27,$E27:$Q27)*'4.Rural cost'!$L68</f>
        <v>0</v>
      </c>
      <c r="W27" s="125">
        <f>SUM($G27,$O27,$P27,$Q27)/SUM($C27:$D27,$E27:$Q27)*'4.Rural cost'!$L68</f>
        <v>0</v>
      </c>
      <c r="X27" s="122">
        <f>SUM($C27,$D27,$E27,$I27,$K27)/SUM($C27:$D27,$E27:$Q27)*'4.Rural cost'!$M68</f>
        <v>0</v>
      </c>
      <c r="Y27" s="125">
        <f>SUM($F27,$H27,$J27,$L27,$M27,$N27)/SUM($C27:$D27,$E27:$Q27)*'4.Rural cost'!$M68</f>
        <v>0</v>
      </c>
      <c r="Z27" s="125">
        <f>SUM($G27,$O27,$P27,$Q27)/SUM($C27:$D27,$E27:$Q27)*'4.Rural cost'!$M68</f>
        <v>0</v>
      </c>
      <c r="AA27" s="420"/>
      <c r="AB27" s="420"/>
      <c r="AC27" s="420"/>
      <c r="AD27" s="570">
        <f t="shared" si="6"/>
        <v>1094815.7419057717</v>
      </c>
      <c r="AE27" s="569"/>
      <c r="AF27" s="568">
        <f>AD27-SUM('4.Rural cost'!C68:D68,'4.Rural cost'!H68:M68)</f>
        <v>0</v>
      </c>
    </row>
    <row r="28" spans="1:47" x14ac:dyDescent="0.2">
      <c r="A28" s="60">
        <f t="shared" si="5"/>
        <v>20</v>
      </c>
      <c r="B28" s="133" t="s">
        <v>228</v>
      </c>
      <c r="C28" s="227"/>
      <c r="D28" s="227"/>
      <c r="E28" s="227"/>
      <c r="F28" s="227"/>
      <c r="G28" s="227"/>
      <c r="H28" s="227"/>
      <c r="I28" s="113"/>
      <c r="J28" s="113"/>
      <c r="K28" s="113"/>
      <c r="L28" s="227"/>
      <c r="M28" s="128"/>
      <c r="N28" s="113"/>
      <c r="O28" s="128"/>
      <c r="P28" s="128"/>
      <c r="Q28" s="113"/>
      <c r="R28" s="113"/>
      <c r="S28" s="113"/>
      <c r="T28" s="113"/>
      <c r="U28" s="113"/>
      <c r="V28" s="113"/>
      <c r="W28" s="113"/>
      <c r="X28" s="113"/>
      <c r="Y28" s="113"/>
      <c r="Z28" s="113"/>
      <c r="AA28" s="387"/>
      <c r="AB28" s="387"/>
      <c r="AC28" s="387"/>
      <c r="AD28" s="387"/>
      <c r="AE28" s="569"/>
      <c r="AF28" s="568">
        <f>AD28-SUM('4.Rural cost'!C69:D69,'4.Rural cost'!H69:M69)</f>
        <v>0</v>
      </c>
    </row>
    <row r="29" spans="1:47" x14ac:dyDescent="0.2">
      <c r="A29" s="58">
        <f t="shared" si="5"/>
        <v>21</v>
      </c>
      <c r="B29" s="154" t="s">
        <v>229</v>
      </c>
      <c r="C29" s="134"/>
      <c r="D29" s="134"/>
      <c r="E29" s="134">
        <f>'4.Rural cost'!J70</f>
        <v>0</v>
      </c>
      <c r="F29" s="134">
        <f>'4.Rural cost'!C70</f>
        <v>7.8711574952561669</v>
      </c>
      <c r="G29" s="134"/>
      <c r="H29" s="134"/>
      <c r="I29" s="117"/>
      <c r="J29" s="117"/>
      <c r="K29" s="117"/>
      <c r="L29" s="134">
        <f>'4.Rural cost'!D70</f>
        <v>34739.136251762546</v>
      </c>
      <c r="M29" s="134">
        <f>'4.Rural cost'!$H$70</f>
        <v>1121.9737398643886</v>
      </c>
      <c r="N29" s="117">
        <f>'4.Rural cost'!I70</f>
        <v>233.18982228699687</v>
      </c>
      <c r="O29" s="143"/>
      <c r="P29" s="119"/>
      <c r="Q29" s="117"/>
      <c r="R29" s="117">
        <f>SUM($C29,$D29,$E29,$I29,$K29)/SUM($C29:$D29,$E29:$Q29)*'4.Rural cost'!$K70</f>
        <v>0</v>
      </c>
      <c r="S29" s="119">
        <f>SUM($F29,$H29,$J29,$L29,$M29,$N29)/SUM($C29:$D29,$E29:$Q29)*'4.Rural cost'!$K70</f>
        <v>3.9355787476280835</v>
      </c>
      <c r="T29" s="117">
        <f>SUM($G29,$O29,$P29,$Q29)/SUM($C29:$D29,$E29:$Q29)*'4.Rural cost'!$K70</f>
        <v>0</v>
      </c>
      <c r="U29" s="117">
        <f>SUM($C29,$D29,$E29,$I29,$K29)/SUM($C29:$D29,$E29:$Q29)*'4.Rural cost'!$L70</f>
        <v>0</v>
      </c>
      <c r="V29" s="117">
        <f>SUM($F29,$H29,$J29,$L29,$M29,$N29)/SUM($C29:$D29,$E29:$Q29)*'4.Rural cost'!$L70</f>
        <v>0</v>
      </c>
      <c r="W29" s="117">
        <f>SUM($G29,$O29,$P29,$Q29)/SUM($C29:$D29,$E29:$Q29)*'4.Rural cost'!$L70</f>
        <v>0</v>
      </c>
      <c r="X29" s="117">
        <f>SUM($C29,$D29,$E29,$I29,$K29)/SUM($C29:$D29,$E29:$Q29)*'4.Rural cost'!$M70</f>
        <v>0</v>
      </c>
      <c r="Y29" s="117">
        <f>SUM($F29,$H29,$J29,$L29,$M29,$N29)/SUM($C29:$D29,$E29:$Q29)*'4.Rural cost'!$M70</f>
        <v>1132</v>
      </c>
      <c r="Z29" s="117">
        <f>SUM($G29,$O29,$P29,$Q29)/SUM($C29:$D29,$E29:$Q29)*'4.Rural cost'!$M70</f>
        <v>0</v>
      </c>
      <c r="AA29" s="388"/>
      <c r="AB29" s="388"/>
      <c r="AC29" s="388"/>
      <c r="AD29" s="388">
        <f>SUM(C29:Z29)</f>
        <v>37238.106550156823</v>
      </c>
      <c r="AE29" s="569"/>
      <c r="AF29" s="568">
        <f>AD29-SUM('4.Rural cost'!C70:D70,'4.Rural cost'!H70:M70)</f>
        <v>0</v>
      </c>
    </row>
    <row r="30" spans="1:47" x14ac:dyDescent="0.2">
      <c r="A30" s="58">
        <f t="shared" si="5"/>
        <v>22</v>
      </c>
      <c r="B30" s="154" t="s">
        <v>230</v>
      </c>
      <c r="C30" s="134"/>
      <c r="D30" s="134"/>
      <c r="E30" s="134">
        <f>'4.Rural cost'!J71</f>
        <v>0</v>
      </c>
      <c r="F30" s="134"/>
      <c r="G30" s="134">
        <f>'4.Rural cost'!D71</f>
        <v>0</v>
      </c>
      <c r="H30" s="134"/>
      <c r="I30" s="117"/>
      <c r="J30" s="117"/>
      <c r="K30" s="117"/>
      <c r="L30" s="134"/>
      <c r="M30" s="119"/>
      <c r="N30" s="117"/>
      <c r="O30" s="134">
        <f>'4.Rural cost'!$H$71</f>
        <v>81458.929920487106</v>
      </c>
      <c r="P30" s="134">
        <f>'4.Rural cost'!D71</f>
        <v>0</v>
      </c>
      <c r="Q30" s="117">
        <f>[1]BoxholderbyShape!$E$17</f>
        <v>0</v>
      </c>
      <c r="R30" s="117">
        <f>SUM($C30,$D30,$E30,$I30,$K30)/SUM($C30:$D30,$E30:$Q30)*'4.Rural cost'!$K71</f>
        <v>0</v>
      </c>
      <c r="S30" s="117">
        <f>SUM($F30,$H30,$J30,$L30,$M30,$N30)/SUM($C30:$D30,$E30:$Q30)*'4.Rural cost'!$K71</f>
        <v>0</v>
      </c>
      <c r="T30" s="117">
        <f>SUM($G30,$O30,$P30,$Q30)/SUM($C30:$D30,$E30:$Q30)*'4.Rural cost'!$K71</f>
        <v>11.85602644149381</v>
      </c>
      <c r="U30" s="117">
        <f>SUM($C30,$D30,$E30,$I30,$K30)/SUM($C30:$D30,$E30:$Q30)*'4.Rural cost'!$L71</f>
        <v>0</v>
      </c>
      <c r="V30" s="117">
        <f>SUM($F30,$H30,$J30,$L30,$M30,$N30)/SUM($C30:$D30,$E30:$Q30)*'4.Rural cost'!$L71</f>
        <v>0</v>
      </c>
      <c r="W30" s="117">
        <f>SUM($G30,$O30,$P30,$Q30)/SUM($C30:$D30,$E30:$Q30)*'4.Rural cost'!$L71</f>
        <v>269</v>
      </c>
      <c r="X30" s="117">
        <f>SUM($C30,$D30,$E30,$I30,$K30)/SUM($C30:$D30,$E30:$Q30)*'4.Rural cost'!$M71</f>
        <v>0</v>
      </c>
      <c r="Y30" s="2">
        <f>SUM($F30,$H30,$J30,$L30,$M30,$N30)/SUM($C30:$D30,$E30:$Q30)*'4.Rural cost'!$M71</f>
        <v>0</v>
      </c>
      <c r="Z30" s="117">
        <f>SUM($G30,$O30,$P30,$Q30)/SUM($C30:$D30,$E30:$Q30)*'4.Rural cost'!$M71</f>
        <v>99</v>
      </c>
      <c r="AA30" s="388"/>
      <c r="AB30" s="388"/>
      <c r="AC30" s="388"/>
      <c r="AD30" s="388">
        <f>SUM(C30:Z30)</f>
        <v>81838.785946928605</v>
      </c>
      <c r="AE30" s="569"/>
      <c r="AF30" s="568">
        <f>AD30-SUM('4.Rural cost'!C71:D71,'4.Rural cost'!H71:M71)</f>
        <v>0</v>
      </c>
    </row>
    <row r="31" spans="1:47" x14ac:dyDescent="0.2">
      <c r="A31" s="59">
        <f t="shared" si="5"/>
        <v>23</v>
      </c>
      <c r="B31" s="144" t="s">
        <v>234</v>
      </c>
      <c r="C31" s="166"/>
      <c r="D31" s="571"/>
      <c r="E31" s="166">
        <f>'4.Rural cost'!J72</f>
        <v>0</v>
      </c>
      <c r="F31" s="166"/>
      <c r="G31" s="166">
        <f>'4.Rural cost'!D72</f>
        <v>0</v>
      </c>
      <c r="H31" s="166"/>
      <c r="I31" s="571"/>
      <c r="J31" s="571"/>
      <c r="K31" s="571"/>
      <c r="L31" s="166"/>
      <c r="M31" s="131"/>
      <c r="N31" s="131"/>
      <c r="O31" s="166">
        <f>'4.Rural cost'!$H$72</f>
        <v>22956.89398632251</v>
      </c>
      <c r="P31" s="122">
        <f>'4.Rural cost'!D72</f>
        <v>0</v>
      </c>
      <c r="Q31" s="131"/>
      <c r="R31" s="122">
        <f>SUM($C31,$D31,$E31,$I31,$K31)/SUM($C31:$D31,$E31:$Q31)*'4.Rural cost'!$K72</f>
        <v>0</v>
      </c>
      <c r="S31" s="122">
        <f>SUM($F31,$H31,$J31,$L31,$M31,$N31)/SUM($C31:$D31,$E31:$Q31)*'4.Rural cost'!$K72</f>
        <v>0</v>
      </c>
      <c r="T31" s="122">
        <f>SUM($G31,$O31,$P31,$Q31)/SUM($C31:$D31,$E31:$Q31)*'4.Rural cost'!$K72</f>
        <v>28.050260012316585</v>
      </c>
      <c r="U31" s="122">
        <f>SUM($C31,$D31,$E31,$I31,$K31)/SUM($C31:$D31,$E31:$Q31)*'4.Rural cost'!$L72</f>
        <v>0</v>
      </c>
      <c r="V31" s="122">
        <f>SUM($F31,$H31,$J31,$L31,$M31,$N31)/SUM($C31:$D31,$E31:$Q31)*'4.Rural cost'!$L72</f>
        <v>0</v>
      </c>
      <c r="W31" s="122">
        <f>SUM($G31,$O31,$P31,$Q31)/SUM($C31:$D31,$E31:$Q31)*'4.Rural cost'!$L72</f>
        <v>923</v>
      </c>
      <c r="X31" s="122">
        <f>SUM($C31,$D31,$E31,$I31,$K31)/SUM($C31:$D31,$E31:$Q31)*'4.Rural cost'!$M72</f>
        <v>0</v>
      </c>
      <c r="Y31" s="122">
        <f>SUM($F31,$H31,$J31,$L31,$M31,$N31)/SUM($C31:$D31,$E31:$Q31)*'4.Rural cost'!$M72</f>
        <v>0</v>
      </c>
      <c r="Z31" s="122">
        <f>SUM($G31,$O31,$P31,$Q31)/SUM($C31:$D31,$E31:$Q31)*'4.Rural cost'!$M72</f>
        <v>2782</v>
      </c>
      <c r="AA31" s="389"/>
      <c r="AB31" s="389"/>
      <c r="AC31" s="389"/>
      <c r="AD31" s="389">
        <f>SUM(C31:Z31)</f>
        <v>26689.944246334828</v>
      </c>
      <c r="AE31" s="572"/>
      <c r="AF31" s="568">
        <f>AD31-SUM('4.Rural cost'!C72:D72,'4.Rural cost'!H72:M72)</f>
        <v>0</v>
      </c>
    </row>
    <row r="32" spans="1:47" x14ac:dyDescent="0.2">
      <c r="A32" s="58"/>
      <c r="B32" s="130"/>
      <c r="C32" s="134"/>
      <c r="D32" s="550"/>
      <c r="E32" s="134"/>
      <c r="F32" s="183"/>
      <c r="G32" s="183"/>
      <c r="H32" s="183"/>
      <c r="I32" s="550"/>
      <c r="J32" s="550"/>
      <c r="AD32" s="464"/>
      <c r="AE32" s="464"/>
    </row>
    <row r="33" spans="1:32" s="10" customFormat="1" ht="22.5" x14ac:dyDescent="0.2">
      <c r="A33" s="552"/>
      <c r="B33" s="573" t="s">
        <v>121</v>
      </c>
      <c r="C33" s="46" t="s">
        <v>77</v>
      </c>
      <c r="D33" s="46" t="s">
        <v>244</v>
      </c>
      <c r="E33" s="64" t="s">
        <v>431</v>
      </c>
      <c r="F33" s="64" t="s">
        <v>183</v>
      </c>
      <c r="G33" s="64" t="s">
        <v>290</v>
      </c>
      <c r="H33" s="64" t="s">
        <v>432</v>
      </c>
      <c r="I33" s="46" t="s">
        <v>78</v>
      </c>
      <c r="J33" s="46" t="s">
        <v>183</v>
      </c>
      <c r="K33" s="46" t="s">
        <v>289</v>
      </c>
      <c r="L33" s="46" t="s">
        <v>79</v>
      </c>
      <c r="M33" s="46" t="s">
        <v>80</v>
      </c>
      <c r="N33" s="46" t="s">
        <v>81</v>
      </c>
      <c r="O33" s="46" t="s">
        <v>82</v>
      </c>
      <c r="P33" s="46" t="s">
        <v>83</v>
      </c>
      <c r="Q33" s="64" t="s">
        <v>84</v>
      </c>
      <c r="R33" s="175" t="s">
        <v>85</v>
      </c>
      <c r="S33" s="175" t="s">
        <v>86</v>
      </c>
      <c r="T33" s="63" t="s">
        <v>4</v>
      </c>
      <c r="U33" s="63" t="s">
        <v>401</v>
      </c>
      <c r="V33" s="63" t="s">
        <v>402</v>
      </c>
      <c r="W33" s="63" t="s">
        <v>403</v>
      </c>
      <c r="X33" s="175" t="s">
        <v>398</v>
      </c>
      <c r="Y33" s="64" t="s">
        <v>399</v>
      </c>
      <c r="Z33" s="175" t="s">
        <v>400</v>
      </c>
      <c r="AA33" s="175" t="s">
        <v>427</v>
      </c>
      <c r="AB33" s="64" t="s">
        <v>428</v>
      </c>
      <c r="AC33" s="175" t="s">
        <v>429</v>
      </c>
      <c r="AD33" s="64" t="s">
        <v>72</v>
      </c>
      <c r="AE33" s="71"/>
    </row>
    <row r="34" spans="1:32" x14ac:dyDescent="0.2">
      <c r="A34" s="66"/>
      <c r="B34" s="48" t="s">
        <v>22</v>
      </c>
      <c r="C34" s="556">
        <f>AD6-1</f>
        <v>-29</v>
      </c>
      <c r="D34" s="556">
        <f t="shared" ref="D34" si="7">C34-1</f>
        <v>-30</v>
      </c>
      <c r="E34" s="556">
        <f t="shared" ref="E34:L34" si="8">D34-1</f>
        <v>-31</v>
      </c>
      <c r="F34" s="556">
        <f t="shared" si="8"/>
        <v>-32</v>
      </c>
      <c r="G34" s="556">
        <f t="shared" si="8"/>
        <v>-33</v>
      </c>
      <c r="H34" s="556">
        <f t="shared" si="8"/>
        <v>-34</v>
      </c>
      <c r="I34" s="556">
        <f t="shared" si="8"/>
        <v>-35</v>
      </c>
      <c r="J34" s="556">
        <f t="shared" si="8"/>
        <v>-36</v>
      </c>
      <c r="K34" s="556">
        <f t="shared" si="8"/>
        <v>-37</v>
      </c>
      <c r="L34" s="556">
        <f t="shared" si="8"/>
        <v>-38</v>
      </c>
      <c r="M34" s="556">
        <f t="shared" ref="M34:T34" si="9">L34-1</f>
        <v>-39</v>
      </c>
      <c r="N34" s="556">
        <f t="shared" si="9"/>
        <v>-40</v>
      </c>
      <c r="O34" s="556">
        <f t="shared" si="9"/>
        <v>-41</v>
      </c>
      <c r="P34" s="556">
        <f t="shared" si="9"/>
        <v>-42</v>
      </c>
      <c r="Q34" s="556">
        <f>P34-1</f>
        <v>-43</v>
      </c>
      <c r="R34" s="556">
        <f t="shared" si="9"/>
        <v>-44</v>
      </c>
      <c r="S34" s="556">
        <f t="shared" si="9"/>
        <v>-45</v>
      </c>
      <c r="T34" s="556">
        <f t="shared" si="9"/>
        <v>-46</v>
      </c>
      <c r="U34" s="556">
        <f t="shared" ref="U34:W34" si="10">T34-1</f>
        <v>-47</v>
      </c>
      <c r="V34" s="556">
        <f t="shared" si="10"/>
        <v>-48</v>
      </c>
      <c r="W34" s="556">
        <f t="shared" si="10"/>
        <v>-49</v>
      </c>
      <c r="X34" s="556">
        <f t="shared" ref="X34:AD34" si="11">W34-1</f>
        <v>-50</v>
      </c>
      <c r="Y34" s="556">
        <f t="shared" si="11"/>
        <v>-51</v>
      </c>
      <c r="Z34" s="556">
        <f t="shared" si="11"/>
        <v>-52</v>
      </c>
      <c r="AA34" s="556">
        <f t="shared" si="11"/>
        <v>-53</v>
      </c>
      <c r="AB34" s="556">
        <f t="shared" si="11"/>
        <v>-54</v>
      </c>
      <c r="AC34" s="556">
        <f t="shared" si="11"/>
        <v>-55</v>
      </c>
      <c r="AD34" s="556">
        <f t="shared" si="11"/>
        <v>-56</v>
      </c>
      <c r="AE34" s="12"/>
    </row>
    <row r="35" spans="1:32" x14ac:dyDescent="0.2">
      <c r="A35" s="68"/>
      <c r="B35" s="50" t="s">
        <v>94</v>
      </c>
      <c r="C35" s="67" t="s">
        <v>96</v>
      </c>
      <c r="D35" s="67"/>
      <c r="E35" s="67" t="s">
        <v>96</v>
      </c>
      <c r="F35" s="67"/>
      <c r="G35" s="67"/>
      <c r="H35" s="67"/>
      <c r="I35" s="67" t="s">
        <v>96</v>
      </c>
      <c r="J35" s="67" t="s">
        <v>96</v>
      </c>
      <c r="K35" s="67"/>
      <c r="L35" s="67" t="s">
        <v>96</v>
      </c>
      <c r="M35" s="67" t="s">
        <v>96</v>
      </c>
      <c r="N35" s="67" t="s">
        <v>96</v>
      </c>
      <c r="O35" s="67" t="s">
        <v>96</v>
      </c>
      <c r="P35" s="67" t="s">
        <v>96</v>
      </c>
      <c r="Q35" s="67" t="s">
        <v>96</v>
      </c>
      <c r="R35" s="67" t="s">
        <v>96</v>
      </c>
      <c r="S35" s="67" t="s">
        <v>96</v>
      </c>
      <c r="T35" s="67" t="s">
        <v>96</v>
      </c>
      <c r="U35" s="67" t="s">
        <v>96</v>
      </c>
      <c r="V35" s="67" t="s">
        <v>96</v>
      </c>
      <c r="W35" s="67" t="s">
        <v>96</v>
      </c>
      <c r="X35" s="67" t="s">
        <v>96</v>
      </c>
      <c r="Y35" s="67" t="s">
        <v>96</v>
      </c>
      <c r="Z35" s="67" t="s">
        <v>96</v>
      </c>
      <c r="AA35" s="67" t="s">
        <v>96</v>
      </c>
      <c r="AB35" s="67" t="s">
        <v>96</v>
      </c>
      <c r="AC35" s="67" t="s">
        <v>96</v>
      </c>
      <c r="AD35" s="67" t="s">
        <v>96</v>
      </c>
      <c r="AE35" s="12"/>
    </row>
    <row r="36" spans="1:32" x14ac:dyDescent="0.2">
      <c r="A36" s="69"/>
      <c r="B36" s="89" t="s">
        <v>112</v>
      </c>
      <c r="C36" s="95"/>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5"/>
      <c r="AD36" s="95" t="str">
        <f>"=C"&amp;-C34&amp;"..C"&amp;-Z34</f>
        <v>=C29..C52</v>
      </c>
      <c r="AE36" s="12"/>
    </row>
    <row r="37" spans="1:32" x14ac:dyDescent="0.2">
      <c r="A37" s="574">
        <f>A31+1</f>
        <v>24</v>
      </c>
      <c r="B37" s="575" t="s">
        <v>117</v>
      </c>
      <c r="C37" s="114">
        <f>'4.Rural cost'!C9</f>
        <v>0.15617020342517166</v>
      </c>
      <c r="D37" s="603" t="s">
        <v>447</v>
      </c>
      <c r="E37" s="114">
        <f>'4.Rural cost'!J9</f>
        <v>3.213841311224469E-2</v>
      </c>
      <c r="F37" s="114">
        <f>C37</f>
        <v>0.15617020342517166</v>
      </c>
      <c r="G37" s="114">
        <f>C37</f>
        <v>0.15617020342517166</v>
      </c>
      <c r="H37" s="114">
        <f>E37</f>
        <v>3.213841311224469E-2</v>
      </c>
      <c r="I37" s="114">
        <f>'4.Rural cost'!I9</f>
        <v>0</v>
      </c>
      <c r="J37" s="114">
        <f>C37</f>
        <v>0.15617020342517166</v>
      </c>
      <c r="K37" s="114">
        <f>'4.Rural cost'!D9</f>
        <v>0.14691667697855582</v>
      </c>
      <c r="L37" s="114">
        <f>K37</f>
        <v>0.14691667697855582</v>
      </c>
      <c r="M37" s="603" t="s">
        <v>447</v>
      </c>
      <c r="N37" s="114">
        <f>I37</f>
        <v>0</v>
      </c>
      <c r="O37" s="603" t="s">
        <v>447</v>
      </c>
      <c r="P37" s="114">
        <f>K37</f>
        <v>0.14691667697855582</v>
      </c>
      <c r="Q37" s="114">
        <f>I37</f>
        <v>0</v>
      </c>
      <c r="R37" s="114">
        <f>'4.Rural cost'!K9</f>
        <v>0.57582519824103662</v>
      </c>
      <c r="S37" s="114">
        <f>R37</f>
        <v>0.57582519824103662</v>
      </c>
      <c r="T37" s="114">
        <f>R37</f>
        <v>0.57582519824103662</v>
      </c>
      <c r="U37" s="114">
        <f>'4.Rural cost'!$L9</f>
        <v>0.25715123455553146</v>
      </c>
      <c r="V37" s="114">
        <f>U37</f>
        <v>0.25715123455553146</v>
      </c>
      <c r="W37" s="114">
        <f>U37</f>
        <v>0.25715123455553146</v>
      </c>
      <c r="X37" s="114">
        <f>'4.Rural cost'!$M$9</f>
        <v>6.5550580729887425E-3</v>
      </c>
      <c r="Y37" s="114">
        <f>X37</f>
        <v>6.5550580729887425E-3</v>
      </c>
      <c r="Z37" s="114">
        <f>Y37</f>
        <v>6.5550580729887425E-3</v>
      </c>
      <c r="AA37" s="114"/>
      <c r="AB37" s="114"/>
      <c r="AC37" s="114"/>
      <c r="AD37" s="115"/>
    </row>
    <row r="38" spans="1:32" s="93" customFormat="1" x14ac:dyDescent="0.2">
      <c r="A38" s="561">
        <f t="shared" ref="A38:A60" si="12">A37+1</f>
        <v>25</v>
      </c>
      <c r="B38" s="127" t="s">
        <v>74</v>
      </c>
      <c r="C38" s="562"/>
      <c r="D38" s="604"/>
      <c r="E38" s="562"/>
      <c r="F38" s="562"/>
      <c r="G38" s="562"/>
      <c r="H38" s="562"/>
      <c r="I38" s="561"/>
      <c r="J38" s="561"/>
      <c r="K38" s="561"/>
      <c r="L38" s="561"/>
      <c r="M38" s="610"/>
      <c r="N38" s="561"/>
      <c r="O38" s="610"/>
      <c r="P38" s="563"/>
      <c r="Q38" s="561"/>
      <c r="R38" s="561"/>
      <c r="S38" s="561"/>
      <c r="T38" s="561"/>
      <c r="U38" s="561"/>
      <c r="V38" s="561"/>
      <c r="W38" s="561"/>
      <c r="X38" s="561"/>
      <c r="Y38" s="561"/>
      <c r="Z38" s="561"/>
      <c r="AA38" s="561"/>
      <c r="AB38" s="561"/>
      <c r="AC38" s="561"/>
      <c r="AD38" s="561"/>
      <c r="AE38" s="2"/>
      <c r="AF38" s="2"/>
    </row>
    <row r="39" spans="1:32" s="93" customFormat="1" x14ac:dyDescent="0.2">
      <c r="A39" s="58">
        <f t="shared" si="12"/>
        <v>26</v>
      </c>
      <c r="B39" s="191" t="s">
        <v>220</v>
      </c>
      <c r="C39" s="134">
        <f>C10*C$37</f>
        <v>49940.213987024639</v>
      </c>
      <c r="D39" s="605">
        <f>D10*'4.Rural cost'!$H$9</f>
        <v>0</v>
      </c>
      <c r="E39" s="134">
        <f t="shared" ref="E39:Z39" si="13">E10*E$37</f>
        <v>78847.975794027792</v>
      </c>
      <c r="F39" s="134">
        <f t="shared" si="13"/>
        <v>0</v>
      </c>
      <c r="G39" s="134">
        <f t="shared" si="13"/>
        <v>0</v>
      </c>
      <c r="H39" s="134">
        <f t="shared" si="13"/>
        <v>0</v>
      </c>
      <c r="I39" s="134">
        <f t="shared" si="13"/>
        <v>0</v>
      </c>
      <c r="J39" s="134">
        <f t="shared" si="13"/>
        <v>0</v>
      </c>
      <c r="K39" s="134">
        <f t="shared" si="13"/>
        <v>775.65753383815036</v>
      </c>
      <c r="L39" s="134">
        <f t="shared" si="13"/>
        <v>0</v>
      </c>
      <c r="M39" s="605">
        <f>M10*'4.Rural cost'!$H$9</f>
        <v>0</v>
      </c>
      <c r="N39" s="134">
        <f t="shared" si="13"/>
        <v>0</v>
      </c>
      <c r="O39" s="605">
        <f>O10*'4.Rural cost'!$H$9</f>
        <v>0</v>
      </c>
      <c r="P39" s="134">
        <f t="shared" si="13"/>
        <v>0</v>
      </c>
      <c r="Q39" s="134">
        <f t="shared" si="13"/>
        <v>0</v>
      </c>
      <c r="R39" s="134">
        <f t="shared" si="13"/>
        <v>309.18189122897275</v>
      </c>
      <c r="S39" s="134">
        <f t="shared" si="13"/>
        <v>0</v>
      </c>
      <c r="T39" s="134">
        <f t="shared" si="13"/>
        <v>0</v>
      </c>
      <c r="U39" s="134">
        <f t="shared" si="13"/>
        <v>0</v>
      </c>
      <c r="V39" s="134">
        <f t="shared" si="13"/>
        <v>0</v>
      </c>
      <c r="W39" s="134">
        <f t="shared" si="13"/>
        <v>0</v>
      </c>
      <c r="X39" s="134">
        <f t="shared" si="13"/>
        <v>7699.2631248031466</v>
      </c>
      <c r="Y39" s="134">
        <f t="shared" si="13"/>
        <v>0</v>
      </c>
      <c r="Z39" s="134">
        <f t="shared" si="13"/>
        <v>0</v>
      </c>
      <c r="AA39" s="134">
        <f>SUM('4.Rural cost'!$N11,'4.Rural cost'!$O11)*SUM(C39:E39,I39,K39,R39,U39,X39)/SUM($C39:$Z39)</f>
        <v>3203.4112504770219</v>
      </c>
      <c r="AB39" s="134">
        <f>SUM('4.Rural cost'!$N11,'4.Rural cost'!$O11)*SUM(F39,H39,J39,L39:N39,S39,V39,Y39)/SUM($C39:$Z39)</f>
        <v>0</v>
      </c>
      <c r="AC39" s="134">
        <f>SUM('4.Rural cost'!$N11,'4.Rural cost'!$O11)*SUM(O39:Q39,T39,W39,Z39)/SUM($C39:$Z39)</f>
        <v>0</v>
      </c>
      <c r="AD39" s="134">
        <f>SUM(C39:AC39)</f>
        <v>140775.70358139972</v>
      </c>
      <c r="AE39" s="2"/>
      <c r="AF39" s="8">
        <f>SUM(AA39:AC39)-SUM('4.Rural cost'!N11:O11)</f>
        <v>0</v>
      </c>
    </row>
    <row r="40" spans="1:32" s="93" customFormat="1" x14ac:dyDescent="0.2">
      <c r="A40" s="58">
        <f>A39+1</f>
        <v>27</v>
      </c>
      <c r="B40" s="191" t="s">
        <v>221</v>
      </c>
      <c r="C40" s="134">
        <f t="shared" ref="C40:C44" si="14">C11*C$37</f>
        <v>3870.8244680916373</v>
      </c>
      <c r="D40" s="605">
        <f>D11*'4.Rural cost'!$H$9</f>
        <v>0</v>
      </c>
      <c r="E40" s="134">
        <f t="shared" ref="E40:Z40" si="15">E11*E$37</f>
        <v>2829.7251422127201</v>
      </c>
      <c r="F40" s="134">
        <f t="shared" si="15"/>
        <v>0</v>
      </c>
      <c r="G40" s="134">
        <f t="shared" si="15"/>
        <v>0</v>
      </c>
      <c r="H40" s="134">
        <f t="shared" si="15"/>
        <v>0</v>
      </c>
      <c r="I40" s="134">
        <f t="shared" si="15"/>
        <v>0</v>
      </c>
      <c r="J40" s="134">
        <f t="shared" si="15"/>
        <v>0</v>
      </c>
      <c r="K40" s="134">
        <f t="shared" si="15"/>
        <v>6.4058559670830295</v>
      </c>
      <c r="L40" s="134">
        <f t="shared" si="15"/>
        <v>0</v>
      </c>
      <c r="M40" s="605">
        <f>M11*'4.Rural cost'!$H$9</f>
        <v>0</v>
      </c>
      <c r="N40" s="134">
        <f t="shared" si="15"/>
        <v>0</v>
      </c>
      <c r="O40" s="605">
        <f>O11*'4.Rural cost'!$H$9</f>
        <v>0</v>
      </c>
      <c r="P40" s="134">
        <f t="shared" si="15"/>
        <v>0</v>
      </c>
      <c r="Q40" s="134">
        <f t="shared" si="15"/>
        <v>0</v>
      </c>
      <c r="R40" s="134">
        <f t="shared" si="15"/>
        <v>2.257649415712863</v>
      </c>
      <c r="S40" s="134">
        <f t="shared" si="15"/>
        <v>0</v>
      </c>
      <c r="T40" s="134">
        <f t="shared" si="15"/>
        <v>0</v>
      </c>
      <c r="U40" s="134">
        <f t="shared" si="15"/>
        <v>0</v>
      </c>
      <c r="V40" s="134">
        <f t="shared" si="15"/>
        <v>0</v>
      </c>
      <c r="W40" s="134">
        <f t="shared" si="15"/>
        <v>0</v>
      </c>
      <c r="X40" s="134">
        <f t="shared" si="15"/>
        <v>0</v>
      </c>
      <c r="Y40" s="134">
        <f t="shared" si="15"/>
        <v>0</v>
      </c>
      <c r="Z40" s="134">
        <f t="shared" si="15"/>
        <v>0</v>
      </c>
      <c r="AA40" s="134">
        <f>SUM('4.Rural cost'!$N13,'4.Rural cost'!O13)*SUM(C40:E40,I40,K40,R40,U40,X40)/SUM($C40:$Z40)</f>
        <v>115.59390475148298</v>
      </c>
      <c r="AB40" s="134">
        <f>SUM('4.Rural cost'!$N13,'4.Rural cost'!$O13)*SUM(F40,H40,J40,L40:N40,S40,V40,Y40)/SUM($C40:$Z40)</f>
        <v>0</v>
      </c>
      <c r="AC40" s="134">
        <f>SUM('4.Rural cost'!$N13,'4.Rural cost'!$O13)*SUM(O40:Q40,T40,W40,Z40)/SUM($C40:$Z40)</f>
        <v>0</v>
      </c>
      <c r="AD40" s="134">
        <f t="shared" ref="AD40:AD60" si="16">SUM(C40:AC40)</f>
        <v>6824.8070204386358</v>
      </c>
      <c r="AE40" s="2"/>
      <c r="AF40" s="8">
        <f>SUM(AA40:AC40)-SUM('4.Rural cost'!N13:O13)</f>
        <v>0</v>
      </c>
    </row>
    <row r="41" spans="1:32" s="93" customFormat="1" x14ac:dyDescent="0.2">
      <c r="A41" s="58">
        <f t="shared" si="12"/>
        <v>28</v>
      </c>
      <c r="B41" s="191" t="s">
        <v>222</v>
      </c>
      <c r="C41" s="134">
        <f t="shared" si="14"/>
        <v>95004.735252112383</v>
      </c>
      <c r="D41" s="605">
        <f>D12*'4.Rural cost'!$H$9</f>
        <v>0</v>
      </c>
      <c r="E41" s="134">
        <f t="shared" ref="E41:Z41" si="17">E12*E$37</f>
        <v>300688.73279021448</v>
      </c>
      <c r="F41" s="134">
        <f t="shared" si="17"/>
        <v>0</v>
      </c>
      <c r="G41" s="134">
        <f t="shared" si="17"/>
        <v>0</v>
      </c>
      <c r="H41" s="134">
        <f t="shared" si="17"/>
        <v>0</v>
      </c>
      <c r="I41" s="134">
        <f t="shared" si="17"/>
        <v>0</v>
      </c>
      <c r="J41" s="134">
        <f t="shared" si="17"/>
        <v>0</v>
      </c>
      <c r="K41" s="134">
        <f t="shared" si="17"/>
        <v>1185.6420367034195</v>
      </c>
      <c r="L41" s="134">
        <f t="shared" si="17"/>
        <v>0</v>
      </c>
      <c r="M41" s="605">
        <f>M12*'4.Rural cost'!$H$9</f>
        <v>0</v>
      </c>
      <c r="N41" s="134">
        <f t="shared" si="17"/>
        <v>0</v>
      </c>
      <c r="O41" s="605">
        <f>O12*'4.Rural cost'!$H$9</f>
        <v>0</v>
      </c>
      <c r="P41" s="134">
        <f t="shared" si="17"/>
        <v>0</v>
      </c>
      <c r="Q41" s="134">
        <f t="shared" si="17"/>
        <v>0</v>
      </c>
      <c r="R41" s="134">
        <f t="shared" si="17"/>
        <v>0</v>
      </c>
      <c r="S41" s="134">
        <f t="shared" si="17"/>
        <v>0</v>
      </c>
      <c r="T41" s="134">
        <f t="shared" si="17"/>
        <v>0</v>
      </c>
      <c r="U41" s="134">
        <f t="shared" si="17"/>
        <v>0</v>
      </c>
      <c r="V41" s="134">
        <f t="shared" si="17"/>
        <v>0</v>
      </c>
      <c r="W41" s="134">
        <f t="shared" si="17"/>
        <v>0</v>
      </c>
      <c r="X41" s="134">
        <f t="shared" si="17"/>
        <v>0</v>
      </c>
      <c r="Y41" s="134">
        <f t="shared" si="17"/>
        <v>0</v>
      </c>
      <c r="Z41" s="134">
        <f t="shared" si="17"/>
        <v>0</v>
      </c>
      <c r="AA41" s="134">
        <f>SUM('4.Rural cost'!$N15,'4.Rural cost'!$O15)*SUM(C41:E41,I41,K41,R41,U41,X41)/SUM($C41:$Z41)</f>
        <v>9892.7457906887194</v>
      </c>
      <c r="AB41" s="134">
        <f>SUM('4.Rural cost'!$N15,'4.Rural cost'!$O15)*SUM(F41,H41,J41,L41:N41,S41,V41,Y41)/SUM($C41:$Z41)</f>
        <v>0</v>
      </c>
      <c r="AC41" s="134">
        <f>SUM('4.Rural cost'!$N15,'4.Rural cost'!$O15)*SUM(O41:Q41,T41,W41,Z41)/SUM($C41:$Z41)</f>
        <v>0</v>
      </c>
      <c r="AD41" s="134">
        <f t="shared" si="16"/>
        <v>406771.855869719</v>
      </c>
      <c r="AE41" s="2"/>
      <c r="AF41" s="8">
        <f>SUM(AA41:AC41)-SUM('4.Rural cost'!N15:O15)</f>
        <v>0</v>
      </c>
    </row>
    <row r="42" spans="1:32" s="93" customFormat="1" x14ac:dyDescent="0.2">
      <c r="A42" s="58">
        <f t="shared" si="12"/>
        <v>29</v>
      </c>
      <c r="B42" s="191" t="s">
        <v>223</v>
      </c>
      <c r="C42" s="134">
        <f t="shared" si="14"/>
        <v>7603.1914441078206</v>
      </c>
      <c r="D42" s="605">
        <f>D13*'4.Rural cost'!$H$9</f>
        <v>7.4115110369293795</v>
      </c>
      <c r="E42" s="134">
        <f t="shared" ref="E42:Z42" si="18">E13*E$37</f>
        <v>23095.113194347879</v>
      </c>
      <c r="F42" s="134">
        <f t="shared" si="18"/>
        <v>0</v>
      </c>
      <c r="G42" s="134">
        <f t="shared" si="18"/>
        <v>0</v>
      </c>
      <c r="H42" s="134">
        <f t="shared" si="18"/>
        <v>0</v>
      </c>
      <c r="I42" s="134">
        <f t="shared" si="18"/>
        <v>0</v>
      </c>
      <c r="J42" s="134">
        <f t="shared" si="18"/>
        <v>0</v>
      </c>
      <c r="K42" s="134">
        <f t="shared" si="18"/>
        <v>18.777653297345392</v>
      </c>
      <c r="L42" s="134">
        <f t="shared" si="18"/>
        <v>0</v>
      </c>
      <c r="M42" s="605">
        <f>M13*'4.Rural cost'!$H$9</f>
        <v>0</v>
      </c>
      <c r="N42" s="134">
        <f t="shared" si="18"/>
        <v>0</v>
      </c>
      <c r="O42" s="605">
        <f>O13*'4.Rural cost'!$H$9</f>
        <v>0</v>
      </c>
      <c r="P42" s="134">
        <f t="shared" si="18"/>
        <v>0</v>
      </c>
      <c r="Q42" s="134">
        <f t="shared" si="18"/>
        <v>0</v>
      </c>
      <c r="R42" s="134">
        <f t="shared" si="18"/>
        <v>0</v>
      </c>
      <c r="S42" s="134">
        <f t="shared" si="18"/>
        <v>0</v>
      </c>
      <c r="T42" s="134">
        <f t="shared" si="18"/>
        <v>0</v>
      </c>
      <c r="U42" s="134">
        <f t="shared" si="18"/>
        <v>0</v>
      </c>
      <c r="V42" s="134">
        <f t="shared" si="18"/>
        <v>0</v>
      </c>
      <c r="W42" s="134">
        <f t="shared" si="18"/>
        <v>0</v>
      </c>
      <c r="X42" s="134">
        <f t="shared" si="18"/>
        <v>0</v>
      </c>
      <c r="Y42" s="134">
        <f t="shared" si="18"/>
        <v>0</v>
      </c>
      <c r="Z42" s="134">
        <f t="shared" si="18"/>
        <v>0</v>
      </c>
      <c r="AA42" s="134">
        <f>SUM('4.Rural cost'!$N17,'4.Rural cost'!$O17)*SUM(C42:E42,I42,K42,R42,U42,X42)/SUM($C42:$Z42)</f>
        <v>792.38409467846554</v>
      </c>
      <c r="AB42" s="134">
        <f>SUM('4.Rural cost'!$N17,'4.Rural cost'!$O17)*SUM(F42,H42,J42,L42:N42,S42,V42,Y42)/SUM($C42:$Z42)</f>
        <v>0</v>
      </c>
      <c r="AC42" s="134">
        <f>SUM('4.Rural cost'!$N17,'4.Rural cost'!$O17)*SUM(O42:Q42,T42,W42,Z42)/SUM($C42:$Z42)</f>
        <v>0</v>
      </c>
      <c r="AD42" s="134">
        <f t="shared" si="16"/>
        <v>31516.877897468439</v>
      </c>
      <c r="AE42" s="2"/>
      <c r="AF42" s="8">
        <f>SUM(AA42:AC42)-SUM('4.Rural cost'!N17:O17)</f>
        <v>0</v>
      </c>
    </row>
    <row r="43" spans="1:32" s="93" customFormat="1" x14ac:dyDescent="0.2">
      <c r="A43" s="58">
        <f t="shared" si="12"/>
        <v>30</v>
      </c>
      <c r="B43" s="154" t="s">
        <v>224</v>
      </c>
      <c r="C43" s="134">
        <f t="shared" si="14"/>
        <v>0</v>
      </c>
      <c r="D43" s="605">
        <f>D14*'4.Rural cost'!$H$9</f>
        <v>0</v>
      </c>
      <c r="E43" s="134">
        <f t="shared" ref="E43:Z43" si="19">E14*E$37</f>
        <v>0</v>
      </c>
      <c r="F43" s="134">
        <f t="shared" si="19"/>
        <v>1.869130367223961</v>
      </c>
      <c r="G43" s="134">
        <f t="shared" si="19"/>
        <v>0</v>
      </c>
      <c r="H43" s="134">
        <f t="shared" si="19"/>
        <v>0</v>
      </c>
      <c r="I43" s="134">
        <f t="shared" si="19"/>
        <v>0</v>
      </c>
      <c r="J43" s="134">
        <f t="shared" si="19"/>
        <v>0</v>
      </c>
      <c r="K43" s="134">
        <f t="shared" si="19"/>
        <v>0</v>
      </c>
      <c r="L43" s="134">
        <f t="shared" si="19"/>
        <v>17855.054321510848</v>
      </c>
      <c r="M43" s="605">
        <f>M14*'4.Rural cost'!$H$9</f>
        <v>0</v>
      </c>
      <c r="N43" s="134">
        <f t="shared" si="19"/>
        <v>0</v>
      </c>
      <c r="O43" s="605">
        <f>O14*'4.Rural cost'!$H$9</f>
        <v>0</v>
      </c>
      <c r="P43" s="134">
        <f t="shared" si="19"/>
        <v>0</v>
      </c>
      <c r="Q43" s="134">
        <f t="shared" si="19"/>
        <v>0</v>
      </c>
      <c r="R43" s="134">
        <f t="shared" si="19"/>
        <v>0</v>
      </c>
      <c r="S43" s="134">
        <f t="shared" si="19"/>
        <v>201.41222956908598</v>
      </c>
      <c r="T43" s="134">
        <f t="shared" si="19"/>
        <v>0</v>
      </c>
      <c r="U43" s="134">
        <f t="shared" si="19"/>
        <v>0</v>
      </c>
      <c r="V43" s="134">
        <f t="shared" si="19"/>
        <v>0</v>
      </c>
      <c r="W43" s="134">
        <f t="shared" si="19"/>
        <v>0</v>
      </c>
      <c r="X43" s="134">
        <f t="shared" si="19"/>
        <v>0</v>
      </c>
      <c r="Y43" s="134">
        <f t="shared" si="19"/>
        <v>0</v>
      </c>
      <c r="Z43" s="134">
        <f t="shared" si="19"/>
        <v>0</v>
      </c>
      <c r="AA43" s="134">
        <f>SUM('4.Rural cost'!$N19,'4.Rural cost'!$O19)*SUM(C43:E43,I43,K43,R43,U43,X43)/SUM($C43:$Z43)</f>
        <v>0</v>
      </c>
      <c r="AB43" s="134">
        <f>SUM('4.Rural cost'!$N19,'4.Rural cost'!$O19)*SUM(F43,H43,J43,L43:N43,S43,V43,Y43)/SUM($C43:$Z43)</f>
        <v>164.36264047723836</v>
      </c>
      <c r="AC43" s="134">
        <f>SUM('4.Rural cost'!$N19,'4.Rural cost'!$O19)*SUM(O43:Q43,T43,W43,Z43)/SUM($C43:$Z43)</f>
        <v>0</v>
      </c>
      <c r="AD43" s="134">
        <f t="shared" si="16"/>
        <v>18222.698321924396</v>
      </c>
      <c r="AE43" s="2"/>
      <c r="AF43" s="8">
        <f>SUM(AA43:AC43)-SUM('4.Rural cost'!N19:O19)</f>
        <v>0</v>
      </c>
    </row>
    <row r="44" spans="1:32" s="93" customFormat="1" x14ac:dyDescent="0.2">
      <c r="A44" s="59">
        <f t="shared" si="12"/>
        <v>31</v>
      </c>
      <c r="B44" s="154" t="s">
        <v>225</v>
      </c>
      <c r="C44" s="134">
        <f t="shared" si="14"/>
        <v>0</v>
      </c>
      <c r="D44" s="605">
        <f>D15*'4.Rural cost'!$H$9</f>
        <v>0</v>
      </c>
      <c r="E44" s="134">
        <f t="shared" ref="E44:Z44" si="20">E15*E$37</f>
        <v>0</v>
      </c>
      <c r="F44" s="134">
        <f t="shared" si="20"/>
        <v>1.2545102336111011</v>
      </c>
      <c r="G44" s="134">
        <f t="shared" si="20"/>
        <v>0</v>
      </c>
      <c r="H44" s="134">
        <f t="shared" si="20"/>
        <v>0</v>
      </c>
      <c r="I44" s="134">
        <f t="shared" si="20"/>
        <v>0</v>
      </c>
      <c r="J44" s="134">
        <f t="shared" si="20"/>
        <v>0</v>
      </c>
      <c r="K44" s="134">
        <f t="shared" si="20"/>
        <v>0</v>
      </c>
      <c r="L44" s="134">
        <f t="shared" si="20"/>
        <v>22439.21875169616</v>
      </c>
      <c r="M44" s="605">
        <f>M15*'4.Rural cost'!$H$9</f>
        <v>0</v>
      </c>
      <c r="N44" s="134">
        <f t="shared" si="20"/>
        <v>0</v>
      </c>
      <c r="O44" s="605">
        <f>O15*'4.Rural cost'!$H$9</f>
        <v>0</v>
      </c>
      <c r="P44" s="134">
        <f t="shared" si="20"/>
        <v>0</v>
      </c>
      <c r="Q44" s="134">
        <f t="shared" si="20"/>
        <v>0</v>
      </c>
      <c r="R44" s="134">
        <f t="shared" si="20"/>
        <v>0</v>
      </c>
      <c r="S44" s="134">
        <f t="shared" si="20"/>
        <v>0</v>
      </c>
      <c r="T44" s="134">
        <f t="shared" si="20"/>
        <v>0</v>
      </c>
      <c r="U44" s="134">
        <f t="shared" si="20"/>
        <v>0</v>
      </c>
      <c r="V44" s="134">
        <f t="shared" si="20"/>
        <v>0</v>
      </c>
      <c r="W44" s="134">
        <f t="shared" si="20"/>
        <v>0</v>
      </c>
      <c r="X44" s="134">
        <f t="shared" si="20"/>
        <v>0</v>
      </c>
      <c r="Y44" s="134">
        <f t="shared" si="20"/>
        <v>0</v>
      </c>
      <c r="Z44" s="134">
        <f t="shared" si="20"/>
        <v>0</v>
      </c>
      <c r="AA44" s="134">
        <f>SUM('4.Rural cost'!$N21,'4.Rural cost'!$O21)*SUM(C44:E44,I44,K44,R44,U44,X44)/SUM($C44:$Z44)</f>
        <v>0</v>
      </c>
      <c r="AB44" s="134">
        <f>SUM('4.Rural cost'!$N21,'4.Rural cost'!$O21)*SUM(F44,H44,J44,L44:N44,S44,V44,Y44)/SUM($C44:$Z44)</f>
        <v>181.42845712267325</v>
      </c>
      <c r="AC44" s="134">
        <f>SUM('4.Rural cost'!$N19,'4.Rural cost'!$O19)*SUM(O44:Q44,T44,W44,Z44)/SUM($C44:$Z44)</f>
        <v>0</v>
      </c>
      <c r="AD44" s="134">
        <f t="shared" si="16"/>
        <v>22621.901719052446</v>
      </c>
      <c r="AE44" s="2"/>
      <c r="AF44" s="8">
        <f>SUM(AA44:AC44)-SUM('4.Rural cost'!N21:O21)</f>
        <v>0</v>
      </c>
    </row>
    <row r="45" spans="1:32" x14ac:dyDescent="0.2">
      <c r="A45" s="58">
        <f>A44+1</f>
        <v>32</v>
      </c>
      <c r="B45" s="127" t="s">
        <v>346</v>
      </c>
      <c r="C45" s="115"/>
      <c r="D45" s="606"/>
      <c r="E45" s="115"/>
      <c r="F45" s="115"/>
      <c r="G45" s="115"/>
      <c r="H45" s="115"/>
      <c r="I45" s="115"/>
      <c r="J45" s="115"/>
      <c r="K45" s="115"/>
      <c r="L45" s="115"/>
      <c r="M45" s="606"/>
      <c r="N45" s="115"/>
      <c r="O45" s="606"/>
      <c r="P45" s="115"/>
      <c r="Q45" s="115"/>
      <c r="R45" s="115"/>
      <c r="S45" s="115"/>
      <c r="T45" s="115"/>
      <c r="U45" s="115"/>
      <c r="V45" s="115"/>
      <c r="W45" s="115"/>
      <c r="X45" s="115"/>
      <c r="Y45" s="115"/>
      <c r="Z45" s="115"/>
      <c r="AA45" s="115"/>
      <c r="AB45" s="115"/>
      <c r="AC45" s="115"/>
      <c r="AD45" s="115"/>
    </row>
    <row r="46" spans="1:32" x14ac:dyDescent="0.2">
      <c r="A46" s="58">
        <f t="shared" si="12"/>
        <v>33</v>
      </c>
      <c r="B46" s="120" t="s">
        <v>239</v>
      </c>
      <c r="C46" s="134">
        <f t="shared" ref="C46:C52" si="21">C17*C$37</f>
        <v>39636.264366729403</v>
      </c>
      <c r="D46" s="605">
        <f>D17*'4.Rural cost'!$H$25</f>
        <v>0</v>
      </c>
      <c r="E46" s="134">
        <f t="shared" ref="E46:Z46" si="22">E17*E$37</f>
        <v>31415.827211213269</v>
      </c>
      <c r="F46" s="134">
        <f t="shared" si="22"/>
        <v>0</v>
      </c>
      <c r="G46" s="134">
        <f t="shared" si="22"/>
        <v>0</v>
      </c>
      <c r="H46" s="134">
        <f t="shared" si="22"/>
        <v>0</v>
      </c>
      <c r="I46" s="117">
        <f t="shared" si="22"/>
        <v>0</v>
      </c>
      <c r="J46" s="117">
        <f t="shared" si="22"/>
        <v>0</v>
      </c>
      <c r="K46" s="134">
        <f t="shared" si="22"/>
        <v>982.05425032989444</v>
      </c>
      <c r="L46" s="134">
        <f t="shared" si="22"/>
        <v>0</v>
      </c>
      <c r="M46" s="605">
        <f>M17*'4.Rural cost'!$H$25</f>
        <v>0</v>
      </c>
      <c r="N46" s="117">
        <f t="shared" si="22"/>
        <v>0</v>
      </c>
      <c r="O46" s="605">
        <f>O17*'4.Rural cost'!$H$25</f>
        <v>0</v>
      </c>
      <c r="P46" s="119">
        <f t="shared" si="22"/>
        <v>0</v>
      </c>
      <c r="Q46" s="117">
        <f t="shared" si="22"/>
        <v>0</v>
      </c>
      <c r="R46" s="119">
        <f t="shared" si="22"/>
        <v>0</v>
      </c>
      <c r="S46" s="119">
        <f t="shared" si="22"/>
        <v>0</v>
      </c>
      <c r="T46" s="119">
        <f t="shared" si="22"/>
        <v>0</v>
      </c>
      <c r="U46" s="119">
        <f t="shared" si="22"/>
        <v>0</v>
      </c>
      <c r="V46" s="119">
        <f t="shared" si="22"/>
        <v>0</v>
      </c>
      <c r="W46" s="119">
        <f t="shared" si="22"/>
        <v>0</v>
      </c>
      <c r="X46" s="119">
        <f t="shared" si="22"/>
        <v>0</v>
      </c>
      <c r="Y46" s="119">
        <f t="shared" si="22"/>
        <v>0</v>
      </c>
      <c r="Z46" s="119">
        <f t="shared" si="22"/>
        <v>0</v>
      </c>
      <c r="AA46" s="134">
        <f>SUM('4.Rural cost'!$N$24,'4.Rural cost'!$O$24)*SUM(C46:E46,I46,K46,R46,U46,X46)/SUM($C$46:$Z$47)</f>
        <v>1225.1844035550737</v>
      </c>
      <c r="AB46" s="134">
        <f>SUM('4.Rural cost'!$N$24,'4.Rural cost'!$O$24)*SUM(F46,H46,J46,L46:N46,S46,V46,Y46)/SUM($C$46:$Z$47)</f>
        <v>0</v>
      </c>
      <c r="AC46" s="134">
        <f>SUM('4.Rural cost'!$N$24,'4.Rural cost'!$O$24)*SUM(O46:Q46,T46,W46,Z46)/SUM($C$46:$Z$47)</f>
        <v>0</v>
      </c>
      <c r="AD46" s="119">
        <f t="shared" si="16"/>
        <v>73259.33023182764</v>
      </c>
    </row>
    <row r="47" spans="1:32" x14ac:dyDescent="0.2">
      <c r="A47" s="58">
        <f t="shared" si="12"/>
        <v>34</v>
      </c>
      <c r="B47" s="116" t="s">
        <v>235</v>
      </c>
      <c r="C47" s="134">
        <f t="shared" si="21"/>
        <v>30804.733001661727</v>
      </c>
      <c r="D47" s="605">
        <f>D18*'4.Rural cost'!$H$25</f>
        <v>0</v>
      </c>
      <c r="E47" s="134">
        <f t="shared" ref="E47:Z47" si="23">E18*E$37</f>
        <v>24000.016148387676</v>
      </c>
      <c r="F47" s="134">
        <f t="shared" si="23"/>
        <v>0</v>
      </c>
      <c r="G47" s="134">
        <f t="shared" si="23"/>
        <v>0</v>
      </c>
      <c r="H47" s="134">
        <f t="shared" si="23"/>
        <v>0</v>
      </c>
      <c r="I47" s="134">
        <f t="shared" si="23"/>
        <v>0</v>
      </c>
      <c r="J47" s="134">
        <f t="shared" si="23"/>
        <v>0</v>
      </c>
      <c r="K47" s="134">
        <f t="shared" si="23"/>
        <v>933.54081574943086</v>
      </c>
      <c r="L47" s="134">
        <f t="shared" si="23"/>
        <v>0</v>
      </c>
      <c r="M47" s="605">
        <f>M18*'4.Rural cost'!$H$25</f>
        <v>0</v>
      </c>
      <c r="N47" s="134">
        <f t="shared" si="23"/>
        <v>0</v>
      </c>
      <c r="O47" s="605">
        <f>O18*'4.Rural cost'!$H$25</f>
        <v>0</v>
      </c>
      <c r="P47" s="119">
        <f t="shared" si="23"/>
        <v>0</v>
      </c>
      <c r="Q47" s="134">
        <f t="shared" si="23"/>
        <v>0</v>
      </c>
      <c r="R47" s="119">
        <f t="shared" si="23"/>
        <v>0</v>
      </c>
      <c r="S47" s="119">
        <f t="shared" si="23"/>
        <v>0</v>
      </c>
      <c r="T47" s="119">
        <f t="shared" si="23"/>
        <v>0</v>
      </c>
      <c r="U47" s="119">
        <f t="shared" si="23"/>
        <v>0</v>
      </c>
      <c r="V47" s="119">
        <f t="shared" si="23"/>
        <v>0</v>
      </c>
      <c r="W47" s="119">
        <f t="shared" si="23"/>
        <v>0</v>
      </c>
      <c r="X47" s="119">
        <f t="shared" si="23"/>
        <v>0</v>
      </c>
      <c r="Y47" s="119">
        <f t="shared" si="23"/>
        <v>0</v>
      </c>
      <c r="Z47" s="119">
        <f t="shared" si="23"/>
        <v>0</v>
      </c>
      <c r="AA47" s="134">
        <f>SUM('4.Rural cost'!$N$24,'4.Rural cost'!$O$24)*SUM(C47:E47,I47,K47,R47,U47,X47)/SUM($C$46:$Z$47)</f>
        <v>948.01823165541157</v>
      </c>
      <c r="AB47" s="134">
        <f>SUM('4.Rural cost'!$N$24,'4.Rural cost'!$O$24)*SUM(F47,H47,J47,L47:N47,S47,V47,Y47)/SUM($C$46:$Z$47)</f>
        <v>0</v>
      </c>
      <c r="AC47" s="134">
        <f>SUM('4.Rural cost'!$N$24,'4.Rural cost'!$O$24)*SUM(O47:Q47,T47,W47,Z47)/SUM($C$46:$Z$47)</f>
        <v>0</v>
      </c>
      <c r="AD47" s="119">
        <f t="shared" si="16"/>
        <v>56686.308197454251</v>
      </c>
      <c r="AF47" s="8">
        <f>SUM(AA46:AC47)-SUM('4.Rural cost'!N24:O24)</f>
        <v>0</v>
      </c>
    </row>
    <row r="48" spans="1:32" x14ac:dyDescent="0.2">
      <c r="A48" s="58">
        <f t="shared" si="12"/>
        <v>35</v>
      </c>
      <c r="B48" s="116" t="s">
        <v>240</v>
      </c>
      <c r="C48" s="134">
        <f t="shared" si="21"/>
        <v>0</v>
      </c>
      <c r="D48" s="605">
        <f>D19*'4.Rural cost'!$H$27</f>
        <v>0</v>
      </c>
      <c r="E48" s="134">
        <f t="shared" ref="E48:Z48" si="24">E19*E$37</f>
        <v>0</v>
      </c>
      <c r="F48" s="134">
        <f t="shared" si="24"/>
        <v>0</v>
      </c>
      <c r="G48" s="134">
        <f t="shared" si="24"/>
        <v>0</v>
      </c>
      <c r="H48" s="134">
        <f t="shared" si="24"/>
        <v>49.678776793443141</v>
      </c>
      <c r="I48" s="117">
        <f t="shared" si="24"/>
        <v>0</v>
      </c>
      <c r="J48" s="117">
        <f t="shared" si="24"/>
        <v>372.57366136704371</v>
      </c>
      <c r="K48" s="134">
        <f t="shared" si="24"/>
        <v>0</v>
      </c>
      <c r="L48" s="134">
        <f t="shared" si="24"/>
        <v>70532.227984271492</v>
      </c>
      <c r="M48" s="605">
        <f>M19*'4.Rural cost'!$H$27</f>
        <v>0</v>
      </c>
      <c r="N48" s="117">
        <f t="shared" si="24"/>
        <v>0</v>
      </c>
      <c r="O48" s="605">
        <f>O19*'4.Rural cost'!$H$27</f>
        <v>0</v>
      </c>
      <c r="P48" s="119">
        <f t="shared" si="24"/>
        <v>0</v>
      </c>
      <c r="Q48" s="117">
        <f t="shared" si="24"/>
        <v>0</v>
      </c>
      <c r="R48" s="119">
        <f t="shared" si="24"/>
        <v>0</v>
      </c>
      <c r="S48" s="119">
        <f t="shared" si="24"/>
        <v>0</v>
      </c>
      <c r="T48" s="119">
        <f t="shared" si="24"/>
        <v>0</v>
      </c>
      <c r="U48" s="119">
        <f t="shared" si="24"/>
        <v>0</v>
      </c>
      <c r="V48" s="119">
        <f t="shared" si="24"/>
        <v>0</v>
      </c>
      <c r="W48" s="119">
        <f t="shared" si="24"/>
        <v>0</v>
      </c>
      <c r="X48" s="119">
        <f t="shared" si="24"/>
        <v>0</v>
      </c>
      <c r="Y48" s="119">
        <f t="shared" si="24"/>
        <v>0</v>
      </c>
      <c r="Z48" s="119">
        <f t="shared" si="24"/>
        <v>0</v>
      </c>
      <c r="AA48" s="134">
        <f>SUM('4.Rural cost'!$N$26,'4.Rural cost'!$O$26)*SUM(C48:E48,I48,K48,R48,U48,X48)/SUM($C$48:$Z$51)</f>
        <v>0</v>
      </c>
      <c r="AB48" s="134">
        <f>SUM('4.Rural cost'!$N$26,'4.Rural cost'!$O$26)*SUM(F48,H48,J48,L48:N48,S48,V48,Y48)/SUM($C$48:$Z$51)</f>
        <v>986.81502153448582</v>
      </c>
      <c r="AC48" s="134">
        <f>SUM('4.Rural cost'!$N$26,'4.Rural cost'!$O$26)*SUM(O48:Q48,T48,W48,Z48)/SUM($C$48:$Z$51)</f>
        <v>0</v>
      </c>
      <c r="AD48" s="119">
        <f t="shared" si="16"/>
        <v>71941.295443966461</v>
      </c>
    </row>
    <row r="49" spans="1:47" x14ac:dyDescent="0.2">
      <c r="A49" s="58">
        <f t="shared" si="12"/>
        <v>36</v>
      </c>
      <c r="B49" s="116" t="s">
        <v>241</v>
      </c>
      <c r="C49" s="134">
        <f t="shared" si="21"/>
        <v>0</v>
      </c>
      <c r="D49" s="605">
        <f>D20*'4.Rural cost'!$H$27</f>
        <v>0</v>
      </c>
      <c r="E49" s="134">
        <f t="shared" ref="E49:Z49" si="25">E20*E$37</f>
        <v>0</v>
      </c>
      <c r="F49" s="134">
        <f t="shared" si="25"/>
        <v>0</v>
      </c>
      <c r="G49" s="134">
        <f t="shared" si="25"/>
        <v>0</v>
      </c>
      <c r="H49" s="134">
        <f t="shared" si="25"/>
        <v>155.02614030608021</v>
      </c>
      <c r="I49" s="134">
        <f t="shared" si="25"/>
        <v>0</v>
      </c>
      <c r="J49" s="117">
        <f t="shared" si="25"/>
        <v>2519.5126500799483</v>
      </c>
      <c r="K49" s="134">
        <f t="shared" si="25"/>
        <v>0</v>
      </c>
      <c r="L49" s="134">
        <f t="shared" si="25"/>
        <v>148001.18117472954</v>
      </c>
      <c r="M49" s="605">
        <f>M20*'4.Rural cost'!$H$27</f>
        <v>0</v>
      </c>
      <c r="N49" s="134">
        <f t="shared" si="25"/>
        <v>0</v>
      </c>
      <c r="O49" s="605">
        <f>O20*'4.Rural cost'!$H$27</f>
        <v>0</v>
      </c>
      <c r="P49" s="119">
        <f t="shared" si="25"/>
        <v>0</v>
      </c>
      <c r="Q49" s="134">
        <f t="shared" si="25"/>
        <v>0</v>
      </c>
      <c r="R49" s="119">
        <f t="shared" si="25"/>
        <v>0</v>
      </c>
      <c r="S49" s="119">
        <f t="shared" si="25"/>
        <v>0</v>
      </c>
      <c r="T49" s="119">
        <f t="shared" si="25"/>
        <v>0</v>
      </c>
      <c r="U49" s="119">
        <f t="shared" si="25"/>
        <v>0</v>
      </c>
      <c r="V49" s="119">
        <f t="shared" si="25"/>
        <v>0</v>
      </c>
      <c r="W49" s="119">
        <f t="shared" si="25"/>
        <v>0</v>
      </c>
      <c r="X49" s="119">
        <f t="shared" si="25"/>
        <v>0</v>
      </c>
      <c r="Y49" s="119">
        <f t="shared" si="25"/>
        <v>0</v>
      </c>
      <c r="Z49" s="119">
        <f t="shared" si="25"/>
        <v>0</v>
      </c>
      <c r="AA49" s="134">
        <f>SUM('4.Rural cost'!$N$26,'4.Rural cost'!$O$26)*SUM(C49:E49,I49,K49,R49,U49,X49)/SUM($C$48:$Z$51)+SUM('4.Rural cost'!$N$28,'4.Rural cost'!$O$28)*SUM(C49:E49,I49,K49,R49,U49,X49)/SUM($C49:$Z49)</f>
        <v>0</v>
      </c>
      <c r="AB49" s="134">
        <f>SUM('4.Rural cost'!$N$26,'4.Rural cost'!$O$26)*SUM(F49,H49,J49,L49:N49,S49,V49,Y49)/SUM($C$48:$Z$51)+SUM('4.Rural cost'!$N$28,'4.Rural cost'!$O$28)*SUM(F49,H49,J49,L49:N49,S49,V49,Y49)/SUM($C49:$Z49)</f>
        <v>2282.2799872659116</v>
      </c>
      <c r="AC49" s="134">
        <f>SUM('4.Rural cost'!$N$26,'4.Rural cost'!$O$26)*SUM(O49:Q49,T49,W49,Z49)/SUM($C$48:$Z$51)+SUM('4.Rural cost'!$N$28,'4.Rural cost'!$O$28)*SUM(O49:Q49,T49,W49,Z49)/SUM($C49:$Z49)</f>
        <v>0</v>
      </c>
      <c r="AD49" s="119">
        <f t="shared" si="16"/>
        <v>152957.99995238148</v>
      </c>
      <c r="AF49" s="8"/>
    </row>
    <row r="50" spans="1:47" x14ac:dyDescent="0.2">
      <c r="A50" s="58">
        <f t="shared" si="12"/>
        <v>37</v>
      </c>
      <c r="B50" s="116" t="s">
        <v>242</v>
      </c>
      <c r="C50" s="134">
        <f t="shared" si="21"/>
        <v>0</v>
      </c>
      <c r="D50" s="605">
        <f>D21*'4.Rural cost'!$H$27</f>
        <v>0</v>
      </c>
      <c r="E50" s="134">
        <f t="shared" ref="E50:Z50" si="26">E21*E$37</f>
        <v>0</v>
      </c>
      <c r="F50" s="134">
        <f t="shared" si="26"/>
        <v>0</v>
      </c>
      <c r="G50" s="134">
        <f t="shared" si="26"/>
        <v>0</v>
      </c>
      <c r="H50" s="134">
        <f t="shared" si="26"/>
        <v>0</v>
      </c>
      <c r="I50" s="134">
        <f t="shared" si="26"/>
        <v>0</v>
      </c>
      <c r="J50" s="134">
        <f t="shared" si="26"/>
        <v>0</v>
      </c>
      <c r="K50" s="134">
        <f t="shared" si="26"/>
        <v>0</v>
      </c>
      <c r="L50" s="134">
        <f t="shared" si="26"/>
        <v>0</v>
      </c>
      <c r="M50" s="605">
        <f>M21*'4.Rural cost'!$H$27</f>
        <v>0</v>
      </c>
      <c r="N50" s="134">
        <f t="shared" si="26"/>
        <v>0</v>
      </c>
      <c r="O50" s="605">
        <f>O21*'4.Rural cost'!$H$27</f>
        <v>0</v>
      </c>
      <c r="P50" s="119">
        <f t="shared" si="26"/>
        <v>0</v>
      </c>
      <c r="Q50" s="134">
        <f t="shared" si="26"/>
        <v>0</v>
      </c>
      <c r="R50" s="119">
        <f t="shared" si="26"/>
        <v>0</v>
      </c>
      <c r="S50" s="119">
        <f t="shared" si="26"/>
        <v>0</v>
      </c>
      <c r="T50" s="119">
        <f t="shared" si="26"/>
        <v>0</v>
      </c>
      <c r="U50" s="119">
        <f t="shared" si="26"/>
        <v>0</v>
      </c>
      <c r="V50" s="119">
        <f t="shared" si="26"/>
        <v>0</v>
      </c>
      <c r="W50" s="119">
        <f t="shared" si="26"/>
        <v>0</v>
      </c>
      <c r="X50" s="119">
        <f t="shared" si="26"/>
        <v>0</v>
      </c>
      <c r="Y50" s="119">
        <f t="shared" si="26"/>
        <v>0</v>
      </c>
      <c r="Z50" s="119">
        <f t="shared" si="26"/>
        <v>0</v>
      </c>
      <c r="AA50" s="134">
        <f>SUM('4.Rural cost'!$N$26,'4.Rural cost'!$O$26)*SUM(C50:E50,I50,K50,R50,U50,X50)/SUM($C$48:$Z$51)</f>
        <v>0</v>
      </c>
      <c r="AB50" s="134">
        <f>SUM('4.Rural cost'!$N$26,'4.Rural cost'!$O$26)*SUM(F50,H50,J50,L50:N50,S50,V50,Y50)/SUM($C$48:$Z$51)</f>
        <v>0</v>
      </c>
      <c r="AC50" s="134">
        <f>SUM('4.Rural cost'!$N$26,'4.Rural cost'!$O$26)*SUM(O50:Q50,T50,W50,Z50)/SUM($C$48:$Z$51)</f>
        <v>0</v>
      </c>
      <c r="AD50" s="119">
        <f t="shared" si="16"/>
        <v>0</v>
      </c>
    </row>
    <row r="51" spans="1:47" x14ac:dyDescent="0.2">
      <c r="A51" s="58">
        <f t="shared" si="12"/>
        <v>38</v>
      </c>
      <c r="B51" s="116" t="s">
        <v>243</v>
      </c>
      <c r="C51" s="134">
        <f t="shared" si="21"/>
        <v>0</v>
      </c>
      <c r="D51" s="605">
        <f>D22*'4.Rural cost'!$H$27</f>
        <v>0</v>
      </c>
      <c r="E51" s="134">
        <f t="shared" ref="E51:Z52" si="27">E22*E$37</f>
        <v>0</v>
      </c>
      <c r="F51" s="134">
        <f t="shared" si="27"/>
        <v>0</v>
      </c>
      <c r="G51" s="134">
        <f t="shared" si="27"/>
        <v>0</v>
      </c>
      <c r="H51" s="134">
        <f t="shared" si="27"/>
        <v>0</v>
      </c>
      <c r="I51" s="134">
        <f t="shared" si="27"/>
        <v>0</v>
      </c>
      <c r="J51" s="134">
        <f t="shared" si="27"/>
        <v>0</v>
      </c>
      <c r="K51" s="134">
        <f t="shared" si="27"/>
        <v>0</v>
      </c>
      <c r="L51" s="134">
        <f t="shared" si="27"/>
        <v>0</v>
      </c>
      <c r="M51" s="605">
        <f>M22*'4.Rural cost'!$H$27</f>
        <v>0</v>
      </c>
      <c r="N51" s="134">
        <f t="shared" si="27"/>
        <v>0</v>
      </c>
      <c r="O51" s="605">
        <f>O22*'4.Rural cost'!$H$27</f>
        <v>0</v>
      </c>
      <c r="P51" s="119">
        <f t="shared" si="27"/>
        <v>0</v>
      </c>
      <c r="Q51" s="134">
        <f t="shared" si="27"/>
        <v>0</v>
      </c>
      <c r="R51" s="119">
        <f t="shared" si="27"/>
        <v>0</v>
      </c>
      <c r="S51" s="119">
        <f t="shared" si="27"/>
        <v>0</v>
      </c>
      <c r="T51" s="119">
        <f t="shared" si="27"/>
        <v>0</v>
      </c>
      <c r="U51" s="119">
        <f t="shared" si="27"/>
        <v>0</v>
      </c>
      <c r="V51" s="119">
        <f t="shared" si="27"/>
        <v>0</v>
      </c>
      <c r="W51" s="119">
        <f t="shared" si="27"/>
        <v>0</v>
      </c>
      <c r="X51" s="119">
        <f t="shared" si="27"/>
        <v>0</v>
      </c>
      <c r="Y51" s="119">
        <f t="shared" si="27"/>
        <v>0</v>
      </c>
      <c r="Z51" s="119">
        <f t="shared" si="27"/>
        <v>0</v>
      </c>
      <c r="AA51" s="134">
        <f>SUM('4.Rural cost'!$N$26,'4.Rural cost'!$O$26)*SUM(C51:E51,I51,K51,R51,U51,X51)/SUM($C$48:$Z$51)</f>
        <v>0</v>
      </c>
      <c r="AB51" s="134">
        <f>SUM('4.Rural cost'!$N$26,'4.Rural cost'!$O$26)*SUM(F51,H51,J51,L51:N51,S51,V51,Y51)/SUM($C$48:$Z$51)</f>
        <v>0</v>
      </c>
      <c r="AC51" s="134">
        <f>SUM('4.Rural cost'!$N$26,'4.Rural cost'!$O$26)*SUM(O51:Q51,T51,W51,Z51)/SUM($C$48:$Z$51)</f>
        <v>0</v>
      </c>
      <c r="AD51" s="119">
        <f t="shared" si="16"/>
        <v>0</v>
      </c>
      <c r="AF51" s="8">
        <f>SUM(AA48:AC51)-SUM('4.Rural cost'!N26:O26,'4.Rural cost'!N28:O28)</f>
        <v>0</v>
      </c>
    </row>
    <row r="52" spans="1:47" x14ac:dyDescent="0.2">
      <c r="A52" s="58">
        <f t="shared" si="12"/>
        <v>39</v>
      </c>
      <c r="B52" s="116" t="s">
        <v>307</v>
      </c>
      <c r="C52" s="134">
        <f t="shared" si="21"/>
        <v>0</v>
      </c>
      <c r="D52" s="605">
        <f>D23*'4.Rural cost'!$H$29</f>
        <v>0</v>
      </c>
      <c r="E52" s="134">
        <f t="shared" si="27"/>
        <v>0</v>
      </c>
      <c r="F52" s="134">
        <f t="shared" si="27"/>
        <v>0</v>
      </c>
      <c r="G52" s="134">
        <f t="shared" si="27"/>
        <v>0</v>
      </c>
      <c r="H52" s="134">
        <f t="shared" si="27"/>
        <v>0</v>
      </c>
      <c r="I52" s="134">
        <f t="shared" si="27"/>
        <v>0</v>
      </c>
      <c r="J52" s="134">
        <f t="shared" si="27"/>
        <v>0</v>
      </c>
      <c r="K52" s="134">
        <f t="shared" si="27"/>
        <v>0</v>
      </c>
      <c r="L52" s="134">
        <f t="shared" si="27"/>
        <v>0</v>
      </c>
      <c r="M52" s="605">
        <f>M23*'4.Rural cost'!$H$29</f>
        <v>0</v>
      </c>
      <c r="N52" s="134">
        <f t="shared" si="27"/>
        <v>0</v>
      </c>
      <c r="O52" s="605">
        <f>O23*'4.Rural cost'!$H$29</f>
        <v>0</v>
      </c>
      <c r="P52" s="119">
        <f t="shared" si="27"/>
        <v>0</v>
      </c>
      <c r="Q52" s="134">
        <f t="shared" si="27"/>
        <v>0</v>
      </c>
      <c r="R52" s="119">
        <f t="shared" si="27"/>
        <v>0</v>
      </c>
      <c r="S52" s="119">
        <f t="shared" si="27"/>
        <v>0</v>
      </c>
      <c r="T52" s="119">
        <f t="shared" si="27"/>
        <v>0</v>
      </c>
      <c r="U52" s="119">
        <f t="shared" si="27"/>
        <v>0</v>
      </c>
      <c r="V52" s="119">
        <f t="shared" si="27"/>
        <v>0</v>
      </c>
      <c r="W52" s="119">
        <f t="shared" si="27"/>
        <v>0</v>
      </c>
      <c r="X52" s="119">
        <f t="shared" si="27"/>
        <v>0</v>
      </c>
      <c r="Y52" s="119">
        <f t="shared" si="27"/>
        <v>0</v>
      </c>
      <c r="Z52" s="119">
        <f t="shared" si="27"/>
        <v>0</v>
      </c>
      <c r="AA52" s="134"/>
      <c r="AB52" s="134"/>
      <c r="AC52" s="134"/>
      <c r="AD52" s="119">
        <f t="shared" si="16"/>
        <v>0</v>
      </c>
    </row>
    <row r="53" spans="1:47" x14ac:dyDescent="0.2">
      <c r="A53" s="58">
        <f t="shared" si="12"/>
        <v>40</v>
      </c>
      <c r="B53" s="116" t="s">
        <v>236</v>
      </c>
      <c r="C53" s="134">
        <f t="shared" ref="C53:C56" si="28">C24*C$37</f>
        <v>172873.06592365124</v>
      </c>
      <c r="D53" s="605">
        <f>D24*'4.Rural cost'!$H$31</f>
        <v>173.68427150550579</v>
      </c>
      <c r="E53" s="134">
        <f t="shared" ref="E53:H60" si="29">E24*E$37</f>
        <v>417010.15008957038</v>
      </c>
      <c r="F53" s="134">
        <f t="shared" si="29"/>
        <v>0</v>
      </c>
      <c r="G53" s="134">
        <f t="shared" si="29"/>
        <v>0</v>
      </c>
      <c r="H53" s="134">
        <f t="shared" si="29"/>
        <v>0</v>
      </c>
      <c r="I53" s="134">
        <f t="shared" ref="I53:I60" si="30">I24*I$37</f>
        <v>0</v>
      </c>
      <c r="J53" s="134">
        <f t="shared" ref="J53:L60" si="31">J24*J$37</f>
        <v>0</v>
      </c>
      <c r="K53" s="134">
        <f t="shared" si="31"/>
        <v>2512.2065542902869</v>
      </c>
      <c r="L53" s="134">
        <f t="shared" si="31"/>
        <v>0</v>
      </c>
      <c r="M53" s="605">
        <f>M24*'4.Rural cost'!$H$31</f>
        <v>0</v>
      </c>
      <c r="N53" s="134">
        <f t="shared" ref="N53:N60" si="32">N24*N$37</f>
        <v>0</v>
      </c>
      <c r="O53" s="605">
        <f>O24*'4.Rural cost'!$H$31</f>
        <v>0</v>
      </c>
      <c r="P53" s="134">
        <f t="shared" ref="P53:Z53" si="33">P24*P$37</f>
        <v>0</v>
      </c>
      <c r="Q53" s="119">
        <f t="shared" si="33"/>
        <v>0</v>
      </c>
      <c r="R53" s="119">
        <f t="shared" si="33"/>
        <v>4.6170293460880734</v>
      </c>
      <c r="S53" s="119">
        <f t="shared" si="33"/>
        <v>0</v>
      </c>
      <c r="T53" s="134">
        <f t="shared" si="33"/>
        <v>0</v>
      </c>
      <c r="U53" s="134">
        <f t="shared" si="33"/>
        <v>0</v>
      </c>
      <c r="V53" s="134">
        <f t="shared" si="33"/>
        <v>0</v>
      </c>
      <c r="W53" s="134">
        <f t="shared" si="33"/>
        <v>0</v>
      </c>
      <c r="X53" s="119">
        <f t="shared" si="33"/>
        <v>0</v>
      </c>
      <c r="Y53" s="119">
        <f t="shared" si="33"/>
        <v>0</v>
      </c>
      <c r="Z53" s="119">
        <f t="shared" si="33"/>
        <v>0</v>
      </c>
      <c r="AA53" s="119">
        <f>SUM('4.Rural cost'!$N30,'4.Rural cost'!$O30)*SUM(C53:E53,I53,K53,R53,U53,X53)/SUM($C53:$Z53)</f>
        <v>13033.84453002076</v>
      </c>
      <c r="AB53" s="119">
        <f>SUM('4.Rural cost'!$N30,'4.Rural cost'!$O30)*SUM(F53,H53,J53,L53:N53,S53,V53,Y53)/SUM($C53:$Z53)</f>
        <v>0</v>
      </c>
      <c r="AC53" s="119">
        <f>SUM('4.Rural cost'!$N30,'4.Rural cost'!$O30)*SUM(O53:Q53,T53,W53,Z53)/SUM($C53:$Z53)</f>
        <v>0</v>
      </c>
      <c r="AD53" s="119">
        <f t="shared" si="16"/>
        <v>605607.56839838414</v>
      </c>
      <c r="AF53" s="8">
        <f>SUM(AA53:AC53)-SUM('4.Rural cost'!N30:O30)</f>
        <v>0</v>
      </c>
      <c r="AU53" s="38"/>
    </row>
    <row r="54" spans="1:47" x14ac:dyDescent="0.2">
      <c r="A54" s="58">
        <f t="shared" si="12"/>
        <v>41</v>
      </c>
      <c r="B54" s="116" t="s">
        <v>237</v>
      </c>
      <c r="C54" s="134">
        <f t="shared" si="28"/>
        <v>0</v>
      </c>
      <c r="D54" s="605">
        <f>D25*'4.Rural cost'!$H$33</f>
        <v>0</v>
      </c>
      <c r="E54" s="134">
        <f t="shared" si="29"/>
        <v>0</v>
      </c>
      <c r="F54" s="134">
        <f t="shared" si="29"/>
        <v>7.3754416033543224</v>
      </c>
      <c r="G54" s="134">
        <f t="shared" si="29"/>
        <v>0</v>
      </c>
      <c r="H54" s="134">
        <f t="shared" si="29"/>
        <v>0</v>
      </c>
      <c r="I54" s="134">
        <f t="shared" si="30"/>
        <v>0</v>
      </c>
      <c r="J54" s="134">
        <f t="shared" si="31"/>
        <v>0</v>
      </c>
      <c r="K54" s="134">
        <f t="shared" si="31"/>
        <v>0</v>
      </c>
      <c r="L54" s="134">
        <f t="shared" si="31"/>
        <v>100382.67169564682</v>
      </c>
      <c r="M54" s="605">
        <f>M25*'4.Rural cost'!$H$33</f>
        <v>67.413357169164215</v>
      </c>
      <c r="N54" s="134">
        <f t="shared" si="32"/>
        <v>0</v>
      </c>
      <c r="O54" s="605">
        <f>O25*'4.Rural cost'!$H$33</f>
        <v>0</v>
      </c>
      <c r="P54" s="134">
        <f t="shared" ref="P54:Z54" si="34">P25*P$37</f>
        <v>0</v>
      </c>
      <c r="Q54" s="119">
        <f t="shared" si="34"/>
        <v>0</v>
      </c>
      <c r="R54" s="134">
        <f t="shared" si="34"/>
        <v>0</v>
      </c>
      <c r="S54" s="134">
        <f t="shared" si="34"/>
        <v>4.5152988314257261</v>
      </c>
      <c r="T54" s="134">
        <f t="shared" si="34"/>
        <v>0</v>
      </c>
      <c r="U54" s="134">
        <f t="shared" si="34"/>
        <v>0</v>
      </c>
      <c r="V54" s="134">
        <f t="shared" si="34"/>
        <v>0</v>
      </c>
      <c r="W54" s="134">
        <f t="shared" si="34"/>
        <v>0</v>
      </c>
      <c r="X54" s="119">
        <f t="shared" si="34"/>
        <v>0</v>
      </c>
      <c r="Y54" s="119">
        <f t="shared" si="34"/>
        <v>0</v>
      </c>
      <c r="Z54" s="119">
        <f t="shared" si="34"/>
        <v>0</v>
      </c>
      <c r="AA54" s="119">
        <f>SUM('4.Rural cost'!$N32,'4.Rural cost'!$O32)*SUM(C54:E54,I54,K54,R54,U54,X54)/SUM($C54:$Z54)</f>
        <v>0</v>
      </c>
      <c r="AB54" s="119">
        <f>SUM('4.Rural cost'!$N32,'4.Rural cost'!$O32)*SUM(F54,H54,J54,L54:N54,S54,V54,Y54)/SUM($C54:$Z54)</f>
        <v>728.45551209712971</v>
      </c>
      <c r="AC54" s="119">
        <f>SUM('4.Rural cost'!$N32,'4.Rural cost'!$O32)*SUM(O54:Q54,T54,W54,Z54)/SUM($C54:$Z54)</f>
        <v>0</v>
      </c>
      <c r="AD54" s="119">
        <f t="shared" si="16"/>
        <v>101190.43130534788</v>
      </c>
      <c r="AF54" s="8">
        <f>SUM(AA54:AC54)-SUM('4.Rural cost'!N32:O32)</f>
        <v>0</v>
      </c>
      <c r="AU54" s="38"/>
    </row>
    <row r="55" spans="1:47" x14ac:dyDescent="0.2">
      <c r="A55" s="59">
        <f>A54+1</f>
        <v>42</v>
      </c>
      <c r="B55" s="179" t="s">
        <v>238</v>
      </c>
      <c r="C55" s="166">
        <f t="shared" si="28"/>
        <v>0</v>
      </c>
      <c r="D55" s="605">
        <f>D26*'4.Rural cost'!$H$35</f>
        <v>0</v>
      </c>
      <c r="E55" s="166">
        <f t="shared" si="29"/>
        <v>0</v>
      </c>
      <c r="F55" s="166">
        <f t="shared" si="29"/>
        <v>0</v>
      </c>
      <c r="G55" s="166">
        <f t="shared" si="29"/>
        <v>0</v>
      </c>
      <c r="H55" s="166">
        <f t="shared" si="29"/>
        <v>0</v>
      </c>
      <c r="I55" s="166">
        <f t="shared" si="30"/>
        <v>0</v>
      </c>
      <c r="J55" s="166">
        <f t="shared" si="31"/>
        <v>0</v>
      </c>
      <c r="K55" s="166">
        <f t="shared" si="31"/>
        <v>0</v>
      </c>
      <c r="L55" s="166">
        <f t="shared" si="31"/>
        <v>0</v>
      </c>
      <c r="M55" s="605">
        <f>M26*'4.Rural cost'!$H$35</f>
        <v>0</v>
      </c>
      <c r="N55" s="166">
        <f t="shared" si="32"/>
        <v>0</v>
      </c>
      <c r="O55" s="605">
        <f>O26*'4.Rural cost'!$H$35</f>
        <v>2659.8716170948715</v>
      </c>
      <c r="P55" s="134">
        <f t="shared" ref="P55:Z55" si="35">P26*P$37</f>
        <v>0</v>
      </c>
      <c r="Q55" s="159">
        <f t="shared" si="35"/>
        <v>0</v>
      </c>
      <c r="R55" s="166">
        <f t="shared" si="35"/>
        <v>0</v>
      </c>
      <c r="S55" s="166">
        <f t="shared" si="35"/>
        <v>0</v>
      </c>
      <c r="T55" s="166">
        <f t="shared" si="35"/>
        <v>2.2662054125461517</v>
      </c>
      <c r="U55" s="166">
        <f t="shared" si="35"/>
        <v>0</v>
      </c>
      <c r="V55" s="166">
        <f t="shared" si="35"/>
        <v>0</v>
      </c>
      <c r="W55" s="166">
        <f t="shared" si="35"/>
        <v>0</v>
      </c>
      <c r="X55" s="166">
        <f t="shared" si="35"/>
        <v>0</v>
      </c>
      <c r="Y55" s="166">
        <f t="shared" si="35"/>
        <v>0</v>
      </c>
      <c r="Z55" s="166">
        <f t="shared" si="35"/>
        <v>0</v>
      </c>
      <c r="AA55" s="166">
        <f>SUM('4.Rural cost'!$N34,'4.Rural cost'!$O34)*SUM(C55:E55,I55,K55,R55,U55,X55)/SUM($C55:$Z55)</f>
        <v>0</v>
      </c>
      <c r="AB55" s="166">
        <f>SUM('4.Rural cost'!$N34,'4.Rural cost'!$O34)*SUM(F55,H55,J55,L55:N55,S55,V55,Y55)/SUM($C55:$Z55)</f>
        <v>0</v>
      </c>
      <c r="AC55" s="166">
        <f>SUM('4.Rural cost'!$N34,'4.Rural cost'!$O34)*SUM(O55:Q55,T55,W55,Z55)/SUM($C55:$Z55)</f>
        <v>9.1734245950404727</v>
      </c>
      <c r="AD55" s="159">
        <f t="shared" si="16"/>
        <v>2671.3112471024583</v>
      </c>
      <c r="AF55" s="8">
        <f>SUM(AA55:AC55)-SUM('4.Rural cost'!N34:O34)</f>
        <v>0</v>
      </c>
      <c r="AU55" s="38"/>
    </row>
    <row r="56" spans="1:47" x14ac:dyDescent="0.2">
      <c r="A56" s="98">
        <f t="shared" si="12"/>
        <v>43</v>
      </c>
      <c r="B56" s="543" t="s">
        <v>232</v>
      </c>
      <c r="C56" s="228">
        <f t="shared" si="28"/>
        <v>650.20812629709621</v>
      </c>
      <c r="D56" s="607">
        <f>D27*'4.Rural cost'!$H$37</f>
        <v>0</v>
      </c>
      <c r="E56" s="228">
        <f t="shared" si="29"/>
        <v>94.584005076610993</v>
      </c>
      <c r="F56" s="228">
        <f t="shared" si="29"/>
        <v>0</v>
      </c>
      <c r="G56" s="228">
        <f t="shared" si="29"/>
        <v>0</v>
      </c>
      <c r="H56" s="228">
        <f t="shared" si="29"/>
        <v>0</v>
      </c>
      <c r="I56" s="125">
        <f t="shared" si="30"/>
        <v>0</v>
      </c>
      <c r="J56" s="125">
        <f t="shared" si="31"/>
        <v>-351.64782023080596</v>
      </c>
      <c r="K56" s="228">
        <f t="shared" si="31"/>
        <v>0</v>
      </c>
      <c r="L56" s="228">
        <f t="shared" si="31"/>
        <v>156173.81093202587</v>
      </c>
      <c r="M56" s="607">
        <f>M27*'4.Rural cost'!$H$37</f>
        <v>6431.1625256074258</v>
      </c>
      <c r="N56" s="125">
        <f t="shared" si="32"/>
        <v>0</v>
      </c>
      <c r="O56" s="607">
        <f>O27*'4.Rural cost'!$H$37</f>
        <v>236.66916208612895</v>
      </c>
      <c r="P56" s="104">
        <f t="shared" ref="P56:Z56" si="36">P27*P$37</f>
        <v>0</v>
      </c>
      <c r="Q56" s="125">
        <f t="shared" si="36"/>
        <v>0</v>
      </c>
      <c r="R56" s="104">
        <f t="shared" si="36"/>
        <v>0</v>
      </c>
      <c r="S56" s="104">
        <f t="shared" si="36"/>
        <v>0</v>
      </c>
      <c r="T56" s="104">
        <f t="shared" si="36"/>
        <v>0</v>
      </c>
      <c r="U56" s="104">
        <f t="shared" si="36"/>
        <v>0</v>
      </c>
      <c r="V56" s="104">
        <f t="shared" si="36"/>
        <v>0</v>
      </c>
      <c r="W56" s="104">
        <f t="shared" si="36"/>
        <v>0</v>
      </c>
      <c r="X56" s="104">
        <f t="shared" si="36"/>
        <v>0</v>
      </c>
      <c r="Y56" s="104">
        <f t="shared" si="36"/>
        <v>0</v>
      </c>
      <c r="Z56" s="104">
        <f t="shared" si="36"/>
        <v>0</v>
      </c>
      <c r="AA56" s="104">
        <f>SUM('4.Rural cost'!$N36,'4.Rural cost'!$O36)*SUM(C56:E56,I56,K56,R56,U56,X56)/SUM($C56:$Z56)</f>
        <v>5.0272571277478093</v>
      </c>
      <c r="AB56" s="104">
        <f>SUM('4.Rural cost'!$N36,'4.Rural cost'!$O36)*SUM(F56,H56,J56,L56:N56,S56,V56,Y56)/SUM($C56:$Z56)</f>
        <v>1095.190394005569</v>
      </c>
      <c r="AC56" s="104">
        <f>SUM('4.Rural cost'!$N36,'4.Rural cost'!$O36)*SUM(O56:Q56,T56,W56,Z56)/SUM($C56:$Z56)</f>
        <v>1.5974883217698772</v>
      </c>
      <c r="AD56" s="104">
        <f t="shared" si="16"/>
        <v>164336.6020703174</v>
      </c>
      <c r="AF56" s="8"/>
    </row>
    <row r="57" spans="1:47" x14ac:dyDescent="0.2">
      <c r="A57" s="60">
        <f t="shared" si="12"/>
        <v>44</v>
      </c>
      <c r="B57" s="133" t="s">
        <v>228</v>
      </c>
      <c r="C57" s="227"/>
      <c r="D57" s="608"/>
      <c r="E57" s="227"/>
      <c r="F57" s="227"/>
      <c r="G57" s="227"/>
      <c r="H57" s="227"/>
      <c r="I57" s="227"/>
      <c r="J57" s="227"/>
      <c r="K57" s="227"/>
      <c r="L57" s="227"/>
      <c r="M57" s="608"/>
      <c r="N57" s="227"/>
      <c r="O57" s="608"/>
      <c r="P57" s="227"/>
      <c r="Q57" s="227"/>
      <c r="R57" s="227"/>
      <c r="S57" s="227"/>
      <c r="T57" s="227"/>
      <c r="U57" s="227"/>
      <c r="V57" s="227"/>
      <c r="W57" s="227"/>
      <c r="X57" s="227"/>
      <c r="Y57" s="227"/>
      <c r="Z57" s="227"/>
      <c r="AA57" s="227"/>
      <c r="AB57" s="227"/>
      <c r="AC57" s="227"/>
      <c r="AD57" s="227"/>
    </row>
    <row r="58" spans="1:47" x14ac:dyDescent="0.2">
      <c r="A58" s="58">
        <f t="shared" si="12"/>
        <v>45</v>
      </c>
      <c r="B58" s="154" t="s">
        <v>229</v>
      </c>
      <c r="C58" s="134">
        <f t="shared" ref="C58:C60" si="37">C29*C$37</f>
        <v>0</v>
      </c>
      <c r="D58" s="605">
        <f>D29*'4.Rural cost'!$H$40</f>
        <v>0</v>
      </c>
      <c r="E58" s="134">
        <f t="shared" si="29"/>
        <v>0</v>
      </c>
      <c r="F58" s="134">
        <f t="shared" si="29"/>
        <v>1.2292402672257201</v>
      </c>
      <c r="G58" s="134">
        <f t="shared" si="29"/>
        <v>0</v>
      </c>
      <c r="H58" s="134">
        <f t="shared" si="29"/>
        <v>0</v>
      </c>
      <c r="I58" s="134">
        <f t="shared" si="30"/>
        <v>0</v>
      </c>
      <c r="J58" s="134">
        <f t="shared" si="31"/>
        <v>0</v>
      </c>
      <c r="K58" s="134">
        <f t="shared" si="31"/>
        <v>0</v>
      </c>
      <c r="L58" s="134">
        <f t="shared" si="31"/>
        <v>5103.7584592142366</v>
      </c>
      <c r="M58" s="605">
        <f>M29*'4.Rural cost'!$H$40</f>
        <v>1045.744507437279</v>
      </c>
      <c r="N58" s="134">
        <f t="shared" si="32"/>
        <v>0</v>
      </c>
      <c r="O58" s="605">
        <f>O29*'4.Rural cost'!$H$40</f>
        <v>0</v>
      </c>
      <c r="P58" s="134">
        <f t="shared" ref="P58:Z58" si="38">P29*P$37</f>
        <v>0</v>
      </c>
      <c r="Q58" s="134">
        <f t="shared" si="38"/>
        <v>0</v>
      </c>
      <c r="R58" s="134">
        <f t="shared" si="38"/>
        <v>0</v>
      </c>
      <c r="S58" s="134">
        <f t="shared" si="38"/>
        <v>2.2662054125461517</v>
      </c>
      <c r="T58" s="134">
        <f t="shared" si="38"/>
        <v>0</v>
      </c>
      <c r="U58" s="134">
        <f t="shared" si="38"/>
        <v>0</v>
      </c>
      <c r="V58" s="134">
        <f t="shared" si="38"/>
        <v>0</v>
      </c>
      <c r="W58" s="134">
        <f t="shared" si="38"/>
        <v>0</v>
      </c>
      <c r="X58" s="134">
        <f t="shared" si="38"/>
        <v>0</v>
      </c>
      <c r="Y58" s="134">
        <f t="shared" si="38"/>
        <v>7.4203257386232568</v>
      </c>
      <c r="Z58" s="134">
        <f t="shared" si="38"/>
        <v>0</v>
      </c>
      <c r="AA58" s="134">
        <f>SUM('4.Rural cost'!$N39,'4.Rural cost'!$O39)*SUM(C58:E58,I58,K58,R58,U58,X58)/SUM($C58:$Z58)</f>
        <v>0</v>
      </c>
      <c r="AB58" s="134">
        <f>SUM('4.Rural cost'!$N39,'4.Rural cost'!$O39)*SUM(F58,H58,J58,L58:N58,S58,V58,Y58)/SUM($C58:$Z58)</f>
        <v>45.312564539293575</v>
      </c>
      <c r="AC58" s="134">
        <f>SUM('4.Rural cost'!$N39,'4.Rural cost'!$O39)*SUM(O58:Q58,T58,W58,Z58)/SUM($C58:$Z58)</f>
        <v>0</v>
      </c>
      <c r="AD58" s="134">
        <f t="shared" si="16"/>
        <v>6205.7313026092042</v>
      </c>
      <c r="AF58" s="8">
        <f>SUM(AA58:AC58)-SUM('4.Rural cost'!N39:O39)</f>
        <v>0</v>
      </c>
    </row>
    <row r="59" spans="1:47" x14ac:dyDescent="0.2">
      <c r="A59" s="58">
        <f t="shared" si="12"/>
        <v>46</v>
      </c>
      <c r="B59" s="154" t="s">
        <v>230</v>
      </c>
      <c r="C59" s="134">
        <f t="shared" si="37"/>
        <v>0</v>
      </c>
      <c r="D59" s="605">
        <f>D30*'4.Rural cost'!$H$42</f>
        <v>0</v>
      </c>
      <c r="E59" s="134">
        <f t="shared" si="29"/>
        <v>0</v>
      </c>
      <c r="F59" s="134">
        <f t="shared" si="29"/>
        <v>0</v>
      </c>
      <c r="G59" s="134">
        <f t="shared" si="29"/>
        <v>0</v>
      </c>
      <c r="H59" s="134">
        <f t="shared" si="29"/>
        <v>0</v>
      </c>
      <c r="I59" s="134">
        <f t="shared" si="30"/>
        <v>0</v>
      </c>
      <c r="J59" s="134">
        <f t="shared" si="31"/>
        <v>0</v>
      </c>
      <c r="K59" s="134">
        <f t="shared" si="31"/>
        <v>0</v>
      </c>
      <c r="L59" s="134">
        <f t="shared" si="31"/>
        <v>0</v>
      </c>
      <c r="M59" s="605">
        <f>M30*'4.Rural cost'!$H$42</f>
        <v>0</v>
      </c>
      <c r="N59" s="134">
        <f t="shared" si="32"/>
        <v>0</v>
      </c>
      <c r="O59" s="605">
        <f>O30*'4.Rural cost'!$H$42</f>
        <v>72349.272685871372</v>
      </c>
      <c r="P59" s="134">
        <f t="shared" ref="P59:Z59" si="39">P30*P$37</f>
        <v>0</v>
      </c>
      <c r="Q59" s="134">
        <f t="shared" si="39"/>
        <v>0</v>
      </c>
      <c r="R59" s="134">
        <f t="shared" si="39"/>
        <v>0</v>
      </c>
      <c r="S59" s="134">
        <f t="shared" si="39"/>
        <v>0</v>
      </c>
      <c r="T59" s="134">
        <f t="shared" si="39"/>
        <v>6.8269987760241451</v>
      </c>
      <c r="U59" s="134">
        <f t="shared" si="39"/>
        <v>0</v>
      </c>
      <c r="V59" s="134">
        <f t="shared" si="39"/>
        <v>0</v>
      </c>
      <c r="W59" s="134">
        <f t="shared" si="39"/>
        <v>69.173682095437968</v>
      </c>
      <c r="X59" s="134">
        <f t="shared" si="39"/>
        <v>0</v>
      </c>
      <c r="Y59" s="134">
        <f t="shared" si="39"/>
        <v>0</v>
      </c>
      <c r="Z59" s="134">
        <f t="shared" si="39"/>
        <v>0.64895074922588547</v>
      </c>
      <c r="AA59" s="134">
        <f>SUM('4.Rural cost'!$N41,'4.Rural cost'!$O41)*SUM(C59:E59,I59,K59,R59,U59,X59)/SUM($C59:$Z59)</f>
        <v>0</v>
      </c>
      <c r="AB59" s="134">
        <f>SUM('4.Rural cost'!$N41,'4.Rural cost'!$O41)*SUM(F59,H59,J59,L59:N59,S59,V59,Y59)/SUM($C59:$Z59)</f>
        <v>0</v>
      </c>
      <c r="AC59" s="134">
        <f>SUM('4.Rural cost'!$N41,'4.Rural cost'!$O41)*SUM(O59:Q59,T59,W59,Z59)/SUM($C59:$Z59)</f>
        <v>220.7643048382557</v>
      </c>
      <c r="AD59" s="134">
        <f t="shared" si="16"/>
        <v>72646.686622330322</v>
      </c>
      <c r="AF59" s="8">
        <f>SUM(AA59:AC59)-SUM('4.Rural cost'!N41:O41)</f>
        <v>0</v>
      </c>
    </row>
    <row r="60" spans="1:47" x14ac:dyDescent="0.2">
      <c r="A60" s="59">
        <f t="shared" si="12"/>
        <v>47</v>
      </c>
      <c r="B60" s="144" t="s">
        <v>234</v>
      </c>
      <c r="C60" s="166">
        <f t="shared" si="37"/>
        <v>0</v>
      </c>
      <c r="D60" s="609">
        <f>D31*'4.Rural cost'!$H$44</f>
        <v>0</v>
      </c>
      <c r="E60" s="166">
        <f t="shared" si="29"/>
        <v>0</v>
      </c>
      <c r="F60" s="166">
        <f t="shared" si="29"/>
        <v>0</v>
      </c>
      <c r="G60" s="166">
        <f t="shared" si="29"/>
        <v>0</v>
      </c>
      <c r="H60" s="166">
        <f t="shared" si="29"/>
        <v>0</v>
      </c>
      <c r="I60" s="166">
        <f t="shared" si="30"/>
        <v>0</v>
      </c>
      <c r="J60" s="166">
        <f t="shared" si="31"/>
        <v>0</v>
      </c>
      <c r="K60" s="166">
        <f t="shared" si="31"/>
        <v>0</v>
      </c>
      <c r="L60" s="166">
        <f t="shared" si="31"/>
        <v>0</v>
      </c>
      <c r="M60" s="609">
        <f>M31*'4.Rural cost'!$H$44</f>
        <v>0</v>
      </c>
      <c r="N60" s="166">
        <f t="shared" si="32"/>
        <v>0</v>
      </c>
      <c r="O60" s="609">
        <f>O31*'4.Rural cost'!$H$44</f>
        <v>21877.731294755737</v>
      </c>
      <c r="P60" s="166">
        <f t="shared" ref="P60:Z60" si="40">P31*P$37</f>
        <v>0</v>
      </c>
      <c r="Q60" s="166">
        <f t="shared" si="40"/>
        <v>0</v>
      </c>
      <c r="R60" s="166">
        <f t="shared" si="40"/>
        <v>0</v>
      </c>
      <c r="S60" s="166">
        <f t="shared" si="40"/>
        <v>0</v>
      </c>
      <c r="T60" s="166">
        <f t="shared" si="40"/>
        <v>16.152046532304819</v>
      </c>
      <c r="U60" s="166">
        <f t="shared" si="40"/>
        <v>0</v>
      </c>
      <c r="V60" s="166">
        <f t="shared" si="40"/>
        <v>0</v>
      </c>
      <c r="W60" s="166">
        <f t="shared" si="40"/>
        <v>237.35058949475552</v>
      </c>
      <c r="X60" s="279">
        <f t="shared" si="40"/>
        <v>0</v>
      </c>
      <c r="Y60" s="122">
        <f t="shared" si="40"/>
        <v>0</v>
      </c>
      <c r="Z60" s="122">
        <f t="shared" si="40"/>
        <v>18.236171559054682</v>
      </c>
      <c r="AA60" s="122">
        <f>SUM('4.Rural cost'!$N43,'4.Rural cost'!$O43)*SUM(C60:E60,I60,K60,R60,U60,X60)/SUM($C60:$Z60)</f>
        <v>0</v>
      </c>
      <c r="AB60" s="122">
        <f>SUM('4.Rural cost'!$N43,'4.Rural cost'!$O43)*SUM(F60,H60,J60,L60:N60,S60,V60,Y60)/SUM($C60:$Z60)</f>
        <v>0</v>
      </c>
      <c r="AC60" s="122">
        <f>SUM('4.Rural cost'!$N43,'4.Rural cost'!$O43)*SUM(O60:Q60,T60,W60,Z60)/SUM($C60:$Z60)</f>
        <v>67.518814498536258</v>
      </c>
      <c r="AD60" s="166">
        <f t="shared" si="16"/>
        <v>22216.98891684039</v>
      </c>
      <c r="AF60" s="8">
        <f>SUM(AA60:AC60)-SUM('4.Rural cost'!N43:O43)</f>
        <v>0</v>
      </c>
    </row>
    <row r="61" spans="1:47" x14ac:dyDescent="0.2">
      <c r="C61" s="7"/>
      <c r="J61" s="576"/>
      <c r="K61" s="576"/>
    </row>
    <row r="62" spans="1:47" x14ac:dyDescent="0.2">
      <c r="A62" s="63"/>
      <c r="B62" s="577" t="s">
        <v>88</v>
      </c>
      <c r="C62" s="175" t="s">
        <v>70</v>
      </c>
      <c r="D62" s="175" t="s">
        <v>71</v>
      </c>
      <c r="E62" s="175" t="s">
        <v>73</v>
      </c>
      <c r="F62" s="175" t="s">
        <v>72</v>
      </c>
      <c r="G62" s="578"/>
      <c r="H62" s="576"/>
      <c r="I62" s="576"/>
      <c r="J62" s="576"/>
      <c r="L62" s="8"/>
    </row>
    <row r="63" spans="1:47" x14ac:dyDescent="0.2">
      <c r="A63" s="66"/>
      <c r="B63" s="48" t="s">
        <v>22</v>
      </c>
      <c r="C63" s="55">
        <f>AD34-1</f>
        <v>-57</v>
      </c>
      <c r="D63" s="556">
        <f>C63-1</f>
        <v>-58</v>
      </c>
      <c r="E63" s="556">
        <f>D63-1</f>
        <v>-59</v>
      </c>
      <c r="F63" s="556">
        <f>E63-1</f>
        <v>-60</v>
      </c>
      <c r="G63" s="576"/>
      <c r="H63" s="576"/>
      <c r="I63" s="576"/>
      <c r="J63" s="576"/>
    </row>
    <row r="64" spans="1:47" x14ac:dyDescent="0.2">
      <c r="A64" s="68"/>
      <c r="B64" s="50" t="s">
        <v>94</v>
      </c>
      <c r="C64" s="72" t="s">
        <v>89</v>
      </c>
      <c r="D64" s="72" t="s">
        <v>89</v>
      </c>
      <c r="E64" s="72" t="s">
        <v>89</v>
      </c>
      <c r="F64" s="72" t="s">
        <v>89</v>
      </c>
      <c r="G64" s="576"/>
      <c r="H64" s="576"/>
      <c r="I64" s="576"/>
      <c r="J64" s="576"/>
    </row>
    <row r="65" spans="1:10" ht="45" x14ac:dyDescent="0.2">
      <c r="A65" s="69"/>
      <c r="B65" s="89" t="s">
        <v>112</v>
      </c>
      <c r="C65" s="95" t="str">
        <f>"(C"&amp;-C34&amp;"..C"&amp;-E34&amp;", C"&amp;-I34&amp;", C"&amp;-K34&amp;", C"&amp;-R34&amp;", C"&amp;-U34&amp;", C"&amp;-X34&amp;", C"&amp;-AA34&amp;") / C"&amp;-$AD34</f>
        <v>(C29..C31, C35, C37, C44, C47, C50, C53) / C56</v>
      </c>
      <c r="D65" s="95" t="str">
        <f>"(C"&amp;-F34&amp;", C"&amp;-H34&amp;", C"&amp;-J34&amp;", C"&amp;-L34&amp;"..C"&amp;-N34&amp;", C"&amp;-S34&amp;", C"&amp;-V34&amp;", C"&amp;-Y34&amp;", C"&amp;-AB34&amp;") / C"&amp;-$AD34</f>
        <v>(C32, C34, C36, C38..C40, C45, C48, C51, C54) / C56</v>
      </c>
      <c r="E65" s="95" t="str">
        <f>"(C"&amp;-G34&amp;", C"&amp;-O34&amp;"..C"&amp;-Q34&amp;", C"&amp;-T34&amp;", C"&amp;-W34&amp;", C"&amp;-Z34&amp;", C"&amp;-AC34&amp;") / C"&amp;-$AD34</f>
        <v>(C33, C41..C43, C46, C49, C52, C55) / C56</v>
      </c>
      <c r="F65" s="95" t="str">
        <f>"=C"&amp;-C63&amp;"..C"&amp;-E63</f>
        <v>=C57..C59</v>
      </c>
      <c r="G65" s="576"/>
      <c r="H65" s="576"/>
      <c r="I65" s="576"/>
      <c r="J65" s="576"/>
    </row>
    <row r="66" spans="1:10" x14ac:dyDescent="0.2">
      <c r="A66" s="60">
        <f>A60+1</f>
        <v>48</v>
      </c>
      <c r="B66" s="127" t="s">
        <v>74</v>
      </c>
      <c r="C66" s="176"/>
      <c r="D66" s="176"/>
      <c r="E66" s="176"/>
      <c r="F66" s="176"/>
    </row>
    <row r="67" spans="1:10" x14ac:dyDescent="0.2">
      <c r="A67" s="58">
        <f t="shared" ref="A67:A72" si="41">A66+1</f>
        <v>49</v>
      </c>
      <c r="B67" s="191" t="s">
        <v>220</v>
      </c>
      <c r="C67" s="276">
        <f>IFERROR(SUM(C39,D39,E39,I39,K39,R39,U39,X39,AA39)/AD39,0)</f>
        <v>1</v>
      </c>
      <c r="D67" s="276">
        <f>IFERROR(SUM(F39,H39,J39,L39:N39,S39,V39,Y39,AB39)/AD39,0)</f>
        <v>0</v>
      </c>
      <c r="E67" s="276">
        <f>IFERROR(SUM(G39,O39:Q39,T39,W39,Z39,AC39)/AD39,0)</f>
        <v>0</v>
      </c>
      <c r="F67" s="275">
        <f t="shared" ref="F67" si="42">SUM(C67:E67)</f>
        <v>1</v>
      </c>
      <c r="G67" s="8"/>
    </row>
    <row r="68" spans="1:10" x14ac:dyDescent="0.2">
      <c r="A68" s="58">
        <f>A67+1</f>
        <v>50</v>
      </c>
      <c r="B68" s="191" t="s">
        <v>221</v>
      </c>
      <c r="C68" s="276">
        <f t="shared" ref="C68:C72" si="43">IFERROR(SUM(C40,D40,E40,I40,K40,R40,U40,X40,AA40)/AD40,0)</f>
        <v>1</v>
      </c>
      <c r="D68" s="276">
        <f t="shared" ref="D68:D72" si="44">IFERROR(SUM(F40,H40,J40,L40:N40,S40,V40,Y40,AB40)/AD40,0)</f>
        <v>0</v>
      </c>
      <c r="E68" s="276">
        <f t="shared" ref="E68:E72" si="45">IFERROR(SUM(G40,O40:Q40,T40,W40,Z40,AC40)/AD40,0)</f>
        <v>0</v>
      </c>
      <c r="F68" s="275">
        <f t="shared" ref="F68:F72" si="46">SUM(C68:E68)</f>
        <v>1</v>
      </c>
      <c r="G68" s="8"/>
    </row>
    <row r="69" spans="1:10" x14ac:dyDescent="0.2">
      <c r="A69" s="58">
        <f t="shared" si="41"/>
        <v>51</v>
      </c>
      <c r="B69" s="191" t="s">
        <v>222</v>
      </c>
      <c r="C69" s="276">
        <f t="shared" si="43"/>
        <v>1</v>
      </c>
      <c r="D69" s="276">
        <f t="shared" si="44"/>
        <v>0</v>
      </c>
      <c r="E69" s="276">
        <f t="shared" si="45"/>
        <v>0</v>
      </c>
      <c r="F69" s="275">
        <f t="shared" si="46"/>
        <v>1</v>
      </c>
      <c r="G69" s="8"/>
    </row>
    <row r="70" spans="1:10" x14ac:dyDescent="0.2">
      <c r="A70" s="58">
        <f t="shared" si="41"/>
        <v>52</v>
      </c>
      <c r="B70" s="191" t="s">
        <v>223</v>
      </c>
      <c r="C70" s="276">
        <f t="shared" si="43"/>
        <v>1</v>
      </c>
      <c r="D70" s="276">
        <f t="shared" si="44"/>
        <v>0</v>
      </c>
      <c r="E70" s="276">
        <f t="shared" si="45"/>
        <v>0</v>
      </c>
      <c r="F70" s="275">
        <f t="shared" si="46"/>
        <v>1</v>
      </c>
      <c r="G70" s="8"/>
    </row>
    <row r="71" spans="1:10" x14ac:dyDescent="0.2">
      <c r="A71" s="58">
        <f t="shared" si="41"/>
        <v>53</v>
      </c>
      <c r="B71" s="154" t="s">
        <v>224</v>
      </c>
      <c r="C71" s="276">
        <f t="shared" si="43"/>
        <v>0</v>
      </c>
      <c r="D71" s="276">
        <f t="shared" si="44"/>
        <v>1</v>
      </c>
      <c r="E71" s="276">
        <f t="shared" si="45"/>
        <v>0</v>
      </c>
      <c r="F71" s="275">
        <f t="shared" si="46"/>
        <v>1</v>
      </c>
      <c r="G71" s="8"/>
    </row>
    <row r="72" spans="1:10" x14ac:dyDescent="0.2">
      <c r="A72" s="59">
        <f t="shared" si="41"/>
        <v>54</v>
      </c>
      <c r="B72" s="154" t="s">
        <v>225</v>
      </c>
      <c r="C72" s="276">
        <f t="shared" si="43"/>
        <v>0</v>
      </c>
      <c r="D72" s="276">
        <f t="shared" si="44"/>
        <v>1</v>
      </c>
      <c r="E72" s="276">
        <f t="shared" si="45"/>
        <v>0</v>
      </c>
      <c r="F72" s="275">
        <f t="shared" si="46"/>
        <v>1</v>
      </c>
      <c r="G72" s="8"/>
    </row>
    <row r="73" spans="1:10" x14ac:dyDescent="0.2">
      <c r="A73" s="58">
        <f>A72+1</f>
        <v>55</v>
      </c>
      <c r="B73" s="127" t="s">
        <v>346</v>
      </c>
      <c r="C73" s="176"/>
      <c r="D73" s="176"/>
      <c r="E73" s="176"/>
      <c r="F73" s="579"/>
      <c r="G73" s="8"/>
    </row>
    <row r="74" spans="1:10" x14ac:dyDescent="0.2">
      <c r="A74" s="58">
        <f t="shared" ref="A74:A88" si="47">A73+1</f>
        <v>56</v>
      </c>
      <c r="B74" s="120" t="s">
        <v>239</v>
      </c>
      <c r="C74" s="276">
        <f t="shared" ref="C74:C84" si="48">IFERROR(SUM(C46,D46,E46,I46,K46,R46,U46,X46,AA46)/AD46,0)</f>
        <v>1</v>
      </c>
      <c r="D74" s="276">
        <f t="shared" ref="D74:D84" si="49">IFERROR(SUM(F46,H46,J46,L46:N46,S46,V46,Y46,AB46)/AD46,0)</f>
        <v>0</v>
      </c>
      <c r="E74" s="276">
        <f t="shared" ref="E74:E84" si="50">IFERROR(SUM(G46,O46:Q46,T46,W46,Z46,AC46)/AD46,0)</f>
        <v>0</v>
      </c>
      <c r="F74" s="275">
        <f t="shared" ref="F74:F84" si="51">SUM(C74:E74)</f>
        <v>1</v>
      </c>
      <c r="G74" s="8"/>
    </row>
    <row r="75" spans="1:10" x14ac:dyDescent="0.2">
      <c r="A75" s="58">
        <f t="shared" si="47"/>
        <v>57</v>
      </c>
      <c r="B75" s="116" t="s">
        <v>235</v>
      </c>
      <c r="C75" s="276">
        <f t="shared" si="48"/>
        <v>1</v>
      </c>
      <c r="D75" s="276">
        <f t="shared" si="49"/>
        <v>0</v>
      </c>
      <c r="E75" s="276">
        <f t="shared" si="50"/>
        <v>0</v>
      </c>
      <c r="F75" s="275">
        <f t="shared" si="51"/>
        <v>1</v>
      </c>
      <c r="G75" s="8"/>
    </row>
    <row r="76" spans="1:10" x14ac:dyDescent="0.2">
      <c r="A76" s="58">
        <f t="shared" si="47"/>
        <v>58</v>
      </c>
      <c r="B76" s="116" t="s">
        <v>240</v>
      </c>
      <c r="C76" s="276">
        <f t="shared" si="48"/>
        <v>0</v>
      </c>
      <c r="D76" s="276">
        <f t="shared" si="49"/>
        <v>1</v>
      </c>
      <c r="E76" s="276">
        <f t="shared" si="50"/>
        <v>0</v>
      </c>
      <c r="F76" s="275">
        <f t="shared" si="51"/>
        <v>1</v>
      </c>
      <c r="G76" s="8"/>
    </row>
    <row r="77" spans="1:10" x14ac:dyDescent="0.2">
      <c r="A77" s="58">
        <f t="shared" si="47"/>
        <v>59</v>
      </c>
      <c r="B77" s="116" t="s">
        <v>241</v>
      </c>
      <c r="C77" s="276">
        <f t="shared" si="48"/>
        <v>0</v>
      </c>
      <c r="D77" s="276">
        <f t="shared" si="49"/>
        <v>1</v>
      </c>
      <c r="E77" s="276">
        <f t="shared" si="50"/>
        <v>0</v>
      </c>
      <c r="F77" s="275">
        <f t="shared" si="51"/>
        <v>1</v>
      </c>
      <c r="G77" s="8"/>
    </row>
    <row r="78" spans="1:10" x14ac:dyDescent="0.2">
      <c r="A78" s="58">
        <f t="shared" si="47"/>
        <v>60</v>
      </c>
      <c r="B78" s="116" t="s">
        <v>242</v>
      </c>
      <c r="C78" s="276">
        <f t="shared" si="48"/>
        <v>0</v>
      </c>
      <c r="D78" s="276">
        <f t="shared" si="49"/>
        <v>0</v>
      </c>
      <c r="E78" s="276">
        <f t="shared" si="50"/>
        <v>0</v>
      </c>
      <c r="F78" s="275">
        <f t="shared" si="51"/>
        <v>0</v>
      </c>
      <c r="G78" s="8"/>
    </row>
    <row r="79" spans="1:10" x14ac:dyDescent="0.2">
      <c r="A79" s="58">
        <f t="shared" si="47"/>
        <v>61</v>
      </c>
      <c r="B79" s="116" t="s">
        <v>243</v>
      </c>
      <c r="C79" s="276">
        <f t="shared" si="48"/>
        <v>0</v>
      </c>
      <c r="D79" s="276">
        <f t="shared" si="49"/>
        <v>0</v>
      </c>
      <c r="E79" s="276">
        <f t="shared" si="50"/>
        <v>0</v>
      </c>
      <c r="F79" s="275">
        <f t="shared" si="51"/>
        <v>0</v>
      </c>
      <c r="G79" s="8"/>
    </row>
    <row r="80" spans="1:10" x14ac:dyDescent="0.2">
      <c r="A80" s="58">
        <f t="shared" si="47"/>
        <v>62</v>
      </c>
      <c r="B80" s="116" t="s">
        <v>307</v>
      </c>
      <c r="C80" s="276">
        <f t="shared" si="48"/>
        <v>0</v>
      </c>
      <c r="D80" s="276">
        <f t="shared" si="49"/>
        <v>0</v>
      </c>
      <c r="E80" s="276">
        <f t="shared" si="50"/>
        <v>0</v>
      </c>
      <c r="F80" s="275">
        <f t="shared" si="51"/>
        <v>0</v>
      </c>
      <c r="G80" s="8"/>
    </row>
    <row r="81" spans="1:22" x14ac:dyDescent="0.2">
      <c r="A81" s="58">
        <f t="shared" si="47"/>
        <v>63</v>
      </c>
      <c r="B81" s="116" t="s">
        <v>236</v>
      </c>
      <c r="C81" s="276">
        <f t="shared" si="48"/>
        <v>1</v>
      </c>
      <c r="D81" s="276">
        <f t="shared" si="49"/>
        <v>0</v>
      </c>
      <c r="E81" s="276">
        <f t="shared" si="50"/>
        <v>0</v>
      </c>
      <c r="F81" s="275">
        <f t="shared" si="51"/>
        <v>1</v>
      </c>
      <c r="G81" s="8"/>
    </row>
    <row r="82" spans="1:22" x14ac:dyDescent="0.2">
      <c r="A82" s="58">
        <f t="shared" si="47"/>
        <v>64</v>
      </c>
      <c r="B82" s="116" t="s">
        <v>237</v>
      </c>
      <c r="C82" s="276">
        <f t="shared" si="48"/>
        <v>0</v>
      </c>
      <c r="D82" s="276">
        <f t="shared" si="49"/>
        <v>1</v>
      </c>
      <c r="E82" s="276">
        <f t="shared" si="50"/>
        <v>0</v>
      </c>
      <c r="F82" s="275">
        <f t="shared" si="51"/>
        <v>1</v>
      </c>
      <c r="G82" s="8"/>
    </row>
    <row r="83" spans="1:22" x14ac:dyDescent="0.2">
      <c r="A83" s="59">
        <f>A82+1</f>
        <v>65</v>
      </c>
      <c r="B83" s="179" t="s">
        <v>238</v>
      </c>
      <c r="C83" s="294">
        <f t="shared" si="48"/>
        <v>0</v>
      </c>
      <c r="D83" s="294">
        <f t="shared" si="49"/>
        <v>0</v>
      </c>
      <c r="E83" s="294">
        <f t="shared" si="50"/>
        <v>1</v>
      </c>
      <c r="F83" s="275">
        <f t="shared" si="51"/>
        <v>1</v>
      </c>
      <c r="G83" s="8"/>
    </row>
    <row r="84" spans="1:22" x14ac:dyDescent="0.2">
      <c r="A84" s="98">
        <f t="shared" si="47"/>
        <v>66</v>
      </c>
      <c r="B84" s="543" t="s">
        <v>232</v>
      </c>
      <c r="C84" s="276">
        <f t="shared" si="48"/>
        <v>4.5627047112767822E-3</v>
      </c>
      <c r="D84" s="276">
        <f t="shared" si="49"/>
        <v>0.99398742564674325</v>
      </c>
      <c r="E84" s="276">
        <f t="shared" si="50"/>
        <v>1.4498696419799879E-3</v>
      </c>
      <c r="F84" s="277">
        <f t="shared" si="51"/>
        <v>1</v>
      </c>
      <c r="G84" s="8"/>
    </row>
    <row r="85" spans="1:22" x14ac:dyDescent="0.2">
      <c r="A85" s="60">
        <f t="shared" si="47"/>
        <v>67</v>
      </c>
      <c r="B85" s="133" t="s">
        <v>228</v>
      </c>
      <c r="C85" s="147"/>
      <c r="D85" s="147"/>
      <c r="E85" s="147"/>
      <c r="F85" s="168"/>
      <c r="G85" s="8"/>
    </row>
    <row r="86" spans="1:22" ht="11.1" customHeight="1" x14ac:dyDescent="0.2">
      <c r="A86" s="58">
        <f t="shared" si="47"/>
        <v>68</v>
      </c>
      <c r="B86" s="154" t="s">
        <v>229</v>
      </c>
      <c r="C86" s="276">
        <f t="shared" ref="C86:C88" si="52">IFERROR(SUM(C58,D58,E58,I58,K58,R58,U58,X58,AA58)/AD58,0)</f>
        <v>0</v>
      </c>
      <c r="D86" s="276">
        <f t="shared" ref="D86:D88" si="53">IFERROR(SUM(F58,H58,J58,L58:N58,S58,V58,Y58,AB58)/AD58,0)</f>
        <v>1</v>
      </c>
      <c r="E86" s="276">
        <f t="shared" ref="E86:E88" si="54">IFERROR(SUM(G58,O58:Q58,T58,W58,Z58,AC58)/AD58,0)</f>
        <v>0</v>
      </c>
      <c r="F86" s="275">
        <f t="shared" ref="F86:F88" si="55">SUM(C86:E86)</f>
        <v>1</v>
      </c>
      <c r="G86" s="8"/>
    </row>
    <row r="87" spans="1:22" ht="11.1" customHeight="1" x14ac:dyDescent="0.2">
      <c r="A87" s="58">
        <f t="shared" si="47"/>
        <v>69</v>
      </c>
      <c r="B87" s="154" t="s">
        <v>230</v>
      </c>
      <c r="C87" s="276">
        <f t="shared" si="52"/>
        <v>0</v>
      </c>
      <c r="D87" s="276">
        <f t="shared" si="53"/>
        <v>0</v>
      </c>
      <c r="E87" s="276">
        <f t="shared" si="54"/>
        <v>1</v>
      </c>
      <c r="F87" s="275">
        <f t="shared" si="55"/>
        <v>1</v>
      </c>
      <c r="G87" s="8"/>
    </row>
    <row r="88" spans="1:22" ht="11.1" customHeight="1" x14ac:dyDescent="0.2">
      <c r="A88" s="59">
        <f t="shared" si="47"/>
        <v>70</v>
      </c>
      <c r="B88" s="144" t="s">
        <v>234</v>
      </c>
      <c r="C88" s="294">
        <f t="shared" si="52"/>
        <v>0</v>
      </c>
      <c r="D88" s="294">
        <f t="shared" si="53"/>
        <v>0</v>
      </c>
      <c r="E88" s="294">
        <f t="shared" si="54"/>
        <v>1</v>
      </c>
      <c r="F88" s="278">
        <f t="shared" si="55"/>
        <v>1</v>
      </c>
      <c r="G88" s="8"/>
    </row>
    <row r="89" spans="1:22" x14ac:dyDescent="0.2">
      <c r="A89" s="580"/>
      <c r="B89" s="581"/>
      <c r="C89" s="582"/>
      <c r="D89" s="3"/>
      <c r="E89" s="3"/>
      <c r="F89" s="3"/>
      <c r="K89" s="582"/>
      <c r="L89" s="583"/>
      <c r="M89" s="3"/>
      <c r="N89" s="3"/>
      <c r="O89" s="3"/>
      <c r="P89" s="584"/>
      <c r="S89" s="585"/>
      <c r="T89" s="585"/>
      <c r="U89" s="12"/>
    </row>
    <row r="90" spans="1:22" ht="67.5" x14ac:dyDescent="0.2">
      <c r="A90" s="63"/>
      <c r="B90" s="586" t="s">
        <v>405</v>
      </c>
      <c r="C90" s="46" t="s">
        <v>124</v>
      </c>
      <c r="D90" s="46" t="s">
        <v>123</v>
      </c>
      <c r="E90" s="64" t="s">
        <v>122</v>
      </c>
      <c r="F90" s="64" t="s">
        <v>43</v>
      </c>
      <c r="G90" s="80"/>
      <c r="J90" s="587"/>
      <c r="K90" s="46" t="s">
        <v>124</v>
      </c>
      <c r="L90" s="46" t="s">
        <v>123</v>
      </c>
      <c r="M90" s="64" t="s">
        <v>122</v>
      </c>
      <c r="N90" s="46" t="s">
        <v>7</v>
      </c>
      <c r="O90" s="46" t="s">
        <v>17</v>
      </c>
      <c r="P90" s="46" t="s">
        <v>18</v>
      </c>
      <c r="Q90" s="588"/>
      <c r="S90" s="589"/>
      <c r="T90" s="589"/>
      <c r="U90" s="589"/>
      <c r="V90" s="590"/>
    </row>
    <row r="91" spans="1:22" x14ac:dyDescent="0.2">
      <c r="A91" s="66"/>
      <c r="B91" s="48" t="s">
        <v>22</v>
      </c>
      <c r="C91" s="556">
        <f>F63-1</f>
        <v>-61</v>
      </c>
      <c r="D91" s="556">
        <f>C91-1</f>
        <v>-62</v>
      </c>
      <c r="E91" s="556">
        <f>D91-1</f>
        <v>-63</v>
      </c>
      <c r="F91" s="556">
        <f>E91-1</f>
        <v>-64</v>
      </c>
      <c r="K91" s="556">
        <f>F91-1</f>
        <v>-65</v>
      </c>
      <c r="L91" s="556">
        <f>K91-1</f>
        <v>-66</v>
      </c>
      <c r="M91" s="556">
        <f>L91-1</f>
        <v>-67</v>
      </c>
      <c r="N91" s="556">
        <f>M91-1</f>
        <v>-68</v>
      </c>
      <c r="O91" s="556">
        <f>N91-1</f>
        <v>-69</v>
      </c>
      <c r="P91" s="556">
        <f>O91-1</f>
        <v>-70</v>
      </c>
      <c r="Q91" s="591"/>
      <c r="S91" s="589"/>
      <c r="T91" s="589"/>
      <c r="U91" s="589"/>
      <c r="V91" s="590"/>
    </row>
    <row r="92" spans="1:22" x14ac:dyDescent="0.2">
      <c r="A92" s="68"/>
      <c r="B92" s="50" t="s">
        <v>94</v>
      </c>
      <c r="C92" s="68" t="s">
        <v>119</v>
      </c>
      <c r="D92" s="68" t="s">
        <v>119</v>
      </c>
      <c r="E92" s="68" t="s">
        <v>119</v>
      </c>
      <c r="F92" s="68" t="s">
        <v>119</v>
      </c>
      <c r="K92" s="67" t="s">
        <v>96</v>
      </c>
      <c r="L92" s="67" t="s">
        <v>96</v>
      </c>
      <c r="M92" s="67" t="s">
        <v>96</v>
      </c>
      <c r="N92" s="67" t="s">
        <v>96</v>
      </c>
      <c r="O92" s="67" t="s">
        <v>96</v>
      </c>
      <c r="P92" s="67" t="s">
        <v>96</v>
      </c>
      <c r="Q92" s="591"/>
      <c r="S92" s="589"/>
      <c r="T92" s="589"/>
      <c r="U92" s="589"/>
      <c r="V92" s="590"/>
    </row>
    <row r="93" spans="1:22" ht="22.5" x14ac:dyDescent="0.2">
      <c r="A93" s="69"/>
      <c r="B93" s="522" t="s">
        <v>112</v>
      </c>
      <c r="C93" s="95" t="str">
        <f>"C"&amp;-C6&amp;"..C"&amp;-I6&amp;", C"&amp;-R6</f>
        <v>C1..C7, C16</v>
      </c>
      <c r="D93" s="95" t="str">
        <f>"C"&amp;-L6&amp;"..C"&amp;-N6&amp;", C"&amp;-S6</f>
        <v>C10..C12, C17</v>
      </c>
      <c r="E93" s="95" t="str">
        <f>"C"&amp;-O6&amp;"..C"&amp;-Q6&amp;", C"&amp;-T6</f>
        <v>C13..C15, C18</v>
      </c>
      <c r="F93" s="95" t="str">
        <f>"=C"&amp;-C91&amp;"..C"&amp;-E91</f>
        <v>=C61..C63</v>
      </c>
      <c r="K93" s="95" t="str">
        <f>"C"&amp;-C34&amp;"..C"&amp;-I34&amp;", C"&amp;-R34</f>
        <v>C29..C35, C44</v>
      </c>
      <c r="L93" s="95" t="str">
        <f>"C"&amp;-J34&amp;"..C"&amp;-N34&amp;", C"&amp;-S34</f>
        <v>C36..C40, C45</v>
      </c>
      <c r="M93" s="95" t="str">
        <f>"C"&amp;-O34&amp;"..C"&amp;-Q34&amp;", C"&amp;-T34</f>
        <v>C41..C43, C46</v>
      </c>
      <c r="N93" s="95" t="str">
        <f>"=C"&amp;-K91&amp;"..C"&amp;-M91</f>
        <v>=C65..C67</v>
      </c>
      <c r="O93" s="69" t="str">
        <f>NOTES!A8&amp;" C"&amp;-'4.Rural cost'!P6</f>
        <v>4.RuralCost C14</v>
      </c>
      <c r="P93" s="69" t="str">
        <f>"C"&amp;-N91&amp;" + C"&amp;-X34&amp;"..C"&amp;-AC34</f>
        <v>C68 + C50..C55</v>
      </c>
      <c r="Q93" s="591"/>
      <c r="S93" s="589"/>
      <c r="T93" s="589"/>
      <c r="U93" s="589"/>
      <c r="V93" s="590"/>
    </row>
    <row r="94" spans="1:22" x14ac:dyDescent="0.2">
      <c r="A94" s="60">
        <f>A88+1</f>
        <v>71</v>
      </c>
      <c r="B94" s="127" t="s">
        <v>74</v>
      </c>
      <c r="C94" s="574"/>
      <c r="D94" s="574"/>
      <c r="E94" s="574"/>
      <c r="F94" s="574"/>
      <c r="K94" s="574"/>
      <c r="L94" s="574"/>
      <c r="M94" s="574"/>
      <c r="N94" s="574"/>
      <c r="O94" s="574"/>
      <c r="P94" s="574"/>
      <c r="S94" s="589"/>
      <c r="T94" s="589"/>
      <c r="U94" s="589"/>
      <c r="V94" s="590"/>
    </row>
    <row r="95" spans="1:22" x14ac:dyDescent="0.2">
      <c r="A95" s="58">
        <f t="shared" ref="A95:A116" si="56">A94+1</f>
        <v>72</v>
      </c>
      <c r="B95" s="191" t="s">
        <v>220</v>
      </c>
      <c r="C95" s="592">
        <f t="shared" ref="C95:C100" si="57">SUM(C10,D10,E10,K10,I10,R10)</f>
        <v>2778984.5304408846</v>
      </c>
      <c r="D95" s="592">
        <f t="shared" ref="D95:D100" si="58">SUM(F10,H10,J10,L10:N10,S10)</f>
        <v>0</v>
      </c>
      <c r="E95" s="592">
        <f t="shared" ref="E95:E100" si="59">SUM(G10,O10,P10,Q10,T10)</f>
        <v>0</v>
      </c>
      <c r="F95" s="592">
        <f t="shared" ref="F95:F100" si="60">SUM(C10:T10)</f>
        <v>2778984.5304408846</v>
      </c>
      <c r="K95" s="592">
        <f>SUM(C39,D39,E39,I39,K39,R39,AA39)</f>
        <v>133076.44045659658</v>
      </c>
      <c r="L95" s="592">
        <f>SUM(F39,H39,J39,L39:N39,S39,AB39)</f>
        <v>0</v>
      </c>
      <c r="M95" s="592">
        <f>SUM(G39,O39:Q39,T39,AC39)</f>
        <v>0</v>
      </c>
      <c r="N95" s="592">
        <f t="shared" ref="N95:N100" si="61">SUM(K95:M95)</f>
        <v>133076.44045659658</v>
      </c>
      <c r="O95" s="592">
        <f>'4.Rural cost'!P11</f>
        <v>133076.44045659658</v>
      </c>
      <c r="P95" s="593">
        <f>N95+SUM(U39:Z39)</f>
        <v>140775.70358139972</v>
      </c>
      <c r="Q95" s="153"/>
      <c r="R95" s="594"/>
      <c r="T95" s="589"/>
      <c r="U95" s="589"/>
      <c r="V95" s="590"/>
    </row>
    <row r="96" spans="1:22" x14ac:dyDescent="0.2">
      <c r="A96" s="58">
        <f>A95+1</f>
        <v>73</v>
      </c>
      <c r="B96" s="191" t="s">
        <v>221</v>
      </c>
      <c r="C96" s="592">
        <f t="shared" si="57"/>
        <v>112881.52413838136</v>
      </c>
      <c r="D96" s="592">
        <f t="shared" si="58"/>
        <v>0</v>
      </c>
      <c r="E96" s="592">
        <f t="shared" si="59"/>
        <v>0</v>
      </c>
      <c r="F96" s="592">
        <f t="shared" si="60"/>
        <v>112881.52413838136</v>
      </c>
      <c r="K96" s="592">
        <f t="shared" ref="K96:K100" si="62">SUM(C40,D40,E40,I40,K40,R40,AA40)</f>
        <v>6824.8070204386358</v>
      </c>
      <c r="L96" s="592">
        <f t="shared" ref="L96:L100" si="63">SUM(F40,H40,J40,L40:N40,S40,AB40)</f>
        <v>0</v>
      </c>
      <c r="M96" s="592">
        <f t="shared" ref="M96:M100" si="64">SUM(G40,O40:Q40,T40,AC40)</f>
        <v>0</v>
      </c>
      <c r="N96" s="592">
        <f t="shared" si="61"/>
        <v>6824.8070204386358</v>
      </c>
      <c r="O96" s="592">
        <f>'4.Rural cost'!P13</f>
        <v>6824.8070204386358</v>
      </c>
      <c r="P96" s="593">
        <f t="shared" ref="P96:P100" si="65">N96+SUM(U40:Z40)</f>
        <v>6824.8070204386358</v>
      </c>
      <c r="Q96" s="153"/>
      <c r="R96" s="589"/>
      <c r="T96" s="589"/>
      <c r="U96" s="589"/>
      <c r="V96" s="590"/>
    </row>
    <row r="97" spans="1:22" x14ac:dyDescent="0.2">
      <c r="A97" s="58">
        <f t="shared" si="56"/>
        <v>74</v>
      </c>
      <c r="B97" s="191" t="s">
        <v>222</v>
      </c>
      <c r="C97" s="592">
        <f t="shared" si="57"/>
        <v>9972465.2824892402</v>
      </c>
      <c r="D97" s="592">
        <f t="shared" si="58"/>
        <v>0</v>
      </c>
      <c r="E97" s="592">
        <f t="shared" si="59"/>
        <v>0</v>
      </c>
      <c r="F97" s="592">
        <f t="shared" si="60"/>
        <v>9972465.2824892402</v>
      </c>
      <c r="K97" s="592">
        <f t="shared" si="62"/>
        <v>406771.855869719</v>
      </c>
      <c r="L97" s="592">
        <f t="shared" si="63"/>
        <v>0</v>
      </c>
      <c r="M97" s="592">
        <f t="shared" si="64"/>
        <v>0</v>
      </c>
      <c r="N97" s="592">
        <f t="shared" si="61"/>
        <v>406771.855869719</v>
      </c>
      <c r="O97" s="592">
        <f>'4.Rural cost'!P15</f>
        <v>406771.85586971894</v>
      </c>
      <c r="P97" s="593">
        <f t="shared" si="65"/>
        <v>406771.855869719</v>
      </c>
      <c r="Q97" s="153"/>
      <c r="R97" s="594"/>
      <c r="T97" s="589"/>
      <c r="U97" s="589"/>
      <c r="V97" s="590"/>
    </row>
    <row r="98" spans="1:22" x14ac:dyDescent="0.2">
      <c r="A98" s="58">
        <f t="shared" si="56"/>
        <v>75</v>
      </c>
      <c r="B98" s="191" t="s">
        <v>223</v>
      </c>
      <c r="C98" s="592">
        <f t="shared" si="57"/>
        <v>767431.00840086641</v>
      </c>
      <c r="D98" s="592">
        <f t="shared" si="58"/>
        <v>0</v>
      </c>
      <c r="E98" s="592">
        <f t="shared" si="59"/>
        <v>0</v>
      </c>
      <c r="F98" s="592">
        <f t="shared" si="60"/>
        <v>767431.00840086641</v>
      </c>
      <c r="K98" s="592">
        <f t="shared" si="62"/>
        <v>31516.877897468439</v>
      </c>
      <c r="L98" s="592">
        <f t="shared" si="63"/>
        <v>0</v>
      </c>
      <c r="M98" s="592">
        <f t="shared" si="64"/>
        <v>0</v>
      </c>
      <c r="N98" s="592">
        <f t="shared" si="61"/>
        <v>31516.877897468439</v>
      </c>
      <c r="O98" s="592"/>
      <c r="P98" s="593">
        <f t="shared" si="65"/>
        <v>31516.877897468439</v>
      </c>
      <c r="Q98" s="153"/>
      <c r="R98" s="589"/>
      <c r="T98" s="589"/>
      <c r="U98" s="589"/>
      <c r="V98" s="590"/>
    </row>
    <row r="99" spans="1:22" x14ac:dyDescent="0.2">
      <c r="A99" s="58">
        <f t="shared" si="56"/>
        <v>76</v>
      </c>
      <c r="B99" s="154" t="s">
        <v>224</v>
      </c>
      <c r="C99" s="592">
        <f t="shared" si="57"/>
        <v>0</v>
      </c>
      <c r="D99" s="592">
        <f t="shared" si="58"/>
        <v>121893.59035057761</v>
      </c>
      <c r="E99" s="592">
        <f t="shared" si="59"/>
        <v>0</v>
      </c>
      <c r="F99" s="592">
        <f t="shared" si="60"/>
        <v>121893.59035057761</v>
      </c>
      <c r="K99" s="592">
        <f t="shared" si="62"/>
        <v>0</v>
      </c>
      <c r="L99" s="592">
        <f t="shared" si="63"/>
        <v>18222.698321924396</v>
      </c>
      <c r="M99" s="592">
        <f t="shared" si="64"/>
        <v>0</v>
      </c>
      <c r="N99" s="592">
        <f t="shared" si="61"/>
        <v>18222.698321924396</v>
      </c>
      <c r="O99" s="592">
        <f>'4.Rural cost'!P19</f>
        <v>18222.698321924396</v>
      </c>
      <c r="P99" s="593">
        <f t="shared" si="65"/>
        <v>18222.698321924396</v>
      </c>
      <c r="Q99" s="153"/>
      <c r="R99" s="594"/>
      <c r="T99" s="589"/>
      <c r="U99" s="589"/>
      <c r="V99" s="590"/>
    </row>
    <row r="100" spans="1:22" x14ac:dyDescent="0.2">
      <c r="A100" s="59">
        <f t="shared" si="56"/>
        <v>77</v>
      </c>
      <c r="B100" s="154" t="s">
        <v>225</v>
      </c>
      <c r="C100" s="592">
        <f t="shared" si="57"/>
        <v>0</v>
      </c>
      <c r="D100" s="592">
        <f t="shared" si="58"/>
        <v>152742.35294556891</v>
      </c>
      <c r="E100" s="592">
        <f t="shared" si="59"/>
        <v>0</v>
      </c>
      <c r="F100" s="592">
        <f t="shared" si="60"/>
        <v>152742.35294556891</v>
      </c>
      <c r="K100" s="592">
        <f t="shared" si="62"/>
        <v>0</v>
      </c>
      <c r="L100" s="592">
        <f t="shared" si="63"/>
        <v>22621.901719052446</v>
      </c>
      <c r="M100" s="592">
        <f t="shared" si="64"/>
        <v>0</v>
      </c>
      <c r="N100" s="592">
        <f t="shared" si="61"/>
        <v>22621.901719052446</v>
      </c>
      <c r="O100" s="592">
        <f>'4.Rural cost'!P21</f>
        <v>22621.901719052439</v>
      </c>
      <c r="P100" s="593">
        <f t="shared" si="65"/>
        <v>22621.901719052446</v>
      </c>
      <c r="Q100" s="153"/>
      <c r="R100" s="594"/>
      <c r="T100" s="589"/>
      <c r="U100" s="589"/>
      <c r="V100" s="590"/>
    </row>
    <row r="101" spans="1:22" x14ac:dyDescent="0.2">
      <c r="A101" s="60">
        <f>A100+1</f>
        <v>78</v>
      </c>
      <c r="B101" s="127" t="s">
        <v>346</v>
      </c>
      <c r="C101" s="115"/>
      <c r="D101" s="115"/>
      <c r="E101" s="115"/>
      <c r="F101" s="115"/>
      <c r="K101" s="115"/>
      <c r="L101" s="115"/>
      <c r="M101" s="115"/>
      <c r="N101" s="115"/>
      <c r="O101" s="115"/>
      <c r="P101" s="115"/>
      <c r="Q101" s="153"/>
      <c r="R101" s="32"/>
      <c r="T101" s="32"/>
      <c r="U101" s="32"/>
      <c r="V101" s="32"/>
    </row>
    <row r="102" spans="1:22" x14ac:dyDescent="0.2">
      <c r="A102" s="58">
        <f t="shared" si="56"/>
        <v>79</v>
      </c>
      <c r="B102" s="120" t="s">
        <v>239</v>
      </c>
      <c r="C102" s="592">
        <f t="shared" ref="C102:C112" si="66">SUM(C17,D17,E17,K17,I17,R17)</f>
        <v>1246705.9436293107</v>
      </c>
      <c r="D102" s="592">
        <f t="shared" ref="D102:D112" si="67">SUM(F17,H17,J17,L17:N17,S17)</f>
        <v>0</v>
      </c>
      <c r="E102" s="592">
        <f t="shared" ref="E102:E112" si="68">SUM(G17,O17,P17,Q17,T17)</f>
        <v>0</v>
      </c>
      <c r="F102" s="592">
        <f t="shared" ref="F102:F112" si="69">SUM(C17:T17)</f>
        <v>1246705.9436293107</v>
      </c>
      <c r="K102" s="592">
        <f t="shared" ref="K102:K111" si="70">SUM(C46,D46,E46,I46,K46,R46,AA46)</f>
        <v>73259.33023182764</v>
      </c>
      <c r="L102" s="592">
        <f t="shared" ref="L102:L111" si="71">SUM(F46,H46,J46,L46:N46,S46,AB46)</f>
        <v>0</v>
      </c>
      <c r="M102" s="592">
        <f t="shared" ref="M102:M111" si="72">SUM(G46,O46:Q46,T46,AC46)</f>
        <v>0</v>
      </c>
      <c r="N102" s="119">
        <f t="shared" ref="N102:N116" si="73">SUM(K102:M102)</f>
        <v>73259.33023182764</v>
      </c>
      <c r="O102" s="119"/>
      <c r="P102" s="593">
        <f t="shared" ref="P102:P111" si="74">N102+SUM(U46:Z46)</f>
        <v>73259.33023182764</v>
      </c>
      <c r="Q102" s="153"/>
      <c r="R102" s="32"/>
      <c r="T102" s="32"/>
      <c r="U102" s="32"/>
      <c r="V102" s="32"/>
    </row>
    <row r="103" spans="1:22" x14ac:dyDescent="0.2">
      <c r="A103" s="58">
        <f t="shared" si="56"/>
        <v>80</v>
      </c>
      <c r="B103" s="116" t="s">
        <v>235</v>
      </c>
      <c r="C103" s="592">
        <f t="shared" si="66"/>
        <v>1134109.6229790894</v>
      </c>
      <c r="D103" s="592">
        <f t="shared" si="67"/>
        <v>0</v>
      </c>
      <c r="E103" s="592">
        <f t="shared" si="68"/>
        <v>0</v>
      </c>
      <c r="F103" s="592">
        <f t="shared" si="69"/>
        <v>1134109.6229790894</v>
      </c>
      <c r="K103" s="592">
        <f t="shared" si="70"/>
        <v>56686.308197454251</v>
      </c>
      <c r="L103" s="592">
        <f t="shared" si="71"/>
        <v>0</v>
      </c>
      <c r="M103" s="592">
        <f t="shared" si="72"/>
        <v>0</v>
      </c>
      <c r="N103" s="119">
        <f t="shared" si="73"/>
        <v>56686.308197454251</v>
      </c>
      <c r="O103" s="119">
        <f>'4.Rural cost'!P24</f>
        <v>142793.22993141727</v>
      </c>
      <c r="P103" s="593">
        <f t="shared" si="74"/>
        <v>56686.308197454251</v>
      </c>
      <c r="Q103" s="153"/>
      <c r="R103" s="8"/>
      <c r="T103" s="32"/>
      <c r="U103" s="32"/>
      <c r="V103" s="32"/>
    </row>
    <row r="104" spans="1:22" x14ac:dyDescent="0.2">
      <c r="A104" s="58">
        <f t="shared" si="56"/>
        <v>81</v>
      </c>
      <c r="B104" s="116" t="s">
        <v>240</v>
      </c>
      <c r="C104" s="592">
        <f t="shared" si="66"/>
        <v>0</v>
      </c>
      <c r="D104" s="592">
        <f t="shared" si="67"/>
        <v>518706.3452992033</v>
      </c>
      <c r="E104" s="592">
        <f t="shared" si="68"/>
        <v>0</v>
      </c>
      <c r="F104" s="592">
        <f t="shared" si="69"/>
        <v>518706.3452992033</v>
      </c>
      <c r="K104" s="592">
        <f t="shared" si="70"/>
        <v>0</v>
      </c>
      <c r="L104" s="592">
        <f t="shared" si="71"/>
        <v>71941.295443966461</v>
      </c>
      <c r="M104" s="592">
        <f t="shared" si="72"/>
        <v>0</v>
      </c>
      <c r="N104" s="119">
        <f t="shared" si="73"/>
        <v>71941.295443966461</v>
      </c>
      <c r="O104" s="119"/>
      <c r="P104" s="593">
        <f t="shared" si="74"/>
        <v>71941.295443966461</v>
      </c>
      <c r="Q104" s="153"/>
      <c r="R104" s="32"/>
      <c r="T104" s="32"/>
      <c r="U104" s="32"/>
      <c r="V104" s="32"/>
    </row>
    <row r="105" spans="1:22" x14ac:dyDescent="0.2">
      <c r="A105" s="58">
        <f t="shared" si="56"/>
        <v>82</v>
      </c>
      <c r="B105" s="116" t="s">
        <v>241</v>
      </c>
      <c r="C105" s="592">
        <f t="shared" si="66"/>
        <v>0</v>
      </c>
      <c r="D105" s="592">
        <f t="shared" si="67"/>
        <v>2381975.7704413561</v>
      </c>
      <c r="E105" s="592">
        <f t="shared" si="68"/>
        <v>0</v>
      </c>
      <c r="F105" s="592">
        <f t="shared" si="69"/>
        <v>2381975.7704413561</v>
      </c>
      <c r="K105" s="592">
        <f t="shared" si="70"/>
        <v>0</v>
      </c>
      <c r="L105" s="592">
        <f>SUM(F49,H49,J49,L49:N49,S49,AB49)-L108</f>
        <v>146692.43531935383</v>
      </c>
      <c r="M105" s="592">
        <f t="shared" si="72"/>
        <v>0</v>
      </c>
      <c r="N105" s="119">
        <f t="shared" si="73"/>
        <v>146692.43531935383</v>
      </c>
      <c r="O105" s="119"/>
      <c r="P105" s="593">
        <f t="shared" si="74"/>
        <v>146692.43531935383</v>
      </c>
      <c r="Q105" s="153"/>
      <c r="R105" s="153"/>
      <c r="T105" s="32"/>
      <c r="U105" s="32"/>
      <c r="V105" s="32"/>
    </row>
    <row r="106" spans="1:22" x14ac:dyDescent="0.2">
      <c r="A106" s="58">
        <f t="shared" si="56"/>
        <v>83</v>
      </c>
      <c r="B106" s="116" t="s">
        <v>242</v>
      </c>
      <c r="C106" s="592">
        <f t="shared" si="66"/>
        <v>0</v>
      </c>
      <c r="D106" s="592">
        <f t="shared" si="67"/>
        <v>0</v>
      </c>
      <c r="E106" s="592">
        <f t="shared" si="68"/>
        <v>0</v>
      </c>
      <c r="F106" s="592">
        <f t="shared" si="69"/>
        <v>0</v>
      </c>
      <c r="K106" s="592">
        <f t="shared" si="70"/>
        <v>0</v>
      </c>
      <c r="L106" s="592">
        <f t="shared" si="71"/>
        <v>0</v>
      </c>
      <c r="M106" s="592">
        <f t="shared" si="72"/>
        <v>0</v>
      </c>
      <c r="N106" s="119">
        <f t="shared" si="73"/>
        <v>0</v>
      </c>
      <c r="O106" s="119"/>
      <c r="P106" s="593">
        <f t="shared" si="74"/>
        <v>0</v>
      </c>
      <c r="Q106" s="153"/>
      <c r="R106" s="32"/>
      <c r="T106" s="32"/>
      <c r="U106" s="32"/>
      <c r="V106" s="32"/>
    </row>
    <row r="107" spans="1:22" x14ac:dyDescent="0.2">
      <c r="A107" s="58">
        <f t="shared" si="56"/>
        <v>84</v>
      </c>
      <c r="B107" s="116" t="s">
        <v>243</v>
      </c>
      <c r="C107" s="592">
        <f t="shared" si="66"/>
        <v>0</v>
      </c>
      <c r="D107" s="592">
        <f t="shared" si="67"/>
        <v>0</v>
      </c>
      <c r="E107" s="592">
        <f t="shared" si="68"/>
        <v>0</v>
      </c>
      <c r="F107" s="592">
        <f t="shared" si="69"/>
        <v>0</v>
      </c>
      <c r="K107" s="592">
        <f t="shared" si="70"/>
        <v>0</v>
      </c>
      <c r="L107" s="592">
        <f t="shared" si="71"/>
        <v>0</v>
      </c>
      <c r="M107" s="592">
        <f t="shared" si="72"/>
        <v>0</v>
      </c>
      <c r="N107" s="119">
        <f t="shared" si="73"/>
        <v>0</v>
      </c>
      <c r="O107" s="119">
        <f>'4.Rural cost'!P26</f>
        <v>311173.67266291118</v>
      </c>
      <c r="P107" s="593">
        <f t="shared" si="74"/>
        <v>0</v>
      </c>
      <c r="Q107" s="153"/>
      <c r="R107" s="153"/>
      <c r="T107" s="32"/>
      <c r="U107" s="32"/>
      <c r="V107" s="32"/>
    </row>
    <row r="108" spans="1:22" x14ac:dyDescent="0.2">
      <c r="A108" s="58">
        <f t="shared" si="56"/>
        <v>85</v>
      </c>
      <c r="B108" s="116" t="s">
        <v>307</v>
      </c>
      <c r="C108" s="592">
        <f t="shared" si="66"/>
        <v>0</v>
      </c>
      <c r="D108" s="592">
        <f t="shared" si="67"/>
        <v>0</v>
      </c>
      <c r="E108" s="592">
        <f t="shared" si="68"/>
        <v>0</v>
      </c>
      <c r="F108" s="592">
        <f t="shared" si="69"/>
        <v>0</v>
      </c>
      <c r="K108" s="592">
        <f t="shared" si="70"/>
        <v>0</v>
      </c>
      <c r="L108" s="592">
        <f>O108</f>
        <v>6265.564633027645</v>
      </c>
      <c r="M108" s="592">
        <f t="shared" si="72"/>
        <v>0</v>
      </c>
      <c r="N108" s="119">
        <f>O108</f>
        <v>6265.564633027645</v>
      </c>
      <c r="O108" s="119">
        <f>'4.Rural cost'!P28</f>
        <v>6265.564633027645</v>
      </c>
      <c r="P108" s="593">
        <f t="shared" si="74"/>
        <v>6265.564633027645</v>
      </c>
      <c r="Q108" s="153"/>
      <c r="R108" s="153"/>
      <c r="T108" s="32"/>
      <c r="U108" s="32"/>
      <c r="V108" s="32"/>
    </row>
    <row r="109" spans="1:22" x14ac:dyDescent="0.2">
      <c r="A109" s="58">
        <f t="shared" si="56"/>
        <v>86</v>
      </c>
      <c r="B109" s="116" t="s">
        <v>236</v>
      </c>
      <c r="C109" s="592">
        <f t="shared" si="66"/>
        <v>14105576.392138921</v>
      </c>
      <c r="D109" s="592">
        <f t="shared" si="67"/>
        <v>0</v>
      </c>
      <c r="E109" s="592">
        <f t="shared" si="68"/>
        <v>0</v>
      </c>
      <c r="F109" s="592">
        <f t="shared" si="69"/>
        <v>14105576.392138921</v>
      </c>
      <c r="K109" s="592">
        <f t="shared" si="70"/>
        <v>605607.56839838414</v>
      </c>
      <c r="L109" s="592">
        <f t="shared" si="71"/>
        <v>0</v>
      </c>
      <c r="M109" s="592">
        <f t="shared" si="72"/>
        <v>0</v>
      </c>
      <c r="N109" s="119">
        <f t="shared" si="73"/>
        <v>605607.56839838414</v>
      </c>
      <c r="O109" s="119">
        <f>'4.Rural cost'!P30</f>
        <v>606006.30944409082</v>
      </c>
      <c r="P109" s="593">
        <f t="shared" si="74"/>
        <v>605607.56839838414</v>
      </c>
      <c r="Q109" s="153"/>
      <c r="R109" s="32"/>
      <c r="T109" s="32"/>
      <c r="U109" s="32"/>
      <c r="V109" s="32"/>
    </row>
    <row r="110" spans="1:22" x14ac:dyDescent="0.2">
      <c r="A110" s="58">
        <f t="shared" si="56"/>
        <v>87</v>
      </c>
      <c r="B110" s="116" t="s">
        <v>237</v>
      </c>
      <c r="C110" s="592">
        <f t="shared" si="66"/>
        <v>0</v>
      </c>
      <c r="D110" s="592">
        <f t="shared" si="67"/>
        <v>683577.4231866264</v>
      </c>
      <c r="E110" s="592">
        <f t="shared" si="68"/>
        <v>0</v>
      </c>
      <c r="F110" s="592">
        <f t="shared" si="69"/>
        <v>683577.4231866264</v>
      </c>
      <c r="K110" s="592">
        <f t="shared" si="70"/>
        <v>0</v>
      </c>
      <c r="L110" s="592">
        <f t="shared" si="71"/>
        <v>101190.43130534788</v>
      </c>
      <c r="M110" s="592">
        <f t="shared" si="72"/>
        <v>0</v>
      </c>
      <c r="N110" s="119">
        <f t="shared" si="73"/>
        <v>101190.43130534788</v>
      </c>
      <c r="O110" s="119">
        <f>'4.Rural cost'!P32</f>
        <v>101205.37081772015</v>
      </c>
      <c r="P110" s="593">
        <f t="shared" si="74"/>
        <v>101190.43130534788</v>
      </c>
      <c r="Q110" s="153"/>
      <c r="R110" s="32"/>
      <c r="T110" s="32"/>
      <c r="U110" s="32"/>
      <c r="V110" s="32"/>
    </row>
    <row r="111" spans="1:22" x14ac:dyDescent="0.2">
      <c r="A111" s="58">
        <f>A110+1</f>
        <v>88</v>
      </c>
      <c r="B111" s="179" t="s">
        <v>238</v>
      </c>
      <c r="C111" s="592">
        <f t="shared" si="66"/>
        <v>0</v>
      </c>
      <c r="D111" s="592">
        <f t="shared" si="67"/>
        <v>0</v>
      </c>
      <c r="E111" s="592">
        <f t="shared" si="68"/>
        <v>4738.8168852945901</v>
      </c>
      <c r="F111" s="595">
        <f t="shared" si="69"/>
        <v>4738.8168852945901</v>
      </c>
      <c r="K111" s="592">
        <f t="shared" si="70"/>
        <v>0</v>
      </c>
      <c r="L111" s="592">
        <f t="shared" si="71"/>
        <v>0</v>
      </c>
      <c r="M111" s="592">
        <f t="shared" si="72"/>
        <v>2671.3112471024583</v>
      </c>
      <c r="N111" s="159">
        <f t="shared" si="73"/>
        <v>2671.3112471024583</v>
      </c>
      <c r="O111" s="159">
        <f>'4.Rural cost'!P34</f>
        <v>2671.3112471024574</v>
      </c>
      <c r="P111" s="593">
        <f t="shared" si="74"/>
        <v>2671.3112471024583</v>
      </c>
      <c r="Q111" s="153"/>
      <c r="R111" s="32"/>
      <c r="T111" s="32"/>
      <c r="U111" s="32"/>
      <c r="V111" s="32"/>
    </row>
    <row r="112" spans="1:22" x14ac:dyDescent="0.2">
      <c r="A112" s="58">
        <f t="shared" si="56"/>
        <v>89</v>
      </c>
      <c r="B112" s="543" t="s">
        <v>232</v>
      </c>
      <c r="C112" s="596">
        <f t="shared" si="66"/>
        <v>7106.4786679800536</v>
      </c>
      <c r="D112" s="596">
        <f t="shared" si="67"/>
        <v>1087204.1921299705</v>
      </c>
      <c r="E112" s="596">
        <f t="shared" si="68"/>
        <v>505.07110782104365</v>
      </c>
      <c r="F112" s="596">
        <f t="shared" si="69"/>
        <v>1094815.7419057717</v>
      </c>
      <c r="K112" s="596">
        <f>SUM(C56,D56,E56,I56,K56,R56,AA56)</f>
        <v>749.81938850145502</v>
      </c>
      <c r="L112" s="596">
        <f>SUM(F56,H56,J56,L56:N56,S56,AB56)</f>
        <v>163348.51603140804</v>
      </c>
      <c r="M112" s="596">
        <f>SUM(G56,O56:Q56,T56,AC56)</f>
        <v>238.26665040789882</v>
      </c>
      <c r="N112" s="104">
        <f t="shared" si="73"/>
        <v>164336.6020703174</v>
      </c>
      <c r="O112" s="104">
        <f>'4.Rural cost'!P36</f>
        <v>165184.75066965577</v>
      </c>
      <c r="P112" s="597">
        <f>N112+SUM(U56:Z56)</f>
        <v>164336.6020703174</v>
      </c>
      <c r="Q112" s="153"/>
      <c r="R112" s="32"/>
      <c r="T112" s="32"/>
      <c r="U112" s="32"/>
      <c r="V112" s="32"/>
    </row>
    <row r="113" spans="1:22" x14ac:dyDescent="0.2">
      <c r="A113" s="58">
        <f t="shared" si="56"/>
        <v>90</v>
      </c>
      <c r="B113" s="133" t="s">
        <v>228</v>
      </c>
      <c r="C113" s="128"/>
      <c r="D113" s="128"/>
      <c r="E113" s="128"/>
      <c r="F113" s="128"/>
      <c r="K113" s="128"/>
      <c r="L113" s="128"/>
      <c r="M113" s="128"/>
      <c r="N113" s="128"/>
      <c r="O113" s="128"/>
      <c r="P113" s="128"/>
      <c r="Q113" s="153"/>
      <c r="R113" s="32"/>
      <c r="T113" s="32"/>
      <c r="U113" s="32"/>
      <c r="V113" s="32"/>
    </row>
    <row r="114" spans="1:22" x14ac:dyDescent="0.2">
      <c r="A114" s="58">
        <f t="shared" si="56"/>
        <v>91</v>
      </c>
      <c r="B114" s="154" t="s">
        <v>229</v>
      </c>
      <c r="C114" s="592">
        <f>SUM(C29,D29,E29,K29,I29,R29)</f>
        <v>0</v>
      </c>
      <c r="D114" s="592">
        <f>SUM(F29,H29,J29,L29:N29,S29)</f>
        <v>36106.106550156823</v>
      </c>
      <c r="E114" s="592">
        <f>SUM(G29,O29,P29,Q29,T29)</f>
        <v>0</v>
      </c>
      <c r="F114" s="592">
        <f>SUM(C29:T29)</f>
        <v>36106.106550156823</v>
      </c>
      <c r="K114" s="592">
        <f>SUM(C58,D58,E58,I58,K58,R58)</f>
        <v>0</v>
      </c>
      <c r="L114" s="592">
        <f t="shared" ref="L114:L116" si="75">SUM(F58,H58,J58,L58:N58,S58,AB58)</f>
        <v>6198.3109768705808</v>
      </c>
      <c r="M114" s="592">
        <f t="shared" ref="M114:M116" si="76">SUM(G58,O58:Q58,T58,AC58)</f>
        <v>0</v>
      </c>
      <c r="N114" s="119">
        <f t="shared" si="73"/>
        <v>6198.3109768705808</v>
      </c>
      <c r="O114" s="119">
        <f>'4.Rural cost'!P39</f>
        <v>6213.8574253713114</v>
      </c>
      <c r="P114" s="593">
        <f t="shared" ref="P114:P116" si="77">N114+SUM(U58:Z58)</f>
        <v>6205.7313026092042</v>
      </c>
      <c r="Q114" s="153"/>
      <c r="R114" s="32"/>
      <c r="T114" s="32"/>
      <c r="U114" s="32"/>
      <c r="V114" s="32"/>
    </row>
    <row r="115" spans="1:22" x14ac:dyDescent="0.2">
      <c r="A115" s="58">
        <f t="shared" si="56"/>
        <v>92</v>
      </c>
      <c r="B115" s="154" t="s">
        <v>230</v>
      </c>
      <c r="C115" s="592">
        <f>SUM(C30,D30,E30,K30,I30,R30)</f>
        <v>0</v>
      </c>
      <c r="D115" s="592">
        <f>SUM(F30,H30,J30,L30:N30,S30)</f>
        <v>0</v>
      </c>
      <c r="E115" s="592">
        <f>SUM(G30,O30,P30,Q30,T30)</f>
        <v>81470.785946928605</v>
      </c>
      <c r="F115" s="592">
        <f>SUM(C30:T30)</f>
        <v>81470.785946928605</v>
      </c>
      <c r="K115" s="592">
        <f>SUM(C59,D59,E59,I59,K59,R59)</f>
        <v>0</v>
      </c>
      <c r="L115" s="592">
        <f t="shared" si="75"/>
        <v>0</v>
      </c>
      <c r="M115" s="592">
        <f t="shared" si="76"/>
        <v>72576.863989485661</v>
      </c>
      <c r="N115" s="119">
        <f t="shared" si="73"/>
        <v>72576.863989485661</v>
      </c>
      <c r="O115" s="119">
        <f>'4.Rural cost'!P41</f>
        <v>72576.863989485661</v>
      </c>
      <c r="P115" s="593">
        <f t="shared" si="77"/>
        <v>72646.686622330322</v>
      </c>
      <c r="Q115" s="153"/>
      <c r="R115" s="32"/>
      <c r="T115" s="32"/>
      <c r="U115" s="32"/>
      <c r="V115" s="32"/>
    </row>
    <row r="116" spans="1:22" x14ac:dyDescent="0.2">
      <c r="A116" s="59">
        <f t="shared" si="56"/>
        <v>93</v>
      </c>
      <c r="B116" s="144" t="s">
        <v>234</v>
      </c>
      <c r="C116" s="595">
        <f>SUM(C31,D31,E31,K31,I31,R31)</f>
        <v>0</v>
      </c>
      <c r="D116" s="595">
        <f>SUM(F31,H31,J31,L31:N31,S31)</f>
        <v>0</v>
      </c>
      <c r="E116" s="595">
        <f>SUM(G31,O31,P31,Q31,T31)</f>
        <v>22984.944246334828</v>
      </c>
      <c r="F116" s="595">
        <f>SUM(C31:T31)</f>
        <v>22984.944246334828</v>
      </c>
      <c r="K116" s="595">
        <f>SUM(C60,D60,E60,I60,K60,R60)</f>
        <v>0</v>
      </c>
      <c r="L116" s="595">
        <f t="shared" si="75"/>
        <v>0</v>
      </c>
      <c r="M116" s="595">
        <f t="shared" si="76"/>
        <v>21961.402155786578</v>
      </c>
      <c r="N116" s="159">
        <f t="shared" si="73"/>
        <v>21961.402155786578</v>
      </c>
      <c r="O116" s="159">
        <f>'4.Rural cost'!P43</f>
        <v>21961.402155786571</v>
      </c>
      <c r="P116" s="598">
        <f t="shared" si="77"/>
        <v>22216.98891684039</v>
      </c>
      <c r="Q116" s="153"/>
      <c r="R116" s="32"/>
      <c r="T116" s="32"/>
      <c r="U116" s="32"/>
      <c r="V116" s="32"/>
    </row>
    <row r="117" spans="1:22" x14ac:dyDescent="0.2">
      <c r="C117" s="8"/>
      <c r="D117" s="8"/>
      <c r="E117" s="8"/>
      <c r="F117" s="8"/>
      <c r="G117" s="8"/>
      <c r="H117" s="8"/>
      <c r="I117" s="8"/>
      <c r="N117" s="9"/>
    </row>
    <row r="118" spans="1:22" ht="33.75" x14ac:dyDescent="0.2">
      <c r="A118" s="65"/>
      <c r="C118" s="599" t="s">
        <v>406</v>
      </c>
      <c r="D118" s="600"/>
      <c r="E118" s="600"/>
      <c r="F118" s="600"/>
      <c r="G118" s="600" t="s">
        <v>19</v>
      </c>
      <c r="H118" s="600"/>
      <c r="I118" s="600"/>
      <c r="J118" s="8"/>
      <c r="K118" s="8"/>
      <c r="N118" s="9"/>
    </row>
    <row r="119" spans="1:22" x14ac:dyDescent="0.2">
      <c r="A119" s="71"/>
      <c r="C119" s="12" t="s">
        <v>16</v>
      </c>
      <c r="D119" s="601"/>
      <c r="E119" s="601"/>
      <c r="F119" s="601"/>
      <c r="G119" s="8"/>
      <c r="H119" s="8"/>
      <c r="I119" s="8"/>
      <c r="J119" s="8"/>
      <c r="K119" s="8"/>
      <c r="N119" s="9"/>
    </row>
    <row r="120" spans="1:22" x14ac:dyDescent="0.2">
      <c r="A120" s="71"/>
      <c r="C120" s="12" t="s">
        <v>407</v>
      </c>
      <c r="D120" s="33"/>
      <c r="E120" s="33"/>
      <c r="F120" s="33"/>
      <c r="G120" s="8"/>
      <c r="H120" s="8"/>
      <c r="I120" s="8"/>
      <c r="J120" s="8"/>
      <c r="K120" s="8"/>
      <c r="N120" s="9"/>
    </row>
    <row r="121" spans="1:22" x14ac:dyDescent="0.2">
      <c r="A121" s="71"/>
      <c r="C121" s="12" t="s">
        <v>408</v>
      </c>
      <c r="D121" s="33"/>
      <c r="E121" s="33"/>
      <c r="F121" s="33"/>
      <c r="G121" s="8"/>
      <c r="H121" s="8"/>
      <c r="I121" s="8"/>
      <c r="J121" s="8"/>
      <c r="K121" s="8"/>
      <c r="N121" s="9"/>
    </row>
    <row r="122" spans="1:22" x14ac:dyDescent="0.2">
      <c r="A122" s="71"/>
      <c r="C122" s="12" t="s">
        <v>409</v>
      </c>
      <c r="D122" s="8"/>
      <c r="E122" s="8"/>
      <c r="F122" s="8"/>
      <c r="G122" s="8"/>
      <c r="H122" s="8"/>
      <c r="I122" s="8"/>
      <c r="J122" s="8"/>
      <c r="K122" s="8"/>
      <c r="N122" s="9"/>
    </row>
    <row r="123" spans="1:22" x14ac:dyDescent="0.2">
      <c r="A123" s="71"/>
      <c r="C123" s="12" t="s">
        <v>410</v>
      </c>
      <c r="D123" s="33"/>
      <c r="E123" s="33"/>
      <c r="F123" s="33"/>
      <c r="G123" s="8"/>
      <c r="H123" s="8"/>
      <c r="I123" s="8"/>
      <c r="J123" s="8"/>
      <c r="K123" s="8"/>
      <c r="N123" s="9"/>
    </row>
    <row r="124" spans="1:22" x14ac:dyDescent="0.2">
      <c r="A124" s="71"/>
      <c r="C124" s="12" t="s">
        <v>413</v>
      </c>
      <c r="D124" s="33"/>
      <c r="E124" s="33"/>
      <c r="F124" s="33"/>
      <c r="G124" s="8"/>
      <c r="H124" s="8"/>
      <c r="I124" s="8"/>
      <c r="J124" s="8"/>
      <c r="K124" s="8"/>
      <c r="N124" s="9"/>
    </row>
    <row r="125" spans="1:22" x14ac:dyDescent="0.2">
      <c r="A125" s="71"/>
      <c r="C125" s="12" t="s">
        <v>411</v>
      </c>
      <c r="D125" s="33"/>
      <c r="E125" s="33"/>
      <c r="F125" s="33"/>
      <c r="G125" s="8"/>
      <c r="H125" s="8"/>
      <c r="I125" s="8"/>
      <c r="J125" s="8"/>
      <c r="K125" s="8"/>
      <c r="N125" s="9"/>
    </row>
    <row r="126" spans="1:22" x14ac:dyDescent="0.2">
      <c r="A126" s="71"/>
      <c r="C126" s="12" t="s">
        <v>412</v>
      </c>
      <c r="D126" s="33"/>
      <c r="E126" s="33"/>
      <c r="F126" s="33"/>
      <c r="G126" s="8"/>
      <c r="H126" s="8"/>
      <c r="I126" s="8"/>
      <c r="J126" s="8"/>
      <c r="K126" s="8"/>
      <c r="N126" s="9"/>
    </row>
    <row r="127" spans="1:22" x14ac:dyDescent="0.2">
      <c r="A127" s="71"/>
      <c r="C127" s="12"/>
      <c r="D127" s="33"/>
      <c r="E127" s="33"/>
      <c r="F127" s="33"/>
      <c r="G127" s="8"/>
      <c r="H127" s="8"/>
      <c r="I127" s="8"/>
      <c r="J127" s="8"/>
      <c r="K127" s="8"/>
      <c r="N127" s="9"/>
    </row>
    <row r="128" spans="1:22" x14ac:dyDescent="0.2">
      <c r="A128" s="71"/>
      <c r="C128" s="614" t="s">
        <v>446</v>
      </c>
      <c r="D128" s="614"/>
      <c r="E128" s="614"/>
      <c r="F128" s="614"/>
      <c r="G128" s="614"/>
      <c r="H128" s="8"/>
      <c r="I128" s="8"/>
      <c r="J128" s="8"/>
      <c r="K128" s="8"/>
      <c r="N128" s="9"/>
    </row>
    <row r="129" spans="1:14" x14ac:dyDescent="0.2">
      <c r="A129" s="71"/>
      <c r="B129" s="12"/>
      <c r="C129" s="8"/>
      <c r="D129" s="8"/>
      <c r="E129" s="8"/>
      <c r="F129" s="8"/>
      <c r="G129" s="8"/>
      <c r="H129" s="8"/>
      <c r="I129" s="8"/>
      <c r="J129" s="8"/>
      <c r="K129" s="8"/>
      <c r="N129" s="9"/>
    </row>
    <row r="130" spans="1:14" x14ac:dyDescent="0.2">
      <c r="C130" s="8"/>
      <c r="D130" s="8"/>
      <c r="E130" s="8"/>
      <c r="F130" s="8"/>
      <c r="G130" s="8"/>
      <c r="H130" s="8"/>
      <c r="I130" s="8"/>
      <c r="J130" s="8"/>
      <c r="K130" s="8"/>
      <c r="N130" s="9"/>
    </row>
    <row r="131" spans="1:14" x14ac:dyDescent="0.2">
      <c r="C131" s="8"/>
      <c r="D131" s="8"/>
      <c r="E131" s="8"/>
      <c r="F131" s="8"/>
      <c r="G131" s="8"/>
      <c r="H131" s="8"/>
      <c r="I131" s="8"/>
      <c r="J131" s="8"/>
      <c r="K131" s="8"/>
      <c r="N131" s="9"/>
    </row>
    <row r="132" spans="1:14" ht="12.75" x14ac:dyDescent="0.2">
      <c r="B132" s="223"/>
      <c r="C132" s="8"/>
      <c r="D132" s="8"/>
      <c r="E132" s="8"/>
      <c r="F132" s="8"/>
      <c r="G132" s="8"/>
      <c r="H132" s="8"/>
      <c r="I132" s="8"/>
      <c r="J132" s="8"/>
      <c r="K132" s="8"/>
      <c r="N132" s="9"/>
    </row>
    <row r="133" spans="1:14" x14ac:dyDescent="0.2">
      <c r="C133" s="8"/>
      <c r="D133" s="8"/>
      <c r="E133" s="8"/>
      <c r="F133" s="8"/>
      <c r="G133" s="8"/>
      <c r="H133" s="8"/>
      <c r="I133" s="8"/>
      <c r="J133" s="8"/>
      <c r="K133" s="8"/>
      <c r="N133" s="9"/>
    </row>
    <row r="134" spans="1:14" x14ac:dyDescent="0.2">
      <c r="C134" s="8"/>
      <c r="D134" s="8"/>
      <c r="E134" s="8"/>
      <c r="F134" s="8"/>
      <c r="G134" s="8"/>
      <c r="H134" s="8"/>
      <c r="I134" s="8"/>
      <c r="J134" s="8"/>
      <c r="K134" s="8"/>
      <c r="N134" s="9"/>
    </row>
    <row r="135" spans="1:14" x14ac:dyDescent="0.2">
      <c r="C135" s="8"/>
      <c r="D135" s="8"/>
      <c r="E135" s="8"/>
      <c r="F135" s="8"/>
      <c r="G135" s="8"/>
      <c r="H135" s="8"/>
      <c r="I135" s="8"/>
      <c r="J135" s="8"/>
      <c r="K135" s="8"/>
      <c r="N135" s="9"/>
    </row>
    <row r="136" spans="1:14" x14ac:dyDescent="0.2">
      <c r="A136" s="71"/>
      <c r="B136" s="12"/>
    </row>
    <row r="137" spans="1:14" x14ac:dyDescent="0.2">
      <c r="A137" s="71"/>
      <c r="B137" s="12"/>
    </row>
    <row r="138" spans="1:14" x14ac:dyDescent="0.2">
      <c r="A138" s="71"/>
      <c r="B138" s="12"/>
      <c r="F138" s="8"/>
      <c r="G138" s="8"/>
      <c r="H138" s="8"/>
      <c r="I138" s="8"/>
      <c r="J138" s="602"/>
      <c r="K138" s="602"/>
    </row>
    <row r="139" spans="1:14" x14ac:dyDescent="0.2">
      <c r="A139" s="71"/>
      <c r="B139" s="12"/>
      <c r="F139" s="8"/>
      <c r="G139" s="8"/>
      <c r="H139" s="8"/>
      <c r="I139" s="8"/>
      <c r="J139" s="602"/>
      <c r="K139" s="602"/>
    </row>
    <row r="140" spans="1:14" x14ac:dyDescent="0.2">
      <c r="A140" s="71"/>
      <c r="B140" s="12"/>
    </row>
    <row r="141" spans="1:14" x14ac:dyDescent="0.2">
      <c r="A141" s="71"/>
      <c r="B141" s="12"/>
    </row>
    <row r="142" spans="1:14" x14ac:dyDescent="0.2">
      <c r="A142" s="71"/>
      <c r="B142" s="12"/>
    </row>
    <row r="143" spans="1:14" x14ac:dyDescent="0.2">
      <c r="A143" s="71"/>
      <c r="B143" s="12"/>
    </row>
    <row r="144" spans="1:14" x14ac:dyDescent="0.2">
      <c r="A144" s="71"/>
      <c r="B144" s="12"/>
    </row>
    <row r="145" spans="1:2" x14ac:dyDescent="0.2">
      <c r="A145" s="71"/>
      <c r="B145" s="12"/>
    </row>
  </sheetData>
  <customSheetViews>
    <customSheetView guid="{4B7ED599-3000-45CD-B5C1-4F696B7BEDDF}" scale="120" fitToPage="1" showRuler="0" topLeftCell="A57">
      <selection activeCell="G81" sqref="G81"/>
      <pageMargins left="0.75" right="0.75" top="1" bottom="1" header="0.5" footer="0.5"/>
      <pageSetup scale="29" fitToHeight="2" orientation="landscape" r:id="rId1"/>
      <headerFooter alignWithMargins="0">
        <oddHeader>&amp;C&amp;A&amp;RUSPS LR-J-117
Page &amp;P of &amp;N</oddHeader>
      </headerFooter>
    </customSheetView>
  </customSheetViews>
  <mergeCells count="1">
    <mergeCell ref="C128:G128"/>
  </mergeCells>
  <phoneticPr fontId="6" type="noConversion"/>
  <pageMargins left="0.25" right="0.25" top="1" bottom="1" header="0.5" footer="0.5"/>
  <pageSetup scale="28" orientation="landscape" r:id="rId2"/>
  <headerFooter alignWithMargins="0">
    <oddHeader xml:space="preserve">&amp;RUSPS-FY09-19
</oddHeader>
  </headerFooter>
  <ignoredErrors>
    <ignoredError sqref="L105:N108 G37 D39 D40:D45 D46:D56 D58:D60 M39:M60 O39:O60 N39:N60 AA49:AC49" formula="1"/>
    <ignoredError sqref="I35:AD35 E35 C35 K92:P92" numberStoredAsText="1"/>
  </ignoredErrors>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92D050"/>
    <pageSetUpPr fitToPage="1"/>
  </sheetPr>
  <dimension ref="A1:Q39"/>
  <sheetViews>
    <sheetView workbookViewId="0">
      <selection activeCell="B3" sqref="B3"/>
    </sheetView>
  </sheetViews>
  <sheetFormatPr defaultColWidth="9.140625" defaultRowHeight="12.75" x14ac:dyDescent="0.2"/>
  <cols>
    <col min="1" max="1" width="5.42578125" style="223" customWidth="1"/>
    <col min="2" max="2" width="37.42578125" style="223" bestFit="1" customWidth="1"/>
    <col min="3" max="3" width="13.42578125" style="223" customWidth="1"/>
    <col min="4" max="4" width="15.5703125" style="223" customWidth="1"/>
    <col min="5" max="5" width="14.5703125" style="223" customWidth="1"/>
    <col min="6" max="8" width="12.5703125" style="223" customWidth="1"/>
    <col min="9" max="10" width="16.42578125" style="223" customWidth="1"/>
    <col min="11" max="11" width="13" style="223" customWidth="1"/>
    <col min="12" max="12" width="13.42578125" style="223" customWidth="1"/>
    <col min="13" max="14" width="12.85546875" style="223" customWidth="1"/>
    <col min="15" max="16384" width="9.140625" style="223"/>
  </cols>
  <sheetData>
    <row r="1" spans="1:14" x14ac:dyDescent="0.2">
      <c r="A1" s="263" t="str">
        <f>[1]Inputs!$C$4</f>
        <v>Unit Delivery Cost Model -  12/16/2025</v>
      </c>
    </row>
    <row r="2" spans="1:14" x14ac:dyDescent="0.2">
      <c r="A2" s="15" t="s">
        <v>92</v>
      </c>
      <c r="C2" s="272"/>
    </row>
    <row r="3" spans="1:14" x14ac:dyDescent="0.2">
      <c r="A3" s="15"/>
    </row>
    <row r="4" spans="1:14" s="2" customFormat="1" ht="11.25" x14ac:dyDescent="0.2">
      <c r="B4" s="32"/>
      <c r="C4" s="445" t="s">
        <v>361</v>
      </c>
      <c r="D4" s="446"/>
      <c r="E4" s="446"/>
      <c r="F4" s="447"/>
      <c r="G4" s="445" t="s">
        <v>362</v>
      </c>
      <c r="H4" s="448"/>
      <c r="I4" s="446"/>
      <c r="J4" s="446"/>
      <c r="K4" s="446"/>
      <c r="L4" s="446"/>
      <c r="M4" s="447"/>
      <c r="N4" s="204"/>
    </row>
    <row r="5" spans="1:14" s="2" customFormat="1" ht="45" x14ac:dyDescent="0.2">
      <c r="A5" s="81" t="s">
        <v>23</v>
      </c>
      <c r="B5" s="127" t="s">
        <v>93</v>
      </c>
      <c r="C5" s="175" t="s">
        <v>70</v>
      </c>
      <c r="D5" s="175" t="s">
        <v>71</v>
      </c>
      <c r="E5" s="175" t="s">
        <v>73</v>
      </c>
      <c r="F5" s="46" t="s">
        <v>75</v>
      </c>
      <c r="G5" s="63" t="s">
        <v>330</v>
      </c>
      <c r="H5" s="46" t="s">
        <v>331</v>
      </c>
      <c r="I5" s="46" t="s">
        <v>24</v>
      </c>
      <c r="J5" s="46" t="s">
        <v>25</v>
      </c>
      <c r="K5" s="46" t="s">
        <v>29</v>
      </c>
      <c r="L5" s="46" t="s">
        <v>26</v>
      </c>
      <c r="M5" s="46" t="s">
        <v>27</v>
      </c>
      <c r="N5" s="449"/>
    </row>
    <row r="6" spans="1:14" s="2" customFormat="1" ht="11.25" x14ac:dyDescent="0.2">
      <c r="A6" s="85"/>
      <c r="B6" s="48" t="s">
        <v>22</v>
      </c>
      <c r="C6" s="40">
        <v>-1</v>
      </c>
      <c r="D6" s="40">
        <f>C6-1</f>
        <v>-2</v>
      </c>
      <c r="E6" s="40">
        <f t="shared" ref="E6:M6" si="0">D6-1</f>
        <v>-3</v>
      </c>
      <c r="F6" s="40">
        <f t="shared" si="0"/>
        <v>-4</v>
      </c>
      <c r="G6" s="40">
        <f t="shared" si="0"/>
        <v>-5</v>
      </c>
      <c r="H6" s="40">
        <f t="shared" si="0"/>
        <v>-6</v>
      </c>
      <c r="I6" s="40">
        <f>H6-1</f>
        <v>-7</v>
      </c>
      <c r="J6" s="40">
        <f t="shared" si="0"/>
        <v>-8</v>
      </c>
      <c r="K6" s="40">
        <f t="shared" si="0"/>
        <v>-9</v>
      </c>
      <c r="L6" s="40">
        <f t="shared" si="0"/>
        <v>-10</v>
      </c>
      <c r="M6" s="40">
        <f t="shared" si="0"/>
        <v>-11</v>
      </c>
      <c r="N6" s="54"/>
    </row>
    <row r="7" spans="1:14" s="2" customFormat="1" ht="11.25" x14ac:dyDescent="0.2">
      <c r="A7" s="450"/>
      <c r="B7" s="50" t="s">
        <v>94</v>
      </c>
      <c r="C7" s="450"/>
      <c r="D7" s="450"/>
      <c r="E7" s="450"/>
      <c r="F7" s="49"/>
      <c r="G7" s="72"/>
      <c r="H7" s="72"/>
      <c r="I7" s="49"/>
      <c r="J7" s="49"/>
      <c r="K7" s="49"/>
      <c r="L7" s="49"/>
      <c r="M7" s="49"/>
      <c r="N7" s="449"/>
    </row>
    <row r="8" spans="1:14" s="93" customFormat="1" ht="78.75" x14ac:dyDescent="0.2">
      <c r="A8" s="451"/>
      <c r="B8" s="89" t="s">
        <v>112</v>
      </c>
      <c r="C8" s="94" t="str">
        <f>NOTES!A9</f>
        <v>5.RuralCrosswalk</v>
      </c>
      <c r="D8" s="94" t="str">
        <f>NOTES!A9</f>
        <v>5.RuralCrosswalk</v>
      </c>
      <c r="E8" s="94" t="str">
        <f>NOTES!A9</f>
        <v>5.RuralCrosswalk</v>
      </c>
      <c r="F8" s="94" t="str">
        <f>"C"&amp;-C6&amp;"..C"&amp;-E6</f>
        <v>C1..C3</v>
      </c>
      <c r="G8" s="94" t="str">
        <f>"[UDCInputs.xls] 7.0.8; 
L"&amp;A17&amp;" + L"&amp;A18&amp;" from " &amp;[1]NOTES!$A$19&amp;"; 
L"&amp;A31&amp;" from [UDCInputs.xls] " &amp;[1]NOTES!$A$33</f>
        <v xml:space="preserve">[UDCInputs.xls] 7.0.8; 
L9 + L10 from RCSDALs; 
L23 from [UDCInputs.xls] </v>
      </c>
      <c r="H8" s="94" t="str">
        <f>"[UDCInputs.xls] 7.0.8; 
L"&amp;A17&amp;", L"&amp;A18&amp;", L"&amp;A20&amp;", L"&amp;A21&amp;" from " &amp;[1]NOTES!$A$19&amp;"; 
L"&amp;A31&amp;" from [UDCInputs.xls] " &amp;[1]NOTES!$A$33</f>
        <v xml:space="preserve">[UDCInputs.xls] 7.0.8; 
L9, L10, L12, L13 from RCSDALs; 
L23 from [UDCInputs.xls] </v>
      </c>
      <c r="I8" s="94" t="str">
        <f>"[UDCInputs.xls] 7.0.8; 
L"&amp;A22&amp;" + L"&amp;A24&amp;" from " &amp;[1]NOTES!$A$19&amp;"; 
L"&amp;A31&amp;" from [UDCInputs.xls] " &amp;[1]NOTES!$A$33</f>
        <v xml:space="preserve">[UDCInputs.xls] 7.0.8; 
L14 + L16 from RCSDALs; 
L23 from [UDCInputs.xls] </v>
      </c>
      <c r="J8" s="94" t="str">
        <f>"[UDCInputs.xls] 7.0.8 "</f>
        <v xml:space="preserve">[UDCInputs.xls] 7.0.8 </v>
      </c>
      <c r="K8" s="94" t="str">
        <f>"C"&amp;-G6&amp;"..C"&amp;-H6</f>
        <v>C5..C6</v>
      </c>
      <c r="L8" s="94" t="str">
        <f>"C"&amp;-G6&amp;"..C"&amp;-I6</f>
        <v>C5..C7</v>
      </c>
      <c r="M8" s="94" t="str">
        <f>"C"&amp;-G6&amp;"..C"&amp;-J6</f>
        <v>C5..C8</v>
      </c>
      <c r="N8" s="161"/>
    </row>
    <row r="9" spans="1:14" s="2" customFormat="1" ht="11.25" x14ac:dyDescent="0.2">
      <c r="A9" s="58">
        <v>1</v>
      </c>
      <c r="B9" s="127" t="s">
        <v>74</v>
      </c>
      <c r="C9" s="115"/>
      <c r="D9" s="115"/>
      <c r="E9" s="115"/>
      <c r="F9" s="115"/>
      <c r="G9" s="115"/>
      <c r="H9" s="115"/>
      <c r="I9" s="115"/>
      <c r="J9" s="115"/>
      <c r="K9" s="115"/>
      <c r="L9" s="115"/>
      <c r="M9" s="115"/>
    </row>
    <row r="10" spans="1:14" s="2" customFormat="1" ht="11.25" x14ac:dyDescent="0.2">
      <c r="A10" s="58">
        <f>A9+1</f>
        <v>2</v>
      </c>
      <c r="B10" s="191" t="s">
        <v>220</v>
      </c>
      <c r="C10" s="117">
        <f>'5.RuralCrosswalk'!C95</f>
        <v>2778984.5304408846</v>
      </c>
      <c r="D10" s="117">
        <f>'5.RuralCrosswalk'!D95</f>
        <v>0</v>
      </c>
      <c r="E10" s="117">
        <f>'5.RuralCrosswalk'!E95</f>
        <v>0</v>
      </c>
      <c r="F10" s="119">
        <f>SUM(C10:E10)</f>
        <v>2778984.5304408846</v>
      </c>
      <c r="G10" s="117">
        <f>'[1]7.0.8'!$F11+'[1]7.0.8'!$H11</f>
        <v>4529198.2615734544</v>
      </c>
      <c r="H10" s="117">
        <f>'[1]7.0.8'!$G11</f>
        <v>0</v>
      </c>
      <c r="I10" s="117">
        <f>'[1]7.0.8'!I11</f>
        <v>229.54724631076814</v>
      </c>
      <c r="J10" s="117">
        <f>'[1]7.0.8'!L11</f>
        <v>0</v>
      </c>
      <c r="K10" s="119">
        <f t="shared" ref="K10:K15" si="1">SUM(G10:H10)</f>
        <v>4529198.2615734544</v>
      </c>
      <c r="L10" s="119">
        <f t="shared" ref="L10:L15" si="2">SUM(G10:I10)</f>
        <v>4529427.8088197652</v>
      </c>
      <c r="M10" s="119">
        <f t="shared" ref="M10:M15" si="3">SUM(G10:J10)</f>
        <v>4529427.8088197652</v>
      </c>
    </row>
    <row r="11" spans="1:14" s="2" customFormat="1" ht="11.25" x14ac:dyDescent="0.2">
      <c r="A11" s="58">
        <f t="shared" ref="A11:A35" si="4">A10+1</f>
        <v>3</v>
      </c>
      <c r="B11" s="191" t="s">
        <v>221</v>
      </c>
      <c r="C11" s="117">
        <f>'5.RuralCrosswalk'!C96</f>
        <v>112881.52413838136</v>
      </c>
      <c r="D11" s="117">
        <f>'5.RuralCrosswalk'!D96</f>
        <v>0</v>
      </c>
      <c r="E11" s="117">
        <f>'5.RuralCrosswalk'!E96</f>
        <v>0</v>
      </c>
      <c r="F11" s="119">
        <f t="shared" ref="F11:F15" si="5">SUM(C11:E11)</f>
        <v>112881.52413838136</v>
      </c>
      <c r="G11" s="117">
        <f>'[1]7.0.8'!$F12+'[1]7.0.8'!$H12</f>
        <v>171617.05688840296</v>
      </c>
      <c r="H11" s="117">
        <f>'[1]7.0.8'!$G12</f>
        <v>0</v>
      </c>
      <c r="I11" s="117">
        <f>'[1]7.0.8'!I12</f>
        <v>5.485664347826086</v>
      </c>
      <c r="J11" s="117">
        <f>'[1]7.0.8'!L12</f>
        <v>0</v>
      </c>
      <c r="K11" s="119">
        <f t="shared" si="1"/>
        <v>171617.05688840296</v>
      </c>
      <c r="L11" s="119">
        <f t="shared" si="2"/>
        <v>171622.54255275079</v>
      </c>
      <c r="M11" s="119">
        <f t="shared" si="3"/>
        <v>171622.54255275079</v>
      </c>
    </row>
    <row r="12" spans="1:14" s="2" customFormat="1" ht="11.25" x14ac:dyDescent="0.2">
      <c r="A12" s="58">
        <f t="shared" si="4"/>
        <v>4</v>
      </c>
      <c r="B12" s="191" t="s">
        <v>222</v>
      </c>
      <c r="C12" s="117">
        <f>'5.RuralCrosswalk'!C97</f>
        <v>9972465.2824892402</v>
      </c>
      <c r="D12" s="117">
        <f>'5.RuralCrosswalk'!D97</f>
        <v>0</v>
      </c>
      <c r="E12" s="117">
        <f>'5.RuralCrosswalk'!E97</f>
        <v>0</v>
      </c>
      <c r="F12" s="119">
        <f t="shared" si="5"/>
        <v>9972465.2824892402</v>
      </c>
      <c r="G12" s="117">
        <f>'[1]7.0.8'!$F13+'[1]7.0.8'!$H13</f>
        <v>16757135.816921964</v>
      </c>
      <c r="H12" s="117">
        <f>'[1]7.0.8'!$G13</f>
        <v>0</v>
      </c>
      <c r="I12" s="117">
        <f>'[1]7.0.8'!I13</f>
        <v>0</v>
      </c>
      <c r="J12" s="117">
        <f>'[1]7.0.8'!L13</f>
        <v>0</v>
      </c>
      <c r="K12" s="119">
        <f t="shared" si="1"/>
        <v>16757135.816921964</v>
      </c>
      <c r="L12" s="119">
        <f t="shared" si="2"/>
        <v>16757135.816921964</v>
      </c>
      <c r="M12" s="119">
        <f t="shared" si="3"/>
        <v>16757135.816921964</v>
      </c>
    </row>
    <row r="13" spans="1:14" s="2" customFormat="1" ht="11.25" x14ac:dyDescent="0.2">
      <c r="A13" s="58">
        <f t="shared" si="4"/>
        <v>5</v>
      </c>
      <c r="B13" s="191" t="s">
        <v>223</v>
      </c>
      <c r="C13" s="117">
        <f>'5.RuralCrosswalk'!C98</f>
        <v>767431.00840086641</v>
      </c>
      <c r="D13" s="117">
        <f>'5.RuralCrosswalk'!D98</f>
        <v>0</v>
      </c>
      <c r="E13" s="117">
        <f>'5.RuralCrosswalk'!E98</f>
        <v>0</v>
      </c>
      <c r="F13" s="119">
        <f t="shared" si="5"/>
        <v>767431.00840086641</v>
      </c>
      <c r="G13" s="117">
        <f>'[1]7.0.8'!$F14+'[1]7.0.8'!$H14</f>
        <v>1348586.8312861701</v>
      </c>
      <c r="H13" s="117">
        <f>'[1]7.0.8'!$G14</f>
        <v>0</v>
      </c>
      <c r="I13" s="117">
        <f>'[1]7.0.8'!I14</f>
        <v>16.595866415447972</v>
      </c>
      <c r="J13" s="117">
        <f>'[1]7.0.8'!L14</f>
        <v>0</v>
      </c>
      <c r="K13" s="119">
        <f t="shared" si="1"/>
        <v>1348586.8312861701</v>
      </c>
      <c r="L13" s="119">
        <f t="shared" si="2"/>
        <v>1348603.4271525855</v>
      </c>
      <c r="M13" s="119">
        <f t="shared" si="3"/>
        <v>1348603.4271525855</v>
      </c>
    </row>
    <row r="14" spans="1:14" s="2" customFormat="1" ht="11.25" x14ac:dyDescent="0.2">
      <c r="A14" s="58">
        <f t="shared" si="4"/>
        <v>6</v>
      </c>
      <c r="B14" s="154" t="s">
        <v>224</v>
      </c>
      <c r="C14" s="117">
        <f>'5.RuralCrosswalk'!C99</f>
        <v>0</v>
      </c>
      <c r="D14" s="117">
        <f>'5.RuralCrosswalk'!D99</f>
        <v>121893.59035057761</v>
      </c>
      <c r="E14" s="117">
        <f>'5.RuralCrosswalk'!E99</f>
        <v>0</v>
      </c>
      <c r="F14" s="119">
        <f t="shared" si="5"/>
        <v>121893.59035057761</v>
      </c>
      <c r="G14" s="117">
        <f>'[1]7.0.8'!$F15+'[1]7.0.8'!$H15</f>
        <v>0</v>
      </c>
      <c r="H14" s="117">
        <f>'[1]7.0.8'!$G15</f>
        <v>236517.93931811166</v>
      </c>
      <c r="I14" s="117">
        <f>'[1]7.0.8'!I15</f>
        <v>33.033469078175287</v>
      </c>
      <c r="J14" s="117">
        <f>'[1]7.0.8'!L15</f>
        <v>0</v>
      </c>
      <c r="K14" s="119">
        <f t="shared" si="1"/>
        <v>236517.93931811166</v>
      </c>
      <c r="L14" s="119">
        <f t="shared" si="2"/>
        <v>236550.97278718985</v>
      </c>
      <c r="M14" s="119">
        <f t="shared" si="3"/>
        <v>236550.97278718985</v>
      </c>
    </row>
    <row r="15" spans="1:14" s="2" customFormat="1" ht="11.25" x14ac:dyDescent="0.2">
      <c r="A15" s="59">
        <f t="shared" si="4"/>
        <v>7</v>
      </c>
      <c r="B15" s="154" t="s">
        <v>225</v>
      </c>
      <c r="C15" s="117">
        <f>'5.RuralCrosswalk'!C100</f>
        <v>0</v>
      </c>
      <c r="D15" s="117">
        <f>'5.RuralCrosswalk'!D100</f>
        <v>152742.35294556891</v>
      </c>
      <c r="E15" s="117">
        <f>'5.RuralCrosswalk'!E100</f>
        <v>0</v>
      </c>
      <c r="F15" s="119">
        <f t="shared" si="5"/>
        <v>152742.35294556891</v>
      </c>
      <c r="G15" s="117">
        <f>'[1]7.0.8'!$F16+'[1]7.0.8'!$H16</f>
        <v>0</v>
      </c>
      <c r="H15" s="117">
        <f>'[1]7.0.8'!$G16</f>
        <v>286041.98593909701</v>
      </c>
      <c r="I15" s="117">
        <f>'[1]7.0.8'!I16</f>
        <v>0</v>
      </c>
      <c r="J15" s="117">
        <f>'[1]7.0.8'!L16</f>
        <v>0</v>
      </c>
      <c r="K15" s="119">
        <f t="shared" si="1"/>
        <v>286041.98593909701</v>
      </c>
      <c r="L15" s="119">
        <f t="shared" si="2"/>
        <v>286041.98593909701</v>
      </c>
      <c r="M15" s="119">
        <f t="shared" si="3"/>
        <v>286041.98593909701</v>
      </c>
    </row>
    <row r="16" spans="1:14" s="2" customFormat="1" ht="11.25" x14ac:dyDescent="0.2">
      <c r="A16" s="58">
        <f>A15+1</f>
        <v>8</v>
      </c>
      <c r="B16" s="127" t="s">
        <v>346</v>
      </c>
      <c r="C16" s="115"/>
      <c r="D16" s="128"/>
      <c r="E16" s="115"/>
      <c r="F16" s="168"/>
      <c r="G16" s="231"/>
      <c r="H16" s="231"/>
      <c r="I16" s="231"/>
      <c r="J16" s="231"/>
      <c r="K16" s="128"/>
      <c r="L16" s="128"/>
      <c r="M16" s="115"/>
    </row>
    <row r="17" spans="1:17" s="2" customFormat="1" ht="11.25" x14ac:dyDescent="0.2">
      <c r="A17" s="58">
        <f t="shared" si="4"/>
        <v>9</v>
      </c>
      <c r="B17" s="120" t="s">
        <v>239</v>
      </c>
      <c r="C17" s="117">
        <f>'5.RuralCrosswalk'!C102</f>
        <v>1246705.9436293107</v>
      </c>
      <c r="D17" s="117">
        <f>'5.RuralCrosswalk'!D102</f>
        <v>0</v>
      </c>
      <c r="E17" s="117">
        <f>'5.RuralCrosswalk'!E102</f>
        <v>0</v>
      </c>
      <c r="F17" s="119">
        <f t="shared" ref="F17:F29" si="6">SUM(C17:E17)</f>
        <v>1246705.9436293107</v>
      </c>
      <c r="G17" s="117">
        <f>[1]CCSECRVols!$C10+[1]CCSECRVols!$C11</f>
        <v>2056812.559565237</v>
      </c>
      <c r="H17" s="117"/>
      <c r="I17" s="180"/>
      <c r="J17" s="117"/>
      <c r="K17" s="119">
        <f t="shared" ref="K17:K24" si="7">SUM(G17:H17)</f>
        <v>2056812.559565237</v>
      </c>
      <c r="L17" s="119">
        <f t="shared" ref="L17:L24" si="8">SUM(G17:I17)</f>
        <v>2056812.559565237</v>
      </c>
      <c r="M17" s="119">
        <f t="shared" ref="M17:M24" si="9">SUM(G17:J17)</f>
        <v>2056812.559565237</v>
      </c>
    </row>
    <row r="18" spans="1:17" s="2" customFormat="1" ht="11.25" x14ac:dyDescent="0.2">
      <c r="A18" s="58">
        <f t="shared" si="4"/>
        <v>10</v>
      </c>
      <c r="B18" s="116" t="s">
        <v>235</v>
      </c>
      <c r="C18" s="117">
        <f>'5.RuralCrosswalk'!C103</f>
        <v>1134109.6229790894</v>
      </c>
      <c r="D18" s="117">
        <f>'5.RuralCrosswalk'!D103</f>
        <v>0</v>
      </c>
      <c r="E18" s="117">
        <f>'5.RuralCrosswalk'!E103</f>
        <v>0</v>
      </c>
      <c r="F18" s="119">
        <f t="shared" si="6"/>
        <v>1134109.6229790894</v>
      </c>
      <c r="G18" s="117">
        <f>[1]CCSECRVols!$C16+[1]CCSECRVols!$C$17</f>
        <v>1732249.5369044747</v>
      </c>
      <c r="H18" s="117"/>
      <c r="I18" s="117"/>
      <c r="J18" s="117"/>
      <c r="K18" s="119">
        <f t="shared" si="7"/>
        <v>1732249.5369044747</v>
      </c>
      <c r="L18" s="119">
        <f t="shared" si="8"/>
        <v>1732249.5369044747</v>
      </c>
      <c r="M18" s="119">
        <f t="shared" si="9"/>
        <v>1732249.5369044747</v>
      </c>
    </row>
    <row r="19" spans="1:17" s="2" customFormat="1" ht="11.25" x14ac:dyDescent="0.2">
      <c r="A19" s="58">
        <f t="shared" si="4"/>
        <v>11</v>
      </c>
      <c r="B19" s="452" t="s">
        <v>246</v>
      </c>
      <c r="C19" s="117">
        <f>C17+C18</f>
        <v>2380815.5666084001</v>
      </c>
      <c r="D19" s="117">
        <f t="shared" ref="D19:J19" si="10">D17+D18</f>
        <v>0</v>
      </c>
      <c r="E19" s="117">
        <f t="shared" si="10"/>
        <v>0</v>
      </c>
      <c r="F19" s="117">
        <f t="shared" si="6"/>
        <v>2380815.5666084001</v>
      </c>
      <c r="G19" s="117">
        <f t="shared" si="10"/>
        <v>3789062.0964697115</v>
      </c>
      <c r="H19" s="117">
        <f t="shared" si="10"/>
        <v>0</v>
      </c>
      <c r="I19" s="117">
        <f t="shared" si="10"/>
        <v>0</v>
      </c>
      <c r="J19" s="117">
        <f t="shared" si="10"/>
        <v>0</v>
      </c>
      <c r="K19" s="117">
        <f t="shared" si="7"/>
        <v>3789062.0964697115</v>
      </c>
      <c r="L19" s="117">
        <f t="shared" si="8"/>
        <v>3789062.0964697115</v>
      </c>
      <c r="M19" s="117">
        <f>SUM(G19:J19)</f>
        <v>3789062.0964697115</v>
      </c>
    </row>
    <row r="20" spans="1:17" s="2" customFormat="1" ht="11.25" x14ac:dyDescent="0.2">
      <c r="A20" s="58">
        <f t="shared" si="4"/>
        <v>12</v>
      </c>
      <c r="B20" s="116" t="s">
        <v>240</v>
      </c>
      <c r="C20" s="117">
        <f>'5.RuralCrosswalk'!C104</f>
        <v>0</v>
      </c>
      <c r="D20" s="117">
        <f>'5.RuralCrosswalk'!D104</f>
        <v>518706.3452992033</v>
      </c>
      <c r="E20" s="117">
        <f>'5.RuralCrosswalk'!E104</f>
        <v>0</v>
      </c>
      <c r="F20" s="119">
        <f t="shared" si="6"/>
        <v>518706.3452992033</v>
      </c>
      <c r="G20" s="117"/>
      <c r="H20" s="117">
        <f>[1]CCSECRVols!$C$12</f>
        <v>910014.63364181761</v>
      </c>
      <c r="I20" s="180"/>
      <c r="J20" s="117"/>
      <c r="K20" s="119">
        <f t="shared" si="7"/>
        <v>910014.63364181761</v>
      </c>
      <c r="L20" s="119">
        <f t="shared" si="8"/>
        <v>910014.63364181761</v>
      </c>
      <c r="M20" s="119">
        <f t="shared" si="9"/>
        <v>910014.63364181761</v>
      </c>
    </row>
    <row r="21" spans="1:17" s="2" customFormat="1" ht="11.25" x14ac:dyDescent="0.2">
      <c r="A21" s="58">
        <f t="shared" si="4"/>
        <v>13</v>
      </c>
      <c r="B21" s="116" t="s">
        <v>241</v>
      </c>
      <c r="C21" s="117">
        <f>'5.RuralCrosswalk'!C105</f>
        <v>0</v>
      </c>
      <c r="D21" s="117">
        <f>'5.RuralCrosswalk'!D105</f>
        <v>2381975.7704413561</v>
      </c>
      <c r="E21" s="117">
        <f>'5.RuralCrosswalk'!E105</f>
        <v>0</v>
      </c>
      <c r="F21" s="119">
        <f t="shared" si="6"/>
        <v>2381975.7704413561</v>
      </c>
      <c r="G21" s="117"/>
      <c r="H21" s="117">
        <f>[1]CCSECRVols!$C$18</f>
        <v>4222044.129109242</v>
      </c>
      <c r="I21" s="180"/>
      <c r="J21" s="117"/>
      <c r="K21" s="119">
        <f t="shared" si="7"/>
        <v>4222044.129109242</v>
      </c>
      <c r="L21" s="119">
        <f t="shared" si="8"/>
        <v>4222044.129109242</v>
      </c>
      <c r="M21" s="119">
        <f t="shared" si="9"/>
        <v>4222044.129109242</v>
      </c>
    </row>
    <row r="22" spans="1:17" s="2" customFormat="1" ht="11.25" x14ac:dyDescent="0.2">
      <c r="A22" s="58">
        <f t="shared" si="4"/>
        <v>14</v>
      </c>
      <c r="B22" s="116" t="s">
        <v>242</v>
      </c>
      <c r="C22" s="143"/>
      <c r="D22" s="119"/>
      <c r="E22" s="119">
        <f>E23</f>
        <v>0</v>
      </c>
      <c r="F22" s="119">
        <f t="shared" si="6"/>
        <v>0</v>
      </c>
      <c r="G22" s="180"/>
      <c r="H22" s="180"/>
      <c r="I22" s="117">
        <f>[1]CCSECRVols!$C$13</f>
        <v>0</v>
      </c>
      <c r="J22" s="117">
        <f>[1]CCSECRVols!$C$14</f>
        <v>0</v>
      </c>
      <c r="K22" s="119">
        <f t="shared" si="7"/>
        <v>0</v>
      </c>
      <c r="L22" s="119">
        <f t="shared" si="8"/>
        <v>0</v>
      </c>
      <c r="M22" s="119">
        <f t="shared" si="9"/>
        <v>0</v>
      </c>
    </row>
    <row r="23" spans="1:17" s="2" customFormat="1" ht="11.25" x14ac:dyDescent="0.2">
      <c r="A23" s="58">
        <f t="shared" si="4"/>
        <v>15</v>
      </c>
      <c r="B23" s="453" t="s">
        <v>184</v>
      </c>
      <c r="C23" s="117">
        <f>'5.RuralCrosswalk'!C106</f>
        <v>0</v>
      </c>
      <c r="D23" s="117">
        <f>'5.RuralCrosswalk'!D106</f>
        <v>0</v>
      </c>
      <c r="E23" s="117">
        <f>'5.RuralCrosswalk'!E106</f>
        <v>0</v>
      </c>
      <c r="F23" s="119">
        <f t="shared" si="6"/>
        <v>0</v>
      </c>
      <c r="G23" s="180"/>
      <c r="H23" s="180"/>
      <c r="I23" s="117"/>
      <c r="J23" s="180"/>
      <c r="K23" s="119">
        <f t="shared" si="7"/>
        <v>0</v>
      </c>
      <c r="L23" s="119">
        <f t="shared" si="8"/>
        <v>0</v>
      </c>
      <c r="M23" s="119">
        <f t="shared" si="9"/>
        <v>0</v>
      </c>
    </row>
    <row r="24" spans="1:17" s="2" customFormat="1" ht="11.25" x14ac:dyDescent="0.2">
      <c r="A24" s="58">
        <f t="shared" si="4"/>
        <v>16</v>
      </c>
      <c r="B24" s="116" t="s">
        <v>243</v>
      </c>
      <c r="C24" s="117">
        <f>'5.RuralCrosswalk'!C107</f>
        <v>0</v>
      </c>
      <c r="D24" s="117">
        <f>'5.RuralCrosswalk'!D107</f>
        <v>0</v>
      </c>
      <c r="E24" s="117">
        <f>'5.RuralCrosswalk'!E107</f>
        <v>0</v>
      </c>
      <c r="F24" s="119">
        <f t="shared" si="6"/>
        <v>0</v>
      </c>
      <c r="G24" s="180"/>
      <c r="H24" s="180"/>
      <c r="I24" s="117">
        <f>[1]CCSECRVols!$C$19</f>
        <v>0</v>
      </c>
      <c r="J24" s="117">
        <f>[1]CCSECRVols!$C$20</f>
        <v>0</v>
      </c>
      <c r="K24" s="119">
        <f t="shared" si="7"/>
        <v>0</v>
      </c>
      <c r="L24" s="119">
        <f t="shared" si="8"/>
        <v>0</v>
      </c>
      <c r="M24" s="119">
        <f t="shared" si="9"/>
        <v>0</v>
      </c>
    </row>
    <row r="25" spans="1:17" s="2" customFormat="1" ht="11.25" x14ac:dyDescent="0.2">
      <c r="A25" s="58">
        <f t="shared" si="4"/>
        <v>17</v>
      </c>
      <c r="B25" s="454" t="s">
        <v>245</v>
      </c>
      <c r="C25" s="117">
        <f>SUM(C20:C21,C23:C24)</f>
        <v>0</v>
      </c>
      <c r="D25" s="117">
        <f t="shared" ref="D25:M25" si="11">SUM(D20:D21,D23:D24)</f>
        <v>2900682.1157405595</v>
      </c>
      <c r="E25" s="117">
        <f t="shared" si="11"/>
        <v>0</v>
      </c>
      <c r="F25" s="117">
        <f t="shared" si="11"/>
        <v>2900682.1157405595</v>
      </c>
      <c r="G25" s="117">
        <f t="shared" si="11"/>
        <v>0</v>
      </c>
      <c r="H25" s="117">
        <f t="shared" si="11"/>
        <v>5132058.7627510596</v>
      </c>
      <c r="I25" s="117">
        <f t="shared" si="11"/>
        <v>0</v>
      </c>
      <c r="J25" s="117">
        <f t="shared" si="11"/>
        <v>0</v>
      </c>
      <c r="K25" s="117">
        <f t="shared" si="11"/>
        <v>5132058.7627510596</v>
      </c>
      <c r="L25" s="117">
        <f t="shared" si="11"/>
        <v>5132058.7627510596</v>
      </c>
      <c r="M25" s="117">
        <f t="shared" si="11"/>
        <v>5132058.7627510596</v>
      </c>
    </row>
    <row r="26" spans="1:17" s="2" customFormat="1" ht="11.25" x14ac:dyDescent="0.2">
      <c r="A26" s="58">
        <f t="shared" si="4"/>
        <v>18</v>
      </c>
      <c r="B26" s="120" t="s">
        <v>307</v>
      </c>
      <c r="C26" s="117"/>
      <c r="D26" s="117"/>
      <c r="E26" s="117"/>
      <c r="F26" s="117"/>
      <c r="G26" s="117"/>
      <c r="H26" s="117"/>
      <c r="I26" s="117"/>
      <c r="J26" s="117"/>
      <c r="K26" s="117"/>
      <c r="L26" s="117"/>
      <c r="M26" s="117"/>
    </row>
    <row r="27" spans="1:17" s="2" customFormat="1" ht="11.25" x14ac:dyDescent="0.2">
      <c r="A27" s="58">
        <f t="shared" si="4"/>
        <v>19</v>
      </c>
      <c r="B27" s="116" t="s">
        <v>236</v>
      </c>
      <c r="C27" s="117">
        <f>'5.RuralCrosswalk'!C109</f>
        <v>14105576.392138921</v>
      </c>
      <c r="D27" s="117">
        <f>'5.RuralCrosswalk'!D109</f>
        <v>0</v>
      </c>
      <c r="E27" s="117">
        <f>'5.RuralCrosswalk'!E109</f>
        <v>0</v>
      </c>
      <c r="F27" s="119">
        <f t="shared" si="6"/>
        <v>14105576.392138921</v>
      </c>
      <c r="G27" s="117">
        <f>'[1]7.0.8'!$F22+'[1]7.0.8'!$H22</f>
        <v>21744934.515808892</v>
      </c>
      <c r="H27" s="117">
        <f>'[1]7.0.8'!$G22</f>
        <v>0</v>
      </c>
      <c r="I27" s="117">
        <f>'[1]7.0.8'!I22</f>
        <v>257.65504868188594</v>
      </c>
      <c r="J27" s="117">
        <f>'[1]7.0.8'!$L22</f>
        <v>0</v>
      </c>
      <c r="K27" s="119">
        <f>SUM(G27:H27)</f>
        <v>21744934.515808892</v>
      </c>
      <c r="L27" s="119">
        <f>SUM(G27:I27)</f>
        <v>21745192.170857575</v>
      </c>
      <c r="M27" s="119">
        <f>SUM(G27:J27)</f>
        <v>21745192.170857575</v>
      </c>
    </row>
    <row r="28" spans="1:17" s="2" customFormat="1" ht="11.25" x14ac:dyDescent="0.2">
      <c r="A28" s="58">
        <f t="shared" si="4"/>
        <v>20</v>
      </c>
      <c r="B28" s="116" t="s">
        <v>237</v>
      </c>
      <c r="C28" s="117">
        <f>'5.RuralCrosswalk'!C110</f>
        <v>0</v>
      </c>
      <c r="D28" s="117">
        <f>'5.RuralCrosswalk'!D110</f>
        <v>683577.4231866264</v>
      </c>
      <c r="E28" s="117">
        <f>'5.RuralCrosswalk'!E110</f>
        <v>0</v>
      </c>
      <c r="F28" s="119">
        <f t="shared" si="6"/>
        <v>683577.4231866264</v>
      </c>
      <c r="G28" s="117">
        <f>'[1]7.0.8'!$F23+'[1]7.0.8'!$H23</f>
        <v>0</v>
      </c>
      <c r="H28" s="117">
        <f>'[1]7.0.8'!$G23</f>
        <v>1075918.7346976514</v>
      </c>
      <c r="I28" s="117">
        <f>'[1]7.0.8'!I23</f>
        <v>55.432769921825027</v>
      </c>
      <c r="J28" s="117">
        <f>'[1]7.0.8'!$L23</f>
        <v>0</v>
      </c>
      <c r="K28" s="119">
        <f>SUM(G28:H28)</f>
        <v>1075918.7346976514</v>
      </c>
      <c r="L28" s="119">
        <f>SUM(G28:I28)</f>
        <v>1075974.1674675732</v>
      </c>
      <c r="M28" s="119">
        <f>SUM(G28:J28)</f>
        <v>1075974.1674675732</v>
      </c>
    </row>
    <row r="29" spans="1:17" s="2" customFormat="1" ht="11.25" x14ac:dyDescent="0.2">
      <c r="A29" s="59">
        <f>A28+1</f>
        <v>21</v>
      </c>
      <c r="B29" s="179" t="s">
        <v>238</v>
      </c>
      <c r="C29" s="122">
        <f>'5.RuralCrosswalk'!C111</f>
        <v>0</v>
      </c>
      <c r="D29" s="122">
        <f>'5.RuralCrosswalk'!D111</f>
        <v>0</v>
      </c>
      <c r="E29" s="122">
        <f>'5.RuralCrosswalk'!E111</f>
        <v>4738.8168852945901</v>
      </c>
      <c r="F29" s="159">
        <f t="shared" si="6"/>
        <v>4738.8168852945901</v>
      </c>
      <c r="G29" s="117">
        <f>'[1]7.0.8'!$F24+'[1]7.0.8'!$H24</f>
        <v>0</v>
      </c>
      <c r="H29" s="117">
        <f>'[1]7.0.8'!$G24</f>
        <v>0</v>
      </c>
      <c r="I29" s="122">
        <f>'[1]7.0.8'!I24</f>
        <v>3983.7749374647788</v>
      </c>
      <c r="J29" s="122">
        <f>'[1]7.0.8'!$L24</f>
        <v>847.68225382433241</v>
      </c>
      <c r="K29" s="159">
        <f>SUM(G29:H29)</f>
        <v>0</v>
      </c>
      <c r="L29" s="159">
        <f>SUM(G29:I29)</f>
        <v>3983.7749374647788</v>
      </c>
      <c r="M29" s="159">
        <f>SUM(G29:J29)</f>
        <v>4831.4571912891115</v>
      </c>
    </row>
    <row r="30" spans="1:17" s="2" customFormat="1" ht="11.25" x14ac:dyDescent="0.2">
      <c r="A30" s="60">
        <f t="shared" si="4"/>
        <v>22</v>
      </c>
      <c r="B30" s="112" t="s">
        <v>232</v>
      </c>
      <c r="C30" s="113">
        <f>'4.Rural cost'!C68</f>
        <v>1911.7622921541772</v>
      </c>
      <c r="D30" s="113">
        <f>'4.Rural cost'!D68</f>
        <v>1063009.4155670376</v>
      </c>
      <c r="E30" s="117">
        <f>'4.Rural cost'!H68</f>
        <v>14229.691386840059</v>
      </c>
      <c r="F30" s="128">
        <f>SUM(C30:E30)</f>
        <v>1079150.8692460319</v>
      </c>
      <c r="G30" s="113">
        <f>'[1]7.0.8'!$F25+'[1]7.0.8'!$H25</f>
        <v>5691.3855744474131</v>
      </c>
      <c r="H30" s="113">
        <f>'[1]7.0.8'!$G25</f>
        <v>1234178.2925171582</v>
      </c>
      <c r="I30" s="128">
        <f>'[1]7.0.8'!I25</f>
        <v>1123.6543535125595</v>
      </c>
      <c r="J30" s="128">
        <f>'[1]7.0.8'!$L25</f>
        <v>82.01766934167523</v>
      </c>
      <c r="K30" s="119">
        <f>SUM(G30:H30)</f>
        <v>1239869.6780916057</v>
      </c>
      <c r="L30" s="128">
        <f>SUM(G30:I30)</f>
        <v>1240993.3324451181</v>
      </c>
      <c r="M30" s="119">
        <f>SUM(G30:J30)</f>
        <v>1241075.3501144599</v>
      </c>
      <c r="N30" s="8"/>
      <c r="O30" s="235"/>
      <c r="P30" s="235"/>
      <c r="Q30" s="235"/>
    </row>
    <row r="31" spans="1:17" s="2" customFormat="1" ht="11.25" x14ac:dyDescent="0.2">
      <c r="A31" s="59">
        <f t="shared" si="4"/>
        <v>23</v>
      </c>
      <c r="B31" s="455" t="s">
        <v>184</v>
      </c>
      <c r="C31" s="159">
        <f>'5.RuralCrosswalk'!C112</f>
        <v>7106.4786679800536</v>
      </c>
      <c r="D31" s="159">
        <f>'5.RuralCrosswalk'!D112</f>
        <v>1087204.1921299705</v>
      </c>
      <c r="E31" s="159">
        <f>'5.RuralCrosswalk'!E112</f>
        <v>505.07110782104365</v>
      </c>
      <c r="F31" s="159">
        <f>SUM(C31:E31)</f>
        <v>1094815.7419057717</v>
      </c>
      <c r="G31" s="159">
        <f>[1]PeriodicalsVolAdj!$E$9</f>
        <v>6537.3288072670684</v>
      </c>
      <c r="H31" s="159">
        <f>[1]PeriodicalsVolAdj!$E$10</f>
        <v>1230535.7578238398</v>
      </c>
      <c r="I31" s="159">
        <f>I30-[1]PeriodicalsVolAdj!$F$11</f>
        <v>697.45054654621367</v>
      </c>
      <c r="J31" s="159">
        <f>J30</f>
        <v>82.01766934167523</v>
      </c>
      <c r="K31" s="119">
        <f>SUM(G31:H31)</f>
        <v>1237073.0866311069</v>
      </c>
      <c r="L31" s="159">
        <f>SUM(G31:I31)</f>
        <v>1237770.5371776531</v>
      </c>
      <c r="M31" s="119">
        <f>SUM(G31:J31)</f>
        <v>1237852.5548469948</v>
      </c>
      <c r="N31" s="8"/>
      <c r="O31" s="8"/>
      <c r="P31" s="8"/>
      <c r="Q31" s="8"/>
    </row>
    <row r="32" spans="1:17" s="2" customFormat="1" ht="11.25" x14ac:dyDescent="0.2">
      <c r="A32" s="60">
        <f t="shared" si="4"/>
        <v>24</v>
      </c>
      <c r="B32" s="133" t="s">
        <v>228</v>
      </c>
      <c r="C32" s="128"/>
      <c r="D32" s="128"/>
      <c r="E32" s="128"/>
      <c r="F32" s="128"/>
      <c r="G32" s="128"/>
      <c r="H32" s="128"/>
      <c r="I32" s="128"/>
      <c r="J32" s="128"/>
      <c r="K32" s="128"/>
      <c r="L32" s="128"/>
      <c r="M32" s="128"/>
      <c r="N32" s="8"/>
    </row>
    <row r="33" spans="1:14" s="2" customFormat="1" ht="11.25" x14ac:dyDescent="0.2">
      <c r="A33" s="58">
        <f t="shared" si="4"/>
        <v>25</v>
      </c>
      <c r="B33" s="154" t="s">
        <v>229</v>
      </c>
      <c r="C33" s="119"/>
      <c r="D33" s="119">
        <f>'5.RuralCrosswalk'!D114+'5.RuralCrosswalk'!C114</f>
        <v>36106.106550156823</v>
      </c>
      <c r="E33" s="119">
        <f>'5.RuralCrosswalk'!E114</f>
        <v>0</v>
      </c>
      <c r="F33" s="119">
        <f>SUM(C33:E33)</f>
        <v>36106.106550156823</v>
      </c>
      <c r="G33" s="117">
        <f>'[1]7.0.8'!$H27+'[1]7.0.8'!$F27</f>
        <v>16.580178165853297</v>
      </c>
      <c r="H33" s="117">
        <f>'[1]7.0.8'!$G27</f>
        <v>62391.500544965624</v>
      </c>
      <c r="I33" s="117">
        <f>'[1]7.0.8'!I27</f>
        <v>516.01717034565797</v>
      </c>
      <c r="J33" s="117">
        <f>'[1]7.0.8'!$L27</f>
        <v>0</v>
      </c>
      <c r="K33" s="119">
        <f>SUM(G33:H33)</f>
        <v>62408.080723131476</v>
      </c>
      <c r="L33" s="119">
        <f>SUM(G33:I33)</f>
        <v>62924.097893477134</v>
      </c>
      <c r="M33" s="119">
        <f>SUM(G33:J33)</f>
        <v>62924.097893477134</v>
      </c>
      <c r="N33" s="8"/>
    </row>
    <row r="34" spans="1:14" s="2" customFormat="1" ht="11.25" x14ac:dyDescent="0.2">
      <c r="A34" s="58">
        <f t="shared" si="4"/>
        <v>26</v>
      </c>
      <c r="B34" s="154" t="s">
        <v>230</v>
      </c>
      <c r="C34" s="119"/>
      <c r="D34" s="119">
        <f>'5.RuralCrosswalk'!D115</f>
        <v>0</v>
      </c>
      <c r="E34" s="119">
        <f>'5.RuralCrosswalk'!E115</f>
        <v>81470.785946928605</v>
      </c>
      <c r="F34" s="119">
        <f>SUM(C34:E34)</f>
        <v>81470.785946928605</v>
      </c>
      <c r="G34" s="117">
        <f>'[1]7.0.8'!$H28+'[1]7.0.8'!$F28</f>
        <v>0</v>
      </c>
      <c r="H34" s="117">
        <f>'[1]7.0.8'!$G28</f>
        <v>0</v>
      </c>
      <c r="I34" s="117">
        <f>'[1]7.0.8'!I28</f>
        <v>83223.557761391785</v>
      </c>
      <c r="J34" s="117">
        <f>'[1]7.0.8'!$L28</f>
        <v>39823.766448335053</v>
      </c>
      <c r="K34" s="119">
        <f>SUM(G34:H34)</f>
        <v>0</v>
      </c>
      <c r="L34" s="119">
        <f>SUM(G34:I34)</f>
        <v>83223.557761391785</v>
      </c>
      <c r="M34" s="119">
        <f>SUM(G34:J34)</f>
        <v>123047.32420972684</v>
      </c>
      <c r="N34" s="8"/>
    </row>
    <row r="35" spans="1:14" s="2" customFormat="1" ht="11.25" x14ac:dyDescent="0.2">
      <c r="A35" s="59">
        <f t="shared" si="4"/>
        <v>27</v>
      </c>
      <c r="B35" s="144" t="s">
        <v>234</v>
      </c>
      <c r="C35" s="159"/>
      <c r="D35" s="159">
        <f>'5.RuralCrosswalk'!D116+'5.RuralCrosswalk'!C116</f>
        <v>0</v>
      </c>
      <c r="E35" s="159">
        <f>'5.RuralCrosswalk'!E116</f>
        <v>22984.944246334828</v>
      </c>
      <c r="F35" s="159">
        <f>SUM(C35:E35)</f>
        <v>22984.944246334828</v>
      </c>
      <c r="G35" s="122">
        <f>'[1]7.0.8'!$H29+'[1]7.0.8'!$F29</f>
        <v>62.41439798673683</v>
      </c>
      <c r="H35" s="122">
        <f>'[1]7.0.8'!$G29</f>
        <v>672.34644523779457</v>
      </c>
      <c r="I35" s="122">
        <f>'[1]7.0.8'!I29</f>
        <v>16901.441113342036</v>
      </c>
      <c r="J35" s="122">
        <f>'[1]7.0.8'!$L29</f>
        <v>19277.314114203618</v>
      </c>
      <c r="K35" s="159">
        <f>SUM(G35:H35)</f>
        <v>734.76084322453141</v>
      </c>
      <c r="L35" s="159">
        <f>SUM(G35:I35)</f>
        <v>17636.201956566569</v>
      </c>
      <c r="M35" s="159">
        <f>SUM(G35:J35)</f>
        <v>36913.516070770187</v>
      </c>
      <c r="N35" s="8"/>
    </row>
    <row r="36" spans="1:14" x14ac:dyDescent="0.2">
      <c r="B36" s="12"/>
      <c r="I36" s="272"/>
      <c r="J36" s="272"/>
    </row>
    <row r="37" spans="1:14" x14ac:dyDescent="0.2">
      <c r="B37" s="12"/>
      <c r="I37" s="15"/>
      <c r="J37" s="272"/>
    </row>
    <row r="38" spans="1:14" x14ac:dyDescent="0.2">
      <c r="B38" s="477"/>
      <c r="G38" s="272"/>
      <c r="H38" s="272"/>
      <c r="I38" s="272"/>
    </row>
    <row r="39" spans="1:14" x14ac:dyDescent="0.2">
      <c r="G39" s="272"/>
      <c r="H39" s="272"/>
      <c r="I39" s="272"/>
    </row>
  </sheetData>
  <customSheetViews>
    <customSheetView guid="{4B7ED599-3000-45CD-B5C1-4F696B7BEDDF}" fitToPage="1" showRuler="0">
      <pane xSplit="2" ySplit="2" topLeftCell="C3" activePane="bottomRight" state="frozen"/>
      <selection pane="bottomRight" activeCell="E6" sqref="E6"/>
      <pageMargins left="0.75" right="0.75" top="1" bottom="1" header="0.5" footer="0.5"/>
      <pageSetup scale="48" fitToHeight="2" orientation="landscape" r:id="rId1"/>
      <headerFooter alignWithMargins="0">
        <oddHeader>&amp;C&amp;A&amp;RUSPS LR-J-117
Page &amp;P of &amp;N</oddHeader>
      </headerFooter>
    </customSheetView>
  </customSheetViews>
  <phoneticPr fontId="6" type="noConversion"/>
  <pageMargins left="0.75" right="0.75" top="1" bottom="1" header="0.5" footer="0.5"/>
  <pageSetup scale="59" fitToHeight="2" orientation="landscape" r:id="rId2"/>
  <headerFooter alignWithMargins="0">
    <oddHeader xml:space="preserve">&amp;RUSPS-FY09-19
</oddHeader>
  </headerFooter>
  <ignoredErrors>
    <ignoredError sqref="F19"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92D050"/>
  </sheetPr>
  <dimension ref="A1:P60"/>
  <sheetViews>
    <sheetView workbookViewId="0">
      <selection activeCell="O31" sqref="O31"/>
    </sheetView>
  </sheetViews>
  <sheetFormatPr defaultRowHeight="12.75" x14ac:dyDescent="0.2"/>
  <cols>
    <col min="1" max="1" width="5.140625" style="35" customWidth="1"/>
    <col min="2" max="2" width="28" style="16" customWidth="1"/>
    <col min="3" max="4" width="12" style="16" customWidth="1"/>
    <col min="5" max="5" width="13.42578125" style="16" customWidth="1"/>
    <col min="6" max="6" width="12" style="16" customWidth="1"/>
    <col min="7" max="7" width="2.42578125" customWidth="1"/>
    <col min="8" max="12" width="11.85546875" customWidth="1"/>
    <col min="13" max="14" width="10.85546875" customWidth="1"/>
  </cols>
  <sheetData>
    <row r="1" spans="1:15" x14ac:dyDescent="0.2">
      <c r="A1" s="263" t="str">
        <f>[1]Inputs!$C$4</f>
        <v>Unit Delivery Cost Model -  12/16/2025</v>
      </c>
    </row>
    <row r="2" spans="1:15" x14ac:dyDescent="0.2">
      <c r="A2" s="15" t="s">
        <v>136</v>
      </c>
    </row>
    <row r="3" spans="1:15" x14ac:dyDescent="0.2">
      <c r="A3" s="264" t="str">
        <f>[1]Inputs!$C$6</f>
        <v>FY 2025</v>
      </c>
    </row>
    <row r="4" spans="1:15" x14ac:dyDescent="0.2">
      <c r="B4" s="6"/>
      <c r="C4" s="35"/>
      <c r="D4" s="35"/>
      <c r="E4" s="35"/>
      <c r="F4" s="35"/>
    </row>
    <row r="5" spans="1:15" s="2" customFormat="1" ht="33.75" x14ac:dyDescent="0.2">
      <c r="A5" s="64" t="s">
        <v>23</v>
      </c>
      <c r="B5" s="46"/>
      <c r="C5" s="64" t="s">
        <v>45</v>
      </c>
      <c r="D5" s="46" t="s">
        <v>263</v>
      </c>
      <c r="E5" s="64" t="s">
        <v>46</v>
      </c>
      <c r="F5" s="46" t="s">
        <v>135</v>
      </c>
      <c r="G5" s="431"/>
      <c r="H5" s="46" t="s">
        <v>20</v>
      </c>
      <c r="I5" s="46" t="s">
        <v>47</v>
      </c>
      <c r="J5" s="46" t="s">
        <v>44</v>
      </c>
      <c r="K5" s="46" t="s">
        <v>420</v>
      </c>
      <c r="L5" s="64" t="s">
        <v>73</v>
      </c>
      <c r="M5" s="64" t="s">
        <v>334</v>
      </c>
      <c r="N5" s="64" t="s">
        <v>397</v>
      </c>
      <c r="O5" s="46" t="s">
        <v>72</v>
      </c>
    </row>
    <row r="6" spans="1:15" s="2" customFormat="1" ht="11.25" x14ac:dyDescent="0.2">
      <c r="A6" s="66"/>
      <c r="B6" s="48" t="s">
        <v>22</v>
      </c>
      <c r="C6" s="55">
        <v>-1</v>
      </c>
      <c r="D6" s="55">
        <f t="shared" ref="D6:K6" si="0">C6-1</f>
        <v>-2</v>
      </c>
      <c r="E6" s="55">
        <f t="shared" si="0"/>
        <v>-3</v>
      </c>
      <c r="F6" s="55">
        <f t="shared" si="0"/>
        <v>-4</v>
      </c>
      <c r="G6" s="432"/>
      <c r="H6" s="55">
        <f>F6-1</f>
        <v>-5</v>
      </c>
      <c r="I6" s="55">
        <f t="shared" si="0"/>
        <v>-6</v>
      </c>
      <c r="J6" s="55">
        <f t="shared" si="0"/>
        <v>-7</v>
      </c>
      <c r="K6" s="55">
        <f t="shared" si="0"/>
        <v>-8</v>
      </c>
      <c r="L6" s="55">
        <f>K6-1</f>
        <v>-9</v>
      </c>
      <c r="M6" s="55">
        <f>L6-1</f>
        <v>-10</v>
      </c>
      <c r="N6" s="55">
        <f>M6-1</f>
        <v>-11</v>
      </c>
      <c r="O6" s="55">
        <f>N6-1</f>
        <v>-12</v>
      </c>
    </row>
    <row r="7" spans="1:15" s="2" customFormat="1" ht="11.25" x14ac:dyDescent="0.2">
      <c r="A7" s="68"/>
      <c r="B7" s="50" t="s">
        <v>94</v>
      </c>
      <c r="C7" s="87"/>
      <c r="D7" s="49"/>
      <c r="E7" s="87"/>
      <c r="F7" s="49"/>
      <c r="G7" s="80"/>
      <c r="H7" s="49"/>
      <c r="I7" s="49"/>
      <c r="J7" s="49"/>
      <c r="K7" s="49"/>
      <c r="L7" s="49"/>
      <c r="M7" s="49"/>
      <c r="N7" s="49"/>
      <c r="O7" s="49"/>
    </row>
    <row r="8" spans="1:15" s="2" customFormat="1" ht="33.75" x14ac:dyDescent="0.2">
      <c r="A8" s="95"/>
      <c r="B8" s="89" t="s">
        <v>112</v>
      </c>
      <c r="C8" s="95" t="str">
        <f>NOTES!A7&amp;  " (C"&amp;-'3.SummaryBY'!$C6&amp;" x C"&amp;-'3.SummaryBY'!$L6&amp;")"</f>
        <v>3.SummaryBY (C1 x C10)</v>
      </c>
      <c r="D8" s="433"/>
      <c r="E8" s="95" t="str">
        <f>"("&amp;NOTES!A7&amp;  " C"&amp;-'3.SummaryBY'!$C6&amp;") - C"&amp;-C6</f>
        <v>(3.SummaryBY C1) - C1</v>
      </c>
      <c r="F8" s="433"/>
      <c r="G8" s="194"/>
      <c r="H8" s="95" t="str">
        <f>"C"&amp;-$D$6 &amp; " x  " &amp;NOTES!A9&amp;" C"&amp;-'5.RuralCrosswalk'!$E$34&amp;"L"&amp;'7.RuralDisagg'!A40</f>
        <v>C2 x  5.RuralCrosswalk C31L28</v>
      </c>
      <c r="I8" s="95" t="str">
        <f>"C"&amp;-$F6 &amp; " x  " &amp;NOTES!A9&amp;" C"&amp;-'5.RuralCrosswalk'!$C34&amp;"L"&amp;'7.RuralDisagg'!A40</f>
        <v>C4 x  5.RuralCrosswalk C29L28</v>
      </c>
      <c r="J8" s="95" t="str">
        <f>"C"&amp;-$F6 &amp; " x  " &amp;NOTES!A9&amp;" C"&amp;-'5.RuralCrosswalk'!$I34&amp;"L"&amp;'7.RuralDisagg'!A40</f>
        <v>C4 x  5.RuralCrosswalk C35L28</v>
      </c>
      <c r="K8" s="95" t="str">
        <f>"C"&amp;-$F6 &amp; " x  " &amp;NOTES!$A9&amp;" C"&amp;-'5.RuralCrosswalk'!$R34&amp;"L"&amp;A40</f>
        <v>C4 x  5.RuralCrosswalk C44L28</v>
      </c>
      <c r="L8" s="95" t="str">
        <f>"C"&amp;-$F6 &amp; " x  " &amp;NOTES!$A9&amp;" C"&amp;-'5.RuralCrosswalk'!$D34&amp;"L"&amp;A40</f>
        <v>C4 x  5.RuralCrosswalk C30L28</v>
      </c>
      <c r="M8" s="95" t="s">
        <v>443</v>
      </c>
      <c r="N8" s="95" t="s">
        <v>444</v>
      </c>
      <c r="O8" s="95" t="str">
        <f>"C"&amp;-H$6&amp;"..C"&amp;-N$6</f>
        <v>C5..C11</v>
      </c>
    </row>
    <row r="9" spans="1:15" s="2" customFormat="1" ht="11.25" x14ac:dyDescent="0.2">
      <c r="A9" s="60">
        <v>1</v>
      </c>
      <c r="B9" s="112" t="s">
        <v>133</v>
      </c>
      <c r="C9" s="113"/>
      <c r="D9" s="113"/>
      <c r="E9" s="113"/>
      <c r="F9" s="113"/>
      <c r="G9" s="434"/>
      <c r="H9" s="114"/>
      <c r="I9" s="114"/>
      <c r="J9" s="114"/>
      <c r="K9" s="114"/>
      <c r="L9" s="114"/>
      <c r="M9" s="114"/>
      <c r="N9" s="114"/>
      <c r="O9" s="115"/>
    </row>
    <row r="10" spans="1:15" s="2" customFormat="1" ht="11.25" x14ac:dyDescent="0.2">
      <c r="A10" s="58">
        <f>A9+1</f>
        <v>2</v>
      </c>
      <c r="B10" s="143" t="s">
        <v>186</v>
      </c>
      <c r="C10" s="117">
        <f>'3.SummaryBY'!C18*'3.SummaryBY'!L18</f>
        <v>0</v>
      </c>
      <c r="D10" s="118">
        <f t="shared" ref="D10:D24" si="1">C10/C$24</f>
        <v>0</v>
      </c>
      <c r="E10" s="117">
        <f>'3.SummaryBY'!L18-C10</f>
        <v>2226.1520000000005</v>
      </c>
      <c r="F10" s="118">
        <f t="shared" ref="F10:F23" si="2">E10/E$24</f>
        <v>1.0541291245628316E-3</v>
      </c>
      <c r="G10" s="435"/>
      <c r="H10" s="119">
        <f>D10*H$24</f>
        <v>0</v>
      </c>
      <c r="I10" s="436">
        <f t="shared" ref="I10:I23" si="3">F10*I$24</f>
        <v>100.14725840063282</v>
      </c>
      <c r="J10" s="436">
        <f t="shared" ref="J10:J23" si="4">F10*J$24</f>
        <v>0</v>
      </c>
      <c r="K10" s="117">
        <f t="shared" ref="K10:K23" si="5">F10*K$24</f>
        <v>0</v>
      </c>
      <c r="L10" s="117">
        <f t="shared" ref="L10:L23" si="6">F10*L$24</f>
        <v>0</v>
      </c>
      <c r="M10" s="117">
        <f t="shared" ref="M10:M23" si="7">F10*M$24</f>
        <v>1.2498198021950684</v>
      </c>
      <c r="N10" s="117">
        <f>F10*N$24</f>
        <v>10.428231459861337</v>
      </c>
      <c r="O10" s="119">
        <f>SUM(H10:N10)</f>
        <v>111.82530966268922</v>
      </c>
    </row>
    <row r="11" spans="1:15" s="2" customFormat="1" ht="11.25" x14ac:dyDescent="0.2">
      <c r="A11" s="58">
        <f t="shared" ref="A11:A23" si="8">A10+1</f>
        <v>3</v>
      </c>
      <c r="B11" s="143" t="s">
        <v>187</v>
      </c>
      <c r="C11" s="117">
        <f>'3.SummaryBY'!C19*'3.SummaryBY'!L19</f>
        <v>0</v>
      </c>
      <c r="D11" s="118">
        <f t="shared" si="1"/>
        <v>0</v>
      </c>
      <c r="E11" s="117">
        <f>'3.SummaryBY'!L19-C11</f>
        <v>0</v>
      </c>
      <c r="F11" s="118">
        <f t="shared" si="2"/>
        <v>0</v>
      </c>
      <c r="G11" s="435"/>
      <c r="H11" s="119">
        <f>'7.RuralDisagg'!D11*H$24</f>
        <v>0</v>
      </c>
      <c r="I11" s="436">
        <f t="shared" si="3"/>
        <v>0</v>
      </c>
      <c r="J11" s="436">
        <f t="shared" si="4"/>
        <v>0</v>
      </c>
      <c r="K11" s="117">
        <f t="shared" si="5"/>
        <v>0</v>
      </c>
      <c r="L11" s="117">
        <f t="shared" si="6"/>
        <v>0</v>
      </c>
      <c r="M11" s="117">
        <f t="shared" si="7"/>
        <v>0</v>
      </c>
      <c r="N11" s="117">
        <f t="shared" ref="N11:N23" si="9">F11*N$24</f>
        <v>0</v>
      </c>
      <c r="O11" s="119">
        <f t="shared" ref="O11:O24" si="10">SUM(H11:N11)</f>
        <v>0</v>
      </c>
    </row>
    <row r="12" spans="1:15" s="2" customFormat="1" ht="11.25" x14ac:dyDescent="0.2">
      <c r="A12" s="58">
        <f t="shared" si="8"/>
        <v>4</v>
      </c>
      <c r="B12" s="143" t="s">
        <v>188</v>
      </c>
      <c r="C12" s="117">
        <f>'3.SummaryBY'!C20*'3.SummaryBY'!L20</f>
        <v>141029.589959345</v>
      </c>
      <c r="D12" s="118">
        <f t="shared" si="1"/>
        <v>5.2199117459483593E-3</v>
      </c>
      <c r="E12" s="117">
        <f>'3.SummaryBY'!L20-C12</f>
        <v>24144.193040654936</v>
      </c>
      <c r="F12" s="118">
        <f t="shared" si="2"/>
        <v>1.1432775961938625E-2</v>
      </c>
      <c r="G12" s="435"/>
      <c r="H12" s="119">
        <f>'7.RuralDisagg'!D12*H$24</f>
        <v>1569.5686481659682</v>
      </c>
      <c r="I12" s="436">
        <f t="shared" si="3"/>
        <v>1086.1678534606936</v>
      </c>
      <c r="J12" s="436">
        <f t="shared" si="4"/>
        <v>0</v>
      </c>
      <c r="K12" s="117">
        <f t="shared" si="5"/>
        <v>0</v>
      </c>
      <c r="L12" s="117">
        <f t="shared" si="6"/>
        <v>0</v>
      </c>
      <c r="M12" s="117">
        <f t="shared" si="7"/>
        <v>13.555179776686808</v>
      </c>
      <c r="N12" s="117">
        <f t="shared" si="9"/>
        <v>113.10154627335551</v>
      </c>
      <c r="O12" s="119">
        <f t="shared" si="10"/>
        <v>2782.3932276767036</v>
      </c>
    </row>
    <row r="13" spans="1:15" s="2" customFormat="1" ht="11.25" x14ac:dyDescent="0.2">
      <c r="A13" s="58">
        <f t="shared" si="8"/>
        <v>5</v>
      </c>
      <c r="B13" s="143" t="s">
        <v>189</v>
      </c>
      <c r="C13" s="117">
        <f>'3.SummaryBY'!C21*'3.SummaryBY'!L21</f>
        <v>298389.00712479657</v>
      </c>
      <c r="D13" s="118">
        <f t="shared" si="1"/>
        <v>1.1044237479536015E-2</v>
      </c>
      <c r="E13" s="117">
        <f>'3.SummaryBY'!L21-C13</f>
        <v>32312.454875204188</v>
      </c>
      <c r="F13" s="118">
        <f t="shared" si="2"/>
        <v>1.5300617284927079E-2</v>
      </c>
      <c r="G13" s="435"/>
      <c r="H13" s="119">
        <f>'7.RuralDisagg'!D13*H$24</f>
        <v>3320.8777723558769</v>
      </c>
      <c r="I13" s="436">
        <f t="shared" si="3"/>
        <v>1453.6310943483918</v>
      </c>
      <c r="J13" s="436">
        <f t="shared" si="4"/>
        <v>0</v>
      </c>
      <c r="K13" s="117">
        <f t="shared" si="5"/>
        <v>0</v>
      </c>
      <c r="L13" s="117">
        <f t="shared" si="6"/>
        <v>0</v>
      </c>
      <c r="M13" s="117">
        <f t="shared" si="7"/>
        <v>18.141055040520488</v>
      </c>
      <c r="N13" s="117">
        <f t="shared" si="9"/>
        <v>151.36511724040142</v>
      </c>
      <c r="O13" s="119">
        <f t="shared" si="10"/>
        <v>4944.0150389851915</v>
      </c>
    </row>
    <row r="14" spans="1:15" s="2" customFormat="1" ht="11.25" x14ac:dyDescent="0.2">
      <c r="A14" s="58">
        <f t="shared" si="8"/>
        <v>6</v>
      </c>
      <c r="B14" s="143" t="s">
        <v>190</v>
      </c>
      <c r="C14" s="117">
        <f>'3.SummaryBY'!C22*'3.SummaryBY'!L22</f>
        <v>0</v>
      </c>
      <c r="D14" s="118">
        <f t="shared" si="1"/>
        <v>0</v>
      </c>
      <c r="E14" s="117">
        <f>'3.SummaryBY'!L22-C14</f>
        <v>1700.8150000000005</v>
      </c>
      <c r="F14" s="118">
        <f t="shared" si="2"/>
        <v>8.0537116378096951E-4</v>
      </c>
      <c r="G14" s="435"/>
      <c r="H14" s="119">
        <f>'7.RuralDisagg'!D14*H$24</f>
        <v>0</v>
      </c>
      <c r="I14" s="436">
        <f t="shared" si="3"/>
        <v>76.514074194696647</v>
      </c>
      <c r="J14" s="436">
        <f t="shared" si="4"/>
        <v>0</v>
      </c>
      <c r="K14" s="117">
        <f t="shared" si="5"/>
        <v>0</v>
      </c>
      <c r="L14" s="117">
        <f t="shared" si="6"/>
        <v>0</v>
      </c>
      <c r="M14" s="117">
        <f t="shared" si="7"/>
        <v>0.95488190692747199</v>
      </c>
      <c r="N14" s="117">
        <f t="shared" si="9"/>
        <v>7.9673321904362613</v>
      </c>
      <c r="O14" s="119">
        <f t="shared" si="10"/>
        <v>85.436288292060382</v>
      </c>
    </row>
    <row r="15" spans="1:15" s="2" customFormat="1" ht="11.25" x14ac:dyDescent="0.2">
      <c r="A15" s="58">
        <f t="shared" si="8"/>
        <v>7</v>
      </c>
      <c r="B15" s="143" t="s">
        <v>191</v>
      </c>
      <c r="C15" s="117">
        <f>'3.SummaryBY'!C23*'3.SummaryBY'!L23</f>
        <v>0</v>
      </c>
      <c r="D15" s="118">
        <f t="shared" si="1"/>
        <v>0</v>
      </c>
      <c r="E15" s="117">
        <f>'3.SummaryBY'!L23-C15</f>
        <v>1295.1049999999993</v>
      </c>
      <c r="F15" s="118">
        <f t="shared" si="2"/>
        <v>6.1325906760497273E-4</v>
      </c>
      <c r="G15" s="435"/>
      <c r="H15" s="119">
        <f>'7.RuralDisagg'!D15*H$24</f>
        <v>0</v>
      </c>
      <c r="I15" s="436">
        <f t="shared" si="3"/>
        <v>58.262515358767722</v>
      </c>
      <c r="J15" s="436">
        <f t="shared" si="4"/>
        <v>0</v>
      </c>
      <c r="K15" s="117">
        <f t="shared" si="5"/>
        <v>0</v>
      </c>
      <c r="L15" s="117">
        <f t="shared" si="6"/>
        <v>0</v>
      </c>
      <c r="M15" s="117">
        <f t="shared" si="7"/>
        <v>0.72710572994199996</v>
      </c>
      <c r="N15" s="117">
        <f t="shared" si="9"/>
        <v>6.0668160596507832</v>
      </c>
      <c r="O15" s="119">
        <f t="shared" si="10"/>
        <v>65.056437148360502</v>
      </c>
    </row>
    <row r="16" spans="1:15" s="2" customFormat="1" ht="11.25" x14ac:dyDescent="0.2">
      <c r="A16" s="58">
        <f t="shared" si="8"/>
        <v>8</v>
      </c>
      <c r="B16" s="143" t="s">
        <v>192</v>
      </c>
      <c r="C16" s="117">
        <f>'3.SummaryBY'!C24*'3.SummaryBY'!L24</f>
        <v>0</v>
      </c>
      <c r="D16" s="118">
        <f t="shared" si="1"/>
        <v>0</v>
      </c>
      <c r="E16" s="117">
        <f>'3.SummaryBY'!L24-C16</f>
        <v>0</v>
      </c>
      <c r="F16" s="118">
        <f t="shared" si="2"/>
        <v>0</v>
      </c>
      <c r="G16" s="435"/>
      <c r="H16" s="119">
        <f>'7.RuralDisagg'!D16*H$24</f>
        <v>0</v>
      </c>
      <c r="I16" s="436">
        <f t="shared" si="3"/>
        <v>0</v>
      </c>
      <c r="J16" s="436">
        <f t="shared" si="4"/>
        <v>0</v>
      </c>
      <c r="K16" s="117">
        <f t="shared" si="5"/>
        <v>0</v>
      </c>
      <c r="L16" s="117">
        <f t="shared" si="6"/>
        <v>0</v>
      </c>
      <c r="M16" s="117">
        <f t="shared" si="7"/>
        <v>0</v>
      </c>
      <c r="N16" s="117">
        <f t="shared" si="9"/>
        <v>0</v>
      </c>
      <c r="O16" s="119">
        <f t="shared" si="10"/>
        <v>0</v>
      </c>
    </row>
    <row r="17" spans="1:16" s="2" customFormat="1" ht="11.25" x14ac:dyDescent="0.2">
      <c r="A17" s="58">
        <f t="shared" si="8"/>
        <v>9</v>
      </c>
      <c r="B17" s="143" t="s">
        <v>193</v>
      </c>
      <c r="C17" s="117">
        <f>'3.SummaryBY'!C25*'3.SummaryBY'!L25</f>
        <v>0</v>
      </c>
      <c r="D17" s="118">
        <f t="shared" si="1"/>
        <v>0</v>
      </c>
      <c r="E17" s="117">
        <f>'3.SummaryBY'!L25-C17</f>
        <v>0</v>
      </c>
      <c r="F17" s="118">
        <f t="shared" si="2"/>
        <v>0</v>
      </c>
      <c r="G17" s="435"/>
      <c r="H17" s="119">
        <f>'7.RuralDisagg'!D17*H$24</f>
        <v>0</v>
      </c>
      <c r="I17" s="436">
        <f t="shared" si="3"/>
        <v>0</v>
      </c>
      <c r="J17" s="436">
        <f t="shared" si="4"/>
        <v>0</v>
      </c>
      <c r="K17" s="117">
        <f t="shared" si="5"/>
        <v>0</v>
      </c>
      <c r="L17" s="117">
        <f t="shared" si="6"/>
        <v>0</v>
      </c>
      <c r="M17" s="117">
        <f t="shared" si="7"/>
        <v>0</v>
      </c>
      <c r="N17" s="117">
        <f t="shared" si="9"/>
        <v>0</v>
      </c>
      <c r="O17" s="119">
        <f t="shared" si="10"/>
        <v>0</v>
      </c>
    </row>
    <row r="18" spans="1:16" s="2" customFormat="1" ht="11.25" x14ac:dyDescent="0.2">
      <c r="A18" s="58">
        <f t="shared" si="8"/>
        <v>10</v>
      </c>
      <c r="B18" s="143" t="s">
        <v>194</v>
      </c>
      <c r="C18" s="117">
        <f>'3.SummaryBY'!C26*'3.SummaryBY'!L26</f>
        <v>1099591.668218653</v>
      </c>
      <c r="D18" s="118">
        <f t="shared" si="1"/>
        <v>4.0699058022760456E-2</v>
      </c>
      <c r="E18" s="117">
        <f>'3.SummaryBY'!L26-C18</f>
        <v>172229.88678134815</v>
      </c>
      <c r="F18" s="118">
        <f t="shared" si="2"/>
        <v>8.1554422059400306E-2</v>
      </c>
      <c r="G18" s="80"/>
      <c r="H18" s="119">
        <f>'7.RuralDisagg'!D18*H$24</f>
        <v>12237.748182619254</v>
      </c>
      <c r="I18" s="436">
        <f t="shared" si="3"/>
        <v>7748.0562763923599</v>
      </c>
      <c r="J18" s="436">
        <f t="shared" si="4"/>
        <v>0</v>
      </c>
      <c r="K18" s="117">
        <f t="shared" si="5"/>
        <v>0</v>
      </c>
      <c r="L18" s="117">
        <f t="shared" si="6"/>
        <v>0</v>
      </c>
      <c r="M18" s="117">
        <f t="shared" si="7"/>
        <v>96.694351072677662</v>
      </c>
      <c r="N18" s="117">
        <f t="shared" si="9"/>
        <v>806.79716554018364</v>
      </c>
      <c r="O18" s="119">
        <f t="shared" si="10"/>
        <v>20889.295975624478</v>
      </c>
    </row>
    <row r="19" spans="1:16" s="2" customFormat="1" ht="11.25" x14ac:dyDescent="0.2">
      <c r="A19" s="58">
        <f t="shared" si="8"/>
        <v>11</v>
      </c>
      <c r="B19" s="143" t="s">
        <v>195</v>
      </c>
      <c r="C19" s="117">
        <f>'3.SummaryBY'!C27*'3.SummaryBY'!L27</f>
        <v>5387701.4160038084</v>
      </c>
      <c r="D19" s="118">
        <f t="shared" si="1"/>
        <v>0.19941436341953542</v>
      </c>
      <c r="E19" s="117">
        <f>'3.SummaryBY'!L27-C19</f>
        <v>630532.77299616951</v>
      </c>
      <c r="F19" s="118">
        <f t="shared" si="2"/>
        <v>0.29857034021334872</v>
      </c>
      <c r="G19" s="80"/>
      <c r="H19" s="119">
        <f>'7.RuralDisagg'!D19*H$24</f>
        <v>59961.652236787406</v>
      </c>
      <c r="I19" s="436">
        <f t="shared" si="3"/>
        <v>28365.596126102319</v>
      </c>
      <c r="J19" s="436">
        <f t="shared" si="4"/>
        <v>0</v>
      </c>
      <c r="K19" s="117">
        <f t="shared" si="5"/>
        <v>0</v>
      </c>
      <c r="L19" s="117">
        <f t="shared" si="6"/>
        <v>0</v>
      </c>
      <c r="M19" s="117">
        <f t="shared" si="7"/>
        <v>353.99754626978768</v>
      </c>
      <c r="N19" s="117">
        <f t="shared" si="9"/>
        <v>2953.6804763701043</v>
      </c>
      <c r="O19" s="119">
        <f t="shared" si="10"/>
        <v>91634.926385529616</v>
      </c>
    </row>
    <row r="20" spans="1:16" s="2" customFormat="1" ht="11.25" x14ac:dyDescent="0.2">
      <c r="A20" s="58">
        <f t="shared" si="8"/>
        <v>12</v>
      </c>
      <c r="B20" s="143" t="s">
        <v>196</v>
      </c>
      <c r="C20" s="117">
        <f>'3.SummaryBY'!C28*'3.SummaryBY'!L28</f>
        <v>0</v>
      </c>
      <c r="D20" s="118">
        <f t="shared" si="1"/>
        <v>0</v>
      </c>
      <c r="E20" s="117">
        <f>'3.SummaryBY'!L28-C20</f>
        <v>0</v>
      </c>
      <c r="F20" s="118">
        <f t="shared" si="2"/>
        <v>0</v>
      </c>
      <c r="G20" s="80"/>
      <c r="H20" s="119">
        <f>'7.RuralDisagg'!D20*H$24</f>
        <v>0</v>
      </c>
      <c r="I20" s="436">
        <f t="shared" si="3"/>
        <v>0</v>
      </c>
      <c r="J20" s="436">
        <f t="shared" si="4"/>
        <v>0</v>
      </c>
      <c r="K20" s="117">
        <f t="shared" si="5"/>
        <v>0</v>
      </c>
      <c r="L20" s="117">
        <f t="shared" si="6"/>
        <v>0</v>
      </c>
      <c r="M20" s="117">
        <f t="shared" si="7"/>
        <v>0</v>
      </c>
      <c r="N20" s="117">
        <f t="shared" si="9"/>
        <v>0</v>
      </c>
      <c r="O20" s="119">
        <f t="shared" si="10"/>
        <v>0</v>
      </c>
    </row>
    <row r="21" spans="1:16" s="2" customFormat="1" ht="11.25" x14ac:dyDescent="0.2">
      <c r="A21" s="58">
        <f t="shared" si="8"/>
        <v>13</v>
      </c>
      <c r="B21" s="154" t="s">
        <v>197</v>
      </c>
      <c r="C21" s="117">
        <f>'3.SummaryBY'!C29*'3.SummaryBY'!L29</f>
        <v>0</v>
      </c>
      <c r="D21" s="118">
        <f t="shared" si="1"/>
        <v>0</v>
      </c>
      <c r="E21" s="117">
        <f>'3.SummaryBY'!L29-C21</f>
        <v>750385.76551451348</v>
      </c>
      <c r="F21" s="118">
        <f t="shared" si="2"/>
        <v>0.35532321696192543</v>
      </c>
      <c r="G21" s="80"/>
      <c r="H21" s="119">
        <f>'7.RuralDisagg'!D21*H$24</f>
        <v>0</v>
      </c>
      <c r="I21" s="436">
        <f t="shared" si="3"/>
        <v>33757.388156396613</v>
      </c>
      <c r="J21" s="436">
        <f t="shared" si="4"/>
        <v>0</v>
      </c>
      <c r="K21" s="117">
        <f t="shared" si="5"/>
        <v>0</v>
      </c>
      <c r="L21" s="117">
        <f t="shared" si="6"/>
        <v>0</v>
      </c>
      <c r="M21" s="117">
        <f t="shared" si="7"/>
        <v>421.28614264674826</v>
      </c>
      <c r="N21" s="117">
        <f t="shared" si="9"/>
        <v>3515.1222589340623</v>
      </c>
      <c r="O21" s="119">
        <f t="shared" si="10"/>
        <v>37693.796557977425</v>
      </c>
    </row>
    <row r="22" spans="1:16" s="2" customFormat="1" ht="11.25" x14ac:dyDescent="0.2">
      <c r="A22" s="58">
        <f t="shared" si="8"/>
        <v>14</v>
      </c>
      <c r="B22" s="143" t="s">
        <v>198</v>
      </c>
      <c r="C22" s="117">
        <f>'3.SummaryBY'!C30*'3.SummaryBY'!L30</f>
        <v>20090907.930521257</v>
      </c>
      <c r="D22" s="118">
        <f t="shared" si="1"/>
        <v>0.74362242933221967</v>
      </c>
      <c r="E22" s="117">
        <f>'3.SummaryBY'!L30-C22</f>
        <v>497012.80696422234</v>
      </c>
      <c r="F22" s="118">
        <f t="shared" si="2"/>
        <v>0.23534586816251146</v>
      </c>
      <c r="G22" s="80"/>
      <c r="H22" s="119">
        <f>'7.RuralDisagg'!D22*H$24</f>
        <v>223598.88595028594</v>
      </c>
      <c r="I22" s="436">
        <f t="shared" si="3"/>
        <v>22358.971897457945</v>
      </c>
      <c r="J22" s="436">
        <f t="shared" si="4"/>
        <v>0</v>
      </c>
      <c r="K22" s="117">
        <f t="shared" si="5"/>
        <v>0</v>
      </c>
      <c r="L22" s="117">
        <f t="shared" si="6"/>
        <v>0</v>
      </c>
      <c r="M22" s="117">
        <f t="shared" si="7"/>
        <v>279.03595445793457</v>
      </c>
      <c r="N22" s="117">
        <f t="shared" si="9"/>
        <v>2328.2168466206676</v>
      </c>
      <c r="O22" s="119">
        <f t="shared" si="10"/>
        <v>248565.11064882251</v>
      </c>
    </row>
    <row r="23" spans="1:16" s="2" customFormat="1" ht="11.25" x14ac:dyDescent="0.2">
      <c r="A23" s="58">
        <f t="shared" si="8"/>
        <v>15</v>
      </c>
      <c r="B23" s="143" t="s">
        <v>199</v>
      </c>
      <c r="C23" s="117">
        <f>'3.SummaryBY'!C31*'3.SummaryBY'!L31</f>
        <v>20090907.930521257</v>
      </c>
      <c r="D23" s="118">
        <f t="shared" si="1"/>
        <v>0.74362242933221967</v>
      </c>
      <c r="E23" s="117">
        <f>'3.SummaryBY'!L31-C23</f>
        <v>1247398.5724787377</v>
      </c>
      <c r="F23" s="118">
        <f t="shared" si="2"/>
        <v>0.59066908512443783</v>
      </c>
      <c r="G23" s="80"/>
      <c r="H23" s="119">
        <f>'7.RuralDisagg'!D23*H$24</f>
        <v>223598.88595028594</v>
      </c>
      <c r="I23" s="436">
        <f t="shared" si="3"/>
        <v>56116.360053854645</v>
      </c>
      <c r="J23" s="436">
        <f t="shared" si="4"/>
        <v>0</v>
      </c>
      <c r="K23" s="117">
        <f t="shared" si="5"/>
        <v>0</v>
      </c>
      <c r="L23" s="117">
        <f t="shared" si="6"/>
        <v>0</v>
      </c>
      <c r="M23" s="117">
        <f t="shared" si="7"/>
        <v>700.32209710468396</v>
      </c>
      <c r="N23" s="117">
        <f t="shared" si="9"/>
        <v>5843.339105554739</v>
      </c>
      <c r="O23" s="119">
        <f t="shared" si="10"/>
        <v>286258.90720680001</v>
      </c>
    </row>
    <row r="24" spans="1:16" s="2" customFormat="1" ht="11.25" x14ac:dyDescent="0.2">
      <c r="A24" s="58">
        <f>A23+1</f>
        <v>16</v>
      </c>
      <c r="B24" s="121" t="s">
        <v>11</v>
      </c>
      <c r="C24" s="122">
        <f>C23+C20+C19+C18+C17+C16+C15+C14+C13+C12+C11+C10</f>
        <v>27017619.611827862</v>
      </c>
      <c r="D24" s="158">
        <f t="shared" si="1"/>
        <v>1</v>
      </c>
      <c r="E24" s="122">
        <f>'3.SummaryBY'!L32-C24</f>
        <v>2111839.9521721117</v>
      </c>
      <c r="F24" s="158">
        <f>F23+F20+F19+F18+F17+F16+F15+F14+F13+F12+F11+F10</f>
        <v>1.0000000000000013</v>
      </c>
      <c r="G24" s="194"/>
      <c r="H24" s="119">
        <f>'5.RuralCrosswalk'!E41</f>
        <v>300688.73279021448</v>
      </c>
      <c r="I24" s="119">
        <f>'5.RuralCrosswalk'!C41</f>
        <v>95004.735252112383</v>
      </c>
      <c r="J24" s="117">
        <f>'5.RuralCrosswalk'!I$41</f>
        <v>0</v>
      </c>
      <c r="K24" s="117">
        <f>F24*'5.RuralCrosswalk'!$R$41</f>
        <v>0</v>
      </c>
      <c r="L24" s="117">
        <f>'5.RuralCrosswalk'!D41</f>
        <v>0</v>
      </c>
      <c r="M24" s="122">
        <f>'5.RuralCrosswalk'!K41</f>
        <v>1185.6420367034195</v>
      </c>
      <c r="N24" s="122">
        <f>'5.RuralCrosswalk'!AA41</f>
        <v>9892.7457906887194</v>
      </c>
      <c r="O24" s="159">
        <f t="shared" si="10"/>
        <v>406771.855869719</v>
      </c>
      <c r="P24" s="8"/>
    </row>
    <row r="25" spans="1:16" s="2" customFormat="1" ht="11.25" x14ac:dyDescent="0.2">
      <c r="A25" s="58"/>
      <c r="B25" s="124"/>
      <c r="C25" s="122">
        <f>C24</f>
        <v>27017619.611827862</v>
      </c>
      <c r="D25" s="118"/>
      <c r="E25" s="122">
        <f>E24</f>
        <v>2111839.9521721117</v>
      </c>
      <c r="F25" s="122"/>
      <c r="G25" s="80"/>
      <c r="H25" s="47" t="s">
        <v>20</v>
      </c>
      <c r="I25" s="47" t="s">
        <v>47</v>
      </c>
      <c r="J25" s="81" t="s">
        <v>71</v>
      </c>
      <c r="K25" s="81" t="s">
        <v>44</v>
      </c>
      <c r="L25" s="81" t="s">
        <v>73</v>
      </c>
      <c r="M25" s="81" t="s">
        <v>48</v>
      </c>
      <c r="N25" s="64" t="s">
        <v>397</v>
      </c>
      <c r="O25" s="46" t="s">
        <v>72</v>
      </c>
      <c r="P25" s="153"/>
    </row>
    <row r="26" spans="1:16" s="2" customFormat="1" ht="54.75" customHeight="1" x14ac:dyDescent="0.2">
      <c r="A26" s="98"/>
      <c r="B26" s="99" t="s">
        <v>112</v>
      </c>
      <c r="C26" s="125"/>
      <c r="D26" s="126"/>
      <c r="E26" s="125"/>
      <c r="F26" s="126"/>
      <c r="G26" s="431"/>
      <c r="H26" s="101" t="str">
        <f>"C"&amp;-H$6&amp;"L"&amp;$A36&amp;" x C"&amp;-D$6&amp;";
  L"&amp;A36&amp; " from 5.RuralCrosswalk"</f>
        <v>C5L26 x C2;
  L26 from 5.RuralCrosswalk</v>
      </c>
      <c r="I26" s="101" t="str">
        <f>"C"&amp;-I6&amp;"L"&amp;$A36&amp;" x C"&amp;-F6&amp;";
  L"&amp;A36&amp; " from 5.RuralCrosswalk"</f>
        <v>C6L26 x C4;
  L26 from 5.RuralCrosswalk</v>
      </c>
      <c r="J26" s="101" t="str">
        <f>"C"&amp;-J6&amp;"L"&amp;$A36&amp;" x C"&amp;-$F6&amp;";
  L"&amp;A36&amp; " from 5.RuralCrosswalk"</f>
        <v>C7L26 x C4;
  L26 from 5.RuralCrosswalk</v>
      </c>
      <c r="K26" s="101" t="str">
        <f>"C"&amp;-K6&amp;"L"&amp;$A36&amp;" x C"&amp;-$F6&amp;";
  L"&amp;A36&amp; " from 5.RuralCrosswalk"</f>
        <v>C8L26 x C4;
  L26 from 5.RuralCrosswalk</v>
      </c>
      <c r="L26" s="101" t="str">
        <f>"C"&amp;-L6&amp;"L"&amp;$A36&amp;" x C"&amp;-$F6&amp;";
  L"&amp;A36&amp; " from 5.RuralCrosswalk"</f>
        <v>C9L26 x C4;
  L26 from 5.RuralCrosswalk</v>
      </c>
      <c r="M26" s="101" t="s">
        <v>442</v>
      </c>
      <c r="N26" s="101" t="s">
        <v>442</v>
      </c>
      <c r="O26" s="95" t="str">
        <f>"C"&amp;-H$6&amp;"..C"&amp;-N$6</f>
        <v>C5..C11</v>
      </c>
    </row>
    <row r="27" spans="1:16" s="2" customFormat="1" ht="11.25" x14ac:dyDescent="0.2">
      <c r="A27" s="60">
        <f>A24+1</f>
        <v>17</v>
      </c>
      <c r="B27" s="127" t="s">
        <v>67</v>
      </c>
      <c r="C27" s="128"/>
      <c r="D27" s="128"/>
      <c r="E27" s="128"/>
      <c r="F27" s="128"/>
      <c r="G27" s="437"/>
      <c r="H27" s="129"/>
      <c r="I27" s="129"/>
      <c r="J27" s="129"/>
      <c r="K27" s="129"/>
      <c r="L27" s="129"/>
      <c r="M27" s="129"/>
      <c r="N27" s="129"/>
      <c r="O27" s="115"/>
    </row>
    <row r="28" spans="1:16" s="2" customFormat="1" ht="11.25" x14ac:dyDescent="0.2">
      <c r="A28" s="58">
        <f t="shared" ref="A28:A36" si="11">A27+1</f>
        <v>18</v>
      </c>
      <c r="B28" s="271" t="s">
        <v>218</v>
      </c>
      <c r="C28" s="117">
        <f>'3.SummaryBY'!C39*'3.SummaryBY'!L39</f>
        <v>69040.780071477551</v>
      </c>
      <c r="D28" s="118">
        <f t="shared" ref="D28:D35" si="12">C28/C$36</f>
        <v>3.2188945027050817E-2</v>
      </c>
      <c r="E28" s="117">
        <f>'3.SummaryBY'!L39-C28</f>
        <v>11819.745928522447</v>
      </c>
      <c r="F28" s="118">
        <f t="shared" ref="F28:F35" si="13">E28/E$36</f>
        <v>6.0477808937862955E-2</v>
      </c>
      <c r="G28" s="438"/>
      <c r="H28" s="119">
        <f t="shared" ref="H28:H35" si="14">D28*H$36</f>
        <v>743.40732900637988</v>
      </c>
      <c r="I28" s="436">
        <f t="shared" ref="I28:I35" si="15">F28*I$36</f>
        <v>459.8243594747471</v>
      </c>
      <c r="J28" s="436">
        <f t="shared" ref="J28:J35" si="16">F28*J$36</f>
        <v>1.1356313284182868</v>
      </c>
      <c r="K28" s="436">
        <f t="shared" ref="K28:K35" si="17">K$36*F28</f>
        <v>0</v>
      </c>
      <c r="L28" s="436">
        <f t="shared" ref="L28:L35" si="18">F28*L$36</f>
        <v>0.44823194843227754</v>
      </c>
      <c r="M28" s="436">
        <f>F28*M$36</f>
        <v>0</v>
      </c>
      <c r="N28" s="436">
        <f>F28*N$36</f>
        <v>47.921653883365749</v>
      </c>
      <c r="O28" s="119">
        <f t="shared" ref="O28:O36" si="19">SUM(H28:N28)</f>
        <v>1252.7372056413433</v>
      </c>
    </row>
    <row r="29" spans="1:16" s="2" customFormat="1" ht="11.25" x14ac:dyDescent="0.2">
      <c r="A29" s="58">
        <f t="shared" si="11"/>
        <v>19</v>
      </c>
      <c r="B29" s="266" t="s">
        <v>201</v>
      </c>
      <c r="C29" s="117">
        <f>'3.SummaryBY'!C40*'3.SummaryBY'!L40</f>
        <v>165545.16999076225</v>
      </c>
      <c r="D29" s="118">
        <f t="shared" si="12"/>
        <v>7.7182273589748399E-2</v>
      </c>
      <c r="E29" s="117">
        <f>'3.SummaryBY'!L40-C29</f>
        <v>25929.467009237531</v>
      </c>
      <c r="F29" s="118">
        <f t="shared" si="13"/>
        <v>0.13267267851004638</v>
      </c>
      <c r="G29" s="80"/>
      <c r="H29" s="119">
        <f t="shared" si="14"/>
        <v>1782.5333451523661</v>
      </c>
      <c r="I29" s="436">
        <f t="shared" si="15"/>
        <v>1008.7357741144522</v>
      </c>
      <c r="J29" s="436">
        <f t="shared" si="16"/>
        <v>2.4912815590918176</v>
      </c>
      <c r="K29" s="436">
        <f t="shared" si="17"/>
        <v>0</v>
      </c>
      <c r="L29" s="436">
        <f t="shared" si="18"/>
        <v>0.98330502107619211</v>
      </c>
      <c r="M29" s="436">
        <f t="shared" ref="M29:M35" si="20">F29*M$36</f>
        <v>0</v>
      </c>
      <c r="N29" s="436">
        <f t="shared" ref="N29:N35" si="21">F29*N$36</f>
        <v>105.12772024975021</v>
      </c>
      <c r="O29" s="119">
        <f t="shared" si="19"/>
        <v>2899.8714260967367</v>
      </c>
    </row>
    <row r="30" spans="1:16" s="2" customFormat="1" ht="11.25" x14ac:dyDescent="0.2">
      <c r="A30" s="58">
        <f t="shared" si="11"/>
        <v>20</v>
      </c>
      <c r="B30" s="266" t="s">
        <v>202</v>
      </c>
      <c r="C30" s="117">
        <f>'3.SummaryBY'!C41*'3.SummaryBY'!L41</f>
        <v>711370.01116274879</v>
      </c>
      <c r="D30" s="118">
        <f t="shared" si="12"/>
        <v>0.33166268051293468</v>
      </c>
      <c r="E30" s="117">
        <f>'3.SummaryBY'!L41-C30</f>
        <v>83252.962837249972</v>
      </c>
      <c r="F30" s="118">
        <f t="shared" si="13"/>
        <v>0.42597842715318118</v>
      </c>
      <c r="G30" s="80"/>
      <c r="H30" s="119">
        <f t="shared" si="14"/>
        <v>7659.7871487870634</v>
      </c>
      <c r="I30" s="436">
        <f t="shared" si="15"/>
        <v>3238.7955327055738</v>
      </c>
      <c r="J30" s="436">
        <f t="shared" si="16"/>
        <v>7.9988752172309363</v>
      </c>
      <c r="K30" s="436">
        <f t="shared" si="17"/>
        <v>0</v>
      </c>
      <c r="L30" s="436">
        <f t="shared" si="18"/>
        <v>3.1571438143396202</v>
      </c>
      <c r="M30" s="436">
        <f t="shared" si="20"/>
        <v>0</v>
      </c>
      <c r="N30" s="436">
        <f t="shared" si="21"/>
        <v>337.53853035233016</v>
      </c>
      <c r="O30" s="119">
        <f t="shared" si="19"/>
        <v>11247.277230876538</v>
      </c>
    </row>
    <row r="31" spans="1:16" s="2" customFormat="1" ht="11.25" x14ac:dyDescent="0.2">
      <c r="A31" s="58">
        <f t="shared" si="11"/>
        <v>21</v>
      </c>
      <c r="B31" s="266" t="s">
        <v>203</v>
      </c>
      <c r="C31" s="117">
        <f>'3.SummaryBY'!C42*'3.SummaryBY'!L42</f>
        <v>0</v>
      </c>
      <c r="D31" s="118">
        <f t="shared" si="12"/>
        <v>0</v>
      </c>
      <c r="E31" s="117">
        <f>'3.SummaryBY'!L42-C31</f>
        <v>0</v>
      </c>
      <c r="F31" s="118">
        <f t="shared" si="13"/>
        <v>0</v>
      </c>
      <c r="G31" s="80"/>
      <c r="H31" s="119">
        <f t="shared" si="14"/>
        <v>0</v>
      </c>
      <c r="I31" s="436">
        <f t="shared" si="15"/>
        <v>0</v>
      </c>
      <c r="J31" s="436">
        <f t="shared" si="16"/>
        <v>0</v>
      </c>
      <c r="K31" s="436">
        <f t="shared" si="17"/>
        <v>0</v>
      </c>
      <c r="L31" s="436">
        <f t="shared" si="18"/>
        <v>0</v>
      </c>
      <c r="M31" s="436">
        <f t="shared" si="20"/>
        <v>0</v>
      </c>
      <c r="N31" s="436">
        <f t="shared" si="21"/>
        <v>0</v>
      </c>
      <c r="O31" s="119">
        <f t="shared" si="19"/>
        <v>0</v>
      </c>
    </row>
    <row r="32" spans="1:16" s="2" customFormat="1" ht="11.25" x14ac:dyDescent="0.2">
      <c r="A32" s="58">
        <f t="shared" si="11"/>
        <v>22</v>
      </c>
      <c r="B32" s="266" t="s">
        <v>204</v>
      </c>
      <c r="C32" s="117">
        <f>'3.SummaryBY'!C43*'3.SummaryBY'!L43</f>
        <v>1198904.0214012619</v>
      </c>
      <c r="D32" s="118">
        <f t="shared" si="12"/>
        <v>0.5589661008702661</v>
      </c>
      <c r="E32" s="117">
        <f>'3.SummaryBY'!L43-C32</f>
        <v>74437.2115987367</v>
      </c>
      <c r="F32" s="118">
        <f t="shared" si="13"/>
        <v>0.38087108539890852</v>
      </c>
      <c r="G32" s="80"/>
      <c r="H32" s="119">
        <f t="shared" si="14"/>
        <v>12909.38537140207</v>
      </c>
      <c r="I32" s="436">
        <f t="shared" si="15"/>
        <v>2895.8357778130403</v>
      </c>
      <c r="J32" s="436">
        <f t="shared" si="16"/>
        <v>7.1518651926043324</v>
      </c>
      <c r="K32" s="436">
        <f t="shared" si="17"/>
        <v>0</v>
      </c>
      <c r="L32" s="436">
        <f t="shared" si="18"/>
        <v>2.8228302530812828</v>
      </c>
      <c r="M32" s="436">
        <f t="shared" si="20"/>
        <v>0</v>
      </c>
      <c r="N32" s="436">
        <f t="shared" si="21"/>
        <v>301.79619019301867</v>
      </c>
      <c r="O32" s="119">
        <f t="shared" si="19"/>
        <v>16116.992034853814</v>
      </c>
    </row>
    <row r="33" spans="1:16" s="2" customFormat="1" ht="11.25" x14ac:dyDescent="0.2">
      <c r="A33" s="58">
        <f>A32+1</f>
        <v>23</v>
      </c>
      <c r="B33" s="266" t="s">
        <v>205</v>
      </c>
      <c r="C33" s="117">
        <f>'3.SummaryBY'!C44*'3.SummaryBY'!L44</f>
        <v>0</v>
      </c>
      <c r="D33" s="118">
        <f t="shared" si="12"/>
        <v>0</v>
      </c>
      <c r="E33" s="117">
        <f>'3.SummaryBY'!L44-C33</f>
        <v>44778.48960279781</v>
      </c>
      <c r="F33" s="118">
        <f t="shared" si="13"/>
        <v>0.22911701783615424</v>
      </c>
      <c r="G33" s="80"/>
      <c r="H33" s="119">
        <f t="shared" si="14"/>
        <v>0</v>
      </c>
      <c r="I33" s="436">
        <f t="shared" si="15"/>
        <v>1742.0205497113468</v>
      </c>
      <c r="J33" s="436">
        <f t="shared" si="16"/>
        <v>4.3022799254490049</v>
      </c>
      <c r="K33" s="436">
        <f t="shared" si="17"/>
        <v>0</v>
      </c>
      <c r="L33" s="436">
        <f t="shared" si="18"/>
        <v>1.6981033064410027</v>
      </c>
      <c r="M33" s="436">
        <f t="shared" si="20"/>
        <v>0</v>
      </c>
      <c r="N33" s="436">
        <f t="shared" si="21"/>
        <v>181.5486807535309</v>
      </c>
      <c r="O33" s="119">
        <f t="shared" si="19"/>
        <v>1929.5696136967676</v>
      </c>
    </row>
    <row r="34" spans="1:16" s="2" customFormat="1" ht="11.25" x14ac:dyDescent="0.2">
      <c r="A34" s="58">
        <f t="shared" si="11"/>
        <v>24</v>
      </c>
      <c r="B34" s="266" t="s">
        <v>206</v>
      </c>
      <c r="C34" s="117">
        <f>'3.SummaryBY'!C45*'3.SummaryBY'!L45</f>
        <v>1198904.0214012619</v>
      </c>
      <c r="D34" s="118">
        <f t="shared" si="12"/>
        <v>0.5589661008702661</v>
      </c>
      <c r="E34" s="117">
        <f>'3.SummaryBY'!L45-C34</f>
        <v>29658.721995938802</v>
      </c>
      <c r="F34" s="118">
        <f t="shared" si="13"/>
        <v>0.15175406756275386</v>
      </c>
      <c r="G34" s="80"/>
      <c r="H34" s="119">
        <f t="shared" si="14"/>
        <v>12909.38537140207</v>
      </c>
      <c r="I34" s="436">
        <f t="shared" si="15"/>
        <v>1153.8152281016903</v>
      </c>
      <c r="J34" s="436">
        <f t="shared" si="16"/>
        <v>2.8495852671553203</v>
      </c>
      <c r="K34" s="436">
        <f t="shared" si="17"/>
        <v>0</v>
      </c>
      <c r="L34" s="436">
        <f t="shared" si="18"/>
        <v>1.1247269466402769</v>
      </c>
      <c r="M34" s="436">
        <f t="shared" si="20"/>
        <v>0</v>
      </c>
      <c r="N34" s="436">
        <f t="shared" si="21"/>
        <v>120.24750943948742</v>
      </c>
      <c r="O34" s="119">
        <f t="shared" si="19"/>
        <v>14187.422421157042</v>
      </c>
    </row>
    <row r="35" spans="1:16" s="2" customFormat="1" ht="11.25" x14ac:dyDescent="0.2">
      <c r="A35" s="58">
        <f t="shared" si="11"/>
        <v>25</v>
      </c>
      <c r="B35" s="266" t="s">
        <v>212</v>
      </c>
      <c r="C35" s="117">
        <f>'3.SummaryBY'!C46*'3.SummaryBY'!L46</f>
        <v>2144859.9826262505</v>
      </c>
      <c r="D35" s="118">
        <f t="shared" si="12"/>
        <v>1</v>
      </c>
      <c r="E35" s="117">
        <f>'3.SummaryBY'!L46-C35</f>
        <v>195439.38737374684</v>
      </c>
      <c r="F35" s="118">
        <f t="shared" si="13"/>
        <v>1</v>
      </c>
      <c r="G35" s="80"/>
      <c r="H35" s="119">
        <f t="shared" si="14"/>
        <v>23095.113194347879</v>
      </c>
      <c r="I35" s="436">
        <f t="shared" si="15"/>
        <v>7603.1914441078206</v>
      </c>
      <c r="J35" s="436">
        <f t="shared" si="16"/>
        <v>18.777653297345392</v>
      </c>
      <c r="K35" s="436">
        <f t="shared" si="17"/>
        <v>0</v>
      </c>
      <c r="L35" s="436">
        <f t="shared" si="18"/>
        <v>7.4115110369293795</v>
      </c>
      <c r="M35" s="436">
        <f t="shared" si="20"/>
        <v>0</v>
      </c>
      <c r="N35" s="436">
        <f t="shared" si="21"/>
        <v>792.38409467846554</v>
      </c>
      <c r="O35" s="119">
        <f t="shared" si="19"/>
        <v>31516.877897468443</v>
      </c>
      <c r="P35" s="8"/>
    </row>
    <row r="36" spans="1:16" s="2" customFormat="1" ht="11.25" x14ac:dyDescent="0.2">
      <c r="A36" s="58">
        <f t="shared" si="11"/>
        <v>26</v>
      </c>
      <c r="B36" s="130" t="s">
        <v>13</v>
      </c>
      <c r="C36" s="122">
        <f>'3.SummaryBY'!C47*'3.SummaryBY'!L47</f>
        <v>2144859.9826262505</v>
      </c>
      <c r="D36" s="123">
        <f>D28+D29+D30+D31+D32</f>
        <v>1</v>
      </c>
      <c r="E36" s="122">
        <f>'3.SummaryBY'!L47-C36</f>
        <v>195439.38737374684</v>
      </c>
      <c r="F36" s="123">
        <f>F28+F29+F30+F31+F32</f>
        <v>0.99999999999999911</v>
      </c>
      <c r="G36" s="439"/>
      <c r="H36" s="122">
        <f>'5.RuralCrosswalk'!E42</f>
        <v>23095.113194347879</v>
      </c>
      <c r="I36" s="122">
        <f>'5.RuralCrosswalk'!C42</f>
        <v>7603.1914441078206</v>
      </c>
      <c r="J36" s="122">
        <f>'5.RuralCrosswalk'!K42</f>
        <v>18.777653297345392</v>
      </c>
      <c r="K36" s="122">
        <f>'5.RuralCrosswalk'!I42</f>
        <v>0</v>
      </c>
      <c r="L36" s="122">
        <f>'5.RuralCrosswalk'!D42</f>
        <v>7.4115110369293795</v>
      </c>
      <c r="M36" s="117">
        <f>'5.RuralCrosswalk'!R42</f>
        <v>0</v>
      </c>
      <c r="N36" s="117">
        <f>'5.RuralCrosswalk'!AA42</f>
        <v>792.38409467846554</v>
      </c>
      <c r="O36" s="119">
        <f t="shared" si="19"/>
        <v>31516.877897468443</v>
      </c>
      <c r="P36" s="8"/>
    </row>
    <row r="37" spans="1:16" s="2" customFormat="1" ht="11.25" x14ac:dyDescent="0.2">
      <c r="A37" s="91"/>
      <c r="B37" s="440"/>
      <c r="C37" s="117"/>
      <c r="D37" s="118"/>
      <c r="E37" s="126"/>
      <c r="F37" s="118"/>
      <c r="G37" s="441"/>
      <c r="H37" s="46" t="s">
        <v>20</v>
      </c>
      <c r="I37" s="46" t="s">
        <v>47</v>
      </c>
      <c r="J37" s="46" t="s">
        <v>44</v>
      </c>
      <c r="K37" s="46" t="s">
        <v>48</v>
      </c>
      <c r="L37" s="64" t="s">
        <v>71</v>
      </c>
      <c r="M37" s="64" t="s">
        <v>73</v>
      </c>
      <c r="N37" s="64" t="s">
        <v>397</v>
      </c>
      <c r="O37" s="46" t="s">
        <v>72</v>
      </c>
    </row>
    <row r="38" spans="1:16" s="2" customFormat="1" ht="33.75" x14ac:dyDescent="0.2">
      <c r="A38" s="98"/>
      <c r="B38" s="99" t="s">
        <v>112</v>
      </c>
      <c r="C38" s="125"/>
      <c r="D38" s="126"/>
      <c r="E38" s="9"/>
      <c r="F38" s="126"/>
      <c r="G38" s="431"/>
      <c r="H38" s="95" t="str">
        <f>"C"&amp;-$D$6 &amp; " x  " &amp;NOTES!A9&amp;" C"&amp;-'5.RuralCrosswalk'!$E$34&amp;"L"&amp;'5.RuralCrosswalk'!A53</f>
        <v>C2 x  5.RuralCrosswalk C31L40</v>
      </c>
      <c r="I38" s="95" t="str">
        <f>"C"&amp;-$F$6 &amp; " x  " &amp;NOTES!A9&amp;" C"&amp;-'5.RuralCrosswalk'!$C$34&amp;"L"&amp;'5.RuralCrosswalk'!A53</f>
        <v>C4 x  5.RuralCrosswalk C29L40</v>
      </c>
      <c r="J38" s="95" t="str">
        <f>"C"&amp;-$F$6 &amp; " x  " &amp;NOTES!A9&amp;" C"&amp;-'5.RuralCrosswalk'!$I$34&amp;"L"&amp;'5.RuralCrosswalk'!A53</f>
        <v>C4 x  5.RuralCrosswalk C35L40</v>
      </c>
      <c r="K38" s="95" t="str">
        <f>"C"&amp;-$F$6 &amp; " x  " &amp;NOTES!$A9&amp;" C"&amp;-'5.RuralCrosswalk'!$R$34&amp;"L"&amp;'5.RuralCrosswalk'!$A53</f>
        <v>C4 x  5.RuralCrosswalk C44L40</v>
      </c>
      <c r="L38" s="95" t="s">
        <v>440</v>
      </c>
      <c r="M38" s="95" t="str">
        <f>"C"&amp;-$F$6 &amp; " x  " &amp;NOTES!$A9&amp;" C"&amp;-'5.RuralCrosswalk'!$D$34&amp;"L"&amp;'5.RuralCrosswalk'!$A53</f>
        <v>C4 x  5.RuralCrosswalk C30L40</v>
      </c>
      <c r="N38" s="95" t="s">
        <v>441</v>
      </c>
      <c r="O38" s="95" t="str">
        <f>"C"&amp;-H$6&amp;"..C"&amp;-N$6</f>
        <v>C5..C11</v>
      </c>
    </row>
    <row r="39" spans="1:16" s="2" customFormat="1" ht="11.25" x14ac:dyDescent="0.2">
      <c r="A39" s="62">
        <f>A36+1</f>
        <v>27</v>
      </c>
      <c r="B39" s="133" t="s">
        <v>340</v>
      </c>
      <c r="C39" s="128"/>
      <c r="D39" s="128"/>
      <c r="E39" s="128"/>
      <c r="F39" s="128"/>
      <c r="G39" s="434"/>
      <c r="H39" s="129"/>
      <c r="I39" s="129"/>
      <c r="J39" s="129"/>
      <c r="K39" s="129"/>
      <c r="L39" s="129"/>
      <c r="M39" s="129"/>
      <c r="N39" s="129"/>
      <c r="O39" s="115"/>
    </row>
    <row r="40" spans="1:16" s="2" customFormat="1" ht="11.25" x14ac:dyDescent="0.2">
      <c r="A40" s="58">
        <f t="shared" ref="A40:A51" si="22">A39+1</f>
        <v>28</v>
      </c>
      <c r="B40" s="143" t="s">
        <v>186</v>
      </c>
      <c r="C40" s="117">
        <f>'3.SummaryBY'!C66*'3.SummaryBY'!L66</f>
        <v>0</v>
      </c>
      <c r="D40" s="269">
        <f t="shared" ref="D40:D50" si="23">C40/C$51</f>
        <v>0</v>
      </c>
      <c r="E40" s="117">
        <f>'3.SummaryBY'!L66-C40</f>
        <v>748.98797977218669</v>
      </c>
      <c r="F40" s="118">
        <f t="shared" ref="F40:F51" si="24">E40/E$51</f>
        <v>2.9045658395489992E-4</v>
      </c>
      <c r="G40" s="435"/>
      <c r="H40" s="117">
        <f t="shared" ref="H40:H50" si="25">D40*H$51</f>
        <v>0</v>
      </c>
      <c r="I40" s="117">
        <f t="shared" ref="I40:I50" si="26">F40*I$51</f>
        <v>50.212120185993953</v>
      </c>
      <c r="J40" s="117">
        <f t="shared" ref="J40:J50" si="27">F40*J$51</f>
        <v>0</v>
      </c>
      <c r="K40" s="117">
        <f>$F40*K$51</f>
        <v>1.3410465718842672E-3</v>
      </c>
      <c r="L40" s="117">
        <f>$F40*L$51</f>
        <v>0.72968693394826656</v>
      </c>
      <c r="M40" s="117">
        <f>$F40*M$51</f>
        <v>5.0447740188184577E-2</v>
      </c>
      <c r="N40" s="117">
        <f>$F40*N$51</f>
        <v>3.7857659579890881</v>
      </c>
      <c r="O40" s="119">
        <f t="shared" ref="O40:O51" si="28">SUM(H40:N40)</f>
        <v>54.779361864691374</v>
      </c>
    </row>
    <row r="41" spans="1:16" s="2" customFormat="1" ht="11.25" x14ac:dyDescent="0.2">
      <c r="A41" s="58">
        <f t="shared" si="22"/>
        <v>29</v>
      </c>
      <c r="B41" s="143" t="s">
        <v>187</v>
      </c>
      <c r="C41" s="117">
        <f>'3.SummaryBY'!C67*'3.SummaryBY'!L67</f>
        <v>0</v>
      </c>
      <c r="D41" s="269">
        <f t="shared" si="23"/>
        <v>0</v>
      </c>
      <c r="E41" s="117">
        <f>'3.SummaryBY'!L67-C41</f>
        <v>564.41361365167586</v>
      </c>
      <c r="F41" s="118">
        <f t="shared" si="24"/>
        <v>2.1887888001723331E-4</v>
      </c>
      <c r="G41" s="435"/>
      <c r="H41" s="117">
        <f t="shared" si="25"/>
        <v>0</v>
      </c>
      <c r="I41" s="117">
        <f t="shared" si="26"/>
        <v>37.838263054514123</v>
      </c>
      <c r="J41" s="117">
        <f t="shared" si="27"/>
        <v>0</v>
      </c>
      <c r="K41" s="117">
        <f t="shared" ref="K41:K50" si="29">F41*K$51</f>
        <v>1.0105702122784567E-3</v>
      </c>
      <c r="L41" s="117">
        <f t="shared" ref="L41:L50" si="30">$F41*L$51</f>
        <v>0.54986895697501081</v>
      </c>
      <c r="M41" s="117">
        <f t="shared" ref="M41:N50" si="31">$F41*M$51</f>
        <v>3.8015818823734178E-2</v>
      </c>
      <c r="N41" s="117">
        <f t="shared" si="31"/>
        <v>2.8528332930496867</v>
      </c>
      <c r="O41" s="119">
        <f t="shared" si="28"/>
        <v>41.279991693574836</v>
      </c>
    </row>
    <row r="42" spans="1:16" s="2" customFormat="1" ht="11.25" x14ac:dyDescent="0.2">
      <c r="A42" s="58">
        <f t="shared" si="22"/>
        <v>30</v>
      </c>
      <c r="B42" s="143" t="s">
        <v>188</v>
      </c>
      <c r="C42" s="117">
        <f>'3.SummaryBY'!C68*'3.SummaryBY'!L68</f>
        <v>137419.61949253181</v>
      </c>
      <c r="D42" s="269">
        <f t="shared" si="23"/>
        <v>3.8892378009581694E-3</v>
      </c>
      <c r="E42" s="117">
        <f>'3.SummaryBY'!L68-C42</f>
        <v>23523.421570923791</v>
      </c>
      <c r="F42" s="118">
        <f t="shared" si="24"/>
        <v>9.1223529041143253E-3</v>
      </c>
      <c r="G42" s="435"/>
      <c r="H42" s="117">
        <f t="shared" si="25"/>
        <v>1621.8516391115968</v>
      </c>
      <c r="I42" s="117">
        <f t="shared" si="26"/>
        <v>1577.0091149717671</v>
      </c>
      <c r="J42" s="117">
        <f t="shared" si="27"/>
        <v>0</v>
      </c>
      <c r="K42" s="117">
        <f t="shared" si="29"/>
        <v>4.2118171063667602E-2</v>
      </c>
      <c r="L42" s="117">
        <f t="shared" si="30"/>
        <v>22.917234756265042</v>
      </c>
      <c r="M42" s="117">
        <f t="shared" si="31"/>
        <v>1.5844092185672316</v>
      </c>
      <c r="N42" s="117">
        <f t="shared" si="31"/>
        <v>118.8993295002095</v>
      </c>
      <c r="O42" s="119">
        <f t="shared" si="28"/>
        <v>3342.3038457294688</v>
      </c>
    </row>
    <row r="43" spans="1:16" s="2" customFormat="1" ht="11.25" x14ac:dyDescent="0.2">
      <c r="A43" s="58">
        <f t="shared" si="22"/>
        <v>31</v>
      </c>
      <c r="B43" s="143" t="s">
        <v>189</v>
      </c>
      <c r="C43" s="117">
        <f>'3.SummaryBY'!C69*'3.SummaryBY'!L69</f>
        <v>292176.55169686489</v>
      </c>
      <c r="D43" s="269">
        <f t="shared" si="23"/>
        <v>8.2691546782722048E-3</v>
      </c>
      <c r="E43" s="117">
        <f>'3.SummaryBY'!L69-C43</f>
        <v>31640.527251204127</v>
      </c>
      <c r="F43" s="118">
        <f t="shared" si="24"/>
        <v>1.2270156141507069E-2</v>
      </c>
      <c r="G43" s="435"/>
      <c r="H43" s="117">
        <f t="shared" si="25"/>
        <v>3448.3214335001653</v>
      </c>
      <c r="I43" s="117">
        <f t="shared" si="26"/>
        <v>2121.1795115442455</v>
      </c>
      <c r="J43" s="117">
        <f t="shared" si="27"/>
        <v>0</v>
      </c>
      <c r="K43" s="117">
        <f t="shared" si="29"/>
        <v>5.6651670986420939E-2</v>
      </c>
      <c r="L43" s="117">
        <f t="shared" si="30"/>
        <v>30.825166680859276</v>
      </c>
      <c r="M43" s="117">
        <f t="shared" si="31"/>
        <v>2.1311331306964632</v>
      </c>
      <c r="N43" s="117">
        <f t="shared" si="31"/>
        <v>159.92730750748254</v>
      </c>
      <c r="O43" s="119">
        <f t="shared" si="28"/>
        <v>5762.441204034435</v>
      </c>
    </row>
    <row r="44" spans="1:16" s="2" customFormat="1" ht="11.25" x14ac:dyDescent="0.2">
      <c r="A44" s="58">
        <f t="shared" si="22"/>
        <v>32</v>
      </c>
      <c r="B44" s="143" t="s">
        <v>190</v>
      </c>
      <c r="C44" s="117">
        <f>'3.SummaryBY'!C70*'3.SummaryBY'!L70</f>
        <v>0</v>
      </c>
      <c r="D44" s="269">
        <f t="shared" si="23"/>
        <v>0</v>
      </c>
      <c r="E44" s="117">
        <f>'3.SummaryBY'!L70-C44</f>
        <v>1693.7847654142342</v>
      </c>
      <c r="F44" s="118">
        <f t="shared" si="24"/>
        <v>6.5684757326373727E-4</v>
      </c>
      <c r="G44" s="435"/>
      <c r="H44" s="117">
        <f t="shared" si="25"/>
        <v>0</v>
      </c>
      <c r="I44" s="117">
        <f t="shared" si="26"/>
        <v>113.5512538346124</v>
      </c>
      <c r="J44" s="117">
        <f t="shared" si="27"/>
        <v>0</v>
      </c>
      <c r="K44" s="117">
        <f t="shared" si="29"/>
        <v>3.0326845216654109E-3</v>
      </c>
      <c r="L44" s="117">
        <f t="shared" si="30"/>
        <v>1.6501367787228303</v>
      </c>
      <c r="M44" s="117">
        <f t="shared" si="31"/>
        <v>0.11408409225247156</v>
      </c>
      <c r="N44" s="117">
        <f t="shared" si="31"/>
        <v>8.5612491498409735</v>
      </c>
      <c r="O44" s="119">
        <f t="shared" si="28"/>
        <v>123.87975653995034</v>
      </c>
    </row>
    <row r="45" spans="1:16" s="2" customFormat="1" ht="11.25" x14ac:dyDescent="0.2">
      <c r="A45" s="58">
        <f t="shared" si="22"/>
        <v>33</v>
      </c>
      <c r="B45" s="143" t="s">
        <v>191</v>
      </c>
      <c r="C45" s="117">
        <f>'3.SummaryBY'!C71*'3.SummaryBY'!L71</f>
        <v>0</v>
      </c>
      <c r="D45" s="269">
        <f t="shared" si="23"/>
        <v>0</v>
      </c>
      <c r="E45" s="117">
        <f>'3.SummaryBY'!L71-C45</f>
        <v>1302.6630847990832</v>
      </c>
      <c r="F45" s="118">
        <f t="shared" si="24"/>
        <v>5.0517108401389632E-4</v>
      </c>
      <c r="G45" s="435"/>
      <c r="H45" s="117">
        <f t="shared" si="25"/>
        <v>0</v>
      </c>
      <c r="I45" s="117">
        <f t="shared" si="26"/>
        <v>87.330474109456659</v>
      </c>
      <c r="J45" s="117">
        <f t="shared" si="27"/>
        <v>0</v>
      </c>
      <c r="K45" s="117">
        <f t="shared" si="29"/>
        <v>2.3323897196872831E-3</v>
      </c>
      <c r="L45" s="117">
        <f t="shared" si="30"/>
        <v>1.2690941082976395</v>
      </c>
      <c r="M45" s="117">
        <f t="shared" si="31"/>
        <v>8.7740271712600251E-2</v>
      </c>
      <c r="N45" s="117">
        <f t="shared" si="31"/>
        <v>6.5843213700991807</v>
      </c>
      <c r="O45" s="119">
        <f t="shared" si="28"/>
        <v>95.273962249285759</v>
      </c>
    </row>
    <row r="46" spans="1:16" s="2" customFormat="1" ht="11.25" x14ac:dyDescent="0.2">
      <c r="A46" s="58">
        <f>A45+1</f>
        <v>34</v>
      </c>
      <c r="B46" s="267" t="s">
        <v>194</v>
      </c>
      <c r="C46" s="117">
        <f>'3.SummaryBY'!C72*'3.SummaryBY'!L72</f>
        <v>841763.36573928304</v>
      </c>
      <c r="D46" s="269">
        <f t="shared" si="23"/>
        <v>2.3823511617807346E-2</v>
      </c>
      <c r="E46" s="117">
        <f>'3.SummaryBY'!L72-C46</f>
        <v>130907.67656749289</v>
      </c>
      <c r="F46" s="118">
        <f t="shared" si="24"/>
        <v>5.0765830128317965E-2</v>
      </c>
      <c r="G46" s="80"/>
      <c r="H46" s="117">
        <f t="shared" si="25"/>
        <v>9934.6461554024645</v>
      </c>
      <c r="I46" s="117">
        <f t="shared" si="26"/>
        <v>8776.0446984415921</v>
      </c>
      <c r="J46" s="117">
        <f t="shared" si="27"/>
        <v>0</v>
      </c>
      <c r="K46" s="117">
        <f t="shared" si="29"/>
        <v>0.23438732748096611</v>
      </c>
      <c r="L46" s="117">
        <f t="shared" si="30"/>
        <v>127.53425118234772</v>
      </c>
      <c r="M46" s="117">
        <f t="shared" si="31"/>
        <v>8.8172262232091629</v>
      </c>
      <c r="N46" s="117">
        <f t="shared" si="31"/>
        <v>661.67393732994026</v>
      </c>
      <c r="O46" s="119">
        <f t="shared" si="28"/>
        <v>19508.950655907029</v>
      </c>
    </row>
    <row r="47" spans="1:16" s="2" customFormat="1" ht="11.25" x14ac:dyDescent="0.2">
      <c r="A47" s="58">
        <f t="shared" si="22"/>
        <v>35</v>
      </c>
      <c r="B47" s="267" t="s">
        <v>195</v>
      </c>
      <c r="C47" s="117">
        <f>'3.SummaryBY'!C73*'3.SummaryBY'!L73</f>
        <v>4959632.1338263014</v>
      </c>
      <c r="D47" s="269">
        <f t="shared" si="23"/>
        <v>0.14036706581604502</v>
      </c>
      <c r="E47" s="117">
        <f>'3.SummaryBY'!L73-C47</f>
        <v>581376.17140541039</v>
      </c>
      <c r="F47" s="118">
        <f t="shared" si="24"/>
        <v>0.22545693829499899</v>
      </c>
      <c r="G47" s="80"/>
      <c r="H47" s="117">
        <f t="shared" si="25"/>
        <v>58534.491183581536</v>
      </c>
      <c r="I47" s="117">
        <f t="shared" si="26"/>
        <v>38975.432156815928</v>
      </c>
      <c r="J47" s="117">
        <f t="shared" si="27"/>
        <v>0</v>
      </c>
      <c r="K47" s="117">
        <f t="shared" si="29"/>
        <v>1.0409413003871784</v>
      </c>
      <c r="L47" s="117">
        <f t="shared" si="30"/>
        <v>566.39439809491728</v>
      </c>
      <c r="M47" s="117">
        <f t="shared" si="31"/>
        <v>39.158324083628671</v>
      </c>
      <c r="N47" s="117">
        <f t="shared" si="31"/>
        <v>2938.5706819515008</v>
      </c>
      <c r="O47" s="119">
        <f t="shared" si="28"/>
        <v>101055.08768582789</v>
      </c>
    </row>
    <row r="48" spans="1:16" s="2" customFormat="1" ht="11.25" x14ac:dyDescent="0.2">
      <c r="A48" s="58">
        <f t="shared" si="22"/>
        <v>36</v>
      </c>
      <c r="B48" s="267" t="s">
        <v>207</v>
      </c>
      <c r="C48" s="117">
        <f>'3.SummaryBY'!C74*'3.SummaryBY'!L74</f>
        <v>51.127858997488261</v>
      </c>
      <c r="D48" s="269">
        <f t="shared" si="23"/>
        <v>1.4470161002439479E-6</v>
      </c>
      <c r="E48" s="117">
        <f>'3.SummaryBY'!L74-C48</f>
        <v>6.7403253564333667</v>
      </c>
      <c r="F48" s="118">
        <f t="shared" si="24"/>
        <v>2.6138895825400396E-6</v>
      </c>
      <c r="G48" s="80"/>
      <c r="H48" s="117">
        <f t="shared" si="25"/>
        <v>0.60342040114475348</v>
      </c>
      <c r="I48" s="117">
        <f t="shared" si="26"/>
        <v>0.45187110611958947</v>
      </c>
      <c r="J48" s="117">
        <f t="shared" si="27"/>
        <v>0</v>
      </c>
      <c r="K48" s="117">
        <f t="shared" si="29"/>
        <v>1.2068404910021265E-5</v>
      </c>
      <c r="L48" s="117">
        <f t="shared" si="30"/>
        <v>6.5666305414481896E-3</v>
      </c>
      <c r="M48" s="117">
        <f t="shared" si="31"/>
        <v>4.5399150793929745E-4</v>
      </c>
      <c r="N48" s="117">
        <f t="shared" si="31"/>
        <v>3.4069030437467743E-2</v>
      </c>
      <c r="O48" s="119">
        <f t="shared" si="28"/>
        <v>1.0963932281561084</v>
      </c>
    </row>
    <row r="49" spans="1:16" s="2" customFormat="1" ht="11.25" x14ac:dyDescent="0.2">
      <c r="A49" s="58">
        <f t="shared" si="22"/>
        <v>37</v>
      </c>
      <c r="B49" s="267" t="s">
        <v>208</v>
      </c>
      <c r="C49" s="117">
        <f>'3.SummaryBY'!C75*'3.SummaryBY'!L75</f>
        <v>29102260.672486845</v>
      </c>
      <c r="D49" s="269">
        <f t="shared" si="23"/>
        <v>0.82364958307081704</v>
      </c>
      <c r="E49" s="117">
        <f>'3.SummaryBY'!L75-C49</f>
        <v>1806892.8763351478</v>
      </c>
      <c r="F49" s="118">
        <f t="shared" si="24"/>
        <v>0.70071075452022824</v>
      </c>
      <c r="G49" s="80"/>
      <c r="H49" s="117">
        <f t="shared" si="25"/>
        <v>343470.23625757347</v>
      </c>
      <c r="I49" s="117">
        <f t="shared" si="26"/>
        <v>121134.01645958683</v>
      </c>
      <c r="J49" s="117">
        <f t="shared" si="27"/>
        <v>0</v>
      </c>
      <c r="K49" s="117">
        <f t="shared" si="29"/>
        <v>3.2352021167394098</v>
      </c>
      <c r="L49" s="117">
        <f t="shared" si="30"/>
        <v>1760.3301501674098</v>
      </c>
      <c r="M49" s="117">
        <f t="shared" si="31"/>
        <v>121.70243693491913</v>
      </c>
      <c r="N49" s="117">
        <f t="shared" si="31"/>
        <v>9132.9550349301971</v>
      </c>
      <c r="O49" s="119">
        <f t="shared" si="28"/>
        <v>475622.47554130951</v>
      </c>
    </row>
    <row r="50" spans="1:16" s="2" customFormat="1" ht="11.25" x14ac:dyDescent="0.2">
      <c r="A50" s="58">
        <f t="shared" si="22"/>
        <v>38</v>
      </c>
      <c r="B50" s="267" t="s">
        <v>69</v>
      </c>
      <c r="C50" s="117">
        <f>'3.SummaryBY'!C76*'3.SummaryBY'!L76</f>
        <v>35333303.471100822</v>
      </c>
      <c r="D50" s="269">
        <f t="shared" si="23"/>
        <v>1</v>
      </c>
      <c r="E50" s="117">
        <f>'3.SummaryBY'!L76-C50</f>
        <v>2578657.2628991753</v>
      </c>
      <c r="F50" s="118">
        <f t="shared" si="24"/>
        <v>1</v>
      </c>
      <c r="G50" s="80"/>
      <c r="H50" s="117">
        <f t="shared" si="25"/>
        <v>417010.15008957038</v>
      </c>
      <c r="I50" s="117">
        <f t="shared" si="26"/>
        <v>172873.06592365124</v>
      </c>
      <c r="J50" s="117">
        <f t="shared" si="27"/>
        <v>0</v>
      </c>
      <c r="K50" s="117">
        <f t="shared" si="29"/>
        <v>4.6170293460880734</v>
      </c>
      <c r="L50" s="117">
        <f t="shared" si="30"/>
        <v>2512.2065542902869</v>
      </c>
      <c r="M50" s="117">
        <f t="shared" si="31"/>
        <v>173.68427150550579</v>
      </c>
      <c r="N50" s="117">
        <f t="shared" si="31"/>
        <v>13033.84453002076</v>
      </c>
      <c r="O50" s="119">
        <f t="shared" si="28"/>
        <v>605607.56839838414</v>
      </c>
    </row>
    <row r="51" spans="1:16" s="2" customFormat="1" ht="11.25" x14ac:dyDescent="0.2">
      <c r="A51" s="58">
        <f t="shared" si="22"/>
        <v>39</v>
      </c>
      <c r="B51" s="130" t="s">
        <v>347</v>
      </c>
      <c r="C51" s="117">
        <f>'3.SummaryBY'!C77*'3.SummaryBY'!L77</f>
        <v>35333303.471100822</v>
      </c>
      <c r="D51" s="123">
        <f>D49+D48+D47+D46+D43+D42</f>
        <v>1</v>
      </c>
      <c r="E51" s="117">
        <f>'3.SummaryBY'!L77-C51</f>
        <v>2578657.2628991753</v>
      </c>
      <c r="F51" s="118">
        <f t="shared" si="24"/>
        <v>1</v>
      </c>
      <c r="G51" s="194"/>
      <c r="H51" s="159">
        <f>'5.RuralCrosswalk'!E53</f>
        <v>417010.15008957038</v>
      </c>
      <c r="I51" s="442">
        <f>'5.RuralCrosswalk'!C53</f>
        <v>172873.06592365124</v>
      </c>
      <c r="J51" s="442">
        <f>'5.RuralCrosswalk'!I53</f>
        <v>0</v>
      </c>
      <c r="K51" s="442">
        <f>'5.RuralCrosswalk'!R53</f>
        <v>4.6170293460880734</v>
      </c>
      <c r="L51" s="442">
        <f>'5.RuralCrosswalk'!K53</f>
        <v>2512.2065542902869</v>
      </c>
      <c r="M51" s="159">
        <f>'5.RuralCrosswalk'!D53</f>
        <v>173.68427150550579</v>
      </c>
      <c r="N51" s="442">
        <f>'5.RuralCrosswalk'!AA53</f>
        <v>13033.84453002076</v>
      </c>
      <c r="O51" s="159">
        <f t="shared" si="28"/>
        <v>605607.56839838414</v>
      </c>
      <c r="P51" s="8">
        <f>O51-'5.RuralCrosswalk'!AD53</f>
        <v>0</v>
      </c>
    </row>
    <row r="52" spans="1:16" s="2" customFormat="1" ht="11.25" x14ac:dyDescent="0.2">
      <c r="A52" s="443"/>
      <c r="B52" s="444"/>
      <c r="C52" s="135"/>
      <c r="D52" s="135"/>
      <c r="E52" s="135"/>
      <c r="F52" s="135"/>
      <c r="G52" s="135"/>
      <c r="H52" s="135"/>
      <c r="I52" s="135"/>
      <c r="J52" s="135"/>
      <c r="K52" s="135"/>
      <c r="L52" s="135"/>
    </row>
    <row r="53" spans="1:16" s="2" customFormat="1" ht="11.25" x14ac:dyDescent="0.2">
      <c r="A53" s="10" t="s">
        <v>149</v>
      </c>
      <c r="B53" s="2" t="str">
        <f>"Source for cost per RCS piece: "&amp;NOTES!A9&amp;" L"&amp;'5.RuralCrosswalk'!A37</f>
        <v>Source for cost per RCS piece: 5.RuralCrosswalk L24</v>
      </c>
      <c r="E53" s="9"/>
    </row>
    <row r="54" spans="1:16" s="2" customFormat="1" ht="11.25" x14ac:dyDescent="0.2">
      <c r="A54" s="65"/>
      <c r="B54" s="65"/>
    </row>
    <row r="55" spans="1:16" s="2" customFormat="1" ht="11.25" x14ac:dyDescent="0.2">
      <c r="A55" s="10"/>
    </row>
    <row r="57" spans="1:16" x14ac:dyDescent="0.2">
      <c r="B57"/>
    </row>
    <row r="58" spans="1:16" x14ac:dyDescent="0.2">
      <c r="B58"/>
    </row>
    <row r="59" spans="1:16" x14ac:dyDescent="0.2">
      <c r="B59"/>
    </row>
    <row r="60" spans="1:16" x14ac:dyDescent="0.2">
      <c r="B60"/>
    </row>
  </sheetData>
  <phoneticPr fontId="10" type="noConversion"/>
  <pageMargins left="0.75" right="0.75" top="1" bottom="1" header="0.5" footer="0.5"/>
  <pageSetup scale="70" orientation="landscape" horizontalDpi="300" verticalDpi="300" r:id="rId1"/>
  <headerFooter alignWithMargins="0">
    <oddHeader>&amp;RUSPS-FY09-19</oddHeader>
  </headerFooter>
  <ignoredErrors>
    <ignoredError sqref="E10:E51 I10:I51"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rgb="FF92D050"/>
    <pageSetUpPr fitToPage="1"/>
  </sheetPr>
  <dimension ref="A1:IV249"/>
  <sheetViews>
    <sheetView workbookViewId="0">
      <selection activeCell="D21" sqref="D21"/>
    </sheetView>
  </sheetViews>
  <sheetFormatPr defaultColWidth="17.42578125" defaultRowHeight="12.75" x14ac:dyDescent="0.2"/>
  <cols>
    <col min="1" max="1" width="5" style="223" customWidth="1"/>
    <col min="2" max="2" width="38.42578125" style="223" bestFit="1" customWidth="1"/>
    <col min="3" max="3" width="12.42578125" style="223" customWidth="1"/>
    <col min="4" max="4" width="13.42578125" style="223" customWidth="1"/>
    <col min="5" max="5" width="12.42578125" style="223" customWidth="1"/>
    <col min="6" max="6" width="11.42578125" style="223" customWidth="1"/>
    <col min="7" max="7" width="2" style="223" customWidth="1"/>
    <col min="8" max="8" width="11" style="223" customWidth="1"/>
    <col min="9" max="9" width="12" style="223" customWidth="1"/>
    <col min="10" max="10" width="10.5703125" style="223" customWidth="1"/>
    <col min="11" max="11" width="12.5703125" style="223" customWidth="1"/>
    <col min="12" max="12" width="1.5703125" style="223" customWidth="1"/>
    <col min="13" max="13" width="14" style="223" customWidth="1"/>
    <col min="14" max="14" width="10.42578125" style="223" customWidth="1"/>
    <col min="15" max="15" width="11.42578125" style="223" bestFit="1" customWidth="1"/>
    <col min="16" max="16" width="10.5703125" style="223" customWidth="1"/>
    <col min="17" max="17" width="1.5703125" style="223" customWidth="1"/>
    <col min="18" max="18" width="9.42578125" style="223" bestFit="1" customWidth="1"/>
    <col min="19" max="19" width="9.140625" style="223" customWidth="1"/>
    <col min="20" max="21" width="11.42578125" style="223" bestFit="1" customWidth="1"/>
    <col min="22" max="22" width="9.42578125" style="223" bestFit="1" customWidth="1"/>
    <col min="23" max="25" width="11.42578125" style="223" bestFit="1" customWidth="1"/>
    <col min="26" max="26" width="10.85546875" style="223" customWidth="1"/>
    <col min="27" max="16384" width="17.42578125" style="223"/>
  </cols>
  <sheetData>
    <row r="1" spans="1:21" x14ac:dyDescent="0.2">
      <c r="A1" s="263" t="str">
        <f>[1]Inputs!$C$4</f>
        <v>Unit Delivery Cost Model -  12/16/2025</v>
      </c>
    </row>
    <row r="2" spans="1:21" x14ac:dyDescent="0.2">
      <c r="A2" s="13" t="str">
        <f xml:space="preserve"> [1]Inputs!$C$6 &amp; " BASE YEAR CITY CARRIER COSTS BY FUNCTION AND SHAPE"</f>
        <v>FY 2025 BASE YEAR CITY CARRIER COSTS BY FUNCTION AND SHAPE</v>
      </c>
    </row>
    <row r="3" spans="1:21" x14ac:dyDescent="0.2">
      <c r="A3" s="13" t="s">
        <v>363</v>
      </c>
    </row>
    <row r="4" spans="1:21" x14ac:dyDescent="0.2">
      <c r="A4" s="477"/>
      <c r="B4" s="13"/>
      <c r="C4" s="477"/>
      <c r="F4" s="478"/>
      <c r="G4" s="479"/>
      <c r="H4" s="480"/>
      <c r="M4" s="34"/>
    </row>
    <row r="5" spans="1:21" s="2" customFormat="1" ht="11.25" x14ac:dyDescent="0.2">
      <c r="A5" s="185"/>
      <c r="B5" s="112"/>
      <c r="C5" s="185" t="s">
        <v>21</v>
      </c>
      <c r="D5" s="155"/>
      <c r="E5" s="155"/>
      <c r="F5" s="186"/>
      <c r="G5" s="80"/>
      <c r="H5" s="187" t="s">
        <v>50</v>
      </c>
      <c r="I5" s="188"/>
      <c r="J5" s="188"/>
      <c r="K5" s="188"/>
      <c r="M5" s="189" t="s">
        <v>40</v>
      </c>
      <c r="N5" s="188"/>
      <c r="O5" s="188"/>
      <c r="P5" s="188"/>
      <c r="R5" s="189" t="s">
        <v>364</v>
      </c>
      <c r="S5" s="188"/>
      <c r="T5" s="188"/>
      <c r="U5" s="188"/>
    </row>
    <row r="6" spans="1:21" s="10" customFormat="1" ht="22.5" x14ac:dyDescent="0.2">
      <c r="A6" s="81" t="s">
        <v>23</v>
      </c>
      <c r="B6" s="190"/>
      <c r="C6" s="85" t="s">
        <v>70</v>
      </c>
      <c r="D6" s="85" t="s">
        <v>71</v>
      </c>
      <c r="E6" s="85" t="s">
        <v>73</v>
      </c>
      <c r="F6" s="85" t="s">
        <v>72</v>
      </c>
      <c r="G6" s="80"/>
      <c r="H6" s="85" t="s">
        <v>70</v>
      </c>
      <c r="I6" s="85" t="s">
        <v>71</v>
      </c>
      <c r="J6" s="85" t="s">
        <v>73</v>
      </c>
      <c r="K6" s="85" t="s">
        <v>72</v>
      </c>
      <c r="L6" s="2"/>
      <c r="M6" s="85" t="s">
        <v>70</v>
      </c>
      <c r="N6" s="85" t="s">
        <v>71</v>
      </c>
      <c r="O6" s="85" t="s">
        <v>73</v>
      </c>
      <c r="P6" s="85" t="s">
        <v>72</v>
      </c>
      <c r="Q6" s="2"/>
      <c r="R6" s="85" t="s">
        <v>70</v>
      </c>
      <c r="S6" s="85" t="s">
        <v>71</v>
      </c>
      <c r="T6" s="85" t="s">
        <v>73</v>
      </c>
      <c r="U6" s="85" t="s">
        <v>72</v>
      </c>
    </row>
    <row r="7" spans="1:21" s="2" customFormat="1" ht="11.25" x14ac:dyDescent="0.2">
      <c r="A7" s="55"/>
      <c r="B7" s="48" t="s">
        <v>22</v>
      </c>
      <c r="C7" s="55">
        <v>-1</v>
      </c>
      <c r="D7" s="55">
        <f>C7-1</f>
        <v>-2</v>
      </c>
      <c r="E7" s="55">
        <f>D7-1</f>
        <v>-3</v>
      </c>
      <c r="F7" s="55">
        <f>E7-1</f>
        <v>-4</v>
      </c>
      <c r="G7" s="80"/>
      <c r="H7" s="55">
        <f>F7-1</f>
        <v>-5</v>
      </c>
      <c r="I7" s="55">
        <f>H7-1</f>
        <v>-6</v>
      </c>
      <c r="J7" s="55">
        <f>I7-1</f>
        <v>-7</v>
      </c>
      <c r="K7" s="55">
        <f t="shared" ref="K7:P7" si="0">J7-1</f>
        <v>-8</v>
      </c>
      <c r="M7" s="55">
        <f>K7-1</f>
        <v>-9</v>
      </c>
      <c r="N7" s="55">
        <f>M7-1</f>
        <v>-10</v>
      </c>
      <c r="O7" s="55">
        <f>N7-1</f>
        <v>-11</v>
      </c>
      <c r="P7" s="55">
        <f t="shared" si="0"/>
        <v>-12</v>
      </c>
      <c r="R7" s="55">
        <f>P7-1</f>
        <v>-13</v>
      </c>
      <c r="S7" s="55">
        <f>R7-1</f>
        <v>-14</v>
      </c>
      <c r="T7" s="55">
        <f>S7-1</f>
        <v>-15</v>
      </c>
      <c r="U7" s="55">
        <f t="shared" ref="U7" si="1">T7-1</f>
        <v>-16</v>
      </c>
    </row>
    <row r="8" spans="1:21" s="2" customFormat="1" ht="11.25" x14ac:dyDescent="0.2">
      <c r="A8" s="40"/>
      <c r="B8" s="50" t="s">
        <v>94</v>
      </c>
      <c r="C8" s="52" t="s">
        <v>96</v>
      </c>
      <c r="D8" s="52" t="s">
        <v>96</v>
      </c>
      <c r="E8" s="52" t="s">
        <v>96</v>
      </c>
      <c r="F8" s="52" t="s">
        <v>96</v>
      </c>
      <c r="G8" s="80"/>
      <c r="H8" s="52" t="s">
        <v>96</v>
      </c>
      <c r="I8" s="52" t="s">
        <v>96</v>
      </c>
      <c r="J8" s="52" t="s">
        <v>96</v>
      </c>
      <c r="K8" s="52" t="s">
        <v>96</v>
      </c>
      <c r="M8" s="52" t="s">
        <v>96</v>
      </c>
      <c r="N8" s="52" t="s">
        <v>96</v>
      </c>
      <c r="O8" s="52" t="s">
        <v>96</v>
      </c>
      <c r="P8" s="52" t="s">
        <v>96</v>
      </c>
      <c r="R8" s="52" t="s">
        <v>96</v>
      </c>
      <c r="S8" s="52" t="s">
        <v>96</v>
      </c>
      <c r="T8" s="52" t="s">
        <v>96</v>
      </c>
      <c r="U8" s="52" t="s">
        <v>96</v>
      </c>
    </row>
    <row r="9" spans="1:21" s="93" customFormat="1" ht="33.75" x14ac:dyDescent="0.2">
      <c r="A9" s="53"/>
      <c r="B9" s="90" t="s">
        <v>95</v>
      </c>
      <c r="C9" s="53" t="str">
        <f>"[UDCInputs.xls]"&amp;[1]NOTES!$A$11&amp;" "</f>
        <v xml:space="preserve">[UDCInputs.xls]CS7Shape </v>
      </c>
      <c r="D9" s="53" t="str">
        <f>"[UDCInputs.xls]"&amp;[1]NOTES!$A$11&amp;" "</f>
        <v xml:space="preserve">[UDCInputs.xls]CS7Shape </v>
      </c>
      <c r="E9" s="53" t="str">
        <f>"[UDCInputs.xls]"&amp;[1]NOTES!$A$11&amp;" "</f>
        <v xml:space="preserve">[UDCInputs.xls]CS7Shape </v>
      </c>
      <c r="F9" s="53" t="str">
        <f>"C"&amp;-C7&amp;"..C"&amp;-E7</f>
        <v>C1..C3</v>
      </c>
      <c r="G9" s="92"/>
      <c r="H9" s="53"/>
      <c r="I9" s="53"/>
      <c r="J9" s="53" t="str">
        <f>"C"&amp;-K7</f>
        <v>C8</v>
      </c>
      <c r="K9" s="53" t="s">
        <v>354</v>
      </c>
      <c r="M9" s="53" t="str">
        <f>"C"&amp;-$P7&amp;" x "&amp; NOTES!A10&amp;" (C"&amp;-'6.DeliveryVols'!G6&amp;" / C"&amp;-'6.DeliveryVols'!$L6&amp;")"</f>
        <v>C12 x 6.DeliveryVols (C5 / C10)</v>
      </c>
      <c r="N9" s="53" t="str">
        <f>"C"&amp;-$P7&amp;" x "&amp; NOTES!A10&amp;" (C"&amp;-'6.DeliveryVols'!H6&amp;" / C"&amp;-'6.DeliveryVols'!$L6&amp;")"</f>
        <v>C12 x 6.DeliveryVols (C6 / C10)</v>
      </c>
      <c r="O9" s="53" t="str">
        <f>"C"&amp;-$P7&amp;" x "&amp; NOTES!A10&amp;" (C"&amp;-'6.DeliveryVols'!I6&amp;" / C"&amp;-'6.DeliveryVols'!$L6&amp;")"</f>
        <v>C12 x 6.DeliveryVols (C7 / C10)</v>
      </c>
      <c r="P9" s="53" t="s">
        <v>354</v>
      </c>
      <c r="R9" s="53"/>
      <c r="S9" s="53"/>
      <c r="T9" s="53" t="str">
        <f>"C"&amp;-U7</f>
        <v>C16</v>
      </c>
      <c r="U9" s="53" t="s">
        <v>354</v>
      </c>
    </row>
    <row r="10" spans="1:21" s="10" customFormat="1" ht="11.25" x14ac:dyDescent="0.2">
      <c r="A10" s="55">
        <v>1</v>
      </c>
      <c r="B10" s="133" t="s">
        <v>74</v>
      </c>
      <c r="C10" s="176"/>
      <c r="D10" s="176"/>
      <c r="E10" s="176"/>
      <c r="F10" s="176"/>
      <c r="G10" s="80"/>
      <c r="H10" s="176"/>
      <c r="I10" s="176"/>
      <c r="J10" s="176"/>
      <c r="K10" s="176"/>
      <c r="L10" s="2"/>
      <c r="M10" s="176"/>
      <c r="N10" s="176"/>
      <c r="O10" s="176"/>
      <c r="P10" s="176"/>
      <c r="Q10" s="2"/>
      <c r="R10" s="176"/>
      <c r="S10" s="176"/>
      <c r="T10" s="176"/>
      <c r="U10" s="176"/>
    </row>
    <row r="11" spans="1:21" s="2" customFormat="1" ht="11.25" x14ac:dyDescent="0.2">
      <c r="A11" s="44">
        <f t="shared" ref="A11:A22" si="2">A10+1</f>
        <v>2</v>
      </c>
      <c r="B11" s="191" t="s">
        <v>220</v>
      </c>
      <c r="C11" s="122">
        <f>[1]CS7Shape!$C10+[1]CS7Shape!$E10</f>
        <v>112546.0662322857</v>
      </c>
      <c r="D11" s="122">
        <f>[1]CS7Shape!$D10</f>
        <v>0</v>
      </c>
      <c r="E11" s="122">
        <f>[1]CS7Shape!F$10</f>
        <v>52.737752799430616</v>
      </c>
      <c r="F11" s="97">
        <f t="shared" ref="F11" si="3">SUM(C11:E11)</f>
        <v>112598.80398508512</v>
      </c>
      <c r="G11" s="80"/>
      <c r="H11" s="97"/>
      <c r="I11" s="97"/>
      <c r="J11" s="97">
        <f t="shared" ref="J11" si="4">K11</f>
        <v>393.78976668756974</v>
      </c>
      <c r="K11" s="117">
        <f>SUM('[1]7.0.6'!$D10+'[1]7.0.6'!$E10)</f>
        <v>393.78976668756974</v>
      </c>
      <c r="M11" s="375">
        <f>('6.DeliveryVols'!G10)/'6.DeliveryVols'!$M10*$P11</f>
        <v>39845.990777118459</v>
      </c>
      <c r="N11" s="375">
        <f>('6.DeliveryVols'!H10)/'6.DeliveryVols'!$M10*$P11</f>
        <v>0</v>
      </c>
      <c r="O11" s="97">
        <f>('6.DeliveryVols'!$I$10+'6.DeliveryVols'!$J$10)/'6.DeliveryVols'!$M$10*$P11</f>
        <v>2.019460604542906</v>
      </c>
      <c r="P11" s="117">
        <f>SUM('[1]7.0.6'!$C10,'[1]7.0.6'!$G10)</f>
        <v>39848.010237723007</v>
      </c>
      <c r="R11" s="375"/>
      <c r="S11" s="375"/>
      <c r="T11" s="375">
        <f t="shared" ref="T11" si="5">U11</f>
        <v>287.80835001392506</v>
      </c>
      <c r="U11" s="117">
        <f>'[1]7.0.6'!$F$10</f>
        <v>287.80835001392506</v>
      </c>
    </row>
    <row r="12" spans="1:21" s="2" customFormat="1" ht="11.25" x14ac:dyDescent="0.2">
      <c r="A12" s="44">
        <f>A11+1</f>
        <v>3</v>
      </c>
      <c r="B12" s="124" t="s">
        <v>346</v>
      </c>
      <c r="C12" s="283"/>
      <c r="D12" s="283"/>
      <c r="E12" s="283"/>
      <c r="F12" s="283"/>
      <c r="G12" s="80"/>
      <c r="H12" s="283"/>
      <c r="I12" s="283"/>
      <c r="J12" s="283"/>
      <c r="K12" s="283"/>
      <c r="M12" s="283"/>
      <c r="N12" s="283"/>
      <c r="O12" s="283"/>
      <c r="P12" s="283"/>
      <c r="R12" s="283"/>
      <c r="S12" s="283"/>
      <c r="T12" s="283"/>
      <c r="U12" s="283"/>
    </row>
    <row r="13" spans="1:21" s="2" customFormat="1" ht="11.25" x14ac:dyDescent="0.2">
      <c r="A13" s="44">
        <f t="shared" si="2"/>
        <v>4</v>
      </c>
      <c r="B13" s="280" t="s">
        <v>226</v>
      </c>
      <c r="C13" s="117">
        <f>[1]CS7Shape!$C18+[1]CS7Shape!$E18</f>
        <v>85362.281986580187</v>
      </c>
      <c r="D13" s="117">
        <f>[1]CS7Shape!$D18</f>
        <v>0</v>
      </c>
      <c r="E13" s="117">
        <f>[1]CS7Shape!F$18</f>
        <v>0</v>
      </c>
      <c r="F13" s="97">
        <f t="shared" ref="F13:F23" si="6">SUM(C13:E13)</f>
        <v>85362.281986580187</v>
      </c>
      <c r="G13" s="80"/>
      <c r="H13" s="97"/>
      <c r="I13" s="97"/>
      <c r="J13" s="97">
        <f t="shared" ref="J13:J19" si="7">K13</f>
        <v>0</v>
      </c>
      <c r="K13" s="117">
        <f>SUM('[1]7.0.6'!$D17+'[1]7.0.6'!$E17)</f>
        <v>0</v>
      </c>
      <c r="M13" s="375">
        <f>('6.DeliveryVols'!G19)/'6.DeliveryVols'!$M19*$P13</f>
        <v>0</v>
      </c>
      <c r="N13" s="375">
        <f>('6.DeliveryVols'!H19)/'6.DeliveryVols'!$M19*$P13</f>
        <v>0</v>
      </c>
      <c r="O13" s="97">
        <f>('6.DeliveryVols'!$I$19+'6.DeliveryVols'!$J$19)/'6.DeliveryVols'!$M$19*$P13</f>
        <v>0</v>
      </c>
      <c r="P13" s="117">
        <f>SUM('[1]7.0.6'!$C17,'[1]7.0.6'!$G17)</f>
        <v>0</v>
      </c>
      <c r="R13" s="375"/>
      <c r="S13" s="375"/>
      <c r="T13" s="375">
        <f t="shared" ref="T13:T19" si="8">U13</f>
        <v>0</v>
      </c>
      <c r="U13" s="117">
        <f>'[1]7.0.6'!$F$17</f>
        <v>0</v>
      </c>
    </row>
    <row r="14" spans="1:21" s="2" customFormat="1" ht="11.25" x14ac:dyDescent="0.2">
      <c r="A14" s="44">
        <f t="shared" si="2"/>
        <v>5</v>
      </c>
      <c r="B14" s="285" t="s">
        <v>231</v>
      </c>
      <c r="C14" s="117">
        <f>[1]CS7Shape!$C57+[1]CS7Shape!$E57</f>
        <v>49231.679622943411</v>
      </c>
      <c r="D14" s="117">
        <f>[1]CS7Shape!$D57</f>
        <v>0</v>
      </c>
      <c r="E14" s="117">
        <f>[1]CS7Shape!F$57</f>
        <v>0</v>
      </c>
      <c r="F14" s="97">
        <f t="shared" si="6"/>
        <v>49231.679622943411</v>
      </c>
      <c r="G14" s="80"/>
      <c r="H14" s="97"/>
      <c r="I14" s="97"/>
      <c r="J14" s="97">
        <f t="shared" si="7"/>
        <v>0</v>
      </c>
      <c r="K14" s="117">
        <f>SUM('[1]7.0.6'!$D34+'[1]7.0.6'!$E34)</f>
        <v>0</v>
      </c>
      <c r="M14" s="97"/>
      <c r="N14" s="97"/>
      <c r="O14" s="97"/>
      <c r="P14" s="117">
        <f>SUM('[1]7.0.6'!$C34,'[1]7.0.6'!$G34)</f>
        <v>0</v>
      </c>
      <c r="R14" s="97"/>
      <c r="S14" s="97"/>
      <c r="T14" s="97">
        <f t="shared" si="8"/>
        <v>0</v>
      </c>
      <c r="U14" s="117">
        <f>'[1]7.0.6'!$F34</f>
        <v>0</v>
      </c>
    </row>
    <row r="15" spans="1:21" s="2" customFormat="1" ht="11.25" x14ac:dyDescent="0.2">
      <c r="A15" s="44">
        <f t="shared" si="2"/>
        <v>6</v>
      </c>
      <c r="B15" s="285" t="s">
        <v>248</v>
      </c>
      <c r="C15" s="117">
        <f>[1]CS7Shape!$C58+[1]CS7Shape!$E58</f>
        <v>36130.602363636768</v>
      </c>
      <c r="D15" s="117">
        <f>[1]CS7Shape!$D58</f>
        <v>0</v>
      </c>
      <c r="E15" s="117">
        <f>[1]CS7Shape!F$58</f>
        <v>0</v>
      </c>
      <c r="F15" s="97">
        <f t="shared" si="6"/>
        <v>36130.602363636768</v>
      </c>
      <c r="G15" s="80"/>
      <c r="H15" s="97"/>
      <c r="I15" s="97"/>
      <c r="J15" s="97">
        <f t="shared" si="7"/>
        <v>0</v>
      </c>
      <c r="K15" s="117">
        <f>SUM('[1]7.0.6'!$D35+'[1]7.0.6'!$E35)</f>
        <v>0</v>
      </c>
      <c r="M15" s="97"/>
      <c r="N15" s="97"/>
      <c r="O15" s="97"/>
      <c r="P15" s="117">
        <f>SUM('[1]7.0.6'!$C35,'[1]7.0.6'!$G35)</f>
        <v>0</v>
      </c>
      <c r="R15" s="97"/>
      <c r="S15" s="97"/>
      <c r="T15" s="97">
        <f t="shared" si="8"/>
        <v>0</v>
      </c>
      <c r="U15" s="117">
        <f>'[1]7.0.6'!$F35</f>
        <v>0</v>
      </c>
    </row>
    <row r="16" spans="1:21" s="2" customFormat="1" ht="11.25" x14ac:dyDescent="0.2">
      <c r="A16" s="44">
        <f t="shared" si="2"/>
        <v>7</v>
      </c>
      <c r="B16" s="280" t="s">
        <v>227</v>
      </c>
      <c r="C16" s="117">
        <f>[1]CS7Shape!$C19+[1]CS7Shape!$E19</f>
        <v>756.36278767182137</v>
      </c>
      <c r="D16" s="117">
        <f>[1]CS7Shape!$D19</f>
        <v>35237.96794311257</v>
      </c>
      <c r="E16" s="117">
        <f>[1]CS7Shape!F$19</f>
        <v>0</v>
      </c>
      <c r="F16" s="97">
        <f t="shared" si="6"/>
        <v>35994.330730784393</v>
      </c>
      <c r="G16" s="80"/>
      <c r="H16" s="97"/>
      <c r="I16" s="97"/>
      <c r="J16" s="97">
        <f t="shared" si="7"/>
        <v>0</v>
      </c>
      <c r="K16" s="117">
        <f>SUM('[1]7.0.6'!$D18+'[1]7.0.6'!$E18)</f>
        <v>0</v>
      </c>
      <c r="M16" s="375">
        <f>('6.DeliveryVols'!G25)/'6.DeliveryVols'!$M25*$P16</f>
        <v>0</v>
      </c>
      <c r="N16" s="375">
        <f>('6.DeliveryVols'!H25)/'6.DeliveryVols'!$M25*$P16</f>
        <v>0</v>
      </c>
      <c r="O16" s="97">
        <f>('6.DeliveryVols'!$I$25+'6.DeliveryVols'!$J$25)/'6.DeliveryVols'!$M$25*$P16</f>
        <v>0</v>
      </c>
      <c r="P16" s="117">
        <f>SUM('[1]7.0.6'!$C18,'[1]7.0.6'!$G18)</f>
        <v>0</v>
      </c>
      <c r="R16" s="375"/>
      <c r="S16" s="375"/>
      <c r="T16" s="375">
        <f t="shared" si="8"/>
        <v>0</v>
      </c>
      <c r="U16" s="117">
        <f>'[1]7.0.6'!$F$18</f>
        <v>0</v>
      </c>
    </row>
    <row r="17" spans="1:256" s="2" customFormat="1" ht="11.25" x14ac:dyDescent="0.2">
      <c r="A17" s="44">
        <f t="shared" si="2"/>
        <v>8</v>
      </c>
      <c r="B17" s="285" t="s">
        <v>249</v>
      </c>
      <c r="C17" s="117">
        <f>[1]CS7Shape!$C60+[1]CS7Shape!$E60</f>
        <v>31.934806056019241</v>
      </c>
      <c r="D17" s="117">
        <f>[1]CS7Shape!$D60</f>
        <v>13890.790698488207</v>
      </c>
      <c r="E17" s="117">
        <f>[1]CS7Shape!F$60</f>
        <v>0</v>
      </c>
      <c r="F17" s="97">
        <f t="shared" si="6"/>
        <v>13922.725504544225</v>
      </c>
      <c r="G17" s="80"/>
      <c r="H17" s="97"/>
      <c r="I17" s="97"/>
      <c r="J17" s="97">
        <f t="shared" si="7"/>
        <v>0</v>
      </c>
      <c r="K17" s="117">
        <f>SUM('[1]7.0.6'!$D37+'[1]7.0.6'!$E37)</f>
        <v>0</v>
      </c>
      <c r="M17" s="97"/>
      <c r="N17" s="97"/>
      <c r="O17" s="97"/>
      <c r="P17" s="117">
        <f>SUM('[1]7.0.6'!$C37,'[1]7.0.6'!$G37)</f>
        <v>0</v>
      </c>
      <c r="R17" s="97"/>
      <c r="S17" s="97"/>
      <c r="T17" s="97">
        <f t="shared" si="8"/>
        <v>0</v>
      </c>
      <c r="U17" s="117">
        <f>'[1]7.0.6'!$F37</f>
        <v>0</v>
      </c>
    </row>
    <row r="18" spans="1:256" s="2" customFormat="1" ht="11.25" x14ac:dyDescent="0.2">
      <c r="A18" s="44">
        <f t="shared" si="2"/>
        <v>9</v>
      </c>
      <c r="B18" s="285" t="s">
        <v>250</v>
      </c>
      <c r="C18" s="117">
        <f>[1]CS7Shape!$C61+[1]CS7Shape!$E61</f>
        <v>724.42798161580208</v>
      </c>
      <c r="D18" s="117">
        <f>[1]CS7Shape!$D61</f>
        <v>21347.177244624352</v>
      </c>
      <c r="E18" s="117">
        <f>[1]CS7Shape!F$61</f>
        <v>0</v>
      </c>
      <c r="F18" s="97">
        <f t="shared" si="6"/>
        <v>22071.605226240154</v>
      </c>
      <c r="G18" s="80"/>
      <c r="H18" s="97"/>
      <c r="I18" s="97"/>
      <c r="J18" s="97">
        <f t="shared" si="7"/>
        <v>0</v>
      </c>
      <c r="K18" s="117">
        <f>SUM('[1]7.0.6'!$D38+'[1]7.0.6'!$E38)</f>
        <v>0</v>
      </c>
      <c r="M18" s="97"/>
      <c r="N18" s="97"/>
      <c r="O18" s="97"/>
      <c r="P18" s="117">
        <f>SUM('[1]7.0.6'!$C38,'[1]7.0.6'!$G38)</f>
        <v>0</v>
      </c>
      <c r="R18" s="97"/>
      <c r="S18" s="97"/>
      <c r="T18" s="97">
        <f t="shared" si="8"/>
        <v>0</v>
      </c>
      <c r="U18" s="117">
        <f>'[1]7.0.6'!$F38</f>
        <v>0</v>
      </c>
    </row>
    <row r="19" spans="1:256" s="2" customFormat="1" ht="11.25" x14ac:dyDescent="0.2">
      <c r="A19" s="44">
        <f t="shared" si="2"/>
        <v>10</v>
      </c>
      <c r="B19" s="285" t="s">
        <v>251</v>
      </c>
      <c r="C19" s="117">
        <f>[1]CS7Shape!$C62+[1]CS7Shape!$E62</f>
        <v>0</v>
      </c>
      <c r="D19" s="117">
        <f>[1]CS7Shape!$D62</f>
        <v>0</v>
      </c>
      <c r="E19" s="117">
        <f>[1]CS7Shape!F$62</f>
        <v>0</v>
      </c>
      <c r="F19" s="97">
        <f t="shared" si="6"/>
        <v>0</v>
      </c>
      <c r="G19" s="80"/>
      <c r="H19" s="97"/>
      <c r="I19" s="97"/>
      <c r="J19" s="97">
        <f t="shared" si="7"/>
        <v>0</v>
      </c>
      <c r="K19" s="117">
        <f>SUM('[1]7.0.6'!$D39+'[1]7.0.6'!$E39)</f>
        <v>0</v>
      </c>
      <c r="M19" s="97"/>
      <c r="N19" s="97"/>
      <c r="O19" s="97"/>
      <c r="P19" s="117">
        <f>SUM('[1]7.0.6'!$C39,'[1]7.0.6'!$G39)</f>
        <v>0</v>
      </c>
      <c r="R19" s="97"/>
      <c r="S19" s="97"/>
      <c r="T19" s="97">
        <f t="shared" si="8"/>
        <v>0</v>
      </c>
      <c r="U19" s="117">
        <f>'[1]7.0.6'!$F39</f>
        <v>0</v>
      </c>
    </row>
    <row r="20" spans="1:256" s="2" customFormat="1" ht="11.25" x14ac:dyDescent="0.2">
      <c r="A20" s="44">
        <f t="shared" si="2"/>
        <v>11</v>
      </c>
      <c r="B20" s="285" t="s">
        <v>252</v>
      </c>
      <c r="C20" s="122">
        <f>[1]CS7Shape!$C63+[1]CS7Shape!$E63</f>
        <v>0</v>
      </c>
      <c r="D20" s="122">
        <f>[1]CS7Shape!$D63</f>
        <v>0</v>
      </c>
      <c r="E20" s="122">
        <f>[1]CS7Shape!F$63</f>
        <v>0</v>
      </c>
      <c r="F20" s="97">
        <f t="shared" si="6"/>
        <v>0</v>
      </c>
      <c r="G20" s="80"/>
      <c r="H20" s="282"/>
      <c r="I20" s="177"/>
      <c r="J20" s="177"/>
      <c r="K20" s="122">
        <f>SUM('[1]7.0.6'!$D40+'[1]7.0.6'!$E40)</f>
        <v>0</v>
      </c>
      <c r="M20" s="97"/>
      <c r="N20" s="97"/>
      <c r="O20" s="97"/>
      <c r="P20" s="122">
        <f>SUM('[1]7.0.6'!$C40,'[1]7.0.6'!$G40)</f>
        <v>0</v>
      </c>
      <c r="R20" s="97"/>
      <c r="S20" s="97"/>
      <c r="T20" s="97"/>
      <c r="U20" s="122">
        <f>'[1]7.0.6'!$F40</f>
        <v>0</v>
      </c>
    </row>
    <row r="21" spans="1:256" s="2" customFormat="1" ht="11.25" x14ac:dyDescent="0.2">
      <c r="A21" s="79">
        <f>A20+1</f>
        <v>12</v>
      </c>
      <c r="B21" s="379" t="s">
        <v>232</v>
      </c>
      <c r="C21" s="122">
        <f>[1]CS7Shape!E29+[1]CS7Shape!$C$29*[1]PeriodicalsVolAdj!$E$9/[1]PeriodicalsVolAdj!$D$9</f>
        <v>201.88728934917646</v>
      </c>
      <c r="D21" s="122">
        <f>[1]CS7Shape!D29+[1]PeriodicalsVolAdj!$F$9/[1]PeriodicalsVolAdj!$D$9*([1]CS7Shape!$C$29)+IF([1]PeriodicalsVolAdj!$D$11,[1]CS7Shape!$F$29*[1]PeriodicalsVolAdj!$F$11/[1]PeriodicalsVolAdj!$D$11,0)</f>
        <v>22436.32002088867</v>
      </c>
      <c r="E21" s="122">
        <f>IF([1]PeriodicalsVolAdj!$D$11,[1]CS7Shape!F$29*[1]PeriodicalsVolAdj!$E$11/[1]PeriodicalsVolAdj!$D$11,0)</f>
        <v>166.8981409274416</v>
      </c>
      <c r="F21" s="284">
        <f t="shared" si="6"/>
        <v>22805.105451165287</v>
      </c>
      <c r="H21" s="284"/>
      <c r="I21" s="97"/>
      <c r="J21" s="97">
        <f>K21</f>
        <v>0</v>
      </c>
      <c r="K21" s="122">
        <f>SUM('[1]7.0.6'!$D24+'[1]7.0.6'!$E24)</f>
        <v>0</v>
      </c>
      <c r="M21" s="377">
        <f>('6.DeliveryVols'!G31)/'6.DeliveryVols'!$M31*$P21</f>
        <v>0.35798886648810041</v>
      </c>
      <c r="N21" s="377">
        <f>('6.DeliveryVols'!H31)/'6.DeliveryVols'!$M31*$P21</f>
        <v>67.38503050768081</v>
      </c>
      <c r="O21" s="284">
        <f>('6.DeliveryVols'!$I$31+'6.DeliveryVols'!$J$31)/'6.DeliveryVols'!$M$31*$P21</f>
        <v>4.2684244788026869E-2</v>
      </c>
      <c r="P21" s="122">
        <f>SUM('[1]7.0.6'!$C24,'[1]7.0.6'!$G24)</f>
        <v>67.785703618956944</v>
      </c>
      <c r="R21" s="377"/>
      <c r="S21" s="377"/>
      <c r="T21" s="377">
        <f>U21</f>
        <v>0</v>
      </c>
      <c r="U21" s="122">
        <f>'[1]7.0.6'!$F$24</f>
        <v>0</v>
      </c>
      <c r="V21" s="286"/>
      <c r="W21" s="286"/>
      <c r="X21" s="286"/>
      <c r="Y21" s="286"/>
      <c r="Z21" s="286"/>
      <c r="AA21" s="286"/>
      <c r="AB21" s="286"/>
      <c r="AC21" s="286"/>
      <c r="AD21" s="286"/>
      <c r="AE21" s="286"/>
      <c r="AF21" s="286"/>
      <c r="AG21" s="286"/>
      <c r="AH21" s="286"/>
      <c r="AI21" s="286"/>
      <c r="AJ21" s="286"/>
      <c r="AK21" s="286"/>
      <c r="AL21" s="286"/>
      <c r="AM21" s="286"/>
      <c r="AN21" s="286"/>
      <c r="AO21" s="286"/>
      <c r="AP21" s="286"/>
      <c r="AQ21" s="286"/>
      <c r="AR21" s="286"/>
      <c r="AS21" s="286"/>
      <c r="AT21" s="286"/>
      <c r="AU21" s="286"/>
      <c r="AV21" s="286"/>
      <c r="AW21" s="286"/>
      <c r="AX21" s="286"/>
      <c r="AY21" s="286"/>
      <c r="AZ21" s="286"/>
      <c r="BA21" s="286"/>
      <c r="BB21" s="286"/>
      <c r="BC21" s="286"/>
      <c r="BD21" s="286"/>
      <c r="BE21" s="286"/>
      <c r="BF21" s="286"/>
      <c r="BG21" s="286"/>
      <c r="BH21" s="286"/>
      <c r="BI21" s="286"/>
      <c r="BJ21" s="286"/>
      <c r="BK21" s="286"/>
      <c r="BL21" s="286"/>
      <c r="BM21" s="286"/>
      <c r="BN21" s="286"/>
      <c r="BO21" s="286"/>
      <c r="BP21" s="286"/>
      <c r="BQ21" s="286"/>
      <c r="BR21" s="286"/>
      <c r="BS21" s="286"/>
      <c r="BT21" s="286"/>
      <c r="BU21" s="286"/>
      <c r="BV21" s="286"/>
      <c r="BW21" s="286"/>
      <c r="BX21" s="286"/>
      <c r="BY21" s="286"/>
      <c r="BZ21" s="286"/>
      <c r="CA21" s="286"/>
      <c r="CB21" s="286"/>
      <c r="CC21" s="286"/>
      <c r="CD21" s="286"/>
      <c r="CE21" s="286"/>
      <c r="CF21" s="286"/>
      <c r="CG21" s="286"/>
      <c r="CH21" s="286"/>
      <c r="CI21" s="286"/>
      <c r="CJ21" s="286"/>
      <c r="CK21" s="286"/>
      <c r="CL21" s="286"/>
      <c r="CM21" s="286"/>
      <c r="CN21" s="286"/>
      <c r="CO21" s="286"/>
      <c r="CP21" s="286"/>
      <c r="CQ21" s="286"/>
      <c r="CR21" s="286"/>
      <c r="CS21" s="286"/>
      <c r="CT21" s="286"/>
      <c r="CU21" s="286"/>
      <c r="CV21" s="286"/>
      <c r="CW21" s="286"/>
      <c r="CX21" s="286"/>
      <c r="CY21" s="286"/>
      <c r="CZ21" s="286"/>
      <c r="DA21" s="286"/>
      <c r="DB21" s="286"/>
      <c r="DC21" s="286"/>
      <c r="DD21" s="286"/>
      <c r="DE21" s="286"/>
      <c r="DF21" s="286"/>
      <c r="DG21" s="286"/>
      <c r="DH21" s="286"/>
      <c r="DI21" s="286"/>
      <c r="DJ21" s="286"/>
      <c r="DK21" s="286"/>
      <c r="DL21" s="286"/>
      <c r="DM21" s="286"/>
      <c r="DN21" s="286"/>
      <c r="DO21" s="286"/>
      <c r="DP21" s="286"/>
      <c r="DQ21" s="286"/>
      <c r="DR21" s="286"/>
      <c r="DS21" s="286"/>
      <c r="DT21" s="286"/>
      <c r="DU21" s="286"/>
      <c r="DV21" s="286"/>
      <c r="DW21" s="286"/>
      <c r="DX21" s="286"/>
      <c r="DY21" s="286"/>
      <c r="DZ21" s="286"/>
      <c r="EA21" s="286"/>
      <c r="EB21" s="286"/>
      <c r="EC21" s="286"/>
      <c r="ED21" s="286"/>
      <c r="EE21" s="286"/>
      <c r="EF21" s="286"/>
      <c r="EG21" s="286"/>
      <c r="EH21" s="286"/>
      <c r="EI21" s="286"/>
      <c r="EJ21" s="286"/>
      <c r="EK21" s="286"/>
      <c r="EL21" s="286"/>
      <c r="EM21" s="286"/>
      <c r="EN21" s="286"/>
      <c r="EO21" s="286"/>
      <c r="EP21" s="286"/>
      <c r="EQ21" s="286"/>
      <c r="ER21" s="286"/>
      <c r="ES21" s="286"/>
      <c r="ET21" s="286"/>
      <c r="EU21" s="286"/>
      <c r="EV21" s="286"/>
      <c r="EW21" s="286"/>
      <c r="EX21" s="286"/>
      <c r="EY21" s="286"/>
      <c r="EZ21" s="286"/>
      <c r="FA21" s="286"/>
      <c r="FB21" s="286"/>
      <c r="FC21" s="286"/>
      <c r="FD21" s="286"/>
      <c r="FE21" s="286"/>
      <c r="FF21" s="286"/>
      <c r="FG21" s="286"/>
      <c r="FH21" s="286"/>
      <c r="FI21" s="286"/>
      <c r="FJ21" s="286"/>
      <c r="FK21" s="286"/>
      <c r="FL21" s="286"/>
      <c r="FM21" s="286"/>
      <c r="FN21" s="286"/>
      <c r="FO21" s="286"/>
      <c r="FP21" s="286"/>
      <c r="FQ21" s="286"/>
      <c r="FR21" s="286"/>
      <c r="FS21" s="286"/>
      <c r="FT21" s="286"/>
      <c r="FU21" s="286"/>
      <c r="FV21" s="286"/>
      <c r="FW21" s="286"/>
      <c r="FX21" s="286"/>
      <c r="FY21" s="286"/>
      <c r="FZ21" s="286"/>
      <c r="GA21" s="286"/>
      <c r="GB21" s="286"/>
      <c r="GC21" s="286"/>
      <c r="GD21" s="286"/>
      <c r="GE21" s="286"/>
      <c r="GF21" s="286"/>
      <c r="GG21" s="286"/>
      <c r="GH21" s="286"/>
      <c r="GI21" s="286"/>
      <c r="GJ21" s="286"/>
      <c r="GK21" s="286"/>
      <c r="GL21" s="286"/>
      <c r="GM21" s="286"/>
      <c r="GN21" s="286"/>
      <c r="GO21" s="286"/>
      <c r="GP21" s="286"/>
      <c r="GQ21" s="286"/>
      <c r="GR21" s="286"/>
      <c r="GS21" s="286"/>
      <c r="GT21" s="286"/>
      <c r="GU21" s="286"/>
      <c r="GV21" s="286"/>
      <c r="GW21" s="286"/>
      <c r="GX21" s="286"/>
      <c r="GY21" s="286"/>
      <c r="GZ21" s="286"/>
      <c r="HA21" s="286"/>
      <c r="HB21" s="286"/>
      <c r="HC21" s="286"/>
      <c r="HD21" s="286"/>
      <c r="HE21" s="286"/>
      <c r="HF21" s="286"/>
      <c r="HG21" s="286"/>
      <c r="HH21" s="286"/>
      <c r="HI21" s="286"/>
      <c r="HJ21" s="286"/>
      <c r="HK21" s="286"/>
      <c r="HL21" s="286"/>
      <c r="HM21" s="286"/>
      <c r="HN21" s="286"/>
      <c r="HO21" s="286"/>
      <c r="HP21" s="286"/>
      <c r="HQ21" s="286"/>
      <c r="HR21" s="286"/>
      <c r="HS21" s="286"/>
      <c r="HT21" s="286"/>
      <c r="HU21" s="286"/>
      <c r="HV21" s="286"/>
      <c r="HW21" s="286"/>
      <c r="HX21" s="286"/>
      <c r="HY21" s="286"/>
      <c r="HZ21" s="286"/>
      <c r="IA21" s="286"/>
      <c r="IB21" s="286"/>
      <c r="IC21" s="286"/>
      <c r="ID21" s="286"/>
      <c r="IE21" s="286"/>
      <c r="IF21" s="286"/>
      <c r="IG21" s="286"/>
      <c r="IH21" s="286"/>
      <c r="II21" s="286"/>
      <c r="IJ21" s="286"/>
      <c r="IK21" s="286"/>
      <c r="IL21" s="286"/>
      <c r="IM21" s="286"/>
      <c r="IN21" s="286"/>
      <c r="IO21" s="286"/>
      <c r="IP21" s="286"/>
      <c r="IQ21" s="286"/>
      <c r="IR21" s="286"/>
      <c r="IS21" s="286"/>
      <c r="IT21" s="286"/>
      <c r="IU21" s="286"/>
      <c r="IV21" s="286"/>
    </row>
    <row r="22" spans="1:256" s="2" customFormat="1" ht="11.25" x14ac:dyDescent="0.2">
      <c r="A22" s="485">
        <f t="shared" si="2"/>
        <v>13</v>
      </c>
      <c r="B22" s="133" t="s">
        <v>228</v>
      </c>
      <c r="C22" s="230"/>
      <c r="D22" s="230"/>
      <c r="E22" s="113"/>
      <c r="F22" s="230">
        <f t="shared" si="6"/>
        <v>0</v>
      </c>
      <c r="G22" s="80"/>
      <c r="H22" s="230"/>
      <c r="I22" s="230"/>
      <c r="J22" s="113"/>
      <c r="K22" s="113"/>
      <c r="M22" s="97"/>
      <c r="N22" s="97"/>
      <c r="O22" s="113"/>
      <c r="P22" s="113"/>
      <c r="R22" s="97"/>
      <c r="S22" s="97"/>
      <c r="T22" s="97"/>
      <c r="U22" s="113"/>
    </row>
    <row r="23" spans="1:256" s="2" customFormat="1" ht="11.25" x14ac:dyDescent="0.2">
      <c r="A23" s="45">
        <f>A22+1</f>
        <v>14</v>
      </c>
      <c r="B23" s="144" t="s">
        <v>234</v>
      </c>
      <c r="C23" s="122">
        <f>[1]CS7Shape!$C33+[1]CS7Shape!$E33</f>
        <v>1.1337637338518285</v>
      </c>
      <c r="D23" s="122">
        <f>[1]CS7Shape!$D33</f>
        <v>12.213239905907482</v>
      </c>
      <c r="E23" s="122">
        <f>[1]CS7Shape!F$33</f>
        <v>3883.052564189059</v>
      </c>
      <c r="F23" s="177">
        <f t="shared" si="6"/>
        <v>3896.3995678288184</v>
      </c>
      <c r="G23" s="80"/>
      <c r="H23" s="177"/>
      <c r="I23" s="177"/>
      <c r="J23" s="177">
        <f>K23</f>
        <v>3526.5279297110192</v>
      </c>
      <c r="K23" s="122">
        <f>SUM('[1]7.0.6'!$D28+'[1]7.0.6'!$E28)</f>
        <v>3526.5279297110192</v>
      </c>
      <c r="M23" s="376">
        <f>('6.DeliveryVols'!G35)/'6.DeliveryVols'!$M35*$P23</f>
        <v>7.9986767192592775E-2</v>
      </c>
      <c r="N23" s="376">
        <f>('6.DeliveryVols'!H35)/'6.DeliveryVols'!$M35*$P23</f>
        <v>0.86164122899063922</v>
      </c>
      <c r="O23" s="177">
        <f>((SUM('6.DeliveryVols'!$I$35:$J$35))/'6.DeliveryVols'!$M$35)*P23</f>
        <v>46.364649264396263</v>
      </c>
      <c r="P23" s="122">
        <f>SUM('[1]7.0.6'!$C28,'[1]7.0.6'!$G28)</f>
        <v>47.306277260579492</v>
      </c>
      <c r="R23" s="376"/>
      <c r="S23" s="376"/>
      <c r="T23" s="376">
        <f>U23</f>
        <v>337.27662804312126</v>
      </c>
      <c r="U23" s="122">
        <f>'[1]7.0.6'!$F$28</f>
        <v>337.27662804312126</v>
      </c>
    </row>
    <row r="24" spans="1:256" s="2" customFormat="1" ht="11.25" x14ac:dyDescent="0.2">
      <c r="D24" s="32"/>
      <c r="G24" s="80"/>
    </row>
    <row r="25" spans="1:256" s="193" customFormat="1" ht="22.5" x14ac:dyDescent="0.2">
      <c r="A25" s="185"/>
      <c r="B25" s="111"/>
      <c r="C25" s="185" t="s">
        <v>39</v>
      </c>
      <c r="D25" s="155"/>
      <c r="E25" s="155"/>
      <c r="F25" s="186"/>
      <c r="G25" s="80" t="s">
        <v>19</v>
      </c>
      <c r="H25" s="223"/>
      <c r="I25" s="223"/>
      <c r="J25" s="223"/>
      <c r="K25" s="223"/>
      <c r="L25" s="2"/>
      <c r="M25" s="8"/>
      <c r="N25" s="2"/>
      <c r="O25" s="2"/>
      <c r="P25" s="2"/>
      <c r="Q25" s="2"/>
      <c r="R25" s="2"/>
      <c r="S25" s="2"/>
      <c r="T25" s="32"/>
    </row>
    <row r="26" spans="1:256" s="2" customFormat="1" x14ac:dyDescent="0.2">
      <c r="A26" s="40"/>
      <c r="B26" s="51" t="s">
        <v>22</v>
      </c>
      <c r="C26" s="40">
        <f>U7-1</f>
        <v>-17</v>
      </c>
      <c r="D26" s="40">
        <f>C26-1</f>
        <v>-18</v>
      </c>
      <c r="E26" s="40">
        <f>D26-1</f>
        <v>-19</v>
      </c>
      <c r="F26" s="40">
        <f>E26-1</f>
        <v>-20</v>
      </c>
      <c r="G26" s="80"/>
      <c r="H26" s="223"/>
      <c r="I26" s="223"/>
      <c r="J26" s="223"/>
      <c r="K26" s="223"/>
      <c r="M26" s="272"/>
    </row>
    <row r="27" spans="1:256" s="2" customFormat="1" ht="45" x14ac:dyDescent="0.2">
      <c r="A27" s="57"/>
      <c r="B27" s="39" t="s">
        <v>95</v>
      </c>
      <c r="C27" s="53" t="str">
        <f>"C"&amp;-$F$26&amp;" x "&amp; NOTES!A10&amp;" (C"&amp;-'6.DeliveryVols'!$G$6&amp;" / C"&amp;-'6.DeliveryVols'!$M$6&amp;")"</f>
        <v>C20 x 6.DeliveryVols (C5 / C11)</v>
      </c>
      <c r="D27" s="53" t="str">
        <f>"C"&amp;-$F$26&amp;" x "&amp; NOTES!A10&amp;" (C"&amp;-'6.DeliveryVols'!$H$6&amp;" / C"&amp;-'6.DeliveryVols'!$M$6&amp;")"</f>
        <v>C20 x 6.DeliveryVols (C6 / C11)</v>
      </c>
      <c r="E27" s="53" t="str">
        <f>"C"&amp;-$F$26&amp;" x "&amp; NOTES!A10&amp;" ((C"&amp;-'6.DeliveryVols'!$I$6&amp;" + C"&amp;-'6.DeliveryVols'!$J$6&amp;") / C"&amp;-'6.DeliveryVols'!$M$6&amp;")"</f>
        <v>C20 x 6.DeliveryVols ((C7 + C8) / C11)</v>
      </c>
      <c r="F27" s="53" t="str">
        <f>[1]NOTES!$A$11&amp;" C"&amp;-[1]CS7Shape!$L$6</f>
        <v>CS7Shape C0</v>
      </c>
      <c r="G27" s="80"/>
      <c r="H27" s="223"/>
      <c r="I27" s="223"/>
      <c r="J27" s="223"/>
      <c r="K27" s="223"/>
    </row>
    <row r="28" spans="1:256" s="2" customFormat="1" x14ac:dyDescent="0.2">
      <c r="A28" s="55">
        <f>A23+1</f>
        <v>15</v>
      </c>
      <c r="B28" s="133" t="s">
        <v>74</v>
      </c>
      <c r="C28" s="60" t="s">
        <v>70</v>
      </c>
      <c r="D28" s="60" t="s">
        <v>71</v>
      </c>
      <c r="E28" s="60" t="s">
        <v>73</v>
      </c>
      <c r="F28" s="60" t="s">
        <v>72</v>
      </c>
      <c r="G28" s="80"/>
      <c r="H28" s="223"/>
      <c r="I28" s="223"/>
      <c r="J28" s="223"/>
      <c r="K28" s="223"/>
    </row>
    <row r="29" spans="1:256" s="2" customFormat="1" x14ac:dyDescent="0.2">
      <c r="A29" s="44">
        <f t="shared" ref="A29:A40" si="9">A28+1</f>
        <v>16</v>
      </c>
      <c r="B29" s="191" t="s">
        <v>220</v>
      </c>
      <c r="C29" s="375">
        <f>('6.DeliveryVols'!G10)/'6.DeliveryVols'!$M10*$F29</f>
        <v>126053.21559650966</v>
      </c>
      <c r="D29" s="375">
        <f>('6.DeliveryVols'!H10)/'6.DeliveryVols'!$M10*$F29</f>
        <v>0</v>
      </c>
      <c r="E29" s="97">
        <f>('6.DeliveryVols'!$I$10+'6.DeliveryVols'!$J$10)/'6.DeliveryVols'!$M$10*$F29</f>
        <v>6.3885850999916745</v>
      </c>
      <c r="F29" s="122">
        <f>[1]CS7Shape!$J10</f>
        <v>126059.60418160965</v>
      </c>
      <c r="G29" s="80"/>
      <c r="H29" s="223"/>
      <c r="I29" s="223"/>
      <c r="J29" s="223"/>
      <c r="K29" s="223"/>
      <c r="N29" s="8"/>
    </row>
    <row r="30" spans="1:256" s="2" customFormat="1" x14ac:dyDescent="0.2">
      <c r="A30" s="44">
        <f>A29+1</f>
        <v>17</v>
      </c>
      <c r="B30" s="124" t="s">
        <v>346</v>
      </c>
      <c r="C30" s="283"/>
      <c r="D30" s="283"/>
      <c r="E30" s="283"/>
      <c r="F30" s="283"/>
      <c r="G30" s="80"/>
      <c r="H30" s="223"/>
      <c r="I30" s="223"/>
      <c r="J30" s="223"/>
      <c r="K30" s="223"/>
    </row>
    <row r="31" spans="1:256" s="2" customFormat="1" x14ac:dyDescent="0.2">
      <c r="A31" s="44">
        <f t="shared" si="9"/>
        <v>18</v>
      </c>
      <c r="B31" s="280" t="s">
        <v>226</v>
      </c>
      <c r="C31" s="375">
        <f>('6.DeliveryVols'!G19)/'6.DeliveryVols'!$M19*$F31</f>
        <v>0</v>
      </c>
      <c r="D31" s="375">
        <f>('6.DeliveryVols'!H19)/'6.DeliveryVols'!$M19*$F31</f>
        <v>0</v>
      </c>
      <c r="E31" s="97">
        <f>('6.DeliveryVols'!$I$19+'6.DeliveryVols'!$J$19)/'6.DeliveryVols'!$M$19*$F31</f>
        <v>0</v>
      </c>
      <c r="F31" s="117">
        <f>[1]CS7Shape!$J18</f>
        <v>0</v>
      </c>
      <c r="G31" s="80"/>
      <c r="H31" s="223"/>
      <c r="I31" s="223"/>
      <c r="J31" s="223"/>
      <c r="K31" s="223"/>
    </row>
    <row r="32" spans="1:256" s="2" customFormat="1" x14ac:dyDescent="0.2">
      <c r="A32" s="44">
        <f t="shared" si="9"/>
        <v>19</v>
      </c>
      <c r="B32" s="285" t="s">
        <v>231</v>
      </c>
      <c r="C32" s="97"/>
      <c r="D32" s="97"/>
      <c r="E32" s="97"/>
      <c r="F32" s="97"/>
      <c r="G32" s="80"/>
      <c r="H32" s="223"/>
      <c r="I32" s="223"/>
      <c r="J32" s="223"/>
      <c r="K32" s="223"/>
    </row>
    <row r="33" spans="1:21" s="2" customFormat="1" x14ac:dyDescent="0.2">
      <c r="A33" s="44">
        <f t="shared" si="9"/>
        <v>20</v>
      </c>
      <c r="B33" s="285" t="s">
        <v>248</v>
      </c>
      <c r="C33" s="97"/>
      <c r="D33" s="97"/>
      <c r="E33" s="97"/>
      <c r="F33" s="97"/>
      <c r="G33" s="80"/>
      <c r="H33" s="223"/>
      <c r="I33" s="223"/>
      <c r="J33" s="223"/>
      <c r="K33" s="223"/>
    </row>
    <row r="34" spans="1:21" s="2" customFormat="1" x14ac:dyDescent="0.2">
      <c r="A34" s="44">
        <f t="shared" si="9"/>
        <v>21</v>
      </c>
      <c r="B34" s="280" t="s">
        <v>227</v>
      </c>
      <c r="C34" s="375">
        <f>('6.DeliveryVols'!G25)/'6.DeliveryVols'!$M25*$F340</f>
        <v>0</v>
      </c>
      <c r="D34" s="375">
        <f>('6.DeliveryVols'!H25)/'6.DeliveryVols'!$M25*$F34</f>
        <v>0</v>
      </c>
      <c r="E34" s="97">
        <f>('6.DeliveryVols'!$I$25+'6.DeliveryVols'!$J$25)/'6.DeliveryVols'!$M$25*$F34</f>
        <v>0</v>
      </c>
      <c r="F34" s="117">
        <f>[1]CS7Shape!$J19</f>
        <v>0</v>
      </c>
      <c r="G34" s="80"/>
      <c r="H34" s="223"/>
      <c r="I34" s="223"/>
      <c r="J34" s="223"/>
      <c r="K34" s="223"/>
    </row>
    <row r="35" spans="1:21" s="2" customFormat="1" x14ac:dyDescent="0.2">
      <c r="A35" s="44">
        <f t="shared" si="9"/>
        <v>22</v>
      </c>
      <c r="B35" s="285" t="s">
        <v>249</v>
      </c>
      <c r="C35" s="97"/>
      <c r="D35" s="97"/>
      <c r="E35" s="97"/>
      <c r="F35" s="97"/>
      <c r="G35" s="80"/>
      <c r="H35" s="223"/>
      <c r="I35" s="223"/>
      <c r="J35" s="223"/>
      <c r="K35" s="223"/>
    </row>
    <row r="36" spans="1:21" s="2" customFormat="1" x14ac:dyDescent="0.2">
      <c r="A36" s="44">
        <f t="shared" si="9"/>
        <v>23</v>
      </c>
      <c r="B36" s="285" t="s">
        <v>250</v>
      </c>
      <c r="C36" s="97"/>
      <c r="D36" s="97"/>
      <c r="E36" s="97"/>
      <c r="F36" s="97"/>
      <c r="G36" s="80"/>
      <c r="H36" s="223"/>
      <c r="I36" s="223"/>
      <c r="J36" s="223"/>
      <c r="K36" s="223"/>
    </row>
    <row r="37" spans="1:21" s="2" customFormat="1" x14ac:dyDescent="0.2">
      <c r="A37" s="44">
        <f t="shared" si="9"/>
        <v>24</v>
      </c>
      <c r="B37" s="285" t="s">
        <v>251</v>
      </c>
      <c r="C37" s="97"/>
      <c r="D37" s="97"/>
      <c r="E37" s="97"/>
      <c r="F37" s="97"/>
      <c r="G37" s="80"/>
      <c r="H37" s="223"/>
      <c r="I37" s="223"/>
      <c r="J37" s="223"/>
      <c r="K37" s="223"/>
    </row>
    <row r="38" spans="1:21" s="2" customFormat="1" x14ac:dyDescent="0.2">
      <c r="A38" s="44">
        <f t="shared" si="9"/>
        <v>25</v>
      </c>
      <c r="B38" s="380" t="s">
        <v>252</v>
      </c>
      <c r="C38" s="177"/>
      <c r="D38" s="177"/>
      <c r="E38" s="97"/>
      <c r="F38" s="177"/>
      <c r="G38" s="80"/>
      <c r="H38" s="223"/>
      <c r="I38" s="223"/>
      <c r="J38" s="223"/>
      <c r="K38" s="223"/>
    </row>
    <row r="39" spans="1:21" s="2" customFormat="1" x14ac:dyDescent="0.2">
      <c r="A39" s="79">
        <f>A38+1</f>
        <v>26</v>
      </c>
      <c r="B39" s="281" t="s">
        <v>232</v>
      </c>
      <c r="C39" s="375">
        <f>('6.DeliveryVols'!G31)/'6.DeliveryVols'!$M31*$F39</f>
        <v>2.1438896279957134</v>
      </c>
      <c r="D39" s="375">
        <f>('6.DeliveryVols'!H31)/'6.DeliveryVols'!$M31*$F39</f>
        <v>403.54905280942222</v>
      </c>
      <c r="E39" s="284">
        <f>('6.DeliveryVols'!$I$31+'6.DeliveryVols'!$J$31)/'6.DeliveryVols'!$M$31*$F39</f>
        <v>0.25562333984742147</v>
      </c>
      <c r="F39" s="122">
        <f>[1]CS7Shape!$J29</f>
        <v>405.94856577726534</v>
      </c>
      <c r="G39" s="80"/>
      <c r="H39" s="223"/>
      <c r="I39" s="223"/>
      <c r="J39" s="223"/>
      <c r="K39" s="223"/>
    </row>
    <row r="40" spans="1:21" s="2" customFormat="1" x14ac:dyDescent="0.2">
      <c r="A40" s="485">
        <f t="shared" si="9"/>
        <v>27</v>
      </c>
      <c r="B40" s="133" t="s">
        <v>228</v>
      </c>
      <c r="C40" s="230"/>
      <c r="D40" s="230"/>
      <c r="E40" s="113"/>
      <c r="F40" s="113"/>
      <c r="G40" s="80"/>
      <c r="H40" s="223"/>
      <c r="I40" s="223"/>
      <c r="J40" s="223"/>
      <c r="K40" s="223"/>
    </row>
    <row r="41" spans="1:21" s="2" customFormat="1" x14ac:dyDescent="0.2">
      <c r="A41" s="45">
        <f>A40+1</f>
        <v>28</v>
      </c>
      <c r="B41" s="144" t="s">
        <v>234</v>
      </c>
      <c r="C41" s="376">
        <f>('6.DeliveryVols'!G35)/'6.DeliveryVols'!$M35*$F41</f>
        <v>0.44711233873317718</v>
      </c>
      <c r="D41" s="376">
        <f>('6.DeliveryVols'!H35)/'6.DeliveryVols'!$M35*$F41</f>
        <v>4.816426998672477</v>
      </c>
      <c r="E41" s="177">
        <f>((SUM('6.DeliveryVols'!$I$35:$J$35))/'6.DeliveryVols'!$M$35)*F41</f>
        <v>259.17045399813873</v>
      </c>
      <c r="F41" s="122">
        <f>[1]CS7Shape!$J33</f>
        <v>264.43399333554436</v>
      </c>
      <c r="G41" s="80"/>
      <c r="H41" s="223"/>
      <c r="I41" s="223"/>
      <c r="J41" s="223"/>
      <c r="K41" s="223"/>
    </row>
    <row r="42" spans="1:21" s="2" customFormat="1" x14ac:dyDescent="0.2">
      <c r="A42" s="3"/>
      <c r="B42" s="194"/>
      <c r="C42" s="3"/>
      <c r="D42" s="3"/>
      <c r="E42" s="195"/>
      <c r="F42" s="196"/>
      <c r="G42" s="80"/>
      <c r="H42" s="223"/>
      <c r="I42" s="223"/>
      <c r="J42" s="223"/>
      <c r="K42" s="223"/>
    </row>
    <row r="43" spans="1:21" s="193" customFormat="1" x14ac:dyDescent="0.2">
      <c r="A43" s="192"/>
      <c r="B43" s="111"/>
      <c r="C43" s="192" t="s">
        <v>247</v>
      </c>
      <c r="D43" s="155"/>
      <c r="E43" s="155"/>
      <c r="F43" s="186"/>
      <c r="G43" s="80" t="s">
        <v>19</v>
      </c>
      <c r="H43" s="223"/>
      <c r="I43" s="223"/>
      <c r="J43" s="223"/>
      <c r="K43" s="223"/>
      <c r="L43" s="223"/>
      <c r="M43" s="223"/>
      <c r="N43" s="223"/>
      <c r="O43" s="223"/>
      <c r="P43" s="223"/>
      <c r="Q43" s="2"/>
      <c r="R43" s="2"/>
      <c r="S43" s="2"/>
    </row>
    <row r="44" spans="1:21" s="2" customFormat="1" x14ac:dyDescent="0.2">
      <c r="A44" s="40"/>
      <c r="B44" s="51" t="s">
        <v>22</v>
      </c>
      <c r="C44" s="40">
        <f>F26-1</f>
        <v>-21</v>
      </c>
      <c r="D44" s="40">
        <f>C44-1</f>
        <v>-22</v>
      </c>
      <c r="E44" s="40">
        <f>D44-1</f>
        <v>-23</v>
      </c>
      <c r="F44" s="40">
        <f>E44-1</f>
        <v>-24</v>
      </c>
      <c r="G44" s="80"/>
      <c r="H44" s="223"/>
      <c r="I44" s="223"/>
      <c r="J44" s="223"/>
      <c r="K44" s="223"/>
      <c r="L44" s="223"/>
      <c r="M44" s="223"/>
      <c r="N44" s="223"/>
      <c r="O44" s="223"/>
      <c r="P44" s="223"/>
    </row>
    <row r="45" spans="1:21" s="2" customFormat="1" ht="22.5" x14ac:dyDescent="0.2">
      <c r="A45" s="57"/>
      <c r="B45" s="39" t="s">
        <v>95</v>
      </c>
      <c r="C45" s="53" t="s">
        <v>355</v>
      </c>
      <c r="D45" s="53" t="s">
        <v>355</v>
      </c>
      <c r="E45" s="53"/>
      <c r="F45" s="53" t="str">
        <f>"C"&amp;-C44&amp;"..C"&amp;-E44</f>
        <v>C21..C23</v>
      </c>
      <c r="G45" s="80"/>
      <c r="H45" s="223"/>
      <c r="I45" s="223"/>
      <c r="J45" s="223"/>
      <c r="K45" s="223"/>
      <c r="L45" s="223"/>
      <c r="M45" s="223"/>
      <c r="N45" s="223"/>
      <c r="O45" s="223"/>
      <c r="P45" s="223"/>
    </row>
    <row r="46" spans="1:21" s="10" customFormat="1" x14ac:dyDescent="0.2">
      <c r="A46" s="55">
        <f>A41+1</f>
        <v>29</v>
      </c>
      <c r="B46" s="133" t="s">
        <v>74</v>
      </c>
      <c r="C46" s="60" t="s">
        <v>70</v>
      </c>
      <c r="D46" s="60" t="s">
        <v>71</v>
      </c>
      <c r="E46" s="60" t="s">
        <v>73</v>
      </c>
      <c r="F46" s="60" t="s">
        <v>72</v>
      </c>
      <c r="G46" s="80"/>
      <c r="H46" s="223"/>
      <c r="I46" s="223"/>
      <c r="J46" s="223"/>
      <c r="K46" s="223"/>
      <c r="L46" s="223"/>
      <c r="M46" s="223"/>
      <c r="N46" s="223"/>
      <c r="O46" s="223"/>
      <c r="P46" s="223"/>
      <c r="Q46" s="2"/>
      <c r="R46" s="2"/>
      <c r="S46" s="2"/>
    </row>
    <row r="47" spans="1:21" s="2" customFormat="1" x14ac:dyDescent="0.2">
      <c r="A47" s="44">
        <f t="shared" ref="A47:A58" si="10">A46+1</f>
        <v>30</v>
      </c>
      <c r="B47" s="191" t="s">
        <v>220</v>
      </c>
      <c r="C47" s="97"/>
      <c r="D47" s="97"/>
      <c r="E47" s="97"/>
      <c r="F47" s="97"/>
      <c r="G47" s="80"/>
      <c r="H47" s="223"/>
      <c r="I47" s="223"/>
      <c r="J47" s="223"/>
      <c r="K47" s="223"/>
      <c r="L47" s="223"/>
      <c r="M47" s="223"/>
      <c r="N47" s="223"/>
      <c r="O47" s="223"/>
      <c r="P47" s="223"/>
      <c r="R47" s="8"/>
      <c r="S47" s="8"/>
      <c r="T47" s="8"/>
      <c r="U47" s="8"/>
    </row>
    <row r="48" spans="1:21" s="2" customFormat="1" x14ac:dyDescent="0.2">
      <c r="A48" s="44">
        <f>A47+1</f>
        <v>31</v>
      </c>
      <c r="B48" s="124" t="s">
        <v>346</v>
      </c>
      <c r="C48" s="283"/>
      <c r="D48" s="283"/>
      <c r="E48" s="283"/>
      <c r="F48" s="283"/>
      <c r="G48" s="80"/>
      <c r="H48" s="223"/>
      <c r="I48" s="223"/>
      <c r="J48" s="223"/>
      <c r="K48" s="223"/>
      <c r="L48" s="223"/>
      <c r="M48" s="223"/>
      <c r="N48" s="223"/>
      <c r="O48" s="223"/>
      <c r="P48" s="223"/>
      <c r="R48" s="8"/>
      <c r="S48" s="8"/>
      <c r="T48" s="8"/>
      <c r="U48" s="8"/>
    </row>
    <row r="49" spans="1:21" s="2" customFormat="1" x14ac:dyDescent="0.2">
      <c r="A49" s="44">
        <f t="shared" si="10"/>
        <v>32</v>
      </c>
      <c r="B49" s="280" t="s">
        <v>226</v>
      </c>
      <c r="C49" s="97">
        <f>[1]CS7Shape!$I$18</f>
        <v>9476.8981174239179</v>
      </c>
      <c r="D49" s="97"/>
      <c r="E49" s="97"/>
      <c r="F49" s="97">
        <f>SUM(C49:E49)</f>
        <v>9476.8981174239179</v>
      </c>
      <c r="G49" s="80"/>
      <c r="H49" s="223"/>
      <c r="I49" s="223"/>
      <c r="J49" s="223"/>
      <c r="K49" s="223"/>
      <c r="L49" s="223"/>
      <c r="M49" s="223"/>
      <c r="N49" s="223"/>
      <c r="O49" s="223"/>
      <c r="P49" s="223"/>
      <c r="R49" s="8"/>
      <c r="S49" s="8"/>
      <c r="T49" s="8"/>
      <c r="U49" s="8"/>
    </row>
    <row r="50" spans="1:21" s="2" customFormat="1" x14ac:dyDescent="0.2">
      <c r="A50" s="44">
        <f t="shared" si="10"/>
        <v>33</v>
      </c>
      <c r="B50" s="285" t="s">
        <v>231</v>
      </c>
      <c r="C50" s="97"/>
      <c r="D50" s="97"/>
      <c r="E50" s="97"/>
      <c r="F50" s="97"/>
      <c r="G50" s="80"/>
      <c r="H50" s="223"/>
      <c r="I50" s="223"/>
      <c r="J50" s="223"/>
      <c r="K50" s="223"/>
      <c r="L50" s="223"/>
      <c r="M50" s="223"/>
      <c r="N50" s="223"/>
      <c r="O50" s="223"/>
      <c r="P50" s="223"/>
      <c r="R50" s="8"/>
      <c r="S50" s="8"/>
      <c r="T50" s="8"/>
      <c r="U50" s="8"/>
    </row>
    <row r="51" spans="1:21" s="2" customFormat="1" x14ac:dyDescent="0.2">
      <c r="A51" s="44">
        <f t="shared" si="10"/>
        <v>34</v>
      </c>
      <c r="B51" s="285" t="s">
        <v>248</v>
      </c>
      <c r="C51" s="97">
        <f>C49</f>
        <v>9476.8981174239179</v>
      </c>
      <c r="D51" s="97"/>
      <c r="E51" s="97"/>
      <c r="F51" s="97">
        <f>F49</f>
        <v>9476.8981174239179</v>
      </c>
      <c r="G51" s="80"/>
      <c r="H51" s="223"/>
      <c r="I51" s="223"/>
      <c r="J51" s="223"/>
      <c r="K51" s="223"/>
      <c r="L51" s="223"/>
      <c r="M51" s="223"/>
      <c r="N51" s="223"/>
      <c r="O51" s="223"/>
      <c r="P51" s="223"/>
      <c r="R51" s="8"/>
      <c r="S51" s="8"/>
      <c r="T51" s="8"/>
      <c r="U51" s="8"/>
    </row>
    <row r="52" spans="1:21" s="2" customFormat="1" x14ac:dyDescent="0.2">
      <c r="A52" s="44">
        <f t="shared" si="10"/>
        <v>35</v>
      </c>
      <c r="B52" s="280" t="s">
        <v>227</v>
      </c>
      <c r="C52" s="97"/>
      <c r="D52" s="97">
        <f>[1]CS7Shape!$I$19</f>
        <v>156909.65541271406</v>
      </c>
      <c r="E52" s="97"/>
      <c r="F52" s="97">
        <f>SUM(C52:E52)</f>
        <v>156909.65541271406</v>
      </c>
      <c r="G52" s="80"/>
      <c r="H52" s="223"/>
      <c r="I52" s="223"/>
      <c r="J52" s="223"/>
      <c r="K52" s="223"/>
      <c r="L52" s="223"/>
      <c r="M52" s="223"/>
      <c r="N52" s="223"/>
      <c r="O52" s="223"/>
      <c r="P52" s="223"/>
      <c r="R52" s="8"/>
      <c r="S52" s="8"/>
      <c r="T52" s="8"/>
      <c r="U52" s="8"/>
    </row>
    <row r="53" spans="1:21" s="2" customFormat="1" x14ac:dyDescent="0.2">
      <c r="A53" s="44">
        <f t="shared" si="10"/>
        <v>36</v>
      </c>
      <c r="B53" s="285" t="s">
        <v>249</v>
      </c>
      <c r="C53" s="97"/>
      <c r="D53" s="97"/>
      <c r="E53" s="97"/>
      <c r="F53" s="97"/>
      <c r="G53" s="80"/>
      <c r="H53" s="223"/>
      <c r="I53" s="223"/>
      <c r="J53" s="223"/>
      <c r="K53" s="223"/>
      <c r="L53" s="223"/>
      <c r="M53" s="223"/>
      <c r="N53" s="223"/>
      <c r="O53" s="223"/>
      <c r="P53" s="223"/>
      <c r="R53" s="8"/>
      <c r="S53" s="8"/>
      <c r="T53" s="8"/>
      <c r="U53" s="8"/>
    </row>
    <row r="54" spans="1:21" s="2" customFormat="1" x14ac:dyDescent="0.2">
      <c r="A54" s="44">
        <f t="shared" si="10"/>
        <v>37</v>
      </c>
      <c r="B54" s="285" t="s">
        <v>250</v>
      </c>
      <c r="C54" s="97"/>
      <c r="D54" s="97">
        <f>D52</f>
        <v>156909.65541271406</v>
      </c>
      <c r="E54" s="97"/>
      <c r="F54" s="97">
        <f>F52</f>
        <v>156909.65541271406</v>
      </c>
      <c r="G54" s="80"/>
      <c r="H54" s="223"/>
      <c r="I54" s="223"/>
      <c r="J54" s="223"/>
      <c r="K54" s="223"/>
      <c r="L54" s="223"/>
      <c r="M54" s="223"/>
      <c r="N54" s="223"/>
      <c r="O54" s="223"/>
      <c r="P54" s="223"/>
      <c r="R54" s="8"/>
      <c r="S54" s="8"/>
      <c r="T54" s="8"/>
      <c r="U54" s="8"/>
    </row>
    <row r="55" spans="1:21" s="2" customFormat="1" x14ac:dyDescent="0.2">
      <c r="A55" s="44">
        <f t="shared" si="10"/>
        <v>38</v>
      </c>
      <c r="B55" s="285" t="s">
        <v>251</v>
      </c>
      <c r="C55" s="97"/>
      <c r="D55" s="97"/>
      <c r="E55" s="97"/>
      <c r="F55" s="97"/>
      <c r="G55" s="80"/>
      <c r="H55" s="223"/>
      <c r="I55" s="223"/>
      <c r="J55" s="223"/>
      <c r="K55" s="223"/>
      <c r="L55" s="223"/>
      <c r="M55" s="223"/>
      <c r="N55" s="223"/>
      <c r="O55" s="223"/>
      <c r="P55" s="223"/>
      <c r="R55" s="8"/>
      <c r="S55" s="8"/>
      <c r="T55" s="8"/>
      <c r="U55" s="8"/>
    </row>
    <row r="56" spans="1:21" s="2" customFormat="1" x14ac:dyDescent="0.2">
      <c r="A56" s="44">
        <f t="shared" si="10"/>
        <v>39</v>
      </c>
      <c r="B56" s="380" t="s">
        <v>252</v>
      </c>
      <c r="C56" s="97"/>
      <c r="D56" s="97"/>
      <c r="E56" s="97"/>
      <c r="F56" s="97"/>
      <c r="G56" s="80"/>
      <c r="H56" s="223"/>
      <c r="I56" s="223"/>
      <c r="J56" s="223"/>
      <c r="K56" s="223"/>
      <c r="L56" s="223"/>
      <c r="M56" s="223"/>
      <c r="N56" s="223"/>
      <c r="O56" s="223"/>
      <c r="P56" s="223"/>
      <c r="R56" s="8"/>
      <c r="S56" s="8"/>
      <c r="T56" s="8"/>
      <c r="U56" s="8"/>
    </row>
    <row r="57" spans="1:21" s="2" customFormat="1" x14ac:dyDescent="0.2">
      <c r="A57" s="79">
        <f>A56+1</f>
        <v>40</v>
      </c>
      <c r="B57" s="281" t="s">
        <v>232</v>
      </c>
      <c r="C57" s="284"/>
      <c r="D57" s="284"/>
      <c r="E57" s="284"/>
      <c r="F57" s="284"/>
      <c r="G57" s="80"/>
      <c r="H57" s="223"/>
      <c r="I57" s="223"/>
      <c r="J57" s="223"/>
      <c r="K57" s="223"/>
      <c r="L57" s="223"/>
      <c r="M57" s="223"/>
      <c r="N57" s="223"/>
      <c r="O57" s="223"/>
      <c r="P57" s="223"/>
      <c r="R57" s="8"/>
      <c r="S57" s="8"/>
      <c r="T57" s="8"/>
      <c r="U57" s="8"/>
    </row>
    <row r="58" spans="1:21" s="2" customFormat="1" x14ac:dyDescent="0.2">
      <c r="A58" s="485">
        <f t="shared" si="10"/>
        <v>41</v>
      </c>
      <c r="B58" s="133" t="s">
        <v>228</v>
      </c>
      <c r="C58" s="230"/>
      <c r="D58" s="230"/>
      <c r="E58" s="113"/>
      <c r="F58" s="113"/>
      <c r="G58" s="80"/>
      <c r="H58" s="223"/>
      <c r="I58" s="223"/>
      <c r="J58" s="223"/>
      <c r="K58" s="223"/>
      <c r="L58" s="223"/>
      <c r="M58" s="223"/>
      <c r="N58" s="223"/>
      <c r="O58" s="223"/>
      <c r="P58" s="223"/>
      <c r="R58" s="8"/>
      <c r="S58" s="8"/>
      <c r="T58" s="8"/>
      <c r="U58" s="8"/>
    </row>
    <row r="59" spans="1:21" s="2" customFormat="1" x14ac:dyDescent="0.2">
      <c r="A59" s="45">
        <f>A58+1</f>
        <v>42</v>
      </c>
      <c r="B59" s="144" t="s">
        <v>234</v>
      </c>
      <c r="C59" s="177"/>
      <c r="D59" s="177"/>
      <c r="E59" s="177"/>
      <c r="F59" s="177"/>
      <c r="G59" s="80"/>
      <c r="H59" s="223"/>
      <c r="I59" s="223"/>
      <c r="J59" s="223"/>
      <c r="K59" s="223"/>
      <c r="L59" s="223"/>
      <c r="M59" s="223"/>
      <c r="N59" s="223"/>
      <c r="O59" s="223"/>
      <c r="P59" s="223"/>
      <c r="R59" s="8"/>
      <c r="S59" s="8"/>
      <c r="T59" s="8"/>
      <c r="U59" s="8"/>
    </row>
    <row r="60" spans="1:21" s="2" customFormat="1" ht="11.25" x14ac:dyDescent="0.2">
      <c r="A60" s="54"/>
      <c r="D60" s="197"/>
      <c r="F60" s="233"/>
    </row>
    <row r="61" spans="1:21" s="2" customFormat="1" ht="11.25" x14ac:dyDescent="0.2">
      <c r="A61" s="192"/>
      <c r="B61" s="111"/>
      <c r="C61" s="192" t="s">
        <v>335</v>
      </c>
      <c r="D61" s="155"/>
      <c r="E61" s="155"/>
      <c r="F61" s="186"/>
      <c r="G61" s="80"/>
    </row>
    <row r="62" spans="1:21" s="2" customFormat="1" ht="11.25" x14ac:dyDescent="0.2">
      <c r="A62" s="40"/>
      <c r="B62" s="51" t="s">
        <v>22</v>
      </c>
      <c r="C62" s="40">
        <f>F44-1</f>
        <v>-25</v>
      </c>
      <c r="D62" s="40">
        <f>C62-1</f>
        <v>-26</v>
      </c>
      <c r="E62" s="40">
        <f>D62-1</f>
        <v>-27</v>
      </c>
      <c r="F62" s="40">
        <f>E62-1</f>
        <v>-28</v>
      </c>
      <c r="G62" s="80"/>
    </row>
    <row r="63" spans="1:21" s="2" customFormat="1" ht="48.75" customHeight="1" x14ac:dyDescent="0.2">
      <c r="A63" s="57"/>
      <c r="B63" s="39" t="s">
        <v>95</v>
      </c>
      <c r="C63" s="53"/>
      <c r="D63" s="53"/>
      <c r="E63" s="53"/>
      <c r="F63" s="53" t="str">
        <f>"[UDCInputs.xls]"&amp;[1]NOTES!$A$11&amp;" "</f>
        <v xml:space="preserve">[UDCInputs.xls]CS7Shape </v>
      </c>
      <c r="G63" s="80"/>
    </row>
    <row r="64" spans="1:21" s="10" customFormat="1" ht="11.25" x14ac:dyDescent="0.2">
      <c r="A64" s="55">
        <f>A59+1</f>
        <v>43</v>
      </c>
      <c r="B64" s="133" t="s">
        <v>74</v>
      </c>
      <c r="C64" s="60" t="s">
        <v>70</v>
      </c>
      <c r="D64" s="60" t="s">
        <v>71</v>
      </c>
      <c r="E64" s="60" t="s">
        <v>73</v>
      </c>
      <c r="F64" s="60" t="s">
        <v>72</v>
      </c>
      <c r="G64" s="80"/>
    </row>
    <row r="65" spans="1:13" s="2" customFormat="1" x14ac:dyDescent="0.2">
      <c r="A65" s="44">
        <f t="shared" ref="A65:A76" si="11">A64+1</f>
        <v>44</v>
      </c>
      <c r="B65" s="191" t="s">
        <v>220</v>
      </c>
      <c r="C65" s="375"/>
      <c r="D65" s="375"/>
      <c r="E65" s="97">
        <f>F65</f>
        <v>1784.6400225673881</v>
      </c>
      <c r="F65" s="122">
        <f>[1]CS7Shape!G$10</f>
        <v>1784.6400225673881</v>
      </c>
      <c r="G65" s="80"/>
      <c r="M65" s="15"/>
    </row>
    <row r="66" spans="1:13" s="2" customFormat="1" ht="11.25" x14ac:dyDescent="0.2">
      <c r="A66" s="44">
        <f>A65+1</f>
        <v>45</v>
      </c>
      <c r="B66" s="124" t="s">
        <v>346</v>
      </c>
      <c r="C66" s="283"/>
      <c r="D66" s="283"/>
      <c r="E66" s="283"/>
      <c r="F66" s="283"/>
    </row>
    <row r="67" spans="1:13" s="2" customFormat="1" ht="11.25" x14ac:dyDescent="0.2">
      <c r="A67" s="44">
        <f t="shared" si="11"/>
        <v>46</v>
      </c>
      <c r="B67" s="280" t="s">
        <v>226</v>
      </c>
      <c r="C67" s="375"/>
      <c r="D67" s="375"/>
      <c r="E67" s="97"/>
      <c r="F67" s="117">
        <f>[1]CS7Shape!G$18</f>
        <v>0</v>
      </c>
    </row>
    <row r="68" spans="1:13" s="2" customFormat="1" ht="11.25" x14ac:dyDescent="0.2">
      <c r="A68" s="44">
        <f t="shared" si="11"/>
        <v>47</v>
      </c>
      <c r="B68" s="285" t="s">
        <v>231</v>
      </c>
      <c r="C68" s="97"/>
      <c r="D68" s="97"/>
      <c r="E68" s="97"/>
      <c r="F68" s="117">
        <f>[1]CS7Shape!G$57</f>
        <v>0</v>
      </c>
    </row>
    <row r="69" spans="1:13" s="2" customFormat="1" ht="11.25" x14ac:dyDescent="0.2">
      <c r="A69" s="44">
        <f t="shared" si="11"/>
        <v>48</v>
      </c>
      <c r="B69" s="285" t="s">
        <v>248</v>
      </c>
      <c r="C69" s="97"/>
      <c r="D69" s="97"/>
      <c r="E69" s="97"/>
      <c r="F69" s="117">
        <f>[1]CS7Shape!G$58</f>
        <v>0</v>
      </c>
    </row>
    <row r="70" spans="1:13" s="2" customFormat="1" ht="11.25" x14ac:dyDescent="0.2">
      <c r="A70" s="44">
        <f t="shared" si="11"/>
        <v>49</v>
      </c>
      <c r="B70" s="280" t="s">
        <v>227</v>
      </c>
      <c r="C70" s="375"/>
      <c r="D70" s="375"/>
      <c r="E70" s="97">
        <f t="shared" ref="E70:E75" si="12">F70</f>
        <v>0</v>
      </c>
      <c r="F70" s="117">
        <f>[1]CS7Shape!G$19</f>
        <v>0</v>
      </c>
    </row>
    <row r="71" spans="1:13" s="2" customFormat="1" ht="11.25" x14ac:dyDescent="0.2">
      <c r="A71" s="44">
        <f t="shared" si="11"/>
        <v>50</v>
      </c>
      <c r="B71" s="285" t="s">
        <v>249</v>
      </c>
      <c r="C71" s="97"/>
      <c r="D71" s="97"/>
      <c r="E71" s="97">
        <f t="shared" si="12"/>
        <v>0</v>
      </c>
      <c r="F71" s="117">
        <f>[1]CS7Shape!G$60</f>
        <v>0</v>
      </c>
    </row>
    <row r="72" spans="1:13" s="2" customFormat="1" ht="11.25" x14ac:dyDescent="0.2">
      <c r="A72" s="44">
        <f t="shared" si="11"/>
        <v>51</v>
      </c>
      <c r="B72" s="285" t="s">
        <v>250</v>
      </c>
      <c r="C72" s="97"/>
      <c r="D72" s="97"/>
      <c r="E72" s="97">
        <f t="shared" si="12"/>
        <v>0</v>
      </c>
      <c r="F72" s="117">
        <f>[1]CS7Shape!G$61</f>
        <v>0</v>
      </c>
    </row>
    <row r="73" spans="1:13" s="2" customFormat="1" ht="11.25" x14ac:dyDescent="0.2">
      <c r="A73" s="44">
        <f t="shared" si="11"/>
        <v>52</v>
      </c>
      <c r="B73" s="285" t="s">
        <v>251</v>
      </c>
      <c r="C73" s="97"/>
      <c r="D73" s="97"/>
      <c r="E73" s="97">
        <f t="shared" si="12"/>
        <v>0</v>
      </c>
      <c r="F73" s="117">
        <f>[1]CS7Shape!G$62</f>
        <v>0</v>
      </c>
    </row>
    <row r="74" spans="1:13" s="2" customFormat="1" ht="11.25" x14ac:dyDescent="0.2">
      <c r="A74" s="44">
        <f t="shared" si="11"/>
        <v>53</v>
      </c>
      <c r="B74" s="380" t="s">
        <v>252</v>
      </c>
      <c r="C74" s="177"/>
      <c r="D74" s="177"/>
      <c r="E74" s="97">
        <f t="shared" si="12"/>
        <v>0</v>
      </c>
      <c r="F74" s="122">
        <f>[1]CS7Shape!G$63</f>
        <v>0</v>
      </c>
    </row>
    <row r="75" spans="1:13" s="2" customFormat="1" ht="11.25" x14ac:dyDescent="0.2">
      <c r="A75" s="79">
        <f>A74+1</f>
        <v>54</v>
      </c>
      <c r="B75" s="281" t="s">
        <v>232</v>
      </c>
      <c r="C75" s="375"/>
      <c r="D75" s="375"/>
      <c r="E75" s="284">
        <f t="shared" si="12"/>
        <v>56.798702963401993</v>
      </c>
      <c r="F75" s="122">
        <f>[1]CS7Shape!G$29</f>
        <v>56.798702963401993</v>
      </c>
      <c r="G75" s="80"/>
    </row>
    <row r="76" spans="1:13" s="2" customFormat="1" ht="11.25" x14ac:dyDescent="0.2">
      <c r="A76" s="485">
        <f t="shared" si="11"/>
        <v>55</v>
      </c>
      <c r="B76" s="133" t="s">
        <v>228</v>
      </c>
      <c r="C76" s="230"/>
      <c r="D76" s="230"/>
      <c r="E76" s="113"/>
      <c r="F76" s="230"/>
      <c r="G76" s="80"/>
    </row>
    <row r="77" spans="1:13" s="2" customFormat="1" ht="11.25" x14ac:dyDescent="0.2">
      <c r="A77" s="45">
        <f>A76+1</f>
        <v>56</v>
      </c>
      <c r="B77" s="144" t="s">
        <v>234</v>
      </c>
      <c r="C77" s="376"/>
      <c r="D77" s="376"/>
      <c r="E77" s="177">
        <f>F77</f>
        <v>13349.884812545981</v>
      </c>
      <c r="F77" s="122">
        <f>[1]CS7Shape!G$33</f>
        <v>13349.884812545981</v>
      </c>
      <c r="G77" s="80"/>
    </row>
    <row r="78" spans="1:13" s="2" customFormat="1" ht="11.25" x14ac:dyDescent="0.2">
      <c r="G78" s="80"/>
    </row>
    <row r="79" spans="1:13" s="2" customFormat="1" ht="11.25" x14ac:dyDescent="0.2">
      <c r="A79" s="192"/>
      <c r="B79" s="111"/>
      <c r="C79" s="192" t="s">
        <v>32</v>
      </c>
      <c r="D79" s="155"/>
      <c r="E79" s="155"/>
      <c r="F79" s="186"/>
      <c r="G79" s="80"/>
      <c r="H79" s="192" t="s">
        <v>6</v>
      </c>
      <c r="I79" s="155"/>
      <c r="J79" s="155"/>
      <c r="K79" s="186"/>
    </row>
    <row r="80" spans="1:13" s="2" customFormat="1" ht="11.25" x14ac:dyDescent="0.2">
      <c r="A80" s="40"/>
      <c r="B80" s="51" t="s">
        <v>22</v>
      </c>
      <c r="C80" s="40">
        <f>F62-1</f>
        <v>-29</v>
      </c>
      <c r="D80" s="40">
        <f>C80-1</f>
        <v>-30</v>
      </c>
      <c r="E80" s="40">
        <f>D80-1</f>
        <v>-31</v>
      </c>
      <c r="F80" s="40">
        <f>E80-1</f>
        <v>-32</v>
      </c>
      <c r="G80" s="80"/>
      <c r="H80" s="40">
        <f>F80-1</f>
        <v>-33</v>
      </c>
      <c r="I80" s="40">
        <f>H80-1</f>
        <v>-34</v>
      </c>
      <c r="J80" s="40">
        <f>I80-1</f>
        <v>-35</v>
      </c>
      <c r="K80" s="40">
        <f>J80-1</f>
        <v>-36</v>
      </c>
    </row>
    <row r="81" spans="1:17" s="2" customFormat="1" ht="22.5" x14ac:dyDescent="0.2">
      <c r="A81" s="57"/>
      <c r="B81" s="39" t="s">
        <v>95</v>
      </c>
      <c r="C81" s="53" t="str">
        <f>"C"&amp;-C7&amp;", C"&amp;-C26&amp;", C"&amp;-C44&amp;", C"&amp;-C62</f>
        <v>C1, C17, C21, C25</v>
      </c>
      <c r="D81" s="53" t="str">
        <f>"C"&amp;-D7&amp;", C"&amp;-D26&amp;", C"&amp;-D44&amp;", C"&amp;-D62</f>
        <v>C2, C18, C22, C26</v>
      </c>
      <c r="E81" s="53" t="str">
        <f>"C"&amp;-E7&amp;", C"&amp;-E26&amp;", C"&amp;-E44&amp;", C"&amp;-E62</f>
        <v>C3, C19, C23, C27</v>
      </c>
      <c r="F81" s="53" t="str">
        <f>"C"&amp;-F7&amp;", C"&amp;-F26&amp;", C"&amp;-F44&amp;", C"&amp;-F62</f>
        <v>C4, C20, C24, C28</v>
      </c>
      <c r="G81" s="80"/>
      <c r="H81" s="53" t="str">
        <f>"C"&amp;-H7&amp;", C"&amp;-M7</f>
        <v>C5, C9</v>
      </c>
      <c r="I81" s="53" t="str">
        <f>"C"&amp;-I7&amp;", C"&amp;-N7</f>
        <v>C6, C10</v>
      </c>
      <c r="J81" s="53" t="str">
        <f>"C"&amp;-J7&amp;", C"&amp;-O7</f>
        <v>C7, C11</v>
      </c>
      <c r="K81" s="53" t="str">
        <f>"C"&amp;-K7&amp;", C"&amp;-P7</f>
        <v>C8, C12</v>
      </c>
    </row>
    <row r="82" spans="1:17" s="10" customFormat="1" ht="11.25" x14ac:dyDescent="0.2">
      <c r="A82" s="55">
        <f>A77+1</f>
        <v>57</v>
      </c>
      <c r="B82" s="133" t="s">
        <v>74</v>
      </c>
      <c r="C82" s="60" t="s">
        <v>70</v>
      </c>
      <c r="D82" s="60" t="s">
        <v>71</v>
      </c>
      <c r="E82" s="60" t="s">
        <v>73</v>
      </c>
      <c r="F82" s="60" t="s">
        <v>72</v>
      </c>
      <c r="G82" s="80"/>
      <c r="H82" s="60" t="s">
        <v>70</v>
      </c>
      <c r="I82" s="60" t="s">
        <v>71</v>
      </c>
      <c r="J82" s="60" t="s">
        <v>73</v>
      </c>
      <c r="K82" s="60" t="s">
        <v>72</v>
      </c>
      <c r="L82" s="2"/>
      <c r="M82" s="38"/>
    </row>
    <row r="83" spans="1:17" s="10" customFormat="1" ht="11.25" x14ac:dyDescent="0.2">
      <c r="A83" s="44">
        <f t="shared" ref="A83:A95" si="13">A82+1</f>
        <v>58</v>
      </c>
      <c r="B83" s="191" t="s">
        <v>220</v>
      </c>
      <c r="C83" s="97">
        <f>SUM(C11,C29,C47,C65)</f>
        <v>238599.28182879536</v>
      </c>
      <c r="D83" s="97">
        <f>SUM(D11,D29,D47,D65)</f>
        <v>0</v>
      </c>
      <c r="E83" s="97">
        <f>SUM(E11,E29,E47,E65)</f>
        <v>1843.7663604668103</v>
      </c>
      <c r="F83" s="97">
        <f>SUM(F11,F29,F47,F65)</f>
        <v>240443.04818926216</v>
      </c>
      <c r="G83" s="80"/>
      <c r="H83" s="97">
        <f>H11+M11+R11</f>
        <v>39845.990777118459</v>
      </c>
      <c r="I83" s="97">
        <f>I11+N11+S11</f>
        <v>0</v>
      </c>
      <c r="J83" s="97">
        <f>J11+O11+T11</f>
        <v>683.61757730603767</v>
      </c>
      <c r="K83" s="97">
        <f>K11+P11+U11</f>
        <v>40529.608354424505</v>
      </c>
      <c r="L83" s="2"/>
      <c r="M83" s="307"/>
    </row>
    <row r="84" spans="1:17" s="2" customFormat="1" ht="11.25" x14ac:dyDescent="0.2">
      <c r="A84" s="44">
        <f>A83+1</f>
        <v>59</v>
      </c>
      <c r="B84" s="124" t="s">
        <v>346</v>
      </c>
      <c r="C84" s="283"/>
      <c r="D84" s="283"/>
      <c r="E84" s="283"/>
      <c r="F84" s="283"/>
      <c r="G84" s="80"/>
      <c r="H84" s="283"/>
      <c r="I84" s="283"/>
      <c r="J84" s="283"/>
      <c r="K84" s="283"/>
      <c r="M84" s="307"/>
    </row>
    <row r="85" spans="1:17" s="2" customFormat="1" ht="11.25" x14ac:dyDescent="0.2">
      <c r="A85" s="44">
        <f t="shared" si="13"/>
        <v>60</v>
      </c>
      <c r="B85" s="280" t="s">
        <v>226</v>
      </c>
      <c r="C85" s="97">
        <f t="shared" ref="C85:F92" si="14">SUM(C13,C31,C49,C67)</f>
        <v>94839.180104004103</v>
      </c>
      <c r="D85" s="97">
        <f t="shared" si="14"/>
        <v>0</v>
      </c>
      <c r="E85" s="97">
        <f t="shared" si="14"/>
        <v>0</v>
      </c>
      <c r="F85" s="97">
        <f t="shared" si="14"/>
        <v>94839.180104004103</v>
      </c>
      <c r="G85" s="80"/>
      <c r="H85" s="97">
        <f t="shared" ref="H85:K92" si="15">H13+M13+R13</f>
        <v>0</v>
      </c>
      <c r="I85" s="97">
        <f t="shared" si="15"/>
        <v>0</v>
      </c>
      <c r="J85" s="97">
        <f t="shared" si="15"/>
        <v>0</v>
      </c>
      <c r="K85" s="97">
        <f t="shared" si="15"/>
        <v>0</v>
      </c>
      <c r="M85" s="307"/>
    </row>
    <row r="86" spans="1:17" s="2" customFormat="1" ht="11.25" x14ac:dyDescent="0.2">
      <c r="A86" s="44">
        <f t="shared" si="13"/>
        <v>61</v>
      </c>
      <c r="B86" s="285" t="s">
        <v>231</v>
      </c>
      <c r="C86" s="97">
        <f t="shared" si="14"/>
        <v>49231.679622943411</v>
      </c>
      <c r="D86" s="97">
        <f t="shared" si="14"/>
        <v>0</v>
      </c>
      <c r="E86" s="97">
        <f t="shared" si="14"/>
        <v>0</v>
      </c>
      <c r="F86" s="97">
        <f t="shared" si="14"/>
        <v>49231.679622943411</v>
      </c>
      <c r="G86" s="80"/>
      <c r="H86" s="97">
        <f t="shared" si="15"/>
        <v>0</v>
      </c>
      <c r="I86" s="97">
        <f t="shared" si="15"/>
        <v>0</v>
      </c>
      <c r="J86" s="97">
        <f t="shared" si="15"/>
        <v>0</v>
      </c>
      <c r="K86" s="97">
        <f t="shared" si="15"/>
        <v>0</v>
      </c>
      <c r="M86" s="307"/>
    </row>
    <row r="87" spans="1:17" s="2" customFormat="1" ht="11.25" x14ac:dyDescent="0.2">
      <c r="A87" s="44">
        <f t="shared" si="13"/>
        <v>62</v>
      </c>
      <c r="B87" s="285" t="s">
        <v>248</v>
      </c>
      <c r="C87" s="97">
        <f t="shared" si="14"/>
        <v>45607.500481060684</v>
      </c>
      <c r="D87" s="97">
        <f t="shared" si="14"/>
        <v>0</v>
      </c>
      <c r="E87" s="97">
        <f t="shared" si="14"/>
        <v>0</v>
      </c>
      <c r="F87" s="97">
        <f t="shared" si="14"/>
        <v>45607.500481060684</v>
      </c>
      <c r="G87" s="80"/>
      <c r="H87" s="97">
        <f t="shared" si="15"/>
        <v>0</v>
      </c>
      <c r="I87" s="97">
        <f t="shared" si="15"/>
        <v>0</v>
      </c>
      <c r="J87" s="97">
        <f t="shared" si="15"/>
        <v>0</v>
      </c>
      <c r="K87" s="97">
        <f t="shared" si="15"/>
        <v>0</v>
      </c>
      <c r="M87" s="307"/>
    </row>
    <row r="88" spans="1:17" s="2" customFormat="1" ht="11.25" x14ac:dyDescent="0.2">
      <c r="A88" s="44">
        <f t="shared" si="13"/>
        <v>63</v>
      </c>
      <c r="B88" s="280" t="s">
        <v>227</v>
      </c>
      <c r="C88" s="97">
        <f t="shared" si="14"/>
        <v>756.36278767182137</v>
      </c>
      <c r="D88" s="97">
        <f t="shared" si="14"/>
        <v>192147.62335582662</v>
      </c>
      <c r="E88" s="97">
        <f t="shared" si="14"/>
        <v>0</v>
      </c>
      <c r="F88" s="97">
        <f t="shared" si="14"/>
        <v>192903.98614349845</v>
      </c>
      <c r="G88" s="80"/>
      <c r="H88" s="97">
        <f t="shared" si="15"/>
        <v>0</v>
      </c>
      <c r="I88" s="97">
        <f t="shared" si="15"/>
        <v>0</v>
      </c>
      <c r="J88" s="97">
        <f t="shared" si="15"/>
        <v>0</v>
      </c>
      <c r="K88" s="97">
        <f t="shared" si="15"/>
        <v>0</v>
      </c>
      <c r="M88" s="307"/>
    </row>
    <row r="89" spans="1:17" s="2" customFormat="1" ht="11.25" x14ac:dyDescent="0.2">
      <c r="A89" s="44">
        <f t="shared" si="13"/>
        <v>64</v>
      </c>
      <c r="B89" s="285" t="s">
        <v>249</v>
      </c>
      <c r="C89" s="97">
        <f t="shared" si="14"/>
        <v>31.934806056019241</v>
      </c>
      <c r="D89" s="97">
        <f t="shared" si="14"/>
        <v>13890.790698488207</v>
      </c>
      <c r="E89" s="97">
        <f t="shared" si="14"/>
        <v>0</v>
      </c>
      <c r="F89" s="97">
        <f t="shared" si="14"/>
        <v>13922.725504544225</v>
      </c>
      <c r="G89" s="80"/>
      <c r="H89" s="97">
        <f t="shared" si="15"/>
        <v>0</v>
      </c>
      <c r="I89" s="97">
        <f t="shared" si="15"/>
        <v>0</v>
      </c>
      <c r="J89" s="97">
        <f t="shared" si="15"/>
        <v>0</v>
      </c>
      <c r="K89" s="97">
        <f t="shared" si="15"/>
        <v>0</v>
      </c>
      <c r="M89" s="307"/>
    </row>
    <row r="90" spans="1:17" s="2" customFormat="1" ht="11.25" x14ac:dyDescent="0.2">
      <c r="A90" s="44">
        <f t="shared" si="13"/>
        <v>65</v>
      </c>
      <c r="B90" s="285" t="s">
        <v>250</v>
      </c>
      <c r="C90" s="97">
        <f t="shared" si="14"/>
        <v>724.42798161580208</v>
      </c>
      <c r="D90" s="97">
        <f t="shared" si="14"/>
        <v>178256.83265733841</v>
      </c>
      <c r="E90" s="97">
        <f t="shared" si="14"/>
        <v>0</v>
      </c>
      <c r="F90" s="97">
        <f t="shared" si="14"/>
        <v>178981.26063895421</v>
      </c>
      <c r="G90" s="80"/>
      <c r="H90" s="97">
        <f t="shared" si="15"/>
        <v>0</v>
      </c>
      <c r="I90" s="97">
        <f t="shared" si="15"/>
        <v>0</v>
      </c>
      <c r="J90" s="97">
        <f t="shared" si="15"/>
        <v>0</v>
      </c>
      <c r="K90" s="97">
        <f t="shared" si="15"/>
        <v>0</v>
      </c>
      <c r="M90" s="307"/>
    </row>
    <row r="91" spans="1:17" s="2" customFormat="1" ht="11.25" x14ac:dyDescent="0.2">
      <c r="A91" s="44">
        <f t="shared" si="13"/>
        <v>66</v>
      </c>
      <c r="B91" s="285" t="s">
        <v>251</v>
      </c>
      <c r="C91" s="97">
        <f t="shared" si="14"/>
        <v>0</v>
      </c>
      <c r="D91" s="97">
        <f t="shared" si="14"/>
        <v>0</v>
      </c>
      <c r="E91" s="97">
        <f t="shared" si="14"/>
        <v>0</v>
      </c>
      <c r="F91" s="97">
        <f t="shared" si="14"/>
        <v>0</v>
      </c>
      <c r="G91" s="80"/>
      <c r="H91" s="97">
        <f t="shared" si="15"/>
        <v>0</v>
      </c>
      <c r="I91" s="97">
        <f t="shared" si="15"/>
        <v>0</v>
      </c>
      <c r="J91" s="97">
        <f t="shared" si="15"/>
        <v>0</v>
      </c>
      <c r="K91" s="97">
        <f t="shared" si="15"/>
        <v>0</v>
      </c>
      <c r="M91" s="307"/>
    </row>
    <row r="92" spans="1:17" s="2" customFormat="1" ht="11.25" x14ac:dyDescent="0.2">
      <c r="A92" s="44">
        <f t="shared" si="13"/>
        <v>67</v>
      </c>
      <c r="B92" s="285" t="s">
        <v>252</v>
      </c>
      <c r="C92" s="97">
        <f t="shared" si="14"/>
        <v>0</v>
      </c>
      <c r="D92" s="97">
        <f t="shared" si="14"/>
        <v>0</v>
      </c>
      <c r="E92" s="97">
        <f t="shared" si="14"/>
        <v>0</v>
      </c>
      <c r="F92" s="97">
        <f t="shared" si="14"/>
        <v>0</v>
      </c>
      <c r="G92" s="80"/>
      <c r="H92" s="97">
        <f t="shared" si="15"/>
        <v>0</v>
      </c>
      <c r="I92" s="97">
        <f t="shared" si="15"/>
        <v>0</v>
      </c>
      <c r="J92" s="97">
        <f t="shared" si="15"/>
        <v>0</v>
      </c>
      <c r="K92" s="97">
        <f t="shared" si="15"/>
        <v>0</v>
      </c>
      <c r="M92" s="307"/>
    </row>
    <row r="93" spans="1:17" s="2" customFormat="1" ht="11.25" x14ac:dyDescent="0.2">
      <c r="A93" s="44">
        <f t="shared" si="13"/>
        <v>68</v>
      </c>
      <c r="B93" s="381" t="s">
        <v>307</v>
      </c>
      <c r="C93" s="97"/>
      <c r="D93" s="97"/>
      <c r="E93" s="97"/>
      <c r="F93" s="97"/>
      <c r="G93" s="80"/>
      <c r="H93" s="97"/>
      <c r="I93" s="97"/>
      <c r="J93" s="97"/>
      <c r="K93" s="97"/>
      <c r="M93" s="307"/>
    </row>
    <row r="94" spans="1:17" s="2" customFormat="1" ht="11.25" x14ac:dyDescent="0.2">
      <c r="A94" s="79">
        <f>A93+1</f>
        <v>69</v>
      </c>
      <c r="B94" s="281" t="s">
        <v>232</v>
      </c>
      <c r="C94" s="284">
        <f t="shared" ref="C94:F96" si="16">SUM(C21,C39,C57,C75)</f>
        <v>204.03117897717217</v>
      </c>
      <c r="D94" s="284">
        <f t="shared" si="16"/>
        <v>22839.869073698093</v>
      </c>
      <c r="E94" s="284">
        <f t="shared" si="16"/>
        <v>223.95246723069101</v>
      </c>
      <c r="F94" s="284">
        <f t="shared" si="16"/>
        <v>23267.852719905954</v>
      </c>
      <c r="G94" s="80"/>
      <c r="H94" s="284">
        <f>H21+M21+R21</f>
        <v>0.35798886648810041</v>
      </c>
      <c r="I94" s="284">
        <f>I21+N21+S21</f>
        <v>67.38503050768081</v>
      </c>
      <c r="J94" s="284">
        <f>J21+O21+T21</f>
        <v>4.2684244788026869E-2</v>
      </c>
      <c r="K94" s="284">
        <f>K21+P21+U21</f>
        <v>67.785703618956944</v>
      </c>
      <c r="M94" s="307"/>
      <c r="Q94" s="7"/>
    </row>
    <row r="95" spans="1:17" s="2" customFormat="1" ht="11.25" x14ac:dyDescent="0.2">
      <c r="A95" s="485">
        <f t="shared" si="13"/>
        <v>70</v>
      </c>
      <c r="B95" s="133" t="s">
        <v>228</v>
      </c>
      <c r="C95" s="230">
        <f t="shared" si="16"/>
        <v>0</v>
      </c>
      <c r="D95" s="230">
        <f t="shared" si="16"/>
        <v>0</v>
      </c>
      <c r="E95" s="113">
        <f t="shared" si="16"/>
        <v>0</v>
      </c>
      <c r="F95" s="113">
        <f t="shared" si="16"/>
        <v>0</v>
      </c>
      <c r="G95" s="80"/>
      <c r="H95" s="230"/>
      <c r="I95" s="230"/>
      <c r="J95" s="230"/>
      <c r="K95" s="230"/>
      <c r="M95" s="307"/>
      <c r="Q95" s="7"/>
    </row>
    <row r="96" spans="1:17" s="2" customFormat="1" ht="11.25" x14ac:dyDescent="0.2">
      <c r="A96" s="45">
        <f>A95+1</f>
        <v>71</v>
      </c>
      <c r="B96" s="144" t="s">
        <v>234</v>
      </c>
      <c r="C96" s="177">
        <f t="shared" si="16"/>
        <v>1.5808760725850057</v>
      </c>
      <c r="D96" s="177">
        <f t="shared" si="16"/>
        <v>17.029666904579958</v>
      </c>
      <c r="E96" s="177">
        <f t="shared" si="16"/>
        <v>17492.107830733177</v>
      </c>
      <c r="F96" s="177">
        <f t="shared" si="16"/>
        <v>17510.718373710344</v>
      </c>
      <c r="G96" s="80"/>
      <c r="H96" s="177">
        <f>H23+M23+R23</f>
        <v>7.9986767192592775E-2</v>
      </c>
      <c r="I96" s="177">
        <f>I23+N23+S23</f>
        <v>0.86164122899063922</v>
      </c>
      <c r="J96" s="177">
        <f>J23+O23+T23</f>
        <v>3910.1692070185363</v>
      </c>
      <c r="K96" s="177">
        <f>K23+P23+U23</f>
        <v>3911.1108350147197</v>
      </c>
      <c r="M96" s="307"/>
      <c r="Q96" s="7"/>
    </row>
    <row r="97" spans="1:9" s="2" customFormat="1" ht="11.25" x14ac:dyDescent="0.2">
      <c r="A97" s="82"/>
      <c r="B97" s="199"/>
      <c r="C97" s="181"/>
      <c r="D97" s="181"/>
      <c r="E97" s="181"/>
      <c r="F97" s="233"/>
    </row>
    <row r="98" spans="1:9" s="2" customFormat="1" ht="41.45" customHeight="1" x14ac:dyDescent="0.2">
      <c r="A98" s="83"/>
      <c r="B98" s="200"/>
      <c r="C98" s="201" t="s">
        <v>115</v>
      </c>
      <c r="D98" s="202"/>
      <c r="E98" s="202"/>
      <c r="F98" s="203"/>
      <c r="G98" s="80"/>
    </row>
    <row r="99" spans="1:9" s="2" customFormat="1" ht="11.25" x14ac:dyDescent="0.2">
      <c r="A99" s="55"/>
      <c r="B99" s="48" t="s">
        <v>22</v>
      </c>
      <c r="C99" s="55">
        <f>K80-1</f>
        <v>-37</v>
      </c>
      <c r="D99" s="55">
        <f>C99-1</f>
        <v>-38</v>
      </c>
      <c r="E99" s="55">
        <f>D99-1</f>
        <v>-39</v>
      </c>
      <c r="F99" s="55">
        <f>E99-1</f>
        <v>-40</v>
      </c>
      <c r="G99" s="80"/>
    </row>
    <row r="100" spans="1:9" s="2" customFormat="1" ht="22.5" x14ac:dyDescent="0.2">
      <c r="A100" s="84"/>
      <c r="B100" s="39" t="s">
        <v>95</v>
      </c>
      <c r="C100" s="53" t="str">
        <f>"C"&amp;-$F$99&amp;" x C"&amp;-C$80&amp;" / C"&amp;-$F$80</f>
        <v>C40 x C29 / C32</v>
      </c>
      <c r="D100" s="53" t="str">
        <f>"C"&amp;-$F$99&amp;" x C"&amp;-D$80&amp;" / C"&amp;-$F$80</f>
        <v>C40 x C30 / C32</v>
      </c>
      <c r="E100" s="53" t="str">
        <f>"C"&amp;-$F$99&amp;" x C"&amp;-E$80&amp;" / C"&amp;-$F$80</f>
        <v>C40 x C31 / C32</v>
      </c>
      <c r="F100" s="53" t="s">
        <v>354</v>
      </c>
      <c r="G100" s="80"/>
    </row>
    <row r="101" spans="1:9" s="10" customFormat="1" ht="11.25" x14ac:dyDescent="0.2">
      <c r="A101" s="55">
        <f>A96+1</f>
        <v>72</v>
      </c>
      <c r="B101" s="133" t="s">
        <v>74</v>
      </c>
      <c r="C101" s="60" t="s">
        <v>70</v>
      </c>
      <c r="D101" s="60" t="s">
        <v>71</v>
      </c>
      <c r="E101" s="60" t="s">
        <v>73</v>
      </c>
      <c r="F101" s="60" t="s">
        <v>72</v>
      </c>
      <c r="G101" s="2"/>
      <c r="H101" s="2"/>
      <c r="I101" s="2"/>
    </row>
    <row r="102" spans="1:9" s="2" customFormat="1" ht="11.25" x14ac:dyDescent="0.2">
      <c r="A102" s="44">
        <f t="shared" ref="A102:A113" si="17">A101+1</f>
        <v>73</v>
      </c>
      <c r="B102" s="382" t="s">
        <v>220</v>
      </c>
      <c r="C102" s="97">
        <f>(C83/$F83)*$F102</f>
        <v>7924.3481456470017</v>
      </c>
      <c r="D102" s="97">
        <f>(D83/$F83)*$F102</f>
        <v>0</v>
      </c>
      <c r="E102" s="97">
        <f>(E83/$F83)*$F102</f>
        <v>61.235081797334239</v>
      </c>
      <c r="F102" s="122">
        <f>'[1]7.0.6'!$J10</f>
        <v>7985.5832274443355</v>
      </c>
    </row>
    <row r="103" spans="1:9" s="2" customFormat="1" ht="11.25" x14ac:dyDescent="0.2">
      <c r="A103" s="44">
        <f>A102+1</f>
        <v>74</v>
      </c>
      <c r="B103" s="124" t="s">
        <v>346</v>
      </c>
      <c r="C103" s="283"/>
      <c r="D103" s="283"/>
      <c r="E103" s="283"/>
      <c r="F103" s="283"/>
    </row>
    <row r="104" spans="1:9" s="2" customFormat="1" ht="11.25" x14ac:dyDescent="0.2">
      <c r="A104" s="44">
        <f t="shared" si="17"/>
        <v>75</v>
      </c>
      <c r="B104" s="280" t="s">
        <v>226</v>
      </c>
      <c r="C104" s="97">
        <f t="shared" ref="C104:E109" si="18">(C85/$F85)*$F104</f>
        <v>3149.7943968293521</v>
      </c>
      <c r="D104" s="97">
        <f t="shared" si="18"/>
        <v>0</v>
      </c>
      <c r="E104" s="97">
        <f t="shared" si="18"/>
        <v>0</v>
      </c>
      <c r="F104" s="117">
        <f>'[1]7.0.6'!$J17</f>
        <v>3149.7943968293521</v>
      </c>
    </row>
    <row r="105" spans="1:9" s="2" customFormat="1" ht="11.25" x14ac:dyDescent="0.2">
      <c r="A105" s="44">
        <f t="shared" si="17"/>
        <v>76</v>
      </c>
      <c r="B105" s="285" t="s">
        <v>231</v>
      </c>
      <c r="C105" s="97">
        <f t="shared" si="18"/>
        <v>1697.9576636324923</v>
      </c>
      <c r="D105" s="97">
        <f t="shared" si="18"/>
        <v>0</v>
      </c>
      <c r="E105" s="97">
        <f t="shared" si="18"/>
        <v>0</v>
      </c>
      <c r="F105" s="117">
        <f>'[1]7.0.6'!$J34</f>
        <v>1697.9576636324923</v>
      </c>
    </row>
    <row r="106" spans="1:9" s="2" customFormat="1" ht="11.25" x14ac:dyDescent="0.2">
      <c r="A106" s="44">
        <f t="shared" si="17"/>
        <v>77</v>
      </c>
      <c r="B106" s="285" t="s">
        <v>248</v>
      </c>
      <c r="C106" s="97">
        <f t="shared" si="18"/>
        <v>1451.8367331968598</v>
      </c>
      <c r="D106" s="97">
        <f t="shared" si="18"/>
        <v>0</v>
      </c>
      <c r="E106" s="97">
        <f t="shared" si="18"/>
        <v>0</v>
      </c>
      <c r="F106" s="117">
        <f>'[1]7.0.6'!$J35</f>
        <v>1451.8367331968598</v>
      </c>
    </row>
    <row r="107" spans="1:9" s="2" customFormat="1" ht="11.25" x14ac:dyDescent="0.2">
      <c r="A107" s="44">
        <f t="shared" si="17"/>
        <v>78</v>
      </c>
      <c r="B107" s="280" t="s">
        <v>227</v>
      </c>
      <c r="C107" s="97">
        <f t="shared" si="18"/>
        <v>25.120285392243151</v>
      </c>
      <c r="D107" s="97">
        <f t="shared" si="18"/>
        <v>6381.5978453899224</v>
      </c>
      <c r="E107" s="97">
        <f t="shared" si="18"/>
        <v>0</v>
      </c>
      <c r="F107" s="117">
        <f>'[1]7.0.6'!$J18</f>
        <v>6406.7181307821656</v>
      </c>
    </row>
    <row r="108" spans="1:9" s="2" customFormat="1" ht="11.25" x14ac:dyDescent="0.2">
      <c r="A108" s="44">
        <f t="shared" si="17"/>
        <v>79</v>
      </c>
      <c r="B108" s="285" t="s">
        <v>249</v>
      </c>
      <c r="C108" s="97">
        <f t="shared" si="18"/>
        <v>1.4097870969792876</v>
      </c>
      <c r="D108" s="97">
        <f t="shared" si="18"/>
        <v>613.21986609896646</v>
      </c>
      <c r="E108" s="97">
        <f t="shared" si="18"/>
        <v>0</v>
      </c>
      <c r="F108" s="117">
        <f>'[1]7.0.6'!$J37</f>
        <v>614.62965319594571</v>
      </c>
    </row>
    <row r="109" spans="1:9" s="2" customFormat="1" ht="11.25" x14ac:dyDescent="0.2">
      <c r="A109" s="44">
        <f t="shared" si="17"/>
        <v>80</v>
      </c>
      <c r="B109" s="285" t="s">
        <v>250</v>
      </c>
      <c r="C109" s="97">
        <f t="shared" si="18"/>
        <v>23.443521127176069</v>
      </c>
      <c r="D109" s="97">
        <f t="shared" si="18"/>
        <v>5768.6449564590448</v>
      </c>
      <c r="E109" s="97">
        <f t="shared" si="18"/>
        <v>0</v>
      </c>
      <c r="F109" s="117">
        <f>'[1]7.0.6'!$J38</f>
        <v>5792.0884775862205</v>
      </c>
    </row>
    <row r="110" spans="1:9" s="2" customFormat="1" ht="11.25" x14ac:dyDescent="0.2">
      <c r="A110" s="44">
        <f t="shared" si="17"/>
        <v>81</v>
      </c>
      <c r="B110" s="285" t="s">
        <v>251</v>
      </c>
      <c r="C110" s="97">
        <f t="shared" ref="C110:E111" si="19">IF($F91&lt;&gt;0,(C91/$F91)*$F110,0)</f>
        <v>0</v>
      </c>
      <c r="D110" s="97">
        <f t="shared" si="19"/>
        <v>0</v>
      </c>
      <c r="E110" s="97">
        <f t="shared" si="19"/>
        <v>0</v>
      </c>
      <c r="F110" s="117">
        <f>'[1]7.0.6'!$J39</f>
        <v>0</v>
      </c>
    </row>
    <row r="111" spans="1:9" s="2" customFormat="1" ht="11.25" x14ac:dyDescent="0.2">
      <c r="A111" s="44">
        <f t="shared" si="17"/>
        <v>82</v>
      </c>
      <c r="B111" s="380" t="s">
        <v>252</v>
      </c>
      <c r="C111" s="97">
        <f t="shared" si="19"/>
        <v>0</v>
      </c>
      <c r="D111" s="97">
        <f t="shared" si="19"/>
        <v>0</v>
      </c>
      <c r="E111" s="97">
        <f t="shared" si="19"/>
        <v>0</v>
      </c>
      <c r="F111" s="122">
        <f>'[1]7.0.6'!$J40</f>
        <v>0</v>
      </c>
    </row>
    <row r="112" spans="1:9" s="2" customFormat="1" ht="11.25" x14ac:dyDescent="0.2">
      <c r="A112" s="79">
        <f>A111+1</f>
        <v>83</v>
      </c>
      <c r="B112" s="281" t="s">
        <v>232</v>
      </c>
      <c r="C112" s="284">
        <f>(C94/$F94)*$F112</f>
        <v>6.7762739367424238</v>
      </c>
      <c r="D112" s="284">
        <f>(D94/$F94)*$F112</f>
        <v>758.55665932325917</v>
      </c>
      <c r="E112" s="284">
        <f>(E94/$F94)*$F112</f>
        <v>7.4378988268958839</v>
      </c>
      <c r="F112" s="122">
        <f>'[1]7.0.6'!$J24</f>
        <v>772.77083208689737</v>
      </c>
    </row>
    <row r="113" spans="1:10" s="2" customFormat="1" ht="11.25" x14ac:dyDescent="0.2">
      <c r="A113" s="485">
        <f t="shared" si="17"/>
        <v>84</v>
      </c>
      <c r="B113" s="133" t="s">
        <v>228</v>
      </c>
      <c r="C113" s="230"/>
      <c r="D113" s="230"/>
      <c r="E113" s="113"/>
      <c r="F113" s="230"/>
      <c r="J113" s="198"/>
    </row>
    <row r="114" spans="1:10" s="2" customFormat="1" ht="11.25" x14ac:dyDescent="0.2">
      <c r="A114" s="45">
        <f>A113+1</f>
        <v>85</v>
      </c>
      <c r="B114" s="144" t="s">
        <v>234</v>
      </c>
      <c r="C114" s="177">
        <f>(C96/$F96)*$F114</f>
        <v>5.2503981899139296E-2</v>
      </c>
      <c r="D114" s="177">
        <f>(D96/$F96)*$F114</f>
        <v>0.56558849767672692</v>
      </c>
      <c r="E114" s="177">
        <f>(E96/$F96)*$F114</f>
        <v>580.94706400411008</v>
      </c>
      <c r="F114" s="122">
        <f>'[1]7.0.6'!$J28</f>
        <v>581.565156483686</v>
      </c>
      <c r="J114" s="198"/>
    </row>
    <row r="115" spans="1:10" s="2" customFormat="1" ht="11.25" x14ac:dyDescent="0.2">
      <c r="A115" s="54"/>
    </row>
    <row r="116" spans="1:10" s="2" customFormat="1" ht="38.25" customHeight="1" x14ac:dyDescent="0.2">
      <c r="A116" s="83"/>
      <c r="B116" s="200"/>
      <c r="C116" s="201" t="s">
        <v>116</v>
      </c>
      <c r="D116" s="202"/>
      <c r="E116" s="202"/>
      <c r="F116" s="203"/>
    </row>
    <row r="117" spans="1:10" s="2" customFormat="1" ht="11.25" x14ac:dyDescent="0.2">
      <c r="A117" s="55"/>
      <c r="B117" s="48" t="s">
        <v>22</v>
      </c>
      <c r="C117" s="55">
        <f>F99-1</f>
        <v>-41</v>
      </c>
      <c r="D117" s="55">
        <f>C117-1</f>
        <v>-42</v>
      </c>
      <c r="E117" s="55">
        <f>D117-1</f>
        <v>-43</v>
      </c>
      <c r="F117" s="55">
        <f>E117-1</f>
        <v>-44</v>
      </c>
    </row>
    <row r="118" spans="1:10" s="2" customFormat="1" ht="71.25" customHeight="1" x14ac:dyDescent="0.2">
      <c r="A118" s="84"/>
      <c r="B118" s="39" t="s">
        <v>95</v>
      </c>
      <c r="C118" s="53" t="str">
        <f>"C"&amp;-$F117 &amp; " x "&amp;NOTES!A13 &amp; " letters / total"</f>
        <v>C44 x 9.ByShape letters / total</v>
      </c>
      <c r="D118" s="53" t="str">
        <f>"C"&amp;-$F117&amp;" x "&amp;NOTES!A13&amp;" flats / total; L"&amp;A132&amp;" [UDCInputs.xls]CARMM"</f>
        <v>C44 x 9.ByShape flats / total; L99 [UDCInputs.xls]CARMM</v>
      </c>
      <c r="E118" s="53" t="str">
        <f>"C"&amp;-$F117&amp;" x "&amp;NOTES!A13&amp;" parcels / total; L"&amp;A132&amp;" [UDCInputs.xls]CARMM"</f>
        <v>C44 x 9.ByShape parcels / total; L99 [UDCInputs.xls]CARMM</v>
      </c>
      <c r="F118" s="53" t="s">
        <v>354</v>
      </c>
    </row>
    <row r="119" spans="1:10" s="10" customFormat="1" ht="11.25" x14ac:dyDescent="0.2">
      <c r="A119" s="55">
        <f>A114+1</f>
        <v>86</v>
      </c>
      <c r="B119" s="133" t="s">
        <v>74</v>
      </c>
      <c r="C119" s="60" t="s">
        <v>70</v>
      </c>
      <c r="D119" s="60" t="s">
        <v>71</v>
      </c>
      <c r="E119" s="60" t="s">
        <v>73</v>
      </c>
      <c r="F119" s="60" t="s">
        <v>72</v>
      </c>
      <c r="G119" s="2"/>
      <c r="H119" s="2"/>
      <c r="I119" s="2"/>
    </row>
    <row r="120" spans="1:10" s="2" customFormat="1" ht="11.25" x14ac:dyDescent="0.2">
      <c r="A120" s="44">
        <f t="shared" ref="A120:A131" si="20">A119+1</f>
        <v>87</v>
      </c>
      <c r="B120" s="382" t="s">
        <v>220</v>
      </c>
      <c r="C120" s="97">
        <f>F120</f>
        <v>6210.1993442897547</v>
      </c>
      <c r="D120" s="97"/>
      <c r="E120" s="97"/>
      <c r="F120" s="122">
        <f>'[1]7.0.6'!$I10</f>
        <v>6210.1993442897547</v>
      </c>
      <c r="H120" s="8"/>
      <c r="I120" s="8"/>
    </row>
    <row r="121" spans="1:10" s="2" customFormat="1" ht="11.25" x14ac:dyDescent="0.2">
      <c r="A121" s="44">
        <f>A120+1</f>
        <v>88</v>
      </c>
      <c r="B121" s="124" t="s">
        <v>346</v>
      </c>
      <c r="C121" s="283"/>
      <c r="D121" s="283"/>
      <c r="E121" s="283"/>
      <c r="F121" s="283"/>
    </row>
    <row r="122" spans="1:10" s="2" customFormat="1" ht="11.25" x14ac:dyDescent="0.2">
      <c r="A122" s="44">
        <f t="shared" si="20"/>
        <v>89</v>
      </c>
      <c r="B122" s="280" t="s">
        <v>226</v>
      </c>
      <c r="C122" s="97">
        <f>F122</f>
        <v>2055.3570199256906</v>
      </c>
      <c r="D122" s="97"/>
      <c r="E122" s="97"/>
      <c r="F122" s="117">
        <f>'[1]7.0.6'!$I17</f>
        <v>2055.3570199256906</v>
      </c>
      <c r="H122" s="8"/>
      <c r="I122" s="8"/>
    </row>
    <row r="123" spans="1:10" s="2" customFormat="1" ht="11.25" x14ac:dyDescent="0.2">
      <c r="A123" s="44">
        <f t="shared" si="20"/>
        <v>90</v>
      </c>
      <c r="B123" s="285" t="s">
        <v>231</v>
      </c>
      <c r="C123" s="97">
        <f>F123</f>
        <v>1259.5557807620548</v>
      </c>
      <c r="D123" s="97"/>
      <c r="E123" s="97"/>
      <c r="F123" s="117">
        <f>'[1]7.0.6'!$I34</f>
        <v>1259.5557807620548</v>
      </c>
    </row>
    <row r="124" spans="1:10" s="2" customFormat="1" ht="11.25" x14ac:dyDescent="0.2">
      <c r="A124" s="44">
        <f t="shared" si="20"/>
        <v>91</v>
      </c>
      <c r="B124" s="285" t="s">
        <v>248</v>
      </c>
      <c r="C124" s="97">
        <f>F124</f>
        <v>795.80123916363573</v>
      </c>
      <c r="D124" s="97"/>
      <c r="E124" s="97"/>
      <c r="F124" s="117">
        <f>'[1]7.0.6'!$I35</f>
        <v>795.80123916363573</v>
      </c>
      <c r="H124" s="8"/>
    </row>
    <row r="125" spans="1:10" s="2" customFormat="1" ht="11.25" x14ac:dyDescent="0.2">
      <c r="A125" s="44">
        <f t="shared" si="20"/>
        <v>92</v>
      </c>
      <c r="B125" s="280" t="s">
        <v>227</v>
      </c>
      <c r="C125" s="97"/>
      <c r="D125" s="97">
        <f>F125</f>
        <v>2624.5968345935016</v>
      </c>
      <c r="E125" s="97"/>
      <c r="F125" s="117">
        <f>'[1]7.0.6'!$I18</f>
        <v>2624.5968345935016</v>
      </c>
      <c r="H125" s="8"/>
      <c r="I125" s="8"/>
    </row>
    <row r="126" spans="1:10" s="2" customFormat="1" ht="11.25" x14ac:dyDescent="0.2">
      <c r="A126" s="44">
        <f t="shared" si="20"/>
        <v>93</v>
      </c>
      <c r="B126" s="285" t="s">
        <v>249</v>
      </c>
      <c r="C126" s="97"/>
      <c r="D126" s="97">
        <f>F126</f>
        <v>1691.2755940921945</v>
      </c>
      <c r="E126" s="97"/>
      <c r="F126" s="117">
        <f>'[1]7.0.6'!$I37</f>
        <v>1691.2755940921945</v>
      </c>
    </row>
    <row r="127" spans="1:10" s="2" customFormat="1" ht="11.25" x14ac:dyDescent="0.2">
      <c r="A127" s="44">
        <f t="shared" si="20"/>
        <v>94</v>
      </c>
      <c r="B127" s="285" t="s">
        <v>250</v>
      </c>
      <c r="C127" s="97"/>
      <c r="D127" s="97">
        <f>F127</f>
        <v>933.32124050130733</v>
      </c>
      <c r="E127" s="97"/>
      <c r="F127" s="117">
        <f>'[1]7.0.6'!$I38</f>
        <v>933.32124050130733</v>
      </c>
    </row>
    <row r="128" spans="1:10" s="2" customFormat="1" ht="11.25" x14ac:dyDescent="0.2">
      <c r="A128" s="44">
        <f t="shared" si="20"/>
        <v>95</v>
      </c>
      <c r="B128" s="285" t="s">
        <v>251</v>
      </c>
      <c r="C128" s="97"/>
      <c r="D128" s="97">
        <f>F128</f>
        <v>0</v>
      </c>
      <c r="E128" s="97"/>
      <c r="F128" s="117">
        <f>'[1]7.0.6'!$I39</f>
        <v>0</v>
      </c>
    </row>
    <row r="129" spans="1:25" s="2" customFormat="1" ht="11.25" x14ac:dyDescent="0.2">
      <c r="A129" s="44">
        <f t="shared" si="20"/>
        <v>96</v>
      </c>
      <c r="B129" s="380" t="s">
        <v>252</v>
      </c>
      <c r="C129" s="97"/>
      <c r="D129" s="97">
        <f>F129</f>
        <v>0</v>
      </c>
      <c r="E129" s="97"/>
      <c r="F129" s="122">
        <f>'[1]7.0.6'!$I40</f>
        <v>0</v>
      </c>
      <c r="H129" s="8"/>
      <c r="I129" s="8"/>
    </row>
    <row r="130" spans="1:25" s="2" customFormat="1" ht="11.25" x14ac:dyDescent="0.2">
      <c r="A130" s="79">
        <f>A129+1</f>
        <v>97</v>
      </c>
      <c r="B130" s="281" t="s">
        <v>232</v>
      </c>
      <c r="C130" s="284">
        <f>'9.ByShape'!H15/'9.ByShape'!H18*F130</f>
        <v>8.4287532789182027</v>
      </c>
      <c r="D130" s="374">
        <f>'9.ByShape'!H16/'9.ByShape'!H18*F130</f>
        <v>7276.6115161165098</v>
      </c>
      <c r="E130" s="284">
        <f>'9.ByShape'!H17/'9.ByShape'!H18*F130</f>
        <v>2.4849953949698267</v>
      </c>
      <c r="F130" s="122">
        <f>'[1]7.0.6'!$I$24</f>
        <v>7287.5252647903981</v>
      </c>
      <c r="H130" s="8"/>
      <c r="I130" s="8"/>
    </row>
    <row r="131" spans="1:25" s="2" customFormat="1" ht="11.25" x14ac:dyDescent="0.2">
      <c r="A131" s="485">
        <f t="shared" si="20"/>
        <v>98</v>
      </c>
      <c r="B131" s="133" t="s">
        <v>228</v>
      </c>
      <c r="C131" s="230"/>
      <c r="D131" s="230"/>
      <c r="E131" s="113"/>
      <c r="F131" s="230"/>
    </row>
    <row r="132" spans="1:25" s="2" customFormat="1" ht="11.25" x14ac:dyDescent="0.2">
      <c r="A132" s="45">
        <f>A131+1</f>
        <v>99</v>
      </c>
      <c r="B132" s="144" t="s">
        <v>234</v>
      </c>
      <c r="C132" s="177"/>
      <c r="D132" s="376">
        <f>([1]CARMM!$C$43/SUM([1]CARMM!$C$43:$C$44))*F132</f>
        <v>26.298032243679696</v>
      </c>
      <c r="E132" s="376">
        <f>([1]CARMM!$C$44/SUM([1]CARMM!$C$43:$C$44))*F132</f>
        <v>282.85469065604542</v>
      </c>
      <c r="F132" s="122">
        <f>'[1]7.0.6'!$I28</f>
        <v>309.15272289972512</v>
      </c>
      <c r="H132" s="8"/>
      <c r="I132" s="8"/>
    </row>
    <row r="133" spans="1:25" s="2" customFormat="1" ht="11.25" x14ac:dyDescent="0.2">
      <c r="A133" s="54"/>
    </row>
    <row r="134" spans="1:25" s="2" customFormat="1" ht="21" customHeight="1" x14ac:dyDescent="0.2">
      <c r="A134" s="83"/>
      <c r="B134" s="200"/>
      <c r="C134" s="201" t="s">
        <v>91</v>
      </c>
      <c r="D134" s="202"/>
      <c r="E134" s="202"/>
      <c r="F134" s="203"/>
      <c r="H134" s="201" t="s">
        <v>36</v>
      </c>
      <c r="I134" s="202"/>
      <c r="J134" s="202"/>
      <c r="K134" s="203"/>
      <c r="M134" s="201" t="s">
        <v>37</v>
      </c>
      <c r="N134" s="202"/>
      <c r="O134" s="202"/>
      <c r="P134" s="203"/>
      <c r="R134" s="201" t="s">
        <v>38</v>
      </c>
      <c r="S134" s="202"/>
      <c r="T134" s="202"/>
      <c r="U134" s="203"/>
    </row>
    <row r="135" spans="1:25" s="2" customFormat="1" ht="11.25" x14ac:dyDescent="0.2">
      <c r="A135" s="55"/>
      <c r="B135" s="48" t="s">
        <v>22</v>
      </c>
      <c r="C135" s="55">
        <f>F117-1</f>
        <v>-45</v>
      </c>
      <c r="D135" s="55">
        <f>C135-1</f>
        <v>-46</v>
      </c>
      <c r="E135" s="55">
        <f>D135-1</f>
        <v>-47</v>
      </c>
      <c r="F135" s="55">
        <f>E135-1</f>
        <v>-48</v>
      </c>
      <c r="H135" s="55">
        <f>F135-1</f>
        <v>-49</v>
      </c>
      <c r="I135" s="55">
        <f>H135-1</f>
        <v>-50</v>
      </c>
      <c r="J135" s="55">
        <f>I135-1</f>
        <v>-51</v>
      </c>
      <c r="K135" s="55">
        <f>J135-1</f>
        <v>-52</v>
      </c>
      <c r="M135" s="55">
        <f>K135-1</f>
        <v>-53</v>
      </c>
      <c r="N135" s="55">
        <f>M135-1</f>
        <v>-54</v>
      </c>
      <c r="O135" s="55">
        <f>N135-1</f>
        <v>-55</v>
      </c>
      <c r="P135" s="55">
        <f>O135-1</f>
        <v>-56</v>
      </c>
      <c r="R135" s="55">
        <f>P135-1</f>
        <v>-57</v>
      </c>
      <c r="S135" s="55">
        <f>R135-1</f>
        <v>-58</v>
      </c>
      <c r="T135" s="55">
        <f>S135-1</f>
        <v>-59</v>
      </c>
      <c r="U135" s="55">
        <f>T135-1</f>
        <v>-60</v>
      </c>
    </row>
    <row r="136" spans="1:25" s="2" customFormat="1" ht="67.5" x14ac:dyDescent="0.2">
      <c r="A136" s="84"/>
      <c r="B136" s="39" t="s">
        <v>95</v>
      </c>
      <c r="C136" s="53" t="str">
        <f>"C"&amp;-$F135 &amp; " x "&amp;NOTES!A13 &amp; " letters / total"</f>
        <v>C48 x 9.ByShape letters / total</v>
      </c>
      <c r="D136" s="53" t="str">
        <f>"C"&amp;-$F135 &amp; " x "&amp;NOTES!A13&amp; " flats / total L"&amp;A150&amp;" [UDCInputs.xls]CARMM"</f>
        <v>C48 x 9.ByShape flats / total L113 [UDCInputs.xls]CARMM</v>
      </c>
      <c r="E136" s="53" t="str">
        <f>"C"&amp;-$F135 &amp; " x "&amp;NOTES!A13&amp; " parcels / total L"&amp;A150&amp;" [UDCInputs.xls]CARMM"</f>
        <v>C48 x 9.ByShape parcels / total L113 [UDCInputs.xls]CARMM</v>
      </c>
      <c r="F136" s="53" t="str">
        <f>"[UDCInputs.xls]CARMM "&amp;[1]NOTES!$A$12&amp;", L"&amp;A148&amp;" 9.ByShape"</f>
        <v>[UDCInputs.xls]CARMM CS10CRA, L111 9.ByShape</v>
      </c>
      <c r="H136" s="53" t="str">
        <f>"C"&amp;-$K135 &amp; " x "&amp;NOTES!A13 &amp; " letters / total"</f>
        <v>C52 x 9.ByShape letters / total</v>
      </c>
      <c r="I136" s="53" t="str">
        <f>"C"&amp;-$K135 &amp; " x "&amp;NOTES!A13 &amp; " flats / total L"&amp;A150&amp;" [UDCInputs.xls]CARMM"</f>
        <v>C52 x 9.ByShape flats / total L113 [UDCInputs.xls]CARMM</v>
      </c>
      <c r="J136" s="53" t="str">
        <f>"C"&amp;-$K135&amp;" x "&amp;NOTES!A13&amp;" parcels / total L"&amp;A150&amp;" [UDCInputs.xls]CARMM"</f>
        <v>C52 x 9.ByShape parcels / total L113 [UDCInputs.xls]CARMM</v>
      </c>
      <c r="K136" s="53" t="str">
        <f>"[UDCInputs.xls]CARMM "&amp;[1]NOTES!$A$12&amp;", L"&amp;A148&amp;" 9.ByShape"</f>
        <v>[UDCInputs.xls]CARMM CS10CRA, L111 9.ByShape</v>
      </c>
      <c r="M136" s="53" t="str">
        <f>"C"&amp;-$P135 &amp; " x "&amp;NOTES!A13 &amp; " letters / total"</f>
        <v>C56 x 9.ByShape letters / total</v>
      </c>
      <c r="N136" s="53" t="str">
        <f>"C"&amp;-$P135 &amp; " x "&amp;NOTES!A13 &amp; " flats / total L"&amp;A150&amp;" [UDCInputs.xls]CARMM"</f>
        <v>C56 x 9.ByShape flats / total L113 [UDCInputs.xls]CARMM</v>
      </c>
      <c r="O136" s="53" t="str">
        <f>"C"&amp;-$P135 &amp; " x "&amp;NOTES!A13 &amp; " parcels / total L"&amp;A150&amp;" [UDCInputs.xls]CARMM"</f>
        <v>C56 x 9.ByShape parcels / total L113 [UDCInputs.xls]CARMM</v>
      </c>
      <c r="P136" s="53" t="str">
        <f>"[UDCInputs.xls]CARMM "&amp;[1]NOTES!$A$12&amp;", L"&amp;A148&amp;" 9.ByShape"</f>
        <v>[UDCInputs.xls]CARMM CS10CRA, L111 9.ByShape</v>
      </c>
      <c r="R136" s="53" t="str">
        <f>"C"&amp;-C135&amp;", C"&amp;-H135&amp;", C"&amp;-M135</f>
        <v>C45, C49, C53</v>
      </c>
      <c r="S136" s="53" t="str">
        <f>"C"&amp;-D135&amp;", C"&amp;-I135&amp;", C"&amp;-N135</f>
        <v>C46, C50, C54</v>
      </c>
      <c r="T136" s="53" t="str">
        <f>"C"&amp;-E135&amp;", C"&amp;-J135&amp;", C"&amp;-O135</f>
        <v>C47, C51, C55</v>
      </c>
      <c r="U136" s="53" t="str">
        <f>"C"&amp;-F135&amp;", C"&amp;-K135&amp;", C"&amp;-P135</f>
        <v>C48, C52, C56</v>
      </c>
    </row>
    <row r="137" spans="1:25" s="10" customFormat="1" ht="11.25" x14ac:dyDescent="0.2">
      <c r="A137" s="55">
        <f>A132+1</f>
        <v>100</v>
      </c>
      <c r="B137" s="133" t="s">
        <v>74</v>
      </c>
      <c r="C137" s="60" t="s">
        <v>70</v>
      </c>
      <c r="D137" s="60" t="s">
        <v>71</v>
      </c>
      <c r="E137" s="60" t="s">
        <v>73</v>
      </c>
      <c r="F137" s="60" t="s">
        <v>72</v>
      </c>
      <c r="G137" s="2"/>
      <c r="H137" s="60" t="s">
        <v>70</v>
      </c>
      <c r="I137" s="60" t="s">
        <v>71</v>
      </c>
      <c r="J137" s="60" t="s">
        <v>73</v>
      </c>
      <c r="K137" s="60" t="s">
        <v>72</v>
      </c>
      <c r="L137" s="2"/>
      <c r="M137" s="60" t="s">
        <v>70</v>
      </c>
      <c r="N137" s="60" t="s">
        <v>71</v>
      </c>
      <c r="O137" s="60" t="s">
        <v>73</v>
      </c>
      <c r="P137" s="60" t="s">
        <v>72</v>
      </c>
      <c r="Q137" s="2"/>
      <c r="R137" s="60" t="s">
        <v>70</v>
      </c>
      <c r="S137" s="60" t="s">
        <v>71</v>
      </c>
      <c r="T137" s="60" t="s">
        <v>73</v>
      </c>
      <c r="U137" s="60" t="s">
        <v>72</v>
      </c>
      <c r="V137" s="2"/>
      <c r="W137" s="2"/>
      <c r="X137" s="2"/>
    </row>
    <row r="138" spans="1:25" s="2" customFormat="1" ht="11.25" x14ac:dyDescent="0.2">
      <c r="A138" s="44">
        <f t="shared" ref="A138:A149" si="21">A137+1</f>
        <v>101</v>
      </c>
      <c r="B138" s="382" t="s">
        <v>220</v>
      </c>
      <c r="C138" s="97">
        <f>F138</f>
        <v>22864.587659383236</v>
      </c>
      <c r="D138" s="97"/>
      <c r="E138" s="97"/>
      <c r="F138" s="122">
        <f>[1]CARMM!$C$10/[1]CARMM!$D$10*'[1]CS6&amp;7 CRA'!$D11/1000</f>
        <v>22864.587659383236</v>
      </c>
      <c r="H138" s="97"/>
      <c r="I138" s="97"/>
      <c r="J138" s="97"/>
      <c r="K138" s="97"/>
      <c r="M138" s="97"/>
      <c r="N138" s="97"/>
      <c r="O138" s="97"/>
      <c r="P138" s="97"/>
      <c r="R138" s="97">
        <f t="shared" ref="R138:S138" si="22">SUM(C138,H138,M138)</f>
        <v>22864.587659383236</v>
      </c>
      <c r="S138" s="97">
        <f t="shared" si="22"/>
        <v>0</v>
      </c>
      <c r="T138" s="97">
        <f t="shared" ref="T138:U138" si="23">SUM(E138,J138,O138)</f>
        <v>0</v>
      </c>
      <c r="U138" s="97">
        <f t="shared" si="23"/>
        <v>22864.587659383236</v>
      </c>
      <c r="Y138" s="7"/>
    </row>
    <row r="139" spans="1:25" s="10" customFormat="1" ht="11.25" x14ac:dyDescent="0.2">
      <c r="A139" s="44">
        <f>A138+1</f>
        <v>102</v>
      </c>
      <c r="B139" s="124" t="s">
        <v>346</v>
      </c>
      <c r="C139" s="283"/>
      <c r="D139" s="283"/>
      <c r="E139" s="283"/>
      <c r="F139" s="283"/>
      <c r="G139" s="2"/>
      <c r="H139" s="283"/>
      <c r="I139" s="283"/>
      <c r="J139" s="283"/>
      <c r="K139" s="283"/>
      <c r="L139" s="2"/>
      <c r="M139" s="283"/>
      <c r="N139" s="283"/>
      <c r="O139" s="283"/>
      <c r="P139" s="283"/>
      <c r="Q139" s="2"/>
      <c r="R139" s="283"/>
      <c r="S139" s="283"/>
      <c r="T139" s="283"/>
      <c r="U139" s="283"/>
      <c r="V139" s="2"/>
      <c r="W139" s="2"/>
      <c r="X139" s="2"/>
    </row>
    <row r="140" spans="1:25" s="10" customFormat="1" ht="11.25" x14ac:dyDescent="0.2">
      <c r="A140" s="44">
        <f t="shared" si="21"/>
        <v>103</v>
      </c>
      <c r="B140" s="280" t="s">
        <v>226</v>
      </c>
      <c r="C140" s="97">
        <f>F140</f>
        <v>7569.7005671042416</v>
      </c>
      <c r="D140" s="97"/>
      <c r="E140" s="97"/>
      <c r="F140" s="117">
        <f>F141+F142</f>
        <v>7569.7005671042416</v>
      </c>
      <c r="G140" s="2"/>
      <c r="H140" s="97"/>
      <c r="I140" s="97"/>
      <c r="J140" s="97"/>
      <c r="K140" s="97"/>
      <c r="L140" s="2"/>
      <c r="M140" s="97"/>
      <c r="N140" s="97"/>
      <c r="O140" s="97"/>
      <c r="P140" s="97"/>
      <c r="Q140" s="2"/>
      <c r="R140" s="97">
        <f t="shared" ref="R140:S147" si="24">SUM(C140,H140,M140)</f>
        <v>7569.7005671042416</v>
      </c>
      <c r="S140" s="97">
        <f t="shared" si="24"/>
        <v>0</v>
      </c>
      <c r="T140" s="97">
        <f t="shared" ref="T140:U147" si="25">SUM(E140,J140,O140)</f>
        <v>0</v>
      </c>
      <c r="U140" s="97">
        <f t="shared" si="25"/>
        <v>7569.7005671042416</v>
      </c>
      <c r="V140" s="2"/>
      <c r="W140" s="2"/>
      <c r="X140" s="2"/>
    </row>
    <row r="141" spans="1:25" s="10" customFormat="1" ht="11.25" x14ac:dyDescent="0.2">
      <c r="A141" s="44">
        <f t="shared" si="21"/>
        <v>104</v>
      </c>
      <c r="B141" s="285" t="s">
        <v>231</v>
      </c>
      <c r="C141" s="97">
        <f>F141</f>
        <v>4638.8340397809143</v>
      </c>
      <c r="D141" s="97"/>
      <c r="E141" s="97"/>
      <c r="F141" s="117">
        <f>([1]CARMM!$C$18/[1]CARMM!$D$18)*'[1]CS6&amp;7 CRA'!$D34/1000</f>
        <v>4638.8340397809143</v>
      </c>
      <c r="G141" s="2"/>
      <c r="H141" s="97"/>
      <c r="I141" s="97"/>
      <c r="J141" s="97"/>
      <c r="K141" s="97"/>
      <c r="L141" s="2"/>
      <c r="M141" s="97"/>
      <c r="N141" s="97"/>
      <c r="O141" s="97"/>
      <c r="P141" s="97"/>
      <c r="Q141" s="2"/>
      <c r="R141" s="97">
        <f t="shared" si="24"/>
        <v>4638.8340397809143</v>
      </c>
      <c r="S141" s="97">
        <f t="shared" si="24"/>
        <v>0</v>
      </c>
      <c r="T141" s="97">
        <f t="shared" si="25"/>
        <v>0</v>
      </c>
      <c r="U141" s="97">
        <f t="shared" si="25"/>
        <v>4638.8340397809143</v>
      </c>
      <c r="V141" s="2"/>
      <c r="W141" s="2"/>
      <c r="X141" s="2"/>
    </row>
    <row r="142" spans="1:25" s="10" customFormat="1" ht="11.25" x14ac:dyDescent="0.2">
      <c r="A142" s="44">
        <f t="shared" si="21"/>
        <v>105</v>
      </c>
      <c r="B142" s="285" t="s">
        <v>248</v>
      </c>
      <c r="C142" s="97">
        <f>F142</f>
        <v>2930.8665273233273</v>
      </c>
      <c r="D142" s="97"/>
      <c r="E142" s="97"/>
      <c r="F142" s="117">
        <f>([1]CARMM!$C$18/[1]CARMM!$D$18)*'[1]CS6&amp;7 CRA'!$D35/1000</f>
        <v>2930.8665273233273</v>
      </c>
      <c r="G142" s="2"/>
      <c r="H142" s="97"/>
      <c r="I142" s="97"/>
      <c r="J142" s="97"/>
      <c r="K142" s="97"/>
      <c r="L142" s="2"/>
      <c r="M142" s="97"/>
      <c r="N142" s="97"/>
      <c r="O142" s="97"/>
      <c r="P142" s="97"/>
      <c r="Q142" s="2"/>
      <c r="R142" s="97">
        <f t="shared" si="24"/>
        <v>2930.8665273233273</v>
      </c>
      <c r="S142" s="97">
        <f t="shared" si="24"/>
        <v>0</v>
      </c>
      <c r="T142" s="97">
        <f t="shared" si="25"/>
        <v>0</v>
      </c>
      <c r="U142" s="97">
        <f t="shared" si="25"/>
        <v>2930.8665273233273</v>
      </c>
      <c r="V142" s="2"/>
      <c r="W142" s="2"/>
      <c r="X142" s="2"/>
    </row>
    <row r="143" spans="1:25" s="10" customFormat="1" ht="11.25" x14ac:dyDescent="0.2">
      <c r="A143" s="44">
        <f t="shared" si="21"/>
        <v>106</v>
      </c>
      <c r="B143" s="280" t="s">
        <v>227</v>
      </c>
      <c r="C143" s="97">
        <f>SUM(C144:C147)</f>
        <v>0</v>
      </c>
      <c r="D143" s="97">
        <f>SUM(D144:D147)</f>
        <v>9664.6893988915035</v>
      </c>
      <c r="E143" s="97">
        <f>SUM(E144:E147)</f>
        <v>0</v>
      </c>
      <c r="F143" s="117">
        <f>SUM(F144:F147)</f>
        <v>9664.6893988915035</v>
      </c>
      <c r="G143" s="2"/>
      <c r="H143" s="97"/>
      <c r="I143" s="97"/>
      <c r="J143" s="97"/>
      <c r="K143" s="97"/>
      <c r="L143" s="2"/>
      <c r="M143" s="97"/>
      <c r="N143" s="97"/>
      <c r="O143" s="97"/>
      <c r="P143" s="97"/>
      <c r="Q143" s="2"/>
      <c r="R143" s="97">
        <f t="shared" si="24"/>
        <v>0</v>
      </c>
      <c r="S143" s="97">
        <f t="shared" si="24"/>
        <v>9664.6893988915035</v>
      </c>
      <c r="T143" s="97">
        <f t="shared" si="25"/>
        <v>0</v>
      </c>
      <c r="U143" s="97">
        <f t="shared" si="25"/>
        <v>9664.6893988915035</v>
      </c>
      <c r="V143" s="2"/>
      <c r="W143" s="2"/>
      <c r="X143" s="2"/>
    </row>
    <row r="144" spans="1:25" s="10" customFormat="1" ht="11.25" x14ac:dyDescent="0.2">
      <c r="A144" s="44">
        <f t="shared" si="21"/>
        <v>107</v>
      </c>
      <c r="B144" s="285" t="s">
        <v>249</v>
      </c>
      <c r="C144" s="97"/>
      <c r="D144" s="97">
        <f>F144</f>
        <v>6227.8720637710358</v>
      </c>
      <c r="E144" s="97"/>
      <c r="F144" s="117">
        <f>IF([1]CARMM!$C$21&lt;&gt;0,[1]CARMM!$C$21/[1]CARMM!$D$21*'[1]CS6&amp;7 CRA'!$D37,0)/1000</f>
        <v>6227.8720637710358</v>
      </c>
      <c r="G144" s="2"/>
      <c r="H144" s="97"/>
      <c r="I144" s="97"/>
      <c r="J144" s="97"/>
      <c r="K144" s="97"/>
      <c r="L144" s="2"/>
      <c r="M144" s="97"/>
      <c r="N144" s="97"/>
      <c r="O144" s="97"/>
      <c r="P144" s="97"/>
      <c r="Q144" s="2"/>
      <c r="R144" s="97">
        <f t="shared" si="24"/>
        <v>0</v>
      </c>
      <c r="S144" s="97">
        <f t="shared" si="24"/>
        <v>6227.8720637710358</v>
      </c>
      <c r="T144" s="97">
        <f t="shared" si="25"/>
        <v>0</v>
      </c>
      <c r="U144" s="97">
        <f t="shared" si="25"/>
        <v>6227.8720637710358</v>
      </c>
      <c r="V144" s="2"/>
      <c r="W144" s="2"/>
      <c r="X144" s="2"/>
    </row>
    <row r="145" spans="1:26" s="10" customFormat="1" ht="11.25" x14ac:dyDescent="0.2">
      <c r="A145" s="44">
        <f t="shared" si="21"/>
        <v>108</v>
      </c>
      <c r="B145" s="285" t="s">
        <v>250</v>
      </c>
      <c r="C145" s="97"/>
      <c r="D145" s="97">
        <f>F145</f>
        <v>3436.8173351204669</v>
      </c>
      <c r="E145" s="97"/>
      <c r="F145" s="117">
        <f>([1]CARMM!$C$25/[1]CARMM!$D$25)*'[1]CS6&amp;7 CRA'!$D38/1000</f>
        <v>3436.8173351204669</v>
      </c>
      <c r="G145" s="2"/>
      <c r="H145" s="97"/>
      <c r="I145" s="97"/>
      <c r="J145" s="97"/>
      <c r="K145" s="97"/>
      <c r="L145" s="2"/>
      <c r="M145" s="97"/>
      <c r="N145" s="97"/>
      <c r="O145" s="97"/>
      <c r="P145" s="97"/>
      <c r="Q145" s="2"/>
      <c r="R145" s="97">
        <f t="shared" si="24"/>
        <v>0</v>
      </c>
      <c r="S145" s="97">
        <f t="shared" si="24"/>
        <v>3436.8173351204669</v>
      </c>
      <c r="T145" s="97">
        <f t="shared" si="25"/>
        <v>0</v>
      </c>
      <c r="U145" s="97">
        <f t="shared" si="25"/>
        <v>3436.8173351204669</v>
      </c>
      <c r="V145" s="2"/>
      <c r="W145" s="2"/>
      <c r="X145" s="2"/>
    </row>
    <row r="146" spans="1:26" s="10" customFormat="1" ht="11.25" x14ac:dyDescent="0.2">
      <c r="A146" s="44">
        <f t="shared" si="21"/>
        <v>109</v>
      </c>
      <c r="B146" s="285" t="s">
        <v>251</v>
      </c>
      <c r="C146" s="97"/>
      <c r="D146" s="97"/>
      <c r="E146" s="97">
        <f>F146</f>
        <v>0</v>
      </c>
      <c r="F146" s="117">
        <f>IF([1]CARMM!$C$24&lt;&gt;0,[1]CARMM!$C$24/[1]CARMM!$D$24*'[1]CS6&amp;7 CRA'!$D39,0)/1000</f>
        <v>0</v>
      </c>
      <c r="G146" s="2"/>
      <c r="H146" s="97"/>
      <c r="I146" s="97"/>
      <c r="J146" s="97"/>
      <c r="K146" s="97"/>
      <c r="L146" s="2"/>
      <c r="M146" s="97"/>
      <c r="N146" s="97"/>
      <c r="O146" s="97"/>
      <c r="P146" s="97"/>
      <c r="Q146" s="2"/>
      <c r="R146" s="97">
        <f t="shared" si="24"/>
        <v>0</v>
      </c>
      <c r="S146" s="97">
        <f t="shared" si="24"/>
        <v>0</v>
      </c>
      <c r="T146" s="97">
        <f t="shared" si="25"/>
        <v>0</v>
      </c>
      <c r="U146" s="97">
        <f t="shared" si="25"/>
        <v>0</v>
      </c>
      <c r="V146" s="2"/>
      <c r="W146" s="2"/>
      <c r="X146" s="2"/>
    </row>
    <row r="147" spans="1:26" s="10" customFormat="1" ht="11.25" x14ac:dyDescent="0.2">
      <c r="A147" s="44">
        <f t="shared" si="21"/>
        <v>110</v>
      </c>
      <c r="B147" s="380" t="s">
        <v>252</v>
      </c>
      <c r="C147" s="97"/>
      <c r="D147" s="97"/>
      <c r="E147" s="97">
        <f>F147</f>
        <v>0</v>
      </c>
      <c r="F147" s="122">
        <f>IF([1]CARMM!$C$29&lt;&gt;0,[1]CARMM!$C$29/[1]CARMM!$D$29*'[1]CS6&amp;7 CRA'!$D40,0)/1000</f>
        <v>0</v>
      </c>
      <c r="G147" s="2"/>
      <c r="H147" s="97"/>
      <c r="I147" s="97"/>
      <c r="J147" s="97"/>
      <c r="K147" s="97"/>
      <c r="L147" s="2"/>
      <c r="M147" s="97"/>
      <c r="N147" s="97"/>
      <c r="O147" s="97"/>
      <c r="P147" s="97"/>
      <c r="Q147" s="2"/>
      <c r="R147" s="97">
        <f t="shared" si="24"/>
        <v>0</v>
      </c>
      <c r="S147" s="97">
        <f t="shared" si="24"/>
        <v>0</v>
      </c>
      <c r="T147" s="97">
        <f t="shared" si="25"/>
        <v>0</v>
      </c>
      <c r="U147" s="97">
        <f t="shared" si="25"/>
        <v>0</v>
      </c>
      <c r="V147" s="2"/>
      <c r="W147" s="2"/>
      <c r="X147" s="2"/>
    </row>
    <row r="148" spans="1:26" s="2" customFormat="1" ht="11.25" x14ac:dyDescent="0.2">
      <c r="A148" s="79">
        <f>A147+1</f>
        <v>111</v>
      </c>
      <c r="B148" s="281" t="s">
        <v>232</v>
      </c>
      <c r="C148" s="284">
        <f>('9.ByShape'!$H$15/'9.ByShape'!$H$18)*$F$148</f>
        <v>31.032815135369869</v>
      </c>
      <c r="D148" s="377">
        <f>('9.ByShape'!$H$16/'9.ByShape'!$H$18)*$F$148</f>
        <v>26790.882651215699</v>
      </c>
      <c r="E148" s="284">
        <f>('9.ByShape'!$H$17/'9.ByShape'!$H$18)*$F$148</f>
        <v>9.1492063123054947</v>
      </c>
      <c r="F148" s="122">
        <f>('9.ByShape'!H$13/'9.ByShape'!I$13)*'[1]CS6&amp;7 CRA'!$D$25</f>
        <v>26831.064672663375</v>
      </c>
      <c r="H148" s="284"/>
      <c r="I148" s="374"/>
      <c r="J148" s="284"/>
      <c r="K148" s="284"/>
      <c r="M148" s="284"/>
      <c r="N148" s="374"/>
      <c r="O148" s="284"/>
      <c r="P148" s="284"/>
      <c r="R148" s="284">
        <f t="shared" ref="R148:U148" si="26">SUM(C148,H148,M148)</f>
        <v>31.032815135369869</v>
      </c>
      <c r="S148" s="284">
        <f t="shared" si="26"/>
        <v>26790.882651215699</v>
      </c>
      <c r="T148" s="284">
        <f t="shared" si="26"/>
        <v>9.1492063123054947</v>
      </c>
      <c r="U148" s="284">
        <f t="shared" si="26"/>
        <v>26831.064672663375</v>
      </c>
      <c r="Y148" s="7"/>
    </row>
    <row r="149" spans="1:26" s="2" customFormat="1" ht="11.25" x14ac:dyDescent="0.2">
      <c r="A149" s="485">
        <f t="shared" si="21"/>
        <v>112</v>
      </c>
      <c r="B149" s="133" t="s">
        <v>228</v>
      </c>
      <c r="C149" s="230"/>
      <c r="D149" s="230"/>
      <c r="E149" s="113"/>
      <c r="F149" s="230"/>
      <c r="H149" s="230"/>
      <c r="I149" s="230"/>
      <c r="J149" s="113"/>
      <c r="K149" s="113"/>
      <c r="M149" s="230"/>
      <c r="N149" s="230"/>
      <c r="O149" s="113"/>
      <c r="P149" s="113"/>
      <c r="R149" s="230"/>
      <c r="S149" s="230"/>
      <c r="T149" s="113"/>
      <c r="U149" s="113"/>
      <c r="Y149" s="7"/>
      <c r="Z149" s="109"/>
    </row>
    <row r="150" spans="1:26" s="2" customFormat="1" ht="11.25" x14ac:dyDescent="0.2">
      <c r="A150" s="45">
        <f>A149+1</f>
        <v>113</v>
      </c>
      <c r="B150" s="144" t="s">
        <v>234</v>
      </c>
      <c r="C150" s="177">
        <v>0</v>
      </c>
      <c r="D150" s="376">
        <f>([1]CARMM!$C$43/SUM([1]CARMM!$C$43:$C$44))*F150</f>
        <v>96.823568805047714</v>
      </c>
      <c r="E150" s="376">
        <f>([1]CARMM!$C$44/SUM([1]CARMM!$C$43:$C$44))*F150</f>
        <v>1041.4087392089239</v>
      </c>
      <c r="F150" s="122">
        <f>SUM([1]CARMM!$C$43:$C$44)/1000/SUM([1]CARMM!$D$43:$D$44)*'[1]CS6&amp;7 CRA'!$D$29</f>
        <v>1138.2323080139715</v>
      </c>
      <c r="H150" s="177"/>
      <c r="I150" s="376"/>
      <c r="J150" s="376"/>
      <c r="K150" s="177"/>
      <c r="M150" s="177"/>
      <c r="N150" s="376"/>
      <c r="O150" s="376"/>
      <c r="P150" s="177"/>
      <c r="R150" s="177">
        <f t="shared" ref="R150:U150" si="27">SUM(C150,H150,M150)</f>
        <v>0</v>
      </c>
      <c r="S150" s="177">
        <f>SUM(D150,I150,N150)</f>
        <v>96.823568805047714</v>
      </c>
      <c r="T150" s="177">
        <f t="shared" si="27"/>
        <v>1041.4087392089239</v>
      </c>
      <c r="U150" s="177">
        <f t="shared" si="27"/>
        <v>1138.2323080139715</v>
      </c>
      <c r="Y150" s="7"/>
      <c r="Z150" s="109"/>
    </row>
    <row r="151" spans="1:26" s="2" customFormat="1" ht="11.25" x14ac:dyDescent="0.2">
      <c r="A151" s="54"/>
      <c r="C151" s="383"/>
      <c r="O151" s="135"/>
      <c r="P151" s="205"/>
    </row>
    <row r="152" spans="1:26" s="2" customFormat="1" ht="22.5" x14ac:dyDescent="0.2">
      <c r="A152" s="83"/>
      <c r="B152" s="200"/>
      <c r="C152" s="201" t="s">
        <v>35</v>
      </c>
      <c r="D152" s="202"/>
      <c r="E152" s="202"/>
      <c r="F152" s="203"/>
      <c r="H152" s="201" t="s">
        <v>34</v>
      </c>
      <c r="I152" s="202"/>
      <c r="J152" s="202"/>
      <c r="K152" s="203"/>
      <c r="M152" s="201" t="s">
        <v>33</v>
      </c>
      <c r="N152" s="202"/>
      <c r="O152" s="202"/>
      <c r="P152" s="203"/>
    </row>
    <row r="153" spans="1:26" s="2" customFormat="1" ht="12" customHeight="1" x14ac:dyDescent="0.2">
      <c r="A153" s="55"/>
      <c r="B153" s="48" t="s">
        <v>22</v>
      </c>
      <c r="C153" s="55">
        <f>U135-1</f>
        <v>-61</v>
      </c>
      <c r="D153" s="55">
        <f>C153-1</f>
        <v>-62</v>
      </c>
      <c r="E153" s="55">
        <f>D153-1</f>
        <v>-63</v>
      </c>
      <c r="F153" s="55">
        <f>E153-1</f>
        <v>-64</v>
      </c>
      <c r="H153" s="55">
        <f>F153-1</f>
        <v>-65</v>
      </c>
      <c r="I153" s="55">
        <f>H153-1</f>
        <v>-66</v>
      </c>
      <c r="J153" s="55">
        <f>I153-1</f>
        <v>-67</v>
      </c>
      <c r="K153" s="55">
        <f>J153-1</f>
        <v>-68</v>
      </c>
      <c r="M153" s="55"/>
      <c r="N153" s="55"/>
      <c r="O153" s="55"/>
      <c r="P153" s="55"/>
    </row>
    <row r="154" spans="1:26" s="2" customFormat="1" ht="56.25" x14ac:dyDescent="0.2">
      <c r="A154" s="84"/>
      <c r="B154" s="39" t="s">
        <v>95</v>
      </c>
      <c r="C154" s="53" t="str">
        <f>"C"&amp;-C80&amp;", C"&amp;-C99&amp;", C"&amp;-C135 &amp; " + " &amp;NOTES!A13&amp;" C"&amp;-'9.ByShape'!$H6</f>
        <v>C29, C37, C45 + 9.ByShape C5</v>
      </c>
      <c r="D154" s="53" t="str">
        <f>"C"&amp;-D80&amp;", C"&amp;-D99&amp;", C"&amp;-D135&amp;" + "&amp;NOTES!A13&amp;"; L"&amp;A168&amp;"[UDCInputs.xls]CARMM"</f>
        <v>C30, C38, C46 + 9.ByShape; L127[UDCInputs.xls]CARMM</v>
      </c>
      <c r="E154" s="53" t="str">
        <f>"C"&amp;-E80&amp;", C"&amp;-E99&amp;", C"&amp;-E135&amp;" + "&amp;NOTES!A13&amp;"; L"&amp;A168&amp;"[UDCInputs.xls]CARMM"</f>
        <v>C31, C39, C47 + 9.ByShape; L127[UDCInputs.xls]CARMM</v>
      </c>
      <c r="F154" s="53" t="str">
        <f>"C"&amp;-F80&amp;", C"&amp;-F99&amp;", C"&amp;-F135&amp;" + [UDCInputs.xls]CARMM; L"&amp;A166&amp;" 9.ByShape"</f>
        <v>C32, C40, C48 + [UDCInputs.xls]CARMM; L125 9.ByShape</v>
      </c>
      <c r="H154" s="53" t="str">
        <f>"C"&amp;-H7&amp;", C"&amp;-M7&amp;", C"&amp;-R7&amp;", C"&amp;-H135&amp;""</f>
        <v>C5, C9, C13, C49</v>
      </c>
      <c r="I154" s="53" t="str">
        <f>"C"&amp;-I7&amp;", C"&amp;-N7&amp;", C"&amp;-S7&amp;", C"&amp;-I135&amp;""</f>
        <v>C6, C10, C14, C50</v>
      </c>
      <c r="J154" s="53" t="str">
        <f>"C"&amp;-J7&amp;", C"&amp;-O7&amp;", C"&amp;-T7&amp;", C"&amp;-J135&amp;""</f>
        <v>C7, C11, C15, C51</v>
      </c>
      <c r="K154" s="53" t="str">
        <f>"C"&amp;-K7&amp;", C"&amp;-P7&amp;", C"&amp;-U7&amp;", C"&amp;-K135&amp;""</f>
        <v>C8, C12, C16, C52</v>
      </c>
      <c r="M154" s="53" t="str">
        <f>"C"&amp;-M135&amp;""</f>
        <v>C53</v>
      </c>
      <c r="N154" s="53" t="str">
        <f>"C"&amp;-N135&amp;""</f>
        <v>C54</v>
      </c>
      <c r="O154" s="53" t="str">
        <f>"C"&amp;-O135&amp;""</f>
        <v>C55</v>
      </c>
      <c r="P154" s="53" t="str">
        <f>"C"&amp;-P135&amp;""</f>
        <v>C56</v>
      </c>
      <c r="S154" s="223"/>
    </row>
    <row r="155" spans="1:26" s="10" customFormat="1" ht="11.25" x14ac:dyDescent="0.2">
      <c r="A155" s="55">
        <f>A150+1</f>
        <v>114</v>
      </c>
      <c r="B155" s="133" t="s">
        <v>74</v>
      </c>
      <c r="C155" s="60" t="s">
        <v>70</v>
      </c>
      <c r="D155" s="60" t="s">
        <v>71</v>
      </c>
      <c r="E155" s="60" t="s">
        <v>73</v>
      </c>
      <c r="F155" s="60" t="s">
        <v>72</v>
      </c>
      <c r="G155" s="2"/>
      <c r="H155" s="60" t="s">
        <v>70</v>
      </c>
      <c r="I155" s="60" t="s">
        <v>71</v>
      </c>
      <c r="J155" s="60" t="s">
        <v>73</v>
      </c>
      <c r="K155" s="60" t="s">
        <v>72</v>
      </c>
      <c r="L155" s="2"/>
      <c r="M155" s="60" t="s">
        <v>70</v>
      </c>
      <c r="N155" s="60" t="s">
        <v>71</v>
      </c>
      <c r="O155" s="60" t="s">
        <v>73</v>
      </c>
      <c r="P155" s="60" t="s">
        <v>72</v>
      </c>
      <c r="Q155" s="2"/>
      <c r="R155" s="2"/>
      <c r="S155" s="2"/>
      <c r="T155" s="2"/>
      <c r="U155" s="2"/>
      <c r="V155" s="2"/>
      <c r="W155" s="2"/>
    </row>
    <row r="156" spans="1:26" s="2" customFormat="1" ht="11.25" x14ac:dyDescent="0.2">
      <c r="A156" s="44">
        <f t="shared" ref="A156:A165" si="28">A155+1</f>
        <v>115</v>
      </c>
      <c r="B156" s="382" t="s">
        <v>220</v>
      </c>
      <c r="C156" s="97">
        <f>F156</f>
        <v>444288.18152800424</v>
      </c>
      <c r="D156" s="97"/>
      <c r="E156" s="97"/>
      <c r="F156" s="122">
        <f>SUM(F83,F102,F120,F138)+([1]CARMM!$C$10/1000)</f>
        <v>444288.18152800424</v>
      </c>
      <c r="H156" s="97">
        <f>K156</f>
        <v>40529.608354424505</v>
      </c>
      <c r="I156" s="97"/>
      <c r="J156" s="97"/>
      <c r="K156" s="97">
        <f>SUM(K11,P11,U11,K138)</f>
        <v>40529.608354424505</v>
      </c>
      <c r="M156" s="97">
        <f>P156</f>
        <v>0</v>
      </c>
      <c r="N156" s="97"/>
      <c r="O156" s="97"/>
      <c r="P156" s="97">
        <f>P138</f>
        <v>0</v>
      </c>
    </row>
    <row r="157" spans="1:26" s="2" customFormat="1" ht="11.25" x14ac:dyDescent="0.2">
      <c r="A157" s="44">
        <f>A156+1</f>
        <v>116</v>
      </c>
      <c r="B157" s="124" t="s">
        <v>346</v>
      </c>
      <c r="C157" s="283"/>
      <c r="D157" s="283"/>
      <c r="E157" s="283"/>
      <c r="F157" s="283"/>
      <c r="H157" s="283"/>
      <c r="I157" s="283"/>
      <c r="J157" s="283"/>
      <c r="K157" s="283"/>
      <c r="M157" s="283"/>
      <c r="N157" s="283"/>
      <c r="O157" s="283"/>
      <c r="P157" s="283"/>
      <c r="R157" s="8"/>
      <c r="S157" s="8"/>
      <c r="T157" s="8"/>
      <c r="U157" s="8"/>
    </row>
    <row r="158" spans="1:26" s="2" customFormat="1" ht="11.25" x14ac:dyDescent="0.2">
      <c r="A158" s="44">
        <f t="shared" si="28"/>
        <v>117</v>
      </c>
      <c r="B158" s="280" t="s">
        <v>226</v>
      </c>
      <c r="C158" s="97"/>
      <c r="D158" s="97"/>
      <c r="E158" s="97"/>
      <c r="F158" s="117"/>
      <c r="H158" s="97"/>
      <c r="I158" s="97"/>
      <c r="J158" s="97"/>
      <c r="K158" s="97"/>
      <c r="M158" s="97"/>
      <c r="N158" s="97"/>
      <c r="O158" s="97"/>
      <c r="P158" s="97"/>
      <c r="R158" s="8"/>
      <c r="S158" s="8"/>
      <c r="T158" s="8"/>
      <c r="U158" s="8"/>
    </row>
    <row r="159" spans="1:26" s="2" customFormat="1" ht="11.25" x14ac:dyDescent="0.2">
      <c r="A159" s="44">
        <f t="shared" si="28"/>
        <v>118</v>
      </c>
      <c r="B159" s="285" t="s">
        <v>231</v>
      </c>
      <c r="C159" s="97">
        <f>F159</f>
        <v>90655.083071300964</v>
      </c>
      <c r="D159" s="97"/>
      <c r="E159" s="97"/>
      <c r="F159" s="117">
        <f>SUM(F86,F105,F123,F141)+([1]CARMM!$C$18/1000)</f>
        <v>90655.083071300964</v>
      </c>
      <c r="H159" s="97">
        <f>K159</f>
        <v>0</v>
      </c>
      <c r="I159" s="97"/>
      <c r="J159" s="97"/>
      <c r="K159" s="97">
        <f>SUM(K14,P14,K141)</f>
        <v>0</v>
      </c>
      <c r="M159" s="97">
        <f>P159</f>
        <v>0</v>
      </c>
      <c r="N159" s="97"/>
      <c r="O159" s="97"/>
      <c r="P159" s="97">
        <f>P141</f>
        <v>0</v>
      </c>
      <c r="R159" s="8"/>
      <c r="S159" s="8"/>
      <c r="T159" s="8"/>
      <c r="U159" s="8"/>
    </row>
    <row r="160" spans="1:26" s="2" customFormat="1" ht="11.25" x14ac:dyDescent="0.2">
      <c r="A160" s="44">
        <f t="shared" si="28"/>
        <v>119</v>
      </c>
      <c r="B160" s="285" t="s">
        <v>248</v>
      </c>
      <c r="C160" s="97">
        <f>F160</f>
        <v>72158.312158174071</v>
      </c>
      <c r="D160" s="97"/>
      <c r="E160" s="97"/>
      <c r="F160" s="117">
        <f>SUM(F87,F106,F124,F142)+([1]CARMM!$C$19/1000)</f>
        <v>72158.312158174071</v>
      </c>
      <c r="H160" s="97">
        <f>K160</f>
        <v>0</v>
      </c>
      <c r="I160" s="97"/>
      <c r="J160" s="97"/>
      <c r="K160" s="97">
        <f>SUM(K15,P15,U15,K142)</f>
        <v>0</v>
      </c>
      <c r="M160" s="97">
        <f>P160</f>
        <v>0</v>
      </c>
      <c r="N160" s="97"/>
      <c r="O160" s="97"/>
      <c r="P160" s="97">
        <f>P142</f>
        <v>0</v>
      </c>
      <c r="R160" s="8"/>
      <c r="S160" s="8"/>
      <c r="T160" s="8"/>
      <c r="U160" s="8"/>
    </row>
    <row r="161" spans="1:21" s="2" customFormat="1" ht="11.25" x14ac:dyDescent="0.2">
      <c r="A161" s="44">
        <f t="shared" si="28"/>
        <v>120</v>
      </c>
      <c r="B161" s="280" t="s">
        <v>227</v>
      </c>
      <c r="C161" s="97"/>
      <c r="D161" s="97"/>
      <c r="E161" s="97"/>
      <c r="F161" s="117"/>
      <c r="H161" s="97"/>
      <c r="I161" s="97"/>
      <c r="J161" s="97"/>
      <c r="K161" s="97"/>
      <c r="M161" s="97"/>
      <c r="N161" s="97"/>
      <c r="O161" s="97"/>
      <c r="P161" s="97"/>
      <c r="R161" s="8"/>
      <c r="S161" s="8"/>
      <c r="T161" s="8"/>
      <c r="U161" s="8"/>
    </row>
    <row r="162" spans="1:21" s="2" customFormat="1" ht="11.25" x14ac:dyDescent="0.2">
      <c r="A162" s="44">
        <f t="shared" si="28"/>
        <v>121</v>
      </c>
      <c r="B162" s="285" t="s">
        <v>249</v>
      </c>
      <c r="C162" s="97"/>
      <c r="D162" s="97">
        <f>F162</f>
        <v>67871.056350460771</v>
      </c>
      <c r="E162" s="97"/>
      <c r="F162" s="117">
        <f>SUM(F89,F108,F126,F144)+([1]CARMM!$C$23/1000)</f>
        <v>67871.056350460771</v>
      </c>
      <c r="H162" s="97"/>
      <c r="I162" s="97">
        <f>K162</f>
        <v>0</v>
      </c>
      <c r="J162" s="97"/>
      <c r="K162" s="97">
        <f>SUM(K17,P17,U17,K144)</f>
        <v>0</v>
      </c>
      <c r="M162" s="97"/>
      <c r="N162" s="97">
        <f>P162</f>
        <v>0</v>
      </c>
      <c r="O162" s="97"/>
      <c r="P162" s="97">
        <f>P144</f>
        <v>0</v>
      </c>
      <c r="R162" s="8"/>
      <c r="S162" s="8"/>
      <c r="T162" s="8"/>
      <c r="U162" s="8"/>
    </row>
    <row r="163" spans="1:21" s="2" customFormat="1" ht="11.25" x14ac:dyDescent="0.2">
      <c r="A163" s="44">
        <f t="shared" si="28"/>
        <v>122</v>
      </c>
      <c r="B163" s="285" t="s">
        <v>250</v>
      </c>
      <c r="C163" s="97"/>
      <c r="D163" s="97">
        <f>F163</f>
        <v>214022.46400963355</v>
      </c>
      <c r="E163" s="97"/>
      <c r="F163" s="117">
        <f>SUM(F90,F109,F127,F145)+([1]CARMM!$C$27/1000)</f>
        <v>214022.46400963355</v>
      </c>
      <c r="H163" s="97"/>
      <c r="I163" s="97">
        <f>K163</f>
        <v>0</v>
      </c>
      <c r="J163" s="97"/>
      <c r="K163" s="97">
        <f>SUM(K18,P18,U18,K145)</f>
        <v>0</v>
      </c>
      <c r="M163" s="97"/>
      <c r="N163" s="97">
        <f>P163</f>
        <v>0</v>
      </c>
      <c r="O163" s="97"/>
      <c r="P163" s="97">
        <f>P145</f>
        <v>0</v>
      </c>
      <c r="R163" s="8"/>
      <c r="S163" s="8"/>
      <c r="T163" s="8"/>
      <c r="U163" s="8"/>
    </row>
    <row r="164" spans="1:21" s="2" customFormat="1" ht="11.25" x14ac:dyDescent="0.2">
      <c r="A164" s="44">
        <f t="shared" si="28"/>
        <v>123</v>
      </c>
      <c r="B164" s="285" t="s">
        <v>251</v>
      </c>
      <c r="C164" s="97"/>
      <c r="D164" s="97"/>
      <c r="E164" s="97">
        <f>F164</f>
        <v>0</v>
      </c>
      <c r="F164" s="117">
        <f>SUM(F91,F110,F128,F146)+([1]CARMM!$C$24/1000)</f>
        <v>0</v>
      </c>
      <c r="H164" s="97"/>
      <c r="I164" s="97"/>
      <c r="J164" s="97">
        <f>K164</f>
        <v>0</v>
      </c>
      <c r="K164" s="97">
        <f>SUM(K19,P19,U19,K146)</f>
        <v>0</v>
      </c>
      <c r="M164" s="97"/>
      <c r="N164" s="97"/>
      <c r="O164" s="97">
        <f>P164</f>
        <v>0</v>
      </c>
      <c r="P164" s="97">
        <f>P146</f>
        <v>0</v>
      </c>
      <c r="R164" s="8"/>
      <c r="S164" s="8"/>
      <c r="T164" s="8"/>
      <c r="U164" s="8"/>
    </row>
    <row r="165" spans="1:21" s="2" customFormat="1" ht="11.25" x14ac:dyDescent="0.2">
      <c r="A165" s="44">
        <f t="shared" si="28"/>
        <v>124</v>
      </c>
      <c r="B165" s="380" t="s">
        <v>252</v>
      </c>
      <c r="C165" s="97"/>
      <c r="D165" s="97"/>
      <c r="E165" s="97">
        <f>F165</f>
        <v>0</v>
      </c>
      <c r="F165" s="122">
        <f>SUM(F92,F111,F129,F147)+([1]CARMM!$C$29/1000)</f>
        <v>0</v>
      </c>
      <c r="H165" s="97"/>
      <c r="I165" s="97"/>
      <c r="J165" s="97">
        <f>K165</f>
        <v>0</v>
      </c>
      <c r="K165" s="97">
        <f>SUM(K20,P20,U20,K147)</f>
        <v>0</v>
      </c>
      <c r="M165" s="97"/>
      <c r="N165" s="97"/>
      <c r="O165" s="97">
        <f>P165</f>
        <v>0</v>
      </c>
      <c r="P165" s="97">
        <f>P147</f>
        <v>0</v>
      </c>
      <c r="R165" s="8"/>
      <c r="S165" s="8"/>
      <c r="T165" s="8"/>
      <c r="U165" s="8"/>
    </row>
    <row r="166" spans="1:21" s="2" customFormat="1" ht="11.25" x14ac:dyDescent="0.2">
      <c r="A166" s="79">
        <f>A165+1</f>
        <v>125</v>
      </c>
      <c r="B166" s="281" t="s">
        <v>232</v>
      </c>
      <c r="C166" s="284">
        <f>SUM(C94,C112,C130,C148)+('9.ByShape'!H15/1000)</f>
        <v>476.5956028816895</v>
      </c>
      <c r="D166" s="284">
        <f>SUM(D94,D112,D130,D148)+('9.ByShape'!H16/1000)</f>
        <v>253055.50543426021</v>
      </c>
      <c r="E166" s="284">
        <f>SUM(E94,E112,E130,E148)+('9.ByShape'!H17/1000)</f>
        <v>309.75098557642519</v>
      </c>
      <c r="F166" s="122">
        <f>SUM(F94,F112,F130,F148)+('9.ByShape'!H18/1000)</f>
        <v>253841.85202271835</v>
      </c>
      <c r="H166" s="284">
        <f>SUM(H21,M21,R21,H148)</f>
        <v>0.35798886648810041</v>
      </c>
      <c r="I166" s="284">
        <f>SUM(I21,N21,S21,I148)</f>
        <v>67.38503050768081</v>
      </c>
      <c r="J166" s="284">
        <f>SUM(J21,O21,T21,J148)</f>
        <v>4.2684244788026869E-2</v>
      </c>
      <c r="K166" s="284">
        <f>SUM(K21,P21,U21,K148)</f>
        <v>67.785703618956944</v>
      </c>
      <c r="M166" s="284">
        <f>M148</f>
        <v>0</v>
      </c>
      <c r="N166" s="284">
        <f>N148</f>
        <v>0</v>
      </c>
      <c r="O166" s="284">
        <f>O148</f>
        <v>0</v>
      </c>
      <c r="P166" s="284">
        <f>P148</f>
        <v>0</v>
      </c>
      <c r="R166" s="8"/>
      <c r="S166" s="8"/>
      <c r="T166" s="8"/>
      <c r="U166" s="8"/>
    </row>
    <row r="167" spans="1:21" s="2" customFormat="1" ht="11.25" x14ac:dyDescent="0.2">
      <c r="A167" s="485">
        <f t="shared" ref="A167" si="29">A166+1</f>
        <v>126</v>
      </c>
      <c r="B167" s="133" t="s">
        <v>228</v>
      </c>
      <c r="C167" s="230"/>
      <c r="D167" s="230"/>
      <c r="E167" s="113"/>
      <c r="F167" s="230"/>
      <c r="H167" s="230"/>
      <c r="I167" s="230"/>
      <c r="J167" s="113"/>
      <c r="K167" s="113"/>
      <c r="M167" s="230"/>
      <c r="N167" s="230"/>
      <c r="O167" s="113"/>
      <c r="P167" s="113"/>
      <c r="R167" s="8"/>
      <c r="S167" s="8"/>
      <c r="T167" s="8"/>
      <c r="U167" s="8"/>
    </row>
    <row r="168" spans="1:21" s="2" customFormat="1" ht="11.25" x14ac:dyDescent="0.2">
      <c r="A168" s="45">
        <f>A167+1</f>
        <v>127</v>
      </c>
      <c r="B168" s="144" t="s">
        <v>234</v>
      </c>
      <c r="C168" s="177">
        <f>SUM(C96,C114,C132,C150)</f>
        <v>1.633380054484145</v>
      </c>
      <c r="D168" s="177">
        <f>SUM(D96,D114,D132,D150)+([1]CARMM!$C$43/1000)</f>
        <v>846.6978879929087</v>
      </c>
      <c r="E168" s="177">
        <f>SUM(E96,E114,E132,E150)+([1]CARMM!$C$44/1000)</f>
        <v>26990.663881238692</v>
      </c>
      <c r="F168" s="122">
        <f>SUM(F96,F114,F132,F150)+(SUM([1]CARMM!$C$43:$C$44)/1000)</f>
        <v>27838.995149286086</v>
      </c>
      <c r="H168" s="177">
        <f>SUM(H23,M23,R23,H150)</f>
        <v>7.9986767192592775E-2</v>
      </c>
      <c r="I168" s="177">
        <f>SUM(I23,N23,S23,I150)</f>
        <v>0.86164122899063922</v>
      </c>
      <c r="J168" s="177">
        <f>SUM(J23,O23,T23,J150)</f>
        <v>3910.1692070185363</v>
      </c>
      <c r="K168" s="177">
        <f>SUM(K23,P23,U23,K150)</f>
        <v>3911.1108350147197</v>
      </c>
      <c r="M168" s="177">
        <f>M150</f>
        <v>0</v>
      </c>
      <c r="N168" s="177">
        <f>N150</f>
        <v>0</v>
      </c>
      <c r="O168" s="177">
        <f>O150</f>
        <v>0</v>
      </c>
      <c r="P168" s="177">
        <f>P150</f>
        <v>0</v>
      </c>
      <c r="R168" s="8"/>
      <c r="S168" s="8"/>
      <c r="T168" s="8"/>
      <c r="U168" s="8"/>
    </row>
    <row r="169" spans="1:21" s="2" customFormat="1" ht="11.25" x14ac:dyDescent="0.2">
      <c r="A169" s="54"/>
      <c r="C169" s="204"/>
      <c r="D169" s="204"/>
      <c r="E169" s="204"/>
      <c r="F169" s="204"/>
    </row>
    <row r="170" spans="1:21" s="2" customFormat="1" ht="22.5" x14ac:dyDescent="0.2">
      <c r="A170" s="83"/>
      <c r="B170" s="200"/>
      <c r="C170" s="201" t="s">
        <v>253</v>
      </c>
      <c r="D170" s="202"/>
      <c r="E170" s="202"/>
      <c r="F170" s="203"/>
    </row>
    <row r="171" spans="1:21" s="2" customFormat="1" ht="11.25" x14ac:dyDescent="0.2">
      <c r="A171" s="55"/>
      <c r="B171" s="48" t="s">
        <v>22</v>
      </c>
      <c r="C171" s="55">
        <f>K153-1</f>
        <v>-69</v>
      </c>
      <c r="D171" s="55">
        <f>C171-1</f>
        <v>-70</v>
      </c>
      <c r="E171" s="55">
        <f>D171-1</f>
        <v>-71</v>
      </c>
      <c r="F171" s="55">
        <f>E171-1</f>
        <v>-72</v>
      </c>
    </row>
    <row r="172" spans="1:21" s="2" customFormat="1" ht="35.25" customHeight="1" x14ac:dyDescent="0.2">
      <c r="A172" s="84"/>
      <c r="B172" s="39" t="s">
        <v>95</v>
      </c>
      <c r="C172" s="53" t="str">
        <f>"C"&amp;-C7&amp;", C"&amp;-H7&amp;", C"&amp;-M7&amp;", C"&amp;-C26&amp;", C"&amp;-C44&amp;", C"&amp;-C62</f>
        <v>C1, C5, C9, C17, C21, C25</v>
      </c>
      <c r="D172" s="53" t="str">
        <f>"C"&amp;-D7&amp;", C"&amp;-I7&amp;", C"&amp;-N7&amp;", C"&amp;-D26&amp;", C"&amp;-D44&amp;", C"&amp;-D62</f>
        <v>C2, C6, C10, C18, C22, C26</v>
      </c>
      <c r="E172" s="53" t="str">
        <f>"C"&amp;-E7&amp;", C"&amp;-J7&amp;", C"&amp;-O7&amp;", C"&amp;-E26&amp;", C"&amp;-E44&amp;", C"&amp;-E62</f>
        <v>C3, C7, C11, C19, C23, C27</v>
      </c>
      <c r="F172" s="53" t="str">
        <f>"C"&amp;-F7&amp;", C"&amp;-K7&amp;", C"&amp;-P7&amp;", C"&amp;-F26&amp;", C"&amp;-F44&amp;", C"&amp;-F62</f>
        <v>C4, C8, C12, C20, C24, C28</v>
      </c>
    </row>
    <row r="173" spans="1:21" s="2" customFormat="1" ht="11.25" x14ac:dyDescent="0.2">
      <c r="A173" s="55">
        <f>A168+1</f>
        <v>128</v>
      </c>
      <c r="B173" s="133" t="s">
        <v>74</v>
      </c>
      <c r="C173" s="60" t="s">
        <v>70</v>
      </c>
      <c r="D173" s="60" t="s">
        <v>71</v>
      </c>
      <c r="E173" s="60" t="s">
        <v>73</v>
      </c>
      <c r="F173" s="60" t="s">
        <v>72</v>
      </c>
    </row>
    <row r="174" spans="1:21" s="2" customFormat="1" ht="11.25" x14ac:dyDescent="0.2">
      <c r="A174" s="44">
        <f t="shared" ref="A174:A183" si="30">A173+1</f>
        <v>129</v>
      </c>
      <c r="B174" s="382" t="s">
        <v>220</v>
      </c>
      <c r="C174" s="97">
        <f>SUM(C11,H11,R11,M11,C29,C47,C65)</f>
        <v>278445.27260591381</v>
      </c>
      <c r="D174" s="97">
        <f>SUM(D11,I11,N11,S11,D29,D47,D65)</f>
        <v>0</v>
      </c>
      <c r="E174" s="97">
        <f>SUM(E11,J11,O11,T11,E29,E47,E65)</f>
        <v>2527.3839377728482</v>
      </c>
      <c r="F174" s="97">
        <f>SUM(F11,K11,P11,U11,F29,F47,F65)</f>
        <v>280972.65654368669</v>
      </c>
      <c r="H174" s="153"/>
      <c r="I174" s="8"/>
      <c r="J174" s="331"/>
    </row>
    <row r="175" spans="1:21" s="2" customFormat="1" ht="11.25" x14ac:dyDescent="0.2">
      <c r="A175" s="44">
        <f>A174+1</f>
        <v>130</v>
      </c>
      <c r="B175" s="124" t="s">
        <v>346</v>
      </c>
      <c r="C175" s="283"/>
      <c r="D175" s="283"/>
      <c r="E175" s="283"/>
      <c r="F175" s="283"/>
      <c r="H175" s="153"/>
    </row>
    <row r="176" spans="1:21" s="2" customFormat="1" ht="11.25" x14ac:dyDescent="0.2">
      <c r="A176" s="44">
        <f t="shared" si="30"/>
        <v>131</v>
      </c>
      <c r="B176" s="280" t="s">
        <v>226</v>
      </c>
      <c r="C176" s="97"/>
      <c r="D176" s="97"/>
      <c r="E176" s="97"/>
      <c r="F176" s="97">
        <f>F177+F178</f>
        <v>94839.180104004103</v>
      </c>
      <c r="H176" s="153"/>
      <c r="I176" s="8"/>
      <c r="J176" s="331"/>
    </row>
    <row r="177" spans="1:16" s="2" customFormat="1" ht="11.25" x14ac:dyDescent="0.2">
      <c r="A177" s="44">
        <f t="shared" si="30"/>
        <v>132</v>
      </c>
      <c r="B177" s="285" t="s">
        <v>231</v>
      </c>
      <c r="C177" s="97">
        <f t="shared" ref="C177:F178" si="31">SUM(C14,H14,M14,R14,C32,C50,C68)</f>
        <v>49231.679622943411</v>
      </c>
      <c r="D177" s="97">
        <f t="shared" si="31"/>
        <v>0</v>
      </c>
      <c r="E177" s="97">
        <f t="shared" si="31"/>
        <v>0</v>
      </c>
      <c r="F177" s="97">
        <f t="shared" si="31"/>
        <v>49231.679622943411</v>
      </c>
      <c r="H177" s="153"/>
    </row>
    <row r="178" spans="1:16" s="2" customFormat="1" ht="11.25" x14ac:dyDescent="0.2">
      <c r="A178" s="44">
        <f t="shared" si="30"/>
        <v>133</v>
      </c>
      <c r="B178" s="285" t="s">
        <v>248</v>
      </c>
      <c r="C178" s="97">
        <f t="shared" si="31"/>
        <v>45607.500481060684</v>
      </c>
      <c r="D178" s="97">
        <f t="shared" si="31"/>
        <v>0</v>
      </c>
      <c r="E178" s="97">
        <f t="shared" si="31"/>
        <v>0</v>
      </c>
      <c r="F178" s="97">
        <f t="shared" si="31"/>
        <v>45607.500481060684</v>
      </c>
      <c r="H178" s="153"/>
      <c r="J178" s="331"/>
    </row>
    <row r="179" spans="1:16" s="2" customFormat="1" ht="11.25" x14ac:dyDescent="0.2">
      <c r="A179" s="44">
        <f t="shared" si="30"/>
        <v>134</v>
      </c>
      <c r="B179" s="280" t="s">
        <v>227</v>
      </c>
      <c r="C179" s="97"/>
      <c r="D179" s="97"/>
      <c r="E179" s="97"/>
      <c r="F179" s="97">
        <f>SUM(F180:F183)</f>
        <v>192903.98614349842</v>
      </c>
      <c r="H179" s="153"/>
      <c r="I179" s="8"/>
    </row>
    <row r="180" spans="1:16" s="2" customFormat="1" ht="11.25" x14ac:dyDescent="0.2">
      <c r="A180" s="44">
        <f t="shared" si="30"/>
        <v>135</v>
      </c>
      <c r="B180" s="285" t="s">
        <v>249</v>
      </c>
      <c r="C180" s="97">
        <f t="shared" ref="C180:F184" si="32">SUM(C17,H17,M17,R17,C35,C53,C71)</f>
        <v>31.934806056019241</v>
      </c>
      <c r="D180" s="97">
        <f t="shared" si="32"/>
        <v>13890.790698488207</v>
      </c>
      <c r="E180" s="97">
        <f t="shared" si="32"/>
        <v>0</v>
      </c>
      <c r="F180" s="97">
        <f t="shared" si="32"/>
        <v>13922.725504544225</v>
      </c>
      <c r="H180" s="153"/>
    </row>
    <row r="181" spans="1:16" s="2" customFormat="1" ht="11.25" x14ac:dyDescent="0.2">
      <c r="A181" s="44">
        <f t="shared" si="30"/>
        <v>136</v>
      </c>
      <c r="B181" s="285" t="s">
        <v>250</v>
      </c>
      <c r="C181" s="97">
        <f t="shared" si="32"/>
        <v>724.42798161580208</v>
      </c>
      <c r="D181" s="97">
        <f t="shared" si="32"/>
        <v>178256.83265733841</v>
      </c>
      <c r="E181" s="97">
        <f t="shared" si="32"/>
        <v>0</v>
      </c>
      <c r="F181" s="97">
        <f t="shared" si="32"/>
        <v>178981.26063895421</v>
      </c>
      <c r="H181" s="153"/>
      <c r="P181" s="8"/>
    </row>
    <row r="182" spans="1:16" s="2" customFormat="1" ht="11.25" x14ac:dyDescent="0.2">
      <c r="A182" s="44">
        <f t="shared" si="30"/>
        <v>137</v>
      </c>
      <c r="B182" s="285" t="s">
        <v>251</v>
      </c>
      <c r="C182" s="97">
        <f t="shared" si="32"/>
        <v>0</v>
      </c>
      <c r="D182" s="97">
        <f t="shared" si="32"/>
        <v>0</v>
      </c>
      <c r="E182" s="97">
        <f t="shared" si="32"/>
        <v>0</v>
      </c>
      <c r="F182" s="97">
        <f t="shared" si="32"/>
        <v>0</v>
      </c>
      <c r="H182" s="153"/>
    </row>
    <row r="183" spans="1:16" s="2" customFormat="1" ht="11.25" x14ac:dyDescent="0.2">
      <c r="A183" s="44">
        <f t="shared" si="30"/>
        <v>138</v>
      </c>
      <c r="B183" s="380" t="s">
        <v>252</v>
      </c>
      <c r="C183" s="97">
        <f t="shared" si="32"/>
        <v>0</v>
      </c>
      <c r="D183" s="97">
        <f t="shared" si="32"/>
        <v>0</v>
      </c>
      <c r="E183" s="97">
        <f t="shared" si="32"/>
        <v>0</v>
      </c>
      <c r="F183" s="97">
        <f t="shared" si="32"/>
        <v>0</v>
      </c>
      <c r="H183" s="153"/>
    </row>
    <row r="184" spans="1:16" s="2" customFormat="1" ht="11.25" x14ac:dyDescent="0.2">
      <c r="A184" s="79">
        <f>A183+1</f>
        <v>139</v>
      </c>
      <c r="B184" s="281" t="s">
        <v>232</v>
      </c>
      <c r="C184" s="284">
        <f t="shared" si="32"/>
        <v>204.38916784366029</v>
      </c>
      <c r="D184" s="284">
        <f t="shared" si="32"/>
        <v>22907.254104205775</v>
      </c>
      <c r="E184" s="284">
        <f t="shared" si="32"/>
        <v>223.99515147547908</v>
      </c>
      <c r="F184" s="284">
        <f t="shared" si="32"/>
        <v>23335.63842352491</v>
      </c>
      <c r="H184" s="153"/>
      <c r="I184" s="8"/>
    </row>
    <row r="185" spans="1:16" s="2" customFormat="1" ht="11.25" x14ac:dyDescent="0.2">
      <c r="A185" s="44">
        <f t="shared" ref="A185" si="33">A184+1</f>
        <v>140</v>
      </c>
      <c r="B185" s="133" t="s">
        <v>228</v>
      </c>
      <c r="C185" s="230"/>
      <c r="D185" s="230"/>
      <c r="E185" s="113"/>
      <c r="F185" s="113"/>
      <c r="H185" s="153"/>
    </row>
    <row r="186" spans="1:16" s="2" customFormat="1" ht="11.25" x14ac:dyDescent="0.2">
      <c r="A186" s="45">
        <f>A185+1</f>
        <v>141</v>
      </c>
      <c r="B186" s="144" t="s">
        <v>234</v>
      </c>
      <c r="C186" s="177">
        <f>SUM(C23,H23,M23,R23,C41,C59,C77)</f>
        <v>1.6608628397775984</v>
      </c>
      <c r="D186" s="177">
        <f>SUM(D23,I23,N23,S23,D41,D59,D77)</f>
        <v>17.891308133570597</v>
      </c>
      <c r="E186" s="177">
        <f>SUM(E23,J23,O23,T23,E41,E59,E77)</f>
        <v>21402.277037751715</v>
      </c>
      <c r="F186" s="177">
        <f>SUM(F23,K23,P23,U23,F41,F59,F77)</f>
        <v>21421.829208725063</v>
      </c>
      <c r="H186" s="153"/>
      <c r="I186" s="8"/>
    </row>
    <row r="187" spans="1:16" s="2" customFormat="1" ht="11.25" x14ac:dyDescent="0.2">
      <c r="A187" s="54"/>
      <c r="C187" s="204"/>
      <c r="D187" s="204"/>
      <c r="E187" s="204"/>
      <c r="F187" s="204"/>
    </row>
    <row r="188" spans="1:16" s="2" customFormat="1" ht="22.5" x14ac:dyDescent="0.2">
      <c r="A188" s="83"/>
      <c r="B188" s="200"/>
      <c r="C188" s="201" t="s">
        <v>379</v>
      </c>
      <c r="D188" s="202"/>
      <c r="E188" s="202"/>
      <c r="F188" s="203"/>
    </row>
    <row r="189" spans="1:16" s="2" customFormat="1" ht="11.25" x14ac:dyDescent="0.2">
      <c r="A189" s="55"/>
      <c r="B189" s="48" t="s">
        <v>22</v>
      </c>
      <c r="C189" s="55">
        <f>F171-1</f>
        <v>-73</v>
      </c>
      <c r="D189" s="55">
        <f>C189-1</f>
        <v>-74</v>
      </c>
      <c r="E189" s="55">
        <f>D189-1</f>
        <v>-75</v>
      </c>
      <c r="F189" s="55">
        <f>E189-1</f>
        <v>-76</v>
      </c>
    </row>
    <row r="190" spans="1:16" s="2" customFormat="1" ht="11.25" x14ac:dyDescent="0.2">
      <c r="A190" s="84"/>
      <c r="B190" s="39" t="s">
        <v>95</v>
      </c>
      <c r="C190" s="53" t="str">
        <f>"C"&amp;-M44&amp;", C"&amp;-C99</f>
        <v>C0, C37</v>
      </c>
      <c r="D190" s="53" t="str">
        <f>"C"&amp;-N44&amp;", C"&amp;-D99</f>
        <v>C0, C38</v>
      </c>
      <c r="E190" s="53" t="str">
        <f>"C"&amp;-O44&amp;", C"&amp;-E99</f>
        <v>C0, C39</v>
      </c>
      <c r="F190" s="53" t="str">
        <f>"C"&amp;-P44&amp;", C"&amp;-F99</f>
        <v>C0, C40</v>
      </c>
      <c r="K190" s="2" t="s">
        <v>19</v>
      </c>
    </row>
    <row r="191" spans="1:16" s="2" customFormat="1" ht="11.25" x14ac:dyDescent="0.2">
      <c r="A191" s="55">
        <f>A186+1</f>
        <v>142</v>
      </c>
      <c r="B191" s="133" t="s">
        <v>74</v>
      </c>
      <c r="C191" s="60" t="s">
        <v>70</v>
      </c>
      <c r="D191" s="60" t="s">
        <v>71</v>
      </c>
      <c r="E191" s="60" t="s">
        <v>73</v>
      </c>
      <c r="F191" s="60" t="s">
        <v>72</v>
      </c>
    </row>
    <row r="192" spans="1:16" s="2" customFormat="1" ht="11.25" x14ac:dyDescent="0.2">
      <c r="A192" s="44">
        <f t="shared" ref="A192:A201" si="34">A191+1</f>
        <v>143</v>
      </c>
      <c r="B192" s="382" t="s">
        <v>220</v>
      </c>
      <c r="C192" s="97">
        <f>SUM(C102)</f>
        <v>7924.3481456470017</v>
      </c>
      <c r="D192" s="97">
        <f>SUM(D102)</f>
        <v>0</v>
      </c>
      <c r="E192" s="97">
        <f>SUM(E102)</f>
        <v>61.235081797334239</v>
      </c>
      <c r="F192" s="97">
        <f>SUM(F102)</f>
        <v>7985.5832274443355</v>
      </c>
      <c r="H192" s="153"/>
      <c r="I192" s="8"/>
      <c r="K192" s="8" t="s">
        <v>19</v>
      </c>
    </row>
    <row r="193" spans="1:11" s="2" customFormat="1" ht="11.25" x14ac:dyDescent="0.2">
      <c r="A193" s="44">
        <f>A192+1</f>
        <v>144</v>
      </c>
      <c r="B193" s="124" t="s">
        <v>346</v>
      </c>
      <c r="C193" s="283"/>
      <c r="D193" s="283"/>
      <c r="E193" s="283"/>
      <c r="F193" s="283"/>
      <c r="K193" s="2" t="s">
        <v>19</v>
      </c>
    </row>
    <row r="194" spans="1:11" s="2" customFormat="1" ht="11.25" x14ac:dyDescent="0.2">
      <c r="A194" s="44">
        <f t="shared" si="34"/>
        <v>145</v>
      </c>
      <c r="B194" s="280" t="s">
        <v>226</v>
      </c>
      <c r="C194" s="97"/>
      <c r="D194" s="97"/>
      <c r="E194" s="97"/>
      <c r="F194" s="97">
        <f>F195+F196</f>
        <v>3149.7943968293521</v>
      </c>
      <c r="H194" s="153"/>
      <c r="I194" s="8"/>
      <c r="K194" s="8" t="s">
        <v>19</v>
      </c>
    </row>
    <row r="195" spans="1:11" s="2" customFormat="1" ht="11.25" x14ac:dyDescent="0.2">
      <c r="A195" s="44">
        <f t="shared" si="34"/>
        <v>146</v>
      </c>
      <c r="B195" s="285" t="s">
        <v>231</v>
      </c>
      <c r="C195" s="97">
        <f t="shared" ref="C195:F196" si="35">SUM(C105)</f>
        <v>1697.9576636324923</v>
      </c>
      <c r="D195" s="97">
        <f t="shared" si="35"/>
        <v>0</v>
      </c>
      <c r="E195" s="97">
        <f t="shared" si="35"/>
        <v>0</v>
      </c>
      <c r="F195" s="97">
        <f t="shared" si="35"/>
        <v>1697.9576636324923</v>
      </c>
      <c r="K195" s="2" t="s">
        <v>19</v>
      </c>
    </row>
    <row r="196" spans="1:11" s="2" customFormat="1" ht="11.25" x14ac:dyDescent="0.2">
      <c r="A196" s="44">
        <f t="shared" si="34"/>
        <v>147</v>
      </c>
      <c r="B196" s="285" t="s">
        <v>248</v>
      </c>
      <c r="C196" s="97">
        <f t="shared" si="35"/>
        <v>1451.8367331968598</v>
      </c>
      <c r="D196" s="97">
        <f t="shared" si="35"/>
        <v>0</v>
      </c>
      <c r="E196" s="97">
        <f t="shared" si="35"/>
        <v>0</v>
      </c>
      <c r="F196" s="97">
        <f t="shared" si="35"/>
        <v>1451.8367331968598</v>
      </c>
      <c r="K196" s="2" t="s">
        <v>19</v>
      </c>
    </row>
    <row r="197" spans="1:11" s="2" customFormat="1" ht="11.25" x14ac:dyDescent="0.2">
      <c r="A197" s="44">
        <f t="shared" si="34"/>
        <v>148</v>
      </c>
      <c r="B197" s="280" t="s">
        <v>227</v>
      </c>
      <c r="C197" s="97"/>
      <c r="D197" s="97"/>
      <c r="E197" s="97"/>
      <c r="F197" s="97">
        <f>SUM(F198:F201)</f>
        <v>6406.7181307821666</v>
      </c>
      <c r="H197" s="153"/>
      <c r="I197" s="8"/>
      <c r="K197" s="8" t="s">
        <v>19</v>
      </c>
    </row>
    <row r="198" spans="1:11" s="2" customFormat="1" ht="11.25" x14ac:dyDescent="0.2">
      <c r="A198" s="44">
        <f t="shared" si="34"/>
        <v>149</v>
      </c>
      <c r="B198" s="285" t="s">
        <v>249</v>
      </c>
      <c r="C198" s="97">
        <f t="shared" ref="C198:F202" si="36">SUM(C108)</f>
        <v>1.4097870969792876</v>
      </c>
      <c r="D198" s="97">
        <f t="shared" si="36"/>
        <v>613.21986609896646</v>
      </c>
      <c r="E198" s="97">
        <f t="shared" si="36"/>
        <v>0</v>
      </c>
      <c r="F198" s="97">
        <f t="shared" si="36"/>
        <v>614.62965319594571</v>
      </c>
      <c r="K198" s="2" t="s">
        <v>19</v>
      </c>
    </row>
    <row r="199" spans="1:11" s="2" customFormat="1" ht="11.25" x14ac:dyDescent="0.2">
      <c r="A199" s="44">
        <f t="shared" si="34"/>
        <v>150</v>
      </c>
      <c r="B199" s="285" t="s">
        <v>250</v>
      </c>
      <c r="C199" s="97">
        <f t="shared" si="36"/>
        <v>23.443521127176069</v>
      </c>
      <c r="D199" s="97">
        <f t="shared" si="36"/>
        <v>5768.6449564590448</v>
      </c>
      <c r="E199" s="97">
        <f t="shared" si="36"/>
        <v>0</v>
      </c>
      <c r="F199" s="97">
        <f t="shared" si="36"/>
        <v>5792.0884775862205</v>
      </c>
      <c r="K199" s="2" t="s">
        <v>19</v>
      </c>
    </row>
    <row r="200" spans="1:11" s="2" customFormat="1" ht="11.25" x14ac:dyDescent="0.2">
      <c r="A200" s="44">
        <f t="shared" si="34"/>
        <v>151</v>
      </c>
      <c r="B200" s="285" t="s">
        <v>251</v>
      </c>
      <c r="C200" s="97">
        <f t="shared" si="36"/>
        <v>0</v>
      </c>
      <c r="D200" s="97">
        <f t="shared" si="36"/>
        <v>0</v>
      </c>
      <c r="E200" s="97">
        <f t="shared" si="36"/>
        <v>0</v>
      </c>
      <c r="F200" s="97">
        <f t="shared" si="36"/>
        <v>0</v>
      </c>
      <c r="K200" s="2" t="s">
        <v>19</v>
      </c>
    </row>
    <row r="201" spans="1:11" s="2" customFormat="1" ht="11.25" x14ac:dyDescent="0.2">
      <c r="A201" s="44">
        <f t="shared" si="34"/>
        <v>152</v>
      </c>
      <c r="B201" s="380" t="s">
        <v>252</v>
      </c>
      <c r="C201" s="97">
        <f t="shared" si="36"/>
        <v>0</v>
      </c>
      <c r="D201" s="97">
        <f t="shared" si="36"/>
        <v>0</v>
      </c>
      <c r="E201" s="97">
        <f t="shared" si="36"/>
        <v>0</v>
      </c>
      <c r="F201" s="97">
        <f t="shared" si="36"/>
        <v>0</v>
      </c>
      <c r="K201" s="2" t="s">
        <v>19</v>
      </c>
    </row>
    <row r="202" spans="1:11" s="2" customFormat="1" ht="11.25" x14ac:dyDescent="0.2">
      <c r="A202" s="79">
        <f>A201+1</f>
        <v>153</v>
      </c>
      <c r="B202" s="281" t="s">
        <v>232</v>
      </c>
      <c r="C202" s="284">
        <f t="shared" si="36"/>
        <v>6.7762739367424238</v>
      </c>
      <c r="D202" s="284">
        <f t="shared" si="36"/>
        <v>758.55665932325917</v>
      </c>
      <c r="E202" s="284">
        <f t="shared" si="36"/>
        <v>7.4378988268958839</v>
      </c>
      <c r="F202" s="284">
        <f t="shared" si="36"/>
        <v>772.77083208689737</v>
      </c>
      <c r="H202" s="153"/>
      <c r="I202" s="8"/>
      <c r="K202" s="8" t="s">
        <v>19</v>
      </c>
    </row>
    <row r="203" spans="1:11" s="2" customFormat="1" ht="11.25" x14ac:dyDescent="0.2">
      <c r="A203" s="485">
        <f t="shared" ref="A203" si="37">A202+1</f>
        <v>154</v>
      </c>
      <c r="B203" s="133" t="s">
        <v>228</v>
      </c>
      <c r="C203" s="230"/>
      <c r="D203" s="230"/>
      <c r="E203" s="113"/>
      <c r="F203" s="113"/>
      <c r="K203" s="2" t="s">
        <v>19</v>
      </c>
    </row>
    <row r="204" spans="1:11" s="2" customFormat="1" ht="11.25" x14ac:dyDescent="0.2">
      <c r="A204" s="45">
        <f>A203+1</f>
        <v>155</v>
      </c>
      <c r="B204" s="144" t="s">
        <v>234</v>
      </c>
      <c r="C204" s="177">
        <f>SUM(C114)</f>
        <v>5.2503981899139296E-2</v>
      </c>
      <c r="D204" s="177">
        <f>SUM(D114)</f>
        <v>0.56558849767672692</v>
      </c>
      <c r="E204" s="177">
        <f>SUM(E114)</f>
        <v>580.94706400411008</v>
      </c>
      <c r="F204" s="177">
        <f>SUM(F114)</f>
        <v>581.565156483686</v>
      </c>
      <c r="H204" s="153"/>
      <c r="I204" s="8"/>
      <c r="K204" s="8" t="s">
        <v>19</v>
      </c>
    </row>
    <row r="205" spans="1:11" s="2" customFormat="1" ht="11.25" x14ac:dyDescent="0.2">
      <c r="A205" s="54"/>
      <c r="C205" s="204"/>
      <c r="D205" s="204"/>
      <c r="E205" s="204"/>
      <c r="F205" s="204"/>
    </row>
    <row r="206" spans="1:11" s="2" customFormat="1" ht="22.5" x14ac:dyDescent="0.2">
      <c r="A206" s="83"/>
      <c r="B206" s="200"/>
      <c r="C206" s="201" t="s">
        <v>5</v>
      </c>
      <c r="D206" s="202"/>
      <c r="E206" s="202"/>
      <c r="F206" s="203"/>
    </row>
    <row r="207" spans="1:11" s="2" customFormat="1" ht="11.25" x14ac:dyDescent="0.2">
      <c r="A207" s="55"/>
      <c r="B207" s="48" t="s">
        <v>22</v>
      </c>
      <c r="C207" s="55">
        <f>F189-1</f>
        <v>-77</v>
      </c>
      <c r="D207" s="55">
        <f>C207-1</f>
        <v>-78</v>
      </c>
      <c r="E207" s="55">
        <f>D207-1</f>
        <v>-79</v>
      </c>
      <c r="F207" s="55">
        <f>E207-1</f>
        <v>-80</v>
      </c>
    </row>
    <row r="208" spans="1:11" s="2" customFormat="1" ht="22.5" x14ac:dyDescent="0.2">
      <c r="A208" s="84"/>
      <c r="B208" s="39" t="s">
        <v>95</v>
      </c>
      <c r="C208" s="53" t="str">
        <f>"C"&amp;-C117&amp;", C"&amp;-C135&amp;", C"&amp;-H44&amp;", C"&amp;-H135&amp;", C"&amp;-M135</f>
        <v>C41, C45, C0, C49, C53</v>
      </c>
      <c r="D208" s="53" t="str">
        <f>"C"&amp;-D117&amp;", C"&amp;-D135&amp;", C"&amp;-I44&amp;", C"&amp;-I135&amp;", C"&amp;-N135</f>
        <v>C42, C46, C0, C50, C54</v>
      </c>
      <c r="E208" s="53" t="str">
        <f>"C"&amp;-E117&amp;", C"&amp;-E135&amp;", C"&amp;-J44&amp;", C"&amp;-J135&amp;", C"&amp;-O135</f>
        <v>C43, C47, C0, C51, C55</v>
      </c>
      <c r="F208" s="53" t="str">
        <f>"C"&amp;-F117&amp;", C"&amp;-F135&amp;", C"&amp;-K44&amp;", C"&amp;-K135&amp;", C"&amp;-P135</f>
        <v>C44, C48, C0, C52, C56</v>
      </c>
    </row>
    <row r="209" spans="1:11" s="2" customFormat="1" ht="11.25" x14ac:dyDescent="0.2">
      <c r="A209" s="55">
        <f>A204+1</f>
        <v>156</v>
      </c>
      <c r="B209" s="133" t="s">
        <v>74</v>
      </c>
      <c r="C209" s="60" t="s">
        <v>70</v>
      </c>
      <c r="D209" s="60" t="s">
        <v>71</v>
      </c>
      <c r="E209" s="60" t="s">
        <v>73</v>
      </c>
      <c r="F209" s="60" t="s">
        <v>72</v>
      </c>
    </row>
    <row r="210" spans="1:11" s="2" customFormat="1" ht="11.25" x14ac:dyDescent="0.2">
      <c r="A210" s="44">
        <f t="shared" ref="A210:A219" si="38">A209+1</f>
        <v>157</v>
      </c>
      <c r="B210" s="382" t="s">
        <v>220</v>
      </c>
      <c r="C210" s="97">
        <f>SUM(C120,C138,H138,M138)</f>
        <v>29074.787003672991</v>
      </c>
      <c r="D210" s="97">
        <f>SUM(D120,D138,I138,N138)</f>
        <v>0</v>
      </c>
      <c r="E210" s="97">
        <f>SUM(E120,E138,J138,O138)</f>
        <v>0</v>
      </c>
      <c r="F210" s="97">
        <f>SUM(F120,F138,K138,P138)</f>
        <v>29074.787003672991</v>
      </c>
      <c r="H210" s="8"/>
      <c r="I210" s="8"/>
    </row>
    <row r="211" spans="1:11" s="2" customFormat="1" ht="11.25" x14ac:dyDescent="0.2">
      <c r="A211" s="44">
        <f>A210+1</f>
        <v>158</v>
      </c>
      <c r="B211" s="124" t="s">
        <v>346</v>
      </c>
      <c r="C211" s="283"/>
      <c r="D211" s="283"/>
      <c r="E211" s="283"/>
      <c r="F211" s="283"/>
      <c r="H211" s="8"/>
    </row>
    <row r="212" spans="1:11" s="2" customFormat="1" ht="11.25" x14ac:dyDescent="0.2">
      <c r="A212" s="44">
        <f t="shared" si="38"/>
        <v>159</v>
      </c>
      <c r="B212" s="280" t="s">
        <v>226</v>
      </c>
      <c r="C212" s="97"/>
      <c r="D212" s="97"/>
      <c r="E212" s="97"/>
      <c r="F212" s="97">
        <f>F213+F214</f>
        <v>9625.0575870299326</v>
      </c>
      <c r="H212" s="8"/>
      <c r="I212" s="8"/>
      <c r="K212" s="8" t="s">
        <v>19</v>
      </c>
    </row>
    <row r="213" spans="1:11" s="2" customFormat="1" ht="11.25" x14ac:dyDescent="0.2">
      <c r="A213" s="44">
        <f t="shared" si="38"/>
        <v>160</v>
      </c>
      <c r="B213" s="285" t="s">
        <v>231</v>
      </c>
      <c r="C213" s="97">
        <f t="shared" ref="C213:F214" si="39">SUM(C123,C141,H141,M141)</f>
        <v>5898.3898205429687</v>
      </c>
      <c r="D213" s="97">
        <f t="shared" si="39"/>
        <v>0</v>
      </c>
      <c r="E213" s="97">
        <f t="shared" si="39"/>
        <v>0</v>
      </c>
      <c r="F213" s="97">
        <f t="shared" si="39"/>
        <v>5898.3898205429687</v>
      </c>
      <c r="H213" s="8"/>
    </row>
    <row r="214" spans="1:11" s="2" customFormat="1" ht="11.25" x14ac:dyDescent="0.2">
      <c r="A214" s="44">
        <f t="shared" si="38"/>
        <v>161</v>
      </c>
      <c r="B214" s="285" t="s">
        <v>248</v>
      </c>
      <c r="C214" s="97">
        <f t="shared" si="39"/>
        <v>3726.667766486963</v>
      </c>
      <c r="D214" s="97">
        <f t="shared" si="39"/>
        <v>0</v>
      </c>
      <c r="E214" s="97">
        <f t="shared" si="39"/>
        <v>0</v>
      </c>
      <c r="F214" s="97">
        <f t="shared" si="39"/>
        <v>3726.667766486963</v>
      </c>
      <c r="H214" s="8"/>
    </row>
    <row r="215" spans="1:11" s="2" customFormat="1" ht="11.25" x14ac:dyDescent="0.2">
      <c r="A215" s="44">
        <f t="shared" si="38"/>
        <v>162</v>
      </c>
      <c r="B215" s="280" t="s">
        <v>227</v>
      </c>
      <c r="C215" s="97"/>
      <c r="D215" s="97"/>
      <c r="E215" s="97"/>
      <c r="F215" s="97">
        <f>SUM(F216:F219)</f>
        <v>12289.286233485003</v>
      </c>
      <c r="H215" s="8"/>
      <c r="I215" s="8"/>
      <c r="K215" s="8" t="s">
        <v>19</v>
      </c>
    </row>
    <row r="216" spans="1:11" s="2" customFormat="1" ht="11.25" x14ac:dyDescent="0.2">
      <c r="A216" s="44">
        <f t="shared" si="38"/>
        <v>163</v>
      </c>
      <c r="B216" s="285" t="s">
        <v>249</v>
      </c>
      <c r="C216" s="97">
        <f t="shared" ref="C216:F220" si="40">SUM(C126,C144,H144,M144)</f>
        <v>0</v>
      </c>
      <c r="D216" s="97">
        <f t="shared" si="40"/>
        <v>7919.1476578632301</v>
      </c>
      <c r="E216" s="97">
        <f t="shared" si="40"/>
        <v>0</v>
      </c>
      <c r="F216" s="97">
        <f t="shared" si="40"/>
        <v>7919.1476578632301</v>
      </c>
      <c r="H216" s="8"/>
    </row>
    <row r="217" spans="1:11" s="2" customFormat="1" ht="11.25" x14ac:dyDescent="0.2">
      <c r="A217" s="44">
        <f t="shared" si="38"/>
        <v>164</v>
      </c>
      <c r="B217" s="285" t="s">
        <v>250</v>
      </c>
      <c r="C217" s="97">
        <f t="shared" si="40"/>
        <v>0</v>
      </c>
      <c r="D217" s="97">
        <f t="shared" si="40"/>
        <v>4370.1385756217742</v>
      </c>
      <c r="E217" s="97">
        <f t="shared" si="40"/>
        <v>0</v>
      </c>
      <c r="F217" s="97">
        <f t="shared" si="40"/>
        <v>4370.1385756217742</v>
      </c>
      <c r="H217" s="8"/>
    </row>
    <row r="218" spans="1:11" s="2" customFormat="1" ht="11.25" x14ac:dyDescent="0.2">
      <c r="A218" s="44">
        <f t="shared" si="38"/>
        <v>165</v>
      </c>
      <c r="B218" s="285" t="s">
        <v>251</v>
      </c>
      <c r="C218" s="97">
        <f t="shared" si="40"/>
        <v>0</v>
      </c>
      <c r="D218" s="97">
        <f t="shared" si="40"/>
        <v>0</v>
      </c>
      <c r="E218" s="97">
        <f t="shared" si="40"/>
        <v>0</v>
      </c>
      <c r="F218" s="97">
        <f t="shared" si="40"/>
        <v>0</v>
      </c>
      <c r="H218" s="8"/>
    </row>
    <row r="219" spans="1:11" s="2" customFormat="1" ht="11.25" x14ac:dyDescent="0.2">
      <c r="A219" s="44">
        <f t="shared" si="38"/>
        <v>166</v>
      </c>
      <c r="B219" s="380" t="s">
        <v>252</v>
      </c>
      <c r="C219" s="97">
        <f t="shared" si="40"/>
        <v>0</v>
      </c>
      <c r="D219" s="97">
        <f t="shared" si="40"/>
        <v>0</v>
      </c>
      <c r="E219" s="97">
        <f t="shared" si="40"/>
        <v>0</v>
      </c>
      <c r="F219" s="97">
        <f t="shared" si="40"/>
        <v>0</v>
      </c>
      <c r="H219" s="8"/>
    </row>
    <row r="220" spans="1:11" s="2" customFormat="1" ht="11.25" x14ac:dyDescent="0.2">
      <c r="A220" s="79">
        <f>A219+1</f>
        <v>167</v>
      </c>
      <c r="B220" s="281" t="s">
        <v>232</v>
      </c>
      <c r="C220" s="284">
        <f t="shared" si="40"/>
        <v>39.461568414288074</v>
      </c>
      <c r="D220" s="284">
        <f t="shared" si="40"/>
        <v>34067.49416733221</v>
      </c>
      <c r="E220" s="284">
        <f t="shared" si="40"/>
        <v>11.634201707275322</v>
      </c>
      <c r="F220" s="284">
        <f t="shared" si="40"/>
        <v>34118.589937453769</v>
      </c>
      <c r="H220" s="8"/>
      <c r="I220" s="8"/>
      <c r="K220" s="8" t="s">
        <v>19</v>
      </c>
    </row>
    <row r="221" spans="1:11" s="2" customFormat="1" ht="11.25" x14ac:dyDescent="0.2">
      <c r="A221" s="44">
        <f t="shared" ref="A221" si="41">A220+1</f>
        <v>168</v>
      </c>
      <c r="B221" s="133" t="s">
        <v>228</v>
      </c>
      <c r="C221" s="230"/>
      <c r="D221" s="230"/>
      <c r="E221" s="113"/>
      <c r="F221" s="113"/>
      <c r="G221" s="234"/>
      <c r="H221" s="8"/>
    </row>
    <row r="222" spans="1:11" s="2" customFormat="1" ht="11.25" x14ac:dyDescent="0.2">
      <c r="A222" s="45">
        <f>A221+1</f>
        <v>169</v>
      </c>
      <c r="B222" s="144" t="s">
        <v>234</v>
      </c>
      <c r="C222" s="177">
        <f>SUM(C132,C150,H150,M150)</f>
        <v>0</v>
      </c>
      <c r="D222" s="177">
        <f>SUM(D132,D150,I150,N150)</f>
        <v>123.12160104872741</v>
      </c>
      <c r="E222" s="177">
        <f>SUM(E132,E150,J150,O150)</f>
        <v>1324.2634298649693</v>
      </c>
      <c r="F222" s="177">
        <f>SUM(F132,F150,K150,P150)</f>
        <v>1447.3850309136967</v>
      </c>
      <c r="G222" s="234"/>
      <c r="H222" s="8"/>
      <c r="I222" s="8"/>
      <c r="K222" s="8" t="s">
        <v>19</v>
      </c>
    </row>
    <row r="223" spans="1:11" x14ac:dyDescent="0.2">
      <c r="G223" s="481"/>
    </row>
    <row r="224" spans="1:11" x14ac:dyDescent="0.2">
      <c r="G224" s="481"/>
    </row>
    <row r="225" spans="1:8" x14ac:dyDescent="0.2">
      <c r="A225" s="482"/>
      <c r="C225" s="482"/>
      <c r="D225" s="482"/>
      <c r="E225" s="482"/>
    </row>
    <row r="226" spans="1:8" x14ac:dyDescent="0.2">
      <c r="A226" s="482"/>
      <c r="C226" s="482"/>
      <c r="D226" s="482"/>
      <c r="E226" s="482"/>
    </row>
    <row r="237" spans="1:8" x14ac:dyDescent="0.2">
      <c r="B237" s="477"/>
    </row>
    <row r="239" spans="1:8" x14ac:dyDescent="0.2">
      <c r="B239" s="477"/>
    </row>
    <row r="240" spans="1:8" x14ac:dyDescent="0.2">
      <c r="B240" s="477"/>
      <c r="E240" s="483"/>
      <c r="F240" s="483"/>
      <c r="G240" s="483"/>
      <c r="H240" s="483"/>
    </row>
    <row r="241" spans="2:8" x14ac:dyDescent="0.2">
      <c r="B241" s="477"/>
      <c r="E241" s="483"/>
      <c r="F241" s="483"/>
      <c r="G241" s="483"/>
      <c r="H241" s="483"/>
    </row>
    <row r="242" spans="2:8" x14ac:dyDescent="0.2">
      <c r="B242" s="477"/>
      <c r="E242" s="477"/>
    </row>
    <row r="243" spans="2:8" x14ac:dyDescent="0.2">
      <c r="B243" s="477"/>
    </row>
    <row r="244" spans="2:8" x14ac:dyDescent="0.2">
      <c r="B244" s="477"/>
    </row>
    <row r="245" spans="2:8" x14ac:dyDescent="0.2">
      <c r="B245" s="477"/>
    </row>
    <row r="246" spans="2:8" x14ac:dyDescent="0.2">
      <c r="B246" s="477"/>
    </row>
    <row r="248" spans="2:8" x14ac:dyDescent="0.2">
      <c r="B248" s="477"/>
      <c r="E248" s="484"/>
    </row>
    <row r="249" spans="2:8" x14ac:dyDescent="0.2">
      <c r="E249" s="484"/>
    </row>
  </sheetData>
  <phoneticPr fontId="6" type="noConversion"/>
  <printOptions horizontalCentered="1"/>
  <pageMargins left="0.75" right="0.75" top="1" bottom="1" header="0.5" footer="0.5"/>
  <pageSetup scale="53" fitToHeight="0" orientation="landscape" horizontalDpi="300" verticalDpi="300" r:id="rId1"/>
  <headerFooter alignWithMargins="0">
    <oddHeader xml:space="preserve">&amp;RUSPS -FY09-19
</oddHeader>
  </headerFooter>
  <rowBreaks count="2" manualBreakCount="2">
    <brk id="78" max="16383" man="1"/>
    <brk id="132" max="16383" man="1"/>
  </rowBreaks>
  <ignoredErrors>
    <ignoredError sqref="F179 F215" formula="1"/>
    <ignoredError sqref="C8:U8" numberStoredAsText="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92D050"/>
  </sheetPr>
  <dimension ref="A1:P88"/>
  <sheetViews>
    <sheetView workbookViewId="0">
      <selection activeCell="M35" sqref="M35"/>
    </sheetView>
  </sheetViews>
  <sheetFormatPr defaultColWidth="8.85546875" defaultRowHeight="12.75" x14ac:dyDescent="0.2"/>
  <cols>
    <col min="1" max="1" width="7.42578125" style="473" customWidth="1"/>
    <col min="2" max="2" width="39.5703125" style="223" customWidth="1"/>
    <col min="3" max="3" width="23.5703125" style="223" customWidth="1"/>
    <col min="4" max="15" width="15.42578125" style="223" customWidth="1"/>
    <col min="16" max="16" width="8.85546875" style="15" customWidth="1"/>
    <col min="17" max="16384" width="8.85546875" style="223"/>
  </cols>
  <sheetData>
    <row r="1" spans="1:10" x14ac:dyDescent="0.2">
      <c r="A1" s="263" t="str">
        <f>[1]Inputs!$C$4</f>
        <v>Unit Delivery Cost Model -  12/16/2025</v>
      </c>
    </row>
    <row r="2" spans="1:10" x14ac:dyDescent="0.2">
      <c r="A2" s="6" t="str">
        <f xml:space="preserve"> [1]Inputs!$C$6 &amp; " IN-OFFICE CASING AND NON-CASING COST"</f>
        <v>FY 2025 IN-OFFICE CASING AND NON-CASING COST</v>
      </c>
    </row>
    <row r="3" spans="1:10" x14ac:dyDescent="0.2">
      <c r="A3" s="13" t="str">
        <f>[1]CARMMCasing!$A$3</f>
        <v>SOURCE:  KLTable_Casing25.xlsx</v>
      </c>
    </row>
    <row r="4" spans="1:10" s="193" customFormat="1" ht="22.5" x14ac:dyDescent="0.2">
      <c r="A4" s="486"/>
      <c r="B4" s="487"/>
      <c r="C4" s="487"/>
      <c r="D4" s="155" t="s">
        <v>30</v>
      </c>
      <c r="E4" s="155"/>
      <c r="F4" s="155" t="s">
        <v>28</v>
      </c>
      <c r="G4" s="155"/>
      <c r="H4" s="155" t="s">
        <v>90</v>
      </c>
      <c r="I4" s="155"/>
      <c r="J4" s="488"/>
    </row>
    <row r="5" spans="1:10" s="2" customFormat="1" ht="22.5" x14ac:dyDescent="0.2">
      <c r="A5" s="59" t="s">
        <v>23</v>
      </c>
      <c r="B5" s="121" t="s">
        <v>114</v>
      </c>
      <c r="C5" s="178"/>
      <c r="D5" s="49" t="s">
        <v>127</v>
      </c>
      <c r="E5" s="49" t="s">
        <v>126</v>
      </c>
      <c r="F5" s="49" t="s">
        <v>127</v>
      </c>
      <c r="G5" s="49" t="s">
        <v>126</v>
      </c>
      <c r="H5" s="206" t="s">
        <v>31</v>
      </c>
      <c r="I5" s="49" t="s">
        <v>126</v>
      </c>
      <c r="J5" s="32"/>
    </row>
    <row r="6" spans="1:10" s="2" customFormat="1" ht="11.25" x14ac:dyDescent="0.2">
      <c r="A6" s="58"/>
      <c r="B6" s="51" t="s">
        <v>22</v>
      </c>
      <c r="C6" s="51"/>
      <c r="D6" s="42">
        <v>-1</v>
      </c>
      <c r="E6" s="42">
        <f>D6-1</f>
        <v>-2</v>
      </c>
      <c r="F6" s="42">
        <f>E6-1</f>
        <v>-3</v>
      </c>
      <c r="G6" s="42">
        <f>F6-1</f>
        <v>-4</v>
      </c>
      <c r="H6" s="42">
        <f t="shared" ref="H6" si="0">G6-1</f>
        <v>-5</v>
      </c>
      <c r="I6" s="42">
        <f>H6-1</f>
        <v>-6</v>
      </c>
      <c r="J6" s="32"/>
    </row>
    <row r="7" spans="1:10" s="2" customFormat="1" ht="11.25" x14ac:dyDescent="0.2">
      <c r="A7" s="58"/>
      <c r="B7" s="50" t="s">
        <v>94</v>
      </c>
      <c r="C7" s="50"/>
      <c r="D7" s="91"/>
      <c r="E7" s="58"/>
      <c r="F7" s="91"/>
      <c r="G7" s="58"/>
      <c r="H7" s="70"/>
      <c r="I7" s="58"/>
      <c r="J7" s="32"/>
    </row>
    <row r="8" spans="1:10" s="2" customFormat="1" ht="22.5" x14ac:dyDescent="0.2">
      <c r="A8" s="221"/>
      <c r="B8" s="90" t="s">
        <v>95</v>
      </c>
      <c r="C8" s="88"/>
      <c r="D8" s="184" t="str">
        <f>"[UDCInputs.xls] "&amp; [1]NOTES!$A$30&amp;" C"&amp;-[1]CARMMCasing!$C$6</f>
        <v>[UDCInputs.xls] LetterVols C1</v>
      </c>
      <c r="E8" s="221" t="str">
        <f>"=C"&amp;-D6</f>
        <v>=C1</v>
      </c>
      <c r="F8" s="222" t="str">
        <f>"=C"&amp;-H6&amp;" - C"&amp;-D6</f>
        <v>=C5 - C1</v>
      </c>
      <c r="G8" s="222" t="str">
        <f>"=C"&amp;-I6&amp;" - C"&amp;-E6</f>
        <v>=C6 - C2</v>
      </c>
      <c r="H8" s="184" t="str">
        <f>"[UDCInputs.xls] "&amp;[1]NOTES!$A$29&amp;" C"&amp;-[1]CARMM!$C$6</f>
        <v>[UDCInputs.xls] PeriodicalsVolAdj C1</v>
      </c>
      <c r="I8" s="221" t="str">
        <f>"=C"&amp;-H6</f>
        <v>=C5</v>
      </c>
      <c r="J8" s="32"/>
    </row>
    <row r="9" spans="1:10" s="2" customFormat="1" ht="11.25" x14ac:dyDescent="0.2">
      <c r="A9" s="246">
        <v>1</v>
      </c>
      <c r="B9" s="489" t="s">
        <v>232</v>
      </c>
      <c r="C9" s="249"/>
      <c r="D9" s="242"/>
      <c r="E9" s="108"/>
      <c r="F9" s="108"/>
      <c r="G9" s="108"/>
      <c r="H9" s="242"/>
      <c r="I9" s="108"/>
      <c r="J9" s="32"/>
    </row>
    <row r="10" spans="1:10" s="2" customFormat="1" ht="11.25" x14ac:dyDescent="0.2">
      <c r="A10" s="222">
        <f>A9+1</f>
        <v>2</v>
      </c>
      <c r="B10" s="254" t="s">
        <v>70</v>
      </c>
      <c r="C10" s="250"/>
      <c r="D10" s="244">
        <f>[1]CARMMCasing!C36</f>
        <v>76480.84947995127</v>
      </c>
      <c r="E10" s="244">
        <f>SUM(D10)</f>
        <v>76480.84947995127</v>
      </c>
      <c r="F10" s="106"/>
      <c r="G10" s="106"/>
      <c r="H10" s="244">
        <f>[1]CARMM!C36</f>
        <v>85464.204403230236</v>
      </c>
      <c r="I10" s="244">
        <f>SUM(H10)</f>
        <v>85464.204403230236</v>
      </c>
      <c r="J10" s="32"/>
    </row>
    <row r="11" spans="1:10" s="2" customFormat="1" ht="11.25" x14ac:dyDescent="0.2">
      <c r="A11" s="222">
        <f t="shared" ref="A11:A18" si="1">A10+1</f>
        <v>3</v>
      </c>
      <c r="B11" s="254" t="s">
        <v>71</v>
      </c>
      <c r="C11" s="250"/>
      <c r="D11" s="244">
        <f>[1]CARMMCasing!C37</f>
        <v>168217030.74177122</v>
      </c>
      <c r="E11" s="244">
        <f>SUM(D11)</f>
        <v>168217030.74177122</v>
      </c>
      <c r="F11" s="106"/>
      <c r="G11" s="106"/>
      <c r="H11" s="244">
        <f>[1]CARMM!C37</f>
        <v>195493962.71163911</v>
      </c>
      <c r="I11" s="244">
        <f>SUM(H11)</f>
        <v>195493962.71163911</v>
      </c>
      <c r="J11" s="32"/>
    </row>
    <row r="12" spans="1:10" s="2" customFormat="1" ht="11.25" x14ac:dyDescent="0.2">
      <c r="A12" s="222">
        <f t="shared" si="1"/>
        <v>4</v>
      </c>
      <c r="B12" s="255" t="s">
        <v>73</v>
      </c>
      <c r="C12" s="250"/>
      <c r="D12" s="244">
        <f>[1]CARMMCasing!C38</f>
        <v>0</v>
      </c>
      <c r="E12" s="244">
        <f>SUM(D12)</f>
        <v>0</v>
      </c>
      <c r="F12" s="106"/>
      <c r="G12" s="106"/>
      <c r="H12" s="244">
        <f>[1]CARMM!C38</f>
        <v>103211.61722937418</v>
      </c>
      <c r="I12" s="244">
        <f>SUM(H12)</f>
        <v>103211.61722937418</v>
      </c>
      <c r="J12" s="32"/>
    </row>
    <row r="13" spans="1:10" s="2" customFormat="1" ht="11.25" x14ac:dyDescent="0.2">
      <c r="A13" s="251">
        <f t="shared" si="1"/>
        <v>5</v>
      </c>
      <c r="B13" s="245" t="s">
        <v>42</v>
      </c>
      <c r="C13" s="252"/>
      <c r="D13" s="248">
        <f>D12+D11+D10</f>
        <v>168293511.59125116</v>
      </c>
      <c r="E13" s="248">
        <f>E12+E11+E10</f>
        <v>168293511.59125116</v>
      </c>
      <c r="F13" s="107"/>
      <c r="G13" s="107"/>
      <c r="H13" s="248">
        <f>H12+H11+H10</f>
        <v>195682638.5332717</v>
      </c>
      <c r="I13" s="248">
        <f>I12+I11+I10</f>
        <v>195682638.5332717</v>
      </c>
      <c r="J13" s="32"/>
    </row>
    <row r="14" spans="1:10" s="2" customFormat="1" ht="11.25" x14ac:dyDescent="0.2">
      <c r="A14" s="222">
        <f>A13+1</f>
        <v>6</v>
      </c>
      <c r="B14" s="249" t="s">
        <v>414</v>
      </c>
      <c r="C14" s="250"/>
      <c r="D14" s="244"/>
      <c r="E14" s="106"/>
      <c r="F14" s="106"/>
      <c r="G14" s="106"/>
      <c r="H14" s="244"/>
      <c r="I14" s="106"/>
      <c r="J14" s="32"/>
    </row>
    <row r="15" spans="1:10" s="2" customFormat="1" ht="56.25" x14ac:dyDescent="0.2">
      <c r="A15" s="222">
        <f t="shared" si="1"/>
        <v>7</v>
      </c>
      <c r="B15" s="254" t="s">
        <v>70</v>
      </c>
      <c r="C15" s="88" t="str">
        <f>"=L"&amp;A18&amp; " x (1- [UDCInputs.xls]PeriodicalsVolAdj C"&amp;-[1]PeriodicalsVolAdj!$F$6&amp;"L"&amp;[1]PeriodicalsVolAdj!$A$9&amp; " / [UDCInputs.xls]PeriodicalsVolAdj C"&amp;-[1]PeriodicalsVolAdj!$D$6&amp;"L"&amp;[1]PeriodicalsVolAdj!$A$9&amp;")"</f>
        <v>=L10 x (1- [UDCInputs.xls]PeriodicalsVolAdj C4L1 / [UDCInputs.xls]PeriodicalsVolAdj C2L1)</v>
      </c>
      <c r="D15" s="244">
        <f>D10*(1-[1]PeriodicalsVolAdj!$F$9/[1]PeriodicalsVolAdj!$D$9)</f>
        <v>202536.83209212555</v>
      </c>
      <c r="E15" s="244">
        <f>SUM(D15)</f>
        <v>202536.83209212555</v>
      </c>
      <c r="F15" s="244">
        <f t="shared" ref="F15:G17" si="2">H15-D15</f>
        <v>23789.749461361236</v>
      </c>
      <c r="G15" s="244">
        <f t="shared" si="2"/>
        <v>23789.749461361236</v>
      </c>
      <c r="H15" s="244">
        <f>H10*(1-[1]PeriodicalsVolAdj!$F$9/[1]PeriodicalsVolAdj!$D$9)</f>
        <v>226326.58155348679</v>
      </c>
      <c r="I15" s="244">
        <f>SUM(H15)</f>
        <v>226326.58155348679</v>
      </c>
      <c r="J15" s="32"/>
    </row>
    <row r="16" spans="1:10" s="2" customFormat="1" ht="11.25" x14ac:dyDescent="0.2">
      <c r="A16" s="222">
        <f t="shared" si="1"/>
        <v>8</v>
      </c>
      <c r="B16" s="254" t="s">
        <v>71</v>
      </c>
      <c r="C16" s="88" t="str">
        <f>"=L"&amp;A11 &amp; " + (L"&amp;A12&amp; " - L"&amp;A17 &amp; ")"&amp; " + (L"&amp;A10&amp; " - L"&amp;A15 &amp; ")"</f>
        <v>=L3 + (L4 - L9) + (L2 - L7)</v>
      </c>
      <c r="D16" s="244">
        <f>D11+(D12-D17)+(D10-D15)</f>
        <v>168090974.75915906</v>
      </c>
      <c r="E16" s="244">
        <f>SUM(D16)</f>
        <v>168090974.75915906</v>
      </c>
      <c r="F16" s="244">
        <f t="shared" si="2"/>
        <v>27298610.77474758</v>
      </c>
      <c r="G16" s="244">
        <f t="shared" si="2"/>
        <v>27298610.77474758</v>
      </c>
      <c r="H16" s="244">
        <f>H11+(H12-H17)+(H10-H15)</f>
        <v>195389585.53390664</v>
      </c>
      <c r="I16" s="244">
        <f>SUM(H16)</f>
        <v>195389585.53390664</v>
      </c>
      <c r="J16" s="32"/>
    </row>
    <row r="17" spans="1:16" s="2" customFormat="1" ht="56.25" x14ac:dyDescent="0.2">
      <c r="A17" s="222">
        <f t="shared" si="1"/>
        <v>9</v>
      </c>
      <c r="B17" s="255" t="s">
        <v>73</v>
      </c>
      <c r="C17" s="88" t="str">
        <f>"=L"&amp;A18&amp; " x (1- [UDCInputs.xls]PeriodicalsVolAdj C"&amp;-[1]PeriodicalsVolAdj!$F$6&amp;"L"&amp;[1]PeriodicalsVolAdj!$A$11&amp; " / [UDCInputs.xls]PeriodicalsVolAdj C"&amp;-[1]PeriodicalsVolAdj!$D$6&amp;"L"&amp;[1]PeriodicalsVolAdj!$A$11&amp;")"</f>
        <v>=L10 x (1- [UDCInputs.xls]PeriodicalsVolAdj C4L3 / [UDCInputs.xls]PeriodicalsVolAdj C2L3)</v>
      </c>
      <c r="D17" s="244">
        <f>IF([1]PeriodicalsVolAdj!$D$11,D12*(1-[1]PeriodicalsVolAdj!$F$11/[1]PeriodicalsVolAdj!$D$11),0)</f>
        <v>0</v>
      </c>
      <c r="E17" s="244">
        <f>SUM(D17)</f>
        <v>0</v>
      </c>
      <c r="F17" s="244">
        <f t="shared" si="2"/>
        <v>66726.417811562991</v>
      </c>
      <c r="G17" s="244">
        <f t="shared" si="2"/>
        <v>66726.417811562991</v>
      </c>
      <c r="H17" s="244">
        <f>IF([1]PeriodicalsVolAdj!$D$11,H12*(1-[1]PeriodicalsVolAdj!$F$11/[1]PeriodicalsVolAdj!$D$11),0)</f>
        <v>66726.417811562991</v>
      </c>
      <c r="I17" s="244">
        <f>SUM(H17)</f>
        <v>66726.417811562991</v>
      </c>
      <c r="J17" s="32"/>
    </row>
    <row r="18" spans="1:16" s="2" customFormat="1" ht="11.25" x14ac:dyDescent="0.2">
      <c r="A18" s="251">
        <f t="shared" si="1"/>
        <v>10</v>
      </c>
      <c r="B18" s="245" t="s">
        <v>42</v>
      </c>
      <c r="C18" s="252"/>
      <c r="D18" s="248">
        <f>D17+D16+D15</f>
        <v>168293511.59125119</v>
      </c>
      <c r="E18" s="248">
        <f>E17+E16+E15</f>
        <v>168293511.59125119</v>
      </c>
      <c r="F18" s="248">
        <f t="shared" ref="F18:I18" si="3">F17+F16+F15</f>
        <v>27389126.942020502</v>
      </c>
      <c r="G18" s="248">
        <f t="shared" si="3"/>
        <v>27389126.942020502</v>
      </c>
      <c r="H18" s="248">
        <f t="shared" si="3"/>
        <v>195682638.5332717</v>
      </c>
      <c r="I18" s="248">
        <f t="shared" si="3"/>
        <v>195682638.5332717</v>
      </c>
      <c r="J18" s="32"/>
    </row>
    <row r="19" spans="1:16" s="2" customFormat="1" ht="11.25" x14ac:dyDescent="0.2">
      <c r="A19" s="247"/>
      <c r="B19" s="243"/>
      <c r="C19" s="243"/>
      <c r="D19" s="253"/>
      <c r="E19" s="253"/>
      <c r="F19" s="243"/>
      <c r="G19" s="243"/>
      <c r="H19" s="243"/>
      <c r="I19" s="243"/>
      <c r="J19" s="243"/>
      <c r="K19" s="243"/>
      <c r="L19" s="243"/>
      <c r="M19" s="243"/>
      <c r="N19" s="243"/>
      <c r="O19" s="243"/>
      <c r="P19" s="32"/>
    </row>
    <row r="20" spans="1:16" s="2" customFormat="1" ht="11.25" x14ac:dyDescent="0.2">
      <c r="A20" s="247"/>
      <c r="B20" s="243"/>
      <c r="C20" s="243"/>
      <c r="D20" s="253"/>
      <c r="E20" s="253"/>
      <c r="F20" s="243"/>
      <c r="G20" s="243"/>
      <c r="H20" s="243"/>
      <c r="I20" s="243"/>
      <c r="J20" s="243"/>
      <c r="K20" s="243"/>
      <c r="L20" s="243"/>
      <c r="M20" s="243"/>
      <c r="N20" s="243"/>
      <c r="O20" s="243"/>
      <c r="P20" s="32"/>
    </row>
    <row r="21" spans="1:16" s="2" customFormat="1" ht="11.25" x14ac:dyDescent="0.2">
      <c r="A21" s="247"/>
      <c r="B21" s="243"/>
      <c r="C21" s="243"/>
      <c r="D21" s="253"/>
      <c r="E21" s="253"/>
      <c r="F21" s="243"/>
      <c r="G21" s="243"/>
      <c r="H21" s="243"/>
      <c r="I21" s="243"/>
      <c r="J21" s="243"/>
      <c r="K21" s="243"/>
      <c r="L21" s="243"/>
      <c r="M21" s="243"/>
      <c r="N21" s="243"/>
      <c r="O21" s="243"/>
      <c r="P21" s="32"/>
    </row>
    <row r="22" spans="1:16" s="2" customFormat="1" x14ac:dyDescent="0.2">
      <c r="A22" s="247"/>
      <c r="B22" s="223"/>
      <c r="C22" s="243"/>
      <c r="D22" s="253"/>
      <c r="E22" s="253"/>
      <c r="F22" s="243"/>
      <c r="G22" s="243"/>
      <c r="H22" s="243"/>
      <c r="I22" s="243"/>
      <c r="J22" s="243"/>
      <c r="K22" s="243"/>
      <c r="L22" s="243"/>
      <c r="M22" s="243"/>
      <c r="N22" s="243"/>
      <c r="O22" s="243"/>
      <c r="P22" s="32"/>
    </row>
    <row r="23" spans="1:16" s="2" customFormat="1" x14ac:dyDescent="0.2">
      <c r="A23" s="247"/>
      <c r="B23" s="223"/>
      <c r="C23" s="243"/>
      <c r="D23" s="253"/>
      <c r="E23" s="253"/>
      <c r="F23" s="243"/>
      <c r="G23" s="243"/>
      <c r="H23" s="243"/>
      <c r="I23" s="243"/>
      <c r="J23" s="243"/>
      <c r="K23" s="243"/>
      <c r="L23" s="243"/>
      <c r="M23" s="243"/>
      <c r="N23" s="243"/>
      <c r="O23" s="243"/>
      <c r="P23" s="32"/>
    </row>
    <row r="24" spans="1:16" s="2" customFormat="1" ht="11.25" x14ac:dyDescent="0.2">
      <c r="A24" s="247"/>
      <c r="B24" s="243"/>
      <c r="C24" s="243"/>
      <c r="D24" s="243"/>
      <c r="E24" s="243"/>
      <c r="F24" s="243"/>
      <c r="G24" s="243"/>
      <c r="H24" s="243"/>
      <c r="I24" s="243"/>
      <c r="J24" s="243"/>
      <c r="K24" s="243"/>
      <c r="L24" s="243"/>
      <c r="M24" s="243"/>
      <c r="N24" s="243"/>
      <c r="O24" s="243"/>
      <c r="P24" s="32"/>
    </row>
    <row r="25" spans="1:16" s="2" customFormat="1" ht="11.25" x14ac:dyDescent="0.2">
      <c r="A25" s="247"/>
      <c r="B25" s="243"/>
      <c r="C25" s="243"/>
      <c r="D25" s="243"/>
      <c r="E25" s="243"/>
      <c r="F25" s="243"/>
      <c r="G25" s="243"/>
      <c r="H25" s="243"/>
      <c r="I25" s="243"/>
      <c r="J25" s="243"/>
      <c r="K25" s="243"/>
      <c r="L25" s="243"/>
      <c r="M25" s="243"/>
      <c r="N25" s="243"/>
      <c r="O25" s="243"/>
      <c r="P25" s="32"/>
    </row>
    <row r="26" spans="1:16" s="2" customFormat="1" ht="11.25" x14ac:dyDescent="0.2">
      <c r="A26" s="247"/>
      <c r="B26" s="243"/>
      <c r="C26" s="243"/>
      <c r="D26" s="243"/>
      <c r="E26" s="243"/>
      <c r="F26" s="243"/>
      <c r="G26" s="243"/>
      <c r="H26" s="243"/>
      <c r="I26" s="243"/>
      <c r="J26" s="243"/>
      <c r="K26" s="243"/>
      <c r="L26" s="243"/>
      <c r="M26" s="243"/>
      <c r="N26" s="243"/>
      <c r="O26" s="243"/>
      <c r="P26" s="32"/>
    </row>
    <row r="27" spans="1:16" s="2" customFormat="1" ht="11.25" x14ac:dyDescent="0.2">
      <c r="A27" s="247"/>
      <c r="B27" s="243"/>
      <c r="C27" s="243"/>
      <c r="D27" s="243"/>
      <c r="E27" s="243"/>
      <c r="F27" s="243"/>
      <c r="G27" s="243"/>
      <c r="H27" s="243"/>
      <c r="I27" s="243"/>
      <c r="J27" s="243"/>
      <c r="K27" s="243"/>
      <c r="L27" s="243"/>
      <c r="M27" s="243"/>
      <c r="N27" s="243"/>
      <c r="O27" s="243"/>
      <c r="P27" s="32"/>
    </row>
    <row r="28" spans="1:16" s="2" customFormat="1" ht="11.25" x14ac:dyDescent="0.2">
      <c r="A28" s="247"/>
      <c r="B28" s="243"/>
      <c r="C28" s="243"/>
      <c r="D28" s="243"/>
      <c r="E28" s="243"/>
      <c r="F28" s="243"/>
      <c r="G28" s="243"/>
      <c r="H28" s="243"/>
      <c r="I28" s="243"/>
      <c r="J28" s="243"/>
      <c r="K28" s="243"/>
      <c r="L28" s="243"/>
      <c r="M28" s="243"/>
      <c r="N28" s="243"/>
      <c r="O28" s="243"/>
      <c r="P28" s="32"/>
    </row>
    <row r="29" spans="1:16" s="2" customFormat="1" ht="11.25" x14ac:dyDescent="0.2">
      <c r="A29" s="247"/>
      <c r="B29" s="243"/>
      <c r="C29" s="243"/>
      <c r="D29" s="243"/>
      <c r="E29" s="243"/>
      <c r="F29" s="243"/>
      <c r="G29" s="243"/>
      <c r="H29" s="243"/>
      <c r="I29" s="243"/>
      <c r="J29" s="243"/>
      <c r="K29" s="243"/>
      <c r="L29" s="243"/>
      <c r="M29" s="243"/>
      <c r="N29" s="243"/>
      <c r="O29" s="243"/>
      <c r="P29" s="32"/>
    </row>
    <row r="30" spans="1:16" s="2" customFormat="1" ht="11.25" x14ac:dyDescent="0.2">
      <c r="A30" s="247"/>
      <c r="B30" s="243"/>
      <c r="C30" s="243"/>
      <c r="D30" s="243"/>
      <c r="E30" s="243"/>
      <c r="F30" s="243"/>
      <c r="G30" s="243"/>
      <c r="H30" s="243"/>
      <c r="I30" s="243"/>
      <c r="J30" s="243"/>
      <c r="K30" s="243"/>
      <c r="L30" s="243"/>
      <c r="M30" s="243"/>
      <c r="N30" s="243"/>
      <c r="O30" s="243"/>
      <c r="P30" s="32"/>
    </row>
    <row r="31" spans="1:16" s="2" customFormat="1" ht="11.25" x14ac:dyDescent="0.2">
      <c r="A31" s="247"/>
      <c r="B31" s="243"/>
      <c r="C31" s="243"/>
      <c r="D31" s="243"/>
      <c r="E31" s="243"/>
      <c r="F31" s="243"/>
      <c r="G31" s="243"/>
      <c r="H31" s="243"/>
      <c r="I31" s="243"/>
      <c r="J31" s="243"/>
      <c r="K31" s="243"/>
      <c r="L31" s="243"/>
      <c r="M31" s="243"/>
      <c r="N31" s="243"/>
      <c r="O31" s="243"/>
      <c r="P31" s="32"/>
    </row>
    <row r="32" spans="1:16" s="2" customFormat="1" ht="11.25" x14ac:dyDescent="0.2">
      <c r="A32" s="247"/>
      <c r="B32" s="243"/>
      <c r="C32" s="243"/>
      <c r="D32" s="243"/>
      <c r="E32" s="243"/>
      <c r="F32" s="243"/>
      <c r="G32" s="243"/>
      <c r="H32" s="243"/>
      <c r="I32" s="243"/>
      <c r="J32" s="243"/>
      <c r="K32" s="243"/>
      <c r="L32" s="243"/>
      <c r="M32" s="243"/>
      <c r="N32" s="243"/>
      <c r="O32" s="243"/>
      <c r="P32" s="32"/>
    </row>
    <row r="33" spans="1:16" s="2" customFormat="1" ht="11.25" x14ac:dyDescent="0.2">
      <c r="A33" s="247"/>
      <c r="B33" s="243"/>
      <c r="C33" s="243"/>
      <c r="D33" s="243"/>
      <c r="E33" s="243"/>
      <c r="F33" s="243"/>
      <c r="G33" s="243"/>
      <c r="H33" s="243"/>
      <c r="I33" s="243"/>
      <c r="J33" s="243"/>
      <c r="K33" s="243"/>
      <c r="L33" s="243"/>
      <c r="M33" s="243"/>
      <c r="N33" s="243"/>
      <c r="O33" s="243"/>
      <c r="P33" s="32"/>
    </row>
    <row r="34" spans="1:16" s="2" customFormat="1" ht="11.25" x14ac:dyDescent="0.2">
      <c r="A34" s="247"/>
      <c r="B34" s="243"/>
      <c r="C34" s="243"/>
      <c r="D34" s="243"/>
      <c r="E34" s="243"/>
      <c r="F34" s="243"/>
      <c r="G34" s="243"/>
      <c r="H34" s="243"/>
      <c r="I34" s="243"/>
      <c r="J34" s="243"/>
      <c r="K34" s="243"/>
      <c r="L34" s="243"/>
      <c r="M34" s="243"/>
      <c r="N34" s="243"/>
      <c r="O34" s="243"/>
      <c r="P34" s="32"/>
    </row>
    <row r="35" spans="1:16" s="2" customFormat="1" ht="11.25" x14ac:dyDescent="0.2">
      <c r="A35" s="247"/>
      <c r="B35" s="243"/>
      <c r="C35" s="243"/>
      <c r="D35" s="243"/>
      <c r="E35" s="243"/>
      <c r="F35" s="243"/>
      <c r="G35" s="243"/>
      <c r="H35" s="243"/>
      <c r="I35" s="243"/>
      <c r="J35" s="243"/>
      <c r="K35" s="243"/>
      <c r="L35" s="243"/>
      <c r="M35" s="243"/>
      <c r="N35" s="243"/>
      <c r="O35" s="243"/>
      <c r="P35" s="32"/>
    </row>
    <row r="36" spans="1:16" s="2" customFormat="1" ht="11.25" x14ac:dyDescent="0.2">
      <c r="A36" s="247"/>
      <c r="B36" s="243"/>
      <c r="C36" s="243"/>
      <c r="D36" s="243"/>
      <c r="E36" s="243"/>
      <c r="F36" s="243"/>
      <c r="G36" s="243"/>
      <c r="H36" s="243"/>
      <c r="I36" s="243"/>
      <c r="J36" s="243"/>
      <c r="K36" s="243"/>
      <c r="L36" s="243"/>
      <c r="M36" s="243"/>
      <c r="N36" s="243"/>
      <c r="O36" s="243"/>
      <c r="P36" s="32"/>
    </row>
    <row r="37" spans="1:16" s="2" customFormat="1" ht="11.25" x14ac:dyDescent="0.2">
      <c r="A37" s="247"/>
      <c r="B37" s="243"/>
      <c r="C37" s="243"/>
      <c r="D37" s="243"/>
      <c r="E37" s="243"/>
      <c r="F37" s="243"/>
      <c r="G37" s="243"/>
      <c r="H37" s="243"/>
      <c r="I37" s="243"/>
      <c r="J37" s="243"/>
      <c r="K37" s="243"/>
      <c r="L37" s="243"/>
      <c r="M37" s="243"/>
      <c r="N37" s="243"/>
      <c r="O37" s="243"/>
      <c r="P37" s="32"/>
    </row>
    <row r="38" spans="1:16" s="2" customFormat="1" ht="11.25" x14ac:dyDescent="0.2">
      <c r="A38" s="247"/>
      <c r="B38" s="243"/>
      <c r="C38" s="243"/>
      <c r="D38" s="243"/>
      <c r="E38" s="243"/>
      <c r="F38" s="243"/>
      <c r="G38" s="243"/>
      <c r="H38" s="243"/>
      <c r="I38" s="243"/>
      <c r="J38" s="243"/>
      <c r="K38" s="243"/>
      <c r="L38" s="243"/>
      <c r="M38" s="243"/>
      <c r="N38" s="243"/>
      <c r="O38" s="243"/>
      <c r="P38" s="32"/>
    </row>
    <row r="39" spans="1:16" s="2" customFormat="1" ht="11.25" x14ac:dyDescent="0.2">
      <c r="A39" s="247"/>
      <c r="B39" s="243"/>
      <c r="C39" s="243"/>
      <c r="D39" s="243"/>
      <c r="E39" s="243"/>
      <c r="F39" s="243"/>
      <c r="G39" s="243"/>
      <c r="H39" s="243"/>
      <c r="I39" s="243"/>
      <c r="J39" s="243"/>
      <c r="K39" s="243"/>
      <c r="L39" s="243"/>
      <c r="M39" s="243"/>
      <c r="N39" s="243"/>
      <c r="O39" s="243"/>
      <c r="P39" s="32"/>
    </row>
    <row r="40" spans="1:16" s="2" customFormat="1" ht="11.25" x14ac:dyDescent="0.2">
      <c r="A40" s="247"/>
      <c r="B40" s="243"/>
      <c r="C40" s="243"/>
      <c r="D40" s="243"/>
      <c r="E40" s="243"/>
      <c r="F40" s="243"/>
      <c r="G40" s="243"/>
      <c r="H40" s="243"/>
      <c r="I40" s="243"/>
      <c r="J40" s="243"/>
      <c r="K40" s="243"/>
      <c r="L40" s="243"/>
      <c r="M40" s="243"/>
      <c r="N40" s="243"/>
      <c r="O40" s="243"/>
      <c r="P40" s="32"/>
    </row>
    <row r="41" spans="1:16" s="2" customFormat="1" ht="11.25" x14ac:dyDescent="0.2">
      <c r="A41" s="247"/>
      <c r="B41" s="243"/>
      <c r="C41" s="243"/>
      <c r="D41" s="243"/>
      <c r="E41" s="243"/>
      <c r="F41" s="243"/>
      <c r="G41" s="243"/>
      <c r="H41" s="243"/>
      <c r="I41" s="243"/>
      <c r="J41" s="243"/>
      <c r="K41" s="243"/>
      <c r="L41" s="243"/>
      <c r="M41" s="243"/>
      <c r="N41" s="243"/>
      <c r="O41" s="243"/>
      <c r="P41" s="32"/>
    </row>
    <row r="42" spans="1:16" s="2" customFormat="1" ht="11.25" x14ac:dyDescent="0.2">
      <c r="A42" s="247"/>
      <c r="B42" s="243"/>
      <c r="C42" s="243"/>
      <c r="D42" s="243"/>
      <c r="E42" s="243"/>
      <c r="F42" s="243"/>
      <c r="G42" s="243"/>
      <c r="H42" s="243"/>
      <c r="I42" s="243"/>
      <c r="J42" s="243"/>
      <c r="K42" s="243"/>
      <c r="L42" s="243"/>
      <c r="M42" s="243"/>
      <c r="N42" s="243"/>
      <c r="O42" s="243"/>
      <c r="P42" s="32"/>
    </row>
    <row r="43" spans="1:16" s="2" customFormat="1" ht="11.25" x14ac:dyDescent="0.2">
      <c r="A43" s="247"/>
      <c r="B43" s="243"/>
      <c r="C43" s="243"/>
      <c r="D43" s="243"/>
      <c r="E43" s="243"/>
      <c r="F43" s="243"/>
      <c r="G43" s="243"/>
      <c r="H43" s="243"/>
      <c r="I43" s="243"/>
      <c r="J43" s="243"/>
      <c r="K43" s="243"/>
      <c r="L43" s="243"/>
      <c r="M43" s="243"/>
      <c r="N43" s="243"/>
      <c r="O43" s="243"/>
      <c r="P43" s="32"/>
    </row>
    <row r="44" spans="1:16" s="2" customFormat="1" ht="11.25" x14ac:dyDescent="0.2">
      <c r="A44" s="247"/>
      <c r="B44" s="243"/>
      <c r="C44" s="243"/>
      <c r="D44" s="243"/>
      <c r="E44" s="243"/>
      <c r="F44" s="243"/>
      <c r="G44" s="243"/>
      <c r="H44" s="243"/>
      <c r="I44" s="243"/>
      <c r="J44" s="243"/>
      <c r="K44" s="243"/>
      <c r="L44" s="243"/>
      <c r="M44" s="243"/>
      <c r="N44" s="243"/>
      <c r="O44" s="243"/>
      <c r="P44" s="32"/>
    </row>
    <row r="45" spans="1:16" s="2" customFormat="1" ht="11.25" x14ac:dyDescent="0.2">
      <c r="A45" s="247"/>
      <c r="B45" s="243"/>
      <c r="C45" s="243"/>
      <c r="D45" s="243"/>
      <c r="E45" s="243"/>
      <c r="F45" s="243"/>
      <c r="G45" s="243"/>
      <c r="H45" s="243"/>
      <c r="I45" s="243"/>
      <c r="J45" s="243"/>
      <c r="K45" s="243"/>
      <c r="L45" s="243"/>
      <c r="M45" s="243"/>
      <c r="N45" s="243"/>
      <c r="O45" s="243"/>
      <c r="P45" s="32"/>
    </row>
    <row r="46" spans="1:16" s="2" customFormat="1" ht="11.25" x14ac:dyDescent="0.2">
      <c r="A46" s="247"/>
      <c r="B46" s="243"/>
      <c r="C46" s="243"/>
      <c r="D46" s="243"/>
      <c r="E46" s="243"/>
      <c r="F46" s="243"/>
      <c r="G46" s="243"/>
      <c r="H46" s="243"/>
      <c r="I46" s="243"/>
      <c r="J46" s="243"/>
      <c r="K46" s="243"/>
      <c r="L46" s="243"/>
      <c r="M46" s="243"/>
      <c r="N46" s="243"/>
      <c r="O46" s="243"/>
      <c r="P46" s="32"/>
    </row>
    <row r="47" spans="1:16" s="2" customFormat="1" ht="11.25" x14ac:dyDescent="0.2">
      <c r="A47" s="247"/>
      <c r="B47" s="243"/>
      <c r="C47" s="243"/>
      <c r="D47" s="243"/>
      <c r="E47" s="243"/>
      <c r="F47" s="243"/>
      <c r="G47" s="243"/>
      <c r="H47" s="243"/>
      <c r="I47" s="243"/>
      <c r="J47" s="243"/>
      <c r="K47" s="243"/>
      <c r="L47" s="243"/>
      <c r="M47" s="243"/>
      <c r="N47" s="243"/>
      <c r="O47" s="243"/>
      <c r="P47" s="32"/>
    </row>
    <row r="48" spans="1:16" s="2" customFormat="1" ht="11.25" x14ac:dyDescent="0.2">
      <c r="A48" s="247"/>
      <c r="B48" s="243"/>
      <c r="C48" s="243"/>
      <c r="D48" s="243"/>
      <c r="E48" s="243"/>
      <c r="F48" s="243"/>
      <c r="G48" s="243"/>
      <c r="H48" s="243"/>
      <c r="I48" s="243"/>
      <c r="J48" s="243"/>
      <c r="K48" s="243"/>
      <c r="L48" s="243"/>
      <c r="M48" s="243"/>
      <c r="N48" s="243"/>
      <c r="O48" s="243"/>
      <c r="P48" s="32"/>
    </row>
    <row r="49" spans="1:16" s="2" customFormat="1" ht="11.25" x14ac:dyDescent="0.2">
      <c r="A49" s="247"/>
      <c r="B49" s="243"/>
      <c r="C49" s="243"/>
      <c r="D49" s="243"/>
      <c r="E49" s="243"/>
      <c r="F49" s="243"/>
      <c r="G49" s="243"/>
      <c r="H49" s="243"/>
      <c r="I49" s="243"/>
      <c r="J49" s="243"/>
      <c r="K49" s="243"/>
      <c r="L49" s="243"/>
      <c r="M49" s="243"/>
      <c r="N49" s="243"/>
      <c r="O49" s="243"/>
      <c r="P49" s="32"/>
    </row>
    <row r="50" spans="1:16" s="2" customFormat="1" ht="11.25" x14ac:dyDescent="0.2">
      <c r="A50" s="247"/>
      <c r="B50" s="243"/>
      <c r="C50" s="243"/>
      <c r="D50" s="243"/>
      <c r="E50" s="243"/>
      <c r="F50" s="243"/>
      <c r="G50" s="243"/>
      <c r="H50" s="243"/>
      <c r="I50" s="243"/>
      <c r="J50" s="243"/>
      <c r="K50" s="243"/>
      <c r="L50" s="243"/>
      <c r="M50" s="243"/>
      <c r="N50" s="243"/>
      <c r="O50" s="243"/>
      <c r="P50" s="32"/>
    </row>
    <row r="51" spans="1:16" s="2" customFormat="1" ht="11.25" x14ac:dyDescent="0.2">
      <c r="A51" s="143"/>
      <c r="P51" s="32"/>
    </row>
    <row r="52" spans="1:16" s="2" customFormat="1" ht="11.25" x14ac:dyDescent="0.2">
      <c r="A52" s="143"/>
      <c r="P52" s="32"/>
    </row>
    <row r="53" spans="1:16" s="2" customFormat="1" ht="11.25" x14ac:dyDescent="0.2">
      <c r="A53" s="143"/>
      <c r="P53" s="32"/>
    </row>
    <row r="54" spans="1:16" s="2" customFormat="1" ht="11.25" x14ac:dyDescent="0.2">
      <c r="A54" s="143"/>
      <c r="P54" s="32"/>
    </row>
    <row r="55" spans="1:16" s="2" customFormat="1" ht="11.25" x14ac:dyDescent="0.2">
      <c r="A55" s="143"/>
      <c r="P55" s="32"/>
    </row>
    <row r="56" spans="1:16" s="2" customFormat="1" ht="11.25" x14ac:dyDescent="0.2">
      <c r="A56" s="143"/>
      <c r="P56" s="32"/>
    </row>
    <row r="57" spans="1:16" s="2" customFormat="1" ht="11.25" x14ac:dyDescent="0.2">
      <c r="A57" s="143"/>
      <c r="P57" s="32"/>
    </row>
    <row r="58" spans="1:16" s="2" customFormat="1" ht="11.25" x14ac:dyDescent="0.2">
      <c r="A58" s="143"/>
      <c r="P58" s="32"/>
    </row>
    <row r="59" spans="1:16" s="2" customFormat="1" ht="11.25" x14ac:dyDescent="0.2">
      <c r="A59" s="143"/>
      <c r="P59" s="32"/>
    </row>
    <row r="60" spans="1:16" s="2" customFormat="1" ht="11.25" x14ac:dyDescent="0.2">
      <c r="A60" s="143"/>
      <c r="P60" s="32"/>
    </row>
    <row r="61" spans="1:16" s="2" customFormat="1" ht="11.25" x14ac:dyDescent="0.2">
      <c r="A61" s="143"/>
      <c r="P61" s="32"/>
    </row>
    <row r="62" spans="1:16" s="2" customFormat="1" ht="11.25" x14ac:dyDescent="0.2">
      <c r="A62" s="143"/>
      <c r="P62" s="32"/>
    </row>
    <row r="63" spans="1:16" s="2" customFormat="1" ht="11.25" x14ac:dyDescent="0.2">
      <c r="A63" s="143"/>
      <c r="P63" s="32"/>
    </row>
    <row r="64" spans="1:16" s="2" customFormat="1" ht="11.25" x14ac:dyDescent="0.2">
      <c r="A64" s="143"/>
      <c r="P64" s="32"/>
    </row>
    <row r="65" spans="1:16" s="2" customFormat="1" ht="11.25" x14ac:dyDescent="0.2">
      <c r="A65" s="143"/>
      <c r="P65" s="32"/>
    </row>
    <row r="66" spans="1:16" s="2" customFormat="1" ht="11.25" x14ac:dyDescent="0.2">
      <c r="A66" s="143"/>
      <c r="P66" s="32"/>
    </row>
    <row r="67" spans="1:16" s="2" customFormat="1" ht="11.25" x14ac:dyDescent="0.2">
      <c r="A67" s="143"/>
      <c r="P67" s="32"/>
    </row>
    <row r="68" spans="1:16" s="2" customFormat="1" ht="11.25" x14ac:dyDescent="0.2">
      <c r="A68" s="143"/>
      <c r="P68" s="32"/>
    </row>
    <row r="69" spans="1:16" s="2" customFormat="1" ht="11.25" x14ac:dyDescent="0.2">
      <c r="A69" s="143"/>
      <c r="P69" s="32"/>
    </row>
    <row r="70" spans="1:16" s="2" customFormat="1" ht="11.25" x14ac:dyDescent="0.2">
      <c r="A70" s="143"/>
      <c r="P70" s="32"/>
    </row>
    <row r="71" spans="1:16" s="2" customFormat="1" ht="11.25" x14ac:dyDescent="0.2">
      <c r="A71" s="143"/>
      <c r="P71" s="32"/>
    </row>
    <row r="72" spans="1:16" s="2" customFormat="1" ht="11.25" x14ac:dyDescent="0.2">
      <c r="A72" s="143"/>
      <c r="P72" s="32"/>
    </row>
    <row r="73" spans="1:16" s="2" customFormat="1" ht="11.25" x14ac:dyDescent="0.2">
      <c r="A73" s="143"/>
      <c r="P73" s="32"/>
    </row>
    <row r="74" spans="1:16" s="2" customFormat="1" ht="11.25" x14ac:dyDescent="0.2">
      <c r="A74" s="143"/>
      <c r="P74" s="32"/>
    </row>
    <row r="75" spans="1:16" s="2" customFormat="1" ht="11.25" x14ac:dyDescent="0.2">
      <c r="A75" s="143"/>
      <c r="P75" s="32"/>
    </row>
    <row r="76" spans="1:16" s="2" customFormat="1" ht="11.25" x14ac:dyDescent="0.2">
      <c r="A76" s="143"/>
      <c r="P76" s="32"/>
    </row>
    <row r="77" spans="1:16" s="2" customFormat="1" ht="11.25" x14ac:dyDescent="0.2">
      <c r="A77" s="143"/>
      <c r="P77" s="32"/>
    </row>
    <row r="78" spans="1:16" s="2" customFormat="1" ht="11.25" x14ac:dyDescent="0.2">
      <c r="A78" s="143"/>
      <c r="P78" s="32"/>
    </row>
    <row r="79" spans="1:16" s="2" customFormat="1" ht="11.25" x14ac:dyDescent="0.2">
      <c r="A79" s="143"/>
      <c r="P79" s="32"/>
    </row>
    <row r="80" spans="1:16" s="2" customFormat="1" ht="11.25" x14ac:dyDescent="0.2">
      <c r="A80" s="143"/>
      <c r="P80" s="32"/>
    </row>
    <row r="81" spans="1:16" s="2" customFormat="1" ht="11.25" x14ac:dyDescent="0.2">
      <c r="A81" s="143"/>
      <c r="P81" s="32"/>
    </row>
    <row r="82" spans="1:16" s="2" customFormat="1" ht="11.25" x14ac:dyDescent="0.2">
      <c r="A82" s="143"/>
      <c r="P82" s="32"/>
    </row>
    <row r="83" spans="1:16" s="2" customFormat="1" ht="11.25" x14ac:dyDescent="0.2">
      <c r="A83" s="143"/>
      <c r="P83" s="32"/>
    </row>
    <row r="84" spans="1:16" s="2" customFormat="1" ht="11.25" x14ac:dyDescent="0.2">
      <c r="A84" s="143"/>
      <c r="P84" s="32"/>
    </row>
    <row r="85" spans="1:16" s="2" customFormat="1" ht="11.25" x14ac:dyDescent="0.2">
      <c r="A85" s="143"/>
      <c r="P85" s="32"/>
    </row>
    <row r="86" spans="1:16" s="2" customFormat="1" ht="11.25" x14ac:dyDescent="0.2">
      <c r="A86" s="143"/>
      <c r="P86" s="32"/>
    </row>
    <row r="87" spans="1:16" s="2" customFormat="1" ht="11.25" x14ac:dyDescent="0.2">
      <c r="A87" s="143"/>
      <c r="P87" s="32"/>
    </row>
    <row r="88" spans="1:16" s="2" customFormat="1" ht="11.25" x14ac:dyDescent="0.2">
      <c r="A88" s="143"/>
      <c r="P88" s="32"/>
    </row>
  </sheetData>
  <customSheetViews>
    <customSheetView guid="{4B7ED599-3000-45CD-B5C1-4F696B7BEDDF}" fitToPage="1" showRuler="0">
      <pane xSplit="2" ySplit="7" topLeftCell="C8" activePane="bottomRight" state="frozen"/>
      <selection pane="bottomRight" activeCell="C8" sqref="C8"/>
      <pageMargins left="0.75" right="0.75" top="1" bottom="1" header="0.5" footer="0.5"/>
      <pageSetup scale="30" fitToHeight="2" orientation="portrait" r:id="rId1"/>
      <headerFooter alignWithMargins="0">
        <oddHeader>&amp;CFY00 City Carrier In-Office Costs By Shape&amp;RUSPS LR-J-117
Page &amp;P of &amp;N</oddHeader>
      </headerFooter>
    </customSheetView>
  </customSheetViews>
  <phoneticPr fontId="6" type="noConversion"/>
  <pageMargins left="0.75" right="0.75" top="1" bottom="1" header="0.5" footer="0.5"/>
  <pageSetup scale="89" fitToHeight="2" orientation="portrait" r:id="rId2"/>
  <headerFooter alignWithMargins="0">
    <oddHeader xml:space="preserve">&amp;RUSPS -FY09-19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92D050"/>
  </sheetPr>
  <dimension ref="A1:T56"/>
  <sheetViews>
    <sheetView workbookViewId="0">
      <selection activeCell="M20" sqref="M20"/>
    </sheetView>
  </sheetViews>
  <sheetFormatPr defaultColWidth="9.140625" defaultRowHeight="12.75" x14ac:dyDescent="0.2"/>
  <cols>
    <col min="1" max="1" width="6.42578125" style="223" customWidth="1"/>
    <col min="2" max="2" width="28" style="223" bestFit="1" customWidth="1"/>
    <col min="3" max="3" width="12.42578125" style="223" customWidth="1"/>
    <col min="4" max="4" width="13.5703125" style="223" bestFit="1" customWidth="1"/>
    <col min="5" max="5" width="13.140625" style="223" bestFit="1" customWidth="1"/>
    <col min="6" max="6" width="13.5703125" style="223" bestFit="1" customWidth="1"/>
    <col min="7" max="7" width="14.42578125" style="223" bestFit="1" customWidth="1"/>
    <col min="8" max="8" width="14" style="223" bestFit="1" customWidth="1"/>
    <col min="9" max="9" width="14.42578125" style="223" bestFit="1" customWidth="1"/>
    <col min="10" max="10" width="14.42578125" style="223" customWidth="1"/>
    <col min="11" max="11" width="21.85546875" style="223" customWidth="1"/>
    <col min="12" max="12" width="12.42578125" style="223" customWidth="1"/>
    <col min="13" max="14" width="9.140625" style="223"/>
    <col min="15" max="15" width="13.42578125" style="223" customWidth="1"/>
    <col min="16" max="16" width="10.5703125" style="223" customWidth="1"/>
    <col min="17" max="17" width="26.140625" style="223" customWidth="1"/>
    <col min="18" max="18" width="12.85546875" style="223" customWidth="1"/>
    <col min="19" max="19" width="16.5703125" style="223" customWidth="1"/>
    <col min="20" max="16384" width="9.140625" style="223"/>
  </cols>
  <sheetData>
    <row r="1" spans="1:20" x14ac:dyDescent="0.2">
      <c r="A1" s="265" t="str">
        <f>[1]Inputs!$C$4</f>
        <v>Unit Delivery Cost Model -  12/16/2025</v>
      </c>
      <c r="C1" s="224"/>
      <c r="D1" s="14"/>
      <c r="E1" s="14"/>
      <c r="F1" s="224"/>
      <c r="G1" s="225"/>
    </row>
    <row r="2" spans="1:20" x14ac:dyDescent="0.2">
      <c r="A2" s="103" t="s">
        <v>161</v>
      </c>
      <c r="B2" s="18"/>
      <c r="C2" s="224"/>
      <c r="D2" s="14"/>
      <c r="E2" s="14"/>
      <c r="F2" s="224"/>
      <c r="G2" s="225"/>
    </row>
    <row r="3" spans="1:20" x14ac:dyDescent="0.2">
      <c r="A3" s="270" t="str">
        <f>[1]Inputs!$C$6</f>
        <v>FY 2025</v>
      </c>
      <c r="B3" s="18"/>
      <c r="C3" s="224"/>
      <c r="D3" s="224"/>
      <c r="E3" s="224"/>
      <c r="F3" s="224"/>
      <c r="G3" s="224"/>
      <c r="H3" s="224"/>
      <c r="I3" s="224"/>
      <c r="J3" s="224"/>
      <c r="K3" s="224"/>
    </row>
    <row r="4" spans="1:20" x14ac:dyDescent="0.2">
      <c r="B4" s="19"/>
      <c r="C4" s="226"/>
      <c r="D4" s="226"/>
      <c r="E4" s="226"/>
      <c r="F4" s="226"/>
      <c r="G4" s="225"/>
    </row>
    <row r="5" spans="1:20" s="193" customFormat="1" ht="67.5" x14ac:dyDescent="0.2">
      <c r="A5" s="46" t="s">
        <v>23</v>
      </c>
      <c r="B5" s="490"/>
      <c r="C5" s="47" t="s">
        <v>104</v>
      </c>
      <c r="D5" s="216" t="s">
        <v>99</v>
      </c>
      <c r="E5" s="216" t="s">
        <v>100</v>
      </c>
      <c r="F5" s="216" t="s">
        <v>101</v>
      </c>
      <c r="G5" s="81" t="s">
        <v>97</v>
      </c>
      <c r="H5" s="81" t="s">
        <v>111</v>
      </c>
      <c r="I5" s="47" t="s">
        <v>3</v>
      </c>
      <c r="J5" s="81" t="s">
        <v>98</v>
      </c>
      <c r="K5" s="136"/>
      <c r="L5" s="65"/>
      <c r="M5" s="65"/>
      <c r="N5" s="65"/>
      <c r="O5" s="65"/>
      <c r="P5" s="65"/>
      <c r="Q5" s="65"/>
      <c r="R5" s="65"/>
      <c r="S5" s="65"/>
      <c r="T5" s="136"/>
    </row>
    <row r="6" spans="1:20" s="193" customFormat="1" ht="11.25" x14ac:dyDescent="0.2">
      <c r="A6" s="42"/>
      <c r="B6" s="41" t="s">
        <v>22</v>
      </c>
      <c r="C6" s="42">
        <v>-1</v>
      </c>
      <c r="D6" s="42">
        <f t="shared" ref="D6:J6" si="0">C6-1</f>
        <v>-2</v>
      </c>
      <c r="E6" s="42">
        <f t="shared" si="0"/>
        <v>-3</v>
      </c>
      <c r="F6" s="42">
        <f t="shared" si="0"/>
        <v>-4</v>
      </c>
      <c r="G6" s="42">
        <f t="shared" si="0"/>
        <v>-5</v>
      </c>
      <c r="H6" s="42">
        <f t="shared" si="0"/>
        <v>-6</v>
      </c>
      <c r="I6" s="42">
        <f t="shared" si="0"/>
        <v>-7</v>
      </c>
      <c r="J6" s="42">
        <f t="shared" si="0"/>
        <v>-8</v>
      </c>
      <c r="K6" s="136"/>
      <c r="L6" s="65"/>
      <c r="M6" s="65"/>
      <c r="N6" s="65"/>
      <c r="O6" s="65"/>
      <c r="P6" s="65"/>
      <c r="Q6" s="65"/>
      <c r="R6" s="65"/>
      <c r="S6" s="65"/>
      <c r="T6" s="136"/>
    </row>
    <row r="7" spans="1:20" s="193" customFormat="1" ht="11.25" x14ac:dyDescent="0.2">
      <c r="A7" s="67"/>
      <c r="B7" s="43" t="s">
        <v>94</v>
      </c>
      <c r="C7" s="67" t="s">
        <v>96</v>
      </c>
      <c r="D7" s="67" t="s">
        <v>96</v>
      </c>
      <c r="E7" s="67" t="s">
        <v>96</v>
      </c>
      <c r="F7" s="67" t="s">
        <v>96</v>
      </c>
      <c r="G7" s="68"/>
      <c r="H7" s="68" t="s">
        <v>119</v>
      </c>
      <c r="I7" s="68"/>
      <c r="J7" s="68"/>
      <c r="K7" s="136"/>
      <c r="L7" s="65"/>
      <c r="M7" s="65"/>
      <c r="N7" s="65"/>
      <c r="O7" s="65"/>
      <c r="P7" s="65"/>
      <c r="Q7" s="65"/>
      <c r="R7" s="65"/>
      <c r="S7" s="65"/>
      <c r="T7" s="136"/>
    </row>
    <row r="8" spans="1:20" s="193" customFormat="1" ht="22.5" x14ac:dyDescent="0.2">
      <c r="A8" s="491"/>
      <c r="B8" s="102" t="s">
        <v>95</v>
      </c>
      <c r="C8" s="94" t="s">
        <v>356</v>
      </c>
      <c r="D8" s="94" t="s">
        <v>357</v>
      </c>
      <c r="E8" s="94" t="s">
        <v>357</v>
      </c>
      <c r="F8" s="94" t="str">
        <f>"C"&amp;-C6&amp;" - C"&amp;-D6</f>
        <v>C1 - C2</v>
      </c>
      <c r="G8" s="94"/>
      <c r="H8" s="95" t="str">
        <f>"[UDCInputs.xls]7.0.8"</f>
        <v>[UDCInputs.xls]7.0.8</v>
      </c>
      <c r="I8" s="95" t="str">
        <f>"C"&amp;-C14&amp;" L"&amp;A32&amp;", L"&amp;A42&amp;", L"&amp;A55</f>
        <v>C9 L19, L29, L42</v>
      </c>
      <c r="J8" s="95" t="str">
        <f>"(1 - C"&amp;-I6&amp;") + (C"&amp;-I6&amp;" x C"&amp;-G6&amp;")"</f>
        <v>(1 - C7) + (C7 x C5)</v>
      </c>
      <c r="K8" s="136"/>
      <c r="L8" s="65"/>
      <c r="M8" s="65"/>
      <c r="N8" s="65"/>
      <c r="O8" s="65"/>
      <c r="P8" s="65"/>
      <c r="Q8" s="65"/>
      <c r="R8" s="65"/>
      <c r="S8" s="65"/>
      <c r="T8" s="136"/>
    </row>
    <row r="9" spans="1:20" s="2" customFormat="1" ht="11.25" x14ac:dyDescent="0.2">
      <c r="A9" s="44">
        <v>1</v>
      </c>
      <c r="B9" s="170" t="s">
        <v>102</v>
      </c>
      <c r="C9" s="113">
        <f>[1]CARMM!$D12</f>
        <v>361929.81521195872</v>
      </c>
      <c r="D9" s="113">
        <f>[1]CARMMCasing!$D$12</f>
        <v>285096.63188555132</v>
      </c>
      <c r="E9" s="117">
        <f>[1]CARMMCasing!$C12/1000</f>
        <v>285096.63188555132</v>
      </c>
      <c r="F9" s="113">
        <f>C9-D9</f>
        <v>76833.183326407394</v>
      </c>
      <c r="G9" s="492">
        <v>0</v>
      </c>
      <c r="H9" s="181">
        <f>'[1]7.0.8'!$E13+'[1]7.0.8'!$H13</f>
        <v>16757135.816921964</v>
      </c>
      <c r="I9" s="493">
        <f>C32</f>
        <v>0.92750157456466986</v>
      </c>
      <c r="J9" s="147">
        <f>(1-I9)+(I9*G9)</f>
        <v>7.2498425435330138E-2</v>
      </c>
      <c r="K9" s="38"/>
      <c r="L9" s="109"/>
      <c r="M9" s="109"/>
      <c r="N9" s="494"/>
      <c r="O9" s="494"/>
      <c r="P9" s="494"/>
      <c r="Q9" s="8"/>
      <c r="R9" s="495"/>
      <c r="S9" s="495"/>
    </row>
    <row r="10" spans="1:20" s="2" customFormat="1" ht="11.25" x14ac:dyDescent="0.2">
      <c r="A10" s="44">
        <f>A9+1</f>
        <v>2</v>
      </c>
      <c r="B10" s="154" t="s">
        <v>103</v>
      </c>
      <c r="C10" s="117">
        <f>[1]CARMM!$D13</f>
        <v>26930.441570345323</v>
      </c>
      <c r="D10" s="117">
        <f>[1]CARMMCasing!$D$13</f>
        <v>20746.004309347478</v>
      </c>
      <c r="E10" s="117">
        <f>[1]CARMMCasing!$C13/1000</f>
        <v>20746.004309347478</v>
      </c>
      <c r="F10" s="117">
        <f>C10-D10</f>
        <v>6184.4372609978454</v>
      </c>
      <c r="G10" s="180">
        <f>G9</f>
        <v>0</v>
      </c>
      <c r="H10" s="117">
        <f>'[1]7.0.8'!$E14+'[1]7.0.8'!$H14</f>
        <v>1348586.8312861701</v>
      </c>
      <c r="I10" s="118">
        <f>C42</f>
        <v>0.91648957826547328</v>
      </c>
      <c r="J10" s="118">
        <f>(1-I10)+(I10*G10)</f>
        <v>8.3510421734526719E-2</v>
      </c>
      <c r="K10" s="12"/>
    </row>
    <row r="11" spans="1:20" s="2" customFormat="1" ht="11.25" x14ac:dyDescent="0.2">
      <c r="A11" s="45">
        <f>A10+1</f>
        <v>3</v>
      </c>
      <c r="B11" s="382" t="s">
        <v>437</v>
      </c>
      <c r="C11" s="122">
        <f>[1]CARMM!$D32</f>
        <v>476703.92568861647</v>
      </c>
      <c r="D11" s="122">
        <f>[1]CARMMCasing!$D$32</f>
        <v>381568.13339349383</v>
      </c>
      <c r="E11" s="117">
        <f>[1]CARMMCasing!$C32/1000</f>
        <v>381568.13339349383</v>
      </c>
      <c r="F11" s="122">
        <f>C11-D11</f>
        <v>95135.792295122636</v>
      </c>
      <c r="G11" s="496">
        <f>G9</f>
        <v>0</v>
      </c>
      <c r="H11" s="122">
        <f>'[1]7.0.8'!$E22+'[1]7.0.8'!$H22</f>
        <v>21744934.515808892</v>
      </c>
      <c r="I11" s="123">
        <f>C55</f>
        <v>0.9319830150439411</v>
      </c>
      <c r="J11" s="123">
        <f>(1-I11)+(I11*G11)</f>
        <v>6.8016984956058901E-2</v>
      </c>
      <c r="K11" s="38"/>
    </row>
    <row r="12" spans="1:20" s="2" customFormat="1" ht="11.25" x14ac:dyDescent="0.2">
      <c r="A12" s="497"/>
      <c r="B12" s="498"/>
      <c r="C12" s="498"/>
      <c r="D12" s="498"/>
      <c r="E12" s="498"/>
      <c r="F12" s="498"/>
      <c r="G12" s="498"/>
      <c r="H12" s="498"/>
      <c r="I12" s="498"/>
      <c r="J12" s="498"/>
      <c r="K12" s="464"/>
    </row>
    <row r="13" spans="1:20" s="2" customFormat="1" ht="77.25" customHeight="1" x14ac:dyDescent="0.2">
      <c r="A13" s="46" t="s">
        <v>23</v>
      </c>
      <c r="B13" s="150"/>
      <c r="C13" s="63" t="s">
        <v>3</v>
      </c>
      <c r="D13" s="175" t="s">
        <v>105</v>
      </c>
      <c r="E13" s="46" t="s">
        <v>106</v>
      </c>
      <c r="F13" s="175" t="s">
        <v>107</v>
      </c>
      <c r="G13" s="46" t="s">
        <v>113</v>
      </c>
      <c r="H13" s="64" t="s">
        <v>216</v>
      </c>
      <c r="I13" s="46" t="s">
        <v>108</v>
      </c>
      <c r="J13" s="46" t="s">
        <v>200</v>
      </c>
    </row>
    <row r="14" spans="1:20" s="2" customFormat="1" ht="11.25" x14ac:dyDescent="0.2">
      <c r="A14" s="42"/>
      <c r="B14" s="41" t="s">
        <v>22</v>
      </c>
      <c r="C14" s="42">
        <f>J6-1</f>
        <v>-9</v>
      </c>
      <c r="D14" s="42">
        <f t="shared" ref="D14:I14" si="1">C14-1</f>
        <v>-10</v>
      </c>
      <c r="E14" s="42">
        <f t="shared" si="1"/>
        <v>-11</v>
      </c>
      <c r="F14" s="42">
        <f t="shared" si="1"/>
        <v>-12</v>
      </c>
      <c r="G14" s="42">
        <f t="shared" si="1"/>
        <v>-13</v>
      </c>
      <c r="H14" s="42">
        <f t="shared" si="1"/>
        <v>-14</v>
      </c>
      <c r="I14" s="42">
        <f t="shared" si="1"/>
        <v>-15</v>
      </c>
      <c r="J14" s="42">
        <v>-16</v>
      </c>
    </row>
    <row r="15" spans="1:20" s="2" customFormat="1" ht="11.25" x14ac:dyDescent="0.2">
      <c r="A15" s="499"/>
      <c r="B15" s="43" t="s">
        <v>94</v>
      </c>
      <c r="C15" s="91"/>
      <c r="D15" s="58"/>
      <c r="E15" s="500"/>
      <c r="F15" s="58"/>
      <c r="G15" s="67"/>
      <c r="H15" s="67"/>
      <c r="I15" s="67"/>
      <c r="J15" s="67"/>
    </row>
    <row r="16" spans="1:20" s="2" customFormat="1" ht="22.5" x14ac:dyDescent="0.2">
      <c r="A16" s="501"/>
      <c r="B16" s="102" t="s">
        <v>95</v>
      </c>
      <c r="C16" s="94" t="str">
        <f>"[UDCInputs.xls]DPS%"</f>
        <v>[UDCInputs.xls]DPS%</v>
      </c>
      <c r="D16" s="95" t="str">
        <f>"(1 - C"&amp;-C14&amp;") + (C"&amp;-C14&amp;" x C"&amp;-G6&amp;")"</f>
        <v>(1 - C9) + (C9 x C5)</v>
      </c>
      <c r="E16" s="95" t="str">
        <f>"C"&amp;-G6&amp;" x (C"&amp;-D14&amp;" x C"&amp;-H14&amp;")"</f>
        <v>C5 x (C10 x C14)</v>
      </c>
      <c r="F16" s="95" t="str">
        <f>"=C"&amp;-C14&amp;""</f>
        <v>=C9</v>
      </c>
      <c r="G16" s="95" t="s">
        <v>358</v>
      </c>
      <c r="H16" s="94" t="str">
        <f>"[UDCInputs.xls]DPS%"</f>
        <v>[UDCInputs.xls]DPS%</v>
      </c>
      <c r="I16" s="95" t="s">
        <v>359</v>
      </c>
      <c r="J16" s="95" t="s">
        <v>360</v>
      </c>
    </row>
    <row r="17" spans="1:12" s="2" customFormat="1" ht="11.25" x14ac:dyDescent="0.2">
      <c r="A17" s="502">
        <f>A11+1</f>
        <v>4</v>
      </c>
      <c r="B17" s="56" t="s">
        <v>109</v>
      </c>
      <c r="C17" s="62"/>
      <c r="D17" s="60"/>
      <c r="E17" s="503"/>
      <c r="F17" s="60"/>
      <c r="G17" s="66"/>
      <c r="I17" s="66"/>
      <c r="J17" s="66"/>
    </row>
    <row r="18" spans="1:12" s="2" customFormat="1" ht="11.25" x14ac:dyDescent="0.2">
      <c r="A18" s="499">
        <f>A17+1</f>
        <v>5</v>
      </c>
      <c r="B18" s="143" t="s">
        <v>186</v>
      </c>
      <c r="C18" s="165">
        <f>'[1]DPS%'!$C8</f>
        <v>0</v>
      </c>
      <c r="D18" s="118">
        <f>(1-C18)+(C18*G$9)</f>
        <v>1</v>
      </c>
      <c r="E18" s="117">
        <f t="shared" ref="E18:E31" si="2">J18/J$32*E$32</f>
        <v>300.52866298532797</v>
      </c>
      <c r="F18" s="504">
        <f>C18</f>
        <v>0</v>
      </c>
      <c r="G18" s="500">
        <f t="shared" ref="G18:G31" si="3">H18/H$32*G$32</f>
        <v>5.8717994528066511</v>
      </c>
      <c r="H18" s="11">
        <f>'[1]DPS%'!$D8</f>
        <v>1280.6255924917684</v>
      </c>
      <c r="I18" s="500">
        <f>G18+E18</f>
        <v>306.40046243813464</v>
      </c>
      <c r="J18" s="500">
        <f t="shared" ref="J18:J31" si="4">H18*D18</f>
        <v>1280.6255924917684</v>
      </c>
      <c r="K18" s="9"/>
      <c r="L18" s="8"/>
    </row>
    <row r="19" spans="1:12" s="2" customFormat="1" ht="11.25" x14ac:dyDescent="0.2">
      <c r="A19" s="499">
        <f t="shared" ref="A19:A31" si="5">A18+1</f>
        <v>6</v>
      </c>
      <c r="B19" s="143" t="s">
        <v>187</v>
      </c>
      <c r="C19" s="165">
        <f>'[1]DPS%'!$C9</f>
        <v>0</v>
      </c>
      <c r="D19" s="118">
        <f t="shared" ref="D19:D25" si="6">(1-C19)+(C19*G$9)</f>
        <v>1</v>
      </c>
      <c r="E19" s="117">
        <f t="shared" si="2"/>
        <v>0</v>
      </c>
      <c r="F19" s="504">
        <f t="shared" ref="F19:F32" si="7">C19</f>
        <v>0</v>
      </c>
      <c r="G19" s="500">
        <f t="shared" si="3"/>
        <v>0</v>
      </c>
      <c r="H19" s="11">
        <f>'[1]DPS%'!$D9</f>
        <v>0</v>
      </c>
      <c r="I19" s="500">
        <f t="shared" ref="I19:I32" si="8">G19+E19</f>
        <v>0</v>
      </c>
      <c r="J19" s="500">
        <f t="shared" si="4"/>
        <v>0</v>
      </c>
      <c r="K19" s="9"/>
    </row>
    <row r="20" spans="1:12" s="2" customFormat="1" ht="11.25" x14ac:dyDescent="0.2">
      <c r="A20" s="499">
        <f t="shared" si="5"/>
        <v>7</v>
      </c>
      <c r="B20" s="143" t="s">
        <v>188</v>
      </c>
      <c r="C20" s="165">
        <f>'[1]DPS%'!$C10</f>
        <v>0.85382551272888774</v>
      </c>
      <c r="D20" s="118">
        <f t="shared" si="6"/>
        <v>0.14617448727111226</v>
      </c>
      <c r="E20" s="117">
        <f t="shared" si="2"/>
        <v>3259.4459198507971</v>
      </c>
      <c r="F20" s="504">
        <f t="shared" si="7"/>
        <v>0.85382551272888774</v>
      </c>
      <c r="G20" s="500">
        <f t="shared" si="3"/>
        <v>435.66985930763212</v>
      </c>
      <c r="H20" s="11">
        <f>'[1]DPS%'!$D10</f>
        <v>95018.56733883475</v>
      </c>
      <c r="I20" s="500">
        <f t="shared" si="8"/>
        <v>3695.1157791584292</v>
      </c>
      <c r="J20" s="500">
        <f t="shared" si="4"/>
        <v>13889.290361989824</v>
      </c>
      <c r="K20" s="9"/>
    </row>
    <row r="21" spans="1:12" s="2" customFormat="1" ht="11.25" x14ac:dyDescent="0.2">
      <c r="A21" s="499">
        <f t="shared" si="5"/>
        <v>8</v>
      </c>
      <c r="B21" s="143" t="s">
        <v>189</v>
      </c>
      <c r="C21" s="165">
        <f>'[1]DPS%'!$C11</f>
        <v>0.90229116412190491</v>
      </c>
      <c r="D21" s="118">
        <f t="shared" si="6"/>
        <v>9.7708835878095091E-2</v>
      </c>
      <c r="E21" s="117">
        <f t="shared" si="2"/>
        <v>4362.1544537025557</v>
      </c>
      <c r="F21" s="504">
        <f t="shared" si="7"/>
        <v>0.90229116412190491</v>
      </c>
      <c r="G21" s="500">
        <f t="shared" si="3"/>
        <v>872.27317075112728</v>
      </c>
      <c r="H21" s="11">
        <f>'[1]DPS%'!$D11</f>
        <v>190240.71838385021</v>
      </c>
      <c r="I21" s="500">
        <f t="shared" si="8"/>
        <v>5234.4276244536832</v>
      </c>
      <c r="J21" s="500">
        <f t="shared" si="4"/>
        <v>18588.199129898527</v>
      </c>
      <c r="K21" s="9"/>
    </row>
    <row r="22" spans="1:12" s="2" customFormat="1" ht="11.25" x14ac:dyDescent="0.2">
      <c r="A22" s="499">
        <f t="shared" si="5"/>
        <v>9</v>
      </c>
      <c r="B22" s="143" t="s">
        <v>190</v>
      </c>
      <c r="C22" s="165">
        <f>'[1]DPS%'!$C12</f>
        <v>0</v>
      </c>
      <c r="D22" s="118">
        <f t="shared" si="6"/>
        <v>1</v>
      </c>
      <c r="E22" s="117">
        <f t="shared" si="2"/>
        <v>229.60860621170104</v>
      </c>
      <c r="F22" s="504">
        <f t="shared" si="7"/>
        <v>0</v>
      </c>
      <c r="G22" s="500">
        <f t="shared" si="3"/>
        <v>4.4861467619126394</v>
      </c>
      <c r="H22" s="11">
        <f>'[1]DPS%'!$D12</f>
        <v>978.41801327756923</v>
      </c>
      <c r="I22" s="500">
        <f t="shared" si="8"/>
        <v>234.09475297361368</v>
      </c>
      <c r="J22" s="500">
        <f t="shared" si="4"/>
        <v>978.41801327756923</v>
      </c>
      <c r="K22" s="9"/>
    </row>
    <row r="23" spans="1:12" s="2" customFormat="1" ht="11.25" x14ac:dyDescent="0.2">
      <c r="A23" s="499">
        <f t="shared" si="5"/>
        <v>10</v>
      </c>
      <c r="B23" s="143" t="s">
        <v>191</v>
      </c>
      <c r="C23" s="165">
        <f>'[1]DPS%'!$C13</f>
        <v>0</v>
      </c>
      <c r="D23" s="118">
        <f t="shared" si="6"/>
        <v>1</v>
      </c>
      <c r="E23" s="117">
        <f t="shared" si="2"/>
        <v>174.83809464745121</v>
      </c>
      <c r="F23" s="504">
        <f t="shared" si="7"/>
        <v>0</v>
      </c>
      <c r="G23" s="500">
        <f t="shared" si="3"/>
        <v>3.416027670315033</v>
      </c>
      <c r="H23" s="11">
        <f>'[1]DPS%'!$D13</f>
        <v>745.02756683463224</v>
      </c>
      <c r="I23" s="500">
        <f t="shared" si="8"/>
        <v>178.25412231776625</v>
      </c>
      <c r="J23" s="500">
        <f t="shared" si="4"/>
        <v>745.02756683463224</v>
      </c>
      <c r="K23" s="9"/>
    </row>
    <row r="24" spans="1:12" s="2" customFormat="1" ht="11.25" x14ac:dyDescent="0.2">
      <c r="A24" s="499">
        <f t="shared" si="5"/>
        <v>11</v>
      </c>
      <c r="B24" s="143" t="s">
        <v>192</v>
      </c>
      <c r="C24" s="165">
        <f>'[1]DPS%'!$C14</f>
        <v>0.90229116412190491</v>
      </c>
      <c r="D24" s="118">
        <f t="shared" si="6"/>
        <v>9.7708835878095091E-2</v>
      </c>
      <c r="E24" s="117">
        <f t="shared" si="2"/>
        <v>0</v>
      </c>
      <c r="F24" s="504">
        <f t="shared" si="7"/>
        <v>0.90229116412190491</v>
      </c>
      <c r="G24" s="500">
        <f t="shared" si="3"/>
        <v>0</v>
      </c>
      <c r="H24" s="11">
        <f>'[1]DPS%'!$D14</f>
        <v>0</v>
      </c>
      <c r="I24" s="500">
        <f t="shared" si="8"/>
        <v>0</v>
      </c>
      <c r="J24" s="500">
        <f t="shared" si="4"/>
        <v>0</v>
      </c>
      <c r="K24" s="9"/>
    </row>
    <row r="25" spans="1:12" s="2" customFormat="1" ht="11.25" x14ac:dyDescent="0.2">
      <c r="A25" s="499">
        <f t="shared" si="5"/>
        <v>12</v>
      </c>
      <c r="B25" s="143" t="s">
        <v>193</v>
      </c>
      <c r="C25" s="165">
        <f>'[1]DPS%'!$C15</f>
        <v>0.90229116412190491</v>
      </c>
      <c r="D25" s="118">
        <f t="shared" si="6"/>
        <v>9.7708835878095091E-2</v>
      </c>
      <c r="E25" s="117">
        <f t="shared" si="2"/>
        <v>0</v>
      </c>
      <c r="F25" s="504">
        <f t="shared" si="7"/>
        <v>0.90229116412190491</v>
      </c>
      <c r="G25" s="500">
        <f t="shared" si="3"/>
        <v>0</v>
      </c>
      <c r="H25" s="11">
        <f>'[1]DPS%'!$D15</f>
        <v>0</v>
      </c>
      <c r="I25" s="500">
        <f t="shared" si="8"/>
        <v>0</v>
      </c>
      <c r="J25" s="500">
        <f t="shared" si="4"/>
        <v>0</v>
      </c>
      <c r="K25" s="9"/>
    </row>
    <row r="26" spans="1:12" s="2" customFormat="1" ht="11.25" x14ac:dyDescent="0.2">
      <c r="A26" s="499">
        <f t="shared" si="5"/>
        <v>13</v>
      </c>
      <c r="B26" s="143" t="s">
        <v>194</v>
      </c>
      <c r="C26" s="165">
        <f>'[1]DPS%'!$C16</f>
        <v>0.86458014797418015</v>
      </c>
      <c r="D26" s="118">
        <f t="shared" ref="D26:D31" si="9">(1-C26)+(C26*G$9)</f>
        <v>0.13541985202581985</v>
      </c>
      <c r="E26" s="117">
        <f t="shared" si="2"/>
        <v>23250.891044507738</v>
      </c>
      <c r="F26" s="504">
        <f t="shared" si="7"/>
        <v>0.86458014797418015</v>
      </c>
      <c r="G26" s="500">
        <f t="shared" si="3"/>
        <v>3354.6142000711134</v>
      </c>
      <c r="H26" s="11">
        <f>'[1]DPS%'!$D16</f>
        <v>731633.4340223301</v>
      </c>
      <c r="I26" s="500">
        <f t="shared" si="8"/>
        <v>26605.505244578853</v>
      </c>
      <c r="J26" s="500">
        <f t="shared" si="4"/>
        <v>99077.691372446381</v>
      </c>
      <c r="K26" s="9"/>
    </row>
    <row r="27" spans="1:12" s="2" customFormat="1" ht="11.25" x14ac:dyDescent="0.2">
      <c r="A27" s="499">
        <f t="shared" si="5"/>
        <v>14</v>
      </c>
      <c r="B27" s="143" t="s">
        <v>195</v>
      </c>
      <c r="C27" s="165">
        <f>'[1]DPS%'!$C17</f>
        <v>0.89522960503121563</v>
      </c>
      <c r="D27" s="118">
        <f t="shared" si="9"/>
        <v>0.10477039496878437</v>
      </c>
      <c r="E27" s="117">
        <f t="shared" si="2"/>
        <v>85121.398375748846</v>
      </c>
      <c r="F27" s="504">
        <f t="shared" si="7"/>
        <v>0.89522960503121563</v>
      </c>
      <c r="G27" s="500">
        <f t="shared" si="3"/>
        <v>15873.967374120159</v>
      </c>
      <c r="H27" s="11">
        <f>'[1]DPS%'!$D17</f>
        <v>3462074.7927555311</v>
      </c>
      <c r="I27" s="500">
        <f t="shared" si="8"/>
        <v>100995.365749869</v>
      </c>
      <c r="J27" s="500">
        <f t="shared" si="4"/>
        <v>362722.94344846933</v>
      </c>
      <c r="K27" s="9"/>
    </row>
    <row r="28" spans="1:12" s="2" customFormat="1" ht="11.25" x14ac:dyDescent="0.2">
      <c r="A28" s="499">
        <f t="shared" si="5"/>
        <v>15</v>
      </c>
      <c r="B28" s="143" t="s">
        <v>196</v>
      </c>
      <c r="C28" s="165">
        <f>'[1]DPS%'!$C18</f>
        <v>0.88352277798782219</v>
      </c>
      <c r="D28" s="118">
        <f t="shared" si="9"/>
        <v>0.11647722201217781</v>
      </c>
      <c r="E28" s="117">
        <f t="shared" si="2"/>
        <v>0</v>
      </c>
      <c r="F28" s="504">
        <f t="shared" si="7"/>
        <v>0.88352277798782219</v>
      </c>
      <c r="G28" s="500">
        <f t="shared" si="3"/>
        <v>0</v>
      </c>
      <c r="H28" s="11">
        <f>'[1]DPS%'!$D18</f>
        <v>0</v>
      </c>
      <c r="I28" s="500">
        <f t="shared" si="8"/>
        <v>0</v>
      </c>
      <c r="J28" s="500">
        <f t="shared" si="4"/>
        <v>0</v>
      </c>
      <c r="K28" s="9"/>
    </row>
    <row r="29" spans="1:12" s="2" customFormat="1" ht="11.25" x14ac:dyDescent="0.2">
      <c r="A29" s="499">
        <f t="shared" si="5"/>
        <v>16</v>
      </c>
      <c r="B29" s="154" t="s">
        <v>197</v>
      </c>
      <c r="C29" s="165">
        <f>'[1]DPS%'!$C19</f>
        <v>0</v>
      </c>
      <c r="D29" s="118">
        <f t="shared" si="9"/>
        <v>1</v>
      </c>
      <c r="E29" s="117">
        <f t="shared" si="2"/>
        <v>101301.45238658389</v>
      </c>
      <c r="F29" s="504">
        <f t="shared" si="7"/>
        <v>0</v>
      </c>
      <c r="G29" s="500">
        <f t="shared" si="3"/>
        <v>1979.2515189178541</v>
      </c>
      <c r="H29" s="11">
        <f>'[1]DPS%'!$D19</f>
        <v>431670.08162938233</v>
      </c>
      <c r="I29" s="500">
        <f t="shared" si="8"/>
        <v>103280.70390550174</v>
      </c>
      <c r="J29" s="500">
        <f t="shared" si="4"/>
        <v>431670.08162938233</v>
      </c>
      <c r="K29" s="9"/>
    </row>
    <row r="30" spans="1:12" s="2" customFormat="1" ht="11.25" x14ac:dyDescent="0.2">
      <c r="A30" s="499">
        <f t="shared" si="5"/>
        <v>17</v>
      </c>
      <c r="B30" s="143" t="s">
        <v>198</v>
      </c>
      <c r="C30" s="165">
        <f>'[1]DPS%'!$C20</f>
        <v>0.97585900911016799</v>
      </c>
      <c r="D30" s="118">
        <f t="shared" si="9"/>
        <v>2.4140990889832015E-2</v>
      </c>
      <c r="E30" s="117">
        <f t="shared" si="2"/>
        <v>67096.314341312769</v>
      </c>
      <c r="F30" s="504">
        <f t="shared" si="7"/>
        <v>0.97585900911016799</v>
      </c>
      <c r="G30" s="500">
        <f t="shared" si="3"/>
        <v>54303.633229354469</v>
      </c>
      <c r="H30" s="11">
        <f>'[1]DPS%'!$D20</f>
        <v>11843494.151619431</v>
      </c>
      <c r="I30" s="500">
        <f t="shared" si="8"/>
        <v>121399.94757066724</v>
      </c>
      <c r="J30" s="500">
        <f t="shared" si="4"/>
        <v>285913.68441802345</v>
      </c>
      <c r="K30" s="9"/>
    </row>
    <row r="31" spans="1:12" s="2" customFormat="1" ht="11.25" x14ac:dyDescent="0.2">
      <c r="A31" s="499">
        <f t="shared" si="5"/>
        <v>18</v>
      </c>
      <c r="B31" s="143" t="s">
        <v>199</v>
      </c>
      <c r="C31" s="165">
        <f>'[1]DPS%'!$C21</f>
        <v>0.94154181952989746</v>
      </c>
      <c r="D31" s="118">
        <f t="shared" si="9"/>
        <v>5.8458180470102539E-2</v>
      </c>
      <c r="E31" s="117">
        <f t="shared" si="2"/>
        <v>168397.7667278969</v>
      </c>
      <c r="F31" s="504">
        <f t="shared" si="7"/>
        <v>0.94154181952989746</v>
      </c>
      <c r="G31" s="500">
        <f t="shared" si="3"/>
        <v>56282.884748272329</v>
      </c>
      <c r="H31" s="11">
        <f>'[1]DPS%'!$D21</f>
        <v>12275164.233248813</v>
      </c>
      <c r="I31" s="500">
        <f t="shared" si="8"/>
        <v>224680.65147616924</v>
      </c>
      <c r="J31" s="500">
        <f t="shared" si="4"/>
        <v>717583.76604740694</v>
      </c>
      <c r="K31" s="9"/>
    </row>
    <row r="32" spans="1:12" s="2" customFormat="1" ht="11.25" x14ac:dyDescent="0.2">
      <c r="A32" s="499">
        <f>A31+1</f>
        <v>19</v>
      </c>
      <c r="B32" s="131" t="s">
        <v>66</v>
      </c>
      <c r="C32" s="165">
        <f>'[1]DPS%'!$C22</f>
        <v>0.92750157456466986</v>
      </c>
      <c r="D32" s="118">
        <f>J32/H32</f>
        <v>7.2498425435330013E-2</v>
      </c>
      <c r="E32" s="122">
        <f>D9</f>
        <v>285096.63188555132</v>
      </c>
      <c r="F32" s="504">
        <f t="shared" si="7"/>
        <v>0.92750157456466986</v>
      </c>
      <c r="G32" s="122">
        <f>F9</f>
        <v>76833.183326407394</v>
      </c>
      <c r="H32" s="122">
        <f>H9</f>
        <v>16757135.816921964</v>
      </c>
      <c r="I32" s="500">
        <f t="shared" si="8"/>
        <v>361929.81521195872</v>
      </c>
      <c r="J32" s="500">
        <f>SUM(J18:J25,J31:J31,J26:J28)</f>
        <v>1214865.9615328149</v>
      </c>
      <c r="K32" s="9"/>
    </row>
    <row r="33" spans="1:10" s="2" customFormat="1" ht="11.25" x14ac:dyDescent="0.2">
      <c r="A33" s="505">
        <f>A32+1</f>
        <v>20</v>
      </c>
      <c r="B33" s="127" t="s">
        <v>110</v>
      </c>
      <c r="C33" s="60"/>
      <c r="D33" s="60"/>
      <c r="E33" s="66"/>
      <c r="F33" s="115"/>
      <c r="G33" s="503"/>
      <c r="H33" s="66"/>
      <c r="I33" s="66"/>
      <c r="J33" s="66"/>
    </row>
    <row r="34" spans="1:10" s="2" customFormat="1" ht="11.25" x14ac:dyDescent="0.2">
      <c r="A34" s="506">
        <f>A33+1</f>
        <v>21</v>
      </c>
      <c r="B34" s="271" t="s">
        <v>218</v>
      </c>
      <c r="C34" s="276">
        <f>'[1]DPS%'!$C36</f>
        <v>0.85382551272888774</v>
      </c>
      <c r="D34" s="118">
        <f>(1-C34)+(C34*G$10)</f>
        <v>0.14617448727111226</v>
      </c>
      <c r="E34" s="117">
        <f>J34/(J$42)*E$42</f>
        <v>1254.6728848447983</v>
      </c>
      <c r="F34" s="118">
        <f>C34*(1-G$10)</f>
        <v>0.85382551272888774</v>
      </c>
      <c r="G34" s="117">
        <f t="shared" ref="G34:G41" si="10">H34/H$42*G$42</f>
        <v>213.6807180947477</v>
      </c>
      <c r="H34" s="153">
        <f>'[1]DPS%'!$D36</f>
        <v>46595.509075607319</v>
      </c>
      <c r="I34" s="117">
        <f>G34+E34</f>
        <v>1468.3536029395459</v>
      </c>
      <c r="J34" s="117">
        <f t="shared" ref="J34:J40" si="11">H34*D34</f>
        <v>6811.0746482633576</v>
      </c>
    </row>
    <row r="35" spans="1:10" s="2" customFormat="1" ht="11.25" x14ac:dyDescent="0.2">
      <c r="A35" s="506">
        <f t="shared" ref="A35:A42" si="12">A34+1</f>
        <v>22</v>
      </c>
      <c r="B35" s="191" t="s">
        <v>201</v>
      </c>
      <c r="C35" s="276">
        <f>'[1]DPS%'!$C37</f>
        <v>0.86458014797418015</v>
      </c>
      <c r="D35" s="118">
        <f t="shared" ref="D35:D41" si="13">(1-C35)+(C35*G$10)</f>
        <v>0.13541985202581985</v>
      </c>
      <c r="E35" s="117">
        <f t="shared" ref="E35:E41" si="14">J35/J$42*E$42</f>
        <v>2752.4279601020971</v>
      </c>
      <c r="F35" s="118">
        <f t="shared" ref="F35:F54" si="15">C35*(1-G$10)</f>
        <v>0.86458014797418015</v>
      </c>
      <c r="G35" s="117">
        <f t="shared" si="10"/>
        <v>505.98777864852252</v>
      </c>
      <c r="H35" s="153">
        <f>'[1]DPS%'!$D37</f>
        <v>110336.38571782364</v>
      </c>
      <c r="I35" s="117">
        <f t="shared" ref="I35:I41" si="16">G35+E35</f>
        <v>3258.4157387506198</v>
      </c>
      <c r="J35" s="117">
        <f t="shared" si="11"/>
        <v>14941.737026971459</v>
      </c>
    </row>
    <row r="36" spans="1:10" s="2" customFormat="1" ht="11.25" x14ac:dyDescent="0.2">
      <c r="A36" s="506">
        <f t="shared" si="12"/>
        <v>23</v>
      </c>
      <c r="B36" s="191" t="s">
        <v>202</v>
      </c>
      <c r="C36" s="276">
        <f>'[1]DPS%'!$C38</f>
        <v>0.89522960503121563</v>
      </c>
      <c r="D36" s="118">
        <f t="shared" si="13"/>
        <v>0.10477039496878437</v>
      </c>
      <c r="E36" s="117">
        <f t="shared" si="14"/>
        <v>8837.3502854089602</v>
      </c>
      <c r="F36" s="118">
        <f t="shared" si="15"/>
        <v>0.89522960503121563</v>
      </c>
      <c r="G36" s="117">
        <f t="shared" si="10"/>
        <v>2099.8578181262856</v>
      </c>
      <c r="H36" s="153">
        <f>'[1]DPS%'!$D38</f>
        <v>457897.86226103728</v>
      </c>
      <c r="I36" s="117">
        <f t="shared" si="16"/>
        <v>10937.208103535246</v>
      </c>
      <c r="J36" s="117">
        <f t="shared" si="11"/>
        <v>47974.139884450902</v>
      </c>
    </row>
    <row r="37" spans="1:10" s="2" customFormat="1" ht="11.25" x14ac:dyDescent="0.2">
      <c r="A37" s="506">
        <f t="shared" si="12"/>
        <v>24</v>
      </c>
      <c r="B37" s="191" t="s">
        <v>203</v>
      </c>
      <c r="C37" s="276">
        <f>'[1]DPS%'!$C39</f>
        <v>0.88352277798782219</v>
      </c>
      <c r="D37" s="118">
        <f t="shared" si="13"/>
        <v>0.11647722201217781</v>
      </c>
      <c r="E37" s="117">
        <f t="shared" si="14"/>
        <v>0</v>
      </c>
      <c r="F37" s="118">
        <f t="shared" si="15"/>
        <v>0.88352277798782219</v>
      </c>
      <c r="G37" s="117">
        <f t="shared" si="10"/>
        <v>0</v>
      </c>
      <c r="H37" s="153">
        <f>'[1]DPS%'!$D39</f>
        <v>0</v>
      </c>
      <c r="I37" s="117">
        <f t="shared" si="16"/>
        <v>0</v>
      </c>
      <c r="J37" s="117">
        <f t="shared" si="11"/>
        <v>0</v>
      </c>
    </row>
    <row r="38" spans="1:10" s="2" customFormat="1" ht="11.25" x14ac:dyDescent="0.2">
      <c r="A38" s="506">
        <f t="shared" si="12"/>
        <v>25</v>
      </c>
      <c r="B38" s="191" t="s">
        <v>204</v>
      </c>
      <c r="C38" s="276">
        <f>'[1]DPS%'!$C40</f>
        <v>0.94154181952989746</v>
      </c>
      <c r="D38" s="118">
        <f t="shared" si="13"/>
        <v>5.8458180470102539E-2</v>
      </c>
      <c r="E38" s="117">
        <f t="shared" si="14"/>
        <v>7901.5531789916222</v>
      </c>
      <c r="F38" s="118">
        <f t="shared" si="15"/>
        <v>0.94154181952989746</v>
      </c>
      <c r="G38" s="117">
        <f t="shared" si="10"/>
        <v>3364.9109461282892</v>
      </c>
      <c r="H38" s="153">
        <f>'[1]DPS%'!$D40</f>
        <v>733757.07423170167</v>
      </c>
      <c r="I38" s="117">
        <f t="shared" si="16"/>
        <v>11266.464125119912</v>
      </c>
      <c r="J38" s="117">
        <f t="shared" si="11"/>
        <v>42894.103466651242</v>
      </c>
    </row>
    <row r="39" spans="1:10" s="2" customFormat="1" ht="11.25" x14ac:dyDescent="0.2">
      <c r="A39" s="506">
        <f>A38+1</f>
        <v>26</v>
      </c>
      <c r="B39" s="191" t="s">
        <v>205</v>
      </c>
      <c r="C39" s="276">
        <f>'[1]DPS%'!$C41</f>
        <v>0</v>
      </c>
      <c r="D39" s="118">
        <f t="shared" si="13"/>
        <v>1</v>
      </c>
      <c r="E39" s="117">
        <f t="shared" si="14"/>
        <v>4753.2626393737</v>
      </c>
      <c r="F39" s="118">
        <f t="shared" si="15"/>
        <v>0</v>
      </c>
      <c r="G39" s="117">
        <f t="shared" si="10"/>
        <v>118.33091233569306</v>
      </c>
      <c r="H39" s="153">
        <f>'[1]DPS%'!$D41</f>
        <v>25803.400273195763</v>
      </c>
      <c r="I39" s="117">
        <f t="shared" si="16"/>
        <v>4871.5935517093931</v>
      </c>
      <c r="J39" s="117">
        <f t="shared" si="11"/>
        <v>25803.400273195763</v>
      </c>
    </row>
    <row r="40" spans="1:10" s="2" customFormat="1" ht="11.25" x14ac:dyDescent="0.2">
      <c r="A40" s="506">
        <f t="shared" si="12"/>
        <v>27</v>
      </c>
      <c r="B40" s="191" t="s">
        <v>206</v>
      </c>
      <c r="C40" s="276">
        <f>'[1]DPS%'!$C42</f>
        <v>0.97585900911016799</v>
      </c>
      <c r="D40" s="118">
        <f t="shared" si="13"/>
        <v>2.4140990889832015E-2</v>
      </c>
      <c r="E40" s="117">
        <f t="shared" si="14"/>
        <v>3148.2905396179058</v>
      </c>
      <c r="F40" s="118">
        <f t="shared" si="15"/>
        <v>0.97585900911016799</v>
      </c>
      <c r="G40" s="117">
        <f t="shared" si="10"/>
        <v>3246.5800337925957</v>
      </c>
      <c r="H40" s="153">
        <f>'[1]DPS%'!$D42</f>
        <v>707953.67395850585</v>
      </c>
      <c r="I40" s="117">
        <f t="shared" si="16"/>
        <v>6394.8705734105015</v>
      </c>
      <c r="J40" s="117">
        <f t="shared" si="11"/>
        <v>17090.703193455392</v>
      </c>
    </row>
    <row r="41" spans="1:10" s="2" customFormat="1" ht="11.25" x14ac:dyDescent="0.2">
      <c r="A41" s="506">
        <f t="shared" si="12"/>
        <v>28</v>
      </c>
      <c r="B41" s="191" t="s">
        <v>211</v>
      </c>
      <c r="C41" s="276">
        <f>'[1]DPS%'!$C43</f>
        <v>0.91648957826547328</v>
      </c>
      <c r="D41" s="118">
        <f t="shared" si="13"/>
        <v>8.3510421734526719E-2</v>
      </c>
      <c r="E41" s="117">
        <f t="shared" si="14"/>
        <v>20746.004309347478</v>
      </c>
      <c r="F41" s="118">
        <f t="shared" si="15"/>
        <v>0.91648957826547328</v>
      </c>
      <c r="G41" s="117">
        <f t="shared" si="10"/>
        <v>6184.4372609978454</v>
      </c>
      <c r="H41" s="153">
        <f>'[1]DPS%'!$D43</f>
        <v>1348586.8312861701</v>
      </c>
      <c r="I41" s="117">
        <f t="shared" si="16"/>
        <v>26930.441570345323</v>
      </c>
      <c r="J41" s="117">
        <f>SUM(J34:J38)</f>
        <v>112621.05502633697</v>
      </c>
    </row>
    <row r="42" spans="1:10" s="2" customFormat="1" ht="11.25" x14ac:dyDescent="0.2">
      <c r="A42" s="506">
        <f t="shared" si="12"/>
        <v>29</v>
      </c>
      <c r="B42" s="131" t="s">
        <v>41</v>
      </c>
      <c r="C42" s="123">
        <f>C41</f>
        <v>0.91648957826547328</v>
      </c>
      <c r="D42" s="118">
        <f>1-C42</f>
        <v>8.3510421734526719E-2</v>
      </c>
      <c r="E42" s="122">
        <f>D10</f>
        <v>20746.004309347478</v>
      </c>
      <c r="F42" s="118">
        <f>1-D42</f>
        <v>0.91648957826547328</v>
      </c>
      <c r="G42" s="159">
        <f>F10</f>
        <v>6184.4372609978454</v>
      </c>
      <c r="H42" s="122">
        <f>H10</f>
        <v>1348586.8312861701</v>
      </c>
      <c r="I42" s="122">
        <f>C10</f>
        <v>26930.441570345323</v>
      </c>
      <c r="J42" s="122">
        <f>SUM(J34,J35:J38)</f>
        <v>112621.05502633697</v>
      </c>
    </row>
    <row r="43" spans="1:10" s="2" customFormat="1" ht="11.25" x14ac:dyDescent="0.2">
      <c r="A43" s="505">
        <f>A42+1</f>
        <v>30</v>
      </c>
      <c r="B43" s="127" t="s">
        <v>348</v>
      </c>
      <c r="C43" s="60"/>
      <c r="D43" s="60"/>
      <c r="E43" s="66"/>
      <c r="F43" s="115"/>
      <c r="G43" s="66"/>
      <c r="H43" s="66"/>
      <c r="I43" s="66"/>
      <c r="J43" s="66"/>
    </row>
    <row r="44" spans="1:10" s="2" customFormat="1" ht="11.25" x14ac:dyDescent="0.2">
      <c r="A44" s="506">
        <f>A43+1</f>
        <v>31</v>
      </c>
      <c r="B44" s="143" t="s">
        <v>186</v>
      </c>
      <c r="C44" s="276">
        <f>'[1]DPS%'!$C24</f>
        <v>0</v>
      </c>
      <c r="D44" s="118">
        <f>(1-C44)+(C44*G$10)</f>
        <v>1</v>
      </c>
      <c r="E44" s="500">
        <f t="shared" ref="E44:E54" si="17">J44/J$55*E$55</f>
        <v>110.82897657152185</v>
      </c>
      <c r="F44" s="118">
        <f t="shared" si="15"/>
        <v>0</v>
      </c>
      <c r="G44" s="507">
        <f t="shared" ref="G44:G54" si="18">H44/H$55*G$55</f>
        <v>1.8795009146347643</v>
      </c>
      <c r="H44" s="153">
        <f>'[1]DPS%'!D24</f>
        <v>429.59251534221096</v>
      </c>
      <c r="I44" s="117">
        <f t="shared" ref="I44:I54" si="19">G44+E44</f>
        <v>112.70847748615661</v>
      </c>
      <c r="J44" s="508">
        <f t="shared" ref="J44:J49" si="20">H44*D44</f>
        <v>429.59251534221096</v>
      </c>
    </row>
    <row r="45" spans="1:10" s="2" customFormat="1" ht="11.25" x14ac:dyDescent="0.2">
      <c r="A45" s="506">
        <f t="shared" ref="A45:A55" si="21">A44+1</f>
        <v>32</v>
      </c>
      <c r="B45" s="143" t="s">
        <v>187</v>
      </c>
      <c r="C45" s="276">
        <f>'[1]DPS%'!$C25</f>
        <v>0</v>
      </c>
      <c r="D45" s="118">
        <f t="shared" ref="D45:D54" si="22">(1-C45)+(C45*G$10)</f>
        <v>1</v>
      </c>
      <c r="E45" s="500">
        <f t="shared" si="17"/>
        <v>83.51720568743427</v>
      </c>
      <c r="F45" s="118">
        <f t="shared" si="15"/>
        <v>0</v>
      </c>
      <c r="G45" s="507">
        <f t="shared" si="18"/>
        <v>1.4163323467664952</v>
      </c>
      <c r="H45" s="153">
        <f>'[1]DPS%'!D25</f>
        <v>323.72731009082378</v>
      </c>
      <c r="I45" s="117">
        <f t="shared" si="19"/>
        <v>84.933538034200765</v>
      </c>
      <c r="J45" s="508">
        <f t="shared" si="20"/>
        <v>323.72731009082378</v>
      </c>
    </row>
    <row r="46" spans="1:10" s="2" customFormat="1" ht="11.25" x14ac:dyDescent="0.2">
      <c r="A46" s="506">
        <f t="shared" si="21"/>
        <v>33</v>
      </c>
      <c r="B46" s="143" t="s">
        <v>188</v>
      </c>
      <c r="C46" s="276">
        <f>'[1]DPS%'!$C26</f>
        <v>0.85384008270572487</v>
      </c>
      <c r="D46" s="118">
        <f t="shared" si="22"/>
        <v>0.14615991729427513</v>
      </c>
      <c r="E46" s="500">
        <f t="shared" si="17"/>
        <v>3480.7991697796242</v>
      </c>
      <c r="F46" s="118">
        <f t="shared" si="15"/>
        <v>0.85384008270572487</v>
      </c>
      <c r="G46" s="507">
        <f t="shared" si="18"/>
        <v>403.86842119264963</v>
      </c>
      <c r="H46" s="153">
        <f>'[1]DPS%'!D26</f>
        <v>92311.128755770347</v>
      </c>
      <c r="I46" s="117">
        <f t="shared" si="19"/>
        <v>3884.667590972274</v>
      </c>
      <c r="J46" s="508">
        <f t="shared" si="20"/>
        <v>13492.186944284576</v>
      </c>
    </row>
    <row r="47" spans="1:10" s="2" customFormat="1" ht="11.25" x14ac:dyDescent="0.2">
      <c r="A47" s="506">
        <f t="shared" si="21"/>
        <v>34</v>
      </c>
      <c r="B47" s="143" t="s">
        <v>189</v>
      </c>
      <c r="C47" s="276">
        <f>'[1]DPS%'!$C27</f>
        <v>0.90228888681847952</v>
      </c>
      <c r="D47" s="118">
        <f t="shared" si="22"/>
        <v>9.7711113181520481E-2</v>
      </c>
      <c r="E47" s="500">
        <f t="shared" si="17"/>
        <v>4681.9005753615702</v>
      </c>
      <c r="F47" s="118">
        <f t="shared" si="15"/>
        <v>0.90228888681847952</v>
      </c>
      <c r="G47" s="507">
        <f t="shared" si="18"/>
        <v>812.58246125975279</v>
      </c>
      <c r="H47" s="153">
        <f>'[1]DPS%'!D27</f>
        <v>185729.80770449748</v>
      </c>
      <c r="I47" s="117">
        <f t="shared" si="19"/>
        <v>5494.4830366213228</v>
      </c>
      <c r="J47" s="508">
        <f t="shared" si="20"/>
        <v>18147.866261796189</v>
      </c>
    </row>
    <row r="48" spans="1:10" s="2" customFormat="1" ht="11.25" x14ac:dyDescent="0.2">
      <c r="A48" s="506">
        <f t="shared" si="21"/>
        <v>35</v>
      </c>
      <c r="B48" s="143" t="s">
        <v>190</v>
      </c>
      <c r="C48" s="276">
        <f>'[1]DPS%'!$C28</f>
        <v>0</v>
      </c>
      <c r="D48" s="118">
        <f t="shared" si="22"/>
        <v>1</v>
      </c>
      <c r="E48" s="500">
        <f t="shared" si="17"/>
        <v>250.63210245429053</v>
      </c>
      <c r="F48" s="118">
        <f t="shared" si="15"/>
        <v>0</v>
      </c>
      <c r="G48" s="507">
        <f t="shared" si="18"/>
        <v>4.2503619574225633</v>
      </c>
      <c r="H48" s="153">
        <f>'[1]DPS%'!D28</f>
        <v>971.49390574190102</v>
      </c>
      <c r="I48" s="117">
        <f t="shared" si="19"/>
        <v>254.8824644117131</v>
      </c>
      <c r="J48" s="508">
        <f t="shared" si="20"/>
        <v>971.49390574190102</v>
      </c>
    </row>
    <row r="49" spans="1:10" s="2" customFormat="1" ht="11.25" x14ac:dyDescent="0.2">
      <c r="A49" s="506">
        <f t="shared" si="21"/>
        <v>36</v>
      </c>
      <c r="B49" s="143" t="s">
        <v>191</v>
      </c>
      <c r="C49" s="276">
        <f>'[1]DPS%'!$C29</f>
        <v>0</v>
      </c>
      <c r="D49" s="118">
        <f t="shared" si="22"/>
        <v>1</v>
      </c>
      <c r="E49" s="500">
        <f t="shared" si="17"/>
        <v>192.75718757155039</v>
      </c>
      <c r="F49" s="118">
        <f t="shared" si="15"/>
        <v>0</v>
      </c>
      <c r="G49" s="507">
        <f t="shared" si="18"/>
        <v>3.2688861843757708</v>
      </c>
      <c r="H49" s="153">
        <f>'[1]DPS%'!D29</f>
        <v>747.16060384906996</v>
      </c>
      <c r="I49" s="117">
        <f t="shared" si="19"/>
        <v>196.02607375592615</v>
      </c>
      <c r="J49" s="508">
        <f t="shared" si="20"/>
        <v>747.16060384906996</v>
      </c>
    </row>
    <row r="50" spans="1:10" s="2" customFormat="1" ht="11.25" x14ac:dyDescent="0.2">
      <c r="A50" s="506">
        <f>A49+1</f>
        <v>37</v>
      </c>
      <c r="B50" s="509" t="s">
        <v>194</v>
      </c>
      <c r="C50" s="276">
        <f>'[1]DPS%'!$C30</f>
        <v>0.86541423474782009</v>
      </c>
      <c r="D50" s="118">
        <f t="shared" si="22"/>
        <v>0.13458576525217991</v>
      </c>
      <c r="E50" s="500">
        <f t="shared" si="17"/>
        <v>19370.623042233496</v>
      </c>
      <c r="F50" s="118">
        <f t="shared" si="15"/>
        <v>0.86541423474782009</v>
      </c>
      <c r="G50" s="507">
        <f t="shared" si="18"/>
        <v>2440.8083480997702</v>
      </c>
      <c r="H50" s="153">
        <f>'[1]DPS%'!D30</f>
        <v>557889.05957101285</v>
      </c>
      <c r="I50" s="117">
        <f t="shared" si="19"/>
        <v>21811.431390333266</v>
      </c>
      <c r="J50" s="508">
        <f t="shared" ref="J50:J55" si="23">H50*D50</f>
        <v>75083.926008183756</v>
      </c>
    </row>
    <row r="51" spans="1:10" s="2" customFormat="1" ht="11.25" x14ac:dyDescent="0.2">
      <c r="A51" s="506">
        <f t="shared" si="21"/>
        <v>38</v>
      </c>
      <c r="B51" s="509" t="s">
        <v>195</v>
      </c>
      <c r="C51" s="276">
        <f>'[1]DPS%'!$C31</f>
        <v>0.89507754917882254</v>
      </c>
      <c r="D51" s="118">
        <f t="shared" si="22"/>
        <v>0.10492245082117746</v>
      </c>
      <c r="E51" s="500">
        <f t="shared" si="17"/>
        <v>86027.18310583492</v>
      </c>
      <c r="F51" s="118">
        <f t="shared" si="15"/>
        <v>0.89507754917882254</v>
      </c>
      <c r="G51" s="507">
        <f t="shared" si="18"/>
        <v>13904.535798891548</v>
      </c>
      <c r="H51" s="153">
        <f>'[1]DPS%'!D31</f>
        <v>3178122.6931046229</v>
      </c>
      <c r="I51" s="117">
        <f t="shared" si="19"/>
        <v>99931.718904726469</v>
      </c>
      <c r="J51" s="508">
        <f t="shared" si="23"/>
        <v>333456.42197093787</v>
      </c>
    </row>
    <row r="52" spans="1:10" s="2" customFormat="1" ht="11.25" x14ac:dyDescent="0.2">
      <c r="A52" s="506">
        <f t="shared" si="21"/>
        <v>39</v>
      </c>
      <c r="B52" s="509" t="s">
        <v>207</v>
      </c>
      <c r="C52" s="276">
        <f>'[1]DPS%'!$C32</f>
        <v>0.88352277798782219</v>
      </c>
      <c r="D52" s="118">
        <f t="shared" si="22"/>
        <v>0.11647722201217781</v>
      </c>
      <c r="E52" s="500">
        <f t="shared" si="17"/>
        <v>0.99737696890650185</v>
      </c>
      <c r="F52" s="118">
        <f t="shared" si="15"/>
        <v>0.88352277798782219</v>
      </c>
      <c r="G52" s="507">
        <f t="shared" si="18"/>
        <v>0.14521368614557803</v>
      </c>
      <c r="H52" s="153">
        <f>'[1]DPS%'!D32</f>
        <v>33.191105259725724</v>
      </c>
      <c r="I52" s="117">
        <f t="shared" si="19"/>
        <v>1.1425906550520799</v>
      </c>
      <c r="J52" s="508">
        <f t="shared" si="23"/>
        <v>3.8660077361666358</v>
      </c>
    </row>
    <row r="53" spans="1:10" s="2" customFormat="1" ht="11.25" x14ac:dyDescent="0.2">
      <c r="A53" s="506">
        <f t="shared" si="21"/>
        <v>40</v>
      </c>
      <c r="B53" s="509" t="s">
        <v>208</v>
      </c>
      <c r="C53" s="276">
        <f>'[1]DPS%'!$C33</f>
        <v>0.94154181952989746</v>
      </c>
      <c r="D53" s="118">
        <f t="shared" si="22"/>
        <v>5.8458180470102539E-2</v>
      </c>
      <c r="E53" s="500">
        <f t="shared" si="17"/>
        <v>267368.89465103013</v>
      </c>
      <c r="F53" s="118">
        <f t="shared" si="15"/>
        <v>0.94154181952989746</v>
      </c>
      <c r="G53" s="507">
        <f t="shared" si="18"/>
        <v>77563.036970589586</v>
      </c>
      <c r="H53" s="153">
        <f>'[1]DPS%'!D33</f>
        <v>17728376.661232706</v>
      </c>
      <c r="I53" s="117">
        <f t="shared" si="19"/>
        <v>344931.93162161973</v>
      </c>
      <c r="J53" s="508">
        <f t="shared" si="23"/>
        <v>1036368.6423042954</v>
      </c>
    </row>
    <row r="54" spans="1:10" s="2" customFormat="1" ht="11.25" x14ac:dyDescent="0.2">
      <c r="A54" s="506">
        <f t="shared" si="21"/>
        <v>41</v>
      </c>
      <c r="B54" s="509" t="s">
        <v>69</v>
      </c>
      <c r="C54" s="276">
        <f>'[1]DPS%'!$C34</f>
        <v>0.9319830150439411</v>
      </c>
      <c r="D54" s="118">
        <f t="shared" si="22"/>
        <v>6.8016984956058901E-2</v>
      </c>
      <c r="E54" s="500">
        <f t="shared" si="17"/>
        <v>381568.13339349383</v>
      </c>
      <c r="F54" s="118">
        <f t="shared" si="15"/>
        <v>0.9319830150439411</v>
      </c>
      <c r="G54" s="507">
        <f t="shared" si="18"/>
        <v>95135.792295122636</v>
      </c>
      <c r="H54" s="153">
        <f>'[1]DPS%'!D34</f>
        <v>21744934.515808892</v>
      </c>
      <c r="I54" s="117">
        <f t="shared" si="19"/>
        <v>476703.92568861647</v>
      </c>
      <c r="J54" s="508">
        <f t="shared" si="23"/>
        <v>1479024.8838322593</v>
      </c>
    </row>
    <row r="55" spans="1:10" s="2" customFormat="1" ht="11.25" x14ac:dyDescent="0.2">
      <c r="A55" s="512">
        <f t="shared" si="21"/>
        <v>42</v>
      </c>
      <c r="B55" s="131" t="s">
        <v>438</v>
      </c>
      <c r="C55" s="123">
        <f>C54</f>
        <v>0.9319830150439411</v>
      </c>
      <c r="D55" s="123">
        <f>(1-C55)+(C55*G$11)</f>
        <v>6.8016984956058901E-2</v>
      </c>
      <c r="E55" s="122">
        <f>D11</f>
        <v>381568.13339349383</v>
      </c>
      <c r="F55" s="123">
        <f>C55*(1-G$11)</f>
        <v>0.9319830150439411</v>
      </c>
      <c r="G55" s="510">
        <f>F11</f>
        <v>95135.792295122636</v>
      </c>
      <c r="H55" s="122">
        <f>H11</f>
        <v>21744934.515808892</v>
      </c>
      <c r="I55" s="122">
        <f>C11</f>
        <v>476703.92568861647</v>
      </c>
      <c r="J55" s="511">
        <f t="shared" si="23"/>
        <v>1479024.8838322593</v>
      </c>
    </row>
    <row r="56" spans="1:10" x14ac:dyDescent="0.2">
      <c r="H56" s="272"/>
    </row>
  </sheetData>
  <phoneticPr fontId="6" type="noConversion"/>
  <pageMargins left="0.75" right="0.75" top="1" bottom="1" header="0.5" footer="0.5"/>
  <pageSetup orientation="portrait" r:id="rId1"/>
  <headerFooter alignWithMargins="0">
    <oddHeader>&amp;RUSPS-FY09-19</oddHeader>
  </headerFooter>
  <ignoredErrors>
    <ignoredError sqref="F32:F55"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igrationWizId xmlns="5438ed48-73e8-4d94-a409-bce422ebfad4">c2156401-17f5-4215-8937-dd885d4beb9c</MigrationWizId>
    <MigrationWizIdPermissions xmlns="5438ed48-73e8-4d94-a409-bce422ebfad4" xsi:nil="true"/>
    <MigrationWizIdVersion xmlns="5438ed48-73e8-4d94-a409-bce422ebfad4">c2156401-17f5-4215-8937-dd885d4beb9c-637750308130000000</MigrationWizIdVersion>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89BDD03D74A4F4AA91636625BE4908B" ma:contentTypeVersion="9" ma:contentTypeDescription="Create a new document." ma:contentTypeScope="" ma:versionID="c41792b48632959e827eca9e73d2b827">
  <xsd:schema xmlns:xsd="http://www.w3.org/2001/XMLSchema" xmlns:xs="http://www.w3.org/2001/XMLSchema" xmlns:p="http://schemas.microsoft.com/office/2006/metadata/properties" xmlns:ns2="5438ed48-73e8-4d94-a409-bce422ebfad4" xmlns:ns3="18f932cc-349c-4fea-a613-b68ec3caaa30" targetNamespace="http://schemas.microsoft.com/office/2006/metadata/properties" ma:root="true" ma:fieldsID="4ce43721fc946832f0e838bc76c8d51b" ns2:_="" ns3:_="">
    <xsd:import namespace="5438ed48-73e8-4d94-a409-bce422ebfad4"/>
    <xsd:import namespace="18f932cc-349c-4fea-a613-b68ec3caaa30"/>
    <xsd:element name="properties">
      <xsd:complexType>
        <xsd:sequence>
          <xsd:element name="documentManagement">
            <xsd:complexType>
              <xsd:all>
                <xsd:element ref="ns2:MigrationWizId" minOccurs="0"/>
                <xsd:element ref="ns2:MigrationWizIdPermissions" minOccurs="0"/>
                <xsd:element ref="ns2:MigrationWizIdVersion" minOccurs="0"/>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38ed48-73e8-4d94-a409-bce422ebfad4"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Version" ma:index="10" nillable="true" ma:displayName="MigrationWizIdVersion" ma:internalName="MigrationWizIdVersion">
      <xsd:simpleType>
        <xsd:restriction base="dms:Text"/>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8f932cc-349c-4fea-a613-b68ec3caaa3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EF096F-7503-4C2E-85E1-0DE633F52C4A}">
  <ds:schemaRefs>
    <ds:schemaRef ds:uri="http://schemas.microsoft.com/office/2006/metadata/properties"/>
    <ds:schemaRef ds:uri="http://schemas.microsoft.com/office/infopath/2007/PartnerControls"/>
    <ds:schemaRef ds:uri="5438ed48-73e8-4d94-a409-bce422ebfad4"/>
  </ds:schemaRefs>
</ds:datastoreItem>
</file>

<file path=customXml/itemProps2.xml><?xml version="1.0" encoding="utf-8"?>
<ds:datastoreItem xmlns:ds="http://schemas.openxmlformats.org/officeDocument/2006/customXml" ds:itemID="{8E1EE8A6-1400-4DF6-B740-0DA322B7C990}">
  <ds:schemaRefs>
    <ds:schemaRef ds:uri="http://schemas.microsoft.com/sharepoint/v3/contenttype/forms"/>
  </ds:schemaRefs>
</ds:datastoreItem>
</file>

<file path=customXml/itemProps3.xml><?xml version="1.0" encoding="utf-8"?>
<ds:datastoreItem xmlns:ds="http://schemas.openxmlformats.org/officeDocument/2006/customXml" ds:itemID="{68060F9E-7616-461B-99AA-E09E734E2A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38ed48-73e8-4d94-a409-bce422ebfad4"/>
    <ds:schemaRef ds:uri="18f932cc-349c-4fea-a613-b68ec3caaa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vt:i4>
      </vt:variant>
    </vt:vector>
  </HeadingPairs>
  <TitlesOfParts>
    <vt:vector size="19" baseType="lpstr">
      <vt:lpstr>NOTES</vt:lpstr>
      <vt:lpstr>Changes</vt:lpstr>
      <vt:lpstr>1.Table 1</vt:lpstr>
      <vt:lpstr>1a.DAdjustment</vt:lpstr>
      <vt:lpstr>2.FCSP_Let_Col_Cost_By_Indicia</vt:lpstr>
      <vt:lpstr>3.SummaryBY</vt:lpstr>
      <vt:lpstr>4.Rural cost</vt:lpstr>
      <vt:lpstr>5.RuralCrosswalk</vt:lpstr>
      <vt:lpstr>6.DeliveryVols</vt:lpstr>
      <vt:lpstr>7.RuralDisagg</vt:lpstr>
      <vt:lpstr>8.CityCosts</vt:lpstr>
      <vt:lpstr>9.ByShape</vt:lpstr>
      <vt:lpstr>10.In-Office Detail</vt:lpstr>
      <vt:lpstr>'1.Table 1'!Print_Area</vt:lpstr>
      <vt:lpstr>'3.SummaryBY'!Print_Area</vt:lpstr>
      <vt:lpstr>'3.SummaryBY'!Print_Titles</vt:lpstr>
      <vt:lpstr>'5.RuralCrosswalk'!Print_Titles</vt:lpstr>
      <vt:lpstr>'7.RuralDisagg'!Print_Titles</vt:lpstr>
      <vt:lpstr>'8.CityCosts'!Print_Titles</vt:lpstr>
    </vt:vector>
  </TitlesOfParts>
  <Company>U.S. Postal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Behrmann</dc:creator>
  <cp:lastModifiedBy>Behrmann, Henry M - Raleigh, NC</cp:lastModifiedBy>
  <cp:lastPrinted>2013-10-15T17:02:33Z</cp:lastPrinted>
  <dcterms:created xsi:type="dcterms:W3CDTF">1999-06-25T15:04:21Z</dcterms:created>
  <dcterms:modified xsi:type="dcterms:W3CDTF">2025-12-22T15:03:48Z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0x010100C89BDD03D74A4F4AA91636625BE4908B</vt:lpwstr>
  </property>
</Properties>
</file>