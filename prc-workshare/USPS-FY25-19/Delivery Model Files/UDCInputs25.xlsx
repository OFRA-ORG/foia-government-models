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ternalSSD\Folder 19\FY25\"/>
    </mc:Choice>
  </mc:AlternateContent>
  <xr:revisionPtr revIDLastSave="0" documentId="13_ncr:1_{F267D48F-F89C-4941-9DDC-CBEA80244410}" xr6:coauthVersionLast="47" xr6:coauthVersionMax="47" xr10:uidLastSave="{00000000-0000-0000-0000-000000000000}"/>
  <bookViews>
    <workbookView xWindow="8865" yWindow="1155" windowWidth="28800" windowHeight="15105" tabRatio="813" firstSheet="2" activeTab="8" xr2:uid="{00000000-000D-0000-FFFF-FFFF00000000}"/>
  </bookViews>
  <sheets>
    <sheet name="NOTES" sheetId="65" r:id="rId1"/>
    <sheet name="Changes" sheetId="64" r:id="rId2"/>
    <sheet name="Inputs" sheetId="28" r:id="rId3"/>
    <sheet name="CS6&amp;7 CRA" sheetId="60" r:id="rId4"/>
    <sheet name="7.0.8" sheetId="40" r:id="rId5"/>
    <sheet name="7.0.6" sheetId="41" r:id="rId6"/>
    <sheet name="CS7Shape" sheetId="35" r:id="rId7"/>
    <sheet name="City DAL Costs" sheetId="53" r:id="rId8"/>
    <sheet name="CS10 CRA" sheetId="46" r:id="rId9"/>
    <sheet name="RuralCosts" sheetId="38" r:id="rId10"/>
    <sheet name="RuralVols" sheetId="39" r:id="rId11"/>
    <sheet name="Rural DAL Costs" sheetId="54" r:id="rId12"/>
    <sheet name="CCSDALs" sheetId="49" r:id="rId13"/>
    <sheet name="RCSDALs" sheetId="50" r:id="rId14"/>
    <sheet name="BoxholderbyShape" sheetId="51" r:id="rId15"/>
    <sheet name="BYPBack" sheetId="16" r:id="rId16"/>
    <sheet name="DPS%" sheetId="48" r:id="rId17"/>
    <sheet name="CCSECRVols" sheetId="34" r:id="rId18"/>
    <sheet name="RCSECRVols" sheetId="31" r:id="rId19"/>
    <sheet name="RPWShape" sheetId="29" r:id="rId20"/>
    <sheet name="DALs" sheetId="24" r:id="rId21"/>
    <sheet name="CARMM" sheetId="63" r:id="rId22"/>
    <sheet name="CARMMCasing" sheetId="62" r:id="rId23"/>
    <sheet name="FCByIndicia" sheetId="57" r:id="rId24"/>
    <sheet name="PeriodicalsVolAdj" sheetId="58" r:id="rId25"/>
    <sheet name="ParcelVols" sheetId="25" r:id="rId26"/>
    <sheet name="LetterVols" sheetId="59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\C" localSheetId="21">#REF!</definedName>
    <definedName name="\C" localSheetId="22">#REF!</definedName>
    <definedName name="\C" localSheetId="6">#REF!</definedName>
    <definedName name="\C">#REF!</definedName>
    <definedName name="\F" localSheetId="6">#REF!</definedName>
    <definedName name="\F">#REF!</definedName>
    <definedName name="__123Graph_A" localSheetId="1" hidden="1">#REF!</definedName>
    <definedName name="__123Graph_A" localSheetId="6" hidden="1">#REF!</definedName>
    <definedName name="__123Graph_A" localSheetId="0" hidden="1">#REF!</definedName>
    <definedName name="__123Graph_A" hidden="1">#REF!</definedName>
    <definedName name="__123Graph_B" localSheetId="1" hidden="1">#REF!</definedName>
    <definedName name="__123Graph_B" localSheetId="6" hidden="1">#REF!</definedName>
    <definedName name="__123Graph_B" localSheetId="0" hidden="1">#REF!</definedName>
    <definedName name="__123Graph_B" hidden="1">#REF!</definedName>
    <definedName name="__123Graph_C" localSheetId="1" hidden="1">#REF!</definedName>
    <definedName name="__123Graph_C" localSheetId="6" hidden="1">#REF!</definedName>
    <definedName name="__123Graph_C" localSheetId="0" hidden="1">#REF!</definedName>
    <definedName name="__123Graph_C" hidden="1">#REF!</definedName>
    <definedName name="__123Graph_D" localSheetId="1" hidden="1">#REF!</definedName>
    <definedName name="__123Graph_D" localSheetId="6" hidden="1">#REF!</definedName>
    <definedName name="__123Graph_D" localSheetId="0" hidden="1">#REF!</definedName>
    <definedName name="__123Graph_D" hidden="1">#REF!</definedName>
    <definedName name="__123Graph_E" localSheetId="1" hidden="1">#REF!</definedName>
    <definedName name="__123Graph_E" localSheetId="6" hidden="1">#REF!</definedName>
    <definedName name="__123Graph_E" localSheetId="0" hidden="1">#REF!</definedName>
    <definedName name="__123Graph_E" hidden="1">#REF!</definedName>
    <definedName name="__123Graph_F" localSheetId="1" hidden="1">#REF!</definedName>
    <definedName name="__123Graph_F" localSheetId="6" hidden="1">#REF!</definedName>
    <definedName name="__123Graph_F" localSheetId="0" hidden="1">#REF!</definedName>
    <definedName name="__123Graph_F" hidden="1">#REF!</definedName>
    <definedName name="_1_0_0TO_LT1_IN_C" localSheetId="6">#REF!</definedName>
    <definedName name="_10.1.2_P2" localSheetId="6">#REF!</definedName>
    <definedName name="_10.1.2_P2">#REF!</definedName>
    <definedName name="_10.1.2_P3" localSheetId="6">#REF!</definedName>
    <definedName name="_10.1.2_P3">#REF!</definedName>
    <definedName name="_10.1.2_P4" localSheetId="6">#REF!</definedName>
    <definedName name="_10.1.2_P4">#REF!</definedName>
    <definedName name="_2_0_0TO_LT1_IN_C">#REF!</definedName>
    <definedName name="_3_0_0TO_LT2_IN_C" localSheetId="6">#REF!</definedName>
    <definedName name="_4_0_0TO_LT2_IN_C">#REF!</definedName>
    <definedName name="_7.0.13_P10" localSheetId="6">#REF!</definedName>
    <definedName name="_7.0.13_P10">#REF!</definedName>
    <definedName name="_7.0.13_P12" localSheetId="6">#REF!</definedName>
    <definedName name="_7.0.13_P12">#REF!</definedName>
    <definedName name="_7.0.13_P14" localSheetId="6">#REF!</definedName>
    <definedName name="_7.0.13_P14">#REF!</definedName>
    <definedName name="_7.0.13_P16" localSheetId="6">#REF!</definedName>
    <definedName name="_7.0.13_P16">#REF!</definedName>
    <definedName name="_7.0.13_P18" localSheetId="6">#REF!</definedName>
    <definedName name="_7.0.13_P18">#REF!</definedName>
    <definedName name="_7.0.13_P2" localSheetId="6">#REF!</definedName>
    <definedName name="_7.0.13_P2">#REF!</definedName>
    <definedName name="_7.0.13_P20" localSheetId="6">#REF!</definedName>
    <definedName name="_7.0.13_P20">#REF!</definedName>
    <definedName name="_7.0.13_P4" localSheetId="6">#REF!</definedName>
    <definedName name="_7.0.13_P4">#REF!</definedName>
    <definedName name="_7.0.13_P6" localSheetId="6">#REF!</definedName>
    <definedName name="_7.0.13_P6">#REF!</definedName>
    <definedName name="_7.0.13_P8" localSheetId="6">#REF!</definedName>
    <definedName name="_7.0.13_P8">#REF!</definedName>
    <definedName name="_Order1" hidden="1">0</definedName>
    <definedName name="_Order2" hidden="1">0</definedName>
    <definedName name="compclasses" localSheetId="26">#REF!</definedName>
    <definedName name="compclasses" localSheetId="24">#REF!</definedName>
    <definedName name="compclasses">#REF!</definedName>
    <definedName name="compcomps" localSheetId="26">#REF!</definedName>
    <definedName name="compcomps" localSheetId="24">#REF!</definedName>
    <definedName name="compcomps">#REF!</definedName>
    <definedName name="COMPLIST" localSheetId="26">#REF!</definedName>
    <definedName name="COMPLIST" localSheetId="24">#REF!</definedName>
    <definedName name="COMPLIST">#REF!</definedName>
    <definedName name="FROM_RDGOVADJ_1" localSheetId="6">#REF!</definedName>
    <definedName name="FROM_RDGOVADJ_1">#REF!</definedName>
    <definedName name="FROM_RDGOVADJ_2" localSheetId="6">#REF!</definedName>
    <definedName name="FROM_RDGOVADJ_2">#REF!</definedName>
    <definedName name="MACROS" localSheetId="6">#REF!</definedName>
    <definedName name="MACROS">#REF!</definedName>
    <definedName name="PIECES_1" localSheetId="6">#REF!</definedName>
    <definedName name="PIECES_1">#REF!</definedName>
    <definedName name="PIECES_2" localSheetId="6">#REF!</definedName>
    <definedName name="PIECES_2">#REF!</definedName>
    <definedName name="_xlnm.Print_Area" localSheetId="22">CARMMCasing!$A$2:$D$38</definedName>
    <definedName name="_xlnm.Print_Area" localSheetId="25">ParcelVols!$A$5:$E$19</definedName>
    <definedName name="_xlnm.Print_Titles" localSheetId="22">CARMMCasing!$A:$B,CARMMCasing!$2:$8</definedName>
    <definedName name="_xlnm.Print_Titles" localSheetId="6">CS7Shape!$A:$B,CS7Shape!$2:$8</definedName>
    <definedName name="_xlnm.Print_Titles" localSheetId="25">ParcelVols!$A:$B,ParcelVols!$5:$8</definedName>
    <definedName name="SPR_IN_TO_SUB_1" localSheetId="6">#REF!</definedName>
    <definedName name="SPR_IN_TO_SUB_1">#REF!</definedName>
    <definedName name="SPR_IN_TO_SUB_2" localSheetId="6">#REF!</definedName>
    <definedName name="SPR_IN_TO_SUB_2">#REF!</definedName>
    <definedName name="sumcode" localSheetId="26">#REF!</definedName>
    <definedName name="sumcode" localSheetId="24">#REF!</definedName>
    <definedName name="sumcode">#REF!</definedName>
    <definedName name="TABC" localSheetId="21">#REF!</definedName>
    <definedName name="TABC" localSheetId="22">#REF!</definedName>
    <definedName name="TABC" localSheetId="6">#REF!</definedName>
    <definedName name="TABC">#REF!</definedName>
    <definedName name="titles" localSheetId="26">#REF!</definedName>
    <definedName name="titles" localSheetId="24">#REF!</definedName>
    <definedName name="titles">#REF!</definedName>
    <definedName name="titles2" localSheetId="26">#REF!</definedName>
    <definedName name="titles2" localSheetId="24">#REF!</definedName>
    <definedName name="titles2">#REF!</definedName>
    <definedName name="TO_LT2_IN_CL_2" localSheetId="6">#REF!</definedName>
    <definedName name="TO_LT2_IN_CL_2">#REF!</definedName>
    <definedName name="TO_LT3_IN_CL_1" localSheetId="6">#REF!</definedName>
    <definedName name="TO_LT3_IN_CL_1">#REF!</definedName>
    <definedName name="TO_LT3_IN_CL_2" localSheetId="6">#REF!</definedName>
    <definedName name="TO_LT3_IN_CL_2">#REF!</definedName>
    <definedName name="TO_RDGOVADJ_1" localSheetId="6">#REF!</definedName>
    <definedName name="TO_RDGOVADJ_1">#REF!</definedName>
    <definedName name="TO_RDGOVADJ_2" localSheetId="6">#REF!</definedName>
    <definedName name="TO_RDGOVADJ_2">#REF!</definedName>
    <definedName name="TO_WS10_2" localSheetId="6">#REF!</definedName>
    <definedName name="TO_WS10_2">#REF!</definedName>
    <definedName name="Z_5BB1BD14_61DC_4A5E_BE11_71249F157E5F_.wvu.PrintArea" localSheetId="25" hidden="1">ParcelVols!$A$5:$E$8</definedName>
    <definedName name="Z_5BB1BD14_61DC_4A5E_BE11_71249F157E5F_.wvu.PrintTitles" localSheetId="25" hidden="1">ParcelVols!$A:$C,ParcelVols!$5:$5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0" i="35" l="1"/>
  <c r="D20" i="46"/>
  <c r="D17" i="51"/>
  <c r="D11" i="51"/>
  <c r="D13" i="51" l="1"/>
  <c r="C11" i="57" l="1"/>
  <c r="J39" i="40"/>
  <c r="J38" i="40"/>
  <c r="J35" i="40"/>
  <c r="E39" i="40"/>
  <c r="E38" i="40"/>
  <c r="E36" i="40"/>
  <c r="E35" i="40"/>
  <c r="C16" i="53"/>
  <c r="C15" i="53"/>
  <c r="C13" i="53"/>
  <c r="C12" i="53"/>
  <c r="C11" i="53"/>
  <c r="C10" i="53"/>
  <c r="I55" i="35"/>
  <c r="E55" i="35"/>
  <c r="C55" i="35"/>
  <c r="J52" i="35"/>
  <c r="I52" i="35"/>
  <c r="G52" i="35"/>
  <c r="F52" i="35"/>
  <c r="E52" i="35"/>
  <c r="J51" i="35"/>
  <c r="I51" i="35"/>
  <c r="G51" i="35"/>
  <c r="F51" i="35"/>
  <c r="E51" i="35"/>
  <c r="J50" i="35"/>
  <c r="I50" i="35"/>
  <c r="G50" i="35"/>
  <c r="F50" i="35"/>
  <c r="D50" i="35"/>
  <c r="C50" i="35"/>
  <c r="J49" i="35"/>
  <c r="G49" i="35"/>
  <c r="F49" i="35"/>
  <c r="E49" i="35"/>
  <c r="D49" i="35"/>
  <c r="C49" i="35"/>
  <c r="G48" i="35"/>
  <c r="G47" i="35"/>
  <c r="G46" i="35"/>
  <c r="G44" i="35"/>
  <c r="G43" i="35"/>
  <c r="G42" i="35"/>
  <c r="G41" i="35"/>
  <c r="G40" i="35"/>
  <c r="G39" i="35"/>
  <c r="G38" i="35"/>
  <c r="J36" i="35"/>
  <c r="I36" i="35"/>
  <c r="G36" i="35"/>
  <c r="F36" i="35"/>
  <c r="E36" i="35"/>
  <c r="D36" i="35"/>
  <c r="C36" i="35"/>
  <c r="J35" i="35"/>
  <c r="I35" i="35"/>
  <c r="G35" i="35"/>
  <c r="F35" i="35"/>
  <c r="E35" i="35"/>
  <c r="D35" i="35"/>
  <c r="C35" i="35"/>
  <c r="J34" i="35"/>
  <c r="I34" i="35"/>
  <c r="G34" i="35"/>
  <c r="F34" i="35"/>
  <c r="E34" i="35"/>
  <c r="J33" i="35"/>
  <c r="I33" i="35"/>
  <c r="G33" i="35"/>
  <c r="F33" i="35"/>
  <c r="E33" i="35"/>
  <c r="J32" i="35"/>
  <c r="I32" i="35"/>
  <c r="G32" i="35"/>
  <c r="F32" i="35"/>
  <c r="E32" i="35"/>
  <c r="J31" i="35"/>
  <c r="I31" i="35"/>
  <c r="G31" i="35"/>
  <c r="F31" i="35"/>
  <c r="E31" i="35"/>
  <c r="J29" i="35"/>
  <c r="I29" i="35"/>
  <c r="G29" i="35"/>
  <c r="F29" i="35"/>
  <c r="E29" i="35"/>
  <c r="I28" i="35"/>
  <c r="E28" i="35"/>
  <c r="I27" i="35"/>
  <c r="E27" i="35"/>
  <c r="J25" i="35"/>
  <c r="G25" i="35"/>
  <c r="F25" i="35"/>
  <c r="E25" i="35"/>
  <c r="J24" i="35"/>
  <c r="I24" i="35"/>
  <c r="G24" i="35"/>
  <c r="F24" i="35"/>
  <c r="E24" i="35"/>
  <c r="J23" i="35"/>
  <c r="I23" i="35"/>
  <c r="G23" i="35"/>
  <c r="F23" i="35"/>
  <c r="E23" i="35"/>
  <c r="J22" i="35"/>
  <c r="I22" i="35"/>
  <c r="G22" i="35"/>
  <c r="F22" i="35"/>
  <c r="E22" i="35"/>
  <c r="J21" i="35"/>
  <c r="I21" i="35"/>
  <c r="G21" i="35"/>
  <c r="F21" i="35"/>
  <c r="E21" i="35"/>
  <c r="J20" i="35"/>
  <c r="G20" i="35"/>
  <c r="E20" i="35"/>
  <c r="C20" i="35"/>
  <c r="J19" i="35"/>
  <c r="G19" i="35"/>
  <c r="J18" i="35"/>
  <c r="G18" i="35"/>
  <c r="F18" i="35"/>
  <c r="J16" i="35"/>
  <c r="I16" i="35"/>
  <c r="G16" i="35"/>
  <c r="F16" i="35"/>
  <c r="E16" i="35"/>
  <c r="J15" i="35"/>
  <c r="I15" i="35"/>
  <c r="G15" i="35"/>
  <c r="F15" i="35"/>
  <c r="E15" i="35"/>
  <c r="J14" i="35"/>
  <c r="I14" i="35"/>
  <c r="G14" i="35"/>
  <c r="F14" i="35"/>
  <c r="E14" i="35"/>
  <c r="J13" i="35"/>
  <c r="I13" i="35"/>
  <c r="G13" i="35"/>
  <c r="F13" i="35"/>
  <c r="E13" i="35"/>
  <c r="J12" i="35"/>
  <c r="I12" i="35"/>
  <c r="G12" i="35"/>
  <c r="F12" i="35"/>
  <c r="E12" i="35"/>
  <c r="J11" i="35"/>
  <c r="I11" i="35"/>
  <c r="G11" i="35"/>
  <c r="F11" i="35"/>
  <c r="E11" i="35"/>
  <c r="J10" i="35"/>
  <c r="I10" i="35"/>
  <c r="G10" i="35"/>
  <c r="F10" i="35"/>
  <c r="E10" i="35"/>
  <c r="M30" i="41"/>
  <c r="L30" i="41"/>
  <c r="K30" i="41"/>
  <c r="J30" i="41"/>
  <c r="I30" i="41"/>
  <c r="H30" i="41"/>
  <c r="G30" i="41"/>
  <c r="F30" i="41"/>
  <c r="E30" i="41"/>
  <c r="D30" i="41"/>
  <c r="C30" i="41"/>
  <c r="M29" i="41"/>
  <c r="L29" i="41"/>
  <c r="K29" i="41"/>
  <c r="J29" i="41"/>
  <c r="I29" i="41"/>
  <c r="H29" i="41"/>
  <c r="G29" i="41"/>
  <c r="F29" i="41"/>
  <c r="E29" i="41"/>
  <c r="D29" i="41"/>
  <c r="C29" i="41"/>
  <c r="M28" i="41"/>
  <c r="L28" i="41"/>
  <c r="K28" i="41"/>
  <c r="J28" i="41"/>
  <c r="I28" i="41"/>
  <c r="H28" i="41"/>
  <c r="G28" i="41"/>
  <c r="F28" i="41"/>
  <c r="E28" i="41"/>
  <c r="D28" i="41"/>
  <c r="C28" i="41"/>
  <c r="M27" i="41"/>
  <c r="L27" i="41"/>
  <c r="K27" i="41"/>
  <c r="J27" i="41"/>
  <c r="I27" i="41"/>
  <c r="H27" i="41"/>
  <c r="G27" i="41"/>
  <c r="F27" i="41"/>
  <c r="E27" i="41"/>
  <c r="D27" i="41"/>
  <c r="C27" i="41"/>
  <c r="M26" i="41"/>
  <c r="L26" i="41"/>
  <c r="K26" i="41"/>
  <c r="J26" i="41"/>
  <c r="I26" i="41"/>
  <c r="H26" i="41"/>
  <c r="G26" i="41"/>
  <c r="F26" i="41"/>
  <c r="E26" i="41"/>
  <c r="D26" i="41"/>
  <c r="C26" i="41"/>
  <c r="M24" i="41"/>
  <c r="L24" i="41"/>
  <c r="K24" i="41"/>
  <c r="J24" i="41"/>
  <c r="I24" i="41"/>
  <c r="H24" i="41"/>
  <c r="G24" i="41"/>
  <c r="F24" i="41"/>
  <c r="E24" i="41"/>
  <c r="D24" i="41"/>
  <c r="C24" i="41"/>
  <c r="M23" i="41"/>
  <c r="L23" i="41"/>
  <c r="K23" i="41"/>
  <c r="J23" i="41"/>
  <c r="I23" i="41"/>
  <c r="H23" i="41"/>
  <c r="G23" i="41"/>
  <c r="F23" i="41"/>
  <c r="E23" i="41"/>
  <c r="D23" i="41"/>
  <c r="C23" i="41"/>
  <c r="M22" i="41"/>
  <c r="L22" i="41"/>
  <c r="K22" i="41"/>
  <c r="J22" i="41"/>
  <c r="I22" i="41"/>
  <c r="H22" i="41"/>
  <c r="G22" i="41"/>
  <c r="F22" i="41"/>
  <c r="E22" i="41"/>
  <c r="D22" i="41"/>
  <c r="C22" i="41"/>
  <c r="M21" i="41"/>
  <c r="L21" i="41"/>
  <c r="K21" i="41"/>
  <c r="J21" i="41"/>
  <c r="I21" i="41"/>
  <c r="H21" i="41"/>
  <c r="G21" i="41"/>
  <c r="F21" i="41"/>
  <c r="E21" i="41"/>
  <c r="D21" i="41"/>
  <c r="C21" i="41"/>
  <c r="M20" i="41"/>
  <c r="L20" i="41"/>
  <c r="K20" i="41"/>
  <c r="J20" i="41"/>
  <c r="I20" i="41"/>
  <c r="H20" i="41"/>
  <c r="G20" i="41"/>
  <c r="F20" i="41"/>
  <c r="E20" i="41"/>
  <c r="D20" i="41"/>
  <c r="C20" i="41"/>
  <c r="M19" i="41"/>
  <c r="L19" i="41"/>
  <c r="K19" i="41"/>
  <c r="J19" i="41"/>
  <c r="I19" i="41"/>
  <c r="H19" i="41"/>
  <c r="G19" i="41"/>
  <c r="F19" i="41"/>
  <c r="E19" i="41"/>
  <c r="D19" i="41"/>
  <c r="C19" i="41"/>
  <c r="M18" i="41"/>
  <c r="L18" i="41"/>
  <c r="K18" i="41"/>
  <c r="J18" i="41"/>
  <c r="I18" i="41"/>
  <c r="H18" i="41"/>
  <c r="G18" i="41"/>
  <c r="F18" i="41"/>
  <c r="E18" i="41"/>
  <c r="D18" i="41"/>
  <c r="C18" i="41"/>
  <c r="M17" i="41"/>
  <c r="L17" i="41"/>
  <c r="K17" i="41"/>
  <c r="J17" i="41"/>
  <c r="I17" i="41"/>
  <c r="H17" i="41"/>
  <c r="G17" i="41"/>
  <c r="F17" i="41"/>
  <c r="E17" i="41"/>
  <c r="D17" i="41"/>
  <c r="C17" i="41"/>
  <c r="M15" i="41"/>
  <c r="L15" i="41"/>
  <c r="K15" i="41"/>
  <c r="J15" i="41"/>
  <c r="I15" i="41"/>
  <c r="H15" i="41"/>
  <c r="G15" i="41"/>
  <c r="F15" i="41"/>
  <c r="E15" i="41"/>
  <c r="D15" i="41"/>
  <c r="C15" i="41"/>
  <c r="M14" i="41"/>
  <c r="L14" i="41"/>
  <c r="K14" i="41"/>
  <c r="J14" i="41"/>
  <c r="I14" i="41"/>
  <c r="H14" i="41"/>
  <c r="G14" i="41"/>
  <c r="F14" i="41"/>
  <c r="E14" i="41"/>
  <c r="D14" i="41"/>
  <c r="C14" i="41"/>
  <c r="M13" i="41"/>
  <c r="L13" i="41"/>
  <c r="K13" i="41"/>
  <c r="J13" i="41"/>
  <c r="I13" i="41"/>
  <c r="H13" i="41"/>
  <c r="G13" i="41"/>
  <c r="F13" i="41"/>
  <c r="E13" i="41"/>
  <c r="D13" i="41"/>
  <c r="C13" i="41"/>
  <c r="M12" i="41"/>
  <c r="L12" i="41"/>
  <c r="K12" i="41"/>
  <c r="J12" i="41"/>
  <c r="I12" i="41"/>
  <c r="H12" i="41"/>
  <c r="G12" i="41"/>
  <c r="F12" i="41"/>
  <c r="E12" i="41"/>
  <c r="D12" i="41"/>
  <c r="C12" i="41"/>
  <c r="M11" i="41"/>
  <c r="L11" i="41"/>
  <c r="K11" i="41"/>
  <c r="J11" i="41"/>
  <c r="I11" i="41"/>
  <c r="H11" i="41"/>
  <c r="G11" i="41"/>
  <c r="F11" i="41"/>
  <c r="E11" i="41"/>
  <c r="D11" i="41"/>
  <c r="C11" i="41"/>
  <c r="M10" i="41"/>
  <c r="L10" i="41"/>
  <c r="K10" i="41"/>
  <c r="J10" i="41"/>
  <c r="I10" i="41"/>
  <c r="H10" i="41"/>
  <c r="G10" i="41"/>
  <c r="F10" i="41"/>
  <c r="E10" i="41"/>
  <c r="D10" i="41"/>
  <c r="C10" i="41"/>
  <c r="L31" i="40"/>
  <c r="K31" i="40"/>
  <c r="J31" i="40"/>
  <c r="I31" i="40"/>
  <c r="H31" i="40"/>
  <c r="E31" i="40"/>
  <c r="D31" i="40"/>
  <c r="C31" i="40"/>
  <c r="L30" i="40"/>
  <c r="K30" i="40"/>
  <c r="J30" i="40"/>
  <c r="I30" i="40"/>
  <c r="H30" i="40"/>
  <c r="E30" i="40"/>
  <c r="D30" i="40"/>
  <c r="C30" i="40"/>
  <c r="L29" i="40"/>
  <c r="K29" i="40"/>
  <c r="J29" i="40"/>
  <c r="I29" i="40"/>
  <c r="H29" i="40"/>
  <c r="E29" i="40"/>
  <c r="D29" i="40"/>
  <c r="C29" i="40"/>
  <c r="L28" i="40"/>
  <c r="K28" i="40"/>
  <c r="J28" i="40"/>
  <c r="I28" i="40"/>
  <c r="H28" i="40"/>
  <c r="E28" i="40"/>
  <c r="D28" i="40"/>
  <c r="C28" i="40"/>
  <c r="L27" i="40"/>
  <c r="K27" i="40"/>
  <c r="J27" i="40"/>
  <c r="I27" i="40"/>
  <c r="H27" i="40"/>
  <c r="E27" i="40"/>
  <c r="D27" i="40"/>
  <c r="C27" i="40"/>
  <c r="L25" i="40"/>
  <c r="K25" i="40"/>
  <c r="J25" i="40"/>
  <c r="I25" i="40"/>
  <c r="H25" i="40"/>
  <c r="E25" i="40"/>
  <c r="D25" i="40"/>
  <c r="C25" i="40"/>
  <c r="L24" i="40"/>
  <c r="K24" i="40"/>
  <c r="J24" i="40"/>
  <c r="I24" i="40"/>
  <c r="H24" i="40"/>
  <c r="E24" i="40"/>
  <c r="D24" i="40"/>
  <c r="C24" i="40"/>
  <c r="L23" i="40"/>
  <c r="K23" i="40"/>
  <c r="J23" i="40"/>
  <c r="I23" i="40"/>
  <c r="H23" i="40"/>
  <c r="E23" i="40"/>
  <c r="D23" i="40"/>
  <c r="C23" i="40"/>
  <c r="L22" i="40"/>
  <c r="K22" i="40"/>
  <c r="J22" i="40"/>
  <c r="I22" i="40"/>
  <c r="H22" i="40"/>
  <c r="E22" i="40"/>
  <c r="D22" i="40"/>
  <c r="C22" i="40"/>
  <c r="L21" i="40"/>
  <c r="K21" i="40"/>
  <c r="J21" i="40"/>
  <c r="I21" i="40"/>
  <c r="H21" i="40"/>
  <c r="E21" i="40"/>
  <c r="D21" i="40"/>
  <c r="C21" i="40"/>
  <c r="L20" i="40"/>
  <c r="K20" i="40"/>
  <c r="J20" i="40"/>
  <c r="I20" i="40"/>
  <c r="H20" i="40"/>
  <c r="E20" i="40"/>
  <c r="D20" i="40"/>
  <c r="C20" i="40"/>
  <c r="L19" i="40"/>
  <c r="K19" i="40"/>
  <c r="J19" i="40"/>
  <c r="I19" i="40"/>
  <c r="H19" i="40"/>
  <c r="E19" i="40"/>
  <c r="D19" i="40"/>
  <c r="C19" i="40"/>
  <c r="L18" i="40"/>
  <c r="K18" i="40"/>
  <c r="J18" i="40"/>
  <c r="I18" i="40"/>
  <c r="H18" i="40"/>
  <c r="E18" i="40"/>
  <c r="D18" i="40"/>
  <c r="C18" i="40"/>
  <c r="L16" i="40"/>
  <c r="K16" i="40"/>
  <c r="J16" i="40"/>
  <c r="I16" i="40"/>
  <c r="H16" i="40"/>
  <c r="E16" i="40"/>
  <c r="D16" i="40"/>
  <c r="C16" i="40"/>
  <c r="L15" i="40"/>
  <c r="K15" i="40"/>
  <c r="J15" i="40"/>
  <c r="I15" i="40"/>
  <c r="H15" i="40"/>
  <c r="E15" i="40"/>
  <c r="D15" i="40"/>
  <c r="C15" i="40"/>
  <c r="L14" i="40"/>
  <c r="K14" i="40"/>
  <c r="J14" i="40"/>
  <c r="I14" i="40"/>
  <c r="H14" i="40"/>
  <c r="E14" i="40"/>
  <c r="D14" i="40"/>
  <c r="C14" i="40"/>
  <c r="L13" i="40"/>
  <c r="K13" i="40"/>
  <c r="J13" i="40"/>
  <c r="I13" i="40"/>
  <c r="H13" i="40"/>
  <c r="E13" i="40"/>
  <c r="D13" i="40"/>
  <c r="C13" i="40"/>
  <c r="L12" i="40"/>
  <c r="K12" i="40"/>
  <c r="J12" i="40"/>
  <c r="I12" i="40"/>
  <c r="H12" i="40"/>
  <c r="E12" i="40"/>
  <c r="D12" i="40"/>
  <c r="C12" i="40"/>
  <c r="L11" i="40"/>
  <c r="K11" i="40"/>
  <c r="J11" i="40"/>
  <c r="I11" i="40"/>
  <c r="H11" i="40"/>
  <c r="E11" i="40"/>
  <c r="D11" i="40"/>
  <c r="C11" i="40"/>
  <c r="F31" i="60"/>
  <c r="E31" i="60"/>
  <c r="D31" i="60"/>
  <c r="F30" i="60"/>
  <c r="E30" i="60"/>
  <c r="F29" i="60"/>
  <c r="E29" i="60"/>
  <c r="F28" i="60"/>
  <c r="E28" i="60"/>
  <c r="F27" i="60"/>
  <c r="E27" i="60"/>
  <c r="F25" i="60"/>
  <c r="E25" i="60"/>
  <c r="F24" i="60"/>
  <c r="E24" i="60"/>
  <c r="F23" i="60"/>
  <c r="E23" i="60"/>
  <c r="F22" i="60"/>
  <c r="E22" i="60"/>
  <c r="F21" i="60"/>
  <c r="E21" i="60"/>
  <c r="F20" i="60"/>
  <c r="E20" i="60"/>
  <c r="F19" i="60"/>
  <c r="E19" i="60"/>
  <c r="F18" i="60"/>
  <c r="E18" i="60"/>
  <c r="F16" i="60"/>
  <c r="E16" i="60"/>
  <c r="F15" i="60"/>
  <c r="E15" i="60"/>
  <c r="F14" i="60"/>
  <c r="E14" i="60"/>
  <c r="F13" i="60"/>
  <c r="E13" i="60"/>
  <c r="F12" i="60"/>
  <c r="E12" i="60"/>
  <c r="F11" i="60"/>
  <c r="E11" i="60"/>
  <c r="C30" i="62"/>
  <c r="C30" i="63"/>
  <c r="C31" i="60"/>
  <c r="C30" i="60"/>
  <c r="C29" i="60"/>
  <c r="C28" i="60"/>
  <c r="C27" i="60"/>
  <c r="C25" i="60"/>
  <c r="C24" i="60"/>
  <c r="C23" i="60"/>
  <c r="C22" i="60"/>
  <c r="C21" i="60"/>
  <c r="C20" i="60"/>
  <c r="C19" i="60"/>
  <c r="C18" i="60"/>
  <c r="C16" i="60"/>
  <c r="C15" i="60"/>
  <c r="C14" i="60"/>
  <c r="C13" i="60"/>
  <c r="C12" i="60"/>
  <c r="C11" i="60"/>
  <c r="F14" i="49"/>
  <c r="E14" i="49"/>
  <c r="F13" i="49"/>
  <c r="E13" i="49"/>
  <c r="F12" i="49"/>
  <c r="E12" i="49"/>
  <c r="F11" i="49"/>
  <c r="E11" i="49"/>
  <c r="F10" i="49"/>
  <c r="E10" i="49"/>
  <c r="F9" i="49"/>
  <c r="E9" i="49"/>
  <c r="F7" i="49"/>
  <c r="E7" i="49"/>
  <c r="F6" i="49"/>
  <c r="E6" i="49"/>
  <c r="E31" i="39" l="1"/>
  <c r="F31" i="39"/>
  <c r="I31" i="39"/>
  <c r="I32" i="39"/>
  <c r="H32" i="39"/>
  <c r="H31" i="39"/>
  <c r="G32" i="39"/>
  <c r="G31" i="39"/>
  <c r="F32" i="39"/>
  <c r="E32" i="39"/>
  <c r="H15" i="39"/>
  <c r="H14" i="39"/>
  <c r="H13" i="39"/>
  <c r="H12" i="39"/>
  <c r="H11" i="39"/>
  <c r="H10" i="39"/>
  <c r="E10" i="39"/>
  <c r="C20" i="34" l="1"/>
  <c r="C19" i="34"/>
  <c r="C18" i="34"/>
  <c r="C17" i="34"/>
  <c r="C16" i="34"/>
  <c r="C14" i="34"/>
  <c r="C13" i="34"/>
  <c r="C12" i="34"/>
  <c r="C11" i="34"/>
  <c r="C10" i="34"/>
  <c r="I41" i="40"/>
  <c r="L40" i="40"/>
  <c r="I40" i="40"/>
  <c r="I39" i="40"/>
  <c r="I38" i="40"/>
  <c r="H35" i="40"/>
  <c r="E43" i="40"/>
  <c r="G30" i="40"/>
  <c r="F30" i="40"/>
  <c r="G29" i="40"/>
  <c r="F29" i="40"/>
  <c r="G28" i="40"/>
  <c r="F28" i="40"/>
  <c r="G27" i="40"/>
  <c r="F27" i="40"/>
  <c r="G25" i="40"/>
  <c r="F25" i="40"/>
  <c r="G24" i="40"/>
  <c r="F24" i="40"/>
  <c r="G23" i="40"/>
  <c r="F23" i="40"/>
  <c r="G22" i="40"/>
  <c r="F22" i="40"/>
  <c r="G21" i="40"/>
  <c r="F21" i="40"/>
  <c r="F19" i="40"/>
  <c r="G18" i="40"/>
  <c r="G16" i="40"/>
  <c r="F16" i="40"/>
  <c r="G15" i="40"/>
  <c r="F15" i="40"/>
  <c r="G14" i="40"/>
  <c r="F14" i="40"/>
  <c r="G13" i="40"/>
  <c r="F13" i="40"/>
  <c r="G12" i="40"/>
  <c r="F12" i="40"/>
  <c r="G11" i="40"/>
  <c r="F11" i="40"/>
  <c r="G19" i="40"/>
  <c r="F18" i="40"/>
  <c r="D11" i="35" l="1"/>
  <c r="C11" i="35"/>
  <c r="D12" i="35"/>
  <c r="C12" i="35"/>
  <c r="D14" i="35"/>
  <c r="C14" i="35"/>
  <c r="D15" i="35"/>
  <c r="C15" i="35"/>
  <c r="D33" i="35"/>
  <c r="C33" i="35"/>
  <c r="D13" i="35"/>
  <c r="C13" i="35"/>
  <c r="D21" i="35"/>
  <c r="C21" i="35"/>
  <c r="C22" i="35"/>
  <c r="D22" i="35"/>
  <c r="C23" i="35"/>
  <c r="D23" i="35"/>
  <c r="C29" i="35"/>
  <c r="D29" i="35"/>
  <c r="C19" i="35"/>
  <c r="D10" i="35"/>
  <c r="C10" i="35"/>
  <c r="C31" i="35"/>
  <c r="D31" i="35"/>
  <c r="G67" i="35"/>
  <c r="G66" i="35"/>
  <c r="D66" i="35"/>
  <c r="J65" i="35"/>
  <c r="G65" i="35"/>
  <c r="F65" i="35"/>
  <c r="D65" i="35"/>
  <c r="J64" i="35"/>
  <c r="G64" i="35"/>
  <c r="C64" i="35"/>
  <c r="E42" i="41"/>
  <c r="C42" i="41"/>
  <c r="G41" i="41"/>
  <c r="E41" i="41"/>
  <c r="C41" i="41"/>
  <c r="H42" i="40"/>
  <c r="I42" i="40" l="1"/>
  <c r="N30" i="38"/>
  <c r="M30" i="38"/>
  <c r="L30" i="38"/>
  <c r="K30" i="38"/>
  <c r="J30" i="38"/>
  <c r="I30" i="38"/>
  <c r="H30" i="38"/>
  <c r="G30" i="38"/>
  <c r="F30" i="38"/>
  <c r="E30" i="38"/>
  <c r="D30" i="38"/>
  <c r="C30" i="38"/>
  <c r="D30" i="46" l="1"/>
  <c r="J10" i="57" l="1"/>
  <c r="H10" i="57" l="1"/>
  <c r="D28" i="16" l="1"/>
  <c r="D27" i="16"/>
  <c r="D26" i="16"/>
  <c r="D24" i="16"/>
  <c r="D23" i="16"/>
  <c r="D22" i="16"/>
  <c r="D21" i="16"/>
  <c r="D20" i="16"/>
  <c r="D19" i="16"/>
  <c r="D18" i="16"/>
  <c r="D17" i="16"/>
  <c r="D15" i="16"/>
  <c r="D14" i="16"/>
  <c r="D13" i="16"/>
  <c r="D12" i="16"/>
  <c r="E11" i="16"/>
  <c r="D11" i="16"/>
  <c r="M32" i="39"/>
  <c r="L32" i="39"/>
  <c r="K32" i="39"/>
  <c r="D32" i="39"/>
  <c r="C32" i="39"/>
  <c r="M31" i="39"/>
  <c r="L31" i="39"/>
  <c r="K31" i="39"/>
  <c r="D31" i="39"/>
  <c r="C31" i="39"/>
  <c r="M30" i="39"/>
  <c r="L30" i="39"/>
  <c r="K30" i="39"/>
  <c r="I30" i="39"/>
  <c r="H30" i="39"/>
  <c r="G30" i="39"/>
  <c r="F30" i="39"/>
  <c r="E30" i="39"/>
  <c r="D30" i="39"/>
  <c r="C30" i="39"/>
  <c r="M29" i="39"/>
  <c r="L29" i="39"/>
  <c r="K29" i="39"/>
  <c r="I29" i="39"/>
  <c r="H29" i="39"/>
  <c r="G29" i="39"/>
  <c r="F29" i="39"/>
  <c r="E29" i="39"/>
  <c r="D29" i="39"/>
  <c r="C29" i="39"/>
  <c r="M28" i="39"/>
  <c r="L28" i="39"/>
  <c r="K28" i="39"/>
  <c r="I28" i="39"/>
  <c r="H28" i="39"/>
  <c r="G28" i="39"/>
  <c r="F28" i="39"/>
  <c r="E28" i="39"/>
  <c r="D28" i="39"/>
  <c r="C28" i="39"/>
  <c r="M26" i="39"/>
  <c r="L26" i="39"/>
  <c r="K26" i="39"/>
  <c r="I26" i="39"/>
  <c r="H26" i="39"/>
  <c r="G26" i="39"/>
  <c r="F26" i="39"/>
  <c r="E26" i="39"/>
  <c r="D26" i="39"/>
  <c r="C26" i="39"/>
  <c r="M25" i="39"/>
  <c r="L25" i="39"/>
  <c r="K25" i="39"/>
  <c r="I25" i="39"/>
  <c r="H25" i="39"/>
  <c r="G25" i="39"/>
  <c r="F25" i="39"/>
  <c r="E25" i="39"/>
  <c r="D25" i="39"/>
  <c r="C25" i="39"/>
  <c r="M24" i="39"/>
  <c r="L24" i="39"/>
  <c r="K24" i="39"/>
  <c r="I24" i="39"/>
  <c r="H24" i="39"/>
  <c r="G24" i="39"/>
  <c r="F24" i="39"/>
  <c r="E24" i="39"/>
  <c r="D24" i="39"/>
  <c r="C24" i="39"/>
  <c r="M23" i="39"/>
  <c r="L23" i="39"/>
  <c r="K23" i="39"/>
  <c r="I23" i="39"/>
  <c r="H23" i="39"/>
  <c r="G23" i="39"/>
  <c r="F23" i="39"/>
  <c r="E23" i="39"/>
  <c r="D23" i="39"/>
  <c r="C23" i="39"/>
  <c r="M21" i="39"/>
  <c r="L21" i="39"/>
  <c r="K21" i="39"/>
  <c r="I21" i="39"/>
  <c r="H21" i="39"/>
  <c r="G21" i="39"/>
  <c r="F21" i="39"/>
  <c r="E21" i="39"/>
  <c r="D21" i="39"/>
  <c r="C21" i="39"/>
  <c r="M20" i="39"/>
  <c r="L20" i="39"/>
  <c r="K20" i="39"/>
  <c r="I20" i="39"/>
  <c r="H20" i="39"/>
  <c r="G20" i="39"/>
  <c r="F20" i="39"/>
  <c r="E20" i="39"/>
  <c r="D20" i="39"/>
  <c r="C20" i="39"/>
  <c r="M19" i="39"/>
  <c r="L19" i="39"/>
  <c r="K19" i="39"/>
  <c r="I19" i="39"/>
  <c r="H19" i="39"/>
  <c r="G19" i="39"/>
  <c r="F19" i="39"/>
  <c r="E19" i="39"/>
  <c r="D19" i="39"/>
  <c r="C19" i="39"/>
  <c r="M18" i="39"/>
  <c r="L18" i="39"/>
  <c r="K18" i="39"/>
  <c r="I18" i="39"/>
  <c r="H18" i="39"/>
  <c r="G18" i="39"/>
  <c r="F18" i="39"/>
  <c r="E18" i="39"/>
  <c r="D18" i="39"/>
  <c r="C18" i="39"/>
  <c r="M15" i="39"/>
  <c r="L15" i="39"/>
  <c r="K15" i="39"/>
  <c r="I15" i="39"/>
  <c r="G15" i="39"/>
  <c r="F15" i="39"/>
  <c r="E15" i="39"/>
  <c r="D15" i="39"/>
  <c r="C15" i="39"/>
  <c r="M14" i="39"/>
  <c r="L14" i="39"/>
  <c r="K14" i="39"/>
  <c r="I14" i="39"/>
  <c r="G14" i="39"/>
  <c r="F14" i="39"/>
  <c r="E14" i="39"/>
  <c r="D14" i="39"/>
  <c r="C14" i="39"/>
  <c r="M13" i="39"/>
  <c r="L13" i="39"/>
  <c r="K13" i="39"/>
  <c r="I13" i="39"/>
  <c r="G13" i="39"/>
  <c r="F13" i="39"/>
  <c r="E13" i="39"/>
  <c r="D13" i="39"/>
  <c r="C13" i="39"/>
  <c r="M12" i="39"/>
  <c r="L12" i="39"/>
  <c r="K12" i="39"/>
  <c r="I12" i="39"/>
  <c r="G12" i="39"/>
  <c r="F12" i="39"/>
  <c r="E12" i="39"/>
  <c r="D12" i="39"/>
  <c r="C12" i="39"/>
  <c r="M11" i="39"/>
  <c r="L11" i="39"/>
  <c r="K11" i="39"/>
  <c r="I11" i="39"/>
  <c r="G11" i="39"/>
  <c r="F11" i="39"/>
  <c r="E11" i="39"/>
  <c r="D11" i="39"/>
  <c r="C11" i="39"/>
  <c r="M10" i="39"/>
  <c r="L10" i="39"/>
  <c r="K10" i="39"/>
  <c r="I10" i="39"/>
  <c r="G10" i="39"/>
  <c r="F10" i="39"/>
  <c r="D10" i="39"/>
  <c r="C10" i="39"/>
  <c r="N29" i="38"/>
  <c r="M29" i="38"/>
  <c r="L29" i="38"/>
  <c r="K29" i="38"/>
  <c r="J29" i="38"/>
  <c r="I29" i="38"/>
  <c r="H29" i="38"/>
  <c r="G29" i="38"/>
  <c r="F29" i="38"/>
  <c r="E29" i="38"/>
  <c r="D29" i="38"/>
  <c r="C29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N21" i="38"/>
  <c r="M21" i="38"/>
  <c r="L21" i="38"/>
  <c r="K21" i="38"/>
  <c r="J21" i="38"/>
  <c r="I21" i="38"/>
  <c r="H21" i="38"/>
  <c r="G21" i="38"/>
  <c r="F21" i="38"/>
  <c r="E21" i="38"/>
  <c r="D21" i="38"/>
  <c r="C21" i="38"/>
  <c r="N20" i="38"/>
  <c r="M20" i="38"/>
  <c r="L20" i="38"/>
  <c r="K20" i="38"/>
  <c r="J20" i="38"/>
  <c r="I20" i="38"/>
  <c r="H20" i="38"/>
  <c r="G20" i="38"/>
  <c r="F20" i="38"/>
  <c r="E20" i="38"/>
  <c r="D20" i="38"/>
  <c r="C20" i="38"/>
  <c r="N19" i="38"/>
  <c r="M19" i="38"/>
  <c r="L19" i="38"/>
  <c r="K19" i="38"/>
  <c r="J19" i="38"/>
  <c r="I19" i="38"/>
  <c r="H19" i="38"/>
  <c r="G19" i="38"/>
  <c r="F19" i="38"/>
  <c r="E19" i="38"/>
  <c r="D19" i="38"/>
  <c r="C19" i="38"/>
  <c r="N18" i="38"/>
  <c r="M18" i="38"/>
  <c r="L18" i="38"/>
  <c r="K18" i="38"/>
  <c r="J18" i="38"/>
  <c r="I18" i="38"/>
  <c r="H18" i="38"/>
  <c r="G18" i="38"/>
  <c r="F18" i="38"/>
  <c r="E18" i="38"/>
  <c r="D18" i="38"/>
  <c r="C18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N15" i="38"/>
  <c r="M15" i="38"/>
  <c r="L15" i="38"/>
  <c r="K15" i="38"/>
  <c r="J15" i="38"/>
  <c r="I15" i="38"/>
  <c r="H15" i="38"/>
  <c r="G15" i="38"/>
  <c r="F15" i="38"/>
  <c r="E15" i="38"/>
  <c r="D15" i="38"/>
  <c r="C15" i="38"/>
  <c r="N14" i="38"/>
  <c r="M14" i="38"/>
  <c r="L14" i="38"/>
  <c r="K14" i="38"/>
  <c r="J14" i="38"/>
  <c r="I14" i="38"/>
  <c r="H14" i="38"/>
  <c r="G14" i="38"/>
  <c r="F14" i="38"/>
  <c r="E14" i="38"/>
  <c r="D14" i="38"/>
  <c r="C14" i="38"/>
  <c r="N13" i="38"/>
  <c r="M13" i="38"/>
  <c r="L13" i="38"/>
  <c r="K13" i="38"/>
  <c r="J13" i="38"/>
  <c r="I13" i="38"/>
  <c r="H13" i="38"/>
  <c r="G13" i="38"/>
  <c r="F13" i="38"/>
  <c r="E13" i="38"/>
  <c r="D13" i="38"/>
  <c r="C13" i="38"/>
  <c r="N12" i="38"/>
  <c r="M12" i="38"/>
  <c r="L12" i="38"/>
  <c r="K12" i="38"/>
  <c r="J12" i="38"/>
  <c r="I12" i="38"/>
  <c r="H12" i="38"/>
  <c r="G12" i="38"/>
  <c r="F12" i="38"/>
  <c r="E12" i="38"/>
  <c r="D12" i="38"/>
  <c r="C12" i="38"/>
  <c r="N11" i="38"/>
  <c r="M11" i="38"/>
  <c r="L11" i="38"/>
  <c r="K11" i="38"/>
  <c r="J11" i="38"/>
  <c r="I11" i="38"/>
  <c r="H11" i="38"/>
  <c r="G11" i="38"/>
  <c r="F11" i="38"/>
  <c r="E11" i="38"/>
  <c r="D11" i="38"/>
  <c r="C11" i="38"/>
  <c r="D29" i="46"/>
  <c r="D28" i="46"/>
  <c r="D27" i="46"/>
  <c r="D25" i="46"/>
  <c r="D24" i="46"/>
  <c r="D23" i="46"/>
  <c r="D22" i="46"/>
  <c r="D21" i="46"/>
  <c r="D19" i="46"/>
  <c r="D18" i="46"/>
  <c r="D16" i="46"/>
  <c r="D15" i="46"/>
  <c r="D14" i="46"/>
  <c r="D13" i="46"/>
  <c r="D12" i="46"/>
  <c r="D11" i="46"/>
  <c r="C27" i="62"/>
  <c r="C27" i="63"/>
  <c r="J42" i="40"/>
  <c r="E42" i="40"/>
  <c r="G33" i="29"/>
  <c r="G32" i="29"/>
  <c r="G31" i="29"/>
  <c r="E31" i="29"/>
  <c r="G30" i="29"/>
  <c r="D30" i="29"/>
  <c r="G27" i="29"/>
  <c r="G26" i="29"/>
  <c r="G25" i="29"/>
  <c r="G24" i="29"/>
  <c r="G23" i="29"/>
  <c r="G20" i="29"/>
  <c r="G17" i="29"/>
  <c r="G15" i="29"/>
  <c r="G14" i="29"/>
  <c r="G13" i="29"/>
  <c r="G12" i="29"/>
  <c r="G11" i="29"/>
  <c r="G10" i="29"/>
  <c r="C17" i="29"/>
  <c r="D15" i="29"/>
  <c r="D14" i="29"/>
  <c r="C13" i="29"/>
  <c r="C12" i="29"/>
  <c r="C11" i="29"/>
  <c r="C10" i="29"/>
  <c r="E12" i="57"/>
  <c r="E11" i="57"/>
  <c r="E10" i="57"/>
  <c r="D12" i="57"/>
  <c r="D11" i="57"/>
  <c r="D10" i="57"/>
  <c r="F55" i="62"/>
  <c r="E55" i="62"/>
  <c r="D55" i="62"/>
  <c r="C55" i="62"/>
  <c r="C44" i="62"/>
  <c r="C43" i="62"/>
  <c r="C41" i="62"/>
  <c r="C40" i="62"/>
  <c r="C38" i="62"/>
  <c r="C37" i="62"/>
  <c r="C36" i="62"/>
  <c r="C34" i="62"/>
  <c r="C33" i="62"/>
  <c r="C32" i="62"/>
  <c r="C29" i="62"/>
  <c r="C26" i="62"/>
  <c r="C24" i="62"/>
  <c r="C23" i="62"/>
  <c r="C19" i="62"/>
  <c r="C18" i="62"/>
  <c r="C15" i="62"/>
  <c r="C14" i="62"/>
  <c r="C13" i="62"/>
  <c r="C12" i="62"/>
  <c r="C11" i="62"/>
  <c r="C10" i="62"/>
  <c r="F55" i="63"/>
  <c r="E55" i="63"/>
  <c r="D55" i="63"/>
  <c r="C55" i="63"/>
  <c r="C44" i="63"/>
  <c r="C43" i="63"/>
  <c r="C41" i="63"/>
  <c r="C40" i="63"/>
  <c r="C38" i="63"/>
  <c r="C37" i="63"/>
  <c r="C36" i="63"/>
  <c r="C34" i="63"/>
  <c r="C33" i="63"/>
  <c r="C32" i="63"/>
  <c r="C29" i="63"/>
  <c r="C26" i="63"/>
  <c r="C24" i="63"/>
  <c r="C23" i="63"/>
  <c r="C19" i="63"/>
  <c r="C18" i="63"/>
  <c r="C15" i="63"/>
  <c r="C14" i="63"/>
  <c r="C13" i="63"/>
  <c r="C12" i="63"/>
  <c r="C11" i="63"/>
  <c r="C10" i="63"/>
  <c r="E42" i="48"/>
  <c r="C42" i="48"/>
  <c r="E41" i="48"/>
  <c r="C41" i="48"/>
  <c r="E40" i="48"/>
  <c r="C40" i="48"/>
  <c r="E39" i="48"/>
  <c r="C39" i="48"/>
  <c r="E38" i="48"/>
  <c r="C38" i="48"/>
  <c r="E37" i="48"/>
  <c r="C37" i="48"/>
  <c r="E36" i="48"/>
  <c r="C36" i="48"/>
  <c r="E33" i="48"/>
  <c r="C33" i="48"/>
  <c r="E32" i="48"/>
  <c r="C32" i="48"/>
  <c r="E31" i="48"/>
  <c r="C31" i="48"/>
  <c r="E30" i="48"/>
  <c r="C30" i="48"/>
  <c r="E29" i="48"/>
  <c r="C29" i="48"/>
  <c r="E28" i="48"/>
  <c r="C28" i="48"/>
  <c r="E27" i="48"/>
  <c r="C27" i="48"/>
  <c r="E26" i="48"/>
  <c r="C26" i="48"/>
  <c r="E25" i="48"/>
  <c r="C25" i="48"/>
  <c r="E24" i="48"/>
  <c r="C24" i="48"/>
  <c r="E21" i="48"/>
  <c r="C21" i="48"/>
  <c r="E20" i="48"/>
  <c r="C20" i="48"/>
  <c r="E19" i="48"/>
  <c r="C19" i="48"/>
  <c r="E18" i="48"/>
  <c r="C18" i="48"/>
  <c r="E17" i="48"/>
  <c r="C17" i="48"/>
  <c r="E16" i="48"/>
  <c r="C16" i="48"/>
  <c r="E15" i="48"/>
  <c r="C15" i="48"/>
  <c r="E14" i="48"/>
  <c r="C14" i="48"/>
  <c r="E13" i="48"/>
  <c r="C13" i="48"/>
  <c r="E12" i="48"/>
  <c r="C12" i="48"/>
  <c r="E11" i="48"/>
  <c r="C11" i="48"/>
  <c r="E10" i="48"/>
  <c r="C10" i="48"/>
  <c r="E9" i="48"/>
  <c r="C9" i="48"/>
  <c r="E8" i="48"/>
  <c r="C8" i="48"/>
  <c r="J12" i="57"/>
  <c r="J11" i="57"/>
  <c r="H12" i="57"/>
  <c r="H11" i="57"/>
  <c r="G42" i="31"/>
  <c r="F42" i="31"/>
  <c r="E42" i="31"/>
  <c r="G41" i="31"/>
  <c r="F41" i="31"/>
  <c r="E41" i="31"/>
  <c r="G40" i="31"/>
  <c r="F40" i="31"/>
  <c r="E40" i="31"/>
  <c r="G37" i="31"/>
  <c r="F37" i="31"/>
  <c r="E37" i="31"/>
  <c r="G36" i="31"/>
  <c r="F36" i="31"/>
  <c r="E36" i="31"/>
  <c r="G35" i="31"/>
  <c r="F35" i="31"/>
  <c r="E35" i="31"/>
  <c r="G32" i="31"/>
  <c r="F32" i="31"/>
  <c r="E32" i="31"/>
  <c r="G31" i="31"/>
  <c r="F31" i="31"/>
  <c r="E31" i="31"/>
  <c r="G30" i="31"/>
  <c r="F30" i="31"/>
  <c r="E30" i="31"/>
  <c r="G27" i="31"/>
  <c r="F27" i="31"/>
  <c r="E27" i="31"/>
  <c r="G26" i="31"/>
  <c r="F26" i="31"/>
  <c r="E26" i="31"/>
  <c r="G25" i="31"/>
  <c r="F25" i="31"/>
  <c r="E25" i="31"/>
  <c r="G22" i="31"/>
  <c r="F22" i="31"/>
  <c r="E22" i="31"/>
  <c r="G21" i="31"/>
  <c r="F21" i="31"/>
  <c r="E21" i="31"/>
  <c r="G20" i="31"/>
  <c r="F20" i="31"/>
  <c r="E20" i="31"/>
  <c r="G17" i="31"/>
  <c r="F17" i="31"/>
  <c r="E17" i="31"/>
  <c r="G16" i="31"/>
  <c r="F16" i="31"/>
  <c r="E16" i="31"/>
  <c r="G15" i="31"/>
  <c r="F15" i="31"/>
  <c r="E15" i="31"/>
  <c r="E12" i="31"/>
  <c r="E11" i="31"/>
  <c r="E10" i="31"/>
  <c r="D14" i="51"/>
  <c r="C14" i="51"/>
  <c r="C13" i="51"/>
  <c r="D12" i="51"/>
  <c r="C12" i="51"/>
  <c r="C11" i="51"/>
  <c r="D9" i="51"/>
  <c r="C9" i="51"/>
  <c r="D8" i="51"/>
  <c r="C8" i="51"/>
  <c r="C7" i="51"/>
  <c r="H42" i="39"/>
  <c r="G42" i="39"/>
  <c r="F42" i="39"/>
  <c r="H41" i="39"/>
  <c r="G41" i="39"/>
  <c r="F41" i="39"/>
  <c r="H40" i="39"/>
  <c r="G40" i="39"/>
  <c r="F40" i="39"/>
  <c r="H39" i="39"/>
  <c r="G39" i="39"/>
  <c r="F39" i="39"/>
  <c r="H37" i="39"/>
  <c r="G37" i="39"/>
  <c r="F37" i="39"/>
  <c r="H36" i="39"/>
  <c r="G36" i="39"/>
  <c r="F36" i="39"/>
  <c r="F14" i="50"/>
  <c r="E14" i="50"/>
  <c r="F11" i="50"/>
  <c r="E11" i="50"/>
  <c r="F7" i="50"/>
  <c r="E7" i="50"/>
  <c r="C9" i="28"/>
  <c r="C8" i="28"/>
  <c r="E27" i="29"/>
  <c r="D26" i="29"/>
  <c r="C25" i="29"/>
  <c r="E24" i="29"/>
  <c r="D24" i="29"/>
  <c r="C24" i="29"/>
  <c r="D23" i="29"/>
  <c r="F23" i="29" s="1"/>
  <c r="E22" i="29"/>
  <c r="D22" i="29"/>
  <c r="D21" i="29"/>
  <c r="G28" i="29"/>
  <c r="C19" i="29"/>
  <c r="C18" i="29"/>
  <c r="F12" i="57"/>
  <c r="F11" i="57"/>
  <c r="F10" i="57"/>
  <c r="E33" i="29"/>
  <c r="E32" i="29"/>
  <c r="E28" i="29"/>
  <c r="D33" i="29"/>
  <c r="D32" i="29"/>
  <c r="D28" i="29"/>
  <c r="C33" i="29"/>
  <c r="C28" i="29"/>
  <c r="E15" i="49" l="1"/>
  <c r="J24" i="39" l="1"/>
  <c r="J19" i="39"/>
  <c r="J29" i="39"/>
  <c r="J14" i="39"/>
  <c r="J20" i="39"/>
  <c r="J11" i="39"/>
  <c r="J12" i="39"/>
  <c r="J21" i="39"/>
  <c r="J30" i="39"/>
  <c r="J25" i="39"/>
  <c r="J15" i="39"/>
  <c r="J13" i="39"/>
  <c r="D16" i="60"/>
  <c r="D21" i="60"/>
  <c r="D20" i="60"/>
  <c r="D12" i="60"/>
  <c r="D13" i="60" l="1"/>
  <c r="D22" i="60"/>
  <c r="D14" i="60"/>
  <c r="D23" i="60"/>
  <c r="D15" i="60"/>
  <c r="D24" i="60"/>
  <c r="D19" i="60"/>
  <c r="A39" i="31" l="1"/>
  <c r="A38" i="60"/>
  <c r="A39" i="60" s="1"/>
  <c r="A40" i="60" s="1"/>
  <c r="A37" i="60"/>
  <c r="A36" i="60"/>
  <c r="F6" i="25"/>
  <c r="G6" i="25" s="1"/>
  <c r="E6" i="62"/>
  <c r="F6" i="29"/>
  <c r="G6" i="29" s="1"/>
  <c r="H6" i="38"/>
  <c r="E6" i="53"/>
  <c r="F6" i="53" s="1"/>
  <c r="G6" i="53" s="1"/>
  <c r="H6" i="53" s="1"/>
  <c r="I6" i="53" s="1"/>
  <c r="J6" i="53" s="1"/>
  <c r="K6" i="53" s="1"/>
  <c r="L6" i="53" s="1"/>
  <c r="M6" i="53" s="1"/>
  <c r="N6" i="53" s="1"/>
  <c r="D6" i="53"/>
  <c r="H6" i="35"/>
  <c r="D8" i="60"/>
  <c r="E6" i="60" l="1"/>
  <c r="M6" i="39"/>
  <c r="A1" i="65"/>
  <c r="A1" i="62" l="1"/>
  <c r="A1" i="63"/>
  <c r="H48" i="35" l="1"/>
  <c r="K48" i="35" s="1"/>
  <c r="H47" i="35"/>
  <c r="K47" i="35" s="1"/>
  <c r="H46" i="35"/>
  <c r="K46" i="35" s="1"/>
  <c r="H44" i="35"/>
  <c r="K44" i="35" s="1"/>
  <c r="H43" i="35"/>
  <c r="K43" i="35" s="1"/>
  <c r="H42" i="35"/>
  <c r="K42" i="35" s="1"/>
  <c r="H41" i="35"/>
  <c r="K41" i="35" s="1"/>
  <c r="H40" i="35"/>
  <c r="K40" i="35" s="1"/>
  <c r="H39" i="35"/>
  <c r="K39" i="35" s="1"/>
  <c r="H38" i="35"/>
  <c r="K38" i="35" s="1"/>
  <c r="K45" i="35"/>
  <c r="K37" i="35"/>
  <c r="H45" i="35"/>
  <c r="H37" i="35"/>
  <c r="H49" i="35" l="1"/>
  <c r="K49" i="35" s="1"/>
  <c r="H40" i="41" l="1"/>
  <c r="G6" i="35" l="1"/>
  <c r="H6" i="54" l="1"/>
  <c r="J16" i="39" l="1"/>
  <c r="D15" i="63" l="1"/>
  <c r="D14" i="63"/>
  <c r="D13" i="63"/>
  <c r="D12" i="63"/>
  <c r="D11" i="63"/>
  <c r="D10" i="63"/>
  <c r="D19" i="63"/>
  <c r="C35" i="60" s="1"/>
  <c r="D18" i="63"/>
  <c r="C34" i="60" s="1"/>
  <c r="D38" i="62"/>
  <c r="D37" i="62"/>
  <c r="D36" i="62"/>
  <c r="D29" i="62"/>
  <c r="D26" i="62"/>
  <c r="D24" i="62"/>
  <c r="C21" i="62"/>
  <c r="D14" i="62"/>
  <c r="D13" i="62"/>
  <c r="D12" i="62"/>
  <c r="D44" i="63"/>
  <c r="D43" i="63"/>
  <c r="D34" i="63"/>
  <c r="D33" i="63"/>
  <c r="D32" i="63"/>
  <c r="D29" i="63"/>
  <c r="C40" i="60" s="1"/>
  <c r="D23" i="63"/>
  <c r="C37" i="60" s="1"/>
  <c r="D22" i="63"/>
  <c r="D41" i="63"/>
  <c r="D40" i="63"/>
  <c r="D38" i="63"/>
  <c r="D37" i="63"/>
  <c r="D36" i="63"/>
  <c r="D28" i="63"/>
  <c r="D26" i="63"/>
  <c r="D24" i="63"/>
  <c r="C39" i="60" s="1"/>
  <c r="A10" i="63"/>
  <c r="A11" i="63" s="1"/>
  <c r="A12" i="63" s="1"/>
  <c r="A13" i="63" s="1"/>
  <c r="A14" i="63" s="1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A31" i="63" s="1"/>
  <c r="A32" i="63" s="1"/>
  <c r="A33" i="63" s="1"/>
  <c r="A34" i="63" s="1"/>
  <c r="A35" i="63" s="1"/>
  <c r="A36" i="63" s="1"/>
  <c r="A37" i="63" s="1"/>
  <c r="A38" i="63" s="1"/>
  <c r="A39" i="63" s="1"/>
  <c r="A40" i="63" s="1"/>
  <c r="A41" i="63" s="1"/>
  <c r="A42" i="63" s="1"/>
  <c r="A43" i="63" s="1"/>
  <c r="A44" i="63" s="1"/>
  <c r="D6" i="63"/>
  <c r="D44" i="62"/>
  <c r="D43" i="62"/>
  <c r="D41" i="62"/>
  <c r="D40" i="62"/>
  <c r="D34" i="62"/>
  <c r="D33" i="62"/>
  <c r="D32" i="62"/>
  <c r="D28" i="62"/>
  <c r="D23" i="62"/>
  <c r="D22" i="62"/>
  <c r="D19" i="62"/>
  <c r="D18" i="62"/>
  <c r="C17" i="62"/>
  <c r="D17" i="62" s="1"/>
  <c r="D15" i="62"/>
  <c r="D11" i="62"/>
  <c r="A11" i="62"/>
  <c r="A12" i="62" s="1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30" i="62" s="1"/>
  <c r="A29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D10" i="62"/>
  <c r="A10" i="62"/>
  <c r="D6" i="62"/>
  <c r="E41" i="62" l="1"/>
  <c r="E11" i="62"/>
  <c r="E12" i="62"/>
  <c r="E13" i="62"/>
  <c r="E14" i="62"/>
  <c r="E23" i="62"/>
  <c r="E22" i="62"/>
  <c r="E40" i="62"/>
  <c r="E10" i="62"/>
  <c r="E28" i="62"/>
  <c r="E38" i="62"/>
  <c r="E36" i="62"/>
  <c r="E18" i="62"/>
  <c r="E19" i="62"/>
  <c r="E37" i="62"/>
  <c r="E29" i="62"/>
  <c r="E33" i="62"/>
  <c r="E34" i="62"/>
  <c r="E15" i="62"/>
  <c r="E32" i="62"/>
  <c r="E43" i="62"/>
  <c r="E44" i="62"/>
  <c r="E24" i="62"/>
  <c r="E26" i="62"/>
  <c r="C21" i="63"/>
  <c r="C17" i="63"/>
  <c r="D17" i="63" s="1"/>
  <c r="E17" i="62" s="1"/>
  <c r="D21" i="62"/>
  <c r="D21" i="63" l="1"/>
  <c r="E21" i="62" s="1"/>
  <c r="D6" i="60" l="1"/>
  <c r="A20" i="53" l="1"/>
  <c r="A21" i="53" s="1"/>
  <c r="D11" i="25" l="1"/>
  <c r="D12" i="25"/>
  <c r="C27" i="31"/>
  <c r="C36" i="31"/>
  <c r="C31" i="31"/>
  <c r="C37" i="31"/>
  <c r="C35" i="31"/>
  <c r="C32" i="31"/>
  <c r="C30" i="31"/>
  <c r="C26" i="31"/>
  <c r="C25" i="31"/>
  <c r="C33" i="31" l="1"/>
  <c r="C38" i="31"/>
  <c r="C28" i="31"/>
  <c r="D27" i="31" l="1"/>
  <c r="D26" i="31"/>
  <c r="D25" i="31"/>
  <c r="D37" i="31"/>
  <c r="D36" i="31"/>
  <c r="D35" i="31"/>
  <c r="D32" i="31"/>
  <c r="D31" i="31"/>
  <c r="D30" i="31"/>
  <c r="K36" i="41"/>
  <c r="G36" i="41"/>
  <c r="G44" i="41" s="1"/>
  <c r="F36" i="41"/>
  <c r="K33" i="41"/>
  <c r="G33" i="41"/>
  <c r="F33" i="41"/>
  <c r="K6" i="41"/>
  <c r="L6" i="41" s="1"/>
  <c r="M6" i="41" s="1"/>
  <c r="G43" i="41" l="1"/>
  <c r="D21" i="25"/>
  <c r="H17" i="39"/>
  <c r="D17" i="25" l="1"/>
  <c r="G11" i="58"/>
  <c r="D15" i="25"/>
  <c r="D14" i="25"/>
  <c r="G17" i="39"/>
  <c r="D13" i="25" s="1"/>
  <c r="G22" i="39"/>
  <c r="H22" i="39"/>
  <c r="C10" i="54"/>
  <c r="C12" i="54"/>
  <c r="F6" i="38"/>
  <c r="G6" i="38" s="1"/>
  <c r="D6" i="38"/>
  <c r="E6" i="38" s="1"/>
  <c r="O21" i="38" l="1"/>
  <c r="O23" i="38"/>
  <c r="O19" i="38"/>
  <c r="O28" i="38"/>
  <c r="O29" i="38"/>
  <c r="O22" i="38"/>
  <c r="O24" i="38"/>
  <c r="O20" i="38"/>
  <c r="P21" i="38"/>
  <c r="P24" i="38"/>
  <c r="P28" i="38"/>
  <c r="P19" i="38"/>
  <c r="P23" i="38"/>
  <c r="P29" i="38"/>
  <c r="P20" i="38"/>
  <c r="P22" i="38"/>
  <c r="O30" i="38"/>
  <c r="O12" i="38"/>
  <c r="O11" i="38"/>
  <c r="P25" i="38" l="1"/>
  <c r="O25" i="38"/>
  <c r="P13" i="38"/>
  <c r="O13" i="38"/>
  <c r="P14" i="38"/>
  <c r="O14" i="38"/>
  <c r="P15" i="38"/>
  <c r="O15" i="38"/>
  <c r="P16" i="38"/>
  <c r="O16" i="38"/>
  <c r="P18" i="38"/>
  <c r="O18" i="38"/>
  <c r="P27" i="38"/>
  <c r="O27" i="38"/>
  <c r="P11" i="38"/>
  <c r="P12" i="38"/>
  <c r="P30" i="38"/>
  <c r="C11" i="54"/>
  <c r="F13" i="57" l="1"/>
  <c r="A18" i="49" l="1"/>
  <c r="A15" i="49"/>
  <c r="A16" i="49"/>
  <c r="A17" i="49" s="1"/>
  <c r="A11" i="60" l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l="1"/>
  <c r="A32" i="60" s="1"/>
  <c r="A33" i="60" s="1"/>
  <c r="A34" i="60" s="1"/>
  <c r="A35" i="60" l="1"/>
  <c r="D19" i="25" l="1"/>
  <c r="D18" i="25"/>
  <c r="J10" i="39"/>
  <c r="J18" i="39" l="1"/>
  <c r="J23" i="39"/>
  <c r="J28" i="39"/>
  <c r="J32" i="39"/>
  <c r="C41" i="31"/>
  <c r="F43" i="31"/>
  <c r="C40" i="31"/>
  <c r="E43" i="31"/>
  <c r="G43" i="31"/>
  <c r="C42" i="31"/>
  <c r="F18" i="49"/>
  <c r="C43" i="31" l="1"/>
  <c r="M22" i="39"/>
  <c r="D43" i="31" l="1"/>
  <c r="D42" i="31"/>
  <c r="D41" i="31"/>
  <c r="D40" i="31"/>
  <c r="F17" i="39"/>
  <c r="L22" i="39"/>
  <c r="M17" i="39"/>
  <c r="L17" i="39"/>
  <c r="K22" i="39"/>
  <c r="A1" i="16" l="1"/>
  <c r="F8" i="51" l="1"/>
  <c r="F7" i="51" l="1"/>
  <c r="E27" i="16" l="1"/>
  <c r="E18" i="16" l="1"/>
  <c r="E12" i="16"/>
  <c r="E17" i="16"/>
  <c r="E21" i="16"/>
  <c r="E26" i="16"/>
  <c r="E13" i="16"/>
  <c r="E22" i="16"/>
  <c r="E15" i="16"/>
  <c r="E24" i="16"/>
  <c r="E20" i="16"/>
  <c r="E28" i="16"/>
  <c r="E14" i="16"/>
  <c r="E23" i="16"/>
  <c r="E19" i="16"/>
  <c r="E16" i="49" l="1"/>
  <c r="E18" i="49"/>
  <c r="E17" i="49"/>
  <c r="F11" i="51" l="1"/>
  <c r="D7" i="57" l="1"/>
  <c r="E7" i="57" s="1"/>
  <c r="D6" i="59" l="1"/>
  <c r="F8" i="59" s="1"/>
  <c r="A1" i="59"/>
  <c r="A10" i="58"/>
  <c r="D6" i="58"/>
  <c r="A1" i="58"/>
  <c r="E6" i="59" l="1"/>
  <c r="G8" i="59" s="1"/>
  <c r="E6" i="58"/>
  <c r="F6" i="58" s="1"/>
  <c r="G6" i="58" s="1"/>
  <c r="A11" i="58"/>
  <c r="F6" i="59" l="1"/>
  <c r="H6" i="58"/>
  <c r="I6" i="58" s="1"/>
  <c r="G6" i="59"/>
  <c r="A12" i="58"/>
  <c r="I8" i="58" l="1"/>
  <c r="E22" i="48" l="1"/>
  <c r="G39" i="40" l="1"/>
  <c r="G38" i="40"/>
  <c r="G42" i="40" s="1"/>
  <c r="F35" i="40"/>
  <c r="K10" i="53"/>
  <c r="H10" i="53"/>
  <c r="K15" i="53"/>
  <c r="I15" i="53"/>
  <c r="K11" i="53"/>
  <c r="H11" i="53"/>
  <c r="F18" i="54"/>
  <c r="F12" i="54"/>
  <c r="F37" i="40"/>
  <c r="G34" i="40"/>
  <c r="C12" i="31"/>
  <c r="C11" i="31"/>
  <c r="C10" i="31"/>
  <c r="E13" i="25"/>
  <c r="E21" i="25"/>
  <c r="F17" i="29"/>
  <c r="F13" i="29"/>
  <c r="F43" i="48" s="1"/>
  <c r="F22" i="48"/>
  <c r="F11" i="29"/>
  <c r="E6" i="24"/>
  <c r="E9" i="24"/>
  <c r="J13" i="57"/>
  <c r="K13" i="57" s="1"/>
  <c r="H13" i="57"/>
  <c r="I13" i="57" s="1"/>
  <c r="A11" i="16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E7" i="16"/>
  <c r="C6" i="35"/>
  <c r="A11" i="53"/>
  <c r="A12" i="53" s="1"/>
  <c r="A13" i="53" s="1"/>
  <c r="A14" i="53" s="1"/>
  <c r="A15" i="53" s="1"/>
  <c r="A16" i="53" s="1"/>
  <c r="A17" i="53" s="1"/>
  <c r="A18" i="53" s="1"/>
  <c r="A19" i="53" s="1"/>
  <c r="A8" i="28"/>
  <c r="A9" i="28" s="1"/>
  <c r="C13" i="57"/>
  <c r="F7" i="57"/>
  <c r="E13" i="57"/>
  <c r="D13" i="57"/>
  <c r="F16" i="51"/>
  <c r="A1" i="41"/>
  <c r="A1" i="60" s="1"/>
  <c r="A1" i="40"/>
  <c r="A1" i="57"/>
  <c r="C48" i="31"/>
  <c r="D45" i="31" s="1"/>
  <c r="C47" i="31"/>
  <c r="C46" i="31"/>
  <c r="C45" i="31"/>
  <c r="C50" i="31"/>
  <c r="E34" i="48"/>
  <c r="E43" i="48"/>
  <c r="C40" i="40"/>
  <c r="A10" i="31"/>
  <c r="A11" i="31" s="1"/>
  <c r="A12" i="31" s="1"/>
  <c r="A10" i="54"/>
  <c r="A11" i="54" s="1"/>
  <c r="A12" i="54" s="1"/>
  <c r="A13" i="54" s="1"/>
  <c r="A14" i="54" s="1"/>
  <c r="A15" i="54" s="1"/>
  <c r="A16" i="54" s="1"/>
  <c r="A17" i="54" s="1"/>
  <c r="A18" i="54" s="1"/>
  <c r="D6" i="39"/>
  <c r="F12" i="29"/>
  <c r="I6" i="38"/>
  <c r="A10" i="35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50" i="35" s="1"/>
  <c r="A51" i="35" s="1"/>
  <c r="A52" i="35" s="1"/>
  <c r="D6" i="41"/>
  <c r="E6" i="41" s="1"/>
  <c r="F6" i="41" s="1"/>
  <c r="G6" i="41" s="1"/>
  <c r="H6" i="41" s="1"/>
  <c r="I6" i="41" s="1"/>
  <c r="J6" i="41" s="1"/>
  <c r="A10" i="41"/>
  <c r="A11" i="41" s="1"/>
  <c r="A12" i="41" s="1"/>
  <c r="A13" i="41" s="1"/>
  <c r="A14" i="41" s="1"/>
  <c r="A15" i="41" s="1"/>
  <c r="E11" i="25"/>
  <c r="E17" i="25"/>
  <c r="A10" i="39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10" i="38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D6" i="40"/>
  <c r="E6" i="40" s="1"/>
  <c r="F6" i="40" s="1"/>
  <c r="A8" i="51"/>
  <c r="A9" i="51" s="1"/>
  <c r="A10" i="51" s="1"/>
  <c r="A12" i="51" s="1"/>
  <c r="A13" i="51" s="1"/>
  <c r="A14" i="51" s="1"/>
  <c r="A11" i="40"/>
  <c r="A12" i="40" s="1"/>
  <c r="A13" i="40" s="1"/>
  <c r="A14" i="40" s="1"/>
  <c r="A15" i="40" s="1"/>
  <c r="A16" i="40" s="1"/>
  <c r="A10" i="29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10" i="25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11" i="46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D6" i="54"/>
  <c r="A1" i="35"/>
  <c r="A2" i="35"/>
  <c r="D6" i="51"/>
  <c r="E6" i="51" s="1"/>
  <c r="F6" i="51" s="1"/>
  <c r="A1" i="51"/>
  <c r="A10" i="34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1" i="50"/>
  <c r="A1" i="49"/>
  <c r="A8" i="24"/>
  <c r="A9" i="24" s="1"/>
  <c r="A10" i="24" s="1"/>
  <c r="D6" i="29"/>
  <c r="E6" i="29" s="1"/>
  <c r="A1" i="25"/>
  <c r="D6" i="25"/>
  <c r="E6" i="25" s="1"/>
  <c r="A1" i="24"/>
  <c r="A1" i="29"/>
  <c r="A1" i="38"/>
  <c r="A1" i="31"/>
  <c r="D6" i="31"/>
  <c r="A1" i="34"/>
  <c r="A1" i="48"/>
  <c r="A1" i="39"/>
  <c r="E6" i="39" l="1"/>
  <c r="F6" i="39" s="1"/>
  <c r="G6" i="39" s="1"/>
  <c r="H6" i="39" s="1"/>
  <c r="I6" i="39" s="1"/>
  <c r="J6" i="39" s="1"/>
  <c r="K6" i="39" s="1"/>
  <c r="L6" i="39" s="1"/>
  <c r="J6" i="38"/>
  <c r="K6" i="38" s="1"/>
  <c r="L6" i="38" s="1"/>
  <c r="M6" i="38" s="1"/>
  <c r="N6" i="38" s="1"/>
  <c r="O6" i="38" s="1"/>
  <c r="P6" i="38" s="1"/>
  <c r="D46" i="31"/>
  <c r="A1" i="53"/>
  <c r="D47" i="31"/>
  <c r="D48" i="31" s="1"/>
  <c r="C10" i="24"/>
  <c r="I11" i="57"/>
  <c r="I12" i="57"/>
  <c r="I10" i="57"/>
  <c r="A13" i="3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15" i="51"/>
  <c r="A16" i="51" s="1"/>
  <c r="A17" i="51" s="1"/>
  <c r="A11" i="24"/>
  <c r="A12" i="24" s="1"/>
  <c r="A13" i="24" s="1"/>
  <c r="A14" i="24" s="1"/>
  <c r="C11" i="24"/>
  <c r="G7" i="53"/>
  <c r="K10" i="57"/>
  <c r="K11" i="57"/>
  <c r="A55" i="35"/>
  <c r="A56" i="35" s="1"/>
  <c r="A57" i="35" s="1"/>
  <c r="A59" i="35" s="1"/>
  <c r="A60" i="35" s="1"/>
  <c r="A61" i="35" s="1"/>
  <c r="A62" i="35" s="1"/>
  <c r="A63" i="35" s="1"/>
  <c r="K12" i="57"/>
  <c r="E6" i="54"/>
  <c r="F6" i="54" s="1"/>
  <c r="G7" i="57"/>
  <c r="H7" i="57" s="1"/>
  <c r="I7" i="57" s="1"/>
  <c r="J7" i="57" s="1"/>
  <c r="K7" i="57" s="1"/>
  <c r="A1" i="46"/>
  <c r="C35" i="40"/>
  <c r="F15" i="49"/>
  <c r="F16" i="49" s="1"/>
  <c r="E13" i="24" s="1"/>
  <c r="F10" i="29"/>
  <c r="F18" i="29"/>
  <c r="C36" i="40"/>
  <c r="A17" i="40"/>
  <c r="A18" i="40" s="1"/>
  <c r="A19" i="40" s="1"/>
  <c r="A20" i="40" s="1"/>
  <c r="A21" i="40" s="1"/>
  <c r="A22" i="40" s="1"/>
  <c r="A23" i="40" s="1"/>
  <c r="A24" i="40" s="1"/>
  <c r="A25" i="40" s="1"/>
  <c r="C11" i="58"/>
  <c r="D10" i="58"/>
  <c r="F15" i="54"/>
  <c r="C9" i="58"/>
  <c r="C10" i="58"/>
  <c r="D9" i="58"/>
  <c r="F17" i="49"/>
  <c r="E6" i="50"/>
  <c r="E14" i="25"/>
  <c r="F10" i="54"/>
  <c r="A29" i="29"/>
  <c r="A30" i="29" s="1"/>
  <c r="A31" i="29" s="1"/>
  <c r="A32" i="29" s="1"/>
  <c r="A33" i="29" s="1"/>
  <c r="A34" i="29" s="1"/>
  <c r="F24" i="29"/>
  <c r="C34" i="48"/>
  <c r="F6" i="50"/>
  <c r="E15" i="50"/>
  <c r="E18" i="25"/>
  <c r="F15" i="29"/>
  <c r="F31" i="29"/>
  <c r="F11" i="54"/>
  <c r="F26" i="29"/>
  <c r="D13" i="24"/>
  <c r="C39" i="40"/>
  <c r="C12" i="25"/>
  <c r="C15" i="31"/>
  <c r="F12" i="51"/>
  <c r="C22" i="48"/>
  <c r="F11" i="48"/>
  <c r="F13" i="48"/>
  <c r="A27" i="39"/>
  <c r="A28" i="39" s="1"/>
  <c r="A29" i="39" s="1"/>
  <c r="A30" i="39" s="1"/>
  <c r="A31" i="39" s="1"/>
  <c r="A32" i="39" s="1"/>
  <c r="D6" i="35"/>
  <c r="E6" i="35" s="1"/>
  <c r="F6" i="35" s="1"/>
  <c r="I6" i="35" s="1"/>
  <c r="J6" i="35" s="1"/>
  <c r="K6" i="35" s="1"/>
  <c r="A16" i="4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2" i="41" s="1"/>
  <c r="A33" i="41" s="1"/>
  <c r="A34" i="41" s="1"/>
  <c r="A35" i="41" s="1"/>
  <c r="A36" i="41" s="1"/>
  <c r="A37" i="41" s="1"/>
  <c r="A38" i="41" s="1"/>
  <c r="A39" i="41" s="1"/>
  <c r="A40" i="41" s="1"/>
  <c r="A1" i="54"/>
  <c r="G6" i="40"/>
  <c r="H6" i="40" s="1"/>
  <c r="G13" i="57"/>
  <c r="F17" i="51"/>
  <c r="C13" i="31"/>
  <c r="C17" i="31"/>
  <c r="E10" i="50" s="1"/>
  <c r="D15" i="51"/>
  <c r="E14" i="24"/>
  <c r="D10" i="25"/>
  <c r="C16" i="31"/>
  <c r="F10" i="50" s="1"/>
  <c r="C20" i="31"/>
  <c r="F13" i="50"/>
  <c r="F17" i="50" s="1"/>
  <c r="E18" i="24" s="1"/>
  <c r="D19" i="24"/>
  <c r="C15" i="51"/>
  <c r="C22" i="31"/>
  <c r="F9" i="51"/>
  <c r="F13" i="51"/>
  <c r="F21" i="48"/>
  <c r="F12" i="48"/>
  <c r="F19" i="29"/>
  <c r="F27" i="29"/>
  <c r="F14" i="29"/>
  <c r="F30" i="29"/>
  <c r="F14" i="51"/>
  <c r="F34" i="48"/>
  <c r="F17" i="54"/>
  <c r="D14" i="24"/>
  <c r="F25" i="29"/>
  <c r="C21" i="31"/>
  <c r="F21" i="29"/>
  <c r="C34" i="29"/>
  <c r="C9" i="59" s="1"/>
  <c r="D20" i="29"/>
  <c r="F15" i="50"/>
  <c r="C38" i="40"/>
  <c r="C11" i="25"/>
  <c r="F33" i="29"/>
  <c r="F32" i="29"/>
  <c r="E19" i="25" s="1"/>
  <c r="F28" i="29"/>
  <c r="C43" i="48"/>
  <c r="F19" i="48"/>
  <c r="F20" i="48"/>
  <c r="F16" i="48"/>
  <c r="F9" i="48"/>
  <c r="F10" i="48"/>
  <c r="F14" i="48"/>
  <c r="F8" i="48"/>
  <c r="F15" i="48"/>
  <c r="F18" i="48"/>
  <c r="F17" i="48"/>
  <c r="E15" i="25"/>
  <c r="D10" i="31" l="1"/>
  <c r="D11" i="31"/>
  <c r="D12" i="31"/>
  <c r="A40" i="3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29" i="31"/>
  <c r="A30" i="31" s="1"/>
  <c r="A31" i="31" s="1"/>
  <c r="A32" i="31" s="1"/>
  <c r="A33" i="31" s="1"/>
  <c r="A34" i="31" s="1"/>
  <c r="A35" i="31" s="1"/>
  <c r="A36" i="31" s="1"/>
  <c r="A37" i="31" s="1"/>
  <c r="A38" i="31" s="1"/>
  <c r="E15" i="24"/>
  <c r="G8" i="54"/>
  <c r="H8" i="54"/>
  <c r="G6" i="54"/>
  <c r="L7" i="53"/>
  <c r="A58" i="35"/>
  <c r="C15" i="24"/>
  <c r="A15" i="24"/>
  <c r="C43" i="40"/>
  <c r="F34" i="41" s="1"/>
  <c r="F13" i="54"/>
  <c r="G10" i="57"/>
  <c r="F30" i="48"/>
  <c r="G11" i="57"/>
  <c r="G12" i="57"/>
  <c r="A26" i="40"/>
  <c r="A27" i="40" s="1"/>
  <c r="A28" i="40" s="1"/>
  <c r="A29" i="40" s="1"/>
  <c r="A30" i="40" s="1"/>
  <c r="A31" i="40" s="1"/>
  <c r="A33" i="40" s="1"/>
  <c r="A34" i="40" s="1"/>
  <c r="A35" i="40" s="1"/>
  <c r="A36" i="40" s="1"/>
  <c r="A37" i="40" s="1"/>
  <c r="A38" i="40" s="1"/>
  <c r="A39" i="40" s="1"/>
  <c r="A40" i="40" s="1"/>
  <c r="A41" i="40" s="1"/>
  <c r="E13" i="50"/>
  <c r="E17" i="50" s="1"/>
  <c r="D18" i="24" s="1"/>
  <c r="D24" i="24" s="1"/>
  <c r="E16" i="50"/>
  <c r="D17" i="24" s="1"/>
  <c r="C12" i="58"/>
  <c r="C23" i="31"/>
  <c r="F15" i="51"/>
  <c r="F16" i="50"/>
  <c r="E17" i="24" s="1"/>
  <c r="E20" i="24"/>
  <c r="D15" i="24"/>
  <c r="F31" i="48"/>
  <c r="F32" i="48"/>
  <c r="F26" i="48"/>
  <c r="F29" i="48"/>
  <c r="F24" i="48"/>
  <c r="F25" i="48"/>
  <c r="F28" i="48"/>
  <c r="F27" i="48"/>
  <c r="I6" i="40"/>
  <c r="J6" i="40" s="1"/>
  <c r="K6" i="40" s="1"/>
  <c r="L6" i="40" s="1"/>
  <c r="D20" i="24"/>
  <c r="E19" i="24"/>
  <c r="E24" i="24" s="1"/>
  <c r="C18" i="31"/>
  <c r="F33" i="48"/>
  <c r="D21" i="31" l="1"/>
  <c r="D20" i="31"/>
  <c r="D22" i="31"/>
  <c r="D17" i="31"/>
  <c r="D16" i="31"/>
  <c r="D15" i="31"/>
  <c r="F35" i="41"/>
  <c r="F42" i="41" s="1"/>
  <c r="F43" i="41" s="1"/>
  <c r="A16" i="24"/>
  <c r="A17" i="24" s="1"/>
  <c r="M7" i="53"/>
  <c r="D25" i="24"/>
  <c r="D27" i="24" s="1"/>
  <c r="E25" i="24"/>
  <c r="E27" i="24" s="1"/>
  <c r="E21" i="24"/>
  <c r="E23" i="24" s="1"/>
  <c r="D21" i="24"/>
  <c r="D8" i="24" s="1"/>
  <c r="E26" i="24"/>
  <c r="D26" i="24"/>
  <c r="E8" i="24" l="1"/>
  <c r="E10" i="24" s="1"/>
  <c r="E11" i="24" s="1"/>
  <c r="A18" i="24"/>
  <c r="A19" i="24" s="1"/>
  <c r="D28" i="24"/>
  <c r="E28" i="24"/>
  <c r="D23" i="24"/>
  <c r="D10" i="24"/>
  <c r="D11" i="24" s="1"/>
  <c r="A20" i="24" l="1"/>
  <c r="C24" i="24"/>
  <c r="C25" i="24" l="1"/>
  <c r="A21" i="24"/>
  <c r="C21" i="24"/>
  <c r="A22" i="24" l="1"/>
  <c r="A23" i="24" s="1"/>
  <c r="A24" i="24" s="1"/>
  <c r="C23" i="24"/>
  <c r="C8" i="24"/>
  <c r="A25" i="24" l="1"/>
  <c r="C26" i="24"/>
  <c r="A26" i="24" l="1"/>
  <c r="A27" i="24" s="1"/>
  <c r="A28" i="24" s="1"/>
  <c r="C27" i="24"/>
  <c r="C28" i="24"/>
  <c r="I22" i="39" l="1"/>
  <c r="D17" i="39"/>
  <c r="D22" i="39"/>
  <c r="F22" i="39"/>
  <c r="G10" i="58"/>
  <c r="I17" i="39"/>
  <c r="C17" i="39"/>
  <c r="C22" i="39"/>
  <c r="E17" i="39"/>
  <c r="K17" i="39"/>
  <c r="E22" i="39"/>
  <c r="G9" i="58"/>
  <c r="J26" i="39"/>
  <c r="J22" i="39" l="1"/>
  <c r="J17" i="39"/>
  <c r="G12" i="58"/>
  <c r="E9" i="59"/>
  <c r="G9" i="59" s="1"/>
  <c r="H9" i="58" s="1"/>
  <c r="I9" i="58" s="1"/>
  <c r="D22" i="25"/>
  <c r="D24" i="25" s="1"/>
  <c r="J31" i="39"/>
  <c r="D10" i="54"/>
  <c r="D12" i="54"/>
  <c r="D11" i="54" l="1"/>
  <c r="E12" i="54" l="1"/>
  <c r="E11" i="54"/>
  <c r="E10" i="54"/>
  <c r="G10" i="54" l="1"/>
  <c r="G15" i="54"/>
  <c r="G11" i="54"/>
  <c r="G17" i="54"/>
  <c r="H18" i="54"/>
  <c r="G12" i="54"/>
  <c r="H13" i="54"/>
  <c r="G18" i="54"/>
  <c r="G13" i="54" l="1"/>
  <c r="H63" i="35" l="1"/>
  <c r="K63" i="35" s="1"/>
  <c r="J56" i="35" l="1"/>
  <c r="J66" i="35" s="1"/>
  <c r="J59" i="35"/>
  <c r="J67" i="35" s="1"/>
  <c r="C37" i="40" l="1"/>
  <c r="C34" i="40"/>
  <c r="C44" i="40" s="1"/>
  <c r="C18" i="25" l="1"/>
  <c r="D34" i="48"/>
  <c r="D43" i="48"/>
  <c r="L37" i="40"/>
  <c r="L41" i="40" s="1"/>
  <c r="C13" i="25"/>
  <c r="I37" i="40"/>
  <c r="I45" i="40" s="1"/>
  <c r="D32" i="48"/>
  <c r="C17" i="25"/>
  <c r="D22" i="48"/>
  <c r="F56" i="35"/>
  <c r="F66" i="35" s="1"/>
  <c r="D36" i="48" l="1"/>
  <c r="D26" i="48"/>
  <c r="D28" i="48"/>
  <c r="D29" i="48"/>
  <c r="D30" i="48"/>
  <c r="D24" i="48"/>
  <c r="D33" i="48"/>
  <c r="D25" i="48"/>
  <c r="D31" i="48"/>
  <c r="C14" i="25"/>
  <c r="D11" i="58"/>
  <c r="C19" i="25"/>
  <c r="D27" i="48"/>
  <c r="D38" i="48"/>
  <c r="D37" i="48"/>
  <c r="D40" i="48"/>
  <c r="D41" i="48"/>
  <c r="D39" i="48"/>
  <c r="D42" i="48"/>
  <c r="C15" i="25"/>
  <c r="H28" i="35"/>
  <c r="C21" i="25"/>
  <c r="F11" i="53"/>
  <c r="H34" i="40"/>
  <c r="C10" i="25"/>
  <c r="H27" i="35"/>
  <c r="D18" i="48"/>
  <c r="D16" i="48"/>
  <c r="D19" i="48"/>
  <c r="D12" i="48"/>
  <c r="D21" i="48"/>
  <c r="D20" i="48"/>
  <c r="D10" i="48"/>
  <c r="D9" i="48"/>
  <c r="D14" i="48"/>
  <c r="D8" i="48"/>
  <c r="D11" i="48"/>
  <c r="D17" i="48"/>
  <c r="D15" i="48"/>
  <c r="D13" i="48"/>
  <c r="H36" i="40" l="1"/>
  <c r="H43" i="40" s="1"/>
  <c r="H44" i="40" s="1"/>
  <c r="D12" i="58"/>
  <c r="C22" i="25"/>
  <c r="C24" i="25" s="1"/>
  <c r="K27" i="35"/>
  <c r="K28" i="35"/>
  <c r="E37" i="40"/>
  <c r="E45" i="40" s="1"/>
  <c r="F10" i="53" l="1"/>
  <c r="E34" i="40"/>
  <c r="E44" i="40" s="1"/>
  <c r="F15" i="53"/>
  <c r="J34" i="40"/>
  <c r="J36" i="40" s="1"/>
  <c r="J43" i="40" s="1"/>
  <c r="J44" i="40" s="1"/>
  <c r="F16" i="53"/>
  <c r="J37" i="40"/>
  <c r="J45" i="40" s="1"/>
  <c r="C33" i="41"/>
  <c r="C43" i="41" s="1"/>
  <c r="G37" i="40" l="1"/>
  <c r="G45" i="40" s="1"/>
  <c r="F34" i="40"/>
  <c r="D9" i="59"/>
  <c r="F9" i="59" s="1"/>
  <c r="E9" i="58" s="1"/>
  <c r="E33" i="41"/>
  <c r="E43" i="41" s="1"/>
  <c r="D36" i="41"/>
  <c r="C36" i="41"/>
  <c r="C44" i="41" s="1"/>
  <c r="E36" i="41"/>
  <c r="E44" i="41" s="1"/>
  <c r="D33" i="41"/>
  <c r="F36" i="40" l="1"/>
  <c r="F43" i="40" s="1"/>
  <c r="F44" i="40" s="1"/>
  <c r="G31" i="40"/>
  <c r="F31" i="40"/>
  <c r="F9" i="58"/>
  <c r="D20" i="53" l="1"/>
  <c r="F19" i="35" s="1"/>
  <c r="H24" i="35"/>
  <c r="H32" i="35"/>
  <c r="K32" i="35" l="1"/>
  <c r="F59" i="35"/>
  <c r="F20" i="35"/>
  <c r="D13" i="53"/>
  <c r="N20" i="53"/>
  <c r="F62" i="35" l="1"/>
  <c r="F61" i="35"/>
  <c r="H15" i="35"/>
  <c r="K15" i="35" s="1"/>
  <c r="H14" i="35"/>
  <c r="K14" i="35" s="1"/>
  <c r="H31" i="35"/>
  <c r="K31" i="35" s="1"/>
  <c r="H10" i="35"/>
  <c r="K10" i="35" s="1"/>
  <c r="H33" i="35"/>
  <c r="K33" i="35" s="1"/>
  <c r="H23" i="35"/>
  <c r="K23" i="35" s="1"/>
  <c r="K24" i="35"/>
  <c r="D34" i="35"/>
  <c r="G11" i="53"/>
  <c r="C34" i="35"/>
  <c r="G15" i="53"/>
  <c r="H22" i="35"/>
  <c r="D21" i="53"/>
  <c r="G16" i="53"/>
  <c r="D16" i="35"/>
  <c r="C59" i="35"/>
  <c r="C67" i="35" s="1"/>
  <c r="C14" i="53"/>
  <c r="D19" i="53"/>
  <c r="H13" i="35"/>
  <c r="D34" i="60"/>
  <c r="D40" i="60"/>
  <c r="D39" i="60"/>
  <c r="D37" i="60"/>
  <c r="D35" i="60"/>
  <c r="H21" i="35"/>
  <c r="H29" i="35"/>
  <c r="G10" i="53"/>
  <c r="C16" i="35"/>
  <c r="F64" i="35" l="1"/>
  <c r="F67" i="35" s="1"/>
  <c r="H62" i="35"/>
  <c r="K62" i="35" s="1"/>
  <c r="H39" i="41" s="1"/>
  <c r="H16" i="35"/>
  <c r="K16" i="35" s="1"/>
  <c r="H50" i="35"/>
  <c r="K50" i="35" s="1"/>
  <c r="H36" i="35"/>
  <c r="K36" i="35" s="1"/>
  <c r="H35" i="35"/>
  <c r="K35" i="35" s="1"/>
  <c r="H12" i="35"/>
  <c r="K12" i="35" s="1"/>
  <c r="K21" i="35"/>
  <c r="H11" i="35"/>
  <c r="K11" i="35" s="1"/>
  <c r="K22" i="35"/>
  <c r="H34" i="35"/>
  <c r="K34" i="35" s="1"/>
  <c r="K29" i="35"/>
  <c r="K13" i="35"/>
  <c r="J15" i="53"/>
  <c r="L15" i="53"/>
  <c r="I57" i="35" s="1"/>
  <c r="H33" i="41"/>
  <c r="E14" i="53"/>
  <c r="D20" i="35"/>
  <c r="H20" i="35" s="1"/>
  <c r="N19" i="53"/>
  <c r="D12" i="53"/>
  <c r="D55" i="35" s="1"/>
  <c r="L16" i="53"/>
  <c r="J16" i="53"/>
  <c r="L10" i="53"/>
  <c r="J10" i="53"/>
  <c r="E16" i="53"/>
  <c r="N21" i="53"/>
  <c r="I20" i="35"/>
  <c r="L11" i="53"/>
  <c r="E60" i="35" s="1"/>
  <c r="J11" i="53"/>
  <c r="E18" i="35" s="1"/>
  <c r="J33" i="41"/>
  <c r="D30" i="60"/>
  <c r="I18" i="35" l="1"/>
  <c r="C18" i="35"/>
  <c r="C57" i="35"/>
  <c r="E58" i="35"/>
  <c r="E57" i="35"/>
  <c r="F33" i="60"/>
  <c r="L33" i="41"/>
  <c r="J36" i="41"/>
  <c r="I19" i="35"/>
  <c r="M10" i="53"/>
  <c r="D18" i="35" s="1"/>
  <c r="C58" i="35"/>
  <c r="D19" i="35"/>
  <c r="F36" i="60"/>
  <c r="M15" i="53"/>
  <c r="I59" i="35" s="1"/>
  <c r="I58" i="35"/>
  <c r="I65" i="35" s="1"/>
  <c r="K20" i="35"/>
  <c r="H36" i="41"/>
  <c r="L36" i="41" s="1"/>
  <c r="E19" i="35"/>
  <c r="E61" i="35"/>
  <c r="E64" i="35" s="1"/>
  <c r="M11" i="53"/>
  <c r="N11" i="53" s="1"/>
  <c r="E56" i="35"/>
  <c r="D28" i="60"/>
  <c r="D29" i="60"/>
  <c r="H57" i="35" l="1"/>
  <c r="E65" i="35"/>
  <c r="E66" i="35" s="1"/>
  <c r="C65" i="35"/>
  <c r="E59" i="35"/>
  <c r="E67" i="35" s="1"/>
  <c r="H58" i="35"/>
  <c r="K58" i="35" s="1"/>
  <c r="H19" i="35"/>
  <c r="N14" i="53"/>
  <c r="N12" i="53"/>
  <c r="D60" i="35"/>
  <c r="D61" i="35"/>
  <c r="J39" i="41"/>
  <c r="J40" i="41"/>
  <c r="N15" i="53"/>
  <c r="D59" i="35"/>
  <c r="D25" i="35"/>
  <c r="N10" i="53"/>
  <c r="I56" i="35"/>
  <c r="I66" i="35" s="1"/>
  <c r="I25" i="35"/>
  <c r="C56" i="35"/>
  <c r="C25" i="35"/>
  <c r="C51" i="35" s="1"/>
  <c r="N16" i="53"/>
  <c r="D27" i="60"/>
  <c r="C66" i="35" l="1"/>
  <c r="D64" i="35"/>
  <c r="D67" i="35" s="1"/>
  <c r="K57" i="35"/>
  <c r="H65" i="35"/>
  <c r="H60" i="35"/>
  <c r="H61" i="35"/>
  <c r="D11" i="60"/>
  <c r="N18" i="53"/>
  <c r="H25" i="35"/>
  <c r="K25" i="35" s="1"/>
  <c r="D51" i="35"/>
  <c r="D52" i="35" s="1"/>
  <c r="H18" i="35"/>
  <c r="H56" i="35" s="1"/>
  <c r="H35" i="41"/>
  <c r="J35" i="41" s="1"/>
  <c r="N17" i="53"/>
  <c r="D30" i="62"/>
  <c r="D30" i="63"/>
  <c r="C36" i="60"/>
  <c r="D36" i="60"/>
  <c r="C33" i="60"/>
  <c r="D18" i="60"/>
  <c r="D33" i="60" s="1"/>
  <c r="K19" i="35"/>
  <c r="K59" i="35" s="1"/>
  <c r="H59" i="35"/>
  <c r="D25" i="60"/>
  <c r="I61" i="35"/>
  <c r="I60" i="35"/>
  <c r="I33" i="41"/>
  <c r="I36" i="41"/>
  <c r="H66" i="35" l="1"/>
  <c r="I64" i="35"/>
  <c r="I67" i="35" s="1"/>
  <c r="H64" i="35"/>
  <c r="H67" i="35" s="1"/>
  <c r="K65" i="35"/>
  <c r="H34" i="41"/>
  <c r="K61" i="35"/>
  <c r="H38" i="41" s="1"/>
  <c r="J38" i="41" s="1"/>
  <c r="K60" i="35"/>
  <c r="H51" i="35"/>
  <c r="K51" i="35" s="1"/>
  <c r="K18" i="35"/>
  <c r="K56" i="35" s="1"/>
  <c r="K66" i="35" s="1"/>
  <c r="L35" i="41"/>
  <c r="F35" i="60" s="1"/>
  <c r="E30" i="62"/>
  <c r="D27" i="63"/>
  <c r="C25" i="63"/>
  <c r="I35" i="41"/>
  <c r="I34" i="41"/>
  <c r="C52" i="35"/>
  <c r="D27" i="62"/>
  <c r="C25" i="62"/>
  <c r="I42" i="41" l="1"/>
  <c r="H37" i="41"/>
  <c r="K64" i="35"/>
  <c r="K67" i="35" s="1"/>
  <c r="J34" i="41"/>
  <c r="J42" i="41" s="1"/>
  <c r="J43" i="41" s="1"/>
  <c r="H42" i="41"/>
  <c r="H43" i="41" s="1"/>
  <c r="L34" i="41"/>
  <c r="F34" i="60" s="1"/>
  <c r="M35" i="41"/>
  <c r="E35" i="60" s="1"/>
  <c r="M34" i="41"/>
  <c r="E34" i="60" s="1"/>
  <c r="E27" i="62"/>
  <c r="H52" i="35"/>
  <c r="K52" i="35" s="1"/>
  <c r="D25" i="63"/>
  <c r="C38" i="60" s="1"/>
  <c r="D38" i="60" s="1"/>
  <c r="C20" i="63"/>
  <c r="D25" i="62"/>
  <c r="C20" i="62"/>
  <c r="D20" i="62" s="1"/>
  <c r="E36" i="60"/>
  <c r="M36" i="41"/>
  <c r="E33" i="60"/>
  <c r="M33" i="41"/>
  <c r="J37" i="41" l="1"/>
  <c r="J41" i="41" s="1"/>
  <c r="J44" i="41" s="1"/>
  <c r="H41" i="41"/>
  <c r="H44" i="41" s="1"/>
  <c r="E25" i="62"/>
  <c r="D20" i="63"/>
  <c r="E20" i="62" s="1"/>
  <c r="I37" i="41"/>
  <c r="I40" i="41"/>
  <c r="I38" i="41"/>
  <c r="I39" i="41"/>
  <c r="C41" i="40"/>
  <c r="C42" i="40" s="1"/>
  <c r="C45" i="40" s="1"/>
  <c r="E12" i="25"/>
  <c r="E22" i="25" s="1"/>
  <c r="E24" i="25" s="1"/>
  <c r="E20" i="29"/>
  <c r="F20" i="29" s="1"/>
  <c r="F22" i="29"/>
  <c r="I41" i="41" l="1"/>
  <c r="I44" i="41" s="1"/>
  <c r="I43" i="41" s="1"/>
  <c r="M40" i="41"/>
  <c r="E40" i="60" s="1"/>
  <c r="M37" i="41"/>
  <c r="E37" i="60" s="1"/>
  <c r="M39" i="41"/>
  <c r="E39" i="60" s="1"/>
  <c r="M38" i="41"/>
  <c r="E38" i="60" s="1"/>
  <c r="F24" i="25"/>
  <c r="E11" i="58" s="1"/>
  <c r="F11" i="58" s="1"/>
  <c r="G24" i="25"/>
  <c r="H11" i="58" s="1"/>
  <c r="I11" i="58" s="1"/>
  <c r="H10" i="58" s="1"/>
  <c r="D37" i="41"/>
  <c r="F37" i="41"/>
  <c r="F39" i="41"/>
  <c r="D39" i="41"/>
  <c r="F38" i="41"/>
  <c r="D38" i="41"/>
  <c r="D40" i="41"/>
  <c r="E10" i="25"/>
  <c r="F40" i="41"/>
  <c r="E10" i="58" l="1"/>
  <c r="L39" i="41"/>
  <c r="F39" i="60" s="1"/>
  <c r="L38" i="41"/>
  <c r="F38" i="60" s="1"/>
  <c r="H12" i="58"/>
  <c r="I10" i="58"/>
  <c r="L40" i="41"/>
  <c r="F40" i="60" s="1"/>
  <c r="L37" i="41"/>
  <c r="F37" i="60" s="1"/>
  <c r="F10" i="58" l="1"/>
  <c r="E12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</author>
  </authors>
  <commentList>
    <comment ref="B20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Pieces included with HD &amp; Sat Flats/Parcels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Kay</author>
  </authors>
  <commentList>
    <comment ref="C18" authorId="0" shapeId="0" xr:uid="{00000000-0006-0000-0900-000001000000}">
      <text>
        <r>
          <rPr>
            <sz val="10"/>
            <color indexed="81"/>
            <rFont val="Tahoma"/>
            <family val="2"/>
          </rPr>
          <t xml:space="preserve">non-sequenced SAT and HD DAL cost
</t>
        </r>
      </text>
    </comment>
    <comment ref="D18" authorId="0" shapeId="0" xr:uid="{59A75664-9D2D-4C66-BCEB-801986AFDF18}">
      <text>
        <r>
          <rPr>
            <sz val="10"/>
            <color indexed="81"/>
            <rFont val="Tahoma"/>
            <family val="2"/>
          </rPr>
          <t xml:space="preserve">non-sequenced SAT and HD DAL cost
</t>
        </r>
      </text>
    </comment>
    <comment ref="E18" authorId="0" shapeId="0" xr:uid="{45C07DC8-4104-4219-A90F-80AD26D84C93}">
      <text>
        <r>
          <rPr>
            <sz val="10"/>
            <color indexed="81"/>
            <rFont val="Tahoma"/>
            <family val="2"/>
          </rPr>
          <t xml:space="preserve">non-sequenced SAT and HD DAL cost
</t>
        </r>
      </text>
    </comment>
    <comment ref="I18" authorId="0" shapeId="0" xr:uid="{00000000-0006-0000-0900-000003000000}">
      <text>
        <r>
          <rPr>
            <b/>
            <sz val="10"/>
            <color indexed="81"/>
            <rFont val="Tahoma"/>
            <family val="2"/>
          </rPr>
          <t xml:space="preserve">Subtract sat
DAL cost
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I19" authorId="0" shapeId="0" xr:uid="{00000000-0006-0000-0900-000006000000}">
      <text>
        <r>
          <rPr>
            <b/>
            <sz val="10"/>
            <color indexed="81"/>
            <rFont val="Tahoma"/>
            <family val="2"/>
          </rPr>
          <t>add SAT DAL cost, letters &amp; sequenced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55" authorId="0" shapeId="0" xr:uid="{00000000-0006-0000-0900-000007000000}">
      <text>
        <r>
          <rPr>
            <b/>
            <sz val="10"/>
            <color indexed="81"/>
            <rFont val="Tahoma"/>
            <family val="2"/>
          </rPr>
          <t xml:space="preserve">Cost before DALs removed - distribute to HD and Sat then remove DAL cost
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D55" authorId="0" shapeId="0" xr:uid="{00000000-0006-0000-0900-000008000000}">
      <text>
        <r>
          <rPr>
            <b/>
            <sz val="10"/>
            <color indexed="81"/>
            <rFont val="Tahoma"/>
            <family val="2"/>
          </rPr>
          <t xml:space="preserve">Cost before DALs removed - distribute to HD and Sat then remove DAL cost
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E55" authorId="0" shapeId="0" xr:uid="{00000000-0006-0000-0900-000009000000}">
      <text>
        <r>
          <rPr>
            <b/>
            <sz val="10"/>
            <color indexed="81"/>
            <rFont val="Tahoma"/>
            <family val="2"/>
          </rPr>
          <t xml:space="preserve">Cost before DALs removed - distribute to HD and Sat then remove DAL cost
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Kay</author>
  </authors>
  <commentList>
    <comment ref="E14" authorId="0" shapeId="0" xr:uid="{00000000-0006-0000-0700-000002000000}">
      <text>
        <r>
          <rPr>
            <sz val="9"/>
            <color indexed="81"/>
            <rFont val="Tahoma"/>
            <family val="2"/>
          </rPr>
          <t xml:space="preserve">
EDDM-R removed</t>
        </r>
      </text>
    </comment>
    <comment ref="C16" authorId="0" shapeId="0" xr:uid="{00000000-0006-0000-0700-000003000000}">
      <text>
        <r>
          <rPr>
            <sz val="9"/>
            <color indexed="81"/>
            <rFont val="Tahoma"/>
            <family val="2"/>
          </rPr>
          <t xml:space="preserve">
Includes costs for HD/Saturation Flats and EDDM-R</t>
        </r>
      </text>
    </comment>
    <comment ref="E16" authorId="0" shapeId="0" xr:uid="{00000000-0006-0000-0700-000004000000}">
      <text>
        <r>
          <rPr>
            <sz val="9"/>
            <color indexed="81"/>
            <rFont val="Tahoma"/>
            <family val="2"/>
          </rPr>
          <t xml:space="preserve">
EDDM-R removed</t>
        </r>
      </text>
    </comment>
    <comment ref="J16" authorId="0" shapeId="0" xr:uid="{00000000-0006-0000-0700-000005000000}">
      <text>
        <r>
          <rPr>
            <sz val="9"/>
            <color indexed="81"/>
            <rFont val="Tahoma"/>
            <family val="2"/>
          </rPr>
          <t xml:space="preserve">Add calculations for Host piece cost.  Used in DAL costing on BYSummary
</t>
        </r>
      </text>
    </comment>
    <comment ref="L16" authorId="0" shapeId="0" xr:uid="{00000000-0006-0000-0700-000006000000}">
      <text>
        <r>
          <rPr>
            <sz val="9"/>
            <color indexed="81"/>
            <rFont val="Tahoma"/>
            <family val="2"/>
          </rPr>
          <t xml:space="preserve">Host piece cost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Kay</author>
  </authors>
  <commentList>
    <comment ref="D14" authorId="0" shapeId="0" xr:uid="{00000000-0006-0000-1400-000001000000}">
      <text>
        <r>
          <rPr>
            <sz val="9"/>
            <color indexed="81"/>
            <rFont val="Tahoma"/>
            <family val="2"/>
          </rPr>
          <t>Include EDDM-R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Kay</author>
  </authors>
  <commentList>
    <comment ref="C17" authorId="0" shapeId="0" xr:uid="{C54AD797-4125-41DC-83ED-1D0CF4CE5205}">
      <text>
        <r>
          <rPr>
            <b/>
            <sz val="9"/>
            <color indexed="81"/>
            <rFont val="Tahoma"/>
            <family val="2"/>
          </rPr>
          <t>Nancy Kay:</t>
        </r>
        <r>
          <rPr>
            <sz val="9"/>
            <color indexed="81"/>
            <rFont val="Tahoma"/>
            <family val="2"/>
          </rPr>
          <t xml:space="preserve">
For FY11, HD/SAT Letter Parent no DAL divided between HD and Sat Letters.  </t>
        </r>
      </text>
    </comment>
    <comment ref="C19" authorId="0" shapeId="0" xr:uid="{8F642DCD-D9C9-4F89-83E2-F92B7506A99A}">
      <text>
        <r>
          <rPr>
            <b/>
            <sz val="9"/>
            <color indexed="81"/>
            <rFont val="Tahoma"/>
            <family val="2"/>
          </rPr>
          <t>Nancy Kay:</t>
        </r>
        <r>
          <rPr>
            <sz val="9"/>
            <color indexed="81"/>
            <rFont val="Tahoma"/>
            <family val="2"/>
          </rPr>
          <t xml:space="preserve">
Includes HD/Sat Letters that indicate Parent No DAL as this is not possible.  Assume just Sat Letters.</t>
        </r>
      </text>
    </comment>
    <comment ref="C28" authorId="0" shapeId="0" xr:uid="{86612803-5A29-4929-8F81-A61F1FA6C038}">
      <text>
        <r>
          <rPr>
            <b/>
            <sz val="9"/>
            <color indexed="81"/>
            <rFont val="Tahoma"/>
            <family val="2"/>
          </rPr>
          <t>Nancy Kay:</t>
        </r>
        <r>
          <rPr>
            <sz val="9"/>
            <color indexed="81"/>
            <rFont val="Tahoma"/>
            <family val="2"/>
          </rPr>
          <t xml:space="preserve">
Split between HD and SAT Flat Non-DALs using DALs as ratio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Kay</author>
  </authors>
  <commentList>
    <comment ref="C21" authorId="0" shapeId="0" xr:uid="{56EC73B5-5287-4E8A-BC28-2792158AD8F9}">
      <text>
        <r>
          <rPr>
            <sz val="10"/>
            <color indexed="81"/>
            <rFont val="Tahoma"/>
            <family val="2"/>
          </rPr>
          <t>Include portion of HD/Sat Parent No DAL</t>
        </r>
      </text>
    </comment>
    <comment ref="C25" authorId="0" shapeId="0" xr:uid="{25E6DCAA-86DE-424F-88FA-61F849932561}">
      <text>
        <r>
          <rPr>
            <sz val="10"/>
            <color indexed="81"/>
            <rFont val="Tahoma"/>
            <family val="2"/>
          </rPr>
          <t xml:space="preserve">Include portion of HD/Sat Parent No DAL
</t>
        </r>
      </text>
    </comment>
  </commentList>
</comments>
</file>

<file path=xl/sharedStrings.xml><?xml version="1.0" encoding="utf-8"?>
<sst xmlns="http://schemas.openxmlformats.org/spreadsheetml/2006/main" count="1256" uniqueCount="595">
  <si>
    <t>LINE NO.</t>
  </si>
  <si>
    <t>CLASS, SUBCLASS, OR SPECIAL SERVICE</t>
  </si>
  <si>
    <t>COLUMN NUMBER</t>
  </si>
  <si>
    <t>CALCULATIONS</t>
  </si>
  <si>
    <t>UNITS</t>
  </si>
  <si>
    <t>Pieces (000)</t>
  </si>
  <si>
    <t>COLUMN SOURCE/NOTES</t>
  </si>
  <si>
    <t>FIRST-CLASS MAIL</t>
  </si>
  <si>
    <t>Line No.</t>
  </si>
  <si>
    <t>Class, Subclass, or Special Service</t>
  </si>
  <si>
    <t>City Delivery</t>
  </si>
  <si>
    <t>Rural Delivery</t>
  </si>
  <si>
    <t>Cost Segment</t>
  </si>
  <si>
    <t>6 &amp; 7</t>
  </si>
  <si>
    <t>Column Number</t>
  </si>
  <si>
    <t>Letters</t>
  </si>
  <si>
    <t>Flats</t>
  </si>
  <si>
    <t>Parcels</t>
  </si>
  <si>
    <t>TOTAL</t>
  </si>
  <si>
    <t>Total</t>
  </si>
  <si>
    <t>MAIL CLASS</t>
  </si>
  <si>
    <t>CCS PARCELS</t>
  </si>
  <si>
    <t>RCS PARCELS</t>
  </si>
  <si>
    <t>RPW PARCELS</t>
  </si>
  <si>
    <t>First Class Single Piece</t>
  </si>
  <si>
    <t>Column Source/Notes</t>
  </si>
  <si>
    <t>Activity Name</t>
  </si>
  <si>
    <t>Letter Routes - Route Group 1</t>
  </si>
  <si>
    <t>DPS</t>
  </si>
  <si>
    <t xml:space="preserve"> </t>
  </si>
  <si>
    <t xml:space="preserve"> -------------- IN-OFFICE DIRECT LABOR (6.1) ---------------</t>
  </si>
  <si>
    <t>Source</t>
  </si>
  <si>
    <t>Description</t>
  </si>
  <si>
    <t>Flat</t>
  </si>
  <si>
    <t>Small Parcel</t>
  </si>
  <si>
    <t>Large Parcel</t>
  </si>
  <si>
    <t>%</t>
  </si>
  <si>
    <t>Source:</t>
  </si>
  <si>
    <t>Letters (000)</t>
  </si>
  <si>
    <t>Flats (000)</t>
  </si>
  <si>
    <t>Parcels (000)</t>
  </si>
  <si>
    <t>Total Casing Only</t>
  </si>
  <si>
    <t>IN-OFFICE DIRECT LABOR</t>
  </si>
  <si>
    <t>Column No.</t>
  </si>
  <si>
    <t>Units</t>
  </si>
  <si>
    <t>Rate</t>
  </si>
  <si>
    <t>DPS Letters</t>
  </si>
  <si>
    <t>Sector Segment Letters</t>
  </si>
  <si>
    <t>Other Letters</t>
  </si>
  <si>
    <t>Boxholders</t>
  </si>
  <si>
    <t>Direct Bundles</t>
  </si>
  <si>
    <t>Postage Due</t>
  </si>
  <si>
    <t>STD A Total ECR</t>
  </si>
  <si>
    <t>STD A PDU Excl PDU Parcel</t>
  </si>
  <si>
    <t>PARCEL VOLUMES FROM CCS, RCS, AND RPW</t>
  </si>
  <si>
    <t>SMALL PARCELS</t>
  </si>
  <si>
    <t>LARGE PARCELS</t>
  </si>
  <si>
    <t>SEQUENCED</t>
  </si>
  <si>
    <t>COLLECTIONS AT CUSTOMER DELIVERY POINTS</t>
  </si>
  <si>
    <t>ACCOUNTABLES</t>
  </si>
  <si>
    <t>$(000)</t>
  </si>
  <si>
    <t>TOTAL VOLUME VARIABLE</t>
  </si>
  <si>
    <t>CRA CLASS</t>
  </si>
  <si>
    <t xml:space="preserve">   SINGLE-PIECE LETTERS</t>
  </si>
  <si>
    <t xml:space="preserve">   PRESORT LETTERS</t>
  </si>
  <si>
    <t xml:space="preserve">   SINGLE-PIECE CARDS</t>
  </si>
  <si>
    <t xml:space="preserve">   PRESORT CARDS</t>
  </si>
  <si>
    <t xml:space="preserve">TOTAL FIRST-CLASS </t>
  </si>
  <si>
    <t>PERIODICALS</t>
  </si>
  <si>
    <t xml:space="preserve">   IN-COUNTY</t>
  </si>
  <si>
    <t>TOTAL PERIODICALS</t>
  </si>
  <si>
    <t>PACKAGE SERVICES</t>
  </si>
  <si>
    <t>TOTAL PACKAGE SERVICES</t>
  </si>
  <si>
    <t>US POSTAL SERVICE</t>
  </si>
  <si>
    <t>FREE MAIL</t>
  </si>
  <si>
    <t>INTERNATIONAL MAIL</t>
  </si>
  <si>
    <t>TOTAL MAIL</t>
  </si>
  <si>
    <t>SPECIAL SERVICES:</t>
  </si>
  <si>
    <t xml:space="preserve">   REGISTRY</t>
  </si>
  <si>
    <t xml:space="preserve">   CERTIFIED</t>
  </si>
  <si>
    <t xml:space="preserve">   INSURANCE</t>
  </si>
  <si>
    <t xml:space="preserve">   COD</t>
  </si>
  <si>
    <t xml:space="preserve">   MONEY ORDERS</t>
  </si>
  <si>
    <t xml:space="preserve">   STMPD CARDS</t>
  </si>
  <si>
    <t xml:space="preserve">   STMPD ENVELOPES</t>
  </si>
  <si>
    <t xml:space="preserve">   POST OFFICE BOX</t>
  </si>
  <si>
    <t>TOTAL SPECIAL SERVICES</t>
  </si>
  <si>
    <t>YEAR</t>
  </si>
  <si>
    <t>Source / Notes</t>
  </si>
  <si>
    <t xml:space="preserve"> TOTAL LETTERS, FLATS, AND SMALL PARCELS, DEVIATION PARCELS</t>
  </si>
  <si>
    <t>Worksheet</t>
  </si>
  <si>
    <t>Inputs</t>
  </si>
  <si>
    <t>CCS</t>
  </si>
  <si>
    <t>BYPback</t>
  </si>
  <si>
    <t>DPS%</t>
  </si>
  <si>
    <t>RPWShape</t>
  </si>
  <si>
    <t>DALs</t>
  </si>
  <si>
    <t>ParcelVols</t>
  </si>
  <si>
    <t>CARMM</t>
  </si>
  <si>
    <t>CS7Shape</t>
  </si>
  <si>
    <t>Source / Calculations</t>
  </si>
  <si>
    <t>Library Reference &amp; Revision Date</t>
  </si>
  <si>
    <t>CARMM ANALYSIS - IN-OFFICE DIRECT LABOR</t>
  </si>
  <si>
    <t>CSGCARMM ANALYSIS - IN-OFFICE DIRECT LABOR, CASING ONLY</t>
  </si>
  <si>
    <t>BASE YEAR PIGGYBACK FACTORS</t>
  </si>
  <si>
    <t>Regular</t>
  </si>
  <si>
    <t>ECR</t>
  </si>
  <si>
    <t>Periodicals</t>
  </si>
  <si>
    <t>First-Class</t>
  </si>
  <si>
    <t>Col. No.</t>
  </si>
  <si>
    <t>Total Delivered</t>
  </si>
  <si>
    <t>Boxholder</t>
  </si>
  <si>
    <t>RURAL COSTS BY EVALUATION CATEGORY</t>
  </si>
  <si>
    <t>FC = C1..C5
Std = C1..C6</t>
  </si>
  <si>
    <t>Subtotal</t>
  </si>
  <si>
    <t>Rural Defined Pieces</t>
  </si>
  <si>
    <t>RURAL VOLUMES BY EVALUATION CATEGORY</t>
  </si>
  <si>
    <t>CCSECRVols</t>
  </si>
  <si>
    <t>RCSECRVols</t>
  </si>
  <si>
    <t>RuralVols</t>
  </si>
  <si>
    <t>RuralCosts</t>
  </si>
  <si>
    <t>DELIVERY ACTIVITIES</t>
  </si>
  <si>
    <t>MODEL COMPONENT</t>
  </si>
  <si>
    <t>WS 6.0.2.1 C2</t>
  </si>
  <si>
    <t>CLASS TITLE</t>
  </si>
  <si>
    <t xml:space="preserve">RPW TOTAL </t>
  </si>
  <si>
    <t>WS 1.1.2</t>
  </si>
  <si>
    <t>LTR IN-OFFICE SUPPORT TO OFFICE</t>
  </si>
  <si>
    <t>LTR IN-OFFICE SUPPORT TO DELIVERY ACTIVITIES</t>
  </si>
  <si>
    <t>LINE NO</t>
  </si>
  <si>
    <t>Presort Cards</t>
  </si>
  <si>
    <t>7.0.6</t>
  </si>
  <si>
    <t>7.0.8</t>
  </si>
  <si>
    <t>CS10CRA</t>
  </si>
  <si>
    <t>PACKAGE SERVICES:</t>
  </si>
  <si>
    <t>BOUND PRINTED MATTER</t>
  </si>
  <si>
    <t>Package Services</t>
  </si>
  <si>
    <t>Bound Printed Matter</t>
  </si>
  <si>
    <t>First Class</t>
  </si>
  <si>
    <t>MEDIA MAIL</t>
  </si>
  <si>
    <t>Media Mail</t>
  </si>
  <si>
    <t>UDCINPUTS DOCUMENTATION PAGE</t>
  </si>
  <si>
    <t>FREE + USPS MAIL</t>
  </si>
  <si>
    <t>Free &amp; USPS</t>
  </si>
  <si>
    <t>Free + USPS</t>
  </si>
  <si>
    <t>USPS &amp; Free</t>
  </si>
  <si>
    <t>Calculation of National Level DALs</t>
  </si>
  <si>
    <t>Source/Calculation</t>
  </si>
  <si>
    <t>Calculation of DALs on City Routes</t>
  </si>
  <si>
    <t>Calculation of DALs on Rural Routes</t>
  </si>
  <si>
    <t>RD (Total Rural Saturtion DALs)</t>
  </si>
  <si>
    <t>Total Rural Saturation Letters</t>
  </si>
  <si>
    <t>R2005-1, ADVO-LR-1</t>
  </si>
  <si>
    <t>CHECK ON RURAL DAL CALCULATIONS:</t>
  </si>
  <si>
    <t>First Class Presort Letters</t>
  </si>
  <si>
    <t>RPW Volume</t>
  </si>
  <si>
    <t>Automation Mixed AADC</t>
  </si>
  <si>
    <t>Automation AADC</t>
  </si>
  <si>
    <t>Presort Letters Subtotal</t>
  </si>
  <si>
    <t>First Class Presort Cards</t>
  </si>
  <si>
    <t>STD A ECR High Density</t>
  </si>
  <si>
    <t>STD A ECR Basic</t>
  </si>
  <si>
    <t>STD A ECR Saturation</t>
  </si>
  <si>
    <t>SHAPE</t>
  </si>
  <si>
    <t>DAL</t>
  </si>
  <si>
    <t>Casing</t>
  </si>
  <si>
    <t>N</t>
  </si>
  <si>
    <t>Y</t>
  </si>
  <si>
    <t>SS</t>
  </si>
  <si>
    <t>OTH Let</t>
  </si>
  <si>
    <t>OTHLet</t>
  </si>
  <si>
    <t>ECR SATURATION</t>
  </si>
  <si>
    <t>DAL proportion of Saturation Boxholders</t>
  </si>
  <si>
    <t>DAL% of Saturation Boxholders</t>
  </si>
  <si>
    <t>CCSDALs</t>
  </si>
  <si>
    <t>RCSDALs</t>
  </si>
  <si>
    <t>ECR WSS ONLY</t>
  </si>
  <si>
    <t>City and Rural DALs</t>
  </si>
  <si>
    <t>Hwy &amp; PO Box DALs</t>
  </si>
  <si>
    <t>% Additional DALs Going to Hwy &amp; PO Box</t>
  </si>
  <si>
    <t>PRODUCT SPECIFIC DELIVERY ACTIVITIES</t>
  </si>
  <si>
    <t>CITY AND RURAL DALS</t>
  </si>
  <si>
    <t>CCS Volume</t>
  </si>
  <si>
    <t>LTR - DELIVERY ACTIVITIES</t>
  </si>
  <si>
    <t>TOTAL VOLUME</t>
  </si>
  <si>
    <t>BoxholderbyShape</t>
  </si>
  <si>
    <t>First-Class Presort</t>
  </si>
  <si>
    <t>Sheet</t>
  </si>
  <si>
    <t>Change</t>
  </si>
  <si>
    <t xml:space="preserve">   SINGLE PIECE FLATS</t>
  </si>
  <si>
    <t xml:space="preserve">   PRESORT FLATS</t>
  </si>
  <si>
    <t xml:space="preserve">   HIGH DENSITY &amp; SATURATION LETTERS</t>
  </si>
  <si>
    <t xml:space="preserve">   HIGH DENSITY &amp; SATURATION FLATS &amp; PARCELS</t>
  </si>
  <si>
    <t xml:space="preserve">   CARRIER ROUTE</t>
  </si>
  <si>
    <t xml:space="preserve">   LETTERS</t>
  </si>
  <si>
    <t xml:space="preserve">   FLATS</t>
  </si>
  <si>
    <t xml:space="preserve">   BOUND PRINTED MATTER FLATS</t>
  </si>
  <si>
    <t xml:space="preserve">   BOUND PRINTED MATTER PARCELS</t>
  </si>
  <si>
    <t xml:space="preserve">    HIGH DENSITY &amp; SATURATION LETTERS</t>
  </si>
  <si>
    <t xml:space="preserve">    HIGH DENSITY &amp; SATURATION FLATS &amp; PARCELS</t>
  </si>
  <si>
    <t xml:space="preserve">    CARRIER ROUTE</t>
  </si>
  <si>
    <t xml:space="preserve">    LETTERS</t>
  </si>
  <si>
    <t xml:space="preserve">    FLATS</t>
  </si>
  <si>
    <t xml:space="preserve">   MEDIA AND LIBRARY MAIL</t>
  </si>
  <si>
    <t xml:space="preserve">   OTHER ANCILLARY SERVICES</t>
  </si>
  <si>
    <t xml:space="preserve">   OUTSIDE COUNTY</t>
  </si>
  <si>
    <t>Special Services</t>
  </si>
  <si>
    <t>Total Rural DALs</t>
  </si>
  <si>
    <t>Bound Printed Matter Flats</t>
  </si>
  <si>
    <t>Bound Printed Matter Parcels</t>
  </si>
  <si>
    <t>CS 7 CITY CARRIERS STREET</t>
  </si>
  <si>
    <t>WS 7.0.8 DEVELOP DIST KEYS W/ CCS VOL</t>
  </si>
  <si>
    <t>WS 7.0.6 DISTRIB. AND SUMMARY OF SPR</t>
  </si>
  <si>
    <t>AND LTR COST POOLS</t>
  </si>
  <si>
    <t>DELIVERY-ACTIVITY ACCRUED COST POOL</t>
  </si>
  <si>
    <t>VOLUME VARIABLE COST ON DELIVERY SECTIONS</t>
  </si>
  <si>
    <t>CCS PIECES</t>
  </si>
  <si>
    <t>COST PER CCS PIECE</t>
  </si>
  <si>
    <t xml:space="preserve">C/S 6&amp;7 CITY CARRIERS </t>
  </si>
  <si>
    <t>OUTPUTS TO CRA MODEL</t>
  </si>
  <si>
    <t>C/S 10 RURAL CARRIERS</t>
  </si>
  <si>
    <t>WS 10.3 DAL COSTS</t>
  </si>
  <si>
    <t>DAL Cost</t>
  </si>
  <si>
    <t>Source/Calculations</t>
  </si>
  <si>
    <t>$</t>
  </si>
  <si>
    <t>DAL COST TO MOVE TO FLATS</t>
  </si>
  <si>
    <t>VOLUME VARIABLE COST</t>
  </si>
  <si>
    <t>RCCS PIECES</t>
  </si>
  <si>
    <t>Host Piece Costs (Boxholders)</t>
  </si>
  <si>
    <t>Cost per RCCS Piece</t>
  </si>
  <si>
    <t>COLLECTIONS</t>
  </si>
  <si>
    <t>PARCELS</t>
  </si>
  <si>
    <t>City DAL Costs</t>
  </si>
  <si>
    <t>CS06&amp;7 CRA</t>
  </si>
  <si>
    <t>Rural DAL Costs</t>
  </si>
  <si>
    <t>Estimated National Level DALs</t>
  </si>
  <si>
    <t>DALs on City Routes</t>
  </si>
  <si>
    <t>High Density</t>
  </si>
  <si>
    <t>Saturation</t>
  </si>
  <si>
    <t xml:space="preserve">  HIGH DENSITY &amp; SATURATION LETTERS</t>
  </si>
  <si>
    <t xml:space="preserve">  HIGH DENSITY &amp; SATURATION FLATS &amp; PARCELS</t>
  </si>
  <si>
    <t xml:space="preserve">  CARRIER ROUTE</t>
  </si>
  <si>
    <t>HD Letters</t>
  </si>
  <si>
    <t>HD Flats</t>
  </si>
  <si>
    <t>HD Parcels</t>
  </si>
  <si>
    <t>Lower Case = LR-19 - only shape separation</t>
  </si>
  <si>
    <t>UPPER CASE = CRA Mail Product</t>
  </si>
  <si>
    <t>NOTE:</t>
  </si>
  <si>
    <t>Sat Letters</t>
  </si>
  <si>
    <t>Sat Flats</t>
  </si>
  <si>
    <t>Sat Parcels</t>
  </si>
  <si>
    <t>HIGH DENSITY &amp; SATURATION LETTERS</t>
  </si>
  <si>
    <t>HIGH DENSITY &amp; SATURATION FLATS &amp; PARCELS</t>
  </si>
  <si>
    <t>TOTAL DELIVERY SECTIONS</t>
  </si>
  <si>
    <t>BOUND PRINTED MATTER FLATS</t>
  </si>
  <si>
    <t>BOUND PRINTED MATTER PARCELS</t>
  </si>
  <si>
    <t xml:space="preserve">    SINGLE PIECE LETTERS</t>
  </si>
  <si>
    <t xml:space="preserve">    SINGLE PIECE CARDS</t>
  </si>
  <si>
    <t xml:space="preserve">    PRESORT LETTERS</t>
  </si>
  <si>
    <t xml:space="preserve">    PRESORT CARDS</t>
  </si>
  <si>
    <t xml:space="preserve">   PARCELS</t>
  </si>
  <si>
    <t>SEQUENCED WITH DAL COST MOVED TO FLATS</t>
  </si>
  <si>
    <t>Adj. RPW</t>
  </si>
  <si>
    <t>Adjustment factor for HD Letters to HD Flats</t>
  </si>
  <si>
    <t>Adjustment factor for Sat Letters to Sat Flats</t>
  </si>
  <si>
    <t>TOTAL Market Dominant Parcels</t>
  </si>
  <si>
    <t>WSS DALS</t>
  </si>
  <si>
    <t>WSH DALS</t>
  </si>
  <si>
    <t>SATURATION DALS - SEQUENCED</t>
  </si>
  <si>
    <t>Carrier Pickup</t>
  </si>
  <si>
    <t>HD DALS</t>
  </si>
  <si>
    <t>HD DAL &amp; HOST COST</t>
  </si>
  <si>
    <t>SATURATION DAL &amp; HOST COST</t>
  </si>
  <si>
    <t>NOTE:  CRA Spreadsheets have Sat &amp; HD DAL, Shape Adjustments</t>
  </si>
  <si>
    <t>WSS</t>
  </si>
  <si>
    <t>HD</t>
  </si>
  <si>
    <t>SATURATION DALS</t>
  </si>
  <si>
    <t>DPS/SS</t>
  </si>
  <si>
    <t>DPS/SS Letters</t>
  </si>
  <si>
    <t>Various Inputs needed thoroughout the model</t>
  </si>
  <si>
    <t>CARRIER ROUTE</t>
  </si>
  <si>
    <t xml:space="preserve">    PARCELS</t>
  </si>
  <si>
    <t>Lower Case = Att 19 - only shape separation</t>
  </si>
  <si>
    <t>RPW</t>
  </si>
  <si>
    <t>Sum RPW Report</t>
  </si>
  <si>
    <t>Media Mail/Library</t>
  </si>
  <si>
    <t>IN-OFFICE DIRECT LABOR WITH COLLECTION COSTS BY INDICIA</t>
  </si>
  <si>
    <t>First-Class Single Piece Letters Collection Costs</t>
  </si>
  <si>
    <t xml:space="preserve">   EVERY DOOR DIRECT MAIL RETAIL</t>
  </si>
  <si>
    <t xml:space="preserve">      EVERY DOOR DIRECT MAIL RETAIL</t>
  </si>
  <si>
    <t xml:space="preserve">      PARCELS</t>
  </si>
  <si>
    <t>EVERY DOOR DIRECT MAIL RETAIL</t>
  </si>
  <si>
    <t xml:space="preserve">  LETTERS</t>
  </si>
  <si>
    <t>EVERY DOOR DIRECT MAIL - RETAIL</t>
  </si>
  <si>
    <t>Regular Delivery of Parcels</t>
  </si>
  <si>
    <t>EDDM Retail Sequenced Delivery Cost</t>
  </si>
  <si>
    <t>EDDM-R Cost</t>
  </si>
  <si>
    <t>HD/SAT FLATS &amp; PARCELS COST</t>
  </si>
  <si>
    <t>SATURATION DALS - REGULAR DELIVERY</t>
  </si>
  <si>
    <t>Amount from 6.0.2.1 assigned with RPW proportion</t>
  </si>
  <si>
    <t>FCByIndicia</t>
  </si>
  <si>
    <t>Sources:</t>
  </si>
  <si>
    <t>First-Class Single Piece In-Office Costs</t>
  </si>
  <si>
    <t>First-Class Single Piece In-Office Casing Costs</t>
  </si>
  <si>
    <t>CCCS  by Indicia</t>
  </si>
  <si>
    <t>RCCS by Indicia</t>
  </si>
  <si>
    <t>STAMPED LETTERS</t>
  </si>
  <si>
    <t>METERED LETTERS</t>
  </si>
  <si>
    <t>OTHER LETTERS</t>
  </si>
  <si>
    <t>Amount from 6.0.2.1 assigned with RPW proportion, scaled to IOCS EDDM-R proportion casing/all</t>
  </si>
  <si>
    <t>CCCS %</t>
  </si>
  <si>
    <t>RCCS %</t>
  </si>
  <si>
    <t>CASED MAIL</t>
  </si>
  <si>
    <t>CASED MAIL LETTERS</t>
  </si>
  <si>
    <t>CASED MAIL FLATS</t>
  </si>
  <si>
    <t>Other Letter</t>
  </si>
  <si>
    <t>TOTAL City DALs</t>
  </si>
  <si>
    <t>% Non-DPS Letters Cased</t>
  </si>
  <si>
    <t>DAL % of All Letters</t>
  </si>
  <si>
    <t>Regular Delivery of Cased HD/Saturation Letters</t>
  </si>
  <si>
    <t>Regular Delivery of DPS HD &amp; Saturation Letters</t>
  </si>
  <si>
    <t>Regular Delivery of Cased HD/Saturation Flats</t>
  </si>
  <si>
    <t>Regular Delivery of Flats / Parcels</t>
  </si>
  <si>
    <t>Delivery of Sequenced HD and Saturation Letters</t>
  </si>
  <si>
    <t>Delivery of Sequenced HD &amp; Saturation Flats</t>
  </si>
  <si>
    <t>Revised Cost, HD &amp; Saturation Letters</t>
  </si>
  <si>
    <t>Revised Cost, HD &amp; Saturation Flats and Parcels</t>
  </si>
  <si>
    <t>EDDM Cased Mail Delivery Cost</t>
  </si>
  <si>
    <t>NOTE:  DAL costs moved from HD/Saturation Letters to HD/Saturation Flats</t>
  </si>
  <si>
    <t>NOTE:  EDDM-R Costs are split out using RPW proportions</t>
  </si>
  <si>
    <t>REVISED LETTER/FLAT COSTS</t>
  </si>
  <si>
    <t>WS 7.0.10 DAL AND EDDM-R COSTS</t>
  </si>
  <si>
    <t>CASED MAIL LETTERS WITH DAL COSTS REMOVED</t>
  </si>
  <si>
    <t>DPS WITH DAL COST MOVED</t>
  </si>
  <si>
    <t>Rural DAL direct labor street costs are brought over from CS10.xls 10.3, and cost for flat host pieces are calculated.</t>
  </si>
  <si>
    <t>Cased Flat</t>
  </si>
  <si>
    <t>Cased Letter</t>
  </si>
  <si>
    <t>Cased Flats</t>
  </si>
  <si>
    <t>Shape</t>
  </si>
  <si>
    <t>Product</t>
  </si>
  <si>
    <t>Grand Total</t>
  </si>
  <si>
    <t>Source 4</t>
  </si>
  <si>
    <t>Source 5</t>
  </si>
  <si>
    <t>Source 6</t>
  </si>
  <si>
    <t>Source 3</t>
  </si>
  <si>
    <t>Source 2</t>
  </si>
  <si>
    <t>Source 1</t>
  </si>
  <si>
    <t>TOTAL VOLUME VARIABLE &amp; PRODUCT SPECIFIC</t>
  </si>
  <si>
    <t>USPS Marketing Mail</t>
  </si>
  <si>
    <t>USPS MARKETING MAIL</t>
  </si>
  <si>
    <t>TOTAL USPS MARKETING MAIL</t>
  </si>
  <si>
    <t>USPS MARKETING MAIL (A)</t>
  </si>
  <si>
    <t>USPS Marketing Mail ECR High Density</t>
  </si>
  <si>
    <t>USPS Marketing Mail ECR Saturation</t>
  </si>
  <si>
    <t>CCS VOLUMES BY RATE CATEGORY FOR USPS MARKETING MAIL ECR</t>
  </si>
  <si>
    <t>RCS VOLUMES BY RATE CATEGORY FOR USPS MARKETING MAIL ECR</t>
  </si>
  <si>
    <t>BOXHOLDER BY SHAPE FOR USPS MARKETING MAIL ECR</t>
  </si>
  <si>
    <t>USPS MARKETING MAIL - ECR</t>
  </si>
  <si>
    <t>USPS MARKETING MAIL - REGULAR</t>
  </si>
  <si>
    <t>DAL proportion of Saturation or HD Letters</t>
  </si>
  <si>
    <t>Rural DAL % of Saturation or HD Letters</t>
  </si>
  <si>
    <t>Saturation or HD Boxholders</t>
  </si>
  <si>
    <t>Saturation or HD Non-Boxholder Letters</t>
  </si>
  <si>
    <t>Saturation or HD Boxholder DALs</t>
  </si>
  <si>
    <t>Saturation or HD Non-Boxholder DALs</t>
  </si>
  <si>
    <t>Saturation or HD Boxholder Attached Label Letters</t>
  </si>
  <si>
    <t>Saturation or HD Non-Boxholder Attached-Label Letters</t>
  </si>
  <si>
    <t xml:space="preserve"> DAL percentage of CCS Saturation or HD Letters</t>
  </si>
  <si>
    <t>CCS Saturation or HD Letters</t>
  </si>
  <si>
    <t>Marketing Mail Letters</t>
  </si>
  <si>
    <t>USPS MARKETING MAIL:</t>
  </si>
  <si>
    <t>USPS Marketing</t>
  </si>
  <si>
    <t>Marketing A ECR Basic</t>
  </si>
  <si>
    <t>Marketing A ECR High Density</t>
  </si>
  <si>
    <t>Marketing A ECR Saturation</t>
  </si>
  <si>
    <t>Marketing A Total ECR</t>
  </si>
  <si>
    <t>023 Marketing ECR Carrier Route</t>
  </si>
  <si>
    <t>CCS AND RCS VOLUME CROSSWALK FOR PERIODICALS</t>
  </si>
  <si>
    <t>RPW Periodicals by Shape</t>
  </si>
  <si>
    <t>Unadjusted CCCS Periodicals (Cased Letters/Flats Only)</t>
  </si>
  <si>
    <t>Adjusted CCS Periodicals</t>
  </si>
  <si>
    <t>CCS Pieces Crosswalked to Flats</t>
  </si>
  <si>
    <t>Unadjusted RCCS Periodicals (Other Letters/Flats Only)</t>
  </si>
  <si>
    <t>Adjusted RCS Periodicals</t>
  </si>
  <si>
    <t>RCS Pieces Crosswalked to Flats</t>
  </si>
  <si>
    <t>[1]</t>
  </si>
  <si>
    <t>[2]</t>
  </si>
  <si>
    <t>RPW Letters</t>
  </si>
  <si>
    <t>CCS Letters</t>
  </si>
  <si>
    <t xml:space="preserve"> RCS Letters</t>
  </si>
  <si>
    <t>Ratio Of CCS To RPW Letters</t>
  </si>
  <si>
    <t>Ratio Of RCS To RPW Letters</t>
  </si>
  <si>
    <t>Total First Class Single Piece, USPS Marketing, and Free/US Postal Service Mail</t>
  </si>
  <si>
    <t>Total Market Dominant Parcels minus Periodicals</t>
  </si>
  <si>
    <t>RPW %</t>
  </si>
  <si>
    <t>TOTALNon-Casing</t>
  </si>
  <si>
    <t>PeriodicalsVolAdj</t>
  </si>
  <si>
    <t>7.0.6.5</t>
  </si>
  <si>
    <t>CARMMCasing</t>
  </si>
  <si>
    <t>Parcel Volumes for Periodicals Volume Adjustment</t>
  </si>
  <si>
    <t>Ratio of CCS to RPW</t>
  </si>
  <si>
    <t>Ratio of RCS to RPW</t>
  </si>
  <si>
    <t>CCS AND RCS LETTER VOLUMES FOR PERIODICALS VOLUME ADJUSTMENT</t>
  </si>
  <si>
    <t>FIRST-CLASS AND MARKETING REGULAR LETTERS DPS PERCENTAGES</t>
  </si>
  <si>
    <t>47 + 48 + 49</t>
  </si>
  <si>
    <t xml:space="preserve">    Marketing Regular</t>
  </si>
  <si>
    <t>7.0.6.6</t>
  </si>
  <si>
    <t>blue indiciates from RPW extract file.</t>
  </si>
  <si>
    <t>CCCS and RCCS volumes for Periodicals by shape are adjusted to match RPW shape proportions for Periodoicals.</t>
  </si>
  <si>
    <t>LetterVols</t>
  </si>
  <si>
    <t>Crosswalks Periodicals letters to flats by taking ratio of CCCS and RCCS letters to RPW Parcels.</t>
  </si>
  <si>
    <t xml:space="preserve">Crosswalks Periodicals parcels to flats by taking ratio of CCCS and RCCS parcels to RPW parcels. </t>
  </si>
  <si>
    <t>SPR COLLECTION</t>
  </si>
  <si>
    <t>SPR PME COLLECTION</t>
  </si>
  <si>
    <t>SPR SUNDAY/ HOLIDAY DELIVERY</t>
  </si>
  <si>
    <t>TOTAL IN-OFFICE ROUTE SUPPORT</t>
  </si>
  <si>
    <t>MARKETING MAIL - REGULAR</t>
  </si>
  <si>
    <t>SPR MON - SAT DELIVERY NON-PEAK</t>
  </si>
  <si>
    <t>SPR MON - SAT DELIVERY PEAK</t>
  </si>
  <si>
    <t>SUM C1</t>
  </si>
  <si>
    <t>High-Density</t>
  </si>
  <si>
    <t>L1 = C1 x LetterVols C4</t>
  </si>
  <si>
    <t>L2 = C2 + C4</t>
  </si>
  <si>
    <t>L3 = C1 x ParcelVols C4</t>
  </si>
  <si>
    <t>L1 = C1 x LetterVols C5</t>
  </si>
  <si>
    <t>L2 = C5 + C7</t>
  </si>
  <si>
    <t>L3 = C1 x ParcelVols C5</t>
  </si>
  <si>
    <t>EDDM Parcel Delivery Cost</t>
  </si>
  <si>
    <t>IN-OFFICE ROUTE SUPPORT</t>
  </si>
  <si>
    <t>Mailbox Parcels</t>
  </si>
  <si>
    <t>Door Parcels</t>
  </si>
  <si>
    <t>Parcel Locker Parcels</t>
  </si>
  <si>
    <t>End Of Shift Collections</t>
  </si>
  <si>
    <t>Misc to Door</t>
  </si>
  <si>
    <t>Misc Actv</t>
  </si>
  <si>
    <t>Collections</t>
  </si>
  <si>
    <t>All ROUTES</t>
  </si>
  <si>
    <t>Door</t>
  </si>
  <si>
    <t>Mailbox</t>
  </si>
  <si>
    <t>Parcel Locker</t>
  </si>
  <si>
    <t>IN-OFFICE SUPPORT OVERHEAD</t>
  </si>
  <si>
    <t>Saturation Letters</t>
  </si>
  <si>
    <t>HD Flat DALs</t>
  </si>
  <si>
    <t>HD Flat Non-DALs</t>
  </si>
  <si>
    <t>Assigns proportion of parent no DAL</t>
  </si>
  <si>
    <t>Saturation Flats</t>
  </si>
  <si>
    <t>Saturation Flat DALs</t>
  </si>
  <si>
    <t>Saturation Flat non-Dals</t>
  </si>
  <si>
    <t>Includes IOCS EDDM-R, then subtracts out amount assigned EDDM-R calculated below, also assigns Parent No DAL</t>
  </si>
  <si>
    <t>HD/Sat Parent no DAL</t>
  </si>
  <si>
    <t>Saturation Parcels</t>
  </si>
  <si>
    <t>Saturation Flat Non-DALs</t>
  </si>
  <si>
    <t>Includes IOCS EDDM-R, then subtracts out amount assigned with RPW proportions to EDDM-R from CS06&amp;7 6.0.2.1, also assigns Parent No DAL</t>
  </si>
  <si>
    <t>HD/Sat Flat Parent no DAL</t>
  </si>
  <si>
    <t>TOTAL DELIVERY ACTIVITIES</t>
  </si>
  <si>
    <t>December 2019 Changes</t>
  </si>
  <si>
    <t>Added sheet for distribution of Sunday/Holiday costs, as per Docket No RM2018-5, Order 4972.</t>
  </si>
  <si>
    <t>Sunday Delivery column removed as no longer needed because of the addition of sheet 7.0.6.6.</t>
  </si>
  <si>
    <t>CS6&amp;7 CRA</t>
  </si>
  <si>
    <t>Sunday/Holidays costs added into Delivery Activities column from CS06&amp;7-NP-FY19.xlsx source.</t>
  </si>
  <si>
    <t>2020 Changes for RM2019-6 Proposal One, SPR</t>
  </si>
  <si>
    <t>New SPR columns added from CS06&amp;7, C-F.  Old SPR columns removed.</t>
  </si>
  <si>
    <t>Removed Sheet, no longer needed as all data is on Sheet 7.0.6</t>
  </si>
  <si>
    <t>Letter</t>
  </si>
  <si>
    <t>Parcel</t>
  </si>
  <si>
    <t>Total Domestic Competitive Mail and Services</t>
  </si>
  <si>
    <t>DEVIATION 
PARCELS/ ACCOUNTABLES</t>
  </si>
  <si>
    <t>2021 Changes for RM2021-7, SPR Peak and Non-Peak</t>
  </si>
  <si>
    <t xml:space="preserve">New SPR columns for SPR Peak and Non-Peak from CS06&amp;7, D-E.  Changed formulas for columns F-Z to point to the correct column in CS06&amp;7.  </t>
  </si>
  <si>
    <t xml:space="preserve">2024 Changes for RRECS (RM2024-2, Order 7919) </t>
  </si>
  <si>
    <t>CS10 CRA</t>
  </si>
  <si>
    <t>Updated references to CS10 Outputs to CRA tab, including removal of second costpool for other routes and renaming of evaluated routes costpool</t>
  </si>
  <si>
    <t>Updated references to CS10 Inputs DK tab, including removal of old costpools and addition of new ones consistent with RRECS; added formulas to look up values based on CRA class numbers</t>
  </si>
  <si>
    <t>Updated links to RCCS Matrix consistent with RRECS and allocate Direct Bundle volumes to Door Parcels</t>
  </si>
  <si>
    <t>Updated links to CS10 to refer to 10.1.2 tab, including removal of old costpools and addition of new ones consistent with RRECS; added formulas to look up values based on CRA class numbers</t>
  </si>
  <si>
    <t>Updated references to other worksheets consistent with new methodology; remove split between evaluated and other routes as DALs costs no longer need to be split</t>
  </si>
  <si>
    <t>BYPBack</t>
  </si>
  <si>
    <t>Added links to PB workbook and updated values</t>
  </si>
  <si>
    <t>Updated links to RCCS Matrix consistent with RRECS, including removal of old costpools and addition of new ones consistent with RRECS</t>
  </si>
  <si>
    <t>Updated links to RCCS Matrix consistent with RRECS</t>
  </si>
  <si>
    <t>Updated references to 7.0.8 tab for Parcels</t>
  </si>
  <si>
    <t>Updated formulas to include three Parcel costpools</t>
  </si>
  <si>
    <t>2024 Changes for Top Down (RM2022-3)</t>
  </si>
  <si>
    <t>Updated all references to refer to CS06&amp;7 Outputs to CRA tab, including costpools no longer relevant under Top Down; added formulas to look up values based on CRA class numbers</t>
  </si>
  <si>
    <t>Updated references to I_FORMS</t>
  </si>
  <si>
    <t>Updated references to CS06&amp;7 7.0.8 tab; added formulas to look up values based on CRA class numbers</t>
  </si>
  <si>
    <t>Updated references to CS06&amp;7 7.0.6 tab, including removing costpools no longer relevant under Top Down; added formulas to look up values based on CRA class numbers</t>
  </si>
  <si>
    <t>7.0.6.10</t>
  </si>
  <si>
    <t>Renamed 7.0.6.5; Updated references to  refer to CS06&amp;7 7.0.6.5 tab, including removing costpools no longer relevant under Top Down; added formulas to look up values based on CRA class numbers; ultimately deleted as not needed (data on 7.0.6 tab)</t>
  </si>
  <si>
    <t>Updated references to CS06&amp;7 7.0.6.5 tab, including combining Deviation Parcels and Accountables into one costpool; added formulas to look up values based on CRA class numbers</t>
  </si>
  <si>
    <t>2024 Changes Additional</t>
  </si>
  <si>
    <t>Removed FSS</t>
  </si>
  <si>
    <t>Removed note on FSS Split</t>
  </si>
  <si>
    <t>Added formulas to look up values based on CRA class numbers</t>
  </si>
  <si>
    <t>Added formulas to look up values</t>
  </si>
  <si>
    <t>WS 10.1.2</t>
  </si>
  <si>
    <t>Nonautomation Nonmachinable Mixed ADC</t>
  </si>
  <si>
    <t>Nonautomation Nonmachinable ADC</t>
  </si>
  <si>
    <t>Nonautomation Machinable Mixed AADC</t>
  </si>
  <si>
    <t>Nonautomation Machinable AADC</t>
  </si>
  <si>
    <t>Nonautomation Nonmachinable 3-Digit</t>
  </si>
  <si>
    <t>Nonautomation Nonmachinable 5-Digit</t>
  </si>
  <si>
    <t>Nonautomation Machinable 3-Digit</t>
  </si>
  <si>
    <t>Nonautomation Machinable 5-Digit</t>
  </si>
  <si>
    <t>First-Class Automation 3-Digit Presort Letters</t>
  </si>
  <si>
    <t>First-Class Automation 5-Digit Presort Letters 5 DIGIT CSBCS/MANUAL</t>
  </si>
  <si>
    <t>First-Class Automation 5-Digit Presort Letters OTHER SITES</t>
  </si>
  <si>
    <t xml:space="preserve">First-Class Automation 5-Digit Presort </t>
  </si>
  <si>
    <t>Nonautomation Nonmachinable MADC</t>
  </si>
  <si>
    <t>Nonautomation Machinable MAADC</t>
  </si>
  <si>
    <t>MM Automation 3-Digit Presort Letters</t>
  </si>
  <si>
    <t>MM Automation 5-Digit Presort Letters</t>
  </si>
  <si>
    <t>First-Class Nonautomation Presort Cards</t>
  </si>
  <si>
    <t>First-Class Automation 3-Digit Presort Cards</t>
  </si>
  <si>
    <t>First-Class Automation 5-Digit Presort Cards Other Sites</t>
  </si>
  <si>
    <t>[UDCInputs.xls] RPWShape L26</t>
  </si>
  <si>
    <t>[UDCInputs.xls] 7.0.8 C4 + C6</t>
  </si>
  <si>
    <t>[UDCInputs.xls] RuralVols C1..C2</t>
  </si>
  <si>
    <t>Total First Class Single Piece, Marketing Mail, and Free/US Postal Service Mail</t>
  </si>
  <si>
    <t>C1 / C2</t>
  </si>
  <si>
    <t>RCSDALs L11</t>
  </si>
  <si>
    <t>RCSDALs L12</t>
  </si>
  <si>
    <t>RCSECRVols L34</t>
  </si>
  <si>
    <t>RCSECRVols L4 + L9</t>
  </si>
  <si>
    <t>RPWShape L8 + L9</t>
  </si>
  <si>
    <t>[UDCInputs.xls] RPWShape L20</t>
  </si>
  <si>
    <t>[UDCInputs.xls] 7.0.8 L16</t>
  </si>
  <si>
    <t>C2 - C3</t>
  </si>
  <si>
    <t>[UDCInputs.xls] RuralVols L18</t>
  </si>
  <si>
    <t>“% Flats/Letters Cased</t>
  </si>
  <si>
    <t>From FY25 Shape Indicia File</t>
  </si>
  <si>
    <t>FY 2025 CCS DAL COUNTS</t>
  </si>
  <si>
    <t>Source:  CCCS_DALCasing_FY25_Final_v1.xlsx</t>
  </si>
  <si>
    <t>CCCS_FCLetter_indicia_FY25_Final.XLSX</t>
  </si>
  <si>
    <t>Inputs Used in USPS-FY25-19</t>
  </si>
  <si>
    <t>FY 2025</t>
  </si>
  <si>
    <t>SOURCE:  CS06&amp;7-NP-FY25.xlsx</t>
  </si>
  <si>
    <t>SOURCE: FY25Public.PB.xlsx</t>
  </si>
  <si>
    <t>SOURCE: FY2025R_RPWAdj_12-9-25_v2.xlsx, FY2025R_RPWextractfile_Restricted ACR.xlsx,Shape Indicia FY2025 ACR_v.xlsx</t>
  </si>
  <si>
    <t>FY 2025 RPW VOLUME BY SHAPE</t>
  </si>
  <si>
    <t>KLTable_FCSP_Indicia_Casing25.xlsx</t>
  </si>
  <si>
    <t>KLTable_FCSP_Indicia25.xlsx</t>
  </si>
  <si>
    <t>KLTable_FCSP_Letter_Collection25.xlsx</t>
  </si>
  <si>
    <t>Shape Indicia FY2025 ACR_v.xlsx</t>
  </si>
  <si>
    <t>RCCS_FCLetter_indicia_FY25_Final.xlsx</t>
  </si>
  <si>
    <t>Source: RCCS_Matrix_FY25_Final_v1.xlsx</t>
  </si>
  <si>
    <t>SOURCE: DPS percentages FY25.xlsx</t>
  </si>
  <si>
    <t>FY 2025 RCS DALs</t>
  </si>
  <si>
    <t>SOURCE: CS10-NP-FY25.xlsx, Inputs DK</t>
  </si>
  <si>
    <t>FCM_MM_WGTI_FY25_EOYv.xlsx</t>
  </si>
  <si>
    <t>SOURCE:  CS10-NP-FY25.xlsx, W/S 10.1.2</t>
  </si>
  <si>
    <t>Source: RCCS_DAL_FY25_Final_v1.xlsx</t>
  </si>
  <si>
    <t>Inputs from USPS-FY25-19, CS06&amp;7.xls, W/S 7.0.8</t>
  </si>
  <si>
    <t>Inputs from USPS-FY25-19, CS06&amp;7.xls, W/S 7.0.6.10</t>
  </si>
  <si>
    <t>USPS-FY25-19 Synopsis</t>
  </si>
  <si>
    <t>Inputs from USPS-FY25-32, CS06&amp;7.xls, W/S 7.0.6</t>
  </si>
  <si>
    <t>City DAL direct labor street costs are brought over from USPS-FY25-32 CS06&amp;7.xls WS 7.0.6, and cost for flat host pieces are calculated.</t>
  </si>
  <si>
    <t>From USPS-FY25-32, CS06&amp;7.xls, Outputs to CRA</t>
  </si>
  <si>
    <t>USPS-FY25-32, 7.0.6 City carrier letter route street costs by shape</t>
  </si>
  <si>
    <t>USPS-FY25-32 CS10, Outputs to CRA</t>
  </si>
  <si>
    <t>USPS-FY25-32, CS10.xls WS 10.1.3, 10.2.3, Rural carrier costs for evaluated and other routes</t>
  </si>
  <si>
    <t>USPS-FY25-32 CS10.xlsx, Inputs DK, RCS volumes by rural evaluation factor</t>
  </si>
  <si>
    <t>USPS-FY25-34, CCCS_Matrix, Rural Volumes by ECR Category</t>
  </si>
  <si>
    <t>USPS-FY25-35, RCCS_Matrix, Rural Volumes by ECR Category</t>
  </si>
  <si>
    <t xml:space="preserve">USPS-FY25-34 - CCCS counts of ECR DALs. </t>
  </si>
  <si>
    <t>USPS-FY25-35 - RCCS counts of ECR DALs.</t>
  </si>
  <si>
    <t>USPS-FY25-24 FY25 piggyback factors for city and rural carriers.</t>
  </si>
  <si>
    <t>USPS-FY25-10, DPS percentages by rate category for First Class letters and cards and Marketing Mail letters, calculated using CCS and DPS mail volumes.</t>
  </si>
  <si>
    <t>USPS-FY25-35 - RCCS Boxholder volumes by class and shape.</t>
  </si>
  <si>
    <t>USPS-FY25-14 - FY25 RPW volumes for First Class, Periodoicals, Marketing Mail, and Package Services.</t>
  </si>
  <si>
    <t>USPS-FY25-34 and USPS-FY25-35 Estimates of DAL volumes from CCCS and RCCS.</t>
  </si>
  <si>
    <t>USPS-FY25-34 - CCCS_Matrix and USPS-FY25-35 - RCCS_Matrix - CCS, RCS, and RPW parcel volumes for First Class, Periodicals, Marketing Mail, and Package Services.</t>
  </si>
  <si>
    <t>USPS-FY25-37 -IOCS in-office costs for First Class, Periodicals, Marketing Mail, and Packag Services by activity code (shape) and route group.</t>
  </si>
  <si>
    <t>USPS-FY25-37 -IOCS in-office casing costs for First Class, Periodicals, Marketing Mail, and Package Services by activity code (shape) and route group.</t>
  </si>
  <si>
    <t>Carrier collection and delivery costs for First Class Single Piece by Indicia.  These are the inputs used when computing delivery costs by indicia in Table 1 of Model workbook.  Sources:  USPS-FY25-19 (KL_Table_FCSP_Indicia19, KL_Table_FCSP_Indicia_Casing19, and KL_Table_FCSP_Letter_Collection19) from USPS-FY25-37 (CARMM), USPS-FY25-14 (Shape_Indicia_FY2519_EOY), USPS-FY25-34 (CCCS_FCIndicia_FY25_Final), USPS-FY25-35 (RCCS_FCIndicia_FY25_Final).</t>
  </si>
  <si>
    <t>SOURCE: KLTable25.xlsx</t>
  </si>
  <si>
    <t>SOURCE:  KLTable_Casing25.xlsx</t>
  </si>
  <si>
    <t>KLTable_Casing25 across all route groups</t>
  </si>
  <si>
    <t>HD &amp; SAT LTRS Diff</t>
  </si>
  <si>
    <t>HD &amp; SAT Flats and PRCLS Diff</t>
  </si>
  <si>
    <t>HD &amp; SAT LTRS TOTAL</t>
  </si>
  <si>
    <t>HD &amp; SAT Flats and PRCLS TOTAL</t>
  </si>
  <si>
    <t>Unit Delivery Cost Model -  12/16/2025</t>
  </si>
  <si>
    <t>KLTable25 across all route groups</t>
  </si>
  <si>
    <t>Outputs to CRA</t>
  </si>
  <si>
    <t>2025 Changes</t>
  </si>
  <si>
    <t>Updated to reflect latest CS06&amp;7 format that removes FCPS, Retail Ground and FSS</t>
  </si>
  <si>
    <t>Updated to reflect latest CCCS Matrix format (correction to FY24)</t>
  </si>
  <si>
    <t>Updated to reflect latest I_FORMS format that removes FCPS, Retail Ground and FSS</t>
  </si>
  <si>
    <t>Updated to reflect latest CS10 format that removes FCPS, Retail Ground and FSS</t>
  </si>
  <si>
    <t>Updated to reflect latest RCCS Matrix format (correction to FY24)</t>
  </si>
  <si>
    <t>Updated to reflect latest RCCS Matrix values</t>
  </si>
  <si>
    <t>Source: CCCS_Matrix_FY25_Final_adj_v4.xlsx</t>
  </si>
  <si>
    <t>Source:  RPWShape, CCCS_Matrix_FY25_Final_adj_v4.xlsxx,CS06&amp;7-NP-FY25.xlsx</t>
  </si>
  <si>
    <t>WS 10.1.2 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</si>
</sst>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_)"/>
    <numFmt numFmtId="166" formatCode="_(* #,##0.000_);_(* \(#,##0.000\);_(* &quot;-&quot;??_);_(@_)"/>
    <numFmt numFmtId="167" formatCode="_(* #,##0.0000_);_(* \(#,##0.0000\);_(* &quot;-&quot;??_);_(@_)"/>
    <numFmt numFmtId="168" formatCode="0_)"/>
    <numFmt numFmtId="169" formatCode="0.0%"/>
    <numFmt numFmtId="170" formatCode="&quot;$&quot;#,##0.0;\(&quot;$&quot;#,##0.0\)"/>
    <numFmt numFmtId="171" formatCode="#,##0.0000000"/>
    <numFmt numFmtId="172" formatCode="#,##0.00000000"/>
    <numFmt numFmtId="173" formatCode="#,##0.000000000"/>
    <numFmt numFmtId="174" formatCode="#,##0.0000000000"/>
    <numFmt numFmtId="175" formatCode="0_);\(0\)"/>
    <numFmt numFmtId="176" formatCode="General_)"/>
    <numFmt numFmtId="177" formatCode="_(* #,##0.0_);_(* \(#,##0.0\);_(* &quot;-&quot;??_);_(@_)"/>
    <numFmt numFmtId="178" formatCode="_(&quot;$&quot;* #,##0.000_);_(&quot;$&quot;* \(#,##0.000\);_(&quot;$&quot;* &quot;-&quot;??_);_(@_)"/>
    <numFmt numFmtId="179" formatCode="#,##0_);\(#.##0\)"/>
    <numFmt numFmtId="180" formatCode="0.0000000_)"/>
    <numFmt numFmtId="181" formatCode="#,##0.000"/>
  </numFmts>
  <fonts count="4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2"/>
      <name val="Helv"/>
    </font>
    <font>
      <sz val="10"/>
      <name val="MS Sans Serif"/>
      <family val="2"/>
    </font>
    <font>
      <sz val="8"/>
      <name val="Helv"/>
    </font>
    <font>
      <sz val="10"/>
      <name val="Helv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8"/>
      <color indexed="12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b/>
      <sz val="8"/>
      <color indexed="12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b/>
      <sz val="8"/>
      <color rgb="FFFF0000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rgb="FF0070C0"/>
      <name val="Arial"/>
      <family val="2"/>
    </font>
    <font>
      <sz val="8"/>
      <color rgb="FF0070C0"/>
      <name val="Helv"/>
    </font>
    <font>
      <b/>
      <sz val="8"/>
      <color rgb="FF0070C0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</borders>
  <cellStyleXfs count="28">
    <xf numFmtId="0" fontId="0" fillId="0" borderId="0"/>
    <xf numFmtId="0" fontId="7" fillId="0" borderId="1" applyBorder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7" fillId="0" borderId="0"/>
    <xf numFmtId="4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0" fontId="1" fillId="0" borderId="0"/>
    <xf numFmtId="0" fontId="1" fillId="0" borderId="0"/>
    <xf numFmtId="168" fontId="7" fillId="0" borderId="0"/>
    <xf numFmtId="37" fontId="7" fillId="0" borderId="0"/>
    <xf numFmtId="37" fontId="7" fillId="0" borderId="0"/>
    <xf numFmtId="176" fontId="7" fillId="0" borderId="0"/>
    <xf numFmtId="0" fontId="1" fillId="0" borderId="0"/>
    <xf numFmtId="0" fontId="8" fillId="0" borderId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8" fillId="0" borderId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622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3" fontId="2" fillId="0" borderId="0" xfId="17" applyNumberFormat="1" applyFont="1"/>
    <xf numFmtId="0" fontId="4" fillId="0" borderId="0" xfId="16" applyFont="1"/>
    <xf numFmtId="168" fontId="10" fillId="0" borderId="0" xfId="12" applyFont="1"/>
    <xf numFmtId="168" fontId="9" fillId="0" borderId="0" xfId="12" applyFont="1"/>
    <xf numFmtId="168" fontId="7" fillId="0" borderId="0" xfId="12"/>
    <xf numFmtId="0" fontId="4" fillId="0" borderId="0" xfId="0" applyFont="1"/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1" fillId="0" borderId="0" xfId="0" applyFont="1"/>
    <xf numFmtId="0" fontId="0" fillId="0" borderId="0" xfId="0" applyAlignment="1">
      <alignment wrapText="1"/>
    </xf>
    <xf numFmtId="164" fontId="1" fillId="0" borderId="0" xfId="2" applyNumberFormat="1" applyFill="1"/>
    <xf numFmtId="164" fontId="2" fillId="0" borderId="0" xfId="2" applyNumberFormat="1" applyFont="1" applyFill="1"/>
    <xf numFmtId="0" fontId="6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175" fontId="5" fillId="0" borderId="4" xfId="0" applyNumberFormat="1" applyFont="1" applyBorder="1" applyAlignment="1">
      <alignment horizontal="center"/>
    </xf>
    <xf numFmtId="175" fontId="5" fillId="0" borderId="2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 applyAlignment="1">
      <alignment wrapText="1"/>
    </xf>
    <xf numFmtId="0" fontId="12" fillId="0" borderId="0" xfId="0" applyFont="1"/>
    <xf numFmtId="0" fontId="4" fillId="0" borderId="6" xfId="0" quotePrefix="1" applyFont="1" applyBorder="1" applyAlignment="1">
      <alignment horizontal="left" wrapText="1"/>
    </xf>
    <xf numFmtId="175" fontId="2" fillId="0" borderId="0" xfId="0" quotePrefix="1" applyNumberFormat="1" applyFont="1" applyAlignment="1">
      <alignment horizontal="left"/>
    </xf>
    <xf numFmtId="175" fontId="4" fillId="0" borderId="0" xfId="0" applyNumberFormat="1" applyFont="1"/>
    <xf numFmtId="37" fontId="5" fillId="0" borderId="3" xfId="12" quotePrefix="1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10" fontId="4" fillId="2" borderId="7" xfId="18" applyNumberFormat="1" applyFont="1" applyFill="1" applyBorder="1" applyAlignment="1">
      <alignment horizontal="center"/>
    </xf>
    <xf numFmtId="164" fontId="2" fillId="0" borderId="0" xfId="2" applyNumberFormat="1" applyFont="1" applyFill="1" applyBorder="1"/>
    <xf numFmtId="0" fontId="3" fillId="0" borderId="8" xfId="0" quotePrefix="1" applyFont="1" applyBorder="1" applyAlignment="1">
      <alignment horizontal="left" wrapText="1"/>
    </xf>
    <xf numFmtId="164" fontId="3" fillId="0" borderId="8" xfId="2" applyNumberFormat="1" applyFont="1" applyFill="1" applyBorder="1" applyAlignment="1">
      <alignment horizontal="center" wrapText="1"/>
    </xf>
    <xf numFmtId="164" fontId="3" fillId="0" borderId="8" xfId="2" quotePrefix="1" applyNumberFormat="1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3" xfId="0" quotePrefix="1" applyFont="1" applyBorder="1" applyAlignment="1">
      <alignment horizontal="center" vertical="top" wrapText="1"/>
    </xf>
    <xf numFmtId="164" fontId="5" fillId="0" borderId="3" xfId="2" applyNumberFormat="1" applyFont="1" applyFill="1" applyBorder="1" applyAlignment="1">
      <alignment horizontal="center" vertical="top" wrapText="1"/>
    </xf>
    <xf numFmtId="164" fontId="5" fillId="0" borderId="2" xfId="2" applyNumberFormat="1" applyFont="1" applyFill="1" applyBorder="1"/>
    <xf numFmtId="164" fontId="5" fillId="0" borderId="3" xfId="2" applyNumberFormat="1" applyFont="1" applyFill="1" applyBorder="1"/>
    <xf numFmtId="0" fontId="13" fillId="0" borderId="8" xfId="0" applyFont="1" applyBorder="1"/>
    <xf numFmtId="0" fontId="5" fillId="0" borderId="0" xfId="0" applyFont="1" applyAlignment="1">
      <alignment horizontal="center"/>
    </xf>
    <xf numFmtId="164" fontId="5" fillId="0" borderId="0" xfId="2" applyNumberFormat="1" applyFont="1"/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/>
    <xf numFmtId="0" fontId="5" fillId="0" borderId="2" xfId="0" quotePrefix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0" fontId="3" fillId="0" borderId="8" xfId="0" applyFont="1" applyBorder="1" applyAlignment="1">
      <alignment horizontal="center" wrapText="1"/>
    </xf>
    <xf numFmtId="0" fontId="3" fillId="0" borderId="8" xfId="0" quotePrefix="1" applyFont="1" applyBorder="1" applyAlignment="1">
      <alignment horizontal="center" wrapText="1"/>
    </xf>
    <xf numFmtId="168" fontId="5" fillId="0" borderId="2" xfId="12" applyFont="1" applyBorder="1" applyAlignment="1">
      <alignment horizontal="left" vertical="top"/>
    </xf>
    <xf numFmtId="37" fontId="5" fillId="0" borderId="2" xfId="12" quotePrefix="1" applyNumberFormat="1" applyFont="1" applyBorder="1" applyAlignment="1">
      <alignment horizontal="center"/>
    </xf>
    <xf numFmtId="168" fontId="5" fillId="0" borderId="3" xfId="12" applyFont="1" applyBorder="1" applyAlignment="1">
      <alignment horizontal="left" vertical="top" wrapText="1"/>
    </xf>
    <xf numFmtId="168" fontId="5" fillId="0" borderId="3" xfId="12" applyFont="1" applyBorder="1" applyAlignment="1">
      <alignment horizontal="center" wrapText="1"/>
    </xf>
    <xf numFmtId="175" fontId="5" fillId="0" borderId="3" xfId="0" applyNumberFormat="1" applyFont="1" applyBorder="1" applyAlignment="1">
      <alignment horizontal="center"/>
    </xf>
    <xf numFmtId="168" fontId="3" fillId="0" borderId="4" xfId="12" applyFont="1" applyBorder="1" applyAlignment="1">
      <alignment horizontal="center" wrapText="1"/>
    </xf>
    <xf numFmtId="168" fontId="3" fillId="0" borderId="3" xfId="12" applyFont="1" applyBorder="1" applyAlignment="1">
      <alignment horizontal="center" wrapText="1"/>
    </xf>
    <xf numFmtId="168" fontId="5" fillId="0" borderId="2" xfId="12" applyFont="1" applyBorder="1"/>
    <xf numFmtId="168" fontId="5" fillId="0" borderId="3" xfId="12" applyFont="1" applyBorder="1"/>
    <xf numFmtId="168" fontId="6" fillId="0" borderId="4" xfId="12" applyFont="1" applyBorder="1" applyAlignment="1">
      <alignment horizontal="center"/>
    </xf>
    <xf numFmtId="168" fontId="6" fillId="0" borderId="2" xfId="12" applyFont="1" applyBorder="1" applyAlignment="1">
      <alignment horizontal="center"/>
    </xf>
    <xf numFmtId="0" fontId="13" fillId="0" borderId="4" xfId="0" applyFont="1" applyBorder="1"/>
    <xf numFmtId="0" fontId="11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3" fillId="0" borderId="2" xfId="0" applyFont="1" applyBorder="1"/>
    <xf numFmtId="0" fontId="13" fillId="0" borderId="3" xfId="0" applyFont="1" applyBorder="1"/>
    <xf numFmtId="0" fontId="3" fillId="0" borderId="4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175" fontId="11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wrapText="1"/>
    </xf>
    <xf numFmtId="0" fontId="4" fillId="0" borderId="10" xfId="0" quotePrefix="1" applyFont="1" applyBorder="1" applyAlignment="1">
      <alignment horizontal="left" wrapText="1"/>
    </xf>
    <xf numFmtId="0" fontId="0" fillId="2" borderId="11" xfId="0" applyFill="1" applyBorder="1"/>
    <xf numFmtId="175" fontId="2" fillId="0" borderId="0" xfId="0" applyNumberFormat="1" applyFont="1"/>
    <xf numFmtId="175" fontId="5" fillId="0" borderId="3" xfId="2" applyNumberFormat="1" applyFont="1" applyFill="1" applyBorder="1" applyAlignment="1">
      <alignment horizontal="center"/>
    </xf>
    <xf numFmtId="175" fontId="5" fillId="0" borderId="2" xfId="2" applyNumberFormat="1" applyFont="1" applyFill="1" applyBorder="1" applyAlignment="1">
      <alignment horizontal="center"/>
    </xf>
    <xf numFmtId="0" fontId="5" fillId="0" borderId="3" xfId="0" quotePrefix="1" applyFont="1" applyBorder="1" applyAlignment="1">
      <alignment horizontal="left" wrapText="1"/>
    </xf>
    <xf numFmtId="0" fontId="5" fillId="0" borderId="2" xfId="0" quotePrefix="1" applyFont="1" applyBorder="1" applyAlignment="1">
      <alignment horizontal="center" wrapText="1"/>
    </xf>
    <xf numFmtId="0" fontId="5" fillId="0" borderId="2" xfId="0" applyFont="1" applyBorder="1" applyAlignment="1">
      <alignment horizontal="left" wrapText="1"/>
    </xf>
    <xf numFmtId="0" fontId="5" fillId="0" borderId="4" xfId="0" quotePrefix="1" applyFont="1" applyBorder="1" applyAlignment="1">
      <alignment horizontal="left" wrapText="1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quotePrefix="1" applyFont="1" applyBorder="1" applyAlignment="1">
      <alignment horizontal="center" wrapText="1"/>
    </xf>
    <xf numFmtId="0" fontId="5" fillId="0" borderId="4" xfId="0" quotePrefix="1" applyFont="1" applyBorder="1" applyAlignment="1">
      <alignment horizontal="center" wrapText="1"/>
    </xf>
    <xf numFmtId="0" fontId="2" fillId="0" borderId="12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8" xfId="0" applyFont="1" applyBorder="1" applyAlignment="1">
      <alignment horizontal="left"/>
    </xf>
    <xf numFmtId="164" fontId="11" fillId="0" borderId="4" xfId="2" applyNumberFormat="1" applyFont="1" applyBorder="1"/>
    <xf numFmtId="164" fontId="11" fillId="0" borderId="2" xfId="2" applyNumberFormat="1" applyFont="1" applyBorder="1"/>
    <xf numFmtId="164" fontId="11" fillId="0" borderId="3" xfId="2" applyNumberFormat="1" applyFont="1" applyBorder="1"/>
    <xf numFmtId="164" fontId="3" fillId="0" borderId="2" xfId="2" applyNumberFormat="1" applyFont="1" applyBorder="1"/>
    <xf numFmtId="0" fontId="13" fillId="0" borderId="2" xfId="0" applyFont="1" applyBorder="1" applyAlignment="1">
      <alignment horizontal="left"/>
    </xf>
    <xf numFmtId="0" fontId="11" fillId="0" borderId="2" xfId="0" quotePrefix="1" applyFont="1" applyBorder="1" applyAlignment="1">
      <alignment horizontal="center"/>
    </xf>
    <xf numFmtId="0" fontId="13" fillId="0" borderId="2" xfId="0" quotePrefix="1" applyFont="1" applyBorder="1" applyAlignment="1">
      <alignment horizontal="left"/>
    </xf>
    <xf numFmtId="1" fontId="11" fillId="0" borderId="13" xfId="0" quotePrefix="1" applyNumberFormat="1" applyFont="1" applyBorder="1" applyAlignment="1">
      <alignment horizontal="center" vertical="top" wrapText="1"/>
    </xf>
    <xf numFmtId="0" fontId="11" fillId="0" borderId="2" xfId="0" applyFont="1" applyBorder="1"/>
    <xf numFmtId="0" fontId="11" fillId="0" borderId="3" xfId="0" applyFont="1" applyBorder="1"/>
    <xf numFmtId="164" fontId="13" fillId="0" borderId="4" xfId="2" applyNumberFormat="1" applyFont="1" applyBorder="1"/>
    <xf numFmtId="164" fontId="13" fillId="0" borderId="2" xfId="2" applyNumberFormat="1" applyFont="1" applyBorder="1"/>
    <xf numFmtId="164" fontId="4" fillId="0" borderId="0" xfId="0" applyNumberFormat="1" applyFont="1"/>
    <xf numFmtId="0" fontId="3" fillId="0" borderId="4" xfId="0" applyFont="1" applyBorder="1" applyAlignment="1">
      <alignment horizontal="center" wrapText="1"/>
    </xf>
    <xf numFmtId="0" fontId="5" fillId="0" borderId="13" xfId="0" applyFont="1" applyBorder="1"/>
    <xf numFmtId="0" fontId="3" fillId="0" borderId="2" xfId="0" applyFont="1" applyBorder="1" applyAlignment="1">
      <alignment horizontal="left" vertical="top"/>
    </xf>
    <xf numFmtId="0" fontId="5" fillId="0" borderId="14" xfId="0" applyFont="1" applyBorder="1"/>
    <xf numFmtId="0" fontId="3" fillId="0" borderId="3" xfId="0" applyFont="1" applyBorder="1" applyAlignment="1">
      <alignment horizontal="left" vertical="top"/>
    </xf>
    <xf numFmtId="175" fontId="5" fillId="0" borderId="4" xfId="0" applyNumberFormat="1" applyFont="1" applyBorder="1" applyAlignment="1">
      <alignment horizontal="center" wrapText="1"/>
    </xf>
    <xf numFmtId="0" fontId="5" fillId="0" borderId="2" xfId="0" quotePrefix="1" applyFont="1" applyBorder="1" applyAlignment="1">
      <alignment horizontal="left" wrapText="1"/>
    </xf>
    <xf numFmtId="3" fontId="5" fillId="0" borderId="2" xfId="0" applyNumberFormat="1" applyFont="1" applyBorder="1"/>
    <xf numFmtId="3" fontId="5" fillId="0" borderId="3" xfId="0" applyNumberFormat="1" applyFont="1" applyBorder="1"/>
    <xf numFmtId="0" fontId="3" fillId="0" borderId="4" xfId="0" quotePrefix="1" applyFont="1" applyBorder="1" applyAlignment="1">
      <alignment horizontal="center" wrapText="1"/>
    </xf>
    <xf numFmtId="165" fontId="5" fillId="0" borderId="2" xfId="12" quotePrefix="1" applyNumberFormat="1" applyFont="1" applyBorder="1" applyAlignment="1">
      <alignment horizontal="left"/>
    </xf>
    <xf numFmtId="165" fontId="3" fillId="0" borderId="4" xfId="12" applyNumberFormat="1" applyFont="1" applyBorder="1" applyAlignment="1">
      <alignment horizontal="left"/>
    </xf>
    <xf numFmtId="164" fontId="5" fillId="0" borderId="4" xfId="2" applyNumberFormat="1" applyFont="1" applyFill="1" applyBorder="1"/>
    <xf numFmtId="164" fontId="11" fillId="0" borderId="0" xfId="2" applyNumberFormat="1" applyFont="1" applyFill="1"/>
    <xf numFmtId="175" fontId="11" fillId="0" borderId="4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quotePrefix="1" applyFont="1" applyBorder="1" applyAlignment="1">
      <alignment horizontal="left"/>
    </xf>
    <xf numFmtId="0" fontId="5" fillId="0" borderId="4" xfId="0" applyFont="1" applyBorder="1"/>
    <xf numFmtId="0" fontId="5" fillId="0" borderId="2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4" xfId="0" quotePrefix="1" applyFont="1" applyBorder="1" applyAlignment="1">
      <alignment horizontal="left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3" fillId="0" borderId="2" xfId="0" applyFont="1" applyBorder="1" applyAlignment="1">
      <alignment horizontal="center"/>
    </xf>
    <xf numFmtId="164" fontId="5" fillId="0" borderId="2" xfId="2" applyNumberFormat="1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175" fontId="3" fillId="0" borderId="3" xfId="0" applyNumberFormat="1" applyFont="1" applyBorder="1" applyAlignment="1">
      <alignment horizontal="center"/>
    </xf>
    <xf numFmtId="0" fontId="3" fillId="0" borderId="4" xfId="0" quotePrefix="1" applyFont="1" applyBorder="1" applyAlignment="1">
      <alignment horizontal="left"/>
    </xf>
    <xf numFmtId="6" fontId="3" fillId="0" borderId="4" xfId="0" quotePrefix="1" applyNumberFormat="1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2" xfId="0" quotePrefix="1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3" fillId="0" borderId="3" xfId="0" quotePrefix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14" fillId="0" borderId="8" xfId="0" applyFont="1" applyBorder="1"/>
    <xf numFmtId="0" fontId="3" fillId="0" borderId="8" xfId="0" applyFont="1" applyBorder="1" applyAlignment="1">
      <alignment horizontal="left" wrapText="1"/>
    </xf>
    <xf numFmtId="164" fontId="0" fillId="0" borderId="0" xfId="0" applyNumberFormat="1"/>
    <xf numFmtId="0" fontId="11" fillId="0" borderId="4" xfId="0" quotePrefix="1" applyFont="1" applyBorder="1" applyAlignment="1">
      <alignment horizontal="center"/>
    </xf>
    <xf numFmtId="164" fontId="5" fillId="0" borderId="2" xfId="2" applyNumberFormat="1" applyFont="1" applyBorder="1"/>
    <xf numFmtId="164" fontId="3" fillId="0" borderId="2" xfId="2" applyNumberFormat="1" applyFont="1" applyFill="1" applyBorder="1"/>
    <xf numFmtId="3" fontId="5" fillId="0" borderId="0" xfId="0" applyNumberFormat="1" applyFont="1"/>
    <xf numFmtId="164" fontId="11" fillId="0" borderId="0" xfId="0" applyNumberFormat="1" applyFont="1"/>
    <xf numFmtId="0" fontId="5" fillId="0" borderId="2" xfId="0" quotePrefix="1" applyFont="1" applyBorder="1" applyAlignment="1">
      <alignment horizontal="left" indent="1"/>
    </xf>
    <xf numFmtId="164" fontId="11" fillId="0" borderId="8" xfId="2" applyNumberFormat="1" applyFont="1" applyBorder="1"/>
    <xf numFmtId="165" fontId="5" fillId="0" borderId="3" xfId="0" applyNumberFormat="1" applyFont="1" applyBorder="1" applyAlignment="1">
      <alignment horizontal="left" indent="1"/>
    </xf>
    <xf numFmtId="164" fontId="5" fillId="0" borderId="3" xfId="2" applyNumberFormat="1" applyFont="1" applyBorder="1"/>
    <xf numFmtId="0" fontId="16" fillId="0" borderId="8" xfId="0" applyFont="1" applyBorder="1" applyAlignment="1">
      <alignment vertical="top" wrapText="1"/>
    </xf>
    <xf numFmtId="0" fontId="16" fillId="0" borderId="8" xfId="0" quotePrefix="1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/>
    </xf>
    <xf numFmtId="0" fontId="3" fillId="0" borderId="3" xfId="0" quotePrefix="1" applyFont="1" applyBorder="1" applyAlignment="1">
      <alignment horizontal="left" vertical="top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left"/>
    </xf>
    <xf numFmtId="0" fontId="11" fillId="0" borderId="8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2" xfId="0" applyFont="1" applyBorder="1" applyAlignment="1">
      <alignment horizontal="left" wrapText="1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64" fontId="11" fillId="0" borderId="2" xfId="2" applyNumberFormat="1" applyFont="1" applyFill="1" applyBorder="1" applyAlignment="1">
      <alignment horizontal="left"/>
    </xf>
    <xf numFmtId="0" fontId="0" fillId="0" borderId="0" xfId="0" quotePrefix="1" applyAlignment="1">
      <alignment horizontal="left"/>
    </xf>
    <xf numFmtId="37" fontId="2" fillId="0" borderId="0" xfId="14" quotePrefix="1" applyFont="1" applyAlignment="1">
      <alignment horizontal="left"/>
    </xf>
    <xf numFmtId="164" fontId="4" fillId="0" borderId="0" xfId="2" applyNumberFormat="1" applyFont="1"/>
    <xf numFmtId="37" fontId="0" fillId="0" borderId="0" xfId="0" applyNumberFormat="1"/>
    <xf numFmtId="37" fontId="2" fillId="0" borderId="0" xfId="0" applyNumberFormat="1" applyFont="1" applyAlignment="1">
      <alignment horizontal="left"/>
    </xf>
    <xf numFmtId="164" fontId="14" fillId="0" borderId="2" xfId="0" applyNumberFormat="1" applyFont="1" applyBorder="1" applyAlignment="1">
      <alignment horizontal="center"/>
    </xf>
    <xf numFmtId="0" fontId="11" fillId="0" borderId="2" xfId="0" quotePrefix="1" applyFont="1" applyBorder="1" applyAlignment="1">
      <alignment horizontal="left"/>
    </xf>
    <xf numFmtId="0" fontId="11" fillId="0" borderId="2" xfId="0" quotePrefix="1" applyFont="1" applyBorder="1" applyAlignment="1">
      <alignment horizontal="left" wrapText="1"/>
    </xf>
    <xf numFmtId="0" fontId="11" fillId="0" borderId="3" xfId="0" quotePrefix="1" applyFont="1" applyBorder="1" applyAlignment="1">
      <alignment horizontal="left" wrapText="1"/>
    </xf>
    <xf numFmtId="164" fontId="0" fillId="0" borderId="0" xfId="0" applyNumberFormat="1" applyAlignment="1">
      <alignment horizontal="left"/>
    </xf>
    <xf numFmtId="167" fontId="11" fillId="0" borderId="0" xfId="2" applyNumberFormat="1" applyFont="1" applyFill="1" applyBorder="1" applyAlignment="1">
      <alignment horizontal="center"/>
    </xf>
    <xf numFmtId="43" fontId="11" fillId="0" borderId="0" xfId="0" applyNumberFormat="1" applyFont="1" applyAlignment="1">
      <alignment horizontal="center"/>
    </xf>
    <xf numFmtId="0" fontId="11" fillId="0" borderId="8" xfId="0" applyFont="1" applyBorder="1"/>
    <xf numFmtId="0" fontId="11" fillId="0" borderId="8" xfId="0" quotePrefix="1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169" fontId="11" fillId="0" borderId="3" xfId="18" applyNumberFormat="1" applyFont="1" applyFill="1" applyBorder="1"/>
    <xf numFmtId="0" fontId="11" fillId="0" borderId="1" xfId="0" applyFont="1" applyBorder="1"/>
    <xf numFmtId="43" fontId="11" fillId="0" borderId="0" xfId="0" applyNumberFormat="1" applyFont="1"/>
    <xf numFmtId="37" fontId="5" fillId="0" borderId="0" xfId="0" applyNumberFormat="1" applyFont="1"/>
    <xf numFmtId="164" fontId="11" fillId="0" borderId="3" xfId="2" applyNumberFormat="1" applyFont="1" applyFill="1" applyBorder="1"/>
    <xf numFmtId="0" fontId="11" fillId="0" borderId="0" xfId="0" applyFont="1" applyAlignment="1">
      <alignment horizontal="left" indent="1"/>
    </xf>
    <xf numFmtId="166" fontId="0" fillId="0" borderId="0" xfId="2" applyNumberFormat="1" applyFont="1" applyFill="1" applyBorder="1" applyAlignment="1">
      <alignment horizontal="left"/>
    </xf>
    <xf numFmtId="0" fontId="4" fillId="0" borderId="0" xfId="0" quotePrefix="1" applyFont="1" applyAlignment="1">
      <alignment horizontal="left"/>
    </xf>
    <xf numFmtId="37" fontId="11" fillId="0" borderId="0" xfId="0" applyNumberFormat="1" applyFont="1"/>
    <xf numFmtId="0" fontId="5" fillId="0" borderId="3" xfId="0" applyFont="1" applyBorder="1" applyAlignment="1">
      <alignment horizontal="center" wrapText="1"/>
    </xf>
    <xf numFmtId="164" fontId="11" fillId="0" borderId="2" xfId="2" applyNumberFormat="1" applyFont="1" applyBorder="1" applyAlignment="1">
      <alignment horizontal="left" indent="1"/>
    </xf>
    <xf numFmtId="0" fontId="3" fillId="0" borderId="8" xfId="0" applyFont="1" applyBorder="1"/>
    <xf numFmtId="10" fontId="5" fillId="0" borderId="0" xfId="0" applyNumberFormat="1" applyFont="1"/>
    <xf numFmtId="10" fontId="5" fillId="0" borderId="0" xfId="18" applyNumberFormat="1" applyFont="1" applyFill="1" applyBorder="1" applyAlignment="1"/>
    <xf numFmtId="169" fontId="0" fillId="0" borderId="0" xfId="18" applyNumberFormat="1" applyFont="1"/>
    <xf numFmtId="164" fontId="11" fillId="0" borderId="2" xfId="2" applyNumberFormat="1" applyFont="1" applyBorder="1" applyAlignment="1">
      <alignment horizontal="left"/>
    </xf>
    <xf numFmtId="0" fontId="5" fillId="0" borderId="2" xfId="0" quotePrefix="1" applyFont="1" applyBorder="1" applyAlignment="1">
      <alignment horizontal="left"/>
    </xf>
    <xf numFmtId="164" fontId="11" fillId="0" borderId="2" xfId="2" applyNumberFormat="1" applyFont="1" applyBorder="1" applyAlignment="1">
      <alignment horizontal="left" indent="2"/>
    </xf>
    <xf numFmtId="164" fontId="13" fillId="0" borderId="8" xfId="2" applyNumberFormat="1" applyFont="1" applyBorder="1"/>
    <xf numFmtId="0" fontId="13" fillId="0" borderId="2" xfId="0" quotePrefix="1" applyFont="1" applyBorder="1" applyAlignment="1">
      <alignment horizontal="center"/>
    </xf>
    <xf numFmtId="175" fontId="11" fillId="0" borderId="2" xfId="2" applyNumberFormat="1" applyFont="1" applyBorder="1" applyAlignment="1">
      <alignment horizontal="center"/>
    </xf>
    <xf numFmtId="175" fontId="11" fillId="0" borderId="3" xfId="2" applyNumberFormat="1" applyFont="1" applyBorder="1" applyAlignment="1">
      <alignment horizontal="center"/>
    </xf>
    <xf numFmtId="175" fontId="5" fillId="0" borderId="2" xfId="2" applyNumberFormat="1" applyFont="1" applyBorder="1" applyAlignment="1">
      <alignment horizontal="center"/>
    </xf>
    <xf numFmtId="175" fontId="5" fillId="0" borderId="4" xfId="2" applyNumberFormat="1" applyFont="1" applyBorder="1" applyAlignment="1">
      <alignment horizontal="center"/>
    </xf>
    <xf numFmtId="175" fontId="5" fillId="0" borderId="3" xfId="2" applyNumberFormat="1" applyFont="1" applyBorder="1" applyAlignment="1">
      <alignment horizontal="center"/>
    </xf>
    <xf numFmtId="175" fontId="5" fillId="0" borderId="8" xfId="2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75" fontId="11" fillId="0" borderId="4" xfId="2" applyNumberFormat="1" applyFont="1" applyBorder="1" applyAlignment="1">
      <alignment horizontal="center"/>
    </xf>
    <xf numFmtId="175" fontId="11" fillId="0" borderId="8" xfId="2" applyNumberFormat="1" applyFont="1" applyBorder="1" applyAlignment="1">
      <alignment horizontal="center"/>
    </xf>
    <xf numFmtId="0" fontId="5" fillId="0" borderId="3" xfId="0" quotePrefix="1" applyFont="1" applyBorder="1" applyAlignment="1">
      <alignment horizontal="left"/>
    </xf>
    <xf numFmtId="164" fontId="5" fillId="0" borderId="8" xfId="2" applyNumberFormat="1" applyFont="1" applyFill="1" applyBorder="1" applyAlignment="1">
      <alignment horizontal="center"/>
    </xf>
    <xf numFmtId="164" fontId="19" fillId="0" borderId="2" xfId="2" applyNumberFormat="1" applyFont="1" applyBorder="1"/>
    <xf numFmtId="164" fontId="3" fillId="0" borderId="3" xfId="2" applyNumberFormat="1" applyFont="1" applyFill="1" applyBorder="1"/>
    <xf numFmtId="175" fontId="5" fillId="0" borderId="8" xfId="2" applyNumberFormat="1" applyFont="1" applyFill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vertical="top" wrapText="1"/>
    </xf>
    <xf numFmtId="178" fontId="5" fillId="0" borderId="4" xfId="5" applyNumberFormat="1" applyFont="1" applyFill="1" applyBorder="1"/>
    <xf numFmtId="178" fontId="5" fillId="0" borderId="3" xfId="5" applyNumberFormat="1" applyFont="1" applyFill="1" applyBorder="1"/>
    <xf numFmtId="178" fontId="5" fillId="0" borderId="2" xfId="5" applyNumberFormat="1" applyFont="1" applyFill="1" applyBorder="1"/>
    <xf numFmtId="175" fontId="5" fillId="0" borderId="12" xfId="0" quotePrefix="1" applyNumberFormat="1" applyFont="1" applyBorder="1" applyAlignment="1">
      <alignment horizontal="center"/>
    </xf>
    <xf numFmtId="0" fontId="5" fillId="0" borderId="22" xfId="0" quotePrefix="1" applyFont="1" applyBorder="1" applyAlignment="1">
      <alignment horizontal="center"/>
    </xf>
    <xf numFmtId="0" fontId="5" fillId="0" borderId="3" xfId="0" applyFont="1" applyBorder="1" applyAlignment="1">
      <alignment horizontal="center" vertical="top" wrapText="1"/>
    </xf>
    <xf numFmtId="0" fontId="5" fillId="0" borderId="12" xfId="0" quotePrefix="1" applyFont="1" applyBorder="1" applyAlignment="1">
      <alignment horizontal="center" wrapText="1"/>
    </xf>
    <xf numFmtId="0" fontId="5" fillId="0" borderId="8" xfId="0" applyFont="1" applyBorder="1" applyAlignment="1">
      <alignment horizontal="left"/>
    </xf>
    <xf numFmtId="37" fontId="5" fillId="0" borderId="2" xfId="0" applyNumberFormat="1" applyFont="1" applyBorder="1"/>
    <xf numFmtId="41" fontId="5" fillId="0" borderId="2" xfId="0" applyNumberFormat="1" applyFont="1" applyBorder="1" applyAlignment="1">
      <alignment horizontal="right"/>
    </xf>
    <xf numFmtId="41" fontId="5" fillId="0" borderId="0" xfId="0" applyNumberFormat="1" applyFont="1"/>
    <xf numFmtId="164" fontId="5" fillId="0" borderId="2" xfId="2" applyNumberFormat="1" applyFont="1" applyBorder="1" applyAlignment="1">
      <alignment horizontal="left" indent="1"/>
    </xf>
    <xf numFmtId="164" fontId="5" fillId="0" borderId="2" xfId="0" applyNumberFormat="1" applyFont="1" applyBorder="1"/>
    <xf numFmtId="177" fontId="5" fillId="0" borderId="2" xfId="2" applyNumberFormat="1" applyFont="1" applyBorder="1" applyAlignment="1">
      <alignment horizontal="left" indent="1"/>
    </xf>
    <xf numFmtId="177" fontId="5" fillId="0" borderId="3" xfId="2" applyNumberFormat="1" applyFont="1" applyBorder="1" applyAlignment="1">
      <alignment horizontal="left" indent="1"/>
    </xf>
    <xf numFmtId="168" fontId="6" fillId="0" borderId="3" xfId="12" applyFont="1" applyBorder="1" applyAlignment="1">
      <alignment horizontal="center"/>
    </xf>
    <xf numFmtId="165" fontId="3" fillId="0" borderId="4" xfId="12" quotePrefix="1" applyNumberFormat="1" applyFont="1" applyBorder="1" applyAlignment="1">
      <alignment horizontal="left"/>
    </xf>
    <xf numFmtId="168" fontId="6" fillId="0" borderId="8" xfId="12" applyFont="1" applyBorder="1" applyAlignment="1">
      <alignment horizontal="center"/>
    </xf>
    <xf numFmtId="165" fontId="3" fillId="0" borderId="8" xfId="0" quotePrefix="1" applyNumberFormat="1" applyFont="1" applyBorder="1" applyAlignment="1">
      <alignment horizontal="left"/>
    </xf>
    <xf numFmtId="0" fontId="1" fillId="0" borderId="23" xfId="0" quotePrefix="1" applyFont="1" applyBorder="1" applyAlignment="1">
      <alignment horizontal="left" wrapText="1"/>
    </xf>
    <xf numFmtId="10" fontId="1" fillId="2" borderId="24" xfId="18" applyNumberFormat="1" applyFont="1" applyFill="1" applyBorder="1" applyAlignment="1">
      <alignment horizontal="center"/>
    </xf>
    <xf numFmtId="0" fontId="1" fillId="0" borderId="0" xfId="0" applyFont="1"/>
    <xf numFmtId="0" fontId="3" fillId="0" borderId="3" xfId="0" quotePrefix="1" applyFont="1" applyBorder="1" applyAlignment="1">
      <alignment horizontal="left"/>
    </xf>
    <xf numFmtId="164" fontId="20" fillId="3" borderId="8" xfId="2" quotePrefix="1" applyNumberFormat="1" applyFont="1" applyFill="1" applyBorder="1" applyAlignment="1">
      <alignment horizontal="center" wrapText="1"/>
    </xf>
    <xf numFmtId="179" fontId="5" fillId="0" borderId="2" xfId="0" applyNumberFormat="1" applyFont="1" applyBorder="1"/>
    <xf numFmtId="179" fontId="5" fillId="0" borderId="3" xfId="0" applyNumberFormat="1" applyFont="1" applyBorder="1"/>
    <xf numFmtId="37" fontId="5" fillId="0" borderId="4" xfId="0" applyNumberFormat="1" applyFont="1" applyBorder="1"/>
    <xf numFmtId="37" fontId="5" fillId="0" borderId="8" xfId="0" applyNumberFormat="1" applyFont="1" applyBorder="1"/>
    <xf numFmtId="37" fontId="5" fillId="0" borderId="3" xfId="0" applyNumberFormat="1" applyFont="1" applyBorder="1" applyAlignment="1">
      <alignment vertical="top"/>
    </xf>
    <xf numFmtId="3" fontId="19" fillId="0" borderId="3" xfId="0" quotePrefix="1" applyNumberFormat="1" applyFont="1" applyBorder="1"/>
    <xf numFmtId="0" fontId="5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37" fontId="4" fillId="0" borderId="0" xfId="0" applyNumberFormat="1" applyFont="1"/>
    <xf numFmtId="37" fontId="3" fillId="0" borderId="8" xfId="0" quotePrefix="1" applyNumberFormat="1" applyFont="1" applyBorder="1" applyAlignment="1">
      <alignment horizontal="left"/>
    </xf>
    <xf numFmtId="164" fontId="11" fillId="0" borderId="8" xfId="2" applyNumberFormat="1" applyFont="1" applyFill="1" applyBorder="1"/>
    <xf numFmtId="0" fontId="2" fillId="0" borderId="8" xfId="0" quotePrefix="1" applyFont="1" applyBorder="1" applyAlignment="1">
      <alignment horizontal="left" wrapText="1"/>
    </xf>
    <xf numFmtId="164" fontId="19" fillId="0" borderId="2" xfId="2" applyNumberFormat="1" applyFont="1" applyFill="1" applyBorder="1"/>
    <xf numFmtId="0" fontId="15" fillId="0" borderId="4" xfId="0" quotePrefix="1" applyFont="1" applyBorder="1" applyAlignment="1">
      <alignment horizontal="left"/>
    </xf>
    <xf numFmtId="0" fontId="19" fillId="0" borderId="4" xfId="0" applyFont="1" applyBorder="1"/>
    <xf numFmtId="164" fontId="11" fillId="0" borderId="2" xfId="2" applyNumberFormat="1" applyFont="1" applyFill="1" applyBorder="1"/>
    <xf numFmtId="0" fontId="22" fillId="0" borderId="2" xfId="0" quotePrefix="1" applyFont="1" applyBorder="1" applyAlignment="1">
      <alignment horizontal="center" wrapText="1"/>
    </xf>
    <xf numFmtId="0" fontId="3" fillId="0" borderId="13" xfId="0" quotePrefix="1" applyFont="1" applyBorder="1" applyAlignment="1">
      <alignment horizontal="left"/>
    </xf>
    <xf numFmtId="164" fontId="5" fillId="0" borderId="13" xfId="2" quotePrefix="1" applyNumberFormat="1" applyFont="1" applyBorder="1" applyAlignment="1">
      <alignment horizontal="left"/>
    </xf>
    <xf numFmtId="0" fontId="5" fillId="0" borderId="13" xfId="0" applyFont="1" applyBorder="1" applyAlignment="1">
      <alignment horizontal="left" indent="2"/>
    </xf>
    <xf numFmtId="0" fontId="3" fillId="0" borderId="14" xfId="0" applyFont="1" applyBorder="1"/>
    <xf numFmtId="3" fontId="19" fillId="0" borderId="2" xfId="0" applyNumberFormat="1" applyFont="1" applyBorder="1"/>
    <xf numFmtId="164" fontId="5" fillId="0" borderId="2" xfId="2" applyNumberFormat="1" applyFont="1" applyBorder="1" applyAlignment="1">
      <alignment horizontal="right"/>
    </xf>
    <xf numFmtId="3" fontId="5" fillId="0" borderId="4" xfId="0" applyNumberFormat="1" applyFont="1" applyBorder="1"/>
    <xf numFmtId="164" fontId="5" fillId="0" borderId="2" xfId="2" applyNumberFormat="1" applyFont="1" applyFill="1" applyBorder="1" applyAlignment="1"/>
    <xf numFmtId="0" fontId="21" fillId="0" borderId="0" xfId="0" applyFont="1"/>
    <xf numFmtId="177" fontId="21" fillId="0" borderId="2" xfId="2" applyNumberFormat="1" applyFont="1" applyBorder="1" applyAlignment="1">
      <alignment horizontal="left" indent="1"/>
    </xf>
    <xf numFmtId="169" fontId="21" fillId="0" borderId="0" xfId="18" applyNumberFormat="1" applyFont="1"/>
    <xf numFmtId="164" fontId="23" fillId="0" borderId="2" xfId="2" applyNumberFormat="1" applyFont="1" applyBorder="1"/>
    <xf numFmtId="177" fontId="21" fillId="0" borderId="3" xfId="2" applyNumberFormat="1" applyFont="1" applyBorder="1" applyAlignment="1">
      <alignment horizontal="left" indent="1"/>
    </xf>
    <xf numFmtId="10" fontId="4" fillId="0" borderId="0" xfId="18" applyNumberFormat="1" applyFont="1"/>
    <xf numFmtId="164" fontId="5" fillId="0" borderId="0" xfId="2" applyNumberFormat="1" applyFont="1" applyFill="1"/>
    <xf numFmtId="164" fontId="0" fillId="0" borderId="0" xfId="2" applyNumberFormat="1" applyFont="1" applyFill="1" applyBorder="1"/>
    <xf numFmtId="164" fontId="3" fillId="0" borderId="2" xfId="2" quotePrefix="1" applyNumberFormat="1" applyFont="1" applyFill="1" applyBorder="1" applyAlignment="1">
      <alignment horizontal="center" wrapText="1"/>
    </xf>
    <xf numFmtId="164" fontId="3" fillId="0" borderId="3" xfId="2" quotePrefix="1" applyNumberFormat="1" applyFont="1" applyFill="1" applyBorder="1" applyAlignment="1">
      <alignment horizontal="center" wrapText="1"/>
    </xf>
    <xf numFmtId="164" fontId="3" fillId="0" borderId="4" xfId="2" applyNumberFormat="1" applyFont="1" applyFill="1" applyBorder="1" applyAlignment="1">
      <alignment horizontal="center" wrapText="1"/>
    </xf>
    <xf numFmtId="164" fontId="5" fillId="0" borderId="0" xfId="2" applyNumberFormat="1" applyFont="1" applyBorder="1"/>
    <xf numFmtId="14" fontId="0" fillId="0" borderId="0" xfId="0" applyNumberFormat="1" applyAlignment="1">
      <alignment horizontal="right"/>
    </xf>
    <xf numFmtId="14" fontId="1" fillId="0" borderId="0" xfId="0" applyNumberFormat="1" applyFont="1" applyAlignment="1">
      <alignment horizontal="right"/>
    </xf>
    <xf numFmtId="164" fontId="15" fillId="0" borderId="3" xfId="2" quotePrefix="1" applyNumberFormat="1" applyFont="1" applyFill="1" applyBorder="1" applyAlignment="1">
      <alignment horizontal="left"/>
    </xf>
    <xf numFmtId="177" fontId="5" fillId="0" borderId="0" xfId="2" quotePrefix="1" applyNumberFormat="1" applyFont="1" applyFill="1" applyBorder="1" applyAlignment="1"/>
    <xf numFmtId="180" fontId="9" fillId="0" borderId="0" xfId="12" applyNumberFormat="1" applyFont="1"/>
    <xf numFmtId="0" fontId="5" fillId="0" borderId="13" xfId="0" applyFont="1" applyBorder="1" applyAlignment="1">
      <alignment horizontal="left" indent="1"/>
    </xf>
    <xf numFmtId="164" fontId="5" fillId="0" borderId="2" xfId="2" quotePrefix="1" applyNumberFormat="1" applyFont="1" applyBorder="1" applyAlignment="1">
      <alignment horizontal="left" indent="1"/>
    </xf>
    <xf numFmtId="3" fontId="19" fillId="0" borderId="2" xfId="2" applyNumberFormat="1" applyFont="1" applyFill="1" applyBorder="1"/>
    <xf numFmtId="43" fontId="0" fillId="0" borderId="0" xfId="0" applyNumberFormat="1"/>
    <xf numFmtId="43" fontId="1" fillId="2" borderId="29" xfId="2" quotePrefix="1" applyFont="1" applyFill="1" applyBorder="1" applyAlignment="1">
      <alignment horizontal="center"/>
    </xf>
    <xf numFmtId="9" fontId="5" fillId="0" borderId="4" xfId="18" applyFont="1" applyBorder="1"/>
    <xf numFmtId="9" fontId="5" fillId="0" borderId="2" xfId="18" applyFont="1" applyBorder="1"/>
    <xf numFmtId="9" fontId="5" fillId="0" borderId="3" xfId="18" applyFont="1" applyBorder="1"/>
    <xf numFmtId="164" fontId="11" fillId="0" borderId="4" xfId="2" applyNumberFormat="1" applyFont="1" applyFill="1" applyBorder="1"/>
    <xf numFmtId="164" fontId="5" fillId="0" borderId="0" xfId="2" applyNumberFormat="1" applyFont="1" applyFill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15" xfId="0" quotePrefix="1" applyFont="1" applyBorder="1" applyAlignment="1">
      <alignment horizontal="left"/>
    </xf>
    <xf numFmtId="0" fontId="5" fillId="0" borderId="16" xfId="0" applyFont="1" applyBorder="1"/>
    <xf numFmtId="0" fontId="5" fillId="0" borderId="17" xfId="0" applyFont="1" applyBorder="1"/>
    <xf numFmtId="0" fontId="5" fillId="0" borderId="15" xfId="0" applyFont="1" applyBorder="1"/>
    <xf numFmtId="164" fontId="5" fillId="0" borderId="1" xfId="2" applyNumberFormat="1" applyFont="1" applyFill="1" applyBorder="1"/>
    <xf numFmtId="175" fontId="5" fillId="0" borderId="3" xfId="0" applyNumberFormat="1" applyFont="1" applyBorder="1" applyAlignment="1">
      <alignment horizontal="center" wrapText="1"/>
    </xf>
    <xf numFmtId="0" fontId="29" fillId="0" borderId="0" xfId="0" applyFont="1"/>
    <xf numFmtId="0" fontId="3" fillId="0" borderId="0" xfId="0" quotePrefix="1" applyFont="1" applyAlignment="1">
      <alignment horizontal="left"/>
    </xf>
    <xf numFmtId="0" fontId="5" fillId="0" borderId="3" xfId="0" quotePrefix="1" applyFont="1" applyBorder="1" applyAlignment="1">
      <alignment horizontal="left" indent="1"/>
    </xf>
    <xf numFmtId="179" fontId="19" fillId="0" borderId="0" xfId="0" applyNumberFormat="1" applyFont="1"/>
    <xf numFmtId="0" fontId="19" fillId="0" borderId="2" xfId="0" applyFont="1" applyBorder="1"/>
    <xf numFmtId="164" fontId="27" fillId="0" borderId="8" xfId="2" applyNumberFormat="1" applyFont="1" applyBorder="1"/>
    <xf numFmtId="164" fontId="27" fillId="0" borderId="2" xfId="2" applyNumberFormat="1" applyFont="1" applyBorder="1"/>
    <xf numFmtId="41" fontId="27" fillId="0" borderId="0" xfId="0" applyNumberFormat="1" applyFont="1"/>
    <xf numFmtId="169" fontId="5" fillId="0" borderId="2" xfId="18" applyNumberFormat="1" applyFont="1" applyFill="1" applyBorder="1"/>
    <xf numFmtId="164" fontId="5" fillId="0" borderId="3" xfId="2" applyNumberFormat="1" applyFont="1" applyFill="1" applyBorder="1" applyAlignment="1">
      <alignment horizontal="right"/>
    </xf>
    <xf numFmtId="0" fontId="1" fillId="0" borderId="0" xfId="16"/>
    <xf numFmtId="0" fontId="1" fillId="0" borderId="0" xfId="16" applyAlignment="1">
      <alignment horizontal="left" vertical="center" wrapText="1"/>
    </xf>
    <xf numFmtId="164" fontId="5" fillId="0" borderId="2" xfId="2" quotePrefix="1" applyNumberFormat="1" applyFont="1" applyBorder="1" applyAlignment="1">
      <alignment horizontal="left"/>
    </xf>
    <xf numFmtId="165" fontId="5" fillId="0" borderId="2" xfId="0" quotePrefix="1" applyNumberFormat="1" applyFont="1" applyBorder="1" applyAlignment="1">
      <alignment horizontal="left" indent="1"/>
    </xf>
    <xf numFmtId="3" fontId="19" fillId="0" borderId="4" xfId="0" applyNumberFormat="1" applyFont="1" applyBorder="1"/>
    <xf numFmtId="3" fontId="19" fillId="0" borderId="2" xfId="0" quotePrefix="1" applyNumberFormat="1" applyFont="1" applyBorder="1"/>
    <xf numFmtId="166" fontId="0" fillId="0" borderId="0" xfId="2" applyNumberFormat="1" applyFont="1" applyFill="1" applyBorder="1"/>
    <xf numFmtId="166" fontId="3" fillId="0" borderId="8" xfId="2" quotePrefix="1" applyNumberFormat="1" applyFont="1" applyFill="1" applyBorder="1" applyAlignment="1">
      <alignment horizontal="center" wrapText="1"/>
    </xf>
    <xf numFmtId="166" fontId="3" fillId="0" borderId="2" xfId="2" quotePrefix="1" applyNumberFormat="1" applyFont="1" applyFill="1" applyBorder="1" applyAlignment="1">
      <alignment horizontal="center" wrapText="1"/>
    </xf>
    <xf numFmtId="166" fontId="3" fillId="0" borderId="3" xfId="2" quotePrefix="1" applyNumberFormat="1" applyFont="1" applyFill="1" applyBorder="1" applyAlignment="1">
      <alignment horizontal="center" wrapText="1"/>
    </xf>
    <xf numFmtId="166" fontId="3" fillId="0" borderId="4" xfId="2" applyNumberFormat="1" applyFont="1" applyFill="1" applyBorder="1" applyAlignment="1">
      <alignment horizontal="center" wrapText="1"/>
    </xf>
    <xf numFmtId="177" fontId="5" fillId="0" borderId="0" xfId="2" applyNumberFormat="1" applyFont="1" applyFill="1" applyBorder="1" applyAlignment="1">
      <alignment horizontal="left" indent="2"/>
    </xf>
    <xf numFmtId="164" fontId="35" fillId="0" borderId="4" xfId="2" applyNumberFormat="1" applyFont="1" applyFill="1" applyBorder="1"/>
    <xf numFmtId="166" fontId="35" fillId="0" borderId="2" xfId="2" applyNumberFormat="1" applyFont="1" applyFill="1" applyBorder="1" applyProtection="1"/>
    <xf numFmtId="166" fontId="35" fillId="0" borderId="4" xfId="2" applyNumberFormat="1" applyFont="1" applyFill="1" applyBorder="1" applyProtection="1"/>
    <xf numFmtId="168" fontId="36" fillId="0" borderId="2" xfId="12" applyFont="1" applyBorder="1"/>
    <xf numFmtId="0" fontId="38" fillId="0" borderId="0" xfId="0" applyFont="1"/>
    <xf numFmtId="3" fontId="35" fillId="0" borderId="0" xfId="0" applyNumberFormat="1" applyFont="1"/>
    <xf numFmtId="164" fontId="19" fillId="0" borderId="3" xfId="2" applyNumberFormat="1" applyFont="1" applyFill="1" applyBorder="1"/>
    <xf numFmtId="164" fontId="5" fillId="0" borderId="8" xfId="22" applyNumberFormat="1" applyFont="1" applyFill="1" applyBorder="1"/>
    <xf numFmtId="164" fontId="5" fillId="0" borderId="8" xfId="2" applyNumberFormat="1" applyFont="1" applyFill="1" applyBorder="1"/>
    <xf numFmtId="0" fontId="1" fillId="0" borderId="8" xfId="0" applyFont="1" applyBorder="1" applyAlignment="1">
      <alignment horizontal="center"/>
    </xf>
    <xf numFmtId="175" fontId="5" fillId="0" borderId="4" xfId="2" applyNumberFormat="1" applyFont="1" applyFill="1" applyBorder="1" applyAlignment="1">
      <alignment horizontal="center"/>
    </xf>
    <xf numFmtId="164" fontId="13" fillId="0" borderId="4" xfId="2" applyNumberFormat="1" applyFont="1" applyFill="1" applyBorder="1"/>
    <xf numFmtId="164" fontId="13" fillId="0" borderId="2" xfId="2" applyNumberFormat="1" applyFont="1" applyFill="1" applyBorder="1"/>
    <xf numFmtId="164" fontId="13" fillId="0" borderId="8" xfId="2" applyNumberFormat="1" applyFont="1" applyFill="1" applyBorder="1"/>
    <xf numFmtId="164" fontId="11" fillId="0" borderId="3" xfId="2" applyNumberFormat="1" applyFont="1" applyFill="1" applyBorder="1" applyAlignment="1">
      <alignment horizontal="left" indent="1"/>
    </xf>
    <xf numFmtId="164" fontId="13" fillId="0" borderId="3" xfId="2" applyNumberFormat="1" applyFont="1" applyFill="1" applyBorder="1"/>
    <xf numFmtId="164" fontId="3" fillId="0" borderId="4" xfId="2" applyNumberFormat="1" applyFont="1" applyFill="1" applyBorder="1"/>
    <xf numFmtId="177" fontId="5" fillId="0" borderId="2" xfId="2" applyNumberFormat="1" applyFont="1" applyFill="1" applyBorder="1" applyAlignment="1">
      <alignment horizontal="left" indent="1"/>
    </xf>
    <xf numFmtId="177" fontId="5" fillId="0" borderId="3" xfId="2" applyNumberFormat="1" applyFont="1" applyFill="1" applyBorder="1" applyAlignment="1">
      <alignment horizontal="left" indent="1"/>
    </xf>
    <xf numFmtId="164" fontId="3" fillId="0" borderId="8" xfId="2" applyNumberFormat="1" applyFont="1" applyFill="1" applyBorder="1"/>
    <xf numFmtId="177" fontId="11" fillId="0" borderId="0" xfId="2" applyNumberFormat="1" applyFont="1" applyFill="1" applyAlignment="1">
      <alignment horizontal="left" indent="2"/>
    </xf>
    <xf numFmtId="177" fontId="11" fillId="0" borderId="2" xfId="2" applyNumberFormat="1" applyFont="1" applyFill="1" applyBorder="1" applyAlignment="1">
      <alignment horizontal="left" indent="2"/>
    </xf>
    <xf numFmtId="177" fontId="11" fillId="0" borderId="3" xfId="2" applyNumberFormat="1" applyFont="1" applyFill="1" applyBorder="1" applyAlignment="1">
      <alignment horizontal="left" indent="2"/>
    </xf>
    <xf numFmtId="175" fontId="5" fillId="0" borderId="0" xfId="2" applyNumberFormat="1" applyFont="1" applyFill="1" applyBorder="1" applyAlignment="1">
      <alignment horizontal="center"/>
    </xf>
    <xf numFmtId="37" fontId="5" fillId="0" borderId="2" xfId="2" applyNumberFormat="1" applyFont="1" applyFill="1" applyBorder="1"/>
    <xf numFmtId="169" fontId="5" fillId="0" borderId="17" xfId="18" applyNumberFormat="1" applyFont="1" applyFill="1" applyBorder="1"/>
    <xf numFmtId="169" fontId="5" fillId="0" borderId="3" xfId="18" applyNumberFormat="1" applyFont="1" applyFill="1" applyBorder="1"/>
    <xf numFmtId="164" fontId="0" fillId="0" borderId="0" xfId="2" applyNumberFormat="1" applyFont="1" applyFill="1"/>
    <xf numFmtId="164" fontId="19" fillId="0" borderId="4" xfId="2" applyNumberFormat="1" applyFont="1" applyFill="1" applyBorder="1"/>
    <xf numFmtId="0" fontId="11" fillId="0" borderId="4" xfId="0" applyFont="1" applyBorder="1"/>
    <xf numFmtId="0" fontId="11" fillId="0" borderId="8" xfId="0" applyFont="1" applyBorder="1" applyAlignment="1">
      <alignment horizontal="center"/>
    </xf>
    <xf numFmtId="0" fontId="11" fillId="0" borderId="3" xfId="0" quotePrefix="1" applyFont="1" applyBorder="1" applyAlignment="1">
      <alignment horizontal="left"/>
    </xf>
    <xf numFmtId="0" fontId="11" fillId="0" borderId="16" xfId="0" applyFont="1" applyBorder="1"/>
    <xf numFmtId="169" fontId="11" fillId="0" borderId="4" xfId="18" applyNumberFormat="1" applyFont="1" applyFill="1" applyBorder="1"/>
    <xf numFmtId="9" fontId="5" fillId="0" borderId="3" xfId="18" applyFont="1" applyFill="1" applyBorder="1"/>
    <xf numFmtId="164" fontId="5" fillId="0" borderId="25" xfId="2" applyNumberFormat="1" applyFont="1" applyFill="1" applyBorder="1"/>
    <xf numFmtId="0" fontId="5" fillId="0" borderId="3" xfId="0" applyFont="1" applyBorder="1" applyAlignment="1">
      <alignment horizontal="left"/>
    </xf>
    <xf numFmtId="49" fontId="2" fillId="0" borderId="0" xfId="0" quotePrefix="1" applyNumberFormat="1" applyFont="1" applyAlignment="1">
      <alignment horizontal="left"/>
    </xf>
    <xf numFmtId="0" fontId="3" fillId="0" borderId="13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3" xfId="0" quotePrefix="1" applyFont="1" applyBorder="1" applyAlignment="1">
      <alignment horizontal="left" vertical="top" wrapText="1"/>
    </xf>
    <xf numFmtId="164" fontId="5" fillId="0" borderId="4" xfId="2" applyNumberFormat="1" applyFont="1" applyBorder="1"/>
    <xf numFmtId="37" fontId="5" fillId="0" borderId="3" xfId="0" applyNumberFormat="1" applyFont="1" applyBorder="1"/>
    <xf numFmtId="0" fontId="2" fillId="0" borderId="8" xfId="0" applyFont="1" applyBorder="1"/>
    <xf numFmtId="0" fontId="3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 vertical="top"/>
    </xf>
    <xf numFmtId="37" fontId="5" fillId="0" borderId="8" xfId="0" applyNumberFormat="1" applyFont="1" applyBorder="1" applyAlignment="1">
      <alignment vertical="top"/>
    </xf>
    <xf numFmtId="181" fontId="5" fillId="0" borderId="8" xfId="0" applyNumberFormat="1" applyFont="1" applyBorder="1" applyAlignment="1">
      <alignment vertical="top"/>
    </xf>
    <xf numFmtId="0" fontId="39" fillId="0" borderId="0" xfId="0" applyFont="1"/>
    <xf numFmtId="3" fontId="5" fillId="0" borderId="3" xfId="0" applyNumberFormat="1" applyFont="1" applyBorder="1" applyAlignment="1">
      <alignment vertical="top" wrapText="1"/>
    </xf>
    <xf numFmtId="169" fontId="5" fillId="0" borderId="4" xfId="18" applyNumberFormat="1" applyFont="1" applyFill="1" applyBorder="1"/>
    <xf numFmtId="0" fontId="16" fillId="0" borderId="2" xfId="0" applyFont="1" applyBorder="1" applyAlignment="1">
      <alignment vertical="top" wrapText="1"/>
    </xf>
    <xf numFmtId="0" fontId="5" fillId="0" borderId="3" xfId="0" quotePrefix="1" applyFont="1" applyBorder="1" applyAlignment="1">
      <alignment horizontal="left" vertical="top" wrapText="1" indent="1"/>
    </xf>
    <xf numFmtId="166" fontId="5" fillId="0" borderId="3" xfId="2" applyNumberFormat="1" applyFont="1" applyFill="1" applyBorder="1" applyAlignment="1">
      <alignment vertical="top" wrapText="1"/>
    </xf>
    <xf numFmtId="3" fontId="2" fillId="0" borderId="0" xfId="17" quotePrefix="1" applyNumberFormat="1" applyFont="1" applyAlignment="1">
      <alignment horizontal="left"/>
    </xf>
    <xf numFmtId="10" fontId="5" fillId="0" borderId="0" xfId="18" applyNumberFormat="1" applyFont="1" applyFill="1"/>
    <xf numFmtId="1" fontId="5" fillId="0" borderId="13" xfId="0" quotePrefix="1" applyNumberFormat="1" applyFont="1" applyBorder="1" applyAlignment="1">
      <alignment horizontal="center" vertical="top" wrapText="1"/>
    </xf>
    <xf numFmtId="164" fontId="19" fillId="4" borderId="2" xfId="2" applyNumberFormat="1" applyFont="1" applyFill="1" applyBorder="1"/>
    <xf numFmtId="164" fontId="5" fillId="4" borderId="2" xfId="2" applyNumberFormat="1" applyFont="1" applyFill="1" applyBorder="1"/>
    <xf numFmtId="164" fontId="19" fillId="4" borderId="8" xfId="2" applyNumberFormat="1" applyFont="1" applyFill="1" applyBorder="1"/>
    <xf numFmtId="37" fontId="5" fillId="4" borderId="0" xfId="0" applyNumberFormat="1" applyFont="1" applyFill="1"/>
    <xf numFmtId="0" fontId="5" fillId="4" borderId="0" xfId="0" applyFont="1" applyFill="1"/>
    <xf numFmtId="0" fontId="16" fillId="0" borderId="4" xfId="0" applyFont="1" applyBorder="1" applyAlignment="1">
      <alignment horizontal="left" wrapText="1"/>
    </xf>
    <xf numFmtId="0" fontId="16" fillId="0" borderId="4" xfId="0" applyFont="1" applyBorder="1" applyAlignment="1">
      <alignment horizontal="left" vertical="top" wrapText="1"/>
    </xf>
    <xf numFmtId="0" fontId="16" fillId="0" borderId="8" xfId="0" quotePrefix="1" applyFont="1" applyBorder="1" applyAlignment="1">
      <alignment horizontal="left" wrapText="1"/>
    </xf>
    <xf numFmtId="9" fontId="5" fillId="0" borderId="0" xfId="18" applyFont="1"/>
    <xf numFmtId="164" fontId="5" fillId="0" borderId="4" xfId="2" applyNumberFormat="1" applyFont="1" applyFill="1" applyBorder="1" applyAlignment="1">
      <alignment horizontal="left" indent="2"/>
    </xf>
    <xf numFmtId="177" fontId="5" fillId="0" borderId="4" xfId="2" applyNumberFormat="1" applyFont="1" applyFill="1" applyBorder="1" applyAlignment="1">
      <alignment horizontal="left" indent="2"/>
    </xf>
    <xf numFmtId="177" fontId="5" fillId="0" borderId="0" xfId="2" applyNumberFormat="1" applyFont="1" applyFill="1" applyAlignment="1">
      <alignment horizontal="left" indent="2"/>
    </xf>
    <xf numFmtId="164" fontId="5" fillId="0" borderId="2" xfId="2" applyNumberFormat="1" applyFont="1" applyFill="1" applyBorder="1" applyAlignment="1">
      <alignment horizontal="left" indent="2"/>
    </xf>
    <xf numFmtId="177" fontId="5" fillId="0" borderId="2" xfId="2" applyNumberFormat="1" applyFont="1" applyFill="1" applyBorder="1" applyAlignment="1">
      <alignment horizontal="left" indent="2"/>
    </xf>
    <xf numFmtId="0" fontId="5" fillId="0" borderId="2" xfId="2" applyNumberFormat="1" applyFont="1" applyFill="1" applyBorder="1"/>
    <xf numFmtId="0" fontId="5" fillId="0" borderId="0" xfId="27" applyFont="1"/>
    <xf numFmtId="0" fontId="5" fillId="0" borderId="0" xfId="27" applyFont="1" applyAlignment="1">
      <alignment vertical="top"/>
    </xf>
    <xf numFmtId="49" fontId="1" fillId="2" borderId="26" xfId="2" quotePrefix="1" applyNumberFormat="1" applyFont="1" applyFill="1" applyBorder="1" applyAlignment="1">
      <alignment horizontal="left"/>
    </xf>
    <xf numFmtId="49" fontId="2" fillId="0" borderId="1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 vertical="top" wrapText="1"/>
    </xf>
    <xf numFmtId="0" fontId="4" fillId="0" borderId="5" xfId="0" quotePrefix="1" applyFont="1" applyBorder="1" applyAlignment="1">
      <alignment horizontal="left" wrapText="1"/>
    </xf>
    <xf numFmtId="164" fontId="1" fillId="0" borderId="0" xfId="0" applyNumberFormat="1" applyFont="1"/>
    <xf numFmtId="164" fontId="5" fillId="0" borderId="13" xfId="2" applyNumberFormat="1" applyFont="1" applyFill="1" applyBorder="1"/>
    <xf numFmtId="164" fontId="5" fillId="0" borderId="19" xfId="2" applyNumberFormat="1" applyFont="1" applyFill="1" applyBorder="1"/>
    <xf numFmtId="0" fontId="11" fillId="0" borderId="13" xfId="0" applyFont="1" applyBorder="1"/>
    <xf numFmtId="0" fontId="11" fillId="0" borderId="14" xfId="0" applyFont="1" applyBorder="1"/>
    <xf numFmtId="3" fontId="19" fillId="0" borderId="15" xfId="0" quotePrefix="1" applyNumberFormat="1" applyFont="1" applyBorder="1"/>
    <xf numFmtId="3" fontId="19" fillId="0" borderId="14" xfId="0" quotePrefix="1" applyNumberFormat="1" applyFont="1" applyBorder="1"/>
    <xf numFmtId="3" fontId="19" fillId="0" borderId="13" xfId="0" quotePrefix="1" applyNumberFormat="1" applyFont="1" applyBorder="1"/>
    <xf numFmtId="3" fontId="5" fillId="0" borderId="4" xfId="2" applyNumberFormat="1" applyFont="1" applyBorder="1" applyAlignment="1">
      <alignment horizontal="right"/>
    </xf>
    <xf numFmtId="3" fontId="19" fillId="0" borderId="20" xfId="2" applyNumberFormat="1" applyFont="1" applyFill="1" applyBorder="1"/>
    <xf numFmtId="3" fontId="19" fillId="0" borderId="8" xfId="2" applyNumberFormat="1" applyFont="1" applyFill="1" applyBorder="1"/>
    <xf numFmtId="164" fontId="35" fillId="0" borderId="3" xfId="2" applyNumberFormat="1" applyFont="1" applyFill="1" applyBorder="1"/>
    <xf numFmtId="164" fontId="27" fillId="0" borderId="8" xfId="0" applyNumberFormat="1" applyFont="1" applyBorder="1"/>
    <xf numFmtId="179" fontId="5" fillId="0" borderId="8" xfId="0" applyNumberFormat="1" applyFont="1" applyBorder="1"/>
    <xf numFmtId="164" fontId="19" fillId="0" borderId="8" xfId="0" applyNumberFormat="1" applyFont="1" applyBorder="1"/>
    <xf numFmtId="164" fontId="14" fillId="0" borderId="8" xfId="2" applyNumberFormat="1" applyFont="1" applyFill="1" applyBorder="1" applyAlignment="1">
      <alignment horizontal="center"/>
    </xf>
    <xf numFmtId="175" fontId="11" fillId="0" borderId="0" xfId="0" applyNumberFormat="1" applyFont="1" applyAlignment="1">
      <alignment horizontal="center"/>
    </xf>
    <xf numFmtId="0" fontId="11" fillId="0" borderId="0" xfId="0" quotePrefix="1" applyFont="1" applyAlignment="1">
      <alignment horizontal="center"/>
    </xf>
    <xf numFmtId="1" fontId="11" fillId="0" borderId="0" xfId="0" quotePrefix="1" applyNumberFormat="1" applyFont="1" applyAlignment="1">
      <alignment horizontal="center" vertical="top" wrapText="1"/>
    </xf>
    <xf numFmtId="169" fontId="5" fillId="0" borderId="2" xfId="18" applyNumberFormat="1" applyFont="1" applyFill="1" applyBorder="1" applyAlignment="1">
      <alignment horizontal="right"/>
    </xf>
    <xf numFmtId="49" fontId="3" fillId="0" borderId="8" xfId="0" applyNumberFormat="1" applyFont="1" applyBorder="1" applyAlignment="1">
      <alignment horizontal="center" wrapText="1"/>
    </xf>
    <xf numFmtId="49" fontId="3" fillId="0" borderId="8" xfId="0" quotePrefix="1" applyNumberFormat="1" applyFont="1" applyBorder="1" applyAlignment="1">
      <alignment horizontal="center" wrapText="1"/>
    </xf>
    <xf numFmtId="169" fontId="1" fillId="0" borderId="0" xfId="18" applyNumberFormat="1" applyFont="1" applyFill="1" applyBorder="1"/>
    <xf numFmtId="169" fontId="13" fillId="0" borderId="8" xfId="18" applyNumberFormat="1" applyFont="1" applyBorder="1" applyAlignment="1">
      <alignment horizontal="center"/>
    </xf>
    <xf numFmtId="169" fontId="13" fillId="0" borderId="2" xfId="18" applyNumberFormat="1" applyFont="1" applyBorder="1" applyAlignment="1">
      <alignment horizontal="center"/>
    </xf>
    <xf numFmtId="169" fontId="13" fillId="0" borderId="3" xfId="18" applyNumberFormat="1" applyFont="1" applyBorder="1" applyAlignment="1">
      <alignment horizontal="center"/>
    </xf>
    <xf numFmtId="169" fontId="5" fillId="0" borderId="3" xfId="18" applyNumberFormat="1" applyFont="1" applyFill="1" applyBorder="1" applyAlignment="1">
      <alignment horizontal="right"/>
    </xf>
    <xf numFmtId="169" fontId="0" fillId="0" borderId="0" xfId="18" applyNumberFormat="1" applyFont="1" applyFill="1" applyBorder="1"/>
    <xf numFmtId="169" fontId="1" fillId="0" borderId="15" xfId="18" applyNumberFormat="1" applyFont="1" applyFill="1" applyBorder="1"/>
    <xf numFmtId="169" fontId="1" fillId="0" borderId="17" xfId="18" applyNumberFormat="1" applyFont="1" applyFill="1" applyBorder="1"/>
    <xf numFmtId="164" fontId="5" fillId="0" borderId="13" xfId="2" applyNumberFormat="1" applyFont="1" applyFill="1" applyBorder="1" applyAlignment="1">
      <alignment horizontal="center"/>
    </xf>
    <xf numFmtId="164" fontId="5" fillId="0" borderId="12" xfId="2" applyNumberFormat="1" applyFont="1" applyFill="1" applyBorder="1" applyAlignment="1">
      <alignment horizontal="center"/>
    </xf>
    <xf numFmtId="169" fontId="5" fillId="0" borderId="13" xfId="18" applyNumberFormat="1" applyFont="1" applyFill="1" applyBorder="1"/>
    <xf numFmtId="169" fontId="5" fillId="0" borderId="12" xfId="18" applyNumberFormat="1" applyFont="1" applyFill="1" applyBorder="1"/>
    <xf numFmtId="164" fontId="5" fillId="0" borderId="14" xfId="2" applyNumberFormat="1" applyFont="1" applyFill="1" applyBorder="1" applyAlignment="1">
      <alignment horizontal="center"/>
    </xf>
    <xf numFmtId="164" fontId="5" fillId="0" borderId="18" xfId="2" applyNumberFormat="1" applyFont="1" applyFill="1" applyBorder="1" applyAlignment="1">
      <alignment horizontal="center"/>
    </xf>
    <xf numFmtId="169" fontId="1" fillId="0" borderId="4" xfId="18" applyNumberFormat="1" applyFont="1" applyFill="1" applyBorder="1"/>
    <xf numFmtId="164" fontId="5" fillId="0" borderId="3" xfId="2" applyNumberFormat="1" applyFont="1" applyFill="1" applyBorder="1" applyAlignment="1">
      <alignment horizontal="center"/>
    </xf>
    <xf numFmtId="166" fontId="35" fillId="0" borderId="3" xfId="2" applyNumberFormat="1" applyFont="1" applyFill="1" applyBorder="1" applyProtection="1"/>
    <xf numFmtId="166" fontId="35" fillId="0" borderId="8" xfId="2" applyNumberFormat="1" applyFont="1" applyFill="1" applyBorder="1" applyProtection="1"/>
    <xf numFmtId="164" fontId="27" fillId="0" borderId="4" xfId="2" applyNumberFormat="1" applyFont="1" applyFill="1" applyBorder="1"/>
    <xf numFmtId="164" fontId="3" fillId="0" borderId="13" xfId="2" applyNumberFormat="1" applyFont="1" applyFill="1" applyBorder="1"/>
    <xf numFmtId="177" fontId="5" fillId="0" borderId="13" xfId="2" applyNumberFormat="1" applyFont="1" applyFill="1" applyBorder="1" applyAlignment="1">
      <alignment horizontal="left" indent="1"/>
    </xf>
    <xf numFmtId="177" fontId="5" fillId="0" borderId="14" xfId="2" applyNumberFormat="1" applyFont="1" applyFill="1" applyBorder="1" applyAlignment="1">
      <alignment horizontal="left" indent="1"/>
    </xf>
    <xf numFmtId="37" fontId="5" fillId="0" borderId="25" xfId="2" applyNumberFormat="1" applyFont="1" applyFill="1" applyBorder="1"/>
    <xf numFmtId="3" fontId="19" fillId="0" borderId="4" xfId="0" quotePrefix="1" applyNumberFormat="1" applyFont="1" applyBorder="1"/>
    <xf numFmtId="1" fontId="5" fillId="0" borderId="3" xfId="0" quotePrefix="1" applyNumberFormat="1" applyFont="1" applyBorder="1" applyAlignment="1">
      <alignment horizontal="center" vertical="top" wrapText="1"/>
    </xf>
    <xf numFmtId="0" fontId="5" fillId="0" borderId="8" xfId="0" quotePrefix="1" applyFont="1" applyBorder="1" applyAlignment="1">
      <alignment horizontal="left"/>
    </xf>
    <xf numFmtId="37" fontId="11" fillId="0" borderId="4" xfId="2" applyNumberFormat="1" applyFont="1" applyBorder="1" applyAlignment="1">
      <alignment horizontal="center"/>
    </xf>
    <xf numFmtId="164" fontId="3" fillId="0" borderId="15" xfId="2" applyNumberFormat="1" applyFont="1" applyFill="1" applyBorder="1"/>
    <xf numFmtId="164" fontId="5" fillId="0" borderId="16" xfId="2" applyNumberFormat="1" applyFont="1" applyFill="1" applyBorder="1"/>
    <xf numFmtId="167" fontId="5" fillId="0" borderId="0" xfId="2" applyNumberFormat="1" applyFont="1" applyFill="1" applyBorder="1"/>
    <xf numFmtId="1" fontId="11" fillId="0" borderId="3" xfId="0" quotePrefix="1" applyNumberFormat="1" applyFont="1" applyBorder="1" applyAlignment="1">
      <alignment horizontal="center" vertical="top" wrapText="1"/>
    </xf>
    <xf numFmtId="1" fontId="11" fillId="0" borderId="8" xfId="2" applyNumberFormat="1" applyFont="1" applyBorder="1" applyAlignment="1">
      <alignment horizontal="center"/>
    </xf>
    <xf numFmtId="0" fontId="5" fillId="0" borderId="1" xfId="0" applyFont="1" applyBorder="1"/>
    <xf numFmtId="0" fontId="5" fillId="0" borderId="18" xfId="0" applyFont="1" applyBorder="1"/>
    <xf numFmtId="169" fontId="11" fillId="0" borderId="0" xfId="18" applyNumberFormat="1" applyFont="1" applyFill="1" applyBorder="1"/>
    <xf numFmtId="164" fontId="5" fillId="0" borderId="0" xfId="2" applyNumberFormat="1" applyFont="1" applyFill="1" applyBorder="1" applyAlignment="1"/>
    <xf numFmtId="37" fontId="35" fillId="0" borderId="0" xfId="0" applyNumberFormat="1" applyFont="1"/>
    <xf numFmtId="0" fontId="5" fillId="0" borderId="0" xfId="0" quotePrefix="1" applyFont="1" applyAlignment="1">
      <alignment wrapText="1"/>
    </xf>
    <xf numFmtId="164" fontId="35" fillId="0" borderId="0" xfId="2" applyNumberFormat="1" applyFont="1" applyFill="1" applyBorder="1"/>
    <xf numFmtId="164" fontId="38" fillId="0" borderId="0" xfId="2" applyNumberFormat="1" applyFont="1" applyFill="1" applyBorder="1" applyAlignment="1">
      <alignment horizontal="center"/>
    </xf>
    <xf numFmtId="164" fontId="35" fillId="0" borderId="12" xfId="2" applyNumberFormat="1" applyFont="1" applyFill="1" applyBorder="1"/>
    <xf numFmtId="0" fontId="5" fillId="0" borderId="13" xfId="0" quotePrefix="1" applyFont="1" applyBorder="1" applyAlignment="1">
      <alignment horizontal="left"/>
    </xf>
    <xf numFmtId="37" fontId="35" fillId="0" borderId="12" xfId="0" applyNumberFormat="1" applyFont="1" applyBorder="1"/>
    <xf numFmtId="164" fontId="38" fillId="0" borderId="12" xfId="2" applyNumberFormat="1" applyFont="1" applyFill="1" applyBorder="1"/>
    <xf numFmtId="0" fontId="5" fillId="0" borderId="13" xfId="0" applyFont="1" applyBorder="1" applyAlignment="1">
      <alignment horizontal="left"/>
    </xf>
    <xf numFmtId="0" fontId="5" fillId="0" borderId="13" xfId="0" quotePrefix="1" applyFont="1" applyBorder="1" applyAlignment="1">
      <alignment horizontal="left" wrapText="1"/>
    </xf>
    <xf numFmtId="0" fontId="5" fillId="0" borderId="14" xfId="0" quotePrefix="1" applyFont="1" applyBorder="1" applyAlignment="1">
      <alignment horizontal="left"/>
    </xf>
    <xf numFmtId="10" fontId="5" fillId="0" borderId="1" xfId="0" applyNumberFormat="1" applyFont="1" applyBorder="1"/>
    <xf numFmtId="164" fontId="5" fillId="0" borderId="1" xfId="2" applyNumberFormat="1" applyFont="1" applyFill="1" applyBorder="1" applyAlignment="1"/>
    <xf numFmtId="3" fontId="35" fillId="0" borderId="1" xfId="0" applyNumberFormat="1" applyFont="1" applyBorder="1"/>
    <xf numFmtId="3" fontId="35" fillId="0" borderId="18" xfId="0" applyNumberFormat="1" applyFont="1" applyBorder="1"/>
    <xf numFmtId="0" fontId="3" fillId="0" borderId="19" xfId="0" applyFont="1" applyBorder="1" applyAlignment="1">
      <alignment horizontal="center" wrapText="1"/>
    </xf>
    <xf numFmtId="0" fontId="3" fillId="0" borderId="20" xfId="0" quotePrefix="1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9" xfId="0" quotePrefix="1" applyFont="1" applyBorder="1" applyAlignment="1">
      <alignment horizontal="center" wrapText="1"/>
    </xf>
    <xf numFmtId="0" fontId="37" fillId="0" borderId="20" xfId="0" applyFont="1" applyBorder="1" applyAlignment="1">
      <alignment horizontal="center"/>
    </xf>
    <xf numFmtId="0" fontId="38" fillId="0" borderId="21" xfId="0" applyFont="1" applyBorder="1"/>
    <xf numFmtId="0" fontId="13" fillId="0" borderId="20" xfId="0" applyFont="1" applyBorder="1" applyAlignment="1">
      <alignment horizontal="center" wrapText="1"/>
    </xf>
    <xf numFmtId="164" fontId="5" fillId="0" borderId="18" xfId="2" applyNumberFormat="1" applyFont="1" applyFill="1" applyBorder="1" applyAlignment="1">
      <alignment horizontal="right"/>
    </xf>
    <xf numFmtId="169" fontId="3" fillId="0" borderId="2" xfId="18" applyNumberFormat="1" applyFont="1" applyBorder="1" applyAlignment="1">
      <alignment horizontal="center"/>
    </xf>
    <xf numFmtId="3" fontId="5" fillId="0" borderId="2" xfId="2" applyNumberFormat="1" applyFont="1" applyFill="1" applyBorder="1"/>
    <xf numFmtId="164" fontId="3" fillId="0" borderId="3" xfId="2" quotePrefix="1" applyNumberFormat="1" applyFont="1" applyFill="1" applyBorder="1" applyAlignment="1">
      <alignment horizontal="left"/>
    </xf>
    <xf numFmtId="169" fontId="5" fillId="0" borderId="2" xfId="18" applyNumberFormat="1" applyFont="1" applyBorder="1" applyAlignment="1">
      <alignment horizontal="right"/>
    </xf>
    <xf numFmtId="1" fontId="5" fillId="0" borderId="2" xfId="0" applyNumberFormat="1" applyFont="1" applyBorder="1"/>
    <xf numFmtId="169" fontId="5" fillId="0" borderId="3" xfId="18" applyNumberFormat="1" applyFont="1" applyBorder="1" applyAlignment="1">
      <alignment horizontal="right"/>
    </xf>
    <xf numFmtId="164" fontId="5" fillId="0" borderId="2" xfId="2" applyNumberFormat="1" applyFont="1" applyFill="1" applyBorder="1" applyAlignment="1">
      <alignment horizontal="right"/>
    </xf>
    <xf numFmtId="3" fontId="5" fillId="0" borderId="12" xfId="0" applyNumberFormat="1" applyFont="1" applyBorder="1"/>
    <xf numFmtId="10" fontId="5" fillId="0" borderId="2" xfId="0" applyNumberFormat="1" applyFont="1" applyBorder="1" applyAlignment="1">
      <alignment horizontal="right"/>
    </xf>
    <xf numFmtId="164" fontId="5" fillId="0" borderId="3" xfId="2" quotePrefix="1" applyNumberFormat="1" applyFont="1" applyFill="1" applyBorder="1" applyAlignment="1">
      <alignment horizontal="center"/>
    </xf>
    <xf numFmtId="164" fontId="5" fillId="0" borderId="4" xfId="2" quotePrefix="1" applyNumberFormat="1" applyFont="1" applyFill="1" applyBorder="1" applyAlignment="1">
      <alignment horizontal="center"/>
    </xf>
    <xf numFmtId="164" fontId="5" fillId="0" borderId="2" xfId="2" applyNumberFormat="1" applyFont="1" applyFill="1" applyBorder="1" applyAlignment="1">
      <alignment horizontal="left"/>
    </xf>
    <xf numFmtId="43" fontId="5" fillId="0" borderId="2" xfId="2" applyFont="1" applyFill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164" fontId="5" fillId="0" borderId="3" xfId="0" applyNumberFormat="1" applyFont="1" applyBorder="1" applyAlignment="1">
      <alignment horizontal="left"/>
    </xf>
    <xf numFmtId="0" fontId="5" fillId="0" borderId="8" xfId="0" quotePrefix="1" applyFont="1" applyBorder="1" applyAlignment="1">
      <alignment horizontal="center"/>
    </xf>
    <xf numFmtId="177" fontId="5" fillId="0" borderId="2" xfId="2" applyNumberFormat="1" applyFont="1" applyFill="1" applyBorder="1" applyAlignment="1">
      <alignment horizontal="right" indent="2"/>
    </xf>
    <xf numFmtId="177" fontId="5" fillId="0" borderId="0" xfId="2" applyNumberFormat="1" applyFont="1" applyFill="1" applyBorder="1" applyAlignment="1">
      <alignment horizontal="right" indent="2"/>
    </xf>
    <xf numFmtId="177" fontId="3" fillId="0" borderId="2" xfId="2" applyNumberFormat="1" applyFont="1" applyFill="1" applyBorder="1" applyAlignment="1"/>
    <xf numFmtId="176" fontId="3" fillId="0" borderId="9" xfId="15" quotePrefix="1" applyFont="1" applyBorder="1" applyAlignment="1">
      <alignment horizontal="center" wrapText="1"/>
    </xf>
    <xf numFmtId="176" fontId="3" fillId="0" borderId="0" xfId="15" applyFont="1" applyAlignment="1">
      <alignment horizontal="center" wrapText="1"/>
    </xf>
    <xf numFmtId="175" fontId="5" fillId="0" borderId="2" xfId="15" applyNumberFormat="1" applyFont="1" applyBorder="1" applyAlignment="1">
      <alignment horizontal="left"/>
    </xf>
    <xf numFmtId="175" fontId="5" fillId="0" borderId="2" xfId="15" applyNumberFormat="1" applyFont="1" applyBorder="1" applyAlignment="1">
      <alignment horizontal="center"/>
    </xf>
    <xf numFmtId="176" fontId="5" fillId="0" borderId="0" xfId="15" applyFont="1"/>
    <xf numFmtId="176" fontId="5" fillId="0" borderId="2" xfId="15" applyFont="1" applyBorder="1" applyAlignment="1">
      <alignment horizontal="left" vertical="top" wrapText="1"/>
    </xf>
    <xf numFmtId="176" fontId="5" fillId="0" borderId="2" xfId="15" applyFont="1" applyBorder="1" applyAlignment="1">
      <alignment horizontal="center" vertical="top" wrapText="1"/>
    </xf>
    <xf numFmtId="176" fontId="5" fillId="0" borderId="0" xfId="15" applyFont="1" applyAlignment="1">
      <alignment vertical="top"/>
    </xf>
    <xf numFmtId="176" fontId="5" fillId="0" borderId="2" xfId="15" applyFont="1" applyBorder="1" applyAlignment="1">
      <alignment horizontal="left"/>
    </xf>
    <xf numFmtId="176" fontId="5" fillId="0" borderId="2" xfId="15" applyFont="1" applyBorder="1" applyAlignment="1">
      <alignment horizontal="center"/>
    </xf>
    <xf numFmtId="176" fontId="5" fillId="0" borderId="3" xfId="15" applyFont="1" applyBorder="1" applyAlignment="1">
      <alignment horizontal="left" vertical="top"/>
    </xf>
    <xf numFmtId="176" fontId="5" fillId="0" borderId="3" xfId="15" applyFont="1" applyBorder="1" applyAlignment="1">
      <alignment horizontal="center" vertical="top"/>
    </xf>
    <xf numFmtId="3" fontId="5" fillId="0" borderId="2" xfId="0" quotePrefix="1" applyNumberFormat="1" applyFont="1" applyBorder="1"/>
    <xf numFmtId="37" fontId="3" fillId="0" borderId="0" xfId="14" quotePrefix="1" applyFont="1" applyAlignment="1">
      <alignment horizontal="center" wrapText="1"/>
    </xf>
    <xf numFmtId="37" fontId="3" fillId="0" borderId="0" xfId="14" applyFont="1" applyAlignment="1">
      <alignment horizontal="center" wrapText="1"/>
    </xf>
    <xf numFmtId="37" fontId="3" fillId="0" borderId="8" xfId="14" quotePrefix="1" applyFont="1" applyBorder="1" applyAlignment="1">
      <alignment horizontal="left" wrapText="1"/>
    </xf>
    <xf numFmtId="37" fontId="3" fillId="0" borderId="8" xfId="14" applyFont="1" applyBorder="1" applyAlignment="1">
      <alignment horizontal="center" wrapText="1"/>
    </xf>
    <xf numFmtId="37" fontId="3" fillId="0" borderId="8" xfId="14" quotePrefix="1" applyFont="1" applyBorder="1" applyAlignment="1">
      <alignment horizontal="center" wrapText="1"/>
    </xf>
    <xf numFmtId="37" fontId="13" fillId="0" borderId="4" xfId="14" quotePrefix="1" applyFont="1" applyBorder="1" applyAlignment="1">
      <alignment horizontal="left"/>
    </xf>
    <xf numFmtId="37" fontId="5" fillId="0" borderId="4" xfId="14" quotePrefix="1" applyFont="1" applyBorder="1" applyAlignment="1">
      <alignment horizontal="center"/>
    </xf>
    <xf numFmtId="37" fontId="13" fillId="0" borderId="2" xfId="14" applyFont="1" applyBorder="1" applyAlignment="1">
      <alignment horizontal="left" vertical="top"/>
    </xf>
    <xf numFmtId="0" fontId="5" fillId="0" borderId="2" xfId="0" quotePrefix="1" applyFont="1" applyBorder="1" applyAlignment="1">
      <alignment horizontal="center" vertical="top"/>
    </xf>
    <xf numFmtId="0" fontId="5" fillId="0" borderId="0" xfId="0" applyFont="1" applyAlignment="1">
      <alignment vertical="top"/>
    </xf>
    <xf numFmtId="37" fontId="13" fillId="0" borderId="3" xfId="14" applyFont="1" applyBorder="1" applyAlignment="1">
      <alignment horizontal="left" vertical="top"/>
    </xf>
    <xf numFmtId="0" fontId="2" fillId="0" borderId="0" xfId="0" applyFont="1" applyAlignment="1">
      <alignment horizontal="right"/>
    </xf>
    <xf numFmtId="0" fontId="30" fillId="0" borderId="0" xfId="0" quotePrefix="1" applyFont="1" applyAlignment="1">
      <alignment horizontal="left"/>
    </xf>
    <xf numFmtId="0" fontId="5" fillId="0" borderId="8" xfId="0" quotePrefix="1" applyFont="1" applyBorder="1" applyAlignment="1">
      <alignment horizontal="center" wrapText="1"/>
    </xf>
    <xf numFmtId="176" fontId="3" fillId="0" borderId="9" xfId="15" applyFont="1" applyBorder="1" applyAlignment="1">
      <alignment horizontal="center" wrapText="1"/>
    </xf>
    <xf numFmtId="0" fontId="3" fillId="0" borderId="0" xfId="0" applyFont="1" applyAlignment="1">
      <alignment wrapText="1"/>
    </xf>
    <xf numFmtId="37" fontId="5" fillId="0" borderId="2" xfId="14" applyFont="1" applyBorder="1" applyAlignment="1">
      <alignment horizontal="center" vertical="top"/>
    </xf>
    <xf numFmtId="37" fontId="5" fillId="0" borderId="2" xfId="14" quotePrefix="1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13" fillId="0" borderId="3" xfId="0" applyFont="1" applyBorder="1" applyAlignment="1">
      <alignment horizontal="left" vertical="top"/>
    </xf>
    <xf numFmtId="37" fontId="5" fillId="0" borderId="2" xfId="0" applyNumberFormat="1" applyFont="1" applyBorder="1" applyAlignment="1">
      <alignment horizontal="center"/>
    </xf>
    <xf numFmtId="37" fontId="13" fillId="0" borderId="2" xfId="0" applyNumberFormat="1" applyFont="1" applyBorder="1" applyAlignment="1">
      <alignment horizontal="left"/>
    </xf>
    <xf numFmtId="37" fontId="5" fillId="0" borderId="2" xfId="0" applyNumberFormat="1" applyFont="1" applyBorder="1" applyAlignment="1">
      <alignment horizontal="left"/>
    </xf>
    <xf numFmtId="37" fontId="13" fillId="0" borderId="8" xfId="0" applyNumberFormat="1" applyFont="1" applyBorder="1" applyAlignment="1">
      <alignment horizontal="left"/>
    </xf>
    <xf numFmtId="164" fontId="5" fillId="0" borderId="12" xfId="2" applyNumberFormat="1" applyFont="1" applyFill="1" applyBorder="1"/>
    <xf numFmtId="37" fontId="5" fillId="0" borderId="3" xfId="0" applyNumberFormat="1" applyFont="1" applyBorder="1" applyAlignment="1">
      <alignment horizontal="center"/>
    </xf>
    <xf numFmtId="37" fontId="3" fillId="0" borderId="3" xfId="0" applyNumberFormat="1" applyFont="1" applyBorder="1" applyAlignment="1">
      <alignment horizontal="left"/>
    </xf>
    <xf numFmtId="164" fontId="5" fillId="0" borderId="21" xfId="2" applyNumberFormat="1" applyFont="1" applyFill="1" applyBorder="1"/>
    <xf numFmtId="37" fontId="13" fillId="0" borderId="3" xfId="0" applyNumberFormat="1" applyFont="1" applyBorder="1" applyAlignment="1">
      <alignment horizontal="left"/>
    </xf>
    <xf numFmtId="37" fontId="3" fillId="0" borderId="2" xfId="0" applyNumberFormat="1" applyFont="1" applyBorder="1" applyAlignment="1">
      <alignment horizontal="left"/>
    </xf>
    <xf numFmtId="37" fontId="5" fillId="0" borderId="2" xfId="0" applyNumberFormat="1" applyFont="1" applyBorder="1" applyAlignment="1">
      <alignment horizontal="center" wrapText="1"/>
    </xf>
    <xf numFmtId="37" fontId="5" fillId="0" borderId="2" xfId="0" applyNumberFormat="1" applyFont="1" applyBorder="1" applyAlignment="1">
      <alignment horizontal="left" wrapText="1"/>
    </xf>
    <xf numFmtId="37" fontId="5" fillId="0" borderId="2" xfId="14" applyFont="1" applyBorder="1" applyAlignment="1">
      <alignment horizontal="center"/>
    </xf>
    <xf numFmtId="37" fontId="5" fillId="0" borderId="2" xfId="14" applyFont="1" applyBorder="1" applyAlignment="1">
      <alignment horizontal="left"/>
    </xf>
    <xf numFmtId="37" fontId="5" fillId="0" borderId="8" xfId="0" quotePrefix="1" applyNumberFormat="1" applyFont="1" applyBorder="1" applyAlignment="1">
      <alignment horizontal="center"/>
    </xf>
    <xf numFmtId="37" fontId="13" fillId="0" borderId="8" xfId="0" quotePrefix="1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quotePrefix="1" applyFont="1" applyAlignment="1">
      <alignment horizontal="center"/>
    </xf>
    <xf numFmtId="164" fontId="5" fillId="0" borderId="4" xfId="0" applyNumberFormat="1" applyFont="1" applyBorder="1"/>
    <xf numFmtId="164" fontId="5" fillId="0" borderId="3" xfId="0" applyNumberFormat="1" applyFont="1" applyBorder="1"/>
    <xf numFmtId="176" fontId="2" fillId="0" borderId="0" xfId="15" applyFont="1" applyAlignment="1">
      <alignment horizontal="left"/>
    </xf>
    <xf numFmtId="37" fontId="2" fillId="0" borderId="0" xfId="13" applyFont="1" applyAlignment="1">
      <alignment horizontal="left"/>
    </xf>
    <xf numFmtId="37" fontId="13" fillId="0" borderId="13" xfId="14" applyFont="1" applyBorder="1" applyAlignment="1">
      <alignment horizontal="left"/>
    </xf>
    <xf numFmtId="37" fontId="13" fillId="0" borderId="13" xfId="14" applyFont="1" applyBorder="1" applyAlignment="1">
      <alignment horizontal="left" vertical="top" wrapText="1"/>
    </xf>
    <xf numFmtId="0" fontId="0" fillId="0" borderId="2" xfId="0" applyBorder="1"/>
    <xf numFmtId="0" fontId="5" fillId="0" borderId="2" xfId="0" quotePrefix="1" applyFont="1" applyBorder="1" applyAlignment="1">
      <alignment horizontal="center" vertical="top" wrapText="1"/>
    </xf>
    <xf numFmtId="37" fontId="13" fillId="0" borderId="13" xfId="14" applyFont="1" applyBorder="1" applyAlignment="1">
      <alignment horizontal="left" vertical="top"/>
    </xf>
    <xf numFmtId="37" fontId="13" fillId="0" borderId="1" xfId="13" applyFont="1" applyBorder="1" applyAlignment="1">
      <alignment horizontal="left" vertical="top" wrapText="1"/>
    </xf>
    <xf numFmtId="0" fontId="5" fillId="0" borderId="4" xfId="0" applyFont="1" applyBorder="1" applyAlignment="1">
      <alignment horizontal="left" wrapText="1"/>
    </xf>
    <xf numFmtId="0" fontId="11" fillId="0" borderId="2" xfId="0" quotePrefix="1" applyFont="1" applyBorder="1" applyAlignment="1">
      <alignment horizontal="left" indent="1"/>
    </xf>
    <xf numFmtId="0" fontId="11" fillId="0" borderId="2" xfId="0" applyFont="1" applyBorder="1" applyAlignment="1">
      <alignment horizontal="left" indent="1"/>
    </xf>
    <xf numFmtId="0" fontId="5" fillId="0" borderId="2" xfId="0" quotePrefix="1" applyFont="1" applyBorder="1" applyAlignment="1">
      <alignment horizontal="left" indent="2"/>
    </xf>
    <xf numFmtId="0" fontId="5" fillId="0" borderId="2" xfId="0" applyFont="1" applyBorder="1" applyAlignment="1">
      <alignment horizontal="left" indent="2"/>
    </xf>
    <xf numFmtId="0" fontId="11" fillId="0" borderId="3" xfId="0" quotePrefix="1" applyFont="1" applyBorder="1" applyAlignment="1">
      <alignment horizontal="left" indent="1"/>
    </xf>
    <xf numFmtId="0" fontId="11" fillId="0" borderId="3" xfId="0" applyFont="1" applyBorder="1" applyAlignment="1">
      <alignment horizontal="left" indent="1"/>
    </xf>
    <xf numFmtId="3" fontId="19" fillId="0" borderId="3" xfId="0" applyNumberFormat="1" applyFont="1" applyBorder="1"/>
    <xf numFmtId="0" fontId="30" fillId="0" borderId="0" xfId="0" applyFont="1"/>
    <xf numFmtId="3" fontId="0" fillId="0" borderId="0" xfId="0" applyNumberFormat="1"/>
    <xf numFmtId="49" fontId="2" fillId="0" borderId="0" xfId="0" applyNumberFormat="1" applyFont="1"/>
    <xf numFmtId="175" fontId="3" fillId="0" borderId="8" xfId="0" applyNumberFormat="1" applyFont="1" applyBorder="1" applyAlignment="1">
      <alignment horizontal="center" wrapText="1"/>
    </xf>
    <xf numFmtId="0" fontId="5" fillId="0" borderId="0" xfId="0" applyFont="1" applyAlignment="1">
      <alignment wrapText="1"/>
    </xf>
    <xf numFmtId="175" fontId="3" fillId="0" borderId="4" xfId="0" applyNumberFormat="1" applyFont="1" applyBorder="1" applyAlignment="1">
      <alignment horizontal="center" wrapText="1"/>
    </xf>
    <xf numFmtId="175" fontId="3" fillId="0" borderId="2" xfId="0" applyNumberFormat="1" applyFont="1" applyBorder="1" applyAlignment="1">
      <alignment horizontal="center" wrapText="1"/>
    </xf>
    <xf numFmtId="175" fontId="3" fillId="0" borderId="3" xfId="0" applyNumberFormat="1" applyFont="1" applyBorder="1" applyAlignment="1">
      <alignment horizontal="center" wrapText="1"/>
    </xf>
    <xf numFmtId="164" fontId="5" fillId="0" borderId="25" xfId="0" applyNumberFormat="1" applyFont="1" applyBorder="1"/>
    <xf numFmtId="164" fontId="5" fillId="0" borderId="27" xfId="2" applyNumberFormat="1" applyFont="1" applyFill="1" applyBorder="1"/>
    <xf numFmtId="43" fontId="5" fillId="0" borderId="0" xfId="0" applyNumberFormat="1" applyFont="1"/>
    <xf numFmtId="3" fontId="5" fillId="0" borderId="0" xfId="0" quotePrefix="1" applyNumberFormat="1" applyFont="1" applyAlignment="1">
      <alignment horizontal="left"/>
    </xf>
    <xf numFmtId="0" fontId="5" fillId="0" borderId="2" xfId="0" quotePrefix="1" applyFont="1" applyBorder="1" applyAlignment="1">
      <alignment horizontal="left" indent="3"/>
    </xf>
    <xf numFmtId="0" fontId="5" fillId="0" borderId="33" xfId="0" applyFont="1" applyBorder="1" applyAlignment="1">
      <alignment horizontal="left" indent="2"/>
    </xf>
    <xf numFmtId="0" fontId="5" fillId="0" borderId="28" xfId="0" applyFont="1" applyBorder="1" applyAlignment="1">
      <alignment horizontal="left" indent="2"/>
    </xf>
    <xf numFmtId="164" fontId="5" fillId="0" borderId="3" xfId="2" applyNumberFormat="1" applyFont="1" applyFill="1" applyBorder="1" applyAlignment="1">
      <alignment horizontal="left"/>
    </xf>
    <xf numFmtId="175" fontId="5" fillId="0" borderId="0" xfId="0" applyNumberFormat="1" applyFont="1" applyAlignment="1">
      <alignment horizontal="center"/>
    </xf>
    <xf numFmtId="0" fontId="32" fillId="0" borderId="0" xfId="0" applyFont="1"/>
    <xf numFmtId="164" fontId="0" fillId="0" borderId="0" xfId="22" applyNumberFormat="1" applyFont="1" applyFill="1"/>
    <xf numFmtId="0" fontId="33" fillId="0" borderId="0" xfId="0" applyFont="1"/>
    <xf numFmtId="0" fontId="34" fillId="0" borderId="30" xfId="0" applyFont="1" applyBorder="1"/>
    <xf numFmtId="164" fontId="34" fillId="0" borderId="30" xfId="22" applyNumberFormat="1" applyFont="1" applyFill="1" applyBorder="1"/>
    <xf numFmtId="164" fontId="34" fillId="0" borderId="32" xfId="2" applyNumberFormat="1" applyFont="1" applyFill="1" applyBorder="1"/>
    <xf numFmtId="0" fontId="34" fillId="0" borderId="8" xfId="0" applyFont="1" applyBorder="1"/>
    <xf numFmtId="164" fontId="34" fillId="0" borderId="8" xfId="22" applyNumberFormat="1" applyFont="1" applyFill="1" applyBorder="1"/>
    <xf numFmtId="0" fontId="5" fillId="0" borderId="8" xfId="0" applyFont="1" applyBorder="1"/>
    <xf numFmtId="164" fontId="34" fillId="0" borderId="8" xfId="2" applyNumberFormat="1" applyFont="1" applyFill="1" applyBorder="1"/>
    <xf numFmtId="164" fontId="3" fillId="0" borderId="4" xfId="0" applyNumberFormat="1" applyFont="1" applyBorder="1"/>
    <xf numFmtId="0" fontId="5" fillId="0" borderId="3" xfId="0" applyFont="1" applyBorder="1" applyAlignment="1">
      <alignment horizontal="left" indent="2"/>
    </xf>
    <xf numFmtId="166" fontId="0" fillId="0" borderId="0" xfId="2" applyNumberFormat="1" applyFont="1" applyFill="1"/>
    <xf numFmtId="166" fontId="5" fillId="0" borderId="31" xfId="2" applyNumberFormat="1" applyFont="1" applyFill="1" applyBorder="1"/>
    <xf numFmtId="166" fontId="5" fillId="0" borderId="0" xfId="2" applyNumberFormat="1" applyFont="1" applyFill="1" applyBorder="1"/>
    <xf numFmtId="166" fontId="34" fillId="0" borderId="8" xfId="2" applyNumberFormat="1" applyFont="1" applyFill="1" applyBorder="1"/>
    <xf numFmtId="175" fontId="5" fillId="0" borderId="13" xfId="0" applyNumberFormat="1" applyFont="1" applyBorder="1" applyAlignment="1">
      <alignment horizontal="center"/>
    </xf>
    <xf numFmtId="0" fontId="5" fillId="0" borderId="8" xfId="0" applyFont="1" applyBorder="1" applyAlignment="1">
      <alignment horizontal="left" indent="1"/>
    </xf>
    <xf numFmtId="164" fontId="5" fillId="0" borderId="8" xfId="0" applyNumberFormat="1" applyFont="1" applyBorder="1"/>
    <xf numFmtId="37" fontId="5" fillId="5" borderId="3" xfId="2" applyNumberFormat="1" applyFont="1" applyFill="1" applyBorder="1"/>
    <xf numFmtId="37" fontId="5" fillId="5" borderId="8" xfId="2" applyNumberFormat="1" applyFont="1" applyFill="1" applyBorder="1"/>
    <xf numFmtId="1" fontId="5" fillId="0" borderId="2" xfId="0" quotePrefix="1" applyNumberFormat="1" applyFont="1" applyBorder="1" applyAlignment="1">
      <alignment horizontal="center" vertical="top" wrapText="1"/>
    </xf>
  </cellXfs>
  <cellStyles count="28">
    <cellStyle name="ac" xfId="1" xr:uid="{00000000-0005-0000-0000-000000000000}"/>
    <cellStyle name="Comma" xfId="2" builtinId="3"/>
    <cellStyle name="Comma 2" xfId="3" xr:uid="{00000000-0005-0000-0000-000002000000}"/>
    <cellStyle name="Comma 2 2" xfId="24" xr:uid="{00000000-0005-0000-0000-000003000000}"/>
    <cellStyle name="Comma 3" xfId="22" xr:uid="{00000000-0005-0000-0000-000004000000}"/>
    <cellStyle name="Comma1 - Style1" xfId="4" xr:uid="{00000000-0005-0000-0000-000005000000}"/>
    <cellStyle name="Currency" xfId="5" builtinId="4"/>
    <cellStyle name="Milliers [0]_EDYAN" xfId="6" xr:uid="{00000000-0005-0000-0000-000007000000}"/>
    <cellStyle name="Milliers_EDYAN" xfId="7" xr:uid="{00000000-0005-0000-0000-000008000000}"/>
    <cellStyle name="Monétaire [0]_EDYAN" xfId="8" xr:uid="{00000000-0005-0000-0000-000009000000}"/>
    <cellStyle name="Monétaire_EDYAN" xfId="9" xr:uid="{00000000-0005-0000-0000-00000A000000}"/>
    <cellStyle name="Normal" xfId="0" builtinId="0"/>
    <cellStyle name="Normal - Style1" xfId="10" xr:uid="{00000000-0005-0000-0000-00000C000000}"/>
    <cellStyle name="Normal 2" xfId="11" xr:uid="{00000000-0005-0000-0000-00000D000000}"/>
    <cellStyle name="Normal 3" xfId="20" xr:uid="{00000000-0005-0000-0000-00000E000000}"/>
    <cellStyle name="Normal 3 2" xfId="26" xr:uid="{00000000-0005-0000-0000-00000F000000}"/>
    <cellStyle name="Normal 4" xfId="21" xr:uid="{00000000-0005-0000-0000-000010000000}"/>
    <cellStyle name="Normal 5" xfId="27" xr:uid="{9D644F48-530C-47C2-A150-7BA1F05DCD5E}"/>
    <cellStyle name="Normal_BYpigsummary.usps" xfId="12" xr:uid="{00000000-0005-0000-0000-000011000000}"/>
    <cellStyle name="Normal_CS10glick" xfId="13" xr:uid="{00000000-0005-0000-0000-000012000000}"/>
    <cellStyle name="Normal_CS10test" xfId="14" xr:uid="{00000000-0005-0000-0000-000013000000}"/>
    <cellStyle name="Normal_GOVADJ" xfId="15" xr:uid="{00000000-0005-0000-0000-000014000000}"/>
    <cellStyle name="Normal_PEN" xfId="16" xr:uid="{00000000-0005-0000-0000-000015000000}"/>
    <cellStyle name="Normal_PI" xfId="17" xr:uid="{00000000-0005-0000-0000-000016000000}"/>
    <cellStyle name="Percent" xfId="18" builtinId="5"/>
    <cellStyle name="Percent 2" xfId="19" xr:uid="{00000000-0005-0000-0000-000018000000}"/>
    <cellStyle name="Percent 2 2" xfId="25" xr:uid="{00000000-0005-0000-0000-000019000000}"/>
    <cellStyle name="Percent 3" xfId="23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FCM_MM_WGTI_FY25_EOYv.xlsx" TargetMode="External"/><Relationship Id="rId1" Type="http://schemas.openxmlformats.org/officeDocument/2006/relationships/externalLinkPath" Target="Inputs/FCM_MM_WGTI_FY25_EOY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CS06&amp;7-NP-FY25.xlsx" TargetMode="External"/><Relationship Id="rId1" Type="http://schemas.openxmlformats.org/officeDocument/2006/relationships/externalLinkPath" Target="Inputs/CS06&amp;7-NP-FY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CCCS_Matrix_FY25_Final_adj_v4.xlsx" TargetMode="External"/><Relationship Id="rId1" Type="http://schemas.openxmlformats.org/officeDocument/2006/relationships/externalLinkPath" Target="Inputs/CCCS_Matrix_FY25_Final_adj_v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Cost%20Attribution\Bonnie\_Frequently%20Used%20Files\_FY25%20Files\_PRIOR%20VERSIONS\B%20Workpapers\CCS%20Edits\I_FORMS-NP-FY25.xlsm" TargetMode="External"/><Relationship Id="rId1" Type="http://schemas.openxmlformats.org/officeDocument/2006/relationships/externalLinkPath" Target="Inputs/I_FORMS-NP-FY25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CS10-NP-FY25.xlsx" TargetMode="External"/><Relationship Id="rId1" Type="http://schemas.openxmlformats.org/officeDocument/2006/relationships/externalLinkPath" Target="Inputs/CS10-NP-FY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RCCS_Matrix_FY25_Final_v1.xlsx" TargetMode="External"/><Relationship Id="rId1" Type="http://schemas.openxmlformats.org/officeDocument/2006/relationships/externalLinkPath" Target="Inputs/RCCS_Matrix_FY25_Final_v1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CCCS_DALCasing_FY25_Final_v2.xlsx" TargetMode="External"/><Relationship Id="rId1" Type="http://schemas.openxmlformats.org/officeDocument/2006/relationships/externalLinkPath" Target="Inputs/CCCS_DALCasing_FY25_Final_v2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RCCS_DAL_FY25_Final_v1.xlsx" TargetMode="External"/><Relationship Id="rId1" Type="http://schemas.openxmlformats.org/officeDocument/2006/relationships/externalLinkPath" Target="Inputs/RCCS_DAL_FY25_Final_v1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FY25Public.PB.xlsx" TargetMode="External"/><Relationship Id="rId1" Type="http://schemas.openxmlformats.org/officeDocument/2006/relationships/externalLinkPath" Target="Inputs/FY25Public.PB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DPS%20percentages%20FY25.xlsx" TargetMode="External"/><Relationship Id="rId1" Type="http://schemas.openxmlformats.org/officeDocument/2006/relationships/externalLinkPath" Target="Inputs/DPS%20percentages%20FY25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FY2025R_RPWAdj_12-9-25_v2.xlsx" TargetMode="External"/><Relationship Id="rId1" Type="http://schemas.openxmlformats.org/officeDocument/2006/relationships/externalLinkPath" Target="Inputs/FY2025R_RPWAdj_12-9-25_v2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FY2025R_RPWextractfile_Restricted%20ACR.xlsx" TargetMode="External"/><Relationship Id="rId1" Type="http://schemas.openxmlformats.org/officeDocument/2006/relationships/externalLinkPath" Target="Inputs/FY2025R_RPWextractfile_Restricted%20AC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Shape%20Indicia%20FY2025%20ACR_v.xlsx" TargetMode="External"/><Relationship Id="rId1" Type="http://schemas.openxmlformats.org/officeDocument/2006/relationships/externalLinkPath" Target="Inputs/Shape%20Indicia%20FY2025%20ACR_v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SAS\KLTables\KLTable25.xlsx" TargetMode="External"/><Relationship Id="rId1" Type="http://schemas.openxmlformats.org/officeDocument/2006/relationships/externalLinkPath" Target="SAS/KLTables/KLTable25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SAS\KLTables\KLTable_Casing25.xlsx" TargetMode="External"/><Relationship Id="rId1" Type="http://schemas.openxmlformats.org/officeDocument/2006/relationships/externalLinkPath" Target="SAS/KLTables/KLTable_Casing25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SAS\KLTables\KLTable_FCSP_Indicia25.xlsx" TargetMode="External"/><Relationship Id="rId1" Type="http://schemas.openxmlformats.org/officeDocument/2006/relationships/externalLinkPath" Target="SAS/KLTables/KLTable_FCSP_Indicia25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SAS\KLTables\KLTable_FCSP_Indicia_Casing25.xlsx" TargetMode="External"/><Relationship Id="rId1" Type="http://schemas.openxmlformats.org/officeDocument/2006/relationships/externalLinkPath" Target="SAS/KLTables/KLTable_FCSP_Indicia_Casing25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CCCS_FCLetter_indicia_FY25_Final.XLSX" TargetMode="External"/><Relationship Id="rId1" Type="http://schemas.openxmlformats.org/officeDocument/2006/relationships/externalLinkPath" Target="Inputs/CCCS_FCLetter_indicia_FY25_Final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Inputs\RCCS_FCLetter_indicia_FY25_Final.xlsx" TargetMode="External"/><Relationship Id="rId1" Type="http://schemas.openxmlformats.org/officeDocument/2006/relationships/externalLinkPath" Target="Inputs/RCCS_FCLetter_indicia_FY25_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ternalSSD\Folder%2019\FY25\SAS\KLTables\KLTable_FCSP_Letter_Collection25.xlsx" TargetMode="External"/><Relationship Id="rId1" Type="http://schemas.openxmlformats.org/officeDocument/2006/relationships/externalLinkPath" Target="SAS/KLTables/KLTable_FCSP_Letter_Collection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rst2025"/>
      <sheetName val="FCMbyIndicia"/>
      <sheetName val="MarketingMail2025"/>
      <sheetName val="MM_HD_SAT_Summary"/>
      <sheetName val="BMMLetters"/>
    </sheetNames>
    <sheetDataSet>
      <sheetData sheetId="0"/>
      <sheetData sheetId="1"/>
      <sheetData sheetId="2"/>
      <sheetData sheetId="3">
        <row r="9">
          <cell r="I9">
            <v>3.1055057574030584E-3</v>
          </cell>
        </row>
        <row r="10">
          <cell r="I10">
            <v>6.7217436053510687E-2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00000000000000000000000"/>
      <sheetName val="1000000000000000000000000"/>
      <sheetName val="Doc"/>
      <sheetName val="Changes"/>
      <sheetName val="Outputs to IC"/>
      <sheetName val="Outputs to CS"/>
      <sheetName val="Input CS6"/>
      <sheetName val="Input IOCS"/>
      <sheetName val="Input LR new"/>
      <sheetName val="Input SPR"/>
      <sheetName val="Input DK"/>
      <sheetName val="Input DALs"/>
      <sheetName val="6.0.2.1"/>
      <sheetName val="6.0.3"/>
      <sheetName val="6.0.4"/>
      <sheetName val="7.0.1"/>
      <sheetName val="7.0.4.1"/>
      <sheetName val="7.0.4.2"/>
      <sheetName val="7.0.4.3"/>
      <sheetName val="7.0.5 New"/>
      <sheetName val="7.0.6"/>
      <sheetName val="7.0.6.5"/>
      <sheetName val="7.0.6.6"/>
      <sheetName val="7.0.8"/>
      <sheetName val="7.0.9"/>
      <sheetName val="7.0.10"/>
      <sheetName val="Outputs to CRA"/>
      <sheetName val="Endnotes"/>
      <sheetName val="Abbrev"/>
      <sheetName val="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1">
          <cell r="F11">
            <v>166731.91576140808</v>
          </cell>
        </row>
        <row r="12">
          <cell r="F12">
            <v>9361.7584704085602</v>
          </cell>
        </row>
        <row r="13">
          <cell r="F13">
            <v>361821.50172371714</v>
          </cell>
        </row>
        <row r="14">
          <cell r="F14">
            <v>26921.231808486005</v>
          </cell>
        </row>
        <row r="15">
          <cell r="F15">
            <v>63759.544108801914</v>
          </cell>
        </row>
        <row r="16">
          <cell r="F16">
            <v>66608.274067060003</v>
          </cell>
        </row>
        <row r="19">
          <cell r="F19">
            <v>55182.385380426465</v>
          </cell>
        </row>
        <row r="20">
          <cell r="F20">
            <v>70465.380267619999</v>
          </cell>
        </row>
        <row r="21">
          <cell r="F21">
            <v>5007.5316457843583</v>
          </cell>
        </row>
        <row r="22">
          <cell r="F22">
            <v>193209.89931983888</v>
          </cell>
        </row>
        <row r="23">
          <cell r="F23">
            <v>476552.55014500429</v>
          </cell>
        </row>
        <row r="24">
          <cell r="F24">
            <v>225228.98247641564</v>
          </cell>
        </row>
        <row r="25">
          <cell r="F25">
            <v>1482.9199396903375</v>
          </cell>
        </row>
        <row r="30">
          <cell r="F30">
            <v>195656.04599720455</v>
          </cell>
        </row>
        <row r="32">
          <cell r="F32">
            <v>8053.5988959187562</v>
          </cell>
        </row>
        <row r="33">
          <cell r="F33">
            <v>24420.66358107753</v>
          </cell>
        </row>
        <row r="34">
          <cell r="F34">
            <v>8300.1563869802067</v>
          </cell>
        </row>
        <row r="62">
          <cell r="D62">
            <v>2735847.0793406623</v>
          </cell>
        </row>
        <row r="64">
          <cell r="F64">
            <v>2835479.9882413195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12">
          <cell r="D12">
            <v>39848.010237723007</v>
          </cell>
          <cell r="E12">
            <v>345.00996138284899</v>
          </cell>
          <cell r="F12">
            <v>48.779805304720746</v>
          </cell>
          <cell r="G12">
            <v>287.80835001392506</v>
          </cell>
          <cell r="I12">
            <v>240443.04818926216</v>
          </cell>
          <cell r="J12">
            <v>6210.1993442897547</v>
          </cell>
          <cell r="K12">
            <v>7985.5832274443355</v>
          </cell>
          <cell r="L12">
            <v>0</v>
          </cell>
          <cell r="M12">
            <v>280684.84819367272</v>
          </cell>
          <cell r="N12">
            <v>14195.782571734089</v>
          </cell>
        </row>
        <row r="13">
          <cell r="D13">
            <v>1388.5903457555269</v>
          </cell>
          <cell r="E13">
            <v>0</v>
          </cell>
          <cell r="F13">
            <v>0</v>
          </cell>
          <cell r="G13">
            <v>0</v>
          </cell>
          <cell r="I13">
            <v>8627.0397999345078</v>
          </cell>
          <cell r="J13">
            <v>348.69380615482055</v>
          </cell>
          <cell r="K13">
            <v>286.52084078814454</v>
          </cell>
          <cell r="L13">
            <v>0</v>
          </cell>
          <cell r="M13">
            <v>10015.630145690035</v>
          </cell>
          <cell r="N13">
            <v>635.21464694296515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I14">
            <v>423776.48259646801</v>
          </cell>
          <cell r="J14">
            <v>13476.625890690158</v>
          </cell>
          <cell r="K14">
            <v>14074.444643306768</v>
          </cell>
          <cell r="M14">
            <v>423776.48259646801</v>
          </cell>
          <cell r="N14">
            <v>27551.070533996928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I15">
            <v>34003.953625337061</v>
          </cell>
          <cell r="J15">
            <v>1002.7247354596122</v>
          </cell>
          <cell r="K15">
            <v>1129.3377112884787</v>
          </cell>
          <cell r="L15">
            <v>0</v>
          </cell>
          <cell r="M15">
            <v>34003.953625337061</v>
          </cell>
          <cell r="N15">
            <v>2132.0624467480911</v>
          </cell>
        </row>
        <row r="16">
          <cell r="D16">
            <v>1731.5114082149603</v>
          </cell>
          <cell r="E16">
            <v>3.5551159363963647</v>
          </cell>
          <cell r="F16">
            <v>0.38937633713369835</v>
          </cell>
          <cell r="G16">
            <v>48.854963339472121</v>
          </cell>
          <cell r="I16">
            <v>9874.6730995263279</v>
          </cell>
          <cell r="J16">
            <v>2374.8271421730074</v>
          </cell>
          <cell r="K16">
            <v>327.95717935668216</v>
          </cell>
          <cell r="M16">
            <v>11610.129000014818</v>
          </cell>
          <cell r="N16">
            <v>2702.7843215296894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I17">
            <v>5195.9810633055849</v>
          </cell>
          <cell r="J17">
            <v>2480.9326879411547</v>
          </cell>
          <cell r="K17">
            <v>172.56867911851936</v>
          </cell>
          <cell r="M17">
            <v>5195.9810633055849</v>
          </cell>
          <cell r="N17">
            <v>2653.5013670596741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I20">
            <v>94839.180104004103</v>
          </cell>
          <cell r="J20">
            <v>2055.3570199256906</v>
          </cell>
          <cell r="K20">
            <v>3149.7943968293521</v>
          </cell>
          <cell r="M20">
            <v>94839.180104004103</v>
          </cell>
          <cell r="N20">
            <v>5205.1514167550431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I21">
            <v>192903.98614349845</v>
          </cell>
          <cell r="J21">
            <v>2624.5968345935016</v>
          </cell>
          <cell r="K21">
            <v>6406.7181307821656</v>
          </cell>
          <cell r="M21">
            <v>192903.98614349845</v>
          </cell>
          <cell r="N21">
            <v>9031.3149653756664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I22">
            <v>13512.623026403799</v>
          </cell>
          <cell r="J22">
            <v>186.51359939785527</v>
          </cell>
          <cell r="K22">
            <v>448.78060152311463</v>
          </cell>
          <cell r="M22">
            <v>13512.623026403799</v>
          </cell>
          <cell r="N22">
            <v>635.29420092096984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I23">
            <v>30838.965892672513</v>
          </cell>
          <cell r="J23">
            <v>7196.4145831764999</v>
          </cell>
          <cell r="K23">
            <v>1024.2222873102453</v>
          </cell>
          <cell r="M23">
            <v>30838.965892672513</v>
          </cell>
          <cell r="N23">
            <v>8220.6368704867455</v>
          </cell>
        </row>
        <row r="24">
          <cell r="D24">
            <v>457.94012825358612</v>
          </cell>
          <cell r="E24">
            <v>0</v>
          </cell>
          <cell r="F24">
            <v>0</v>
          </cell>
          <cell r="G24">
            <v>0</v>
          </cell>
          <cell r="I24">
            <v>561812.57721478341</v>
          </cell>
          <cell r="J24">
            <v>17749.968990130932</v>
          </cell>
          <cell r="K24">
            <v>18658.892936851425</v>
          </cell>
          <cell r="M24">
            <v>562270.51734303695</v>
          </cell>
          <cell r="N24">
            <v>36408.861926982354</v>
          </cell>
        </row>
        <row r="25">
          <cell r="D25">
            <v>20.15267889637175</v>
          </cell>
          <cell r="E25">
            <v>0</v>
          </cell>
          <cell r="F25">
            <v>0</v>
          </cell>
          <cell r="G25">
            <v>0</v>
          </cell>
          <cell r="I25">
            <v>20187.192455106764</v>
          </cell>
          <cell r="J25">
            <v>8389.0170211421118</v>
          </cell>
          <cell r="K25">
            <v>670.45608801215769</v>
          </cell>
          <cell r="M25">
            <v>20207.345134003135</v>
          </cell>
          <cell r="N25">
            <v>9059.473109154269</v>
          </cell>
        </row>
        <row r="26">
          <cell r="D26">
            <v>34.132377263962425</v>
          </cell>
          <cell r="E26">
            <v>123.45318857305763</v>
          </cell>
          <cell r="F26">
            <v>41.619280497719075</v>
          </cell>
          <cell r="G26">
            <v>26.07650300173491</v>
          </cell>
          <cell r="I26">
            <v>1677.8549035844965</v>
          </cell>
          <cell r="J26">
            <v>55.233746910684232</v>
          </cell>
          <cell r="K26">
            <v>55.724838281051014</v>
          </cell>
          <cell r="M26">
            <v>1877.0597499192356</v>
          </cell>
          <cell r="N26">
            <v>110.95858519173524</v>
          </cell>
        </row>
        <row r="31">
          <cell r="D31">
            <v>67.785703618956944</v>
          </cell>
          <cell r="E31">
            <v>0</v>
          </cell>
          <cell r="F31">
            <v>0</v>
          </cell>
          <cell r="G31">
            <v>0</v>
          </cell>
          <cell r="I31">
            <v>23267.852719905957</v>
          </cell>
          <cell r="J31">
            <v>7287.5252647903981</v>
          </cell>
          <cell r="K31">
            <v>772.77083208689737</v>
          </cell>
          <cell r="M31">
            <v>23335.638423524913</v>
          </cell>
          <cell r="N31">
            <v>8060.296096877295</v>
          </cell>
        </row>
        <row r="33">
          <cell r="D33">
            <v>0.23952545448394683</v>
          </cell>
          <cell r="E33">
            <v>0</v>
          </cell>
          <cell r="F33">
            <v>0</v>
          </cell>
          <cell r="G33">
            <v>0</v>
          </cell>
          <cell r="I33">
            <v>1466.4625738201955</v>
          </cell>
          <cell r="J33">
            <v>299.96929114745853</v>
          </cell>
          <cell r="K33">
            <v>48.704086149979119</v>
          </cell>
          <cell r="M33">
            <v>1466.7020992746795</v>
          </cell>
          <cell r="N33">
            <v>348.67337729743764</v>
          </cell>
        </row>
        <row r="34">
          <cell r="D34">
            <v>48.38414180575726</v>
          </cell>
          <cell r="E34">
            <v>5167.8723075290354</v>
          </cell>
          <cell r="F34">
            <v>1407.2798411940316</v>
          </cell>
          <cell r="G34">
            <v>492.12559657922293</v>
          </cell>
          <cell r="I34">
            <v>46837.928906245637</v>
          </cell>
          <cell r="J34">
            <v>909.58703536609335</v>
          </cell>
          <cell r="K34">
            <v>1555.5790957513279</v>
          </cell>
          <cell r="M34">
            <v>53461.465196774458</v>
          </cell>
          <cell r="N34">
            <v>2465.1661311174212</v>
          </cell>
        </row>
        <row r="35">
          <cell r="D35">
            <v>47.306277260579492</v>
          </cell>
          <cell r="E35">
            <v>2853.5470130422527</v>
          </cell>
          <cell r="F35">
            <v>672.98091666876633</v>
          </cell>
          <cell r="G35">
            <v>337.27662804312126</v>
          </cell>
          <cell r="I35">
            <v>17510.718373710344</v>
          </cell>
          <cell r="J35">
            <v>309.15272289972512</v>
          </cell>
          <cell r="K35">
            <v>581.565156483686</v>
          </cell>
          <cell r="M35">
            <v>21084.552580681942</v>
          </cell>
          <cell r="N35">
            <v>890.71787938341117</v>
          </cell>
        </row>
        <row r="63">
          <cell r="D63">
            <v>45853.914667316087</v>
          </cell>
          <cell r="E63">
            <v>204029.98144986253</v>
          </cell>
          <cell r="F63">
            <v>65758.130780799998</v>
          </cell>
          <cell r="G63">
            <v>183445.84928340002</v>
          </cell>
          <cell r="H63">
            <v>1278.3067714211359</v>
          </cell>
          <cell r="I63">
            <v>3198182.5191533789</v>
          </cell>
          <cell r="J63">
            <v>101901.04072522734</v>
          </cell>
          <cell r="K63">
            <v>106217.88766857535</v>
          </cell>
          <cell r="L63">
            <v>1278.3067714211359</v>
          </cell>
          <cell r="M63">
            <v>3513824.5460513574</v>
          </cell>
          <cell r="N63">
            <v>208118.92839380269</v>
          </cell>
        </row>
        <row r="65">
          <cell r="D65">
            <v>189478.98622857887</v>
          </cell>
          <cell r="E65">
            <v>331925.413</v>
          </cell>
          <cell r="F65">
            <v>81102.775999999998</v>
          </cell>
          <cell r="G65">
            <v>199810.31400000001</v>
          </cell>
          <cell r="H65">
            <v>1278.3067714211359</v>
          </cell>
          <cell r="I65">
            <v>14663835.484426312</v>
          </cell>
          <cell r="J65">
            <v>105612.02924652495</v>
          </cell>
          <cell r="K65">
            <v>487014.61562849768</v>
          </cell>
          <cell r="L65">
            <v>1278.3067714211359</v>
          </cell>
          <cell r="M65">
            <v>15266342.659654891</v>
          </cell>
          <cell r="N65">
            <v>592626.64487502258</v>
          </cell>
        </row>
      </sheetData>
      <sheetData sheetId="21">
        <row r="11">
          <cell r="D11">
            <v>10212.582599342706</v>
          </cell>
          <cell r="E11">
            <v>102333.483632943</v>
          </cell>
          <cell r="F11">
            <v>52.737752799430616</v>
          </cell>
          <cell r="H11">
            <v>126059.60418160965</v>
          </cell>
          <cell r="I11">
            <v>1784.6400225673881</v>
          </cell>
        </row>
        <row r="12">
          <cell r="D12">
            <v>622.78924325805963</v>
          </cell>
          <cell r="E12">
            <v>3542.655047302922</v>
          </cell>
          <cell r="F12">
            <v>1.2603140092764888</v>
          </cell>
          <cell r="H12">
            <v>4392.8203268386987</v>
          </cell>
          <cell r="I12">
            <v>67.514868525551336</v>
          </cell>
        </row>
        <row r="13">
          <cell r="D13">
            <v>20221.227734281758</v>
          </cell>
          <cell r="E13">
            <v>403555.25486218627</v>
          </cell>
          <cell r="F13">
            <v>0</v>
          </cell>
          <cell r="I13">
            <v>0</v>
          </cell>
        </row>
        <row r="14">
          <cell r="D14">
            <v>1876.5883369126793</v>
          </cell>
          <cell r="E14">
            <v>32123.552440679188</v>
          </cell>
          <cell r="F14">
            <v>3.8128477451886145</v>
          </cell>
          <cell r="I14">
            <v>0</v>
          </cell>
        </row>
        <row r="15">
          <cell r="D15">
            <v>4296.3718413374099</v>
          </cell>
          <cell r="E15">
            <v>0</v>
          </cell>
          <cell r="F15">
            <v>7.5893348944553232</v>
          </cell>
          <cell r="H15">
            <v>5477.6547549891411</v>
          </cell>
          <cell r="I15">
            <v>93.057168305320701</v>
          </cell>
        </row>
        <row r="16">
          <cell r="D16">
            <v>5195.9810633055849</v>
          </cell>
          <cell r="E16">
            <v>0</v>
          </cell>
          <cell r="F16">
            <v>0</v>
          </cell>
          <cell r="I16">
            <v>0</v>
          </cell>
        </row>
        <row r="17">
          <cell r="E17">
            <v>541554.94598311139</v>
          </cell>
          <cell r="F17">
            <v>65.400249448351047</v>
          </cell>
          <cell r="H17">
            <v>135930.07926343751</v>
          </cell>
          <cell r="I17">
            <v>1945.2120593982602</v>
          </cell>
        </row>
        <row r="19">
          <cell r="D19">
            <v>13958.313884982421</v>
          </cell>
          <cell r="E19">
            <v>72686.248920020706</v>
          </cell>
          <cell r="F19">
            <v>0</v>
          </cell>
          <cell r="G19">
            <v>10950.604923081632</v>
          </cell>
          <cell r="H19">
            <v>0</v>
          </cell>
          <cell r="I19">
            <v>0</v>
          </cell>
        </row>
        <row r="20">
          <cell r="D20">
            <v>37178.817107344847</v>
          </cell>
          <cell r="F20">
            <v>0</v>
          </cell>
          <cell r="G20">
            <v>166481.80443847674</v>
          </cell>
          <cell r="H20">
            <v>0</v>
          </cell>
          <cell r="I20">
            <v>0</v>
          </cell>
        </row>
        <row r="21">
          <cell r="D21">
            <v>0</v>
          </cell>
          <cell r="E21">
            <v>0</v>
          </cell>
          <cell r="H21">
            <v>0</v>
          </cell>
          <cell r="I21">
            <v>0</v>
          </cell>
        </row>
        <row r="22">
          <cell r="D22">
            <v>30610.344456813164</v>
          </cell>
          <cell r="E22">
            <v>198.05820433687143</v>
          </cell>
          <cell r="F22">
            <v>30.563231522479974</v>
          </cell>
          <cell r="H22">
            <v>0</v>
          </cell>
          <cell r="I22">
            <v>0</v>
          </cell>
        </row>
        <row r="23">
          <cell r="D23">
            <v>32151.681071877199</v>
          </cell>
          <cell r="E23">
            <v>515279.36592129379</v>
          </cell>
          <cell r="F23">
            <v>59.195431368906547</v>
          </cell>
          <cell r="H23">
            <v>14322.334790243513</v>
          </cell>
          <cell r="I23">
            <v>0</v>
          </cell>
        </row>
        <row r="24">
          <cell r="D24">
            <v>19544.170597161916</v>
          </cell>
          <cell r="E24">
            <v>0</v>
          </cell>
          <cell r="F24">
            <v>12.735503318419827</v>
          </cell>
          <cell r="H24">
            <v>630.28635462642728</v>
          </cell>
          <cell r="I24">
            <v>0</v>
          </cell>
        </row>
        <row r="25">
          <cell r="E25">
            <v>0</v>
          </cell>
          <cell r="F25">
            <v>915.25967415070238</v>
          </cell>
          <cell r="H25">
            <v>175.56010726103358</v>
          </cell>
          <cell r="I25">
            <v>587.03512217276057</v>
          </cell>
        </row>
        <row r="26">
          <cell r="E26">
            <v>588163.67304565141</v>
          </cell>
          <cell r="F26">
            <v>1017.7538403605088</v>
          </cell>
          <cell r="H26">
            <v>15128.181252130973</v>
          </cell>
          <cell r="I26">
            <v>587.03512217276057</v>
          </cell>
        </row>
        <row r="30">
          <cell r="D30">
            <v>22463.813359617176</v>
          </cell>
          <cell r="E30">
            <v>83.136062756888435</v>
          </cell>
          <cell r="F30">
            <v>258.15602879122633</v>
          </cell>
          <cell r="H30">
            <v>405.94856577726534</v>
          </cell>
          <cell r="I30">
            <v>56.798702963401993</v>
          </cell>
        </row>
        <row r="32">
          <cell r="D32">
            <v>1133.6489801314697</v>
          </cell>
          <cell r="E32">
            <v>0</v>
          </cell>
          <cell r="F32">
            <v>118.55331051590309</v>
          </cell>
          <cell r="H32">
            <v>189.5064709219568</v>
          </cell>
          <cell r="I32">
            <v>24.75381225086586</v>
          </cell>
        </row>
        <row r="33">
          <cell r="E33">
            <v>0</v>
          </cell>
          <cell r="F33">
            <v>19120.348803345783</v>
          </cell>
          <cell r="H33">
            <v>106.17011159516557</v>
          </cell>
          <cell r="I33">
            <v>27611.409991304692</v>
          </cell>
        </row>
        <row r="34">
          <cell r="D34">
            <v>13.347003639759311</v>
          </cell>
          <cell r="E34">
            <v>0</v>
          </cell>
          <cell r="F34">
            <v>3883.052564189059</v>
          </cell>
          <cell r="H34">
            <v>264.43399333554436</v>
          </cell>
          <cell r="I34">
            <v>13349.884812545981</v>
          </cell>
        </row>
        <row r="35">
          <cell r="E35">
            <v>0</v>
          </cell>
          <cell r="F35">
            <v>23121.954678050748</v>
          </cell>
          <cell r="H35">
            <v>560.11057585266667</v>
          </cell>
          <cell r="I35">
            <v>40986.048616101543</v>
          </cell>
        </row>
        <row r="36">
          <cell r="D36">
            <v>805.03405300416205</v>
          </cell>
          <cell r="E36">
            <v>4447.5363015455951</v>
          </cell>
          <cell r="F36">
            <v>2202.2517192538135</v>
          </cell>
          <cell r="H36">
            <v>0</v>
          </cell>
          <cell r="I36">
            <v>1664.8745980216049</v>
          </cell>
        </row>
        <row r="37">
          <cell r="D37">
            <v>139.09287198871186</v>
          </cell>
          <cell r="E37">
            <v>40.508248246424884</v>
          </cell>
          <cell r="F37">
            <v>276.96967143641047</v>
          </cell>
          <cell r="H37">
            <v>0</v>
          </cell>
          <cell r="I37">
            <v>291.29543170004496</v>
          </cell>
        </row>
        <row r="40">
          <cell r="I40">
            <v>72212.033477292905</v>
          </cell>
        </row>
        <row r="41">
          <cell r="I41">
            <v>167.84825250601256</v>
          </cell>
        </row>
        <row r="42">
          <cell r="I42">
            <v>816.36915273030684</v>
          </cell>
        </row>
        <row r="43">
          <cell r="I43">
            <v>112.77531183355796</v>
          </cell>
        </row>
        <row r="44">
          <cell r="I44">
            <v>0</v>
          </cell>
        </row>
        <row r="45">
          <cell r="I45">
            <v>0</v>
          </cell>
        </row>
        <row r="46">
          <cell r="I46">
            <v>7511.1469217867789</v>
          </cell>
        </row>
        <row r="48">
          <cell r="I48">
            <v>0</v>
          </cell>
        </row>
        <row r="49">
          <cell r="I49">
            <v>0</v>
          </cell>
        </row>
        <row r="50">
          <cell r="I50">
            <v>80820.173116149555</v>
          </cell>
        </row>
        <row r="59">
          <cell r="D59">
            <v>243.88960300579211</v>
          </cell>
          <cell r="E59">
            <v>11.890827233930132</v>
          </cell>
          <cell r="F59">
            <v>405569.32160290267</v>
          </cell>
          <cell r="H59">
            <v>28229.422621013353</v>
          </cell>
          <cell r="I59">
            <v>927333.49878259236</v>
          </cell>
        </row>
        <row r="60">
          <cell r="D60">
            <v>226.8523286356714</v>
          </cell>
          <cell r="E60">
            <v>679.17602605098796</v>
          </cell>
          <cell r="F60">
            <v>4470.4896456604001</v>
          </cell>
          <cell r="H60">
            <v>111.43418023188659</v>
          </cell>
          <cell r="I60">
            <v>13842.286837135898</v>
          </cell>
        </row>
        <row r="61">
          <cell r="E61">
            <v>1134980.8664945965</v>
          </cell>
          <cell r="F61">
            <v>436982.29743590415</v>
          </cell>
          <cell r="G61">
            <v>177432.40936155838</v>
          </cell>
          <cell r="H61">
            <v>180365.17645844366</v>
          </cell>
          <cell r="I61">
            <v>986707.05015008594</v>
          </cell>
        </row>
        <row r="62">
          <cell r="E62">
            <v>1134980.8664945965</v>
          </cell>
          <cell r="F62">
            <v>436982.2974359041</v>
          </cell>
          <cell r="G62">
            <v>177432.40936155838</v>
          </cell>
          <cell r="H62">
            <v>180365.17645844363</v>
          </cell>
          <cell r="I62">
            <v>1067527.2232662356</v>
          </cell>
        </row>
      </sheetData>
      <sheetData sheetId="22"/>
      <sheetData sheetId="23">
        <row r="11">
          <cell r="D11">
            <v>9372495.3469999991</v>
          </cell>
          <cell r="E11">
            <v>1843932.9332206729</v>
          </cell>
          <cell r="F11">
            <v>562209.01744869398</v>
          </cell>
          <cell r="G11">
            <v>3966989.2441247609</v>
          </cell>
          <cell r="H11">
            <v>229.54724631076814</v>
          </cell>
          <cell r="I11">
            <v>0</v>
          </cell>
          <cell r="K11">
            <v>2577.0309466250674</v>
          </cell>
          <cell r="L11">
            <v>0</v>
          </cell>
        </row>
        <row r="12">
          <cell r="D12">
            <v>326604.929</v>
          </cell>
          <cell r="E12">
            <v>64255.842487888469</v>
          </cell>
          <cell r="F12">
            <v>34284.934797224028</v>
          </cell>
          <cell r="G12">
            <v>137332.12209117893</v>
          </cell>
          <cell r="H12">
            <v>5.485664347826086</v>
          </cell>
          <cell r="I12">
            <v>0</v>
          </cell>
          <cell r="K12">
            <v>97.491876987813512</v>
          </cell>
          <cell r="L12">
            <v>0</v>
          </cell>
        </row>
        <row r="13">
          <cell r="D13">
            <v>29129459.563999999</v>
          </cell>
          <cell r="F13">
            <v>1113191.1507700824</v>
          </cell>
          <cell r="G13">
            <v>15643944.666151881</v>
          </cell>
          <cell r="H13">
            <v>0</v>
          </cell>
          <cell r="I13">
            <v>0</v>
          </cell>
          <cell r="L13">
            <v>0</v>
          </cell>
        </row>
        <row r="14">
          <cell r="D14">
            <v>2340299.37</v>
          </cell>
          <cell r="F14">
            <v>103307.35392233297</v>
          </cell>
          <cell r="G14">
            <v>1245279.4773638372</v>
          </cell>
          <cell r="H14">
            <v>16.595866415447972</v>
          </cell>
          <cell r="I14">
            <v>0</v>
          </cell>
          <cell r="L14">
            <v>0</v>
          </cell>
        </row>
        <row r="15">
          <cell r="D15">
            <v>407262.05699999997</v>
          </cell>
          <cell r="E15">
            <v>80124.224291438833</v>
          </cell>
          <cell r="F15">
            <v>236517.93931811166</v>
          </cell>
          <cell r="G15">
            <v>0</v>
          </cell>
          <cell r="H15">
            <v>33.033469078175287</v>
          </cell>
          <cell r="I15">
            <v>0</v>
          </cell>
          <cell r="K15">
            <v>134.37511178479332</v>
          </cell>
          <cell r="L15">
            <v>0</v>
          </cell>
        </row>
        <row r="16">
          <cell r="D16">
            <v>432797.83499999996</v>
          </cell>
          <cell r="F16">
            <v>286041.98593909701</v>
          </cell>
          <cell r="G16">
            <v>0</v>
          </cell>
          <cell r="H16">
            <v>0</v>
          </cell>
          <cell r="I16">
            <v>0</v>
          </cell>
          <cell r="L16">
            <v>0</v>
          </cell>
        </row>
        <row r="19">
          <cell r="D19">
            <v>6017413.5520000001</v>
          </cell>
          <cell r="F19">
            <v>768413.85204771836</v>
          </cell>
          <cell r="G19">
            <v>2817704.9918065476</v>
          </cell>
          <cell r="H19">
            <v>0</v>
          </cell>
          <cell r="I19">
            <v>202943.25261544576</v>
          </cell>
          <cell r="L19">
            <v>0</v>
          </cell>
        </row>
        <row r="20">
          <cell r="D20">
            <v>7868876.8259999994</v>
          </cell>
          <cell r="F20">
            <v>2046716.981967944</v>
          </cell>
          <cell r="G20">
            <v>0</v>
          </cell>
          <cell r="H20">
            <v>0</v>
          </cell>
          <cell r="I20">
            <v>3085341.780783115</v>
          </cell>
          <cell r="L20">
            <v>0</v>
          </cell>
        </row>
        <row r="21">
          <cell r="D21">
            <v>559191.61399999994</v>
          </cell>
          <cell r="H21">
            <v>0</v>
          </cell>
          <cell r="L21">
            <v>0</v>
          </cell>
        </row>
        <row r="22">
          <cell r="D22">
            <v>2745353.6150000002</v>
          </cell>
          <cell r="F22">
            <v>1685118.4813857586</v>
          </cell>
          <cell r="G22">
            <v>7677.7877427999892</v>
          </cell>
          <cell r="H22">
            <v>133.03004511825708</v>
          </cell>
          <cell r="I22">
            <v>0</v>
          </cell>
          <cell r="L22">
            <v>0</v>
          </cell>
        </row>
        <row r="23">
          <cell r="D23">
            <v>37911960.733999997</v>
          </cell>
          <cell r="E23">
            <v>209499.50598206761</v>
          </cell>
          <cell r="F23">
            <v>1769970.0197193257</v>
          </cell>
          <cell r="G23">
            <v>19974964.496089566</v>
          </cell>
          <cell r="H23">
            <v>257.65504868188594</v>
          </cell>
          <cell r="I23">
            <v>0</v>
          </cell>
          <cell r="L23">
            <v>0</v>
          </cell>
        </row>
        <row r="24">
          <cell r="D24">
            <v>1668400.57</v>
          </cell>
          <cell r="E24">
            <v>9219.4940179323748</v>
          </cell>
          <cell r="F24">
            <v>1075918.7346976514</v>
          </cell>
          <cell r="G24">
            <v>0</v>
          </cell>
          <cell r="H24">
            <v>55.432769921825027</v>
          </cell>
          <cell r="I24">
            <v>0</v>
          </cell>
          <cell r="L24">
            <v>0</v>
          </cell>
        </row>
        <row r="25">
          <cell r="D25">
            <v>11706.037</v>
          </cell>
          <cell r="E25">
            <v>2568</v>
          </cell>
          <cell r="F25">
            <v>0</v>
          </cell>
          <cell r="G25">
            <v>0</v>
          </cell>
          <cell r="H25">
            <v>3983.7749374647788</v>
          </cell>
          <cell r="I25">
            <v>0</v>
          </cell>
          <cell r="L25">
            <v>847.68225382433241</v>
          </cell>
        </row>
        <row r="30">
          <cell r="D30">
            <v>2442701.9930000002</v>
          </cell>
          <cell r="E30">
            <v>5938</v>
          </cell>
          <cell r="F30">
            <v>1236646.8828241406</v>
          </cell>
          <cell r="G30">
            <v>3222.7952674650178</v>
          </cell>
          <cell r="H30">
            <v>1123.6543535125595</v>
          </cell>
          <cell r="I30">
            <v>0</v>
          </cell>
          <cell r="K30">
            <v>0</v>
          </cell>
          <cell r="L30">
            <v>82.01766934167523</v>
          </cell>
        </row>
        <row r="32">
          <cell r="D32">
            <v>104285.946</v>
          </cell>
          <cell r="E32">
            <v>2772</v>
          </cell>
          <cell r="F32">
            <v>62408.080723131476</v>
          </cell>
          <cell r="G32">
            <v>0</v>
          </cell>
          <cell r="H32">
            <v>516.01717034565797</v>
          </cell>
          <cell r="I32">
            <v>0</v>
          </cell>
          <cell r="K32">
            <v>35.744654053906984</v>
          </cell>
          <cell r="L32">
            <v>0</v>
          </cell>
        </row>
        <row r="33">
          <cell r="D33">
            <v>225885.52600000001</v>
          </cell>
          <cell r="E33">
            <v>1553</v>
          </cell>
          <cell r="F33">
            <v>0</v>
          </cell>
          <cell r="G33">
            <v>0</v>
          </cell>
          <cell r="H33">
            <v>83223.557761391785</v>
          </cell>
          <cell r="I33">
            <v>0</v>
          </cell>
          <cell r="K33">
            <v>47.275962324517806</v>
          </cell>
          <cell r="L33">
            <v>39823.766448335053</v>
          </cell>
        </row>
        <row r="34">
          <cell r="D34">
            <v>69096.130999999994</v>
          </cell>
          <cell r="E34">
            <v>3868</v>
          </cell>
          <cell r="F34">
            <v>734.76084322453141</v>
          </cell>
          <cell r="G34">
            <v>0</v>
          </cell>
          <cell r="H34">
            <v>16901.441113342036</v>
          </cell>
          <cell r="I34">
            <v>0</v>
          </cell>
          <cell r="L34">
            <v>19277.314114203618</v>
          </cell>
        </row>
        <row r="36">
          <cell r="D36">
            <v>355502.50199999998</v>
          </cell>
          <cell r="E36">
            <v>0</v>
          </cell>
          <cell r="F36">
            <v>44317.62480739587</v>
          </cell>
          <cell r="G36">
            <v>172410.12467014353</v>
          </cell>
          <cell r="H36">
            <v>9585.5585610641629</v>
          </cell>
          <cell r="I36">
            <v>0</v>
          </cell>
          <cell r="L36">
            <v>2404.0889518881327</v>
          </cell>
        </row>
        <row r="37">
          <cell r="D37">
            <v>20865.668000000001</v>
          </cell>
          <cell r="E37">
            <v>0</v>
          </cell>
          <cell r="F37">
            <v>7657.1490251568357</v>
          </cell>
          <cell r="G37">
            <v>1570.3148117999997</v>
          </cell>
          <cell r="H37">
            <v>1205.5429367956053</v>
          </cell>
          <cell r="I37">
            <v>0</v>
          </cell>
          <cell r="L37">
            <v>420.63235868799916</v>
          </cell>
        </row>
        <row r="62">
          <cell r="D62">
            <v>108884804.63</v>
          </cell>
          <cell r="E62">
            <v>2638286</v>
          </cell>
          <cell r="F62">
            <v>11059369.586058596</v>
          </cell>
          <cell r="G62">
            <v>43997885.441105448</v>
          </cell>
          <cell r="H62">
            <v>1902016.6339747377</v>
          </cell>
          <cell r="I62">
            <v>3288285.0333985607</v>
          </cell>
          <cell r="K62">
            <v>128718.76722915698</v>
          </cell>
          <cell r="L62">
            <v>1412796.9759648948</v>
          </cell>
        </row>
      </sheetData>
      <sheetData sheetId="24"/>
      <sheetData sheetId="25"/>
      <sheetData sheetId="26">
        <row r="8">
          <cell r="Q8">
            <v>388840.25563734747</v>
          </cell>
        </row>
        <row r="12">
          <cell r="E12">
            <v>14195.782571734089</v>
          </cell>
          <cell r="F12">
            <v>280684.84819367272</v>
          </cell>
          <cell r="G12">
            <v>0</v>
          </cell>
          <cell r="H12">
            <v>287.80835001392506</v>
          </cell>
        </row>
        <row r="13">
          <cell r="E13">
            <v>635.21464694296515</v>
          </cell>
          <cell r="F13">
            <v>10015.630145690035</v>
          </cell>
          <cell r="G13">
            <v>0</v>
          </cell>
          <cell r="H13">
            <v>0</v>
          </cell>
        </row>
        <row r="14">
          <cell r="E14">
            <v>27551.070533996928</v>
          </cell>
          <cell r="F14">
            <v>423776.48259646801</v>
          </cell>
          <cell r="G14">
            <v>0</v>
          </cell>
          <cell r="H14">
            <v>0</v>
          </cell>
        </row>
        <row r="15">
          <cell r="E15">
            <v>2132.0624467480911</v>
          </cell>
          <cell r="F15">
            <v>34003.953625337061</v>
          </cell>
          <cell r="G15">
            <v>0</v>
          </cell>
          <cell r="H15">
            <v>0</v>
          </cell>
        </row>
        <row r="16">
          <cell r="E16">
            <v>2702.7843215296894</v>
          </cell>
          <cell r="F16">
            <v>11610.129000014818</v>
          </cell>
          <cell r="G16">
            <v>0</v>
          </cell>
          <cell r="H16">
            <v>48.854963339472121</v>
          </cell>
        </row>
        <row r="17">
          <cell r="E17">
            <v>2653.5013670596741</v>
          </cell>
          <cell r="F17">
            <v>5195.9810633055849</v>
          </cell>
          <cell r="G17">
            <v>0</v>
          </cell>
          <cell r="H17">
            <v>0</v>
          </cell>
        </row>
        <row r="20">
          <cell r="E20">
            <v>5205.1514167550431</v>
          </cell>
          <cell r="F20">
            <v>94839.180104004103</v>
          </cell>
          <cell r="G20">
            <v>0</v>
          </cell>
          <cell r="H20">
            <v>0</v>
          </cell>
        </row>
        <row r="21">
          <cell r="E21">
            <v>9031.3149653756664</v>
          </cell>
          <cell r="F21">
            <v>192903.98614349845</v>
          </cell>
          <cell r="G21">
            <v>0</v>
          </cell>
          <cell r="H21">
            <v>0</v>
          </cell>
        </row>
        <row r="22">
          <cell r="E22">
            <v>635.29420092096984</v>
          </cell>
          <cell r="F22">
            <v>13512.623026403799</v>
          </cell>
          <cell r="G22">
            <v>0</v>
          </cell>
          <cell r="H22">
            <v>0</v>
          </cell>
        </row>
        <row r="23">
          <cell r="E23">
            <v>8220.6368704867455</v>
          </cell>
          <cell r="F23">
            <v>30838.965892672513</v>
          </cell>
          <cell r="G23">
            <v>0</v>
          </cell>
          <cell r="H23">
            <v>0</v>
          </cell>
        </row>
        <row r="24">
          <cell r="E24">
            <v>36408.861926982354</v>
          </cell>
          <cell r="F24">
            <v>562270.51734303695</v>
          </cell>
          <cell r="G24">
            <v>0</v>
          </cell>
          <cell r="H24">
            <v>0</v>
          </cell>
        </row>
        <row r="25">
          <cell r="E25">
            <v>9059.473109154269</v>
          </cell>
          <cell r="F25">
            <v>20207.345134003135</v>
          </cell>
          <cell r="G25">
            <v>0</v>
          </cell>
          <cell r="H25">
            <v>0</v>
          </cell>
        </row>
        <row r="26">
          <cell r="E26">
            <v>110.95858519173524</v>
          </cell>
          <cell r="F26">
            <v>1877.0597499192356</v>
          </cell>
          <cell r="G26">
            <v>0</v>
          </cell>
          <cell r="H26">
            <v>26.07650300173491</v>
          </cell>
        </row>
        <row r="31">
          <cell r="E31">
            <v>8060.296096877295</v>
          </cell>
          <cell r="F31">
            <v>23335.638423524913</v>
          </cell>
          <cell r="G31">
            <v>0</v>
          </cell>
          <cell r="H31">
            <v>0</v>
          </cell>
        </row>
        <row r="33">
          <cell r="E33">
            <v>348.67337729743764</v>
          </cell>
          <cell r="F33">
            <v>1466.7020992746795</v>
          </cell>
          <cell r="G33">
            <v>0</v>
          </cell>
          <cell r="H33">
            <v>0</v>
          </cell>
        </row>
        <row r="34">
          <cell r="E34">
            <v>2465.1661311174212</v>
          </cell>
          <cell r="F34">
            <v>53461.465196774458</v>
          </cell>
          <cell r="G34">
            <v>0</v>
          </cell>
          <cell r="H34">
            <v>492.12559657922293</v>
          </cell>
        </row>
        <row r="35">
          <cell r="E35">
            <v>890.71787938341117</v>
          </cell>
          <cell r="F35">
            <v>21084.552580681942</v>
          </cell>
          <cell r="G35">
            <v>0</v>
          </cell>
          <cell r="H35">
            <v>337.27662804312126</v>
          </cell>
        </row>
        <row r="62">
          <cell r="E62">
            <v>208118.92839380263</v>
          </cell>
          <cell r="F62">
            <v>3513824.5460513579</v>
          </cell>
          <cell r="H62">
            <v>183445.84928340002</v>
          </cell>
        </row>
        <row r="64">
          <cell r="E64">
            <v>592626.64487502258</v>
          </cell>
          <cell r="F64">
            <v>15266342.659654891</v>
          </cell>
          <cell r="G64">
            <v>1278.3067714211359</v>
          </cell>
          <cell r="H64">
            <v>199810.31400000001</v>
          </cell>
        </row>
      </sheetData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CCS_Matrix_FY25"/>
    </sheetNames>
    <sheetDataSet>
      <sheetData sheetId="0">
        <row r="3">
          <cell r="E3">
            <v>562209.01744869398</v>
          </cell>
          <cell r="F3"/>
        </row>
        <row r="4">
          <cell r="E4"/>
          <cell r="F4">
            <v>236517.93931811166</v>
          </cell>
        </row>
        <row r="6">
          <cell r="E6">
            <v>1113191.1507700824</v>
          </cell>
          <cell r="F6"/>
        </row>
        <row r="7">
          <cell r="E7"/>
          <cell r="F7">
            <v>286041.98593909701</v>
          </cell>
        </row>
        <row r="9">
          <cell r="E9">
            <v>34284.934797224028</v>
          </cell>
          <cell r="F9"/>
        </row>
        <row r="10">
          <cell r="E10">
            <v>103307.35392233297</v>
          </cell>
          <cell r="F10"/>
        </row>
        <row r="12">
          <cell r="E12">
            <v>635.72767789387842</v>
          </cell>
          <cell r="F12">
            <v>5119.8301407751151</v>
          </cell>
        </row>
        <row r="13">
          <cell r="E13"/>
          <cell r="F13">
            <v>289.57201193805463</v>
          </cell>
        </row>
        <row r="14">
          <cell r="E14">
            <v>5.5223437499999992</v>
          </cell>
          <cell r="F14">
            <v>1068.2669544444004</v>
          </cell>
        </row>
        <row r="15">
          <cell r="E15">
            <v>2468.5903069823953</v>
          </cell>
          <cell r="F15">
            <v>1234178.2925171582</v>
          </cell>
        </row>
        <row r="17">
          <cell r="E17">
            <v>1769970.0197193257</v>
          </cell>
          <cell r="F17"/>
        </row>
        <row r="18">
          <cell r="E18"/>
          <cell r="F18">
            <v>1075918.7346976514</v>
          </cell>
        </row>
        <row r="19">
          <cell r="E19"/>
          <cell r="F19"/>
        </row>
        <row r="22">
          <cell r="E22">
            <v>7634.0384411408722</v>
          </cell>
          <cell r="F22"/>
        </row>
        <row r="23">
          <cell r="E23"/>
          <cell r="F23">
            <v>1677484.4429446177</v>
          </cell>
        </row>
        <row r="24">
          <cell r="E24"/>
          <cell r="F24"/>
        </row>
        <row r="26">
          <cell r="D26">
            <v>1643112.6201303282</v>
          </cell>
          <cell r="E26">
            <v>413699.9394349088</v>
          </cell>
          <cell r="F26"/>
        </row>
        <row r="27">
          <cell r="E27"/>
          <cell r="F27">
            <v>910014.63364181761</v>
          </cell>
          <cell r="H27"/>
          <cell r="I27"/>
        </row>
        <row r="28">
          <cell r="E28"/>
          <cell r="F28"/>
          <cell r="H28"/>
          <cell r="I28"/>
        </row>
        <row r="29">
          <cell r="E29"/>
          <cell r="F29">
            <v>241129.94682769713</v>
          </cell>
        </row>
        <row r="30">
          <cell r="D30">
            <v>1174592.3716762194</v>
          </cell>
          <cell r="E30">
            <v>557657.16522825533</v>
          </cell>
          <cell r="F30"/>
        </row>
        <row r="31">
          <cell r="E31"/>
          <cell r="F31">
            <v>3980914.1822815444</v>
          </cell>
          <cell r="H31"/>
          <cell r="I31"/>
        </row>
        <row r="32">
          <cell r="E32"/>
          <cell r="F32"/>
          <cell r="H32"/>
          <cell r="I32"/>
        </row>
        <row r="41">
          <cell r="E41">
            <v>21.942657391304344</v>
          </cell>
          <cell r="F41">
            <v>1054.4397885592207</v>
          </cell>
        </row>
        <row r="42">
          <cell r="E42">
            <v>3.5838414634146338</v>
          </cell>
          <cell r="F42">
            <v>190.7812732917497</v>
          </cell>
        </row>
        <row r="43">
          <cell r="E43">
            <v>16.580178165853297</v>
          </cell>
          <cell r="F43">
            <v>62391.500544965624</v>
          </cell>
        </row>
        <row r="44">
          <cell r="E44"/>
          <cell r="F44"/>
        </row>
        <row r="45">
          <cell r="E45">
            <v>62.41439798673683</v>
          </cell>
          <cell r="F45">
            <v>672.34644523779457</v>
          </cell>
        </row>
        <row r="46">
          <cell r="E46"/>
          <cell r="F46"/>
        </row>
        <row r="49">
          <cell r="E49">
            <v>40083.635414202814</v>
          </cell>
          <cell r="F49">
            <v>4233.9893931930592</v>
          </cell>
        </row>
        <row r="50">
          <cell r="E50">
            <v>226.5303353521798</v>
          </cell>
          <cell r="F50">
            <v>7430.6186898046562</v>
          </cell>
        </row>
        <row r="53">
          <cell r="E53">
            <v>7436.7098119265675</v>
          </cell>
          <cell r="F53">
            <v>5047.1777018010971</v>
          </cell>
        </row>
        <row r="54">
          <cell r="E54"/>
          <cell r="F54">
            <v>18.501809738385333</v>
          </cell>
        </row>
        <row r="55">
          <cell r="E55">
            <v>3.5838414634146338</v>
          </cell>
          <cell r="F55">
            <v>0.89028571428571424</v>
          </cell>
        </row>
        <row r="56">
          <cell r="E56">
            <v>6.3706952756611379</v>
          </cell>
          <cell r="F56">
            <v>14.740525914801403</v>
          </cell>
        </row>
        <row r="57">
          <cell r="E57"/>
          <cell r="F57"/>
        </row>
        <row r="58">
          <cell r="E58"/>
          <cell r="F58"/>
        </row>
        <row r="59">
          <cell r="E59"/>
          <cell r="F59"/>
        </row>
        <row r="60">
          <cell r="E60"/>
          <cell r="F60"/>
        </row>
        <row r="61">
          <cell r="E61">
            <v>5.5721700680272104</v>
          </cell>
          <cell r="F61">
            <v>99.662305241317327</v>
          </cell>
        </row>
        <row r="80">
          <cell r="E80">
            <v>5.6245377197958017</v>
          </cell>
          <cell r="F80">
            <v>11.008008097826085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mes"/>
      <sheetName val="Close Screen"/>
      <sheetName val="B"/>
      <sheetName val="Changes"/>
      <sheetName val="I-MODS PRC"/>
      <sheetName val="I-RPW"/>
      <sheetName val="I-TRIAL BAL"/>
      <sheetName val="I-SEAM"/>
      <sheetName val="I-CS01.0.2"/>
      <sheetName val="I-CS02.1"/>
      <sheetName val="I-CS02.2"/>
      <sheetName val="I-CS03.1 PRC"/>
      <sheetName val="I-CS03.2 PRC"/>
      <sheetName val="I-CS03.2.7"/>
      <sheetName val="I-CS03.3"/>
      <sheetName val="I-CS03.3.3"/>
      <sheetName val="I-CS03.4"/>
      <sheetName val="I-CS03.7"/>
      <sheetName val="I-CS06.0.2.2 Input"/>
      <sheetName val="I-CS06.0.2.2"/>
      <sheetName val="I-CS06.1 Input"/>
      <sheetName val="I-CS06.1"/>
      <sheetName val="I-CS07.1 Input"/>
      <sheetName val="I-CS07.1"/>
      <sheetName val="I-CS07 DALs"/>
      <sheetName val="I-CS07 CCS"/>
      <sheetName val="I-PTR"/>
      <sheetName val="I-SPR"/>
      <sheetName val="I-CS08"/>
      <sheetName val="I-CS10 RCS"/>
      <sheetName val="I-CS10 DALs"/>
      <sheetName val="I-DC"/>
      <sheetName val="I-CS13.3.2"/>
      <sheetName val="I-CS16.1.3"/>
      <sheetName val="I-CS20"/>
      <sheetName val="I-CS 6&amp;7 FACTORS NEW"/>
      <sheetName val="I-RRECS"/>
      <sheetName val="I-FACTORS"/>
      <sheetName val="Template"/>
      <sheetName val="I_FORMS-NP-FY25"/>
    </sheetNames>
    <sheetDataSet>
      <sheetData sheetId="0"/>
      <sheetData sheetId="1"/>
      <sheetData sheetId="2">
        <row r="13">
          <cell r="I13" t="str">
            <v>USPS-FY25 NP14 - Fiscal Year 2025 - Commercially Sensitive Non-Public Material -- Do Not Disclose</v>
          </cell>
        </row>
      </sheetData>
      <sheetData sheetId="3"/>
      <sheetData sheetId="4"/>
      <sheetData sheetId="5">
        <row r="10">
          <cell r="E10" t="str">
            <v>FY2025R_RPWAdj.xlsx</v>
          </cell>
        </row>
      </sheetData>
      <sheetData sheetId="6">
        <row r="19">
          <cell r="E19">
            <v>19284378169.18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3">
          <cell r="D13">
            <v>166731.91576140811</v>
          </cell>
        </row>
      </sheetData>
      <sheetData sheetId="20"/>
      <sheetData sheetId="21">
        <row r="12">
          <cell r="C12">
            <v>204023.06523562848</v>
          </cell>
        </row>
      </sheetData>
      <sheetData sheetId="22"/>
      <sheetData sheetId="23">
        <row r="11">
          <cell r="A11" t="str">
            <v>ACTIVITY CODE</v>
          </cell>
        </row>
      </sheetData>
      <sheetData sheetId="24">
        <row r="7">
          <cell r="D7" t="str">
            <v>Pieces (000)</v>
          </cell>
        </row>
        <row r="19">
          <cell r="D19">
            <v>0.69899605210987248</v>
          </cell>
          <cell r="E19">
            <v>0.91518914805631923</v>
          </cell>
        </row>
        <row r="20">
          <cell r="D20">
            <v>0.29077954083678764</v>
          </cell>
          <cell r="E20">
            <v>0.90002171221707605</v>
          </cell>
        </row>
      </sheetData>
      <sheetData sheetId="25">
        <row r="10">
          <cell r="G10" t="str">
            <v>CCS</v>
          </cell>
        </row>
      </sheetData>
      <sheetData sheetId="26">
        <row r="13">
          <cell r="F13">
            <v>1.5689008562374093E-3</v>
          </cell>
        </row>
      </sheetData>
      <sheetData sheetId="27">
        <row r="8">
          <cell r="B8">
            <v>331925413</v>
          </cell>
        </row>
      </sheetData>
      <sheetData sheetId="28"/>
      <sheetData sheetId="29">
        <row r="13">
          <cell r="G13">
            <v>2453387.3380321576</v>
          </cell>
        </row>
      </sheetData>
      <sheetData sheetId="30">
        <row r="9">
          <cell r="C9" t="str">
            <v>FY25 RCS</v>
          </cell>
        </row>
      </sheetData>
      <sheetData sheetId="31">
        <row r="9">
          <cell r="B9">
            <v>1</v>
          </cell>
        </row>
      </sheetData>
      <sheetData sheetId="32"/>
      <sheetData sheetId="33"/>
      <sheetData sheetId="34"/>
      <sheetData sheetId="35">
        <row r="7">
          <cell r="C7" t="str">
            <v>VARIABILITIES</v>
          </cell>
        </row>
      </sheetData>
      <sheetData sheetId="36">
        <row r="11">
          <cell r="A11" t="str">
            <v>COD</v>
          </cell>
        </row>
      </sheetData>
      <sheetData sheetId="37"/>
      <sheetData sheetId="38">
        <row r="2">
          <cell r="A2" t="str">
            <v>Domestic Market Dominant Products</v>
          </cell>
        </row>
      </sheetData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Changes"/>
      <sheetName val="Outputs to IC"/>
      <sheetName val="Inputs"/>
      <sheetName val="Inputs DK"/>
      <sheetName val="Input DALs"/>
      <sheetName val="10.1.1 PQ1-2"/>
      <sheetName val="10.1.1 PQ3-4"/>
      <sheetName val="10.1.2 PQ1-2"/>
      <sheetName val="10.1.2 PQ3-4"/>
      <sheetName val="10.1.2"/>
      <sheetName val="10.3"/>
      <sheetName val="Outputs to CRA"/>
    </sheetNames>
    <sheetDataSet>
      <sheetData sheetId="0"/>
      <sheetData sheetId="1"/>
      <sheetData sheetId="2"/>
      <sheetData sheetId="3"/>
      <sheetData sheetId="4">
        <row r="11">
          <cell r="E11">
            <v>2453387.3380321576</v>
          </cell>
          <cell r="F11">
            <v>319780.68089636124</v>
          </cell>
          <cell r="G11">
            <v>5279.5744485247687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M11">
            <v>536.93706384059851</v>
          </cell>
          <cell r="N11">
            <v>1174553</v>
          </cell>
          <cell r="P11">
            <v>0</v>
          </cell>
        </row>
        <row r="12">
          <cell r="E12">
            <v>88048.066727183832</v>
          </cell>
          <cell r="F12">
            <v>24785.934725034331</v>
          </cell>
          <cell r="G12">
            <v>43.601966085974283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M12">
            <v>3.9207200772200768</v>
          </cell>
          <cell r="N12">
            <v>0</v>
          </cell>
          <cell r="P12">
            <v>0</v>
          </cell>
        </row>
        <row r="13">
          <cell r="E13">
            <v>9356054.1318591889</v>
          </cell>
          <cell r="F13">
            <v>608340.98418545979</v>
          </cell>
          <cell r="G13">
            <v>8070.1664445927918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0</v>
          </cell>
          <cell r="N13">
            <v>0</v>
          </cell>
          <cell r="P13">
            <v>0</v>
          </cell>
        </row>
        <row r="14">
          <cell r="E14">
            <v>718613.98737041792</v>
          </cell>
          <cell r="F14">
            <v>48685.288725713035</v>
          </cell>
          <cell r="G14">
            <v>127.81158465819512</v>
          </cell>
          <cell r="H14">
            <v>0</v>
          </cell>
          <cell r="I14">
            <v>3.9207200772200768</v>
          </cell>
          <cell r="J14">
            <v>0</v>
          </cell>
          <cell r="K14">
            <v>0</v>
          </cell>
          <cell r="M14">
            <v>0</v>
          </cell>
          <cell r="N14">
            <v>0</v>
          </cell>
          <cell r="P14">
            <v>0</v>
          </cell>
        </row>
        <row r="15">
          <cell r="E15">
            <v>0</v>
          </cell>
          <cell r="F15">
            <v>11.968546664021908</v>
          </cell>
          <cell r="G15">
            <v>121531.84164461466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M15">
            <v>349.78015929892695</v>
          </cell>
          <cell r="N15">
            <v>0</v>
          </cell>
          <cell r="P15">
            <v>0</v>
          </cell>
        </row>
        <row r="16">
          <cell r="E16">
            <v>0</v>
          </cell>
          <cell r="F16">
            <v>8.0329679163938259</v>
          </cell>
          <cell r="G16">
            <v>152734.31997765251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M16">
            <v>0</v>
          </cell>
          <cell r="N16">
            <v>0</v>
          </cell>
          <cell r="P16">
            <v>0</v>
          </cell>
        </row>
        <row r="19">
          <cell r="E19">
            <v>1730656.3358446942</v>
          </cell>
          <cell r="F19">
            <v>468996.62671882298</v>
          </cell>
          <cell r="G19">
            <v>13038.649562969142</v>
          </cell>
          <cell r="H19">
            <v>0</v>
          </cell>
          <cell r="I19">
            <v>0</v>
          </cell>
          <cell r="J19">
            <v>0</v>
          </cell>
          <cell r="K19">
            <v>206513.68433607538</v>
          </cell>
          <cell r="M19">
            <v>0</v>
          </cell>
          <cell r="N19">
            <v>0</v>
          </cell>
          <cell r="P19">
            <v>0</v>
          </cell>
        </row>
        <row r="20">
          <cell r="E20">
            <v>0</v>
          </cell>
          <cell r="F20">
            <v>574.91811799597554</v>
          </cell>
          <cell r="G20">
            <v>1487464.9607743204</v>
          </cell>
          <cell r="H20">
            <v>0</v>
          </cell>
          <cell r="I20">
            <v>0</v>
          </cell>
          <cell r="J20">
            <v>0</v>
          </cell>
          <cell r="K20">
            <v>1129595.6704067294</v>
          </cell>
          <cell r="M20">
            <v>0</v>
          </cell>
          <cell r="N20">
            <v>0</v>
          </cell>
          <cell r="P20">
            <v>0</v>
          </cell>
        </row>
        <row r="21"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244656.83658735105</v>
          </cell>
          <cell r="M21">
            <v>0</v>
          </cell>
          <cell r="N21">
            <v>0</v>
          </cell>
          <cell r="P21">
            <v>0</v>
          </cell>
        </row>
        <row r="22">
          <cell r="E22">
            <v>3335.6653487389949</v>
          </cell>
          <cell r="F22">
            <v>1178.3108175881282</v>
          </cell>
          <cell r="G22">
            <v>1068966.0714461622</v>
          </cell>
          <cell r="H22">
            <v>0</v>
          </cell>
          <cell r="I22">
            <v>0</v>
          </cell>
          <cell r="J22">
            <v>0</v>
          </cell>
          <cell r="K22">
            <v>25212.613250986476</v>
          </cell>
          <cell r="M22">
            <v>0</v>
          </cell>
          <cell r="N22">
            <v>0</v>
          </cell>
          <cell r="P22">
            <v>0</v>
          </cell>
        </row>
        <row r="23">
          <cell r="E23">
            <v>12975443.082181618</v>
          </cell>
          <cell r="F23">
            <v>1106952.940651593</v>
          </cell>
          <cell r="G23">
            <v>17099.53291862824</v>
          </cell>
          <cell r="H23">
            <v>0</v>
          </cell>
          <cell r="I23">
            <v>91.879699968861829</v>
          </cell>
          <cell r="J23">
            <v>0</v>
          </cell>
          <cell r="K23">
            <v>5980.9385778676669</v>
          </cell>
          <cell r="M23">
            <v>8.0181092459858192</v>
          </cell>
          <cell r="N23">
            <v>0</v>
          </cell>
          <cell r="P23">
            <v>0</v>
          </cell>
        </row>
        <row r="24">
          <cell r="E24">
            <v>0</v>
          </cell>
          <cell r="F24">
            <v>47.226944971537009</v>
          </cell>
          <cell r="G24">
            <v>683262.60680602537</v>
          </cell>
          <cell r="H24">
            <v>0</v>
          </cell>
          <cell r="I24">
            <v>35.661945534315009</v>
          </cell>
          <cell r="J24">
            <v>0</v>
          </cell>
          <cell r="K24">
            <v>224.08604994083041</v>
          </cell>
          <cell r="M24">
            <v>7.8414401544401535</v>
          </cell>
          <cell r="N24">
            <v>0</v>
          </cell>
          <cell r="P24">
            <v>0</v>
          </cell>
        </row>
        <row r="25">
          <cell r="E25">
            <v>0</v>
          </cell>
          <cell r="F25">
            <v>0</v>
          </cell>
          <cell r="G25">
            <v>0</v>
          </cell>
          <cell r="H25">
            <v>4088.0896426324325</v>
          </cell>
          <cell r="I25">
            <v>515.51232005824079</v>
          </cell>
          <cell r="J25">
            <v>131.27934385628893</v>
          </cell>
          <cell r="K25">
            <v>0</v>
          </cell>
          <cell r="M25">
            <v>3.9355787476280835</v>
          </cell>
          <cell r="N25">
            <v>0</v>
          </cell>
          <cell r="P25">
            <v>0</v>
          </cell>
        </row>
        <row r="30">
          <cell r="E30">
            <v>2943.0203895342493</v>
          </cell>
          <cell r="F30">
            <v>1911.7622921541772</v>
          </cell>
          <cell r="G30">
            <v>1063009.4155670376</v>
          </cell>
          <cell r="H30">
            <v>13526.581360123102</v>
          </cell>
          <cell r="I30">
            <v>703.11002671695678</v>
          </cell>
          <cell r="J30">
            <v>0</v>
          </cell>
          <cell r="K30">
            <v>12721.852270205503</v>
          </cell>
          <cell r="M30">
            <v>0</v>
          </cell>
          <cell r="N30">
            <v>0</v>
          </cell>
          <cell r="P30">
            <v>0</v>
          </cell>
        </row>
        <row r="32">
          <cell r="E32">
            <v>0</v>
          </cell>
          <cell r="F32">
            <v>7.8711574952561669</v>
          </cell>
          <cell r="G32">
            <v>34739.136251762546</v>
          </cell>
          <cell r="H32">
            <v>716.39622580536798</v>
          </cell>
          <cell r="I32">
            <v>402.83253475367093</v>
          </cell>
          <cell r="J32">
            <v>2.7449793053497547</v>
          </cell>
          <cell r="K32">
            <v>233.18982228699687</v>
          </cell>
          <cell r="M32">
            <v>3.9355787476280835</v>
          </cell>
          <cell r="N32">
            <v>1132</v>
          </cell>
          <cell r="P32">
            <v>0</v>
          </cell>
        </row>
        <row r="33">
          <cell r="E33">
            <v>0</v>
          </cell>
          <cell r="F33">
            <v>0</v>
          </cell>
          <cell r="G33">
            <v>0</v>
          </cell>
          <cell r="H33">
            <v>51184.24403012704</v>
          </cell>
          <cell r="I33">
            <v>26490.26679899569</v>
          </cell>
          <cell r="J33">
            <v>3784.419091364372</v>
          </cell>
          <cell r="K33">
            <v>0</v>
          </cell>
          <cell r="M33">
            <v>11.85602644149381</v>
          </cell>
          <cell r="N33">
            <v>99</v>
          </cell>
          <cell r="P33">
            <v>269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12728.419950483385</v>
          </cell>
          <cell r="I34">
            <v>8380.6719429692057</v>
          </cell>
          <cell r="J34">
            <v>1847.8020928699202</v>
          </cell>
          <cell r="K34">
            <v>0</v>
          </cell>
          <cell r="M34">
            <v>28.050260012316585</v>
          </cell>
          <cell r="N34">
            <v>2782</v>
          </cell>
          <cell r="P34">
            <v>923</v>
          </cell>
        </row>
        <row r="36">
          <cell r="E36">
            <v>87113.714579895095</v>
          </cell>
          <cell r="F36">
            <v>15397.611399566907</v>
          </cell>
          <cell r="G36">
            <v>1722.359267099592</v>
          </cell>
          <cell r="H36">
            <v>2827.9260274980852</v>
          </cell>
          <cell r="I36">
            <v>1717.6093870689667</v>
          </cell>
          <cell r="J36">
            <v>83.426018805211157</v>
          </cell>
          <cell r="K36">
            <v>0</v>
          </cell>
          <cell r="M36">
            <v>39.681246008754208</v>
          </cell>
          <cell r="N36">
            <v>11557</v>
          </cell>
          <cell r="P36">
            <v>1611</v>
          </cell>
        </row>
        <row r="37">
          <cell r="E37">
            <v>494.32946012499991</v>
          </cell>
          <cell r="F37">
            <v>103.18430858772707</v>
          </cell>
          <cell r="G37">
            <v>5021.1946814855</v>
          </cell>
          <cell r="H37">
            <v>559.52148066174573</v>
          </cell>
          <cell r="I37">
            <v>0</v>
          </cell>
          <cell r="J37">
            <v>0</v>
          </cell>
          <cell r="K37">
            <v>0</v>
          </cell>
          <cell r="M37">
            <v>0</v>
          </cell>
          <cell r="N37">
            <v>1139</v>
          </cell>
          <cell r="P37">
            <v>25</v>
          </cell>
        </row>
        <row r="63">
          <cell r="E63">
            <v>27426004.433363102</v>
          </cell>
          <cell r="F63">
            <v>2599380.0229292074</v>
          </cell>
          <cell r="G63">
            <v>4663733.1389697772</v>
          </cell>
          <cell r="H63">
            <v>1687172.7721538884</v>
          </cell>
          <cell r="I63">
            <v>893179.33574800449</v>
          </cell>
          <cell r="J63">
            <v>150179.75029976005</v>
          </cell>
          <cell r="K63">
            <v>1625138.8713014433</v>
          </cell>
          <cell r="M63">
            <v>2309.7931202958594</v>
          </cell>
          <cell r="N63">
            <v>1304056</v>
          </cell>
          <cell r="P63">
            <v>143485</v>
          </cell>
        </row>
      </sheetData>
      <sheetData sheetId="5"/>
      <sheetData sheetId="6"/>
      <sheetData sheetId="7"/>
      <sheetData sheetId="8"/>
      <sheetData sheetId="9"/>
      <sheetData sheetId="10">
        <row r="11">
          <cell r="D11">
            <v>49940.213987024639</v>
          </cell>
          <cell r="E11">
            <v>775.65753383815036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K11">
            <v>78847.975794027792</v>
          </cell>
          <cell r="L11">
            <v>309.18189122897275</v>
          </cell>
          <cell r="M11">
            <v>7699.2631248031466</v>
          </cell>
          <cell r="N11">
            <v>0</v>
          </cell>
          <cell r="S11">
            <v>2911.9356767236422</v>
          </cell>
          <cell r="T11">
            <v>291.47557375337948</v>
          </cell>
        </row>
        <row r="12">
          <cell r="D12">
            <v>3870.8244680916378</v>
          </cell>
          <cell r="E12">
            <v>6.4058559670830295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K12">
            <v>2829.7251422127197</v>
          </cell>
          <cell r="L12">
            <v>2.257649415712863</v>
          </cell>
          <cell r="M12">
            <v>0</v>
          </cell>
          <cell r="N12">
            <v>0</v>
          </cell>
          <cell r="S12">
            <v>101.47271454803231</v>
          </cell>
          <cell r="T12">
            <v>14.121190203450665</v>
          </cell>
        </row>
        <row r="13">
          <cell r="D13">
            <v>95004.735252112383</v>
          </cell>
          <cell r="E13">
            <v>1185.6420367034193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K13">
            <v>300688.73279021442</v>
          </cell>
          <cell r="L13">
            <v>0</v>
          </cell>
          <cell r="M13">
            <v>0</v>
          </cell>
          <cell r="N13">
            <v>0</v>
          </cell>
          <cell r="S13">
            <v>9050.2165546810284</v>
          </cell>
          <cell r="T13">
            <v>842.52923600769032</v>
          </cell>
        </row>
        <row r="14">
          <cell r="D14">
            <v>7603.1914441078206</v>
          </cell>
          <cell r="E14">
            <v>18.777653297345395</v>
          </cell>
          <cell r="F14">
            <v>0</v>
          </cell>
          <cell r="G14">
            <v>7.4115110369293795</v>
          </cell>
          <cell r="H14">
            <v>0</v>
          </cell>
          <cell r="I14">
            <v>0</v>
          </cell>
          <cell r="K14">
            <v>23095.113194347876</v>
          </cell>
          <cell r="L14">
            <v>0</v>
          </cell>
          <cell r="M14">
            <v>0</v>
          </cell>
          <cell r="N14">
            <v>0</v>
          </cell>
          <cell r="S14">
            <v>727.10638708379656</v>
          </cell>
          <cell r="T14">
            <v>65.277707594668826</v>
          </cell>
        </row>
        <row r="15">
          <cell r="D15">
            <v>1.8691303672239608</v>
          </cell>
          <cell r="E15">
            <v>17855.054321510848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K15">
            <v>0</v>
          </cell>
          <cell r="L15">
            <v>201.41222956908598</v>
          </cell>
          <cell r="M15">
            <v>0</v>
          </cell>
          <cell r="N15">
            <v>0</v>
          </cell>
          <cell r="S15">
            <v>126.53203545561146</v>
          </cell>
          <cell r="T15">
            <v>37.830605021626909</v>
          </cell>
        </row>
        <row r="16">
          <cell r="D16">
            <v>1.2545102336111011</v>
          </cell>
          <cell r="E16">
            <v>22439.218751696157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S16">
            <v>134.46573296498349</v>
          </cell>
          <cell r="T16">
            <v>46.962724157689763</v>
          </cell>
        </row>
        <row r="19">
          <cell r="D19">
            <v>70440.997368391123</v>
          </cell>
          <cell r="E19">
            <v>1915.5950660793253</v>
          </cell>
          <cell r="F19">
            <v>0</v>
          </cell>
          <cell r="G19">
            <v>0</v>
          </cell>
          <cell r="H19">
            <v>0</v>
          </cell>
          <cell r="I19">
            <v>12847.591502135423</v>
          </cell>
          <cell r="K19">
            <v>55415.843359600934</v>
          </cell>
          <cell r="L19">
            <v>0</v>
          </cell>
          <cell r="M19">
            <v>0</v>
          </cell>
          <cell r="N19">
            <v>0</v>
          </cell>
          <cell r="S19">
            <v>1869.5470688366654</v>
          </cell>
          <cell r="T19">
            <v>303.65556637381951</v>
          </cell>
        </row>
        <row r="20">
          <cell r="D20">
            <v>2892.0863114469921</v>
          </cell>
          <cell r="E20">
            <v>218533.40915900102</v>
          </cell>
          <cell r="F20">
            <v>0</v>
          </cell>
          <cell r="G20">
            <v>0</v>
          </cell>
          <cell r="H20">
            <v>0</v>
          </cell>
          <cell r="I20">
            <v>86461.101582688076</v>
          </cell>
          <cell r="K20">
            <v>204.70491709952327</v>
          </cell>
          <cell r="L20">
            <v>0</v>
          </cell>
          <cell r="M20">
            <v>0</v>
          </cell>
          <cell r="N20">
            <v>0</v>
          </cell>
          <cell r="S20">
            <v>2444.7772249583059</v>
          </cell>
          <cell r="T20">
            <v>637.59346771731111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6078.8403169028643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S21">
            <v>173.73495004747917</v>
          </cell>
          <cell r="T21">
            <v>12.989366077301581</v>
          </cell>
        </row>
        <row r="22">
          <cell r="D22">
            <v>184.01704008081833</v>
          </cell>
          <cell r="E22">
            <v>157048.94301969162</v>
          </cell>
          <cell r="F22">
            <v>0</v>
          </cell>
          <cell r="G22">
            <v>0</v>
          </cell>
          <cell r="H22">
            <v>0</v>
          </cell>
          <cell r="I22">
            <v>1680.8906565096131</v>
          </cell>
          <cell r="K22">
            <v>107.20299098197356</v>
          </cell>
          <cell r="L22">
            <v>0</v>
          </cell>
          <cell r="M22">
            <v>0</v>
          </cell>
          <cell r="N22">
            <v>0</v>
          </cell>
          <cell r="S22">
            <v>852.95247858400705</v>
          </cell>
          <cell r="T22">
            <v>332.58017419646706</v>
          </cell>
        </row>
        <row r="23">
          <cell r="D23">
            <v>172873.06592365124</v>
          </cell>
          <cell r="E23">
            <v>2512.2065542902865</v>
          </cell>
          <cell r="F23">
            <v>0</v>
          </cell>
          <cell r="G23">
            <v>173.68427150550579</v>
          </cell>
          <cell r="H23">
            <v>0</v>
          </cell>
          <cell r="I23">
            <v>398.74104570664866</v>
          </cell>
          <cell r="K23">
            <v>417010.15008957026</v>
          </cell>
          <cell r="L23">
            <v>4.6170293460880725</v>
          </cell>
          <cell r="M23">
            <v>0</v>
          </cell>
          <cell r="N23">
            <v>0</v>
          </cell>
          <cell r="S23">
            <v>11778.84724917116</v>
          </cell>
          <cell r="T23">
            <v>1254.9972808496013</v>
          </cell>
        </row>
        <row r="24">
          <cell r="D24">
            <v>7.3754416033543215</v>
          </cell>
          <cell r="E24">
            <v>100382.67169564683</v>
          </cell>
          <cell r="F24">
            <v>0</v>
          </cell>
          <cell r="G24">
            <v>67.413357169164215</v>
          </cell>
          <cell r="H24">
            <v>0</v>
          </cell>
          <cell r="I24">
            <v>14.939512372242923</v>
          </cell>
          <cell r="K24">
            <v>0</v>
          </cell>
          <cell r="L24">
            <v>4.5152988314257261</v>
          </cell>
          <cell r="M24">
            <v>0</v>
          </cell>
          <cell r="N24">
            <v>0</v>
          </cell>
          <cell r="S24">
            <v>518.35450037370504</v>
          </cell>
          <cell r="T24">
            <v>210.10101172342473</v>
          </cell>
        </row>
        <row r="25">
          <cell r="D25">
            <v>0</v>
          </cell>
          <cell r="E25">
            <v>0</v>
          </cell>
          <cell r="F25">
            <v>1613.4994578008432</v>
          </cell>
          <cell r="G25">
            <v>974.49580039739692</v>
          </cell>
          <cell r="H25">
            <v>71.876358896631075</v>
          </cell>
          <cell r="I25">
            <v>0</v>
          </cell>
          <cell r="K25">
            <v>0</v>
          </cell>
          <cell r="L25">
            <v>2.2662054125461513</v>
          </cell>
          <cell r="M25">
            <v>0</v>
          </cell>
          <cell r="N25">
            <v>0</v>
          </cell>
          <cell r="S25">
            <v>3.6369425122475865</v>
          </cell>
          <cell r="T25">
            <v>5.5364820827928867</v>
          </cell>
        </row>
        <row r="30">
          <cell r="D30">
            <v>298.56030606629031</v>
          </cell>
          <cell r="E30">
            <v>156173.81093202587</v>
          </cell>
          <cell r="F30">
            <v>5338.711622870338</v>
          </cell>
          <cell r="G30">
            <v>1329.1200648232168</v>
          </cell>
          <cell r="H30">
            <v>0</v>
          </cell>
          <cell r="I30">
            <v>848.14859933836328</v>
          </cell>
          <cell r="K30">
            <v>94.584005076610978</v>
          </cell>
          <cell r="L30">
            <v>0</v>
          </cell>
          <cell r="M30">
            <v>0</v>
          </cell>
          <cell r="N30">
            <v>0</v>
          </cell>
          <cell r="S30">
            <v>758.92180445812767</v>
          </cell>
          <cell r="T30">
            <v>342.89333499695908</v>
          </cell>
        </row>
        <row r="32">
          <cell r="D32">
            <v>1.2292402672257201</v>
          </cell>
          <cell r="E32">
            <v>5103.7584592142357</v>
          </cell>
          <cell r="F32">
            <v>282.74940692426031</v>
          </cell>
          <cell r="G32">
            <v>761.49220514563228</v>
          </cell>
          <cell r="H32">
            <v>1.5028953673864085</v>
          </cell>
          <cell r="I32">
            <v>15.546448500732623</v>
          </cell>
          <cell r="K32">
            <v>0</v>
          </cell>
          <cell r="L32">
            <v>2.2662054125461513</v>
          </cell>
          <cell r="M32">
            <v>7.4203257386232568</v>
          </cell>
          <cell r="N32">
            <v>0</v>
          </cell>
          <cell r="S32">
            <v>32.400546012058228</v>
          </cell>
          <cell r="T32">
            <v>12.912018527235345</v>
          </cell>
        </row>
        <row r="33">
          <cell r="D33">
            <v>0</v>
          </cell>
          <cell r="E33">
            <v>0</v>
          </cell>
          <cell r="F33">
            <v>20201.550653223152</v>
          </cell>
          <cell r="G33">
            <v>50075.726112833625</v>
          </cell>
          <cell r="H33">
            <v>2071.9959198145962</v>
          </cell>
          <cell r="I33">
            <v>0</v>
          </cell>
          <cell r="K33">
            <v>0</v>
          </cell>
          <cell r="L33">
            <v>6.8269987760241451</v>
          </cell>
          <cell r="M33">
            <v>0.64895074922588547</v>
          </cell>
          <cell r="N33">
            <v>69.173682095437968</v>
          </cell>
          <cell r="S33">
            <v>70.18025591502979</v>
          </cell>
          <cell r="T33">
            <v>150.58404892322591</v>
          </cell>
        </row>
        <row r="34">
          <cell r="D34">
            <v>0</v>
          </cell>
          <cell r="E34">
            <v>0</v>
          </cell>
          <cell r="F34">
            <v>5023.6908884272525</v>
          </cell>
          <cell r="G34">
            <v>15842.355837410661</v>
          </cell>
          <cell r="H34">
            <v>1011.6845689178235</v>
          </cell>
          <cell r="I34">
            <v>0</v>
          </cell>
          <cell r="K34">
            <v>0</v>
          </cell>
          <cell r="L34">
            <v>16.152046532304816</v>
          </cell>
          <cell r="M34">
            <v>18.236171559054682</v>
          </cell>
          <cell r="N34">
            <v>237.35058949475555</v>
          </cell>
          <cell r="S34">
            <v>21.467440797062945</v>
          </cell>
          <cell r="T34">
            <v>46.051373701473317</v>
          </cell>
        </row>
        <row r="62">
          <cell r="D62">
            <v>405945.70696018171</v>
          </cell>
          <cell r="E62">
            <v>685180.1750922089</v>
          </cell>
          <cell r="F62">
            <v>665898.40024489083</v>
          </cell>
          <cell r="G62">
            <v>1688416.5088233629</v>
          </cell>
          <cell r="H62">
            <v>82224.463609206912</v>
          </cell>
          <cell r="I62">
            <v>108345.79966415398</v>
          </cell>
          <cell r="K62">
            <v>881428.26049767761</v>
          </cell>
          <cell r="L62">
            <v>1330.0370813901454</v>
          </cell>
          <cell r="M62">
            <v>8548.1628104294068</v>
          </cell>
          <cell r="N62">
            <v>36897.344890200431</v>
          </cell>
          <cell r="S62">
            <v>33862.56354760228</v>
          </cell>
          <cell r="T62">
            <v>9863.6056319989038</v>
          </cell>
        </row>
      </sheetData>
      <sheetData sheetId="11"/>
      <sheetData sheetId="12">
        <row r="12">
          <cell r="D12">
            <v>140775.70358139972</v>
          </cell>
        </row>
        <row r="13">
          <cell r="D13">
            <v>6824.8070204386358</v>
          </cell>
        </row>
        <row r="14">
          <cell r="D14">
            <v>406771.85586971894</v>
          </cell>
        </row>
        <row r="15">
          <cell r="D15">
            <v>31516.877897468436</v>
          </cell>
        </row>
        <row r="16">
          <cell r="D16">
            <v>18222.698321924396</v>
          </cell>
        </row>
        <row r="17">
          <cell r="D17">
            <v>22621.901719052439</v>
          </cell>
        </row>
        <row r="20">
          <cell r="D20">
            <v>142793.22993141727</v>
          </cell>
        </row>
        <row r="21">
          <cell r="D21">
            <v>311173.67266291118</v>
          </cell>
        </row>
        <row r="22">
          <cell r="F22">
            <v>6265.564633027645</v>
          </cell>
        </row>
        <row r="23">
          <cell r="D23">
            <v>160206.58636004452</v>
          </cell>
        </row>
        <row r="24">
          <cell r="D24">
            <v>606006.3094440907</v>
          </cell>
        </row>
        <row r="25">
          <cell r="D25">
            <v>101205.37081772015</v>
          </cell>
        </row>
        <row r="26">
          <cell r="D26">
            <v>2671.3112471024583</v>
          </cell>
        </row>
        <row r="31">
          <cell r="D31">
            <v>165184.75066965577</v>
          </cell>
        </row>
        <row r="33">
          <cell r="D33">
            <v>6221.2777511099348</v>
          </cell>
        </row>
        <row r="34">
          <cell r="D34">
            <v>72646.686622330308</v>
          </cell>
        </row>
        <row r="35">
          <cell r="D35">
            <v>22216.98891684039</v>
          </cell>
        </row>
        <row r="62">
          <cell r="D62">
            <v>4758957.9511243748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CS_Matrix_FY25_Final"/>
    </sheetNames>
    <sheetDataSet>
      <sheetData sheetId="0">
        <row r="15">
          <cell r="X15">
            <v>12721.852270205503</v>
          </cell>
        </row>
        <row r="17">
          <cell r="W17">
            <v>5945.5183691390157</v>
          </cell>
          <cell r="X17">
            <v>35.420208728652753</v>
          </cell>
        </row>
        <row r="18">
          <cell r="X18">
            <v>224.08604994083043</v>
          </cell>
        </row>
        <row r="22">
          <cell r="I22">
            <v>3335.6653487389949</v>
          </cell>
          <cell r="J22">
            <v>1178.3108175881282</v>
          </cell>
          <cell r="M22">
            <v>2284.8122533290812</v>
          </cell>
          <cell r="W22">
            <v>2284.8122533290812</v>
          </cell>
        </row>
        <row r="23">
          <cell r="J23">
            <v>0</v>
          </cell>
          <cell r="K23">
            <v>1068966.0714461622</v>
          </cell>
          <cell r="M23">
            <v>22927.800997657396</v>
          </cell>
          <cell r="X23">
            <v>22927.800997657392</v>
          </cell>
        </row>
        <row r="24">
          <cell r="T24">
            <v>0</v>
          </cell>
          <cell r="U24">
            <v>0</v>
          </cell>
          <cell r="V24">
            <v>0</v>
          </cell>
        </row>
        <row r="26">
          <cell r="I26">
            <v>979062.21685906453</v>
          </cell>
          <cell r="J26">
            <v>255612.47967371228</v>
          </cell>
          <cell r="K26">
            <v>6684.430049239656</v>
          </cell>
          <cell r="M26">
            <v>8891.5589546167139</v>
          </cell>
          <cell r="W26">
            <v>8703.364390910152</v>
          </cell>
          <cell r="X26">
            <v>188.19456370656368</v>
          </cell>
        </row>
        <row r="27">
          <cell r="J27">
            <v>574.91811799597554</v>
          </cell>
          <cell r="K27">
            <v>480083.19705302402</v>
          </cell>
          <cell r="M27">
            <v>34503.488220860985</v>
          </cell>
          <cell r="X27">
            <v>34503.488220860985</v>
          </cell>
        </row>
        <row r="28">
          <cell r="T28">
            <v>0</v>
          </cell>
          <cell r="U28">
            <v>0</v>
          </cell>
          <cell r="V28">
            <v>0</v>
          </cell>
        </row>
        <row r="29">
          <cell r="M29">
            <v>244656.83658735105</v>
          </cell>
          <cell r="X29">
            <v>244656.83658735084</v>
          </cell>
        </row>
        <row r="30">
          <cell r="I30">
            <v>751594.11898562964</v>
          </cell>
          <cell r="J30">
            <v>213384.14704511067</v>
          </cell>
          <cell r="K30">
            <v>6354.2195137294857</v>
          </cell>
          <cell r="M30">
            <v>197622.12538145867</v>
          </cell>
          <cell r="W30">
            <v>197539.47822775837</v>
          </cell>
          <cell r="X30">
            <v>82.647153700189747</v>
          </cell>
        </row>
        <row r="31">
          <cell r="J31">
            <v>0</v>
          </cell>
          <cell r="K31">
            <v>1007381.7637212964</v>
          </cell>
          <cell r="M31">
            <v>1095092.1821858685</v>
          </cell>
          <cell r="X31">
            <v>1095092.1821858699</v>
          </cell>
        </row>
        <row r="32">
          <cell r="T32">
            <v>0</v>
          </cell>
          <cell r="U32">
            <v>0</v>
          </cell>
          <cell r="V32">
            <v>0</v>
          </cell>
        </row>
        <row r="43">
          <cell r="X43">
            <v>233.18982228699687</v>
          </cell>
        </row>
        <row r="44">
          <cell r="X44">
            <v>408.70830363338996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5"/>
    </sheetNames>
    <sheetDataSet>
      <sheetData sheetId="0">
        <row r="2">
          <cell r="D2">
            <v>1146509.6962000406</v>
          </cell>
          <cell r="E2">
            <v>1641874.6574650772</v>
          </cell>
        </row>
        <row r="3">
          <cell r="D3">
            <v>28082.675476199354</v>
          </cell>
          <cell r="E3">
            <v>1237.962665199999</v>
          </cell>
        </row>
        <row r="4">
          <cell r="D4">
            <v>140545.3798913002</v>
          </cell>
          <cell r="E4">
            <v>35086.244312523704</v>
          </cell>
        </row>
        <row r="5">
          <cell r="D5">
            <v>360853.56490908359</v>
          </cell>
          <cell r="E5">
            <v>378608.17277863465</v>
          </cell>
        </row>
        <row r="6">
          <cell r="D6">
            <v>27311.628411622991</v>
          </cell>
        </row>
        <row r="7">
          <cell r="D7">
            <v>28946.592016252343</v>
          </cell>
          <cell r="E7">
            <v>5.5223437499999992</v>
          </cell>
        </row>
        <row r="8">
          <cell r="D8">
            <v>2823345.7842470575</v>
          </cell>
          <cell r="E8">
            <v>90981.704928913809</v>
          </cell>
        </row>
        <row r="9">
          <cell r="D9">
            <v>1157568.398034482</v>
          </cell>
          <cell r="E9">
            <v>819032.92871290469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CS_DAL_FY25"/>
    </sheetNames>
    <sheetDataSet>
      <sheetData sheetId="0">
        <row r="2">
          <cell r="C2">
            <v>4823.7023951570109</v>
          </cell>
          <cell r="D2">
            <v>1545.7756616649997</v>
          </cell>
        </row>
        <row r="3">
          <cell r="C3">
            <v>16133.120113960555</v>
          </cell>
          <cell r="D3">
            <v>1810.7716819507921</v>
          </cell>
        </row>
        <row r="4">
          <cell r="C4">
            <v>13805.518284021222</v>
          </cell>
          <cell r="D4"/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metered"/>
      <sheetName val="city"/>
      <sheetName val="PBRatios"/>
      <sheetName val="Postmaster"/>
      <sheetName val="SupvTrain"/>
      <sheetName val="MailProc"/>
      <sheetName val="Window"/>
      <sheetName val="C_I"/>
      <sheetName val="DataColl"/>
      <sheetName val="OtherAdmin"/>
      <sheetName val="CallCenters"/>
      <sheetName val="MPTrain"/>
      <sheetName val="CityCarriers"/>
      <sheetName val="VSD"/>
      <sheetName val="Rural"/>
      <sheetName val="PS2"/>
      <sheetName val="PS3"/>
      <sheetName val="PS18"/>
      <sheetName val="POBoxes"/>
      <sheetName val="TotalCost"/>
      <sheetName val="CheckSum"/>
      <sheetName val="InputMatrix"/>
      <sheetName val="FY25Public.PB"/>
    </sheetNames>
    <sheetDataSet>
      <sheetData sheetId="0"/>
      <sheetData sheetId="1"/>
      <sheetData sheetId="2"/>
      <sheetData sheetId="3">
        <row r="8">
          <cell r="M8">
            <v>1.2754927507123646</v>
          </cell>
          <cell r="O8">
            <v>1.2077066130157168</v>
          </cell>
        </row>
        <row r="9">
          <cell r="M9">
            <v>1.2630276845681907</v>
          </cell>
        </row>
        <row r="11">
          <cell r="M11">
            <v>1.2653303072868729</v>
          </cell>
        </row>
        <row r="12">
          <cell r="M12">
            <v>1.2673642915008811</v>
          </cell>
        </row>
        <row r="14">
          <cell r="M14">
            <v>1.2217358201742257</v>
          </cell>
        </row>
        <row r="17">
          <cell r="M17">
            <v>1.2755174867004588</v>
          </cell>
        </row>
        <row r="18">
          <cell r="M18">
            <v>1.2868129111356181</v>
          </cell>
        </row>
        <row r="19">
          <cell r="M19">
            <v>1.2864901090081715</v>
          </cell>
        </row>
        <row r="20">
          <cell r="M20">
            <v>1.2238623902089627</v>
          </cell>
        </row>
        <row r="21">
          <cell r="M21">
            <v>1.2655293838393302</v>
          </cell>
        </row>
        <row r="22">
          <cell r="M22">
            <v>1.2184706136890548</v>
          </cell>
        </row>
        <row r="23">
          <cell r="M23">
            <v>1.2711721661744866</v>
          </cell>
        </row>
        <row r="28">
          <cell r="M28">
            <v>1.2208235070108524</v>
          </cell>
        </row>
        <row r="31">
          <cell r="M31">
            <v>1.2254767674605556</v>
          </cell>
        </row>
        <row r="32">
          <cell r="M32">
            <v>1.2847367023954521</v>
          </cell>
        </row>
        <row r="33">
          <cell r="M33">
            <v>1.2907177071660745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PS FCM letters"/>
      <sheetName val="DPS FCM cards"/>
      <sheetName val="DPS MM letters"/>
    </sheetNames>
    <sheetDataSet>
      <sheetData sheetId="0">
        <row r="8">
          <cell r="C8">
            <v>0</v>
          </cell>
          <cell r="D8">
            <v>2226152.0000000005</v>
          </cell>
        </row>
        <row r="9">
          <cell r="C9">
            <v>0</v>
          </cell>
          <cell r="D9">
            <v>0</v>
          </cell>
        </row>
        <row r="10">
          <cell r="C10">
            <v>0.85382551272888774</v>
          </cell>
          <cell r="D10">
            <v>165173782.99999994</v>
          </cell>
        </row>
        <row r="11">
          <cell r="C11">
            <v>0.90229116412190491</v>
          </cell>
          <cell r="D11">
            <v>330701462.00000077</v>
          </cell>
        </row>
        <row r="12">
          <cell r="C12">
            <v>0</v>
          </cell>
          <cell r="D12">
            <v>1700815.0000000005</v>
          </cell>
        </row>
        <row r="13">
          <cell r="C13">
            <v>0</v>
          </cell>
          <cell r="D13">
            <v>1295104.9999999993</v>
          </cell>
        </row>
        <row r="14">
          <cell r="C14">
            <v>0.90229116412190491</v>
          </cell>
          <cell r="D14">
            <v>0</v>
          </cell>
        </row>
        <row r="15">
          <cell r="C15">
            <v>0.90229116412190491</v>
          </cell>
          <cell r="D15">
            <v>0</v>
          </cell>
        </row>
        <row r="18">
          <cell r="C18">
            <v>0.86458014797418015</v>
          </cell>
          <cell r="D18">
            <v>1271821555.0000012</v>
          </cell>
        </row>
        <row r="19">
          <cell r="C19">
            <v>0.89522960503121563</v>
          </cell>
          <cell r="D19">
            <v>6018234188.9999781</v>
          </cell>
        </row>
        <row r="21">
          <cell r="C21">
            <v>0.88352277798782219</v>
          </cell>
          <cell r="D21">
            <v>0</v>
          </cell>
        </row>
        <row r="23">
          <cell r="C23">
            <v>0.97585900911016799</v>
          </cell>
          <cell r="D23">
            <v>20587920737.485481</v>
          </cell>
        </row>
        <row r="25">
          <cell r="C25">
            <v>0</v>
          </cell>
          <cell r="D25">
            <v>750385765.51451349</v>
          </cell>
        </row>
        <row r="27">
          <cell r="C27">
            <v>0.94154181952989746</v>
          </cell>
          <cell r="D27">
            <v>21338306502.999996</v>
          </cell>
        </row>
      </sheetData>
      <sheetData sheetId="1">
        <row r="5">
          <cell r="C5">
            <v>0.85382551272888774</v>
          </cell>
          <cell r="D5">
            <v>80860526</v>
          </cell>
        </row>
        <row r="8">
          <cell r="C8">
            <v>0.86458014797418015</v>
          </cell>
          <cell r="D8">
            <v>191474636.99999979</v>
          </cell>
        </row>
        <row r="9">
          <cell r="C9">
            <v>0.89522960503121563</v>
          </cell>
          <cell r="D9">
            <v>794622973.99999881</v>
          </cell>
        </row>
        <row r="11">
          <cell r="C11">
            <v>0.88352277798782219</v>
          </cell>
          <cell r="D11">
            <v>0</v>
          </cell>
        </row>
        <row r="13">
          <cell r="C13">
            <v>0.97585900911016799</v>
          </cell>
          <cell r="D13">
            <v>1228562743.3972008</v>
          </cell>
        </row>
        <row r="15">
          <cell r="C15">
            <v>0</v>
          </cell>
          <cell r="D15">
            <v>44778489.602797814</v>
          </cell>
        </row>
        <row r="17">
          <cell r="C17">
            <v>0.94154181952989746</v>
          </cell>
          <cell r="D17">
            <v>1273341232.9999986</v>
          </cell>
        </row>
      </sheetData>
      <sheetData sheetId="2">
        <row r="6">
          <cell r="C6">
            <v>0</v>
          </cell>
          <cell r="D6">
            <v>749092</v>
          </cell>
        </row>
        <row r="7">
          <cell r="C7">
            <v>0</v>
          </cell>
          <cell r="D7">
            <v>564492</v>
          </cell>
        </row>
        <row r="8">
          <cell r="C8">
            <v>0</v>
          </cell>
          <cell r="D8">
            <v>1694019.9999999998</v>
          </cell>
        </row>
        <row r="9">
          <cell r="C9">
            <v>0</v>
          </cell>
          <cell r="D9">
            <v>1302844</v>
          </cell>
        </row>
        <row r="10">
          <cell r="C10">
            <v>0.85384008270572487</v>
          </cell>
          <cell r="D10">
            <v>160965393</v>
          </cell>
        </row>
        <row r="11">
          <cell r="C11">
            <v>0.90228888681847952</v>
          </cell>
          <cell r="D11">
            <v>323862051</v>
          </cell>
        </row>
        <row r="18">
          <cell r="C18">
            <v>0.86541423474782009</v>
          </cell>
          <cell r="D18">
            <v>972806127.87041736</v>
          </cell>
        </row>
        <row r="19">
          <cell r="C19">
            <v>0.89507754917882254</v>
          </cell>
          <cell r="D19">
            <v>5541777846.2147341</v>
          </cell>
        </row>
        <row r="21">
          <cell r="C21">
            <v>0.88352277798782219</v>
          </cell>
          <cell r="D21">
            <v>57876.221147411248</v>
          </cell>
        </row>
        <row r="23">
          <cell r="C23">
            <v>0.94154181952989746</v>
          </cell>
          <cell r="D23">
            <v>30913446244.139538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PW Report"/>
      <sheetName val="Adjusted RPW Rpt"/>
      <sheetName val="OutputsToCRA"/>
      <sheetName val="RPW Split"/>
      <sheetName val="Mapping"/>
      <sheetName val="Module1"/>
    </sheetNames>
    <sheetDataSet>
      <sheetData sheetId="0"/>
      <sheetData sheetId="1">
        <row r="13">
          <cell r="G13">
            <v>9372495.3469999991</v>
          </cell>
        </row>
        <row r="14">
          <cell r="G14">
            <v>326604.929</v>
          </cell>
        </row>
        <row r="16">
          <cell r="G16">
            <v>29129459.563999999</v>
          </cell>
        </row>
        <row r="17">
          <cell r="G17">
            <v>2340299.37</v>
          </cell>
        </row>
        <row r="19">
          <cell r="G19">
            <v>407262.05699999997</v>
          </cell>
        </row>
        <row r="20">
          <cell r="G20">
            <v>432797.83499999996</v>
          </cell>
        </row>
        <row r="26">
          <cell r="G26">
            <v>6017413.5520000001</v>
          </cell>
        </row>
        <row r="27">
          <cell r="G27">
            <v>7868876.8259999994</v>
          </cell>
        </row>
        <row r="28">
          <cell r="G28">
            <v>559191.61399999994</v>
          </cell>
        </row>
        <row r="29">
          <cell r="G29">
            <v>2745353.6150000002</v>
          </cell>
        </row>
        <row r="30">
          <cell r="G30">
            <v>37911960.733999997</v>
          </cell>
        </row>
        <row r="31">
          <cell r="G31">
            <v>1668400.57</v>
          </cell>
        </row>
        <row r="32">
          <cell r="G32">
            <v>11706.037</v>
          </cell>
        </row>
        <row r="44">
          <cell r="G44">
            <v>104285.946</v>
          </cell>
        </row>
        <row r="45">
          <cell r="G45">
            <v>225885.52600000001</v>
          </cell>
        </row>
        <row r="46">
          <cell r="G46">
            <v>69096.130999999994</v>
          </cell>
        </row>
        <row r="50">
          <cell r="G50">
            <v>355502.50199999998</v>
          </cell>
        </row>
        <row r="52">
          <cell r="G52">
            <v>20865.668000000001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ategory RPW Data"/>
      <sheetName val="Rate Category RPW Data"/>
      <sheetName val="RPW Report"/>
      <sheetName val="Module1"/>
    </sheetNames>
    <sheetDataSet>
      <sheetData sheetId="0">
        <row r="45">
          <cell r="D45">
            <v>1092331396</v>
          </cell>
        </row>
        <row r="46">
          <cell r="D46">
            <v>215974</v>
          </cell>
        </row>
        <row r="47">
          <cell r="D47">
            <v>215321293</v>
          </cell>
        </row>
        <row r="50">
          <cell r="D50">
            <v>6167534197</v>
          </cell>
        </row>
        <row r="51">
          <cell r="D51">
            <v>393473966</v>
          </cell>
        </row>
        <row r="52">
          <cell r="D52">
            <v>0</v>
          </cell>
        </row>
        <row r="53">
          <cell r="D53">
            <v>0</v>
          </cell>
        </row>
        <row r="56">
          <cell r="D56">
            <v>6453260</v>
          </cell>
        </row>
        <row r="57">
          <cell r="D57">
            <v>1170395</v>
          </cell>
        </row>
        <row r="58">
          <cell r="D58">
            <v>2405341572</v>
          </cell>
        </row>
        <row r="59">
          <cell r="D59">
            <v>332388388</v>
          </cell>
        </row>
        <row r="60">
          <cell r="D60">
            <v>0</v>
          </cell>
        </row>
        <row r="65">
          <cell r="D65">
            <v>29861945534</v>
          </cell>
        </row>
        <row r="66">
          <cell r="D66">
            <v>8050015200</v>
          </cell>
        </row>
        <row r="69">
          <cell r="D69">
            <v>1050009900</v>
          </cell>
        </row>
        <row r="70">
          <cell r="D70">
            <v>618390670</v>
          </cell>
        </row>
        <row r="73">
          <cell r="D73">
            <v>559191614</v>
          </cell>
        </row>
        <row r="74">
          <cell r="D74">
            <v>8726</v>
          </cell>
        </row>
        <row r="75">
          <cell r="D75">
            <v>6135076</v>
          </cell>
        </row>
        <row r="76">
          <cell r="D76">
            <v>4820896</v>
          </cell>
        </row>
        <row r="77">
          <cell r="D77">
            <v>741339</v>
          </cell>
        </row>
      </sheetData>
      <sheetData sheetId="1"/>
      <sheetData sheetId="2">
        <row r="30">
          <cell r="M30">
            <v>3430799.22</v>
          </cell>
        </row>
        <row r="31">
          <cell r="M31">
            <v>2586614.3319999999</v>
          </cell>
        </row>
        <row r="47">
          <cell r="M47">
            <v>2442701.9930000002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rst"/>
      <sheetName val="Priority and Free"/>
      <sheetName val="Standard Commercial"/>
      <sheetName val="Std Nonprofit"/>
      <sheetName val="Periodicals"/>
      <sheetName val="Package Services"/>
      <sheetName val="Parcel Select"/>
      <sheetName val="Ground Advantage"/>
      <sheetName val="Special Services"/>
      <sheetName val="5-Page Letters"/>
      <sheetName val="5-Page Letters YTD check"/>
      <sheetName val="5-Page Flats"/>
      <sheetName val="5-Page Flats YTD check"/>
      <sheetName val="5-Page Parcels"/>
      <sheetName val="5-Page Parcels YTD check"/>
      <sheetName val="5-Page Stamped"/>
      <sheetName val="5-Page Stamped YTD check"/>
      <sheetName val="5-Page Metered_Online"/>
      <sheetName val="5-Page Metered_Online YTD check"/>
      <sheetName val="5-Page POS_RSS"/>
      <sheetName val="5-Page POS_RSS YTD check"/>
      <sheetName val="5-Page PERMIT"/>
      <sheetName val="5-Page PERMIT YTD check"/>
      <sheetName val="5-Page Other"/>
      <sheetName val="5-Page Other YTD check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M50">
            <v>11646.645758875111</v>
          </cell>
        </row>
        <row r="73">
          <cell r="M73">
            <v>296577.78474797407</v>
          </cell>
        </row>
        <row r="75">
          <cell r="M75">
            <v>819.66493775376819</v>
          </cell>
        </row>
      </sheetData>
      <sheetData sheetId="10"/>
      <sheetData sheetId="11">
        <row r="50">
          <cell r="M50">
            <v>2429662.3454087558</v>
          </cell>
        </row>
        <row r="56">
          <cell r="M56">
            <v>5928.9068332888264</v>
          </cell>
        </row>
        <row r="73">
          <cell r="M73">
            <v>50865.578966510351</v>
          </cell>
        </row>
        <row r="75">
          <cell r="M75">
            <v>16347.928952600909</v>
          </cell>
        </row>
      </sheetData>
      <sheetData sheetId="12"/>
      <sheetData sheetId="13">
        <row r="50">
          <cell r="M50">
            <v>1393.0018323693043</v>
          </cell>
        </row>
        <row r="56">
          <cell r="M56">
            <v>63167.22516671117</v>
          </cell>
        </row>
        <row r="73">
          <cell r="M73">
            <v>8059.6932855155446</v>
          </cell>
        </row>
        <row r="75">
          <cell r="M75">
            <v>3698.0891096453242</v>
          </cell>
        </row>
      </sheetData>
      <sheetData sheetId="14"/>
      <sheetData sheetId="15">
        <row r="18">
          <cell r="M18">
            <v>5428264.5256969156</v>
          </cell>
        </row>
      </sheetData>
      <sheetData sheetId="16"/>
      <sheetData sheetId="17">
        <row r="18">
          <cell r="M18">
            <v>3314577.3614857318</v>
          </cell>
        </row>
      </sheetData>
      <sheetData sheetId="18"/>
      <sheetData sheetId="19">
        <row r="18">
          <cell r="M18">
            <v>44049.249136557883</v>
          </cell>
        </row>
      </sheetData>
      <sheetData sheetId="20"/>
      <sheetData sheetId="21">
        <row r="18">
          <cell r="M18">
            <v>576742.21600000001</v>
          </cell>
        </row>
      </sheetData>
      <sheetData sheetId="22"/>
      <sheetData sheetId="23">
        <row r="18">
          <cell r="M18">
            <v>8863.6256807955469</v>
          </cell>
        </row>
      </sheetData>
      <sheetData sheetId="24"/>
      <sheetData sheetId="2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KLTable25"/>
    </sheetNames>
    <sheetDataSet>
      <sheetData sheetId="0">
        <row r="5">
          <cell r="C5">
            <v>166784763.10762477</v>
          </cell>
        </row>
        <row r="6">
          <cell r="C6">
            <v>9364535.4877856951</v>
          </cell>
        </row>
        <row r="7">
          <cell r="C7">
            <v>361929815.21195871</v>
          </cell>
        </row>
        <row r="8">
          <cell r="C8">
            <v>26930441.570345324</v>
          </cell>
        </row>
        <row r="9">
          <cell r="B9">
            <v>63768655.967442133</v>
          </cell>
        </row>
        <row r="10">
          <cell r="B10">
            <v>66617309.290252648</v>
          </cell>
        </row>
        <row r="11">
          <cell r="C11">
            <v>33827055.964182079</v>
          </cell>
        </row>
        <row r="12">
          <cell r="C12">
            <v>21372307.177429557</v>
          </cell>
        </row>
        <row r="13">
          <cell r="B13">
            <v>45414553.534857363</v>
          </cell>
        </row>
        <row r="14">
          <cell r="B14">
            <v>182798.11481287598</v>
          </cell>
        </row>
        <row r="15">
          <cell r="B15">
            <v>28329078.266711619</v>
          </cell>
        </row>
        <row r="16">
          <cell r="B16">
            <v>192848440.13919327</v>
          </cell>
          <cell r="C16">
            <v>389170.1925585256</v>
          </cell>
          <cell r="F16">
            <v>193237610.33175179</v>
          </cell>
        </row>
        <row r="17">
          <cell r="B17">
            <v>313187.02235465549</v>
          </cell>
          <cell r="C17">
            <v>1244242.6741894505</v>
          </cell>
          <cell r="F17">
            <v>1557429.6965441059</v>
          </cell>
        </row>
        <row r="18">
          <cell r="C18">
            <v>476703925.68861645</v>
          </cell>
        </row>
        <row r="19">
          <cell r="B19">
            <v>225263731.94230121</v>
          </cell>
        </row>
        <row r="20">
          <cell r="E20">
            <v>1482913.8393377406</v>
          </cell>
        </row>
        <row r="21">
          <cell r="B21">
            <v>19016847.070489518</v>
          </cell>
        </row>
        <row r="22">
          <cell r="B22">
            <v>176477115.64114958</v>
          </cell>
          <cell r="C22">
            <v>85464.204403230236</v>
          </cell>
          <cell r="E22">
            <v>103211.61722937418</v>
          </cell>
        </row>
        <row r="23">
          <cell r="B23">
            <v>8054840.1999760112</v>
          </cell>
        </row>
        <row r="24">
          <cell r="E24">
            <v>24419783.221290603</v>
          </cell>
        </row>
        <row r="25">
          <cell r="B25">
            <v>705981.03154192457</v>
          </cell>
          <cell r="E25">
            <v>7593345.556636435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KLTable_Casing25"/>
    </sheetNames>
    <sheetDataSet>
      <sheetData sheetId="0">
        <row r="5">
          <cell r="C5">
            <v>128202821.39651167</v>
          </cell>
        </row>
        <row r="6">
          <cell r="C6">
            <v>6627622.4540897105</v>
          </cell>
        </row>
        <row r="7">
          <cell r="C7">
            <v>285096631.88555133</v>
          </cell>
        </row>
        <row r="8">
          <cell r="C8">
            <v>20746004.309347477</v>
          </cell>
        </row>
        <row r="9">
          <cell r="B9">
            <v>50210997.987894066</v>
          </cell>
        </row>
        <row r="10">
          <cell r="B10">
            <v>57186656.586226776</v>
          </cell>
        </row>
        <row r="11">
          <cell r="C11">
            <v>25524362.82345501</v>
          </cell>
        </row>
        <row r="12">
          <cell r="C12">
            <v>16794799.381632887</v>
          </cell>
        </row>
        <row r="13">
          <cell r="B13">
            <v>39792276.082923844</v>
          </cell>
        </row>
        <row r="14">
          <cell r="B14">
            <v>164451.8436703778</v>
          </cell>
        </row>
        <row r="15">
          <cell r="F15">
            <v>23910996.253946032</v>
          </cell>
        </row>
        <row r="16">
          <cell r="B16">
            <v>168248261.49185854</v>
          </cell>
          <cell r="C16">
            <v>304584.71944428456</v>
          </cell>
          <cell r="F16">
            <v>168552846.21130282</v>
          </cell>
        </row>
        <row r="17">
          <cell r="F17">
            <v>1146968.0942853945</v>
          </cell>
        </row>
        <row r="18">
          <cell r="C18">
            <v>381568133.39349383</v>
          </cell>
        </row>
        <row r="19">
          <cell r="B19">
            <v>189274666.59465635</v>
          </cell>
        </row>
        <row r="20">
          <cell r="E20">
            <v>949659.28904047923</v>
          </cell>
        </row>
        <row r="21">
          <cell r="B21">
            <v>16719790.795250529</v>
          </cell>
        </row>
        <row r="22">
          <cell r="B22">
            <v>151497239.94652069</v>
          </cell>
          <cell r="C22">
            <v>76480.84947995127</v>
          </cell>
        </row>
        <row r="23">
          <cell r="B23">
            <v>7135061.0954011641</v>
          </cell>
        </row>
        <row r="24">
          <cell r="E24">
            <v>14198229.008894233</v>
          </cell>
        </row>
        <row r="25">
          <cell r="B25">
            <v>487017.63999265671</v>
          </cell>
          <cell r="E25">
            <v>3749296.7717901003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KLTable_FCSP_Indicia25"/>
    </sheetNames>
    <sheetDataSet>
      <sheetData sheetId="0">
        <row r="4">
          <cell r="D4">
            <v>73385422.094188452</v>
          </cell>
        </row>
        <row r="5">
          <cell r="D5">
            <v>93079135.175785348</v>
          </cell>
        </row>
        <row r="6">
          <cell r="D6">
            <v>320205.83765098627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KLTable_FCSP_Indicia_Casing25"/>
    </sheetNames>
    <sheetDataSet>
      <sheetData sheetId="0">
        <row r="4">
          <cell r="D4">
            <v>57740256.682918727</v>
          </cell>
        </row>
        <row r="5">
          <cell r="D5">
            <v>70175814.826454729</v>
          </cell>
        </row>
        <row r="6">
          <cell r="D6">
            <v>286749.88713821757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Non_Digital"/>
      <sheetName val="Digital"/>
    </sheetNames>
    <sheetDataSet>
      <sheetData sheetId="0">
        <row r="14">
          <cell r="C14">
            <v>2095609.822080923</v>
          </cell>
        </row>
        <row r="15">
          <cell r="C15">
            <v>2424524.2219972336</v>
          </cell>
        </row>
        <row r="16">
          <cell r="C16">
            <v>9293.7647415947977</v>
          </cell>
        </row>
      </sheetData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</sheetNames>
    <sheetDataSet>
      <sheetData sheetId="0">
        <row r="13">
          <cell r="C13">
            <v>1460139.648117838</v>
          </cell>
        </row>
        <row r="14">
          <cell r="C14">
            <v>1342023.8760732161</v>
          </cell>
        </row>
        <row r="15">
          <cell r="C15">
            <v>5425.4880639476714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KLTable_FCSP_Letter_Collection2"/>
    </sheetNames>
    <sheetDataSet>
      <sheetData sheetId="0">
        <row r="5">
          <cell r="E5">
            <v>1230921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8BE9-2C94-4B04-AFA0-A5D6FEBC546B}">
  <dimension ref="A1:C31"/>
  <sheetViews>
    <sheetView topLeftCell="A14" workbookViewId="0">
      <selection activeCell="B8" sqref="B8"/>
    </sheetView>
  </sheetViews>
  <sheetFormatPr defaultRowHeight="12.75" x14ac:dyDescent="0.2"/>
  <cols>
    <col min="1" max="1" width="17" customWidth="1"/>
    <col min="2" max="2" width="59.42578125" customWidth="1"/>
  </cols>
  <sheetData>
    <row r="1" spans="1:3" x14ac:dyDescent="0.2">
      <c r="A1" s="409" t="str">
        <f>Inputs!$C$4</f>
        <v>Unit Delivery Cost Model -  12/16/2025</v>
      </c>
    </row>
    <row r="2" spans="1:3" x14ac:dyDescent="0.2">
      <c r="A2" s="11" t="s">
        <v>141</v>
      </c>
    </row>
    <row r="4" spans="1:3" x14ac:dyDescent="0.2">
      <c r="A4" s="78" t="s">
        <v>90</v>
      </c>
      <c r="B4" s="262" t="s">
        <v>554</v>
      </c>
      <c r="C4" s="15"/>
    </row>
    <row r="5" spans="1:3" s="2" customFormat="1" ht="12" x14ac:dyDescent="0.2">
      <c r="A5" s="157" t="s">
        <v>91</v>
      </c>
      <c r="B5" s="159" t="s">
        <v>279</v>
      </c>
    </row>
    <row r="6" spans="1:3" s="2" customFormat="1" ht="12" x14ac:dyDescent="0.2">
      <c r="A6" s="157" t="s">
        <v>131</v>
      </c>
      <c r="B6" s="158" t="s">
        <v>555</v>
      </c>
    </row>
    <row r="7" spans="1:3" s="2" customFormat="1" ht="12" x14ac:dyDescent="0.2">
      <c r="A7" s="157" t="s">
        <v>132</v>
      </c>
      <c r="B7" s="158" t="s">
        <v>552</v>
      </c>
    </row>
    <row r="8" spans="1:3" s="2" customFormat="1" ht="12" x14ac:dyDescent="0.2">
      <c r="A8" s="157" t="s">
        <v>487</v>
      </c>
      <c r="B8" s="158" t="s">
        <v>553</v>
      </c>
    </row>
    <row r="9" spans="1:3" s="2" customFormat="1" ht="24" x14ac:dyDescent="0.2">
      <c r="A9" s="157" t="s">
        <v>232</v>
      </c>
      <c r="B9" s="158" t="s">
        <v>556</v>
      </c>
    </row>
    <row r="10" spans="1:3" s="2" customFormat="1" ht="12" x14ac:dyDescent="0.2">
      <c r="A10" s="158" t="s">
        <v>233</v>
      </c>
      <c r="B10" s="158" t="s">
        <v>557</v>
      </c>
    </row>
    <row r="11" spans="1:3" s="2" customFormat="1" ht="12" x14ac:dyDescent="0.2">
      <c r="A11" s="157" t="s">
        <v>99</v>
      </c>
      <c r="B11" s="158" t="s">
        <v>558</v>
      </c>
    </row>
    <row r="12" spans="1:3" s="2" customFormat="1" ht="12" x14ac:dyDescent="0.2">
      <c r="A12" s="157" t="s">
        <v>133</v>
      </c>
      <c r="B12" s="158" t="s">
        <v>559</v>
      </c>
    </row>
    <row r="13" spans="1:3" s="2" customFormat="1" ht="24" x14ac:dyDescent="0.2">
      <c r="A13" s="157" t="s">
        <v>234</v>
      </c>
      <c r="B13" s="158" t="s">
        <v>334</v>
      </c>
    </row>
    <row r="14" spans="1:3" s="2" customFormat="1" ht="24" x14ac:dyDescent="0.2">
      <c r="A14" s="159" t="s">
        <v>120</v>
      </c>
      <c r="B14" s="158" t="s">
        <v>560</v>
      </c>
    </row>
    <row r="15" spans="1:3" s="2" customFormat="1" ht="24" x14ac:dyDescent="0.2">
      <c r="A15" s="159" t="s">
        <v>119</v>
      </c>
      <c r="B15" s="158" t="s">
        <v>561</v>
      </c>
    </row>
    <row r="16" spans="1:3" s="2" customFormat="1" ht="12" x14ac:dyDescent="0.2">
      <c r="A16" s="158" t="s">
        <v>117</v>
      </c>
      <c r="B16" s="158" t="s">
        <v>562</v>
      </c>
    </row>
    <row r="17" spans="1:2" s="2" customFormat="1" ht="12" x14ac:dyDescent="0.2">
      <c r="A17" s="159" t="s">
        <v>118</v>
      </c>
      <c r="B17" s="159" t="s">
        <v>563</v>
      </c>
    </row>
    <row r="18" spans="1:2" s="2" customFormat="1" ht="12" x14ac:dyDescent="0.2">
      <c r="A18" s="159" t="s">
        <v>174</v>
      </c>
      <c r="B18" s="158" t="s">
        <v>564</v>
      </c>
    </row>
    <row r="19" spans="1:2" s="2" customFormat="1" ht="12" x14ac:dyDescent="0.2">
      <c r="A19" s="159" t="s">
        <v>175</v>
      </c>
      <c r="B19" s="158" t="s">
        <v>565</v>
      </c>
    </row>
    <row r="20" spans="1:2" s="2" customFormat="1" ht="12" x14ac:dyDescent="0.2">
      <c r="A20" s="158" t="s">
        <v>93</v>
      </c>
      <c r="B20" s="158" t="s">
        <v>566</v>
      </c>
    </row>
    <row r="21" spans="1:2" s="2" customFormat="1" ht="36" x14ac:dyDescent="0.2">
      <c r="A21" s="157" t="s">
        <v>94</v>
      </c>
      <c r="B21" s="158" t="s">
        <v>567</v>
      </c>
    </row>
    <row r="22" spans="1:2" s="2" customFormat="1" ht="12" x14ac:dyDescent="0.2">
      <c r="A22" s="159" t="s">
        <v>185</v>
      </c>
      <c r="B22" s="158" t="s">
        <v>568</v>
      </c>
    </row>
    <row r="23" spans="1:2" s="2" customFormat="1" ht="24" x14ac:dyDescent="0.2">
      <c r="A23" s="157" t="s">
        <v>95</v>
      </c>
      <c r="B23" s="158" t="s">
        <v>569</v>
      </c>
    </row>
    <row r="24" spans="1:2" s="2" customFormat="1" ht="24" x14ac:dyDescent="0.2">
      <c r="A24" s="157" t="s">
        <v>96</v>
      </c>
      <c r="B24" s="158" t="s">
        <v>570</v>
      </c>
    </row>
    <row r="25" spans="1:2" s="2" customFormat="1" ht="36" x14ac:dyDescent="0.2">
      <c r="A25" s="157" t="s">
        <v>97</v>
      </c>
      <c r="B25" s="158" t="s">
        <v>571</v>
      </c>
    </row>
    <row r="26" spans="1:2" s="2" customFormat="1" ht="36" x14ac:dyDescent="0.2">
      <c r="A26" s="157" t="s">
        <v>98</v>
      </c>
      <c r="B26" s="158" t="s">
        <v>572</v>
      </c>
    </row>
    <row r="27" spans="1:2" s="2" customFormat="1" ht="36" x14ac:dyDescent="0.2">
      <c r="A27" s="157" t="s">
        <v>398</v>
      </c>
      <c r="B27" s="158" t="s">
        <v>573</v>
      </c>
    </row>
    <row r="28" spans="1:2" ht="96" x14ac:dyDescent="0.2">
      <c r="A28" s="157" t="s">
        <v>300</v>
      </c>
      <c r="B28" s="159" t="s">
        <v>574</v>
      </c>
    </row>
    <row r="29" spans="1:2" ht="24" x14ac:dyDescent="0.2">
      <c r="A29" s="385" t="s">
        <v>396</v>
      </c>
      <c r="B29" s="396" t="s">
        <v>408</v>
      </c>
    </row>
    <row r="30" spans="1:2" ht="24" x14ac:dyDescent="0.2">
      <c r="A30" s="397" t="s">
        <v>409</v>
      </c>
      <c r="B30" s="396" t="s">
        <v>410</v>
      </c>
    </row>
    <row r="31" spans="1:2" ht="24" x14ac:dyDescent="0.2">
      <c r="A31" s="158" t="s">
        <v>97</v>
      </c>
      <c r="B31" s="398" t="s">
        <v>411</v>
      </c>
    </row>
  </sheetData>
  <pageMargins left="0.75" right="0.75" top="1" bottom="1" header="0.5" footer="0.5"/>
  <pageSetup scale="90" orientation="landscape" horizontalDpi="300" verticalDpi="300" r:id="rId1"/>
  <headerFooter alignWithMargins="0">
    <oddHeader>&amp;RUSPS-FY09-19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DE98-3712-4AA9-B3AD-6A6573A6F206}">
  <sheetPr>
    <tabColor rgb="FF92D050"/>
  </sheetPr>
  <dimension ref="A1:C61"/>
  <sheetViews>
    <sheetView topLeftCell="A28" workbookViewId="0">
      <selection activeCell="G42" sqref="G42"/>
    </sheetView>
  </sheetViews>
  <sheetFormatPr defaultColWidth="8.7109375" defaultRowHeight="12.75" x14ac:dyDescent="0.2"/>
  <cols>
    <col min="1" max="1" width="16.42578125" customWidth="1"/>
    <col min="2" max="2" width="19.5703125" customWidth="1"/>
  </cols>
  <sheetData>
    <row r="1" spans="1:2" x14ac:dyDescent="0.2">
      <c r="A1" s="1" t="s">
        <v>187</v>
      </c>
      <c r="B1" s="1" t="s">
        <v>188</v>
      </c>
    </row>
    <row r="2" spans="1:2" x14ac:dyDescent="0.2">
      <c r="A2" s="1"/>
      <c r="B2" s="1"/>
    </row>
    <row r="3" spans="1:2" x14ac:dyDescent="0.2">
      <c r="A3" s="1" t="s">
        <v>455</v>
      </c>
    </row>
    <row r="4" spans="1:2" x14ac:dyDescent="0.2">
      <c r="A4" s="248" t="s">
        <v>406</v>
      </c>
      <c r="B4" s="248" t="s">
        <v>456</v>
      </c>
    </row>
    <row r="5" spans="1:2" x14ac:dyDescent="0.2">
      <c r="A5" s="248" t="s">
        <v>131</v>
      </c>
      <c r="B5" s="248" t="s">
        <v>457</v>
      </c>
    </row>
    <row r="6" spans="1:2" x14ac:dyDescent="0.2">
      <c r="A6" s="248" t="s">
        <v>458</v>
      </c>
      <c r="B6" s="248" t="s">
        <v>459</v>
      </c>
    </row>
    <row r="8" spans="1:2" x14ac:dyDescent="0.2">
      <c r="A8" s="1" t="s">
        <v>460</v>
      </c>
    </row>
    <row r="9" spans="1:2" x14ac:dyDescent="0.2">
      <c r="A9" s="248" t="s">
        <v>131</v>
      </c>
      <c r="B9" s="248" t="s">
        <v>461</v>
      </c>
    </row>
    <row r="10" spans="1:2" x14ac:dyDescent="0.2">
      <c r="A10" s="248" t="s">
        <v>406</v>
      </c>
      <c r="B10" s="248" t="s">
        <v>462</v>
      </c>
    </row>
    <row r="12" spans="1:2" x14ac:dyDescent="0.2">
      <c r="A12" s="1" t="s">
        <v>467</v>
      </c>
    </row>
    <row r="13" spans="1:2" x14ac:dyDescent="0.2">
      <c r="A13" s="248" t="s">
        <v>131</v>
      </c>
      <c r="B13" s="248" t="s">
        <v>468</v>
      </c>
    </row>
    <row r="15" spans="1:2" x14ac:dyDescent="0.2">
      <c r="A15" s="1" t="s">
        <v>469</v>
      </c>
    </row>
    <row r="16" spans="1:2" x14ac:dyDescent="0.2">
      <c r="A16" t="s">
        <v>470</v>
      </c>
      <c r="B16" s="248" t="s">
        <v>471</v>
      </c>
    </row>
    <row r="17" spans="1:2" x14ac:dyDescent="0.2">
      <c r="A17" t="s">
        <v>119</v>
      </c>
      <c r="B17" s="248" t="s">
        <v>472</v>
      </c>
    </row>
    <row r="18" spans="1:2" x14ac:dyDescent="0.2">
      <c r="A18" t="s">
        <v>119</v>
      </c>
      <c r="B18" s="248" t="s">
        <v>473</v>
      </c>
    </row>
    <row r="19" spans="1:2" x14ac:dyDescent="0.2">
      <c r="A19" t="s">
        <v>120</v>
      </c>
      <c r="B19" s="248" t="s">
        <v>474</v>
      </c>
    </row>
    <row r="20" spans="1:2" x14ac:dyDescent="0.2">
      <c r="A20" t="s">
        <v>234</v>
      </c>
      <c r="B20" s="248" t="s">
        <v>475</v>
      </c>
    </row>
    <row r="21" spans="1:2" x14ac:dyDescent="0.2">
      <c r="A21" t="s">
        <v>476</v>
      </c>
      <c r="B21" s="248" t="s">
        <v>477</v>
      </c>
    </row>
    <row r="22" spans="1:2" x14ac:dyDescent="0.2">
      <c r="A22" t="s">
        <v>118</v>
      </c>
      <c r="B22" s="248" t="s">
        <v>478</v>
      </c>
    </row>
    <row r="23" spans="1:2" x14ac:dyDescent="0.2">
      <c r="A23" t="s">
        <v>185</v>
      </c>
      <c r="B23" s="248" t="s">
        <v>479</v>
      </c>
    </row>
    <row r="24" spans="1:2" x14ac:dyDescent="0.2">
      <c r="A24" t="s">
        <v>396</v>
      </c>
      <c r="B24" s="248" t="s">
        <v>480</v>
      </c>
    </row>
    <row r="25" spans="1:2" x14ac:dyDescent="0.2">
      <c r="A25" t="s">
        <v>97</v>
      </c>
      <c r="B25" s="248" t="s">
        <v>481</v>
      </c>
    </row>
    <row r="27" spans="1:2" x14ac:dyDescent="0.2">
      <c r="A27" s="1" t="s">
        <v>482</v>
      </c>
    </row>
    <row r="28" spans="1:2" x14ac:dyDescent="0.2">
      <c r="A28" t="s">
        <v>458</v>
      </c>
      <c r="B28" s="248" t="s">
        <v>483</v>
      </c>
    </row>
    <row r="29" spans="1:2" x14ac:dyDescent="0.2">
      <c r="A29" t="s">
        <v>132</v>
      </c>
      <c r="B29" s="248" t="s">
        <v>484</v>
      </c>
    </row>
    <row r="30" spans="1:2" x14ac:dyDescent="0.2">
      <c r="A30" t="s">
        <v>132</v>
      </c>
      <c r="B30" s="248" t="s">
        <v>485</v>
      </c>
    </row>
    <row r="31" spans="1:2" x14ac:dyDescent="0.2">
      <c r="A31" t="s">
        <v>131</v>
      </c>
      <c r="B31" s="248" t="s">
        <v>486</v>
      </c>
    </row>
    <row r="32" spans="1:2" x14ac:dyDescent="0.2">
      <c r="A32" t="s">
        <v>487</v>
      </c>
      <c r="B32" s="248" t="s">
        <v>488</v>
      </c>
    </row>
    <row r="33" spans="1:3" x14ac:dyDescent="0.2">
      <c r="A33" t="s">
        <v>99</v>
      </c>
      <c r="B33" s="248" t="s">
        <v>489</v>
      </c>
    </row>
    <row r="35" spans="1:3" x14ac:dyDescent="0.2">
      <c r="A35" s="1" t="s">
        <v>490</v>
      </c>
    </row>
    <row r="36" spans="1:3" x14ac:dyDescent="0.2">
      <c r="A36" t="s">
        <v>132</v>
      </c>
      <c r="B36" s="248" t="s">
        <v>491</v>
      </c>
    </row>
    <row r="37" spans="1:3" x14ac:dyDescent="0.2">
      <c r="A37" t="s">
        <v>99</v>
      </c>
      <c r="B37" s="248" t="s">
        <v>491</v>
      </c>
    </row>
    <row r="38" spans="1:3" x14ac:dyDescent="0.2">
      <c r="A38" t="s">
        <v>120</v>
      </c>
      <c r="B38" s="248" t="s">
        <v>491</v>
      </c>
    </row>
    <row r="39" spans="1:3" x14ac:dyDescent="0.2">
      <c r="A39" t="s">
        <v>119</v>
      </c>
      <c r="B39" s="248" t="s">
        <v>491</v>
      </c>
    </row>
    <row r="40" spans="1:3" x14ac:dyDescent="0.2">
      <c r="A40" t="s">
        <v>174</v>
      </c>
      <c r="B40" s="248" t="s">
        <v>491</v>
      </c>
      <c r="C40" s="248"/>
    </row>
    <row r="41" spans="1:3" x14ac:dyDescent="0.2">
      <c r="A41" t="s">
        <v>117</v>
      </c>
      <c r="B41" s="248" t="s">
        <v>491</v>
      </c>
      <c r="C41" s="248"/>
    </row>
    <row r="42" spans="1:3" x14ac:dyDescent="0.2">
      <c r="A42" t="s">
        <v>118</v>
      </c>
      <c r="B42" s="248" t="s">
        <v>491</v>
      </c>
      <c r="C42" s="248"/>
    </row>
    <row r="43" spans="1:3" x14ac:dyDescent="0.2">
      <c r="A43" t="s">
        <v>98</v>
      </c>
      <c r="B43" s="248" t="s">
        <v>492</v>
      </c>
      <c r="C43" s="248"/>
    </row>
    <row r="44" spans="1:3" x14ac:dyDescent="0.2">
      <c r="A44" t="s">
        <v>398</v>
      </c>
      <c r="B44" s="248" t="s">
        <v>492</v>
      </c>
      <c r="C44" s="248"/>
    </row>
    <row r="45" spans="1:3" x14ac:dyDescent="0.2">
      <c r="A45" t="s">
        <v>476</v>
      </c>
      <c r="B45" s="248" t="s">
        <v>493</v>
      </c>
    </row>
    <row r="46" spans="1:3" x14ac:dyDescent="0.2">
      <c r="A46" t="s">
        <v>94</v>
      </c>
      <c r="B46" s="248" t="s">
        <v>494</v>
      </c>
    </row>
    <row r="48" spans="1:3" x14ac:dyDescent="0.2">
      <c r="A48" s="1" t="s">
        <v>585</v>
      </c>
    </row>
    <row r="49" spans="1:2" x14ac:dyDescent="0.2">
      <c r="A49" t="s">
        <v>458</v>
      </c>
      <c r="B49" s="248" t="s">
        <v>586</v>
      </c>
    </row>
    <row r="50" spans="1:2" x14ac:dyDescent="0.2">
      <c r="A50" t="s">
        <v>132</v>
      </c>
      <c r="B50" s="248" t="s">
        <v>586</v>
      </c>
    </row>
    <row r="51" spans="1:2" x14ac:dyDescent="0.2">
      <c r="A51" t="s">
        <v>131</v>
      </c>
      <c r="B51" s="248" t="s">
        <v>586</v>
      </c>
    </row>
    <row r="52" spans="1:2" x14ac:dyDescent="0.2">
      <c r="A52" t="s">
        <v>99</v>
      </c>
      <c r="B52" s="248" t="s">
        <v>586</v>
      </c>
    </row>
    <row r="53" spans="1:2" x14ac:dyDescent="0.2">
      <c r="A53" t="s">
        <v>232</v>
      </c>
      <c r="B53" s="248" t="s">
        <v>586</v>
      </c>
    </row>
    <row r="54" spans="1:2" x14ac:dyDescent="0.2">
      <c r="A54" t="s">
        <v>132</v>
      </c>
      <c r="B54" s="248" t="s">
        <v>587</v>
      </c>
    </row>
    <row r="55" spans="1:2" x14ac:dyDescent="0.2">
      <c r="A55" t="s">
        <v>117</v>
      </c>
      <c r="B55" s="248" t="s">
        <v>587</v>
      </c>
    </row>
    <row r="56" spans="1:2" x14ac:dyDescent="0.2">
      <c r="A56" t="s">
        <v>132</v>
      </c>
      <c r="B56" s="248" t="s">
        <v>588</v>
      </c>
    </row>
    <row r="57" spans="1:2" x14ac:dyDescent="0.2">
      <c r="A57" t="s">
        <v>470</v>
      </c>
      <c r="B57" s="248" t="s">
        <v>589</v>
      </c>
    </row>
    <row r="58" spans="1:2" x14ac:dyDescent="0.2">
      <c r="A58" t="s">
        <v>120</v>
      </c>
      <c r="B58" s="248" t="s">
        <v>589</v>
      </c>
    </row>
    <row r="59" spans="1:2" x14ac:dyDescent="0.2">
      <c r="A59" t="s">
        <v>119</v>
      </c>
      <c r="B59" s="248" t="s">
        <v>589</v>
      </c>
    </row>
    <row r="60" spans="1:2" x14ac:dyDescent="0.2">
      <c r="A60" t="s">
        <v>119</v>
      </c>
      <c r="B60" s="248" t="s">
        <v>590</v>
      </c>
    </row>
    <row r="61" spans="1:2" x14ac:dyDescent="0.2">
      <c r="A61" t="s">
        <v>185</v>
      </c>
      <c r="B61" s="248" t="s">
        <v>591</v>
      </c>
    </row>
  </sheetData>
  <pageMargins left="0.75" right="0.75" top="1" bottom="1" header="0.5" footer="0.5"/>
  <pageSetup orientation="portrait" r:id="rId1"/>
  <headerFooter alignWithMargins="0">
    <oddHeader>&amp;RUSPS-FY09-19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</sheetPr>
  <dimension ref="A1:D24"/>
  <sheetViews>
    <sheetView zoomScaleNormal="100" workbookViewId="0">
      <selection activeCell="C5" sqref="C5"/>
    </sheetView>
  </sheetViews>
  <sheetFormatPr defaultRowHeight="12.75" x14ac:dyDescent="0.2"/>
  <cols>
    <col min="1" max="1" width="6.42578125" customWidth="1"/>
    <col min="2" max="2" width="40.42578125" customWidth="1"/>
    <col min="3" max="3" width="15" style="15" customWidth="1"/>
    <col min="4" max="4" width="25" customWidth="1"/>
  </cols>
  <sheetData>
    <row r="1" spans="1:4" x14ac:dyDescent="0.2">
      <c r="B1" s="11" t="s">
        <v>534</v>
      </c>
    </row>
    <row r="3" spans="1:4" ht="13.5" thickBot="1" x14ac:dyDescent="0.25">
      <c r="A3" s="14" t="s">
        <v>8</v>
      </c>
    </row>
    <row r="4" spans="1:4" ht="13.5" thickBot="1" x14ac:dyDescent="0.25">
      <c r="A4" s="93">
        <v>1</v>
      </c>
      <c r="B4" s="79" t="s">
        <v>101</v>
      </c>
      <c r="C4" s="408" t="s">
        <v>582</v>
      </c>
      <c r="D4" s="80"/>
    </row>
    <row r="5" spans="1:4" ht="13.5" thickBot="1" x14ac:dyDescent="0.25">
      <c r="A5" s="93"/>
    </row>
    <row r="6" spans="1:4" ht="13.5" thickBot="1" x14ac:dyDescent="0.25">
      <c r="A6" s="93">
        <v>2</v>
      </c>
      <c r="B6" s="26" t="s">
        <v>87</v>
      </c>
      <c r="C6" s="297" t="s">
        <v>535</v>
      </c>
    </row>
    <row r="7" spans="1:4" ht="13.5" thickBot="1" x14ac:dyDescent="0.25">
      <c r="A7" s="93"/>
      <c r="C7"/>
    </row>
    <row r="8" spans="1:4" x14ac:dyDescent="0.2">
      <c r="A8" s="93">
        <f>A6+1</f>
        <v>3</v>
      </c>
      <c r="B8" s="411" t="s">
        <v>263</v>
      </c>
      <c r="C8" s="32">
        <f>[1]MM_HD_SAT_Summary!$I$9</f>
        <v>3.1055057574030584E-3</v>
      </c>
      <c r="D8" t="s">
        <v>37</v>
      </c>
    </row>
    <row r="9" spans="1:4" s="248" customFormat="1" ht="13.5" thickBot="1" x14ac:dyDescent="0.25">
      <c r="A9" s="93">
        <f>A8+1</f>
        <v>4</v>
      </c>
      <c r="B9" s="246" t="s">
        <v>264</v>
      </c>
      <c r="C9" s="247">
        <f>[1]MM_HD_SAT_Summary!$I$10</f>
        <v>6.7217436053510687E-2</v>
      </c>
      <c r="D9" s="45" t="s">
        <v>549</v>
      </c>
    </row>
    <row r="13" spans="1:4" x14ac:dyDescent="0.2">
      <c r="B13" s="45"/>
      <c r="D13" s="288"/>
    </row>
    <row r="14" spans="1:4" x14ac:dyDescent="0.2">
      <c r="D14" s="289"/>
    </row>
    <row r="15" spans="1:4" x14ac:dyDescent="0.2">
      <c r="D15" s="289"/>
    </row>
    <row r="16" spans="1:4" x14ac:dyDescent="0.2">
      <c r="D16" s="289"/>
    </row>
    <row r="17" spans="4:4" x14ac:dyDescent="0.2">
      <c r="D17" s="288"/>
    </row>
    <row r="18" spans="4:4" x14ac:dyDescent="0.2">
      <c r="D18" s="288"/>
    </row>
    <row r="19" spans="4:4" x14ac:dyDescent="0.2">
      <c r="D19" s="289"/>
    </row>
    <row r="20" spans="4:4" x14ac:dyDescent="0.2">
      <c r="D20" s="288"/>
    </row>
    <row r="21" spans="4:4" x14ac:dyDescent="0.2">
      <c r="D21" s="288"/>
    </row>
    <row r="22" spans="4:4" x14ac:dyDescent="0.2">
      <c r="D22" s="288"/>
    </row>
    <row r="23" spans="4:4" x14ac:dyDescent="0.2">
      <c r="D23" s="288"/>
    </row>
    <row r="24" spans="4:4" x14ac:dyDescent="0.2">
      <c r="D24" s="288"/>
    </row>
  </sheetData>
  <phoneticPr fontId="11" type="noConversion"/>
  <pageMargins left="0.75" right="0.75" top="1" bottom="1" header="0.5" footer="0.5"/>
  <pageSetup orientation="portrait" horizontalDpi="300" verticalDpi="300" r:id="rId1"/>
  <headerFooter alignWithMargins="0">
    <oddHeader>&amp;RUSPS-FY09-19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AD1E-C19C-4BE1-AECB-D8983BF90EBF}">
  <sheetPr>
    <tabColor rgb="FF92D050"/>
  </sheetPr>
  <dimension ref="A1:I45"/>
  <sheetViews>
    <sheetView zoomScaleNormal="100" workbookViewId="0">
      <selection activeCell="J21" sqref="J21"/>
    </sheetView>
  </sheetViews>
  <sheetFormatPr defaultRowHeight="12.75" x14ac:dyDescent="0.2"/>
  <cols>
    <col min="1" max="1" width="5.42578125" customWidth="1"/>
    <col min="2" max="2" width="39.42578125" bestFit="1" customWidth="1"/>
    <col min="3" max="6" width="14.5703125" customWidth="1"/>
    <col min="7" max="7" width="14.85546875" bestFit="1" customWidth="1"/>
  </cols>
  <sheetData>
    <row r="1" spans="1:9" s="2" customFormat="1" x14ac:dyDescent="0.2">
      <c r="A1" s="176" t="str">
        <f>'7.0.6'!A1</f>
        <v>Unit Delivery Cost Model -  12/16/2025</v>
      </c>
    </row>
    <row r="2" spans="1:9" s="2" customFormat="1" x14ac:dyDescent="0.2">
      <c r="A2" s="11" t="s">
        <v>218</v>
      </c>
    </row>
    <row r="3" spans="1:9" s="2" customFormat="1" x14ac:dyDescent="0.2">
      <c r="A3" s="11" t="s">
        <v>219</v>
      </c>
      <c r="B3" s="43"/>
      <c r="C3" s="43"/>
    </row>
    <row r="4" spans="1:9" s="2" customFormat="1" x14ac:dyDescent="0.2">
      <c r="A4" s="11"/>
      <c r="B4" s="43"/>
      <c r="C4"/>
      <c r="D4" s="43"/>
      <c r="E4" s="43"/>
      <c r="F4" s="43"/>
    </row>
    <row r="5" spans="1:9" s="2" customFormat="1" ht="33.6" customHeight="1" x14ac:dyDescent="0.2">
      <c r="A5" s="52" t="s">
        <v>0</v>
      </c>
      <c r="B5" s="52" t="s">
        <v>1</v>
      </c>
      <c r="C5" s="52" t="s">
        <v>42</v>
      </c>
      <c r="D5" s="52" t="s">
        <v>440</v>
      </c>
      <c r="E5" s="52" t="s">
        <v>428</v>
      </c>
      <c r="F5" s="52" t="s">
        <v>121</v>
      </c>
      <c r="H5" s="373"/>
      <c r="I5" s="373"/>
    </row>
    <row r="6" spans="1:9" s="14" customFormat="1" ht="11.25" x14ac:dyDescent="0.2">
      <c r="A6" s="123"/>
      <c r="B6" s="99" t="s">
        <v>2</v>
      </c>
      <c r="C6" s="76">
        <v>-1</v>
      </c>
      <c r="D6" s="22">
        <f t="shared" ref="D6:E6" si="0">C6-1</f>
        <v>-2</v>
      </c>
      <c r="E6" s="22">
        <f t="shared" si="0"/>
        <v>-3</v>
      </c>
      <c r="F6" s="76">
        <v>-3</v>
      </c>
      <c r="H6" s="428"/>
      <c r="I6" s="428"/>
    </row>
    <row r="7" spans="1:9" s="14" customFormat="1" ht="11.25" x14ac:dyDescent="0.2">
      <c r="A7" s="123"/>
      <c r="B7" s="99" t="s">
        <v>4</v>
      </c>
      <c r="C7" s="100" t="s">
        <v>60</v>
      </c>
      <c r="D7" s="48" t="s">
        <v>60</v>
      </c>
      <c r="E7" s="48" t="s">
        <v>60</v>
      </c>
      <c r="F7" s="100" t="s">
        <v>60</v>
      </c>
      <c r="H7" s="429"/>
      <c r="I7" s="429"/>
    </row>
    <row r="8" spans="1:9" s="14" customFormat="1" ht="11.25" x14ac:dyDescent="0.2">
      <c r="A8" s="209"/>
      <c r="B8" s="101" t="s">
        <v>6</v>
      </c>
      <c r="C8" s="102" t="s">
        <v>123</v>
      </c>
      <c r="D8" s="390" t="str">
        <f>"L"&amp;A30&amp;" dist on C"&amp;-C6</f>
        <v>L21 dist on C1</v>
      </c>
      <c r="E8" s="390" t="s">
        <v>584</v>
      </c>
      <c r="F8" s="390" t="s">
        <v>584</v>
      </c>
      <c r="H8" s="430"/>
      <c r="I8" s="430"/>
    </row>
    <row r="9" spans="1:9" s="14" customFormat="1" ht="11.25" x14ac:dyDescent="0.2">
      <c r="A9" s="123"/>
      <c r="B9" s="99" t="s">
        <v>122</v>
      </c>
      <c r="C9" s="102">
        <v>43</v>
      </c>
      <c r="D9" s="102">
        <v>44</v>
      </c>
      <c r="E9" s="102">
        <v>604</v>
      </c>
      <c r="F9" s="458" t="s">
        <v>404</v>
      </c>
      <c r="H9" s="430"/>
      <c r="I9" s="430"/>
    </row>
    <row r="10" spans="1:9" s="14" customFormat="1" ht="11.25" x14ac:dyDescent="0.2">
      <c r="A10" s="213">
        <v>1</v>
      </c>
      <c r="B10" s="105" t="s">
        <v>7</v>
      </c>
      <c r="C10" s="95"/>
      <c r="D10" s="95"/>
      <c r="E10" s="95"/>
      <c r="F10" s="95"/>
    </row>
    <row r="11" spans="1:9" s="14" customFormat="1" ht="11.25" x14ac:dyDescent="0.2">
      <c r="A11" s="212">
        <f>A10+1</f>
        <v>2</v>
      </c>
      <c r="B11" s="96" t="s">
        <v>63</v>
      </c>
      <c r="C11" s="96">
        <f>'[2]6.0.2.1'!F11</f>
        <v>166731.91576140808</v>
      </c>
      <c r="D11" s="96">
        <f t="shared" ref="D11" si="1">C11/C$31*D$31</f>
        <v>22864.587659383236</v>
      </c>
      <c r="E11" s="96">
        <f>'[2]Outputs to CRA'!E12</f>
        <v>14195.782571734089</v>
      </c>
      <c r="F11" s="266">
        <f>'[2]Outputs to CRA'!F12+'[2]Outputs to CRA'!G12+'[2]Outputs to CRA'!H12</f>
        <v>280972.65654368664</v>
      </c>
    </row>
    <row r="12" spans="1:9" s="14" customFormat="1" ht="11.25" x14ac:dyDescent="0.2">
      <c r="A12" s="212">
        <f t="shared" ref="A12:A40" si="2">A11+1</f>
        <v>3</v>
      </c>
      <c r="B12" s="96" t="s">
        <v>65</v>
      </c>
      <c r="C12" s="96">
        <f>'[2]6.0.2.1'!F12</f>
        <v>9361.7584704085602</v>
      </c>
      <c r="D12" s="96">
        <f t="shared" ref="D12:D16" si="3">C12/C$31*D$31</f>
        <v>1283.8138769960376</v>
      </c>
      <c r="E12" s="96">
        <f>'[2]Outputs to CRA'!E13</f>
        <v>635.21464694296515</v>
      </c>
      <c r="F12" s="266">
        <f>'[2]Outputs to CRA'!F13+'[2]Outputs to CRA'!G13+'[2]Outputs to CRA'!H13</f>
        <v>10015.630145690035</v>
      </c>
    </row>
    <row r="13" spans="1:9" s="14" customFormat="1" ht="11.25" x14ac:dyDescent="0.2">
      <c r="A13" s="212">
        <f t="shared" si="2"/>
        <v>4</v>
      </c>
      <c r="B13" s="96" t="s">
        <v>64</v>
      </c>
      <c r="C13" s="96">
        <f>'[2]6.0.2.1'!F13</f>
        <v>361821.50172371714</v>
      </c>
      <c r="D13" s="96">
        <f t="shared" si="3"/>
        <v>49617.971492932767</v>
      </c>
      <c r="E13" s="96">
        <f>'[2]Outputs to CRA'!E14</f>
        <v>27551.070533996928</v>
      </c>
      <c r="F13" s="266">
        <f>'[2]Outputs to CRA'!F14+'[2]Outputs to CRA'!G14+'[2]Outputs to CRA'!H14</f>
        <v>423776.48259646801</v>
      </c>
    </row>
    <row r="14" spans="1:9" s="14" customFormat="1" ht="11.25" x14ac:dyDescent="0.2">
      <c r="A14" s="212">
        <f t="shared" si="2"/>
        <v>5</v>
      </c>
      <c r="B14" s="96" t="s">
        <v>66</v>
      </c>
      <c r="C14" s="96">
        <f>'[2]6.0.2.1'!F14</f>
        <v>26921.231808486005</v>
      </c>
      <c r="D14" s="96">
        <f t="shared" si="3"/>
        <v>3691.8118632100468</v>
      </c>
      <c r="E14" s="96">
        <f>'[2]Outputs to CRA'!E15</f>
        <v>2132.0624467480911</v>
      </c>
      <c r="F14" s="266">
        <f>'[2]Outputs to CRA'!F15+'[2]Outputs to CRA'!G15+'[2]Outputs to CRA'!H15</f>
        <v>34003.953625337061</v>
      </c>
    </row>
    <row r="15" spans="1:9" s="14" customFormat="1" ht="11.25" x14ac:dyDescent="0.2">
      <c r="A15" s="212">
        <f t="shared" si="2"/>
        <v>6</v>
      </c>
      <c r="B15" s="96" t="s">
        <v>189</v>
      </c>
      <c r="C15" s="96">
        <f>'[2]6.0.2.1'!F15</f>
        <v>63759.544108801914</v>
      </c>
      <c r="D15" s="96">
        <f t="shared" si="3"/>
        <v>8743.5910439856252</v>
      </c>
      <c r="E15" s="96">
        <f>'[2]Outputs to CRA'!E16</f>
        <v>2702.7843215296894</v>
      </c>
      <c r="F15" s="266">
        <f>'[2]Outputs to CRA'!F16+'[2]Outputs to CRA'!G16+'[2]Outputs to CRA'!H16</f>
        <v>11658.983963354291</v>
      </c>
    </row>
    <row r="16" spans="1:9" s="14" customFormat="1" ht="11.25" x14ac:dyDescent="0.2">
      <c r="A16" s="214">
        <f t="shared" si="2"/>
        <v>7</v>
      </c>
      <c r="B16" s="97" t="s">
        <v>190</v>
      </c>
      <c r="C16" s="97">
        <f>'[2]6.0.2.1'!F16</f>
        <v>66608.274067060003</v>
      </c>
      <c r="D16" s="97">
        <f t="shared" si="3"/>
        <v>9134.2483188754013</v>
      </c>
      <c r="E16" s="97">
        <f>'[2]Outputs to CRA'!E17</f>
        <v>2653.5013670596741</v>
      </c>
      <c r="F16" s="194">
        <f>'[2]Outputs to CRA'!F17+'[2]Outputs to CRA'!G17+'[2]Outputs to CRA'!H17</f>
        <v>5195.9810633055849</v>
      </c>
    </row>
    <row r="17" spans="1:8" s="14" customFormat="1" ht="11.25" x14ac:dyDescent="0.2">
      <c r="A17" s="212">
        <f>A16+1</f>
        <v>8</v>
      </c>
      <c r="B17" s="150" t="s">
        <v>349</v>
      </c>
      <c r="C17" s="96"/>
      <c r="D17" s="96"/>
      <c r="E17" s="96"/>
      <c r="F17" s="266"/>
    </row>
    <row r="18" spans="1:8" s="14" customFormat="1" ht="11.25" x14ac:dyDescent="0.2">
      <c r="A18" s="212">
        <f t="shared" si="2"/>
        <v>9</v>
      </c>
      <c r="B18" s="149" t="s">
        <v>191</v>
      </c>
      <c r="C18" s="96">
        <f>'[2]6.0.2.1'!F19</f>
        <v>55182.385380426465</v>
      </c>
      <c r="D18" s="96">
        <f t="shared" ref="D18:D25" si="4">C18/C$31*D$31</f>
        <v>7567.3723415386339</v>
      </c>
      <c r="E18" s="96">
        <f>'[2]Outputs to CRA'!E20</f>
        <v>5205.1514167550431</v>
      </c>
      <c r="F18" s="266">
        <f>'[2]Outputs to CRA'!F20+'[2]Outputs to CRA'!G20+'[2]Outputs to CRA'!H20</f>
        <v>94839.180104004103</v>
      </c>
    </row>
    <row r="19" spans="1:8" s="14" customFormat="1" ht="11.25" x14ac:dyDescent="0.2">
      <c r="A19" s="212">
        <f t="shared" si="2"/>
        <v>10</v>
      </c>
      <c r="B19" s="149" t="s">
        <v>192</v>
      </c>
      <c r="C19" s="96">
        <f>'[2]6.0.2.1'!F20</f>
        <v>70465.380267619999</v>
      </c>
      <c r="D19" s="96">
        <f t="shared" ref="D19:D24" si="5">C19/C$31*D$31</f>
        <v>9663.18809883004</v>
      </c>
      <c r="E19" s="96">
        <f>'[2]Outputs to CRA'!E21</f>
        <v>9031.3149653756664</v>
      </c>
      <c r="F19" s="266">
        <f>'[2]Outputs to CRA'!F21+'[2]Outputs to CRA'!G21+'[2]Outputs to CRA'!H21</f>
        <v>192903.98614349845</v>
      </c>
    </row>
    <row r="20" spans="1:8" s="14" customFormat="1" ht="11.25" x14ac:dyDescent="0.2">
      <c r="A20" s="212">
        <f t="shared" si="2"/>
        <v>11</v>
      </c>
      <c r="B20" s="149" t="s">
        <v>288</v>
      </c>
      <c r="C20" s="96">
        <f>'[2]6.0.2.1'!F21</f>
        <v>5007.5316457843583</v>
      </c>
      <c r="D20" s="96">
        <f t="shared" si="5"/>
        <v>686.70203751520273</v>
      </c>
      <c r="E20" s="96">
        <f>'[2]Outputs to CRA'!E22</f>
        <v>635.29420092096984</v>
      </c>
      <c r="F20" s="266">
        <f>'[2]Outputs to CRA'!F22+'[2]Outputs to CRA'!G22+'[2]Outputs to CRA'!H22</f>
        <v>13512.623026403799</v>
      </c>
    </row>
    <row r="21" spans="1:8" s="14" customFormat="1" ht="11.25" x14ac:dyDescent="0.2">
      <c r="A21" s="212">
        <f t="shared" si="2"/>
        <v>12</v>
      </c>
      <c r="B21" s="149" t="s">
        <v>193</v>
      </c>
      <c r="C21" s="96">
        <f>'[2]6.0.2.1'!F22</f>
        <v>193209.89931983888</v>
      </c>
      <c r="D21" s="96">
        <f t="shared" si="5"/>
        <v>26495.615188520384</v>
      </c>
      <c r="E21" s="96">
        <f>'[2]Outputs to CRA'!E23</f>
        <v>8220.6368704867455</v>
      </c>
      <c r="F21" s="266">
        <f>'[2]Outputs to CRA'!F23+'[2]Outputs to CRA'!G23+'[2]Outputs to CRA'!H23</f>
        <v>30838.965892672513</v>
      </c>
    </row>
    <row r="22" spans="1:8" s="14" customFormat="1" ht="11.25" x14ac:dyDescent="0.2">
      <c r="A22" s="212">
        <f t="shared" si="2"/>
        <v>13</v>
      </c>
      <c r="B22" s="149" t="s">
        <v>194</v>
      </c>
      <c r="C22" s="96">
        <f>'[2]6.0.2.1'!F23</f>
        <v>476552.55014500429</v>
      </c>
      <c r="D22" s="96">
        <f t="shared" si="5"/>
        <v>65351.48059286629</v>
      </c>
      <c r="E22" s="96">
        <f>'[2]Outputs to CRA'!E24</f>
        <v>36408.861926982354</v>
      </c>
      <c r="F22" s="266">
        <f>'[2]Outputs to CRA'!F24+'[2]Outputs to CRA'!G24+'[2]Outputs to CRA'!H24</f>
        <v>562270.51734303695</v>
      </c>
      <c r="H22" s="152"/>
    </row>
    <row r="23" spans="1:8" s="14" customFormat="1" ht="11.25" x14ac:dyDescent="0.2">
      <c r="A23" s="212">
        <f t="shared" si="2"/>
        <v>14</v>
      </c>
      <c r="B23" s="149" t="s">
        <v>195</v>
      </c>
      <c r="C23" s="96">
        <f>'[2]6.0.2.1'!F24</f>
        <v>225228.98247641564</v>
      </c>
      <c r="D23" s="96">
        <f t="shared" si="5"/>
        <v>30886.514976742477</v>
      </c>
      <c r="E23" s="96">
        <f>'[2]Outputs to CRA'!E25</f>
        <v>9059.473109154269</v>
      </c>
      <c r="F23" s="266">
        <f>'[2]Outputs to CRA'!F25+'[2]Outputs to CRA'!G25+'[2]Outputs to CRA'!H25</f>
        <v>20207.345134003135</v>
      </c>
    </row>
    <row r="24" spans="1:8" s="14" customFormat="1" ht="11.25" x14ac:dyDescent="0.2">
      <c r="A24" s="214">
        <f t="shared" si="2"/>
        <v>15</v>
      </c>
      <c r="B24" s="156" t="s">
        <v>260</v>
      </c>
      <c r="C24" s="96">
        <f>'[2]6.0.2.1'!F25</f>
        <v>1482.9199396903375</v>
      </c>
      <c r="D24" s="96">
        <f t="shared" si="5"/>
        <v>203.35850396763101</v>
      </c>
      <c r="E24" s="96">
        <f>'[2]Outputs to CRA'!E26</f>
        <v>110.95858519173524</v>
      </c>
      <c r="F24" s="266">
        <f>'[2]Outputs to CRA'!F26+'[2]Outputs to CRA'!G26+'[2]Outputs to CRA'!H26</f>
        <v>1903.1362529209705</v>
      </c>
    </row>
    <row r="25" spans="1:8" s="14" customFormat="1" ht="11.25" x14ac:dyDescent="0.2">
      <c r="A25" s="215">
        <f t="shared" si="2"/>
        <v>16</v>
      </c>
      <c r="B25" s="208" t="s">
        <v>70</v>
      </c>
      <c r="C25" s="154">
        <f>'[2]6.0.2.1'!F30</f>
        <v>195656.04599720455</v>
      </c>
      <c r="D25" s="154">
        <f t="shared" si="4"/>
        <v>26831.064672663375</v>
      </c>
      <c r="E25" s="154">
        <f>'[2]Outputs to CRA'!$E$31</f>
        <v>8060.296096877295</v>
      </c>
      <c r="F25" s="261">
        <f>'[2]Outputs to CRA'!$F$31+'[2]Outputs to CRA'!$G$31+'[2]Outputs to CRA'!$H$31</f>
        <v>23335.638423524913</v>
      </c>
    </row>
    <row r="26" spans="1:8" s="14" customFormat="1" ht="11.25" x14ac:dyDescent="0.2">
      <c r="A26" s="212">
        <f t="shared" si="2"/>
        <v>17</v>
      </c>
      <c r="B26" s="106" t="s">
        <v>71</v>
      </c>
      <c r="C26" s="96"/>
      <c r="D26" s="96"/>
      <c r="E26" s="96"/>
      <c r="F26" s="266"/>
    </row>
    <row r="27" spans="1:8" s="14" customFormat="1" ht="11.25" x14ac:dyDescent="0.2">
      <c r="A27" s="212">
        <f t="shared" si="2"/>
        <v>18</v>
      </c>
      <c r="B27" s="205" t="s">
        <v>196</v>
      </c>
      <c r="C27" s="96">
        <f>'[2]6.0.2.1'!F32</f>
        <v>8053.5988959187562</v>
      </c>
      <c r="D27" s="96">
        <f>C27/C$31*D$31</f>
        <v>1104.4209327790149</v>
      </c>
      <c r="E27" s="96">
        <f>'[2]Outputs to CRA'!E33</f>
        <v>348.67337729743764</v>
      </c>
      <c r="F27" s="266">
        <f>'[2]Outputs to CRA'!F33+'[2]Outputs to CRA'!G33+'[2]Outputs to CRA'!H33</f>
        <v>1466.7020992746795</v>
      </c>
    </row>
    <row r="28" spans="1:8" s="14" customFormat="1" ht="11.25" x14ac:dyDescent="0.2">
      <c r="A28" s="212">
        <f t="shared" si="2"/>
        <v>19</v>
      </c>
      <c r="B28" s="205" t="s">
        <v>197</v>
      </c>
      <c r="C28" s="96">
        <f>'[2]6.0.2.1'!F33</f>
        <v>24420.66358107753</v>
      </c>
      <c r="D28" s="96">
        <f>C28/C$31*D$31</f>
        <v>3348.899342996066</v>
      </c>
      <c r="E28" s="96">
        <f>'[2]Outputs to CRA'!E34</f>
        <v>2465.1661311174212</v>
      </c>
      <c r="F28" s="266">
        <f>'[2]Outputs to CRA'!F34+'[2]Outputs to CRA'!G34+'[2]Outputs to CRA'!H34</f>
        <v>53953.59079335368</v>
      </c>
    </row>
    <row r="29" spans="1:8" s="14" customFormat="1" ht="11.25" x14ac:dyDescent="0.2">
      <c r="A29" s="212">
        <f t="shared" si="2"/>
        <v>20</v>
      </c>
      <c r="B29" s="200" t="s">
        <v>139</v>
      </c>
      <c r="C29" s="96">
        <f>'[2]6.0.2.1'!F34</f>
        <v>8300.1563869802067</v>
      </c>
      <c r="D29" s="96">
        <f>C29/C$31*D$31</f>
        <v>1138.2323080139715</v>
      </c>
      <c r="E29" s="96">
        <f>'[2]Outputs to CRA'!E35</f>
        <v>890.71787938341117</v>
      </c>
      <c r="F29" s="266">
        <f>'[2]Outputs to CRA'!F35+'[2]Outputs to CRA'!G35+'[2]Outputs to CRA'!H35</f>
        <v>21421.829208725063</v>
      </c>
    </row>
    <row r="30" spans="1:8" s="14" customFormat="1" ht="11.25" x14ac:dyDescent="0.2">
      <c r="A30" s="215">
        <f t="shared" si="2"/>
        <v>21</v>
      </c>
      <c r="B30" s="260" t="s">
        <v>61</v>
      </c>
      <c r="C30" s="261">
        <f>'[2]6.0.2.1'!$D$62</f>
        <v>2735847.0793406623</v>
      </c>
      <c r="D30" s="154">
        <f>C30/C$31*D$31</f>
        <v>375177.21236866509</v>
      </c>
      <c r="E30" s="154">
        <f>'[2]Outputs to CRA'!$E$62</f>
        <v>208118.92839380263</v>
      </c>
      <c r="F30" s="261">
        <f>'[2]Outputs to CRA'!F62+'[2]Outputs to CRA'!G64+'[2]Outputs to CRA'!H62</f>
        <v>3698548.7021061792</v>
      </c>
    </row>
    <row r="31" spans="1:8" x14ac:dyDescent="0.2">
      <c r="A31" s="215">
        <f t="shared" si="2"/>
        <v>22</v>
      </c>
      <c r="B31" s="260" t="s">
        <v>18</v>
      </c>
      <c r="C31" s="261">
        <f>'[2]6.0.2.1'!$F$64</f>
        <v>2835479.9882413195</v>
      </c>
      <c r="D31" s="261">
        <f>'[2]Outputs to CRA'!Q8</f>
        <v>388840.25563734747</v>
      </c>
      <c r="E31" s="261">
        <f>'[2]Outputs to CRA'!$E$64</f>
        <v>592626.64487502258</v>
      </c>
      <c r="F31" s="261">
        <f>'[2]Outputs to CRA'!$F$64+'[2]Outputs to CRA'!$G$64+'[2]Outputs to CRA'!$H$64</f>
        <v>15467431.280426312</v>
      </c>
    </row>
    <row r="32" spans="1:8" s="2" customFormat="1" ht="11.25" x14ac:dyDescent="0.2">
      <c r="A32" s="213">
        <f t="shared" si="2"/>
        <v>23</v>
      </c>
      <c r="B32" s="350" t="s">
        <v>349</v>
      </c>
      <c r="C32" s="3"/>
      <c r="D32" s="3"/>
      <c r="E32" s="3"/>
      <c r="F32" s="3"/>
    </row>
    <row r="33" spans="1:7" s="2" customFormat="1" ht="11.25" x14ac:dyDescent="0.2">
      <c r="A33" s="212">
        <f t="shared" si="2"/>
        <v>24</v>
      </c>
      <c r="B33" s="98" t="s">
        <v>251</v>
      </c>
      <c r="C33" s="40">
        <f t="shared" ref="C33:F33" si="6">C18</f>
        <v>55182.385380426465</v>
      </c>
      <c r="D33" s="40">
        <f>D18</f>
        <v>7567.3723415386339</v>
      </c>
      <c r="E33" s="149">
        <f t="shared" si="6"/>
        <v>5205.1514167550431</v>
      </c>
      <c r="F33" s="239">
        <f t="shared" si="6"/>
        <v>94839.180104004103</v>
      </c>
    </row>
    <row r="34" spans="1:7" s="2" customFormat="1" ht="11.25" x14ac:dyDescent="0.2">
      <c r="A34" s="212">
        <f t="shared" si="2"/>
        <v>25</v>
      </c>
      <c r="B34" s="240" t="s">
        <v>242</v>
      </c>
      <c r="C34" s="40">
        <f>CARMM!D18</f>
        <v>33827.05596418208</v>
      </c>
      <c r="D34" s="40">
        <f t="shared" ref="D34:D40" si="7">IFERROR(C34/C$31*D$31,0)</f>
        <v>4638.8340397809143</v>
      </c>
      <c r="E34" s="40">
        <f>'7.0.6'!M34</f>
        <v>2957.5134443945472</v>
      </c>
      <c r="F34" s="40">
        <f>'7.0.6'!L34</f>
        <v>51124.896543188661</v>
      </c>
    </row>
    <row r="35" spans="1:7" s="2" customFormat="1" ht="11.25" x14ac:dyDescent="0.2">
      <c r="A35" s="212">
        <f t="shared" si="2"/>
        <v>26</v>
      </c>
      <c r="B35" s="240" t="s">
        <v>248</v>
      </c>
      <c r="C35" s="40">
        <f>CARMM!D19</f>
        <v>21372.307177429557</v>
      </c>
      <c r="D35" s="40">
        <f t="shared" si="7"/>
        <v>2930.8665273233273</v>
      </c>
      <c r="E35" s="40">
        <f>'7.0.6'!M35</f>
        <v>2247.6379723604955</v>
      </c>
      <c r="F35" s="40">
        <f>'7.0.6'!L35</f>
        <v>43714.283560815442</v>
      </c>
      <c r="G35" s="47"/>
    </row>
    <row r="36" spans="1:7" s="2" customFormat="1" ht="11.25" x14ac:dyDescent="0.2">
      <c r="A36" s="212">
        <f t="shared" si="2"/>
        <v>27</v>
      </c>
      <c r="B36" s="98" t="s">
        <v>252</v>
      </c>
      <c r="C36" s="40">
        <f t="shared" ref="C36:F36" si="8">C19</f>
        <v>70465.380267619999</v>
      </c>
      <c r="D36" s="40">
        <f t="shared" si="8"/>
        <v>9663.18809883004</v>
      </c>
      <c r="E36" s="40">
        <f t="shared" si="8"/>
        <v>9031.3149653756664</v>
      </c>
      <c r="F36" s="40">
        <f t="shared" si="8"/>
        <v>192903.98614349845</v>
      </c>
    </row>
    <row r="37" spans="1:7" s="2" customFormat="1" ht="11.25" x14ac:dyDescent="0.2">
      <c r="A37" s="212">
        <f t="shared" si="2"/>
        <v>28</v>
      </c>
      <c r="B37" s="240" t="s">
        <v>243</v>
      </c>
      <c r="C37" s="40">
        <f>CARMM!D23</f>
        <v>45414.553534857361</v>
      </c>
      <c r="D37" s="40">
        <f t="shared" si="7"/>
        <v>6227.8720637710358</v>
      </c>
      <c r="E37" s="40">
        <f>'7.0.6'!M37</f>
        <v>2305.9052472881403</v>
      </c>
      <c r="F37" s="40">
        <f>'7.0.6'!L37</f>
        <v>18506.278516270388</v>
      </c>
    </row>
    <row r="38" spans="1:7" s="2" customFormat="1" ht="11.25" x14ac:dyDescent="0.2">
      <c r="A38" s="212">
        <f t="shared" si="2"/>
        <v>29</v>
      </c>
      <c r="B38" s="240" t="s">
        <v>249</v>
      </c>
      <c r="C38" s="40">
        <f>CARMM!D25</f>
        <v>25061.774432284245</v>
      </c>
      <c r="D38" s="40">
        <f t="shared" si="7"/>
        <v>3436.8173351204669</v>
      </c>
      <c r="E38" s="40">
        <f>'7.0.6'!M38</f>
        <v>6725.4097180875278</v>
      </c>
      <c r="F38" s="40">
        <f>'7.0.6'!L38</f>
        <v>174397.70762722805</v>
      </c>
    </row>
    <row r="39" spans="1:7" s="2" customFormat="1" ht="11.25" x14ac:dyDescent="0.2">
      <c r="A39" s="212">
        <f t="shared" si="2"/>
        <v>30</v>
      </c>
      <c r="B39" s="240" t="s">
        <v>244</v>
      </c>
      <c r="C39" s="40">
        <f>CARMM!D24</f>
        <v>0</v>
      </c>
      <c r="D39" s="40">
        <f t="shared" si="7"/>
        <v>0</v>
      </c>
      <c r="E39" s="40">
        <f>'7.0.6'!M39</f>
        <v>0</v>
      </c>
      <c r="F39" s="40">
        <f>'7.0.6'!L39</f>
        <v>0</v>
      </c>
    </row>
    <row r="40" spans="1:7" s="2" customFormat="1" ht="11.25" x14ac:dyDescent="0.2">
      <c r="A40" s="214">
        <f t="shared" si="2"/>
        <v>31</v>
      </c>
      <c r="B40" s="241" t="s">
        <v>250</v>
      </c>
      <c r="C40" s="41">
        <f>CARMM!D29</f>
        <v>0</v>
      </c>
      <c r="D40" s="41">
        <f t="shared" si="7"/>
        <v>0</v>
      </c>
      <c r="E40" s="41">
        <f>'7.0.6'!M40</f>
        <v>0</v>
      </c>
      <c r="F40" s="41">
        <f>'7.0.6'!L40</f>
        <v>0</v>
      </c>
    </row>
    <row r="42" spans="1:7" x14ac:dyDescent="0.2">
      <c r="C42" s="147"/>
      <c r="D42" s="147"/>
      <c r="E42" s="147"/>
      <c r="F42" s="147"/>
    </row>
    <row r="43" spans="1:7" x14ac:dyDescent="0.2">
      <c r="C43" s="147"/>
    </row>
    <row r="45" spans="1:7" x14ac:dyDescent="0.2">
      <c r="C45" s="147"/>
    </row>
  </sheetData>
  <pageMargins left="0.75" right="0.75" top="1" bottom="1" header="0.5" footer="0.5"/>
  <pageSetup orientation="portrait" horizontalDpi="300" verticalDpi="300" r:id="rId1"/>
  <headerFooter alignWithMargins="0">
    <oddHeader>&amp;RUSPS-FY09-19</oddHeader>
  </headerFooter>
  <ignoredErrors>
    <ignoredError sqref="C7:D7 E7:F7" numberStoredAsText="1"/>
    <ignoredError sqref="D3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rgb="FF92D050"/>
  </sheetPr>
  <dimension ref="A1:N50"/>
  <sheetViews>
    <sheetView topLeftCell="B18" zoomScaleNormal="100" workbookViewId="0">
      <selection activeCell="B49" sqref="B49"/>
    </sheetView>
  </sheetViews>
  <sheetFormatPr defaultColWidth="9.140625" defaultRowHeight="12.75" x14ac:dyDescent="0.2"/>
  <cols>
    <col min="1" max="1" width="5.42578125" customWidth="1"/>
    <col min="2" max="2" width="39.85546875" bestFit="1" customWidth="1"/>
    <col min="3" max="3" width="17.42578125" customWidth="1"/>
    <col min="4" max="4" width="13.42578125" customWidth="1"/>
    <col min="5" max="6" width="15" bestFit="1" customWidth="1"/>
    <col min="7" max="7" width="10.28515625" bestFit="1" customWidth="1"/>
    <col min="8" max="8" width="16.28515625" bestFit="1" customWidth="1"/>
    <col min="9" max="9" width="13.42578125" customWidth="1"/>
    <col min="10" max="10" width="15" bestFit="1" customWidth="1"/>
    <col min="11" max="12" width="13.42578125" customWidth="1"/>
    <col min="13" max="25" width="12.5703125" customWidth="1"/>
  </cols>
  <sheetData>
    <row r="1" spans="1:14" x14ac:dyDescent="0.2">
      <c r="A1" s="176" t="str">
        <f>Inputs!C4</f>
        <v>Unit Delivery Cost Model -  12/16/2025</v>
      </c>
    </row>
    <row r="2" spans="1:14" x14ac:dyDescent="0.2">
      <c r="A2" s="11" t="s">
        <v>210</v>
      </c>
    </row>
    <row r="3" spans="1:14" x14ac:dyDescent="0.2">
      <c r="A3" s="11" t="s">
        <v>211</v>
      </c>
    </row>
    <row r="4" spans="1:14" x14ac:dyDescent="0.2">
      <c r="A4" s="11"/>
    </row>
    <row r="5" spans="1:14" s="515" customFormat="1" ht="33.75" x14ac:dyDescent="0.2">
      <c r="A5" s="52" t="s">
        <v>0</v>
      </c>
      <c r="B5" s="514" t="s">
        <v>124</v>
      </c>
      <c r="C5" s="514" t="s">
        <v>125</v>
      </c>
      <c r="D5" s="514" t="s">
        <v>230</v>
      </c>
      <c r="E5" s="514" t="s">
        <v>312</v>
      </c>
      <c r="F5" s="514" t="s">
        <v>313</v>
      </c>
      <c r="G5" s="514" t="s">
        <v>314</v>
      </c>
      <c r="H5" s="514" t="s">
        <v>28</v>
      </c>
      <c r="I5" s="514" t="s">
        <v>55</v>
      </c>
      <c r="J5" s="514" t="s">
        <v>57</v>
      </c>
      <c r="K5" s="514" t="s">
        <v>59</v>
      </c>
      <c r="L5" s="514" t="s">
        <v>56</v>
      </c>
    </row>
    <row r="6" spans="1:14" s="518" customFormat="1" ht="11.25" x14ac:dyDescent="0.2">
      <c r="A6" s="123"/>
      <c r="B6" s="516" t="s">
        <v>2</v>
      </c>
      <c r="C6" s="517">
        <v>-1</v>
      </c>
      <c r="D6" s="517">
        <f>C6-1</f>
        <v>-2</v>
      </c>
      <c r="E6" s="517">
        <f t="shared" ref="E6:L6" si="0">D6-1</f>
        <v>-3</v>
      </c>
      <c r="F6" s="517">
        <f t="shared" si="0"/>
        <v>-4</v>
      </c>
      <c r="G6" s="517">
        <f t="shared" si="0"/>
        <v>-5</v>
      </c>
      <c r="H6" s="517">
        <f>G6-1</f>
        <v>-6</v>
      </c>
      <c r="I6" s="517">
        <f>H6-1</f>
        <v>-7</v>
      </c>
      <c r="J6" s="517">
        <f t="shared" si="0"/>
        <v>-8</v>
      </c>
      <c r="K6" s="517">
        <f t="shared" si="0"/>
        <v>-9</v>
      </c>
      <c r="L6" s="517">
        <f t="shared" si="0"/>
        <v>-10</v>
      </c>
    </row>
    <row r="7" spans="1:14" s="518" customFormat="1" ht="11.25" x14ac:dyDescent="0.2">
      <c r="A7" s="123"/>
      <c r="B7" s="519" t="s">
        <v>3</v>
      </c>
      <c r="C7" s="520"/>
      <c r="D7" s="520"/>
      <c r="E7" s="520"/>
      <c r="F7" s="520"/>
      <c r="G7" s="520"/>
      <c r="H7" s="520"/>
      <c r="I7" s="520"/>
      <c r="J7" s="520"/>
      <c r="K7" s="520"/>
      <c r="L7" s="520"/>
      <c r="M7" s="521"/>
      <c r="N7" s="521"/>
    </row>
    <row r="8" spans="1:14" s="518" customFormat="1" ht="11.25" x14ac:dyDescent="0.2">
      <c r="A8" s="209"/>
      <c r="B8" s="522" t="s">
        <v>4</v>
      </c>
      <c r="C8" s="523" t="s">
        <v>5</v>
      </c>
      <c r="D8" s="523" t="s">
        <v>5</v>
      </c>
      <c r="E8" s="523" t="s">
        <v>5</v>
      </c>
      <c r="F8" s="523" t="s">
        <v>5</v>
      </c>
      <c r="G8" s="523" t="s">
        <v>5</v>
      </c>
      <c r="H8" s="523" t="s">
        <v>5</v>
      </c>
      <c r="I8" s="523" t="s">
        <v>5</v>
      </c>
      <c r="J8" s="523" t="s">
        <v>5</v>
      </c>
      <c r="K8" s="523" t="s">
        <v>5</v>
      </c>
      <c r="L8" s="523" t="s">
        <v>5</v>
      </c>
    </row>
    <row r="9" spans="1:14" s="521" customFormat="1" ht="11.25" x14ac:dyDescent="0.2">
      <c r="A9" s="123"/>
      <c r="B9" s="524" t="s">
        <v>6</v>
      </c>
      <c r="C9" s="525" t="s">
        <v>126</v>
      </c>
      <c r="D9" s="525" t="s">
        <v>92</v>
      </c>
      <c r="E9" s="525" t="s">
        <v>92</v>
      </c>
      <c r="F9" s="525" t="s">
        <v>92</v>
      </c>
      <c r="G9" s="525" t="s">
        <v>92</v>
      </c>
      <c r="H9" s="525" t="s">
        <v>92</v>
      </c>
      <c r="I9" s="525" t="s">
        <v>92</v>
      </c>
      <c r="J9" s="525" t="s">
        <v>92</v>
      </c>
      <c r="K9" s="525" t="s">
        <v>92</v>
      </c>
      <c r="L9" s="525" t="s">
        <v>92</v>
      </c>
    </row>
    <row r="10" spans="1:14" s="14" customFormat="1" ht="11.25" x14ac:dyDescent="0.2">
      <c r="A10" s="344">
        <v>1</v>
      </c>
      <c r="B10" s="350" t="s">
        <v>7</v>
      </c>
      <c r="C10" s="301"/>
      <c r="D10" s="301"/>
      <c r="E10" s="301"/>
      <c r="F10" s="301"/>
      <c r="G10" s="301"/>
      <c r="H10" s="301"/>
      <c r="I10" s="301"/>
      <c r="J10" s="301"/>
      <c r="K10" s="301"/>
      <c r="L10" s="301"/>
    </row>
    <row r="11" spans="1:14" s="14" customFormat="1" ht="11.25" x14ac:dyDescent="0.2">
      <c r="A11" s="83">
        <f>A10+1</f>
        <v>2</v>
      </c>
      <c r="B11" s="266" t="s">
        <v>63</v>
      </c>
      <c r="C11" s="266">
        <f>'[2]7.0.8'!D11</f>
        <v>9372495.3469999991</v>
      </c>
      <c r="D11" s="266">
        <f>'[2]7.0.8'!E11</f>
        <v>1843932.9332206729</v>
      </c>
      <c r="E11" s="266">
        <f>'[2]7.0.8'!F11</f>
        <v>562209.01744869398</v>
      </c>
      <c r="F11" s="266">
        <f>[3]CCCS_Matrix_FY25!E3</f>
        <v>562209.01744869398</v>
      </c>
      <c r="G11" s="266">
        <f>[3]CCCS_Matrix_FY25!F3</f>
        <v>0</v>
      </c>
      <c r="H11" s="266">
        <f>'[2]7.0.8'!G11</f>
        <v>3966989.2441247609</v>
      </c>
      <c r="I11" s="266">
        <f>'[2]7.0.8'!H11</f>
        <v>229.54724631076814</v>
      </c>
      <c r="J11" s="266">
        <f>'[2]7.0.8'!I11</f>
        <v>0</v>
      </c>
      <c r="K11" s="266">
        <f>'[2]7.0.8'!K11</f>
        <v>2577.0309466250674</v>
      </c>
      <c r="L11" s="266">
        <f>'[2]7.0.8'!L11</f>
        <v>0</v>
      </c>
    </row>
    <row r="12" spans="1:14" s="14" customFormat="1" ht="11.25" x14ac:dyDescent="0.2">
      <c r="A12" s="83">
        <f>A11+1</f>
        <v>3</v>
      </c>
      <c r="B12" s="266" t="s">
        <v>65</v>
      </c>
      <c r="C12" s="40">
        <f>'[2]7.0.8'!D12</f>
        <v>326604.929</v>
      </c>
      <c r="D12" s="266">
        <f>'[2]7.0.8'!E12</f>
        <v>64255.842487888469</v>
      </c>
      <c r="E12" s="40">
        <f>'[2]7.0.8'!F12</f>
        <v>34284.934797224028</v>
      </c>
      <c r="F12" s="40">
        <f>[3]CCCS_Matrix_FY25!E9</f>
        <v>34284.934797224028</v>
      </c>
      <c r="G12" s="40">
        <f>[3]CCCS_Matrix_FY25!F9</f>
        <v>0</v>
      </c>
      <c r="H12" s="266">
        <f>'[2]7.0.8'!G12</f>
        <v>137332.12209117893</v>
      </c>
      <c r="I12" s="40">
        <f>'[2]7.0.8'!H12</f>
        <v>5.485664347826086</v>
      </c>
      <c r="J12" s="40">
        <f>'[2]7.0.8'!I12</f>
        <v>0</v>
      </c>
      <c r="K12" s="266">
        <f>'[2]7.0.8'!K12</f>
        <v>97.491876987813512</v>
      </c>
      <c r="L12" s="266">
        <f>'[2]7.0.8'!L12</f>
        <v>0</v>
      </c>
      <c r="M12" s="2"/>
    </row>
    <row r="13" spans="1:14" s="14" customFormat="1" ht="11.25" x14ac:dyDescent="0.2">
      <c r="A13" s="83">
        <f t="shared" ref="A13:A31" si="1">A12+1</f>
        <v>4</v>
      </c>
      <c r="B13" s="266" t="s">
        <v>64</v>
      </c>
      <c r="C13" s="40">
        <f>'[2]7.0.8'!D13</f>
        <v>29129459.563999999</v>
      </c>
      <c r="D13" s="266">
        <f>'[2]7.0.8'!E13</f>
        <v>0</v>
      </c>
      <c r="E13" s="40">
        <f>'[2]7.0.8'!F13</f>
        <v>1113191.1507700824</v>
      </c>
      <c r="F13" s="40">
        <f>[3]CCCS_Matrix_FY25!E6</f>
        <v>1113191.1507700824</v>
      </c>
      <c r="G13" s="40">
        <f>[3]CCCS_Matrix_FY25!F6</f>
        <v>0</v>
      </c>
      <c r="H13" s="266">
        <f>'[2]7.0.8'!G13</f>
        <v>15643944.666151881</v>
      </c>
      <c r="I13" s="40">
        <f>'[2]7.0.8'!H13</f>
        <v>0</v>
      </c>
      <c r="J13" s="40">
        <f>'[2]7.0.8'!I13</f>
        <v>0</v>
      </c>
      <c r="K13" s="266">
        <f>'[2]7.0.8'!K13</f>
        <v>0</v>
      </c>
      <c r="L13" s="266">
        <f>'[2]7.0.8'!L13</f>
        <v>0</v>
      </c>
      <c r="M13" s="2"/>
    </row>
    <row r="14" spans="1:14" s="14" customFormat="1" ht="11.25" x14ac:dyDescent="0.2">
      <c r="A14" s="83">
        <f t="shared" si="1"/>
        <v>5</v>
      </c>
      <c r="B14" s="266" t="s">
        <v>66</v>
      </c>
      <c r="C14" s="40">
        <f>'[2]7.0.8'!D14</f>
        <v>2340299.37</v>
      </c>
      <c r="D14" s="266">
        <f>'[2]7.0.8'!E14</f>
        <v>0</v>
      </c>
      <c r="E14" s="40">
        <f>'[2]7.0.8'!F14</f>
        <v>103307.35392233297</v>
      </c>
      <c r="F14" s="40">
        <f>[3]CCCS_Matrix_FY25!E10</f>
        <v>103307.35392233297</v>
      </c>
      <c r="G14" s="40">
        <f>[3]CCCS_Matrix_FY25!F10</f>
        <v>0</v>
      </c>
      <c r="H14" s="266">
        <f>'[2]7.0.8'!G14</f>
        <v>1245279.4773638372</v>
      </c>
      <c r="I14" s="40">
        <f>'[2]7.0.8'!H14</f>
        <v>16.595866415447972</v>
      </c>
      <c r="J14" s="40">
        <f>'[2]7.0.8'!I14</f>
        <v>0</v>
      </c>
      <c r="K14" s="266">
        <f>'[2]7.0.8'!K14</f>
        <v>0</v>
      </c>
      <c r="L14" s="266">
        <f>'[2]7.0.8'!L14</f>
        <v>0</v>
      </c>
      <c r="M14" s="2"/>
    </row>
    <row r="15" spans="1:14" s="14" customFormat="1" ht="11.25" x14ac:dyDescent="0.2">
      <c r="A15" s="83">
        <f t="shared" si="1"/>
        <v>6</v>
      </c>
      <c r="B15" s="266" t="s">
        <v>189</v>
      </c>
      <c r="C15" s="40">
        <f>'[2]7.0.8'!D15</f>
        <v>407262.05699999997</v>
      </c>
      <c r="D15" s="266">
        <f>'[2]7.0.8'!E15</f>
        <v>80124.224291438833</v>
      </c>
      <c r="E15" s="40">
        <f>'[2]7.0.8'!F15</f>
        <v>236517.93931811166</v>
      </c>
      <c r="F15" s="40">
        <f>[3]CCCS_Matrix_FY25!E4</f>
        <v>0</v>
      </c>
      <c r="G15" s="40">
        <f>[3]CCCS_Matrix_FY25!F4</f>
        <v>236517.93931811166</v>
      </c>
      <c r="H15" s="266">
        <f>'[2]7.0.8'!G15</f>
        <v>0</v>
      </c>
      <c r="I15" s="40">
        <f>'[2]7.0.8'!H15</f>
        <v>33.033469078175287</v>
      </c>
      <c r="J15" s="40">
        <f>'[2]7.0.8'!I15</f>
        <v>0</v>
      </c>
      <c r="K15" s="266">
        <f>'[2]7.0.8'!K15</f>
        <v>134.37511178479332</v>
      </c>
      <c r="L15" s="266">
        <f>'[2]7.0.8'!L15</f>
        <v>0</v>
      </c>
      <c r="M15" s="2"/>
    </row>
    <row r="16" spans="1:14" s="14" customFormat="1" ht="11.25" x14ac:dyDescent="0.2">
      <c r="A16" s="82">
        <f t="shared" si="1"/>
        <v>7</v>
      </c>
      <c r="B16" s="194" t="s">
        <v>190</v>
      </c>
      <c r="C16" s="40">
        <f>'[2]7.0.8'!D16</f>
        <v>432797.83499999996</v>
      </c>
      <c r="D16" s="266">
        <f>'[2]7.0.8'!E16</f>
        <v>0</v>
      </c>
      <c r="E16" s="40">
        <f>'[2]7.0.8'!F16</f>
        <v>286041.98593909701</v>
      </c>
      <c r="F16" s="40">
        <f>[3]CCCS_Matrix_FY25!$E$7</f>
        <v>0</v>
      </c>
      <c r="G16" s="40">
        <f>[3]CCCS_Matrix_FY25!$F$7</f>
        <v>286041.98593909701</v>
      </c>
      <c r="H16" s="266">
        <f>'[2]7.0.8'!G16</f>
        <v>0</v>
      </c>
      <c r="I16" s="40">
        <f>'[2]7.0.8'!H16</f>
        <v>0</v>
      </c>
      <c r="J16" s="40">
        <f>'[2]7.0.8'!I16</f>
        <v>0</v>
      </c>
      <c r="K16" s="266">
        <f>'[2]7.0.8'!K16</f>
        <v>0</v>
      </c>
      <c r="L16" s="266">
        <f>'[2]7.0.8'!L16</f>
        <v>0</v>
      </c>
      <c r="M16" s="2"/>
    </row>
    <row r="17" spans="1:13" s="14" customFormat="1" ht="11.25" x14ac:dyDescent="0.2">
      <c r="A17" s="83">
        <f>A16+1</f>
        <v>8</v>
      </c>
      <c r="B17" s="150" t="s">
        <v>349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2"/>
    </row>
    <row r="18" spans="1:13" s="14" customFormat="1" ht="11.25" x14ac:dyDescent="0.2">
      <c r="A18" s="83">
        <f t="shared" si="1"/>
        <v>9</v>
      </c>
      <c r="B18" s="40" t="s">
        <v>191</v>
      </c>
      <c r="C18" s="40">
        <f>'[2]7.0.8'!D19</f>
        <v>6017413.5520000001</v>
      </c>
      <c r="D18" s="40">
        <f>'[2]7.0.8'!E19</f>
        <v>0</v>
      </c>
      <c r="E18" s="40">
        <f>'[2]7.0.8'!F19</f>
        <v>768413.85204771836</v>
      </c>
      <c r="F18" s="40">
        <f>[3]CCCS_Matrix_FY25!E26+[3]CCCS_Matrix_FY25!E30-J18</f>
        <v>768413.85204771836</v>
      </c>
      <c r="G18" s="40">
        <f>[3]CCCS_Matrix_FY25!F26+[3]CCCS_Matrix_FY25!F30</f>
        <v>0</v>
      </c>
      <c r="H18" s="40">
        <f>'[2]7.0.8'!G19</f>
        <v>2817704.9918065476</v>
      </c>
      <c r="I18" s="40">
        <f>'[2]7.0.8'!H19</f>
        <v>0</v>
      </c>
      <c r="J18" s="40">
        <f>'[2]7.0.8'!I19</f>
        <v>202943.25261544576</v>
      </c>
      <c r="K18" s="40">
        <f>'[2]7.0.8'!K19</f>
        <v>0</v>
      </c>
      <c r="L18" s="40">
        <f>'[2]7.0.8'!L19</f>
        <v>0</v>
      </c>
      <c r="M18" s="2"/>
    </row>
    <row r="19" spans="1:13" s="14" customFormat="1" ht="11.25" x14ac:dyDescent="0.2">
      <c r="A19" s="83">
        <f t="shared" si="1"/>
        <v>10</v>
      </c>
      <c r="B19" s="40" t="s">
        <v>192</v>
      </c>
      <c r="C19" s="40">
        <f>'[2]7.0.8'!D20</f>
        <v>7868876.8259999994</v>
      </c>
      <c r="D19" s="40">
        <f>'[2]7.0.8'!E20</f>
        <v>0</v>
      </c>
      <c r="E19" s="40">
        <f>'[2]7.0.8'!F20</f>
        <v>2046716.981967944</v>
      </c>
      <c r="F19" s="40">
        <f>[3]CCCS_Matrix_FY25!E27+[3]CCCS_Matrix_FY25!E28+[3]CCCS_Matrix_FY25!E31+[3]CCCS_Matrix_FY25!E32</f>
        <v>0</v>
      </c>
      <c r="G19" s="40">
        <f>[3]CCCS_Matrix_FY25!F27+[3]CCCS_Matrix_FY25!F28+[3]CCCS_Matrix_FY25!F29+[3]CCCS_Matrix_FY25!F31+[3]CCCS_Matrix_FY25!$F$32+[3]CCCS_Matrix_FY25!$E$29-J19</f>
        <v>2046716.9819679447</v>
      </c>
      <c r="H19" s="40">
        <f>'[2]7.0.8'!G20</f>
        <v>0</v>
      </c>
      <c r="I19" s="40">
        <f>'[2]7.0.8'!H20</f>
        <v>0</v>
      </c>
      <c r="J19" s="40">
        <f>'[2]7.0.8'!I20</f>
        <v>3085341.780783115</v>
      </c>
      <c r="K19" s="40">
        <f>'[2]7.0.8'!K20</f>
        <v>0</v>
      </c>
      <c r="L19" s="40">
        <f>'[2]7.0.8'!L20</f>
        <v>0</v>
      </c>
      <c r="M19" s="2"/>
    </row>
    <row r="20" spans="1:13" s="14" customFormat="1" ht="11.25" x14ac:dyDescent="0.2">
      <c r="A20" s="83">
        <f t="shared" si="1"/>
        <v>11</v>
      </c>
      <c r="B20" s="40" t="s">
        <v>288</v>
      </c>
      <c r="C20" s="40">
        <f>'[2]7.0.8'!D21</f>
        <v>559191.61399999994</v>
      </c>
      <c r="D20" s="40">
        <f>'[2]7.0.8'!E21</f>
        <v>0</v>
      </c>
      <c r="E20" s="40">
        <f>'[2]7.0.8'!F21</f>
        <v>0</v>
      </c>
      <c r="F20" s="40"/>
      <c r="G20" s="40"/>
      <c r="H20" s="40">
        <f>'[2]7.0.8'!G21</f>
        <v>0</v>
      </c>
      <c r="I20" s="40">
        <f>'[2]7.0.8'!H21</f>
        <v>0</v>
      </c>
      <c r="J20" s="40">
        <f>'[2]7.0.8'!I21</f>
        <v>0</v>
      </c>
      <c r="K20" s="40">
        <f>'[2]7.0.8'!K21</f>
        <v>0</v>
      </c>
      <c r="L20" s="40">
        <f>'[2]7.0.8'!L21</f>
        <v>0</v>
      </c>
      <c r="M20" s="2"/>
    </row>
    <row r="21" spans="1:13" s="14" customFormat="1" ht="11.25" x14ac:dyDescent="0.2">
      <c r="A21" s="83">
        <f t="shared" si="1"/>
        <v>12</v>
      </c>
      <c r="B21" s="40" t="s">
        <v>193</v>
      </c>
      <c r="C21" s="40">
        <f>'[2]7.0.8'!D22</f>
        <v>2745353.6150000002</v>
      </c>
      <c r="D21" s="40">
        <f>'[2]7.0.8'!E22</f>
        <v>0</v>
      </c>
      <c r="E21" s="40">
        <f>'[2]7.0.8'!F22</f>
        <v>1685118.4813857586</v>
      </c>
      <c r="F21" s="40">
        <f>SUM([3]CCCS_Matrix_FY25!E22:E24)</f>
        <v>7634.0384411408722</v>
      </c>
      <c r="G21" s="40">
        <f>SUM([3]CCCS_Matrix_FY25!F22:F24)</f>
        <v>1677484.4429446177</v>
      </c>
      <c r="H21" s="40">
        <f>'[2]7.0.8'!G22</f>
        <v>7677.7877427999892</v>
      </c>
      <c r="I21" s="40">
        <f>'[2]7.0.8'!H22</f>
        <v>133.03004511825708</v>
      </c>
      <c r="J21" s="40">
        <f>'[2]7.0.8'!I22</f>
        <v>0</v>
      </c>
      <c r="K21" s="40">
        <f>'[2]7.0.8'!K22</f>
        <v>0</v>
      </c>
      <c r="L21" s="40">
        <f>'[2]7.0.8'!L22</f>
        <v>0</v>
      </c>
      <c r="M21" s="2"/>
    </row>
    <row r="22" spans="1:13" s="14" customFormat="1" ht="11.25" x14ac:dyDescent="0.2">
      <c r="A22" s="83">
        <f t="shared" si="1"/>
        <v>13</v>
      </c>
      <c r="B22" s="40" t="s">
        <v>194</v>
      </c>
      <c r="C22" s="40">
        <f>'[2]7.0.8'!D23</f>
        <v>37911960.733999997</v>
      </c>
      <c r="D22" s="40">
        <f>'[2]7.0.8'!E23</f>
        <v>209499.50598206761</v>
      </c>
      <c r="E22" s="40">
        <f>'[2]7.0.8'!F23</f>
        <v>1769970.0197193257</v>
      </c>
      <c r="F22" s="40">
        <f>[3]CCCS_Matrix_FY25!E17</f>
        <v>1769970.0197193257</v>
      </c>
      <c r="G22" s="40">
        <f>[3]CCCS_Matrix_FY25!F17</f>
        <v>0</v>
      </c>
      <c r="H22" s="40">
        <f>'[2]7.0.8'!G23</f>
        <v>19974964.496089566</v>
      </c>
      <c r="I22" s="40">
        <f>'[2]7.0.8'!H23</f>
        <v>257.65504868188594</v>
      </c>
      <c r="J22" s="40">
        <f>'[2]7.0.8'!I23</f>
        <v>0</v>
      </c>
      <c r="K22" s="40">
        <f>'[2]7.0.8'!K23</f>
        <v>0</v>
      </c>
      <c r="L22" s="40">
        <f>'[2]7.0.8'!L23</f>
        <v>0</v>
      </c>
      <c r="M22" s="2"/>
    </row>
    <row r="23" spans="1:13" s="14" customFormat="1" ht="11.25" x14ac:dyDescent="0.2">
      <c r="A23" s="83">
        <f t="shared" si="1"/>
        <v>14</v>
      </c>
      <c r="B23" s="40" t="s">
        <v>195</v>
      </c>
      <c r="C23" s="40">
        <f>'[2]7.0.8'!D24</f>
        <v>1668400.57</v>
      </c>
      <c r="D23" s="40">
        <f>'[2]7.0.8'!E24</f>
        <v>9219.4940179323748</v>
      </c>
      <c r="E23" s="40">
        <f>'[2]7.0.8'!F24</f>
        <v>1075918.7346976514</v>
      </c>
      <c r="F23" s="40">
        <f>[3]CCCS_Matrix_FY25!E18</f>
        <v>0</v>
      </c>
      <c r="G23" s="40">
        <f>[3]CCCS_Matrix_FY25!F18</f>
        <v>1075918.7346976514</v>
      </c>
      <c r="H23" s="40">
        <f>'[2]7.0.8'!G24</f>
        <v>0</v>
      </c>
      <c r="I23" s="40">
        <f>'[2]7.0.8'!H24</f>
        <v>55.432769921825027</v>
      </c>
      <c r="J23" s="40">
        <f>'[2]7.0.8'!I24</f>
        <v>0</v>
      </c>
      <c r="K23" s="40">
        <f>'[2]7.0.8'!K24</f>
        <v>0</v>
      </c>
      <c r="L23" s="40">
        <f>'[2]7.0.8'!L24</f>
        <v>0</v>
      </c>
      <c r="M23" s="2"/>
    </row>
    <row r="24" spans="1:13" s="14" customFormat="1" ht="11.25" x14ac:dyDescent="0.2">
      <c r="A24" s="82">
        <f t="shared" si="1"/>
        <v>15</v>
      </c>
      <c r="B24" s="41" t="s">
        <v>260</v>
      </c>
      <c r="C24" s="40">
        <f>'[2]7.0.8'!D25</f>
        <v>11706.037</v>
      </c>
      <c r="D24" s="40">
        <f>'[2]7.0.8'!E25</f>
        <v>2568</v>
      </c>
      <c r="E24" s="40">
        <f>'[2]7.0.8'!F25</f>
        <v>0</v>
      </c>
      <c r="F24" s="40">
        <f>[3]CCCS_Matrix_FY25!E19</f>
        <v>0</v>
      </c>
      <c r="G24" s="40">
        <f>[3]CCCS_Matrix_FY25!F19</f>
        <v>0</v>
      </c>
      <c r="H24" s="40">
        <f>'[2]7.0.8'!G25</f>
        <v>0</v>
      </c>
      <c r="I24" s="40">
        <f>'[2]7.0.8'!H25</f>
        <v>3983.7749374647788</v>
      </c>
      <c r="J24" s="40">
        <f>'[2]7.0.8'!I25</f>
        <v>0</v>
      </c>
      <c r="K24" s="40">
        <f>'[2]7.0.8'!K25</f>
        <v>0</v>
      </c>
      <c r="L24" s="40">
        <f>'[2]7.0.8'!L25</f>
        <v>847.68225382433241</v>
      </c>
      <c r="M24" s="2"/>
    </row>
    <row r="25" spans="1:13" s="14" customFormat="1" ht="11.25" x14ac:dyDescent="0.2">
      <c r="A25" s="223">
        <f t="shared" si="1"/>
        <v>16</v>
      </c>
      <c r="B25" s="353" t="s">
        <v>70</v>
      </c>
      <c r="C25" s="342">
        <f>'[2]7.0.8'!D30</f>
        <v>2442701.9930000002</v>
      </c>
      <c r="D25" s="342">
        <f>'[2]7.0.8'!E30</f>
        <v>5938</v>
      </c>
      <c r="E25" s="342">
        <f>'[2]7.0.8'!F30</f>
        <v>1236646.8828241406</v>
      </c>
      <c r="F25" s="342">
        <f>[3]CCCS_Matrix_FY25!E15</f>
        <v>2468.5903069823953</v>
      </c>
      <c r="G25" s="342">
        <f>[3]CCCS_Matrix_FY25!F15</f>
        <v>1234178.2925171582</v>
      </c>
      <c r="H25" s="342">
        <f>'[2]7.0.8'!G30</f>
        <v>3222.7952674650178</v>
      </c>
      <c r="I25" s="342">
        <f>'[2]7.0.8'!H30</f>
        <v>1123.6543535125595</v>
      </c>
      <c r="J25" s="342">
        <f>'[2]7.0.8'!I30</f>
        <v>0</v>
      </c>
      <c r="K25" s="342">
        <f>'[2]7.0.8'!K30</f>
        <v>0</v>
      </c>
      <c r="L25" s="342">
        <f>'[2]7.0.8'!$L$30</f>
        <v>82.01766934167523</v>
      </c>
      <c r="M25" s="2"/>
    </row>
    <row r="26" spans="1:13" s="14" customFormat="1" ht="11.25" x14ac:dyDescent="0.2">
      <c r="A26" s="83">
        <f t="shared" si="1"/>
        <v>17</v>
      </c>
      <c r="B26" s="150" t="s">
        <v>71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2"/>
    </row>
    <row r="27" spans="1:13" s="14" customFormat="1" ht="11.25" x14ac:dyDescent="0.2">
      <c r="A27" s="83">
        <f>A26+1</f>
        <v>18</v>
      </c>
      <c r="B27" s="266" t="s">
        <v>196</v>
      </c>
      <c r="C27" s="40">
        <f>'[2]7.0.8'!D32</f>
        <v>104285.946</v>
      </c>
      <c r="D27" s="40">
        <f>'[2]7.0.8'!E32</f>
        <v>2772</v>
      </c>
      <c r="E27" s="40">
        <f>'[2]7.0.8'!F32</f>
        <v>62408.080723131476</v>
      </c>
      <c r="F27" s="40">
        <f>[3]CCCS_Matrix_FY25!E43</f>
        <v>16.580178165853297</v>
      </c>
      <c r="G27" s="40">
        <f>[3]CCCS_Matrix_FY25!F43</f>
        <v>62391.500544965624</v>
      </c>
      <c r="H27" s="40">
        <f>'[2]7.0.8'!G32</f>
        <v>0</v>
      </c>
      <c r="I27" s="40">
        <f>'[2]7.0.8'!H32</f>
        <v>516.01717034565797</v>
      </c>
      <c r="J27" s="40">
        <f>'[2]7.0.8'!I32</f>
        <v>0</v>
      </c>
      <c r="K27" s="40">
        <f>'[2]7.0.8'!K32</f>
        <v>35.744654053906984</v>
      </c>
      <c r="L27" s="40">
        <f>'[2]7.0.8'!L32</f>
        <v>0</v>
      </c>
      <c r="M27" s="2"/>
    </row>
    <row r="28" spans="1:13" s="14" customFormat="1" ht="11.25" x14ac:dyDescent="0.2">
      <c r="A28" s="83">
        <f t="shared" si="1"/>
        <v>19</v>
      </c>
      <c r="B28" s="266" t="s">
        <v>197</v>
      </c>
      <c r="C28" s="40">
        <f>'[2]7.0.8'!D33</f>
        <v>225885.52600000001</v>
      </c>
      <c r="D28" s="40">
        <f>'[2]7.0.8'!E33</f>
        <v>1553</v>
      </c>
      <c r="E28" s="40">
        <f>'[2]7.0.8'!F33</f>
        <v>0</v>
      </c>
      <c r="F28" s="40">
        <f>[3]CCCS_Matrix_FY25!E44</f>
        <v>0</v>
      </c>
      <c r="G28" s="40">
        <f>[3]CCCS_Matrix_FY25!F44</f>
        <v>0</v>
      </c>
      <c r="H28" s="40">
        <f>'[2]7.0.8'!G33</f>
        <v>0</v>
      </c>
      <c r="I28" s="40">
        <f>'[2]7.0.8'!H33</f>
        <v>83223.557761391785</v>
      </c>
      <c r="J28" s="40">
        <f>'[2]7.0.8'!I33</f>
        <v>0</v>
      </c>
      <c r="K28" s="40">
        <f>'[2]7.0.8'!K33</f>
        <v>47.275962324517806</v>
      </c>
      <c r="L28" s="40">
        <f>'[2]7.0.8'!L33</f>
        <v>39823.766448335053</v>
      </c>
      <c r="M28" s="2"/>
    </row>
    <row r="29" spans="1:13" s="14" customFormat="1" ht="11.25" x14ac:dyDescent="0.2">
      <c r="A29" s="82">
        <f t="shared" si="1"/>
        <v>20</v>
      </c>
      <c r="B29" s="194" t="s">
        <v>203</v>
      </c>
      <c r="C29" s="40">
        <f>'[2]7.0.8'!D34</f>
        <v>69096.130999999994</v>
      </c>
      <c r="D29" s="40">
        <f>'[2]7.0.8'!E34</f>
        <v>3868</v>
      </c>
      <c r="E29" s="40">
        <f>'[2]7.0.8'!F34</f>
        <v>734.76084322453141</v>
      </c>
      <c r="F29" s="40">
        <f>[3]CCCS_Matrix_FY25!E45</f>
        <v>62.41439798673683</v>
      </c>
      <c r="G29" s="40">
        <f>[3]CCCS_Matrix_FY25!F45</f>
        <v>672.34644523779457</v>
      </c>
      <c r="H29" s="40">
        <f>'[2]7.0.8'!G34</f>
        <v>0</v>
      </c>
      <c r="I29" s="40">
        <f>'[2]7.0.8'!H34</f>
        <v>16901.441113342036</v>
      </c>
      <c r="J29" s="40">
        <f>'[2]7.0.8'!I34</f>
        <v>0</v>
      </c>
      <c r="K29" s="40">
        <f>'[2]7.0.8'!K34</f>
        <v>0</v>
      </c>
      <c r="L29" s="40">
        <f>'[2]7.0.8'!L34</f>
        <v>19277.314114203618</v>
      </c>
      <c r="M29" s="2"/>
    </row>
    <row r="30" spans="1:13" s="14" customFormat="1" ht="11.25" x14ac:dyDescent="0.2">
      <c r="A30" s="82">
        <f>A29+1</f>
        <v>21</v>
      </c>
      <c r="B30" s="194" t="s">
        <v>142</v>
      </c>
      <c r="C30" s="342">
        <f>'[2]7.0.8'!D36+'[2]7.0.8'!D37</f>
        <v>376368.17</v>
      </c>
      <c r="D30" s="342">
        <f>'[2]7.0.8'!E36+'[2]7.0.8'!E37</f>
        <v>0</v>
      </c>
      <c r="E30" s="342">
        <f>'[2]7.0.8'!F36+'[2]7.0.8'!F37</f>
        <v>51974.773832552703</v>
      </c>
      <c r="F30" s="342">
        <f>SUM([3]CCCS_Matrix_FY25!E49:E50)</f>
        <v>40310.165749554995</v>
      </c>
      <c r="G30" s="342">
        <f>SUM([3]CCCS_Matrix_FY25!F49:F50)</f>
        <v>11664.608082997715</v>
      </c>
      <c r="H30" s="342">
        <f>'[2]7.0.8'!G36+'[2]7.0.8'!G37</f>
        <v>173980.43948194353</v>
      </c>
      <c r="I30" s="342">
        <f>'[2]7.0.8'!H36+'[2]7.0.8'!H37</f>
        <v>10791.101497859769</v>
      </c>
      <c r="J30" s="342">
        <f>'[2]7.0.8'!I36+'[2]7.0.8'!I37</f>
        <v>0</v>
      </c>
      <c r="K30" s="342">
        <f>'[2]7.0.8'!K36+'[2]7.0.8'!K37</f>
        <v>0</v>
      </c>
      <c r="L30" s="342">
        <f>'[2]7.0.8'!L36+'[2]7.0.8'!L37</f>
        <v>2824.7213105761321</v>
      </c>
      <c r="M30" s="2"/>
    </row>
    <row r="31" spans="1:13" s="14" customFormat="1" ht="11.25" x14ac:dyDescent="0.2">
      <c r="A31" s="82">
        <f t="shared" si="1"/>
        <v>22</v>
      </c>
      <c r="B31" s="194" t="s">
        <v>184</v>
      </c>
      <c r="C31" s="41">
        <f>'[2]7.0.8'!D62</f>
        <v>108884804.63</v>
      </c>
      <c r="D31" s="41">
        <f>'[2]7.0.8'!E62</f>
        <v>2638286</v>
      </c>
      <c r="E31" s="41">
        <f>'[2]7.0.8'!F62</f>
        <v>11059369.586058596</v>
      </c>
      <c r="F31" s="41">
        <f>E31*SUM(F11:F30)/SUM(F11:G30)</f>
        <v>4412206.9291235674</v>
      </c>
      <c r="G31" s="41">
        <f>E31*SUM(G11:G30)/SUM(F11:G30)</f>
        <v>6647162.6569350278</v>
      </c>
      <c r="H31" s="41">
        <f>'[2]7.0.8'!G62</f>
        <v>43997885.441105448</v>
      </c>
      <c r="I31" s="41">
        <f>'[2]7.0.8'!H62</f>
        <v>1902016.6339747377</v>
      </c>
      <c r="J31" s="41">
        <f>'[2]7.0.8'!I62</f>
        <v>3288285.0333985607</v>
      </c>
      <c r="K31" s="41">
        <f>'[2]7.0.8'!K62</f>
        <v>128718.76722915698</v>
      </c>
      <c r="L31" s="41">
        <f>'[2]7.0.8'!L62</f>
        <v>1412796.9759648948</v>
      </c>
      <c r="M31" s="2"/>
    </row>
    <row r="32" spans="1:13" x14ac:dyDescent="0.2">
      <c r="A32" s="83"/>
      <c r="C32" s="248"/>
      <c r="D32" s="248"/>
      <c r="E32" s="120"/>
      <c r="F32" s="120"/>
      <c r="G32" s="120"/>
      <c r="H32" s="120"/>
      <c r="I32" s="248"/>
      <c r="J32" s="248"/>
      <c r="K32" s="248"/>
      <c r="L32" s="248"/>
      <c r="M32" s="248"/>
    </row>
    <row r="33" spans="1:13" s="354" customFormat="1" ht="11.25" x14ac:dyDescent="0.2">
      <c r="A33" s="344">
        <f>A31+1</f>
        <v>23</v>
      </c>
      <c r="B33" s="350" t="s">
        <v>349</v>
      </c>
      <c r="C33" s="400"/>
      <c r="D33" s="401"/>
      <c r="E33" s="400"/>
      <c r="F33" s="400"/>
      <c r="G33" s="400"/>
      <c r="H33" s="401"/>
      <c r="I33" s="401"/>
      <c r="J33" s="401"/>
      <c r="K33" s="401"/>
      <c r="L33" s="401"/>
      <c r="M33" s="402"/>
    </row>
    <row r="34" spans="1:13" s="354" customFormat="1" ht="11.25" x14ac:dyDescent="0.2">
      <c r="A34" s="83">
        <f>A33+1</f>
        <v>24</v>
      </c>
      <c r="B34" s="266" t="s">
        <v>198</v>
      </c>
      <c r="C34" s="403">
        <f>C18</f>
        <v>6017413.5520000001</v>
      </c>
      <c r="D34" s="404"/>
      <c r="E34" s="40">
        <f>E18</f>
        <v>768413.85204771836</v>
      </c>
      <c r="F34" s="40">
        <f>F18</f>
        <v>768413.85204771836</v>
      </c>
      <c r="G34" s="40">
        <f>G18</f>
        <v>0</v>
      </c>
      <c r="H34" s="403">
        <f>H18</f>
        <v>2817704.9918065476</v>
      </c>
      <c r="I34" s="40"/>
      <c r="J34" s="403">
        <f>J18</f>
        <v>202943.25261544576</v>
      </c>
      <c r="K34" s="404"/>
      <c r="L34" s="40"/>
      <c r="M34" s="402"/>
    </row>
    <row r="35" spans="1:13" s="354" customFormat="1" ht="11.25" x14ac:dyDescent="0.2">
      <c r="A35" s="83">
        <f>A34+1</f>
        <v>25</v>
      </c>
      <c r="B35" s="355" t="s">
        <v>242</v>
      </c>
      <c r="C35" s="403">
        <f>RPWShape!C18</f>
        <v>3430799.22</v>
      </c>
      <c r="D35" s="404"/>
      <c r="E35" s="40">
        <f>[3]CCCS_Matrix_FY25!E26*'[4]I-CS07 DALs'!E19</f>
        <v>378613.69512238505</v>
      </c>
      <c r="F35" s="40">
        <f>E35</f>
        <v>378613.69512238505</v>
      </c>
      <c r="G35" s="405"/>
      <c r="H35" s="403">
        <f>[3]CCCS_Matrix_FY25!D26</f>
        <v>1643112.6201303282</v>
      </c>
      <c r="I35" s="403"/>
      <c r="J35" s="403">
        <f>[3]CCCS_Matrix_FY25!E26*(1-'[4]I-CS07 DALs'!E19)</f>
        <v>35086.244312523748</v>
      </c>
      <c r="K35" s="513"/>
      <c r="L35" s="403"/>
      <c r="M35" s="402"/>
    </row>
    <row r="36" spans="1:13" s="14" customFormat="1" ht="11.25" x14ac:dyDescent="0.2">
      <c r="A36" s="83">
        <f t="shared" ref="A36:A41" si="2">A35+1</f>
        <v>26</v>
      </c>
      <c r="B36" s="355" t="s">
        <v>248</v>
      </c>
      <c r="C36" s="403">
        <f>RPWShape!C19</f>
        <v>2586614.3319999999</v>
      </c>
      <c r="D36" s="3"/>
      <c r="E36" s="40">
        <f>[3]CCCS_Matrix_FY25!E30*'[4]I-CS07 DALs'!D19</f>
        <v>389800.15692533331</v>
      </c>
      <c r="F36" s="40">
        <f>F34-F35</f>
        <v>389800.15692533331</v>
      </c>
      <c r="G36" s="40"/>
      <c r="H36" s="40">
        <f>H34-H35</f>
        <v>1174592.3716762194</v>
      </c>
      <c r="I36" s="40"/>
      <c r="J36" s="40">
        <f>J34-J35</f>
        <v>167857.00830292201</v>
      </c>
      <c r="K36" s="20"/>
      <c r="L36" s="40"/>
      <c r="M36" s="47"/>
    </row>
    <row r="37" spans="1:13" s="14" customFormat="1" ht="11.25" x14ac:dyDescent="0.2">
      <c r="A37" s="83">
        <f>A36+1</f>
        <v>27</v>
      </c>
      <c r="B37" s="266" t="s">
        <v>199</v>
      </c>
      <c r="C37" s="40">
        <f>C19</f>
        <v>7868876.8259999994</v>
      </c>
      <c r="D37" s="3"/>
      <c r="E37" s="40">
        <f>E19</f>
        <v>2046716.981967944</v>
      </c>
      <c r="F37" s="40">
        <f>F19</f>
        <v>0</v>
      </c>
      <c r="G37" s="40">
        <f>G19</f>
        <v>2046716.9819679447</v>
      </c>
      <c r="H37" s="40"/>
      <c r="I37" s="40">
        <f>I19</f>
        <v>0</v>
      </c>
      <c r="J37" s="40">
        <f>J19</f>
        <v>3085341.780783115</v>
      </c>
      <c r="K37" s="20"/>
      <c r="L37" s="40">
        <f>L19</f>
        <v>0</v>
      </c>
      <c r="M37" s="2"/>
    </row>
    <row r="38" spans="1:13" s="14" customFormat="1" ht="11.25" x14ac:dyDescent="0.2">
      <c r="A38" s="83">
        <f t="shared" si="2"/>
        <v>28</v>
      </c>
      <c r="B38" s="355" t="s">
        <v>243</v>
      </c>
      <c r="C38" s="40">
        <f>RPWShape!D21</f>
        <v>1307868.6629999999</v>
      </c>
      <c r="D38" s="3"/>
      <c r="E38" s="40">
        <f>[3]CCCS_Matrix_FY25!F27*'[4]I-CS07 DALs'!E20</f>
        <v>819032.92871290387</v>
      </c>
      <c r="F38" s="40"/>
      <c r="G38" s="40">
        <f>E38</f>
        <v>819032.92871290387</v>
      </c>
      <c r="H38" s="40"/>
      <c r="I38" s="40">
        <f>[3]CCCS_Matrix_FY25!H27+[3]CCCS_Matrix_FY25!$I$27</f>
        <v>0</v>
      </c>
      <c r="J38" s="40">
        <f>[3]CCCS_Matrix_FY25!F27*(1-'[4]I-CS07 DALs'!E20)</f>
        <v>90981.70492891375</v>
      </c>
      <c r="K38" s="20"/>
      <c r="L38" s="40"/>
      <c r="M38" s="2"/>
    </row>
    <row r="39" spans="1:13" s="14" customFormat="1" ht="11.25" x14ac:dyDescent="0.2">
      <c r="A39" s="83">
        <f t="shared" si="2"/>
        <v>29</v>
      </c>
      <c r="B39" s="355" t="s">
        <v>249</v>
      </c>
      <c r="C39" s="40">
        <f>RPWShape!D22</f>
        <v>6561008.1629999997</v>
      </c>
      <c r="D39" s="3"/>
      <c r="E39" s="40">
        <f>([3]CCCS_Matrix_FY25!F29+[3]CCCS_Matrix_FY25!F31+[3]CCCS_Matrix_FY25!E29)*'[4]I-CS07 DALs'!D20</f>
        <v>1227684.0532550404</v>
      </c>
      <c r="F39" s="40"/>
      <c r="G39" s="40">
        <f>E39</f>
        <v>1227684.0532550404</v>
      </c>
      <c r="H39" s="40"/>
      <c r="I39" s="40">
        <f>[3]CCCS_Matrix_FY25!$H$31+[3]CCCS_Matrix_FY25!$I$31</f>
        <v>0</v>
      </c>
      <c r="J39" s="40">
        <f>([3]CCCS_Matrix_FY25!F29+[3]CCCS_Matrix_FY25!F31+[3]CCCS_Matrix_FY25!E29)*(1-'[4]I-CS07 DALs'!$D$20)</f>
        <v>2994360.0758542013</v>
      </c>
      <c r="K39" s="3"/>
      <c r="L39" s="526"/>
      <c r="M39" s="2"/>
    </row>
    <row r="40" spans="1:13" s="14" customFormat="1" ht="11.25" x14ac:dyDescent="0.2">
      <c r="A40" s="83">
        <f t="shared" si="2"/>
        <v>30</v>
      </c>
      <c r="B40" s="355" t="s">
        <v>244</v>
      </c>
      <c r="C40" s="40">
        <f>RPWShape!E21</f>
        <v>0</v>
      </c>
      <c r="D40" s="3"/>
      <c r="E40" s="40"/>
      <c r="F40" s="40"/>
      <c r="G40" s="40"/>
      <c r="H40" s="40"/>
      <c r="I40" s="40">
        <f>[3]CCCS_Matrix_FY25!H28+[3]CCCS_Matrix_FY25!I28</f>
        <v>0</v>
      </c>
      <c r="J40" s="40"/>
      <c r="K40" s="3"/>
      <c r="L40" s="40">
        <f>[3]CCCS_Matrix_FY25!J29</f>
        <v>0</v>
      </c>
      <c r="M40" s="2"/>
    </row>
    <row r="41" spans="1:13" s="14" customFormat="1" ht="11.25" x14ac:dyDescent="0.2">
      <c r="A41" s="82">
        <f t="shared" si="2"/>
        <v>31</v>
      </c>
      <c r="B41" s="356" t="s">
        <v>250</v>
      </c>
      <c r="C41" s="41">
        <f>RPWShape!E22</f>
        <v>0</v>
      </c>
      <c r="D41" s="4"/>
      <c r="E41" s="41"/>
      <c r="F41" s="41"/>
      <c r="G41" s="41"/>
      <c r="H41" s="41"/>
      <c r="I41" s="41">
        <f>[3]CCCS_Matrix_FY25!$H$32+[3]CCCS_Matrix_FY25!$I$32</f>
        <v>0</v>
      </c>
      <c r="J41" s="41"/>
      <c r="K41" s="4"/>
      <c r="L41" s="41">
        <f>L37</f>
        <v>0</v>
      </c>
      <c r="M41" s="2"/>
    </row>
    <row r="42" spans="1:13" s="14" customFormat="1" ht="11.25" x14ac:dyDescent="0.2">
      <c r="A42" s="357"/>
      <c r="B42" s="512" t="s">
        <v>581</v>
      </c>
      <c r="C42" s="40">
        <f>SUM(C38:C41)</f>
        <v>7868876.8259999994</v>
      </c>
      <c r="D42" s="2"/>
      <c r="E42" s="40">
        <f>SUM(E38:E41)</f>
        <v>2046716.9819679442</v>
      </c>
      <c r="F42" s="302"/>
      <c r="G42" s="40">
        <f>SUM(G38:G41)</f>
        <v>2046716.9819679442</v>
      </c>
      <c r="H42" s="40">
        <f>SUM(H38:H41)</f>
        <v>0</v>
      </c>
      <c r="I42" s="40">
        <f>SUM(I38:I41)</f>
        <v>0</v>
      </c>
      <c r="J42" s="40">
        <f>SUM(J38:J41)</f>
        <v>3085341.780783115</v>
      </c>
      <c r="K42" s="2"/>
      <c r="L42" s="2"/>
      <c r="M42" s="2"/>
    </row>
    <row r="43" spans="1:13" s="14" customFormat="1" ht="11.25" x14ac:dyDescent="0.2">
      <c r="A43" s="83"/>
      <c r="B43" s="511" t="s">
        <v>580</v>
      </c>
      <c r="C43" s="403">
        <f>SUM(C35:C36)</f>
        <v>6017413.5520000001</v>
      </c>
      <c r="D43" s="3"/>
      <c r="E43" s="403">
        <f>SUM(E35:E36)</f>
        <v>768413.85204771836</v>
      </c>
      <c r="F43" s="403">
        <f>SUM(F35:F36)</f>
        <v>768413.85204771836</v>
      </c>
      <c r="G43" s="40"/>
      <c r="H43" s="403">
        <f>SUM(H35:H36)</f>
        <v>2817704.9918065476</v>
      </c>
      <c r="I43" s="40"/>
      <c r="J43" s="403">
        <f>SUM(J35:J36)</f>
        <v>202943.25261544576</v>
      </c>
      <c r="K43" s="20"/>
      <c r="L43" s="40"/>
      <c r="M43" s="2"/>
    </row>
    <row r="44" spans="1:13" x14ac:dyDescent="0.2">
      <c r="B44" s="333" t="s">
        <v>578</v>
      </c>
      <c r="C44" s="412">
        <f>+C34-C43</f>
        <v>0</v>
      </c>
      <c r="D44" s="248"/>
      <c r="E44" s="412">
        <f>+E34-E43</f>
        <v>0</v>
      </c>
      <c r="F44" s="412">
        <f>+F34-F43</f>
        <v>0</v>
      </c>
      <c r="G44" s="412"/>
      <c r="H44" s="412">
        <f>+H34-H43</f>
        <v>0</v>
      </c>
      <c r="I44" s="412"/>
      <c r="J44" s="412">
        <f>+J34-J43</f>
        <v>0</v>
      </c>
      <c r="K44" s="248"/>
      <c r="L44" s="248"/>
      <c r="M44" s="248"/>
    </row>
    <row r="45" spans="1:13" x14ac:dyDescent="0.2">
      <c r="B45" s="333" t="s">
        <v>579</v>
      </c>
      <c r="C45" s="147">
        <f>C37-C42</f>
        <v>0</v>
      </c>
      <c r="E45" s="147">
        <f>E37-E42</f>
        <v>0</v>
      </c>
      <c r="G45" s="147">
        <f>G37-G42</f>
        <v>0</v>
      </c>
      <c r="I45" s="147">
        <f>I37-I42</f>
        <v>0</v>
      </c>
      <c r="J45" s="147">
        <f>J37-J42</f>
        <v>0</v>
      </c>
    </row>
    <row r="46" spans="1:13" x14ac:dyDescent="0.2">
      <c r="B46" s="333"/>
    </row>
    <row r="48" spans="1:13" x14ac:dyDescent="0.2">
      <c r="B48" s="291" t="s">
        <v>593</v>
      </c>
      <c r="G48" s="147"/>
    </row>
    <row r="49" spans="7:7" x14ac:dyDescent="0.2">
      <c r="G49" s="147"/>
    </row>
    <row r="50" spans="7:7" x14ac:dyDescent="0.2">
      <c r="G50" s="147"/>
    </row>
  </sheetData>
  <phoneticPr fontId="11" type="noConversion"/>
  <pageMargins left="0.75" right="0.75" top="1" bottom="1" header="0.5" footer="0.5"/>
  <pageSetup orientation="portrait" r:id="rId1"/>
  <headerFooter alignWithMargins="0">
    <oddHeader>&amp;RUSPS-FY09-19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</sheetPr>
  <dimension ref="A1:N45"/>
  <sheetViews>
    <sheetView topLeftCell="A16" zoomScaleNormal="100" workbookViewId="0">
      <pane xSplit="2" topLeftCell="C1" activePane="topRight" state="frozen"/>
      <selection pane="topRight" activeCell="D56" sqref="D56"/>
    </sheetView>
  </sheetViews>
  <sheetFormatPr defaultColWidth="9.140625" defaultRowHeight="12.75" x14ac:dyDescent="0.2"/>
  <cols>
    <col min="1" max="1" width="5.42578125" customWidth="1"/>
    <col min="2" max="2" width="49.42578125" bestFit="1" customWidth="1"/>
    <col min="3" max="3" width="11.7109375" bestFit="1" customWidth="1"/>
    <col min="4" max="4" width="10.5703125" customWidth="1"/>
    <col min="5" max="6" width="11.7109375" bestFit="1" customWidth="1"/>
    <col min="7" max="7" width="10.5703125" customWidth="1"/>
    <col min="8" max="8" width="14.28515625" bestFit="1" customWidth="1"/>
    <col min="9" max="10" width="13.42578125" bestFit="1" customWidth="1"/>
    <col min="11" max="13" width="10.5703125" customWidth="1"/>
  </cols>
  <sheetData>
    <row r="1" spans="1:14" s="10" customFormat="1" x14ac:dyDescent="0.2">
      <c r="A1" s="176" t="str">
        <f>Inputs!C4</f>
        <v>Unit Delivery Cost Model -  12/16/2025</v>
      </c>
    </row>
    <row r="2" spans="1:14" s="10" customFormat="1" x14ac:dyDescent="0.2">
      <c r="A2" s="11" t="s">
        <v>210</v>
      </c>
      <c r="F2" s="107"/>
    </row>
    <row r="3" spans="1:14" s="10" customFormat="1" x14ac:dyDescent="0.2">
      <c r="A3" s="11" t="s">
        <v>212</v>
      </c>
    </row>
    <row r="4" spans="1:14" s="2" customFormat="1" x14ac:dyDescent="0.2">
      <c r="A4" s="11"/>
      <c r="B4" s="1" t="s">
        <v>213</v>
      </c>
      <c r="C4" s="527"/>
      <c r="D4" s="527"/>
      <c r="E4" s="527"/>
      <c r="F4" s="527"/>
      <c r="G4" s="527"/>
      <c r="H4" s="528"/>
      <c r="I4" s="528"/>
      <c r="J4" s="527"/>
      <c r="K4" s="528"/>
      <c r="L4" s="528"/>
      <c r="M4" s="528"/>
      <c r="N4" s="527"/>
    </row>
    <row r="5" spans="1:14" s="43" customFormat="1" ht="45" x14ac:dyDescent="0.2">
      <c r="A5" s="52" t="s">
        <v>0</v>
      </c>
      <c r="B5" s="529" t="s">
        <v>1</v>
      </c>
      <c r="C5" s="530" t="s">
        <v>412</v>
      </c>
      <c r="D5" s="530" t="s">
        <v>417</v>
      </c>
      <c r="E5" s="530" t="s">
        <v>418</v>
      </c>
      <c r="F5" s="530" t="s">
        <v>414</v>
      </c>
      <c r="G5" s="530" t="s">
        <v>413</v>
      </c>
      <c r="H5" s="530" t="s">
        <v>183</v>
      </c>
      <c r="I5" s="531" t="s">
        <v>127</v>
      </c>
      <c r="J5" s="531" t="s">
        <v>128</v>
      </c>
      <c r="K5" s="530" t="s">
        <v>180</v>
      </c>
      <c r="L5" s="530" t="s">
        <v>454</v>
      </c>
      <c r="M5" s="530" t="s">
        <v>415</v>
      </c>
    </row>
    <row r="6" spans="1:14" s="2" customFormat="1" ht="11.25" x14ac:dyDescent="0.2">
      <c r="A6" s="123"/>
      <c r="B6" s="532" t="s">
        <v>2</v>
      </c>
      <c r="C6" s="533">
        <v>-1</v>
      </c>
      <c r="D6" s="533">
        <f t="shared" ref="D6" si="0">C6-1</f>
        <v>-2</v>
      </c>
      <c r="E6" s="533">
        <f t="shared" ref="E6" si="1">D6-1</f>
        <v>-3</v>
      </c>
      <c r="F6" s="533">
        <f t="shared" ref="F6" si="2">E6-1</f>
        <v>-4</v>
      </c>
      <c r="G6" s="533">
        <f t="shared" ref="G6" si="3">F6-1</f>
        <v>-5</v>
      </c>
      <c r="H6" s="533">
        <f t="shared" ref="H6" si="4">G6-1</f>
        <v>-6</v>
      </c>
      <c r="I6" s="533">
        <f t="shared" ref="I6" si="5">H6-1</f>
        <v>-7</v>
      </c>
      <c r="J6" s="533">
        <f t="shared" ref="J6" si="6">I6-1</f>
        <v>-8</v>
      </c>
      <c r="K6" s="533">
        <f t="shared" ref="K6" si="7">J6-1</f>
        <v>-9</v>
      </c>
      <c r="L6" s="533">
        <f t="shared" ref="L6" si="8">K6-1</f>
        <v>-10</v>
      </c>
      <c r="M6" s="533">
        <f t="shared" ref="M6" si="9">L6-1</f>
        <v>-11</v>
      </c>
    </row>
    <row r="7" spans="1:14" s="536" customFormat="1" ht="11.25" x14ac:dyDescent="0.2">
      <c r="A7" s="209"/>
      <c r="B7" s="534" t="s">
        <v>4</v>
      </c>
      <c r="C7" s="535" t="s">
        <v>60</v>
      </c>
      <c r="D7" s="535" t="s">
        <v>60</v>
      </c>
      <c r="E7" s="535" t="s">
        <v>60</v>
      </c>
      <c r="F7" s="535" t="s">
        <v>60</v>
      </c>
      <c r="G7" s="535" t="s">
        <v>60</v>
      </c>
      <c r="H7" s="535" t="s">
        <v>60</v>
      </c>
      <c r="I7" s="535" t="s">
        <v>60</v>
      </c>
      <c r="J7" s="535" t="s">
        <v>60</v>
      </c>
      <c r="K7" s="535" t="s">
        <v>60</v>
      </c>
      <c r="L7" s="535" t="s">
        <v>60</v>
      </c>
      <c r="M7" s="535" t="s">
        <v>60</v>
      </c>
    </row>
    <row r="8" spans="1:14" s="536" customFormat="1" ht="11.25" x14ac:dyDescent="0.2">
      <c r="A8" s="123"/>
      <c r="B8" s="537" t="s">
        <v>6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 spans="1:14" s="14" customFormat="1" ht="11.25" x14ac:dyDescent="0.2">
      <c r="A9" s="344">
        <v>1</v>
      </c>
      <c r="B9" s="345" t="s">
        <v>7</v>
      </c>
      <c r="C9" s="301"/>
      <c r="D9" s="301"/>
      <c r="E9" s="301"/>
      <c r="F9" s="301"/>
      <c r="G9" s="301"/>
      <c r="H9" s="301"/>
      <c r="I9" s="301"/>
      <c r="J9" s="301"/>
      <c r="K9" s="301"/>
      <c r="L9" s="301"/>
      <c r="M9" s="301"/>
    </row>
    <row r="10" spans="1:14" s="14" customFormat="1" ht="11.25" x14ac:dyDescent="0.2">
      <c r="A10" s="83">
        <f>A9+1</f>
        <v>2</v>
      </c>
      <c r="B10" s="266" t="s">
        <v>63</v>
      </c>
      <c r="C10" s="266">
        <f>'[2]7.0.6'!D12</f>
        <v>39848.010237723007</v>
      </c>
      <c r="D10" s="266">
        <f>'[2]7.0.6'!E12</f>
        <v>345.00996138284899</v>
      </c>
      <c r="E10" s="266">
        <f>'[2]7.0.6'!F12</f>
        <v>48.779805304720746</v>
      </c>
      <c r="F10" s="266">
        <f>'[2]7.0.6'!G12</f>
        <v>287.80835001392506</v>
      </c>
      <c r="G10" s="266">
        <f>'[2]7.0.6'!H12</f>
        <v>0</v>
      </c>
      <c r="H10" s="266">
        <f>'[2]7.0.6'!I12</f>
        <v>240443.04818926216</v>
      </c>
      <c r="I10" s="266">
        <f>'[2]7.0.6'!J12</f>
        <v>6210.1993442897547</v>
      </c>
      <c r="J10" s="266">
        <f>'[2]7.0.6'!K12</f>
        <v>7985.5832274443355</v>
      </c>
      <c r="K10" s="266">
        <f>'[2]7.0.6'!L12</f>
        <v>0</v>
      </c>
      <c r="L10" s="266">
        <f>'[2]7.0.6'!M12</f>
        <v>280684.84819367272</v>
      </c>
      <c r="M10" s="266">
        <f>'[2]7.0.6'!N12</f>
        <v>14195.782571734089</v>
      </c>
    </row>
    <row r="11" spans="1:14" s="14" customFormat="1" ht="11.25" x14ac:dyDescent="0.2">
      <c r="A11" s="83">
        <f>A10+1</f>
        <v>3</v>
      </c>
      <c r="B11" s="266" t="s">
        <v>65</v>
      </c>
      <c r="C11" s="266">
        <f>'[2]7.0.6'!D13</f>
        <v>1388.5903457555269</v>
      </c>
      <c r="D11" s="266">
        <f>'[2]7.0.6'!E13</f>
        <v>0</v>
      </c>
      <c r="E11" s="266">
        <f>'[2]7.0.6'!F13</f>
        <v>0</v>
      </c>
      <c r="F11" s="266">
        <f>'[2]7.0.6'!G13</f>
        <v>0</v>
      </c>
      <c r="G11" s="266">
        <f>'[2]7.0.6'!H13</f>
        <v>0</v>
      </c>
      <c r="H11" s="266">
        <f>'[2]7.0.6'!I13</f>
        <v>8627.0397999345078</v>
      </c>
      <c r="I11" s="266">
        <f>'[2]7.0.6'!J13</f>
        <v>348.69380615482055</v>
      </c>
      <c r="J11" s="266">
        <f>'[2]7.0.6'!K13</f>
        <v>286.52084078814454</v>
      </c>
      <c r="K11" s="266">
        <f>'[2]7.0.6'!L13</f>
        <v>0</v>
      </c>
      <c r="L11" s="266">
        <f>'[2]7.0.6'!M13</f>
        <v>10015.630145690035</v>
      </c>
      <c r="M11" s="266">
        <f>'[2]7.0.6'!N13</f>
        <v>635.21464694296515</v>
      </c>
    </row>
    <row r="12" spans="1:14" s="14" customFormat="1" ht="11.25" x14ac:dyDescent="0.2">
      <c r="A12" s="83">
        <f t="shared" ref="A12:A15" si="10">A11+1</f>
        <v>4</v>
      </c>
      <c r="B12" s="266" t="s">
        <v>64</v>
      </c>
      <c r="C12" s="266">
        <f>'[2]7.0.6'!D14</f>
        <v>0</v>
      </c>
      <c r="D12" s="266">
        <f>'[2]7.0.6'!E14</f>
        <v>0</v>
      </c>
      <c r="E12" s="266">
        <f>'[2]7.0.6'!F14</f>
        <v>0</v>
      </c>
      <c r="F12" s="266">
        <f>'[2]7.0.6'!G14</f>
        <v>0</v>
      </c>
      <c r="G12" s="266">
        <f>'[2]7.0.6'!H14</f>
        <v>0</v>
      </c>
      <c r="H12" s="266">
        <f>'[2]7.0.6'!I14</f>
        <v>423776.48259646801</v>
      </c>
      <c r="I12" s="266">
        <f>'[2]7.0.6'!J14</f>
        <v>13476.625890690158</v>
      </c>
      <c r="J12" s="266">
        <f>'[2]7.0.6'!K14</f>
        <v>14074.444643306768</v>
      </c>
      <c r="K12" s="266">
        <f>'[2]7.0.6'!L14</f>
        <v>0</v>
      </c>
      <c r="L12" s="266">
        <f>'[2]7.0.6'!M14</f>
        <v>423776.48259646801</v>
      </c>
      <c r="M12" s="266">
        <f>'[2]7.0.6'!N14</f>
        <v>27551.070533996928</v>
      </c>
    </row>
    <row r="13" spans="1:14" s="14" customFormat="1" ht="11.25" x14ac:dyDescent="0.2">
      <c r="A13" s="83">
        <f t="shared" si="10"/>
        <v>5</v>
      </c>
      <c r="B13" s="266" t="s">
        <v>66</v>
      </c>
      <c r="C13" s="266">
        <f>'[2]7.0.6'!D15</f>
        <v>0</v>
      </c>
      <c r="D13" s="266">
        <f>'[2]7.0.6'!E15</f>
        <v>0</v>
      </c>
      <c r="E13" s="266">
        <f>'[2]7.0.6'!F15</f>
        <v>0</v>
      </c>
      <c r="F13" s="266">
        <f>'[2]7.0.6'!G15</f>
        <v>0</v>
      </c>
      <c r="G13" s="266">
        <f>'[2]7.0.6'!H15</f>
        <v>0</v>
      </c>
      <c r="H13" s="266">
        <f>'[2]7.0.6'!I15</f>
        <v>34003.953625337061</v>
      </c>
      <c r="I13" s="266">
        <f>'[2]7.0.6'!J15</f>
        <v>1002.7247354596122</v>
      </c>
      <c r="J13" s="266">
        <f>'[2]7.0.6'!K15</f>
        <v>1129.3377112884787</v>
      </c>
      <c r="K13" s="266">
        <f>'[2]7.0.6'!L15</f>
        <v>0</v>
      </c>
      <c r="L13" s="266">
        <f>'[2]7.0.6'!M15</f>
        <v>34003.953625337061</v>
      </c>
      <c r="M13" s="266">
        <f>'[2]7.0.6'!N15</f>
        <v>2132.0624467480911</v>
      </c>
    </row>
    <row r="14" spans="1:14" s="14" customFormat="1" ht="11.25" x14ac:dyDescent="0.2">
      <c r="A14" s="83">
        <f t="shared" si="10"/>
        <v>6</v>
      </c>
      <c r="B14" s="266" t="s">
        <v>189</v>
      </c>
      <c r="C14" s="266">
        <f>'[2]7.0.6'!D16</f>
        <v>1731.5114082149603</v>
      </c>
      <c r="D14" s="266">
        <f>'[2]7.0.6'!E16</f>
        <v>3.5551159363963647</v>
      </c>
      <c r="E14" s="266">
        <f>'[2]7.0.6'!F16</f>
        <v>0.38937633713369835</v>
      </c>
      <c r="F14" s="266">
        <f>'[2]7.0.6'!G16</f>
        <v>48.854963339472121</v>
      </c>
      <c r="G14" s="266">
        <f>'[2]7.0.6'!H16</f>
        <v>0</v>
      </c>
      <c r="H14" s="266">
        <f>'[2]7.0.6'!I16</f>
        <v>9874.6730995263279</v>
      </c>
      <c r="I14" s="266">
        <f>'[2]7.0.6'!J16</f>
        <v>2374.8271421730074</v>
      </c>
      <c r="J14" s="266">
        <f>'[2]7.0.6'!K16</f>
        <v>327.95717935668216</v>
      </c>
      <c r="K14" s="266">
        <f>'[2]7.0.6'!L16</f>
        <v>0</v>
      </c>
      <c r="L14" s="266">
        <f>'[2]7.0.6'!M16</f>
        <v>11610.129000014818</v>
      </c>
      <c r="M14" s="266">
        <f>'[2]7.0.6'!N16</f>
        <v>2702.7843215296894</v>
      </c>
    </row>
    <row r="15" spans="1:14" s="14" customFormat="1" ht="11.25" x14ac:dyDescent="0.2">
      <c r="A15" s="82">
        <f t="shared" si="10"/>
        <v>7</v>
      </c>
      <c r="B15" s="194" t="s">
        <v>190</v>
      </c>
      <c r="C15" s="266">
        <f>'[2]7.0.6'!D17</f>
        <v>0</v>
      </c>
      <c r="D15" s="266">
        <f>'[2]7.0.6'!E17</f>
        <v>0</v>
      </c>
      <c r="E15" s="266">
        <f>'[2]7.0.6'!F17</f>
        <v>0</v>
      </c>
      <c r="F15" s="266">
        <f>'[2]7.0.6'!G17</f>
        <v>0</v>
      </c>
      <c r="G15" s="266">
        <f>'[2]7.0.6'!H17</f>
        <v>0</v>
      </c>
      <c r="H15" s="266">
        <f>'[2]7.0.6'!I17</f>
        <v>5195.9810633055849</v>
      </c>
      <c r="I15" s="266">
        <f>'[2]7.0.6'!J17</f>
        <v>2480.9326879411547</v>
      </c>
      <c r="J15" s="266">
        <f>'[2]7.0.6'!K17</f>
        <v>172.56867911851936</v>
      </c>
      <c r="K15" s="266">
        <f>'[2]7.0.6'!L17</f>
        <v>0</v>
      </c>
      <c r="L15" s="266">
        <f>'[2]7.0.6'!M17</f>
        <v>5195.9810633055849</v>
      </c>
      <c r="M15" s="266">
        <f>'[2]7.0.6'!N17</f>
        <v>2653.5013670596741</v>
      </c>
    </row>
    <row r="16" spans="1:14" s="14" customFormat="1" ht="11.25" x14ac:dyDescent="0.2">
      <c r="A16" s="83">
        <f>A15+1</f>
        <v>8</v>
      </c>
      <c r="B16" s="150" t="s">
        <v>349</v>
      </c>
      <c r="C16" s="266"/>
      <c r="D16" s="266"/>
      <c r="E16" s="266"/>
      <c r="F16" s="266"/>
      <c r="G16" s="266"/>
      <c r="H16" s="266"/>
      <c r="I16" s="266"/>
      <c r="J16" s="266"/>
      <c r="K16" s="266"/>
      <c r="L16" s="266"/>
      <c r="M16" s="266"/>
    </row>
    <row r="17" spans="1:13" s="14" customFormat="1" ht="11.25" x14ac:dyDescent="0.2">
      <c r="A17" s="83">
        <f t="shared" ref="A17:A24" si="11">A16+1</f>
        <v>9</v>
      </c>
      <c r="B17" s="40" t="s">
        <v>191</v>
      </c>
      <c r="C17" s="266">
        <f>'[2]7.0.6'!D20</f>
        <v>0</v>
      </c>
      <c r="D17" s="266">
        <f>'[2]7.0.6'!E20</f>
        <v>0</v>
      </c>
      <c r="E17" s="266">
        <f>'[2]7.0.6'!F20</f>
        <v>0</v>
      </c>
      <c r="F17" s="266">
        <f>'[2]7.0.6'!G20</f>
        <v>0</v>
      </c>
      <c r="G17" s="266">
        <f>'[2]7.0.6'!H20</f>
        <v>0</v>
      </c>
      <c r="H17" s="266">
        <f>'[2]7.0.6'!I20</f>
        <v>94839.180104004103</v>
      </c>
      <c r="I17" s="266">
        <f>'[2]7.0.6'!J20</f>
        <v>2055.3570199256906</v>
      </c>
      <c r="J17" s="266">
        <f>'[2]7.0.6'!K20</f>
        <v>3149.7943968293521</v>
      </c>
      <c r="K17" s="266">
        <f>'[2]7.0.6'!L20</f>
        <v>0</v>
      </c>
      <c r="L17" s="266">
        <f>'[2]7.0.6'!M20</f>
        <v>94839.180104004103</v>
      </c>
      <c r="M17" s="266">
        <f>'[2]7.0.6'!N20</f>
        <v>5205.1514167550431</v>
      </c>
    </row>
    <row r="18" spans="1:13" s="14" customFormat="1" ht="11.25" x14ac:dyDescent="0.2">
      <c r="A18" s="83">
        <f t="shared" si="11"/>
        <v>10</v>
      </c>
      <c r="B18" s="40" t="s">
        <v>192</v>
      </c>
      <c r="C18" s="266">
        <f>'[2]7.0.6'!D21</f>
        <v>0</v>
      </c>
      <c r="D18" s="266">
        <f>'[2]7.0.6'!E21</f>
        <v>0</v>
      </c>
      <c r="E18" s="266">
        <f>'[2]7.0.6'!F21</f>
        <v>0</v>
      </c>
      <c r="F18" s="266">
        <f>'[2]7.0.6'!G21</f>
        <v>0</v>
      </c>
      <c r="G18" s="266">
        <f>'[2]7.0.6'!H21</f>
        <v>0</v>
      </c>
      <c r="H18" s="266">
        <f>'[2]7.0.6'!I21</f>
        <v>192903.98614349845</v>
      </c>
      <c r="I18" s="266">
        <f>'[2]7.0.6'!J21</f>
        <v>2624.5968345935016</v>
      </c>
      <c r="J18" s="266">
        <f>'[2]7.0.6'!K21</f>
        <v>6406.7181307821656</v>
      </c>
      <c r="K18" s="266">
        <f>'[2]7.0.6'!L21</f>
        <v>0</v>
      </c>
      <c r="L18" s="266">
        <f>'[2]7.0.6'!M21</f>
        <v>192903.98614349845</v>
      </c>
      <c r="M18" s="266">
        <f>'[2]7.0.6'!N21</f>
        <v>9031.3149653756664</v>
      </c>
    </row>
    <row r="19" spans="1:13" s="14" customFormat="1" ht="11.25" x14ac:dyDescent="0.2">
      <c r="A19" s="83">
        <f t="shared" si="11"/>
        <v>11</v>
      </c>
      <c r="B19" s="40" t="s">
        <v>288</v>
      </c>
      <c r="C19" s="266">
        <f>'[2]7.0.6'!D22</f>
        <v>0</v>
      </c>
      <c r="D19" s="266">
        <f>'[2]7.0.6'!E22</f>
        <v>0</v>
      </c>
      <c r="E19" s="266">
        <f>'[2]7.0.6'!F22</f>
        <v>0</v>
      </c>
      <c r="F19" s="266">
        <f>'[2]7.0.6'!G22</f>
        <v>0</v>
      </c>
      <c r="G19" s="266">
        <f>'[2]7.0.6'!H22</f>
        <v>0</v>
      </c>
      <c r="H19" s="266">
        <f>'[2]7.0.6'!I22</f>
        <v>13512.623026403799</v>
      </c>
      <c r="I19" s="266">
        <f>'[2]7.0.6'!J22</f>
        <v>186.51359939785527</v>
      </c>
      <c r="J19" s="266">
        <f>'[2]7.0.6'!K22</f>
        <v>448.78060152311463</v>
      </c>
      <c r="K19" s="266">
        <f>'[2]7.0.6'!L22</f>
        <v>0</v>
      </c>
      <c r="L19" s="266">
        <f>'[2]7.0.6'!M22</f>
        <v>13512.623026403799</v>
      </c>
      <c r="M19" s="266">
        <f>'[2]7.0.6'!N22</f>
        <v>635.29420092096984</v>
      </c>
    </row>
    <row r="20" spans="1:13" s="14" customFormat="1" ht="11.25" x14ac:dyDescent="0.2">
      <c r="A20" s="83">
        <f t="shared" si="11"/>
        <v>12</v>
      </c>
      <c r="B20" s="40" t="s">
        <v>193</v>
      </c>
      <c r="C20" s="266">
        <f>'[2]7.0.6'!D23</f>
        <v>0</v>
      </c>
      <c r="D20" s="266">
        <f>'[2]7.0.6'!E23</f>
        <v>0</v>
      </c>
      <c r="E20" s="266">
        <f>'[2]7.0.6'!F23</f>
        <v>0</v>
      </c>
      <c r="F20" s="266">
        <f>'[2]7.0.6'!G23</f>
        <v>0</v>
      </c>
      <c r="G20" s="266">
        <f>'[2]7.0.6'!H23</f>
        <v>0</v>
      </c>
      <c r="H20" s="266">
        <f>'[2]7.0.6'!I23</f>
        <v>30838.965892672513</v>
      </c>
      <c r="I20" s="266">
        <f>'[2]7.0.6'!J23</f>
        <v>7196.4145831764999</v>
      </c>
      <c r="J20" s="266">
        <f>'[2]7.0.6'!K23</f>
        <v>1024.2222873102453</v>
      </c>
      <c r="K20" s="266">
        <f>'[2]7.0.6'!L23</f>
        <v>0</v>
      </c>
      <c r="L20" s="266">
        <f>'[2]7.0.6'!M23</f>
        <v>30838.965892672513</v>
      </c>
      <c r="M20" s="266">
        <f>'[2]7.0.6'!N23</f>
        <v>8220.6368704867455</v>
      </c>
    </row>
    <row r="21" spans="1:13" s="14" customFormat="1" ht="11.25" x14ac:dyDescent="0.2">
      <c r="A21" s="83">
        <f t="shared" si="11"/>
        <v>13</v>
      </c>
      <c r="B21" s="40" t="s">
        <v>194</v>
      </c>
      <c r="C21" s="266">
        <f>'[2]7.0.6'!D24</f>
        <v>457.94012825358612</v>
      </c>
      <c r="D21" s="266">
        <f>'[2]7.0.6'!E24</f>
        <v>0</v>
      </c>
      <c r="E21" s="266">
        <f>'[2]7.0.6'!F24</f>
        <v>0</v>
      </c>
      <c r="F21" s="266">
        <f>'[2]7.0.6'!G24</f>
        <v>0</v>
      </c>
      <c r="G21" s="266">
        <f>'[2]7.0.6'!H24</f>
        <v>0</v>
      </c>
      <c r="H21" s="266">
        <f>'[2]7.0.6'!I24</f>
        <v>561812.57721478341</v>
      </c>
      <c r="I21" s="266">
        <f>'[2]7.0.6'!J24</f>
        <v>17749.968990130932</v>
      </c>
      <c r="J21" s="266">
        <f>'[2]7.0.6'!K24</f>
        <v>18658.892936851425</v>
      </c>
      <c r="K21" s="266">
        <f>'[2]7.0.6'!L24</f>
        <v>0</v>
      </c>
      <c r="L21" s="266">
        <f>'[2]7.0.6'!M24</f>
        <v>562270.51734303695</v>
      </c>
      <c r="M21" s="266">
        <f>'[2]7.0.6'!N24</f>
        <v>36408.861926982354</v>
      </c>
    </row>
    <row r="22" spans="1:13" s="14" customFormat="1" ht="11.25" x14ac:dyDescent="0.2">
      <c r="A22" s="83">
        <f t="shared" si="11"/>
        <v>14</v>
      </c>
      <c r="B22" s="40" t="s">
        <v>195</v>
      </c>
      <c r="C22" s="266">
        <f>'[2]7.0.6'!D25</f>
        <v>20.15267889637175</v>
      </c>
      <c r="D22" s="266">
        <f>'[2]7.0.6'!E25</f>
        <v>0</v>
      </c>
      <c r="E22" s="266">
        <f>'[2]7.0.6'!F25</f>
        <v>0</v>
      </c>
      <c r="F22" s="266">
        <f>'[2]7.0.6'!G25</f>
        <v>0</v>
      </c>
      <c r="G22" s="266">
        <f>'[2]7.0.6'!H25</f>
        <v>0</v>
      </c>
      <c r="H22" s="266">
        <f>'[2]7.0.6'!I25</f>
        <v>20187.192455106764</v>
      </c>
      <c r="I22" s="266">
        <f>'[2]7.0.6'!J25</f>
        <v>8389.0170211421118</v>
      </c>
      <c r="J22" s="266">
        <f>'[2]7.0.6'!K25</f>
        <v>670.45608801215769</v>
      </c>
      <c r="K22" s="266">
        <f>'[2]7.0.6'!L25</f>
        <v>0</v>
      </c>
      <c r="L22" s="266">
        <f>'[2]7.0.6'!M25</f>
        <v>20207.345134003135</v>
      </c>
      <c r="M22" s="266">
        <f>'[2]7.0.6'!N25</f>
        <v>9059.473109154269</v>
      </c>
    </row>
    <row r="23" spans="1:13" s="14" customFormat="1" ht="11.25" x14ac:dyDescent="0.2">
      <c r="A23" s="83">
        <f t="shared" si="11"/>
        <v>15</v>
      </c>
      <c r="B23" s="41" t="s">
        <v>260</v>
      </c>
      <c r="C23" s="266">
        <f>'[2]7.0.6'!D26</f>
        <v>34.132377263962425</v>
      </c>
      <c r="D23" s="266">
        <f>'[2]7.0.6'!E26</f>
        <v>123.45318857305763</v>
      </c>
      <c r="E23" s="266">
        <f>'[2]7.0.6'!F26</f>
        <v>41.619280497719075</v>
      </c>
      <c r="F23" s="266">
        <f>'[2]7.0.6'!G26</f>
        <v>26.07650300173491</v>
      </c>
      <c r="G23" s="266">
        <f>'[2]7.0.6'!H26</f>
        <v>0</v>
      </c>
      <c r="H23" s="266">
        <f>'[2]7.0.6'!I26</f>
        <v>1677.8549035844965</v>
      </c>
      <c r="I23" s="266">
        <f>'[2]7.0.6'!J26</f>
        <v>55.233746910684232</v>
      </c>
      <c r="J23" s="266">
        <f>'[2]7.0.6'!K26</f>
        <v>55.724838281051014</v>
      </c>
      <c r="K23" s="266">
        <f>'[2]7.0.6'!L26</f>
        <v>0</v>
      </c>
      <c r="L23" s="266">
        <f>'[2]7.0.6'!M26</f>
        <v>1877.0597499192356</v>
      </c>
      <c r="M23" s="266">
        <f>'[2]7.0.6'!N26</f>
        <v>110.95858519173524</v>
      </c>
    </row>
    <row r="24" spans="1:13" s="14" customFormat="1" ht="11.25" x14ac:dyDescent="0.2">
      <c r="A24" s="223">
        <f t="shared" si="11"/>
        <v>16</v>
      </c>
      <c r="B24" s="347" t="s">
        <v>70</v>
      </c>
      <c r="C24" s="261">
        <f>'[2]7.0.6'!D31</f>
        <v>67.785703618956944</v>
      </c>
      <c r="D24" s="261">
        <f>'[2]7.0.6'!E31</f>
        <v>0</v>
      </c>
      <c r="E24" s="261">
        <f>'[2]7.0.6'!F31</f>
        <v>0</v>
      </c>
      <c r="F24" s="261">
        <f>'[2]7.0.6'!G31</f>
        <v>0</v>
      </c>
      <c r="G24" s="261">
        <f>'[2]7.0.6'!H31</f>
        <v>0</v>
      </c>
      <c r="H24" s="261">
        <f>'[2]7.0.6'!I31</f>
        <v>23267.852719905957</v>
      </c>
      <c r="I24" s="261">
        <f>'[2]7.0.6'!J31</f>
        <v>7287.5252647903981</v>
      </c>
      <c r="J24" s="261">
        <f>'[2]7.0.6'!K31</f>
        <v>772.77083208689737</v>
      </c>
      <c r="K24" s="261">
        <f>'[2]7.0.6'!L31</f>
        <v>0</v>
      </c>
      <c r="L24" s="261">
        <f>'[2]7.0.6'!M31</f>
        <v>23335.638423524913</v>
      </c>
      <c r="M24" s="261">
        <f>'[2]7.0.6'!N31</f>
        <v>8060.296096877295</v>
      </c>
    </row>
    <row r="25" spans="1:13" s="14" customFormat="1" ht="11.25" x14ac:dyDescent="0.2">
      <c r="A25" s="83">
        <f t="shared" ref="A25:A30" si="12">A24+1</f>
        <v>17</v>
      </c>
      <c r="B25" s="346" t="s">
        <v>71</v>
      </c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</row>
    <row r="26" spans="1:13" s="14" customFormat="1" ht="11.25" x14ac:dyDescent="0.2">
      <c r="A26" s="83">
        <f t="shared" si="12"/>
        <v>18</v>
      </c>
      <c r="B26" s="174" t="s">
        <v>196</v>
      </c>
      <c r="C26" s="266">
        <f>'[2]7.0.6'!D33</f>
        <v>0.23952545448394683</v>
      </c>
      <c r="D26" s="266">
        <f>'[2]7.0.6'!E33</f>
        <v>0</v>
      </c>
      <c r="E26" s="266">
        <f>'[2]7.0.6'!F33</f>
        <v>0</v>
      </c>
      <c r="F26" s="266">
        <f>'[2]7.0.6'!G33</f>
        <v>0</v>
      </c>
      <c r="G26" s="266">
        <f>'[2]7.0.6'!H33</f>
        <v>0</v>
      </c>
      <c r="H26" s="266">
        <f>'[2]7.0.6'!I33</f>
        <v>1466.4625738201955</v>
      </c>
      <c r="I26" s="266">
        <f>'[2]7.0.6'!J33</f>
        <v>299.96929114745853</v>
      </c>
      <c r="J26" s="266">
        <f>'[2]7.0.6'!K33</f>
        <v>48.704086149979119</v>
      </c>
      <c r="K26" s="266">
        <f>'[2]7.0.6'!L33</f>
        <v>0</v>
      </c>
      <c r="L26" s="266">
        <f>'[2]7.0.6'!M33</f>
        <v>1466.7020992746795</v>
      </c>
      <c r="M26" s="266">
        <f>'[2]7.0.6'!N33</f>
        <v>348.67337729743764</v>
      </c>
    </row>
    <row r="27" spans="1:13" s="14" customFormat="1" ht="11.25" x14ac:dyDescent="0.2">
      <c r="A27" s="83">
        <f t="shared" si="12"/>
        <v>19</v>
      </c>
      <c r="B27" s="174" t="s">
        <v>197</v>
      </c>
      <c r="C27" s="266">
        <f>'[2]7.0.6'!D34</f>
        <v>48.38414180575726</v>
      </c>
      <c r="D27" s="266">
        <f>'[2]7.0.6'!E34</f>
        <v>5167.8723075290354</v>
      </c>
      <c r="E27" s="266">
        <f>'[2]7.0.6'!F34</f>
        <v>1407.2798411940316</v>
      </c>
      <c r="F27" s="266">
        <f>'[2]7.0.6'!G34</f>
        <v>492.12559657922293</v>
      </c>
      <c r="G27" s="266">
        <f>'[2]7.0.6'!H34</f>
        <v>0</v>
      </c>
      <c r="H27" s="266">
        <f>'[2]7.0.6'!I34</f>
        <v>46837.928906245637</v>
      </c>
      <c r="I27" s="266">
        <f>'[2]7.0.6'!J34</f>
        <v>909.58703536609335</v>
      </c>
      <c r="J27" s="266">
        <f>'[2]7.0.6'!K34</f>
        <v>1555.5790957513279</v>
      </c>
      <c r="K27" s="266">
        <f>'[2]7.0.6'!L34</f>
        <v>0</v>
      </c>
      <c r="L27" s="266">
        <f>'[2]7.0.6'!M34</f>
        <v>53461.465196774458</v>
      </c>
      <c r="M27" s="266">
        <f>'[2]7.0.6'!N34</f>
        <v>2465.1661311174212</v>
      </c>
    </row>
    <row r="28" spans="1:13" s="14" customFormat="1" ht="11.25" x14ac:dyDescent="0.2">
      <c r="A28" s="82">
        <f t="shared" si="12"/>
        <v>20</v>
      </c>
      <c r="B28" s="348" t="s">
        <v>139</v>
      </c>
      <c r="C28" s="266">
        <f>'[2]7.0.6'!D35</f>
        <v>47.306277260579492</v>
      </c>
      <c r="D28" s="266">
        <f>'[2]7.0.6'!E35</f>
        <v>2853.5470130422527</v>
      </c>
      <c r="E28" s="266">
        <f>'[2]7.0.6'!F35</f>
        <v>672.98091666876633</v>
      </c>
      <c r="F28" s="266">
        <f>'[2]7.0.6'!G35</f>
        <v>337.27662804312126</v>
      </c>
      <c r="G28" s="266">
        <f>'[2]7.0.6'!H35</f>
        <v>0</v>
      </c>
      <c r="H28" s="266">
        <f>'[2]7.0.6'!I35</f>
        <v>17510.718373710344</v>
      </c>
      <c r="I28" s="266">
        <f>'[2]7.0.6'!J35</f>
        <v>309.15272289972512</v>
      </c>
      <c r="J28" s="266">
        <f>'[2]7.0.6'!K35</f>
        <v>581.565156483686</v>
      </c>
      <c r="K28" s="266">
        <f>'[2]7.0.6'!L35</f>
        <v>0</v>
      </c>
      <c r="L28" s="266">
        <f>'[2]7.0.6'!M35</f>
        <v>21084.552580681942</v>
      </c>
      <c r="M28" s="266">
        <f>'[2]7.0.6'!N35</f>
        <v>890.71787938341117</v>
      </c>
    </row>
    <row r="29" spans="1:13" s="14" customFormat="1" ht="11.25" x14ac:dyDescent="0.2">
      <c r="A29" s="82">
        <f>A28+1</f>
        <v>21</v>
      </c>
      <c r="B29" s="222" t="s">
        <v>347</v>
      </c>
      <c r="C29" s="261">
        <f>'[2]7.0.6'!D63</f>
        <v>45853.914667316087</v>
      </c>
      <c r="D29" s="261">
        <f>'[2]7.0.6'!E63</f>
        <v>204029.98144986253</v>
      </c>
      <c r="E29" s="261">
        <f>'[2]7.0.6'!F63</f>
        <v>65758.130780799998</v>
      </c>
      <c r="F29" s="261">
        <f>'[2]7.0.6'!G63</f>
        <v>183445.84928340002</v>
      </c>
      <c r="G29" s="261">
        <f>'[2]7.0.6'!H63</f>
        <v>1278.3067714211359</v>
      </c>
      <c r="H29" s="261">
        <f>'[2]7.0.6'!I63</f>
        <v>3198182.5191533789</v>
      </c>
      <c r="I29" s="261">
        <f>'[2]7.0.6'!J63</f>
        <v>101901.04072522734</v>
      </c>
      <c r="J29" s="261">
        <f>'[2]7.0.6'!K63</f>
        <v>106217.88766857535</v>
      </c>
      <c r="K29" s="261">
        <f>'[2]7.0.6'!L63</f>
        <v>1278.3067714211359</v>
      </c>
      <c r="L29" s="261">
        <f>'[2]7.0.6'!M63</f>
        <v>3513824.5460513574</v>
      </c>
      <c r="M29" s="261">
        <f>'[2]7.0.6'!N63</f>
        <v>208118.92839380269</v>
      </c>
    </row>
    <row r="30" spans="1:13" s="14" customFormat="1" ht="11.25" x14ac:dyDescent="0.2">
      <c r="A30" s="82">
        <f t="shared" si="12"/>
        <v>22</v>
      </c>
      <c r="B30" s="349" t="s">
        <v>18</v>
      </c>
      <c r="C30" s="194">
        <f>'[2]7.0.6'!D65</f>
        <v>189478.98622857887</v>
      </c>
      <c r="D30" s="194">
        <f>'[2]7.0.6'!E65</f>
        <v>331925.413</v>
      </c>
      <c r="E30" s="194">
        <f>'[2]7.0.6'!F65</f>
        <v>81102.775999999998</v>
      </c>
      <c r="F30" s="194">
        <f>'[2]7.0.6'!G65</f>
        <v>199810.31400000001</v>
      </c>
      <c r="G30" s="194">
        <f>'[2]7.0.6'!H65</f>
        <v>1278.3067714211359</v>
      </c>
      <c r="H30" s="194">
        <f>'[2]7.0.6'!I65</f>
        <v>14663835.484426312</v>
      </c>
      <c r="I30" s="194">
        <f>'[2]7.0.6'!J65</f>
        <v>105612.02924652495</v>
      </c>
      <c r="J30" s="194">
        <f>'[2]7.0.6'!K65</f>
        <v>487014.61562849768</v>
      </c>
      <c r="K30" s="194">
        <f>'[2]7.0.6'!L65</f>
        <v>1278.3067714211359</v>
      </c>
      <c r="L30" s="194">
        <f>'[2]7.0.6'!M65</f>
        <v>15266342.659654891</v>
      </c>
      <c r="M30" s="194">
        <f>'[2]7.0.6'!N65</f>
        <v>592626.64487502258</v>
      </c>
    </row>
    <row r="32" spans="1:13" s="2" customFormat="1" ht="11.25" x14ac:dyDescent="0.2">
      <c r="A32" s="344">
        <f>A30+1</f>
        <v>23</v>
      </c>
      <c r="B32" s="461" t="s">
        <v>349</v>
      </c>
      <c r="C32" s="120"/>
      <c r="D32" s="120"/>
      <c r="E32" s="120"/>
      <c r="F32" s="120"/>
      <c r="G32" s="462"/>
      <c r="H32" s="120"/>
      <c r="I32" s="462"/>
      <c r="J32" s="120"/>
      <c r="K32" s="120"/>
      <c r="L32" s="462"/>
      <c r="M32" s="120"/>
    </row>
    <row r="33" spans="1:13" s="2" customFormat="1" ht="11.25" x14ac:dyDescent="0.2">
      <c r="A33" s="83">
        <f>A32+1</f>
        <v>24</v>
      </c>
      <c r="B33" s="453" t="s">
        <v>251</v>
      </c>
      <c r="C33" s="40">
        <f t="shared" ref="C33:M33" si="13">C17</f>
        <v>0</v>
      </c>
      <c r="D33" s="40">
        <f t="shared" si="13"/>
        <v>0</v>
      </c>
      <c r="E33" s="40">
        <f t="shared" si="13"/>
        <v>0</v>
      </c>
      <c r="F33" s="40">
        <f t="shared" si="13"/>
        <v>0</v>
      </c>
      <c r="G33" s="302">
        <f t="shared" si="13"/>
        <v>0</v>
      </c>
      <c r="H33" s="40">
        <f t="shared" si="13"/>
        <v>94839.180104004103</v>
      </c>
      <c r="I33" s="302">
        <f t="shared" si="13"/>
        <v>2055.3570199256906</v>
      </c>
      <c r="J33" s="40">
        <f t="shared" si="13"/>
        <v>3149.7943968293521</v>
      </c>
      <c r="K33" s="40">
        <f t="shared" si="13"/>
        <v>0</v>
      </c>
      <c r="L33" s="302">
        <f t="shared" si="13"/>
        <v>94839.180104004103</v>
      </c>
      <c r="M33" s="40">
        <f t="shared" si="13"/>
        <v>5205.1514167550431</v>
      </c>
    </row>
    <row r="34" spans="1:13" s="2" customFormat="1" ht="11.25" x14ac:dyDescent="0.2">
      <c r="A34" s="83">
        <f>A33+1</f>
        <v>25</v>
      </c>
      <c r="B34" s="454" t="s">
        <v>242</v>
      </c>
      <c r="C34" s="40"/>
      <c r="D34" s="40"/>
      <c r="E34" s="40"/>
      <c r="F34" s="40">
        <f>F$33*'7.0.8'!$C35/'7.0.8'!$C$43</f>
        <v>0</v>
      </c>
      <c r="G34" s="302"/>
      <c r="H34" s="40">
        <f>CS7Shape!K57</f>
        <v>51124.896543188661</v>
      </c>
      <c r="I34" s="302">
        <f>I33*CARMM!C18/CARMM!C17</f>
        <v>1259.5557807620548</v>
      </c>
      <c r="J34" s="40">
        <f>J$33*$H34/$H$33</f>
        <v>1697.9576636324923</v>
      </c>
      <c r="K34" s="40"/>
      <c r="L34" s="302">
        <f t="shared" ref="L34:L40" si="14">SUM(C34:G34)+H34</f>
        <v>51124.896543188661</v>
      </c>
      <c r="M34" s="40">
        <f>SUM(I34:J34)</f>
        <v>2957.5134443945472</v>
      </c>
    </row>
    <row r="35" spans="1:13" s="2" customFormat="1" ht="11.25" x14ac:dyDescent="0.2">
      <c r="A35" s="83">
        <f t="shared" ref="A35:A40" si="15">A34+1</f>
        <v>26</v>
      </c>
      <c r="B35" s="454" t="s">
        <v>248</v>
      </c>
      <c r="C35" s="40"/>
      <c r="D35" s="40"/>
      <c r="E35" s="40"/>
      <c r="F35" s="40">
        <f>F$33*'7.0.8'!$C36/'7.0.8'!$C$43</f>
        <v>0</v>
      </c>
      <c r="G35" s="302"/>
      <c r="H35" s="40">
        <f>CS7Shape!K58</f>
        <v>43714.283560815442</v>
      </c>
      <c r="I35" s="302">
        <f>I33*CARMM!C19/CARMM!C17</f>
        <v>795.80123916363573</v>
      </c>
      <c r="J35" s="40">
        <f>J$33*$H35/$H$33</f>
        <v>1451.8367331968598</v>
      </c>
      <c r="K35" s="40"/>
      <c r="L35" s="302">
        <f t="shared" si="14"/>
        <v>43714.283560815442</v>
      </c>
      <c r="M35" s="40">
        <f>SUM(I35:J35)</f>
        <v>2247.6379723604955</v>
      </c>
    </row>
    <row r="36" spans="1:13" s="2" customFormat="1" ht="11.25" x14ac:dyDescent="0.2">
      <c r="A36" s="83">
        <f t="shared" si="15"/>
        <v>27</v>
      </c>
      <c r="B36" s="453" t="s">
        <v>252</v>
      </c>
      <c r="C36" s="40">
        <f t="shared" ref="C36:M36" si="16">C18</f>
        <v>0</v>
      </c>
      <c r="D36" s="40">
        <f t="shared" si="16"/>
        <v>0</v>
      </c>
      <c r="E36" s="40">
        <f t="shared" si="16"/>
        <v>0</v>
      </c>
      <c r="F36" s="40">
        <f t="shared" si="16"/>
        <v>0</v>
      </c>
      <c r="G36" s="302">
        <f t="shared" si="16"/>
        <v>0</v>
      </c>
      <c r="H36" s="40">
        <f t="shared" si="16"/>
        <v>192903.98614349845</v>
      </c>
      <c r="I36" s="302">
        <f t="shared" si="16"/>
        <v>2624.5968345935016</v>
      </c>
      <c r="J36" s="40">
        <f t="shared" si="16"/>
        <v>6406.7181307821656</v>
      </c>
      <c r="K36" s="40">
        <f t="shared" si="16"/>
        <v>0</v>
      </c>
      <c r="L36" s="302">
        <f t="shared" si="14"/>
        <v>192903.98614349845</v>
      </c>
      <c r="M36" s="40">
        <f t="shared" si="16"/>
        <v>9031.3149653756664</v>
      </c>
    </row>
    <row r="37" spans="1:13" s="2" customFormat="1" ht="11.25" x14ac:dyDescent="0.2">
      <c r="A37" s="83">
        <f t="shared" si="15"/>
        <v>28</v>
      </c>
      <c r="B37" s="454" t="s">
        <v>243</v>
      </c>
      <c r="C37" s="40"/>
      <c r="D37" s="40">
        <f>D$36*'7.0.8'!$C38/'7.0.8'!$C$42</f>
        <v>0</v>
      </c>
      <c r="E37" s="40"/>
      <c r="F37" s="40">
        <f>F$36*'7.0.8'!$C38/'7.0.8'!$C$42</f>
        <v>0</v>
      </c>
      <c r="G37" s="302"/>
      <c r="H37" s="40">
        <f>CS7Shape!K60</f>
        <v>18506.278516270388</v>
      </c>
      <c r="I37" s="302">
        <f>I36*CARMM!C23/CARMM!C20</f>
        <v>1691.2755940921945</v>
      </c>
      <c r="J37" s="40">
        <f>J$36*$H37/$H$36</f>
        <v>614.62965319594571</v>
      </c>
      <c r="K37" s="40"/>
      <c r="L37" s="302">
        <f t="shared" si="14"/>
        <v>18506.278516270388</v>
      </c>
      <c r="M37" s="40">
        <f>SUM(I37:J37)</f>
        <v>2305.9052472881403</v>
      </c>
    </row>
    <row r="38" spans="1:13" s="2" customFormat="1" ht="11.25" x14ac:dyDescent="0.2">
      <c r="A38" s="83">
        <f t="shared" si="15"/>
        <v>29</v>
      </c>
      <c r="B38" s="454" t="s">
        <v>249</v>
      </c>
      <c r="C38" s="40"/>
      <c r="D38" s="40">
        <f>D$36*'7.0.8'!$C39/'7.0.8'!$C$42</f>
        <v>0</v>
      </c>
      <c r="E38" s="40"/>
      <c r="F38" s="40">
        <f>F$36*'7.0.8'!$C39/'7.0.8'!$C$42</f>
        <v>0</v>
      </c>
      <c r="G38" s="302"/>
      <c r="H38" s="40">
        <f>CS7Shape!K61</f>
        <v>174397.70762722805</v>
      </c>
      <c r="I38" s="302">
        <f>I36*CARMM!C25/CARMM!C20</f>
        <v>933.32124050130733</v>
      </c>
      <c r="J38" s="40">
        <f t="shared" ref="J38:J40" si="17">J$36*$H38/$H$36</f>
        <v>5792.0884775862205</v>
      </c>
      <c r="K38" s="40"/>
      <c r="L38" s="302">
        <f t="shared" si="14"/>
        <v>174397.70762722805</v>
      </c>
      <c r="M38" s="40">
        <f>SUM(I38:J38)</f>
        <v>6725.4097180875278</v>
      </c>
    </row>
    <row r="39" spans="1:13" s="2" customFormat="1" ht="11.25" x14ac:dyDescent="0.2">
      <c r="A39" s="83">
        <f t="shared" si="15"/>
        <v>30</v>
      </c>
      <c r="B39" s="454" t="s">
        <v>244</v>
      </c>
      <c r="C39" s="40"/>
      <c r="D39" s="40">
        <f>D$36*'7.0.8'!$C40/'7.0.8'!$C$42</f>
        <v>0</v>
      </c>
      <c r="E39" s="40"/>
      <c r="F39" s="40">
        <f>F$36*'7.0.8'!$C40/'7.0.8'!$C$42</f>
        <v>0</v>
      </c>
      <c r="G39" s="302"/>
      <c r="H39" s="40">
        <f>CS7Shape!K62</f>
        <v>0</v>
      </c>
      <c r="I39" s="302">
        <f>I36*CARMM!C24/CARMM!C20</f>
        <v>0</v>
      </c>
      <c r="J39" s="40">
        <f t="shared" si="17"/>
        <v>0</v>
      </c>
      <c r="K39" s="40"/>
      <c r="L39" s="302">
        <f t="shared" si="14"/>
        <v>0</v>
      </c>
      <c r="M39" s="40">
        <f>SUM(I39:J39)</f>
        <v>0</v>
      </c>
    </row>
    <row r="40" spans="1:13" s="2" customFormat="1" ht="11.25" x14ac:dyDescent="0.2">
      <c r="A40" s="82">
        <f t="shared" si="15"/>
        <v>31</v>
      </c>
      <c r="B40" s="455" t="s">
        <v>250</v>
      </c>
      <c r="C40" s="41"/>
      <c r="D40" s="41">
        <f>D$36*'7.0.8'!$C41/'7.0.8'!$C$42</f>
        <v>0</v>
      </c>
      <c r="E40" s="41"/>
      <c r="F40" s="41">
        <f>F$36*'7.0.8'!$C41/'7.0.8'!$C$42</f>
        <v>0</v>
      </c>
      <c r="G40" s="310"/>
      <c r="H40" s="41">
        <f>CS7Shape!K63</f>
        <v>0</v>
      </c>
      <c r="I40" s="310">
        <f>I36*CARMM!C29/CARMM!C20</f>
        <v>0</v>
      </c>
      <c r="J40" s="41">
        <f t="shared" si="17"/>
        <v>0</v>
      </c>
      <c r="K40" s="41"/>
      <c r="L40" s="310">
        <f t="shared" si="14"/>
        <v>0</v>
      </c>
      <c r="M40" s="41">
        <f>SUM(I40:J40)</f>
        <v>0</v>
      </c>
    </row>
    <row r="41" spans="1:13" x14ac:dyDescent="0.2">
      <c r="B41" s="512" t="s">
        <v>581</v>
      </c>
      <c r="C41" s="40">
        <f>SUM(C37:C40)</f>
        <v>0</v>
      </c>
      <c r="D41" s="2"/>
      <c r="E41" s="40">
        <f>SUM(E37:E40)</f>
        <v>0</v>
      </c>
      <c r="F41" s="302"/>
      <c r="G41" s="40">
        <f>SUM(G37:G40)</f>
        <v>0</v>
      </c>
      <c r="H41" s="40">
        <f>SUM(H37:H40)</f>
        <v>192903.98614349845</v>
      </c>
      <c r="I41" s="40">
        <f>SUM(I37:I40)</f>
        <v>2624.5968345935016</v>
      </c>
      <c r="J41" s="40">
        <f>SUM(J37:J40)</f>
        <v>6406.7181307821666</v>
      </c>
      <c r="K41" s="2"/>
      <c r="L41" s="2"/>
      <c r="M41" s="2"/>
    </row>
    <row r="42" spans="1:13" x14ac:dyDescent="0.2">
      <c r="B42" s="511" t="s">
        <v>580</v>
      </c>
      <c r="C42" s="403">
        <f>SUM(C34:C35)</f>
        <v>0</v>
      </c>
      <c r="D42" s="3"/>
      <c r="E42" s="403">
        <f>SUM(E34:E35)</f>
        <v>0</v>
      </c>
      <c r="F42" s="403">
        <f>SUM(F34:F35)</f>
        <v>0</v>
      </c>
      <c r="G42" s="40"/>
      <c r="H42" s="403">
        <f>SUM(H34:H35)</f>
        <v>94839.180104004103</v>
      </c>
      <c r="I42" s="403">
        <f>SUM(I34:I35)</f>
        <v>2055.3570199256906</v>
      </c>
      <c r="J42" s="403">
        <f>SUM(J34:J35)</f>
        <v>3149.7943968293521</v>
      </c>
      <c r="K42" s="20"/>
      <c r="L42" s="40"/>
      <c r="M42" s="2"/>
    </row>
    <row r="43" spans="1:13" x14ac:dyDescent="0.2">
      <c r="B43" s="333" t="s">
        <v>578</v>
      </c>
      <c r="C43" s="47">
        <f>+C33-C42</f>
        <v>0</v>
      </c>
      <c r="D43" s="2"/>
      <c r="E43" s="47">
        <f t="shared" ref="E43:I43" si="18">+E33-E42</f>
        <v>0</v>
      </c>
      <c r="F43" s="47">
        <f t="shared" si="18"/>
        <v>0</v>
      </c>
      <c r="G43" s="47">
        <f t="shared" si="18"/>
        <v>0</v>
      </c>
      <c r="H43" s="47">
        <f t="shared" si="18"/>
        <v>0</v>
      </c>
      <c r="I43" s="47">
        <f t="shared" si="18"/>
        <v>0</v>
      </c>
      <c r="J43" s="47">
        <f>+J33-J42</f>
        <v>0</v>
      </c>
      <c r="K43" s="2"/>
      <c r="L43" s="2"/>
      <c r="M43" s="2"/>
    </row>
    <row r="44" spans="1:13" x14ac:dyDescent="0.2">
      <c r="B44" s="333" t="s">
        <v>579</v>
      </c>
      <c r="C44" s="47">
        <f>C36-C41</f>
        <v>0</v>
      </c>
      <c r="D44" s="2"/>
      <c r="E44" s="47">
        <f>E36-E41</f>
        <v>0</v>
      </c>
      <c r="F44" s="2"/>
      <c r="G44" s="47">
        <f>G36-G41</f>
        <v>0</v>
      </c>
      <c r="H44" s="47">
        <f>H36-H41</f>
        <v>0</v>
      </c>
      <c r="I44" s="47">
        <f>I36-I41</f>
        <v>0</v>
      </c>
      <c r="J44" s="47">
        <f>J36-J41</f>
        <v>0</v>
      </c>
      <c r="K44" s="2"/>
      <c r="L44" s="2"/>
      <c r="M44" s="2"/>
    </row>
    <row r="45" spans="1:13" x14ac:dyDescent="0.2">
      <c r="B45" s="333"/>
    </row>
  </sheetData>
  <sortState xmlns:xlrd2="http://schemas.microsoft.com/office/spreadsheetml/2017/richdata2" ref="B43:M44">
    <sortCondition ref="M44"/>
  </sortState>
  <phoneticPr fontId="11" type="noConversion"/>
  <pageMargins left="0.75" right="0.75" top="1" bottom="1" header="0.5" footer="0.5"/>
  <pageSetup orientation="portrait" r:id="rId1"/>
  <headerFooter alignWithMargins="0">
    <oddHeader>&amp;RUSPS-FY09-19</oddHeader>
  </headerFooter>
  <ignoredErrors>
    <ignoredError sqref="E7:M7" numberStoredAsText="1"/>
    <ignoredError sqref="L36:M3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2D050"/>
  </sheetPr>
  <dimension ref="A1:N68"/>
  <sheetViews>
    <sheetView topLeftCell="A27" zoomScaleNormal="100" workbookViewId="0">
      <selection activeCell="E51" sqref="E51"/>
    </sheetView>
  </sheetViews>
  <sheetFormatPr defaultColWidth="8.85546875" defaultRowHeight="11.25" x14ac:dyDescent="0.2"/>
  <cols>
    <col min="1" max="1" width="3.85546875" style="43" customWidth="1"/>
    <col min="2" max="2" width="36.5703125" style="2" customWidth="1"/>
    <col min="3" max="3" width="14.28515625" style="282" bestFit="1" customWidth="1"/>
    <col min="4" max="4" width="11.7109375" style="282" bestFit="1" customWidth="1"/>
    <col min="5" max="5" width="14.28515625" style="282" bestFit="1" customWidth="1"/>
    <col min="6" max="7" width="11.7109375" style="282" bestFit="1" customWidth="1"/>
    <col min="8" max="8" width="14.28515625" style="282" bestFit="1" customWidth="1"/>
    <col min="9" max="9" width="13.42578125" style="282" bestFit="1" customWidth="1"/>
    <col min="10" max="10" width="11.7109375" style="282" bestFit="1" customWidth="1"/>
    <col min="11" max="11" width="14.140625" style="282" customWidth="1"/>
    <col min="12" max="16384" width="8.85546875" style="2"/>
  </cols>
  <sheetData>
    <row r="1" spans="1:12" ht="12.75" x14ac:dyDescent="0.2">
      <c r="A1" s="77" t="str">
        <f>Inputs!$C$4</f>
        <v>Unit Delivery Cost Model -  12/16/2025</v>
      </c>
    </row>
    <row r="2" spans="1:12" s="1" customFormat="1" ht="12.75" x14ac:dyDescent="0.2">
      <c r="A2" s="77" t="str">
        <f>Inputs!C6 &amp; " C/S 7 CITY CARRIERS LETTER ROUTE STREET COSTS BY SHAPE"</f>
        <v>FY 2025 C/S 7 CITY CARRIERS LETTER ROUTE STREET COSTS BY SHAPE</v>
      </c>
      <c r="B2" s="538"/>
      <c r="C2" s="33"/>
      <c r="D2" s="33"/>
      <c r="E2" s="33"/>
      <c r="F2" s="33"/>
      <c r="G2" s="33"/>
      <c r="H2" s="33"/>
      <c r="I2" s="33"/>
      <c r="J2" s="33"/>
      <c r="K2" s="17"/>
    </row>
    <row r="3" spans="1:12" s="1" customFormat="1" ht="12.75" x14ac:dyDescent="0.2">
      <c r="A3" s="11" t="s">
        <v>536</v>
      </c>
      <c r="B3" s="538"/>
      <c r="C3" s="11"/>
      <c r="D3" s="11"/>
      <c r="E3" s="539"/>
      <c r="F3" s="11"/>
      <c r="G3" s="11"/>
      <c r="H3" s="11"/>
      <c r="I3" s="11"/>
      <c r="J3" s="11"/>
      <c r="K3" s="17"/>
    </row>
    <row r="4" spans="1:12" s="1" customFormat="1" ht="12.75" x14ac:dyDescent="0.2">
      <c r="A4" s="11"/>
      <c r="B4" s="538"/>
      <c r="C4" s="11"/>
      <c r="D4" s="11"/>
      <c r="E4" s="539"/>
      <c r="F4" s="11"/>
      <c r="G4" s="11"/>
      <c r="H4" s="11"/>
      <c r="I4" s="11"/>
      <c r="J4" s="11"/>
      <c r="K4" s="17"/>
    </row>
    <row r="5" spans="1:12" s="542" customFormat="1" ht="67.5" x14ac:dyDescent="0.2">
      <c r="A5" s="540" t="s">
        <v>0</v>
      </c>
      <c r="B5" s="34" t="s">
        <v>1</v>
      </c>
      <c r="C5" s="35" t="s">
        <v>332</v>
      </c>
      <c r="D5" s="35" t="s">
        <v>314</v>
      </c>
      <c r="E5" s="35" t="s">
        <v>333</v>
      </c>
      <c r="F5" s="35" t="s">
        <v>55</v>
      </c>
      <c r="G5" s="35" t="s">
        <v>466</v>
      </c>
      <c r="H5" s="35" t="s">
        <v>89</v>
      </c>
      <c r="I5" s="35" t="s">
        <v>261</v>
      </c>
      <c r="J5" s="35" t="s">
        <v>58</v>
      </c>
      <c r="K5" s="541" t="s">
        <v>253</v>
      </c>
    </row>
    <row r="6" spans="1:12" x14ac:dyDescent="0.2">
      <c r="A6" s="533"/>
      <c r="B6" s="532" t="s">
        <v>2</v>
      </c>
      <c r="C6" s="533">
        <f>-1</f>
        <v>-1</v>
      </c>
      <c r="D6" s="533">
        <f>C6-1</f>
        <v>-2</v>
      </c>
      <c r="E6" s="533">
        <f>D6-1</f>
        <v>-3</v>
      </c>
      <c r="F6" s="533">
        <f t="shared" ref="F6:H6" si="0">E6-1</f>
        <v>-4</v>
      </c>
      <c r="G6" s="533">
        <f t="shared" si="0"/>
        <v>-5</v>
      </c>
      <c r="H6" s="533">
        <f t="shared" si="0"/>
        <v>-6</v>
      </c>
      <c r="I6" s="533">
        <f t="shared" ref="I6" si="1">H6-1</f>
        <v>-7</v>
      </c>
      <c r="J6" s="533">
        <f t="shared" ref="J6" si="2">I6-1</f>
        <v>-8</v>
      </c>
      <c r="K6" s="533">
        <f t="shared" ref="K6" si="3">J6-1</f>
        <v>-9</v>
      </c>
    </row>
    <row r="7" spans="1:12" s="536" customFormat="1" x14ac:dyDescent="0.2">
      <c r="A7" s="543"/>
      <c r="B7" s="534" t="s">
        <v>4</v>
      </c>
      <c r="C7" s="544" t="s">
        <v>60</v>
      </c>
      <c r="D7" s="544" t="s">
        <v>60</v>
      </c>
      <c r="E7" s="544" t="s">
        <v>60</v>
      </c>
      <c r="F7" s="544" t="s">
        <v>60</v>
      </c>
      <c r="G7" s="544" t="s">
        <v>60</v>
      </c>
      <c r="H7" s="544" t="s">
        <v>60</v>
      </c>
      <c r="I7" s="544" t="s">
        <v>60</v>
      </c>
      <c r="J7" s="544" t="s">
        <v>60</v>
      </c>
      <c r="K7" s="544" t="s">
        <v>60</v>
      </c>
    </row>
    <row r="8" spans="1:12" s="536" customFormat="1" ht="22.7" customHeight="1" x14ac:dyDescent="0.2">
      <c r="A8" s="545"/>
      <c r="B8" s="546" t="s">
        <v>6</v>
      </c>
      <c r="C8" s="39"/>
      <c r="D8" s="39"/>
      <c r="E8" s="39"/>
      <c r="F8" s="39"/>
      <c r="G8" s="39"/>
      <c r="H8" s="39"/>
      <c r="I8" s="39"/>
      <c r="J8" s="39"/>
      <c r="K8" s="39"/>
    </row>
    <row r="9" spans="1:12" x14ac:dyDescent="0.2">
      <c r="A9" s="547">
        <v>1</v>
      </c>
      <c r="B9" s="548" t="s">
        <v>7</v>
      </c>
      <c r="C9" s="40"/>
      <c r="D9" s="40"/>
      <c r="E9" s="40"/>
      <c r="F9" s="40"/>
      <c r="G9" s="40"/>
      <c r="H9" s="40"/>
      <c r="I9" s="40"/>
      <c r="J9" s="40"/>
      <c r="K9" s="40"/>
    </row>
    <row r="10" spans="1:12" x14ac:dyDescent="0.2">
      <c r="A10" s="547">
        <f t="shared" ref="A10:A52" si="4">A9+1</f>
        <v>2</v>
      </c>
      <c r="B10" s="549" t="s">
        <v>63</v>
      </c>
      <c r="C10" s="40">
        <f>IF(SUM('7.0.8'!$F11:$G11),'[2]7.0.6.5'!$D11*'7.0.8'!F11/SUM('7.0.8'!$F11:$G11),0)</f>
        <v>10212.582599342706</v>
      </c>
      <c r="D10" s="40">
        <f>IF(SUM('7.0.8'!$F11:$G11),'[2]7.0.6.5'!$D11*'7.0.8'!G11/SUM('7.0.8'!$F11:$G11),0)</f>
        <v>0</v>
      </c>
      <c r="E10" s="40">
        <f>'[2]7.0.6.5'!$E11</f>
        <v>102333.483632943</v>
      </c>
      <c r="F10" s="40">
        <f>'[2]7.0.6.5'!$F11</f>
        <v>52.737752799430616</v>
      </c>
      <c r="G10" s="40">
        <f>'[2]7.0.6.5'!I11</f>
        <v>1784.6400225673881</v>
      </c>
      <c r="H10" s="40">
        <f>SUM(C10:G10)</f>
        <v>114383.44400765251</v>
      </c>
      <c r="I10" s="40">
        <f>'[2]7.0.6.5'!$G11</f>
        <v>0</v>
      </c>
      <c r="J10" s="40">
        <f>'[2]7.0.6.5'!$H11</f>
        <v>126059.60418160965</v>
      </c>
      <c r="K10" s="40">
        <f t="shared" ref="K10:K16" si="5">SUM(H10:J10)</f>
        <v>240443.04818926216</v>
      </c>
      <c r="L10" s="47"/>
    </row>
    <row r="11" spans="1:12" x14ac:dyDescent="0.2">
      <c r="A11" s="547">
        <f>A10+1</f>
        <v>3</v>
      </c>
      <c r="B11" s="549" t="s">
        <v>65</v>
      </c>
      <c r="C11" s="40">
        <f>IF(SUM('7.0.8'!$F12:$G12),'[2]7.0.6.5'!$D12*'7.0.8'!F12/SUM('7.0.8'!$F12:$G12),0)</f>
        <v>622.78924325805963</v>
      </c>
      <c r="D11" s="40">
        <f>IF(SUM('7.0.8'!$F12:$G12),'[2]7.0.6.5'!$D12*'7.0.8'!G12/SUM('7.0.8'!$F12:$G12),0)</f>
        <v>0</v>
      </c>
      <c r="E11" s="40">
        <f>'[2]7.0.6.5'!$E12</f>
        <v>3542.655047302922</v>
      </c>
      <c r="F11" s="40">
        <f>'[2]7.0.6.5'!$F12</f>
        <v>1.2603140092764888</v>
      </c>
      <c r="G11" s="40">
        <f>'[2]7.0.6.5'!I12</f>
        <v>67.514868525551336</v>
      </c>
      <c r="H11" s="40">
        <f t="shared" ref="H11:H15" si="6">SUM(C11:G11)</f>
        <v>4234.219473095809</v>
      </c>
      <c r="I11" s="40">
        <f>'[2]7.0.6.5'!$G12</f>
        <v>0</v>
      </c>
      <c r="J11" s="40">
        <f>'[2]7.0.6.5'!$H12</f>
        <v>4392.8203268386987</v>
      </c>
      <c r="K11" s="40">
        <f t="shared" si="5"/>
        <v>8627.0397999345078</v>
      </c>
      <c r="L11" s="47"/>
    </row>
    <row r="12" spans="1:12" x14ac:dyDescent="0.2">
      <c r="A12" s="547">
        <f t="shared" si="4"/>
        <v>4</v>
      </c>
      <c r="B12" s="549" t="s">
        <v>64</v>
      </c>
      <c r="C12" s="40">
        <f>IF(SUM('7.0.8'!$F13:$G13),'[2]7.0.6.5'!$D13*'7.0.8'!F13/SUM('7.0.8'!$F13:$G13),0)</f>
        <v>20221.227734281758</v>
      </c>
      <c r="D12" s="40">
        <f>IF(SUM('7.0.8'!$F13:$G13),'[2]7.0.6.5'!$D13*'7.0.8'!G13/SUM('7.0.8'!$F13:$G13),0)</f>
        <v>0</v>
      </c>
      <c r="E12" s="40">
        <f>'[2]7.0.6.5'!$E13</f>
        <v>403555.25486218627</v>
      </c>
      <c r="F12" s="40">
        <f>'[2]7.0.6.5'!$F13</f>
        <v>0</v>
      </c>
      <c r="G12" s="40">
        <f>'[2]7.0.6.5'!I13</f>
        <v>0</v>
      </c>
      <c r="H12" s="40">
        <f t="shared" si="6"/>
        <v>423776.48259646801</v>
      </c>
      <c r="I12" s="40">
        <f>'[2]7.0.6.5'!$G13</f>
        <v>0</v>
      </c>
      <c r="J12" s="40">
        <f>'[2]7.0.6.5'!$H13</f>
        <v>0</v>
      </c>
      <c r="K12" s="40">
        <f t="shared" si="5"/>
        <v>423776.48259646801</v>
      </c>
      <c r="L12" s="47"/>
    </row>
    <row r="13" spans="1:12" x14ac:dyDescent="0.2">
      <c r="A13" s="547">
        <f t="shared" si="4"/>
        <v>5</v>
      </c>
      <c r="B13" s="549" t="s">
        <v>66</v>
      </c>
      <c r="C13" s="40">
        <f>IF(SUM('7.0.8'!$F14:$G14),'[2]7.0.6.5'!$D14*'7.0.8'!F14/SUM('7.0.8'!$F14:$G14),0)</f>
        <v>1876.5883369126793</v>
      </c>
      <c r="D13" s="40">
        <f>IF(SUM('7.0.8'!$F14:$G14),'[2]7.0.6.5'!$D14*'7.0.8'!G14/SUM('7.0.8'!$F14:$G14),0)</f>
        <v>0</v>
      </c>
      <c r="E13" s="40">
        <f>'[2]7.0.6.5'!$E14</f>
        <v>32123.552440679188</v>
      </c>
      <c r="F13" s="40">
        <f>'[2]7.0.6.5'!$F14</f>
        <v>3.8128477451886145</v>
      </c>
      <c r="G13" s="40">
        <f>'[2]7.0.6.5'!I14</f>
        <v>0</v>
      </c>
      <c r="H13" s="40">
        <f t="shared" si="6"/>
        <v>34003.953625337061</v>
      </c>
      <c r="I13" s="40">
        <f>'[2]7.0.6.5'!$G14</f>
        <v>0</v>
      </c>
      <c r="J13" s="40">
        <f>'[2]7.0.6.5'!$H14</f>
        <v>0</v>
      </c>
      <c r="K13" s="40">
        <f t="shared" si="5"/>
        <v>34003.953625337061</v>
      </c>
      <c r="L13" s="47"/>
    </row>
    <row r="14" spans="1:12" x14ac:dyDescent="0.2">
      <c r="A14" s="547">
        <f t="shared" si="4"/>
        <v>6</v>
      </c>
      <c r="B14" s="549" t="s">
        <v>189</v>
      </c>
      <c r="C14" s="40">
        <f>IF(SUM('7.0.8'!$F15:$G15),'[2]7.0.6.5'!$D15*'7.0.8'!F15/SUM('7.0.8'!$F15:$G15),0)</f>
        <v>0</v>
      </c>
      <c r="D14" s="40">
        <f>IF(SUM('7.0.8'!$F15:$G15),'[2]7.0.6.5'!$D15*'7.0.8'!G15/SUM('7.0.8'!$F15:$G15),0)</f>
        <v>4296.3718413374099</v>
      </c>
      <c r="E14" s="40">
        <f>'[2]7.0.6.5'!$E15</f>
        <v>0</v>
      </c>
      <c r="F14" s="40">
        <f>'[2]7.0.6.5'!$F15</f>
        <v>7.5893348944553232</v>
      </c>
      <c r="G14" s="40">
        <f>'[2]7.0.6.5'!I15</f>
        <v>93.057168305320701</v>
      </c>
      <c r="H14" s="40">
        <f t="shared" si="6"/>
        <v>4397.0183445371858</v>
      </c>
      <c r="I14" s="40">
        <f>'[2]7.0.6.5'!$G15</f>
        <v>0</v>
      </c>
      <c r="J14" s="40">
        <f>'[2]7.0.6.5'!$H15</f>
        <v>5477.6547549891411</v>
      </c>
      <c r="K14" s="40">
        <f t="shared" si="5"/>
        <v>9874.6730995263279</v>
      </c>
      <c r="L14" s="47"/>
    </row>
    <row r="15" spans="1:12" x14ac:dyDescent="0.2">
      <c r="A15" s="547">
        <f t="shared" si="4"/>
        <v>7</v>
      </c>
      <c r="B15" s="549" t="s">
        <v>190</v>
      </c>
      <c r="C15" s="40">
        <f>IF(SUM('7.0.8'!$F16:$G16),'[2]7.0.6.5'!$D16*'7.0.8'!F16/SUM('7.0.8'!$F16:$G16),0)</f>
        <v>0</v>
      </c>
      <c r="D15" s="40">
        <f>IF(SUM('7.0.8'!$F16:$G16),'[2]7.0.6.5'!$D16*'7.0.8'!G16/SUM('7.0.8'!$F16:$G16),0)</f>
        <v>5195.9810633055849</v>
      </c>
      <c r="E15" s="40">
        <f>'[2]7.0.6.5'!$E16</f>
        <v>0</v>
      </c>
      <c r="F15" s="40">
        <f>'[2]7.0.6.5'!$F16</f>
        <v>0</v>
      </c>
      <c r="G15" s="40">
        <f>'[2]7.0.6.5'!I16</f>
        <v>0</v>
      </c>
      <c r="H15" s="40">
        <f t="shared" si="6"/>
        <v>5195.9810633055849</v>
      </c>
      <c r="I15" s="40">
        <f>'[2]7.0.6.5'!$G16</f>
        <v>0</v>
      </c>
      <c r="J15" s="40">
        <f>'[2]7.0.6.5'!$H16</f>
        <v>0</v>
      </c>
      <c r="K15" s="40">
        <f t="shared" si="5"/>
        <v>5195.9810633055849</v>
      </c>
      <c r="L15" s="47"/>
    </row>
    <row r="16" spans="1:12" x14ac:dyDescent="0.2">
      <c r="A16" s="547">
        <f>A15+1</f>
        <v>8</v>
      </c>
      <c r="B16" s="550" t="s">
        <v>67</v>
      </c>
      <c r="C16" s="342">
        <f>SUM(C10:C15)</f>
        <v>32933.187913795206</v>
      </c>
      <c r="D16" s="342">
        <f>SUM(D10:D15)</f>
        <v>9492.352904642994</v>
      </c>
      <c r="E16" s="342">
        <f>'[2]7.0.6.5'!$E17</f>
        <v>541554.94598311139</v>
      </c>
      <c r="F16" s="342">
        <f>'[2]7.0.6.5'!$F17</f>
        <v>65.400249448351047</v>
      </c>
      <c r="G16" s="342">
        <f>'[2]7.0.6.5'!I17</f>
        <v>1945.2120593982602</v>
      </c>
      <c r="H16" s="342">
        <f>SUM(C16:G16)</f>
        <v>585991.09911039623</v>
      </c>
      <c r="I16" s="342">
        <f>'[2]7.0.6.5'!$G17</f>
        <v>0</v>
      </c>
      <c r="J16" s="342">
        <f>'[2]7.0.6.5'!$H17</f>
        <v>135930.07926343751</v>
      </c>
      <c r="K16" s="342">
        <f t="shared" si="5"/>
        <v>721921.17837383377</v>
      </c>
      <c r="L16" s="47"/>
    </row>
    <row r="17" spans="1:12" x14ac:dyDescent="0.2">
      <c r="A17" s="547">
        <f t="shared" si="4"/>
        <v>9</v>
      </c>
      <c r="B17" s="150" t="s">
        <v>349</v>
      </c>
      <c r="C17" s="40"/>
      <c r="D17" s="40"/>
      <c r="E17" s="40"/>
      <c r="F17" s="40"/>
      <c r="G17" s="40"/>
      <c r="H17" s="40"/>
      <c r="I17" s="40"/>
      <c r="J17" s="40"/>
      <c r="K17" s="40"/>
    </row>
    <row r="18" spans="1:12" x14ac:dyDescent="0.2">
      <c r="A18" s="547">
        <f t="shared" si="4"/>
        <v>10</v>
      </c>
      <c r="B18" s="40" t="s">
        <v>191</v>
      </c>
      <c r="C18" s="40">
        <f>IF(SUM('7.0.8'!$F18:$G18),('[2]7.0.6.5'!$D19-'City DAL Costs'!J10-'City DAL Costs'!L10)*'7.0.8'!$F18/SUM('7.0.8'!$F18:$G18),0)</f>
        <v>13432.395854231299</v>
      </c>
      <c r="D18" s="40">
        <f>IF(SUM('7.0.8'!$F18:$G18),('[2]7.0.6.5'!$D19-'City DAL Costs'!K10-'City DAL Costs'!M10)*'7.0.8'!$G18/SUM('7.0.8'!$F18:$G18),0)</f>
        <v>0</v>
      </c>
      <c r="E18" s="413">
        <f>'[2]7.0.6.5'!$E19-'City DAL Costs'!J11-'City DAL Costs'!L11</f>
        <v>71929.886132348882</v>
      </c>
      <c r="F18" s="40">
        <f>'[2]7.0.6.5'!$F19</f>
        <v>0</v>
      </c>
      <c r="G18" s="40">
        <f>'[2]7.0.6.5'!I19</f>
        <v>0</v>
      </c>
      <c r="H18" s="40">
        <f>SUM(C18:G18)</f>
        <v>85362.281986580187</v>
      </c>
      <c r="I18" s="40">
        <f>'[2]7.0.6.5'!$G19-'City DAL Costs'!J15-'City DAL Costs'!L15</f>
        <v>9476.8981174239179</v>
      </c>
      <c r="J18" s="40">
        <f>'[2]7.0.6.5'!$H19</f>
        <v>0</v>
      </c>
      <c r="K18" s="40">
        <f t="shared" ref="K18:K25" si="7">SUM(H18:J18)</f>
        <v>94839.180104004103</v>
      </c>
      <c r="L18" s="47"/>
    </row>
    <row r="19" spans="1:12" x14ac:dyDescent="0.2">
      <c r="A19" s="547">
        <f t="shared" si="4"/>
        <v>11</v>
      </c>
      <c r="B19" s="40" t="s">
        <v>192</v>
      </c>
      <c r="C19" s="40">
        <f>IF(SUM('7.0.8'!$F19:$G19),'[2]7.0.6.5'!$D20*'7.0.8'!$F19/SUM('7.0.8'!$F19:$G19),0)</f>
        <v>0</v>
      </c>
      <c r="D19" s="40">
        <f>'City DAL Costs'!C12+'City DAL Costs'!J10+'City DAL Costs'!L10-'City DAL Costs'!D19</f>
        <v>35237.96794311257</v>
      </c>
      <c r="E19" s="413">
        <f>'City DAL Costs'!J11+'City DAL Costs'!L11</f>
        <v>756.36278767182137</v>
      </c>
      <c r="F19" s="40">
        <f>'[2]7.0.6.5'!$F20-'City DAL Costs'!D20</f>
        <v>0</v>
      </c>
      <c r="G19" s="40">
        <f>'[2]7.0.6.5'!I20</f>
        <v>0</v>
      </c>
      <c r="H19" s="40">
        <f t="shared" ref="H19:H24" si="8">SUM(C19:G19)</f>
        <v>35994.330730784393</v>
      </c>
      <c r="I19" s="40">
        <f>'City DAL Costs'!E16+'City DAL Costs'!J15+'City DAL Costs'!L15</f>
        <v>156909.65541271406</v>
      </c>
      <c r="J19" s="40">
        <f>'[2]7.0.6.5'!$H20</f>
        <v>0</v>
      </c>
      <c r="K19" s="40">
        <f t="shared" si="7"/>
        <v>192903.98614349845</v>
      </c>
      <c r="L19" s="47"/>
    </row>
    <row r="20" spans="1:12" x14ac:dyDescent="0.2">
      <c r="A20" s="547">
        <f t="shared" si="4"/>
        <v>12</v>
      </c>
      <c r="B20" s="40" t="s">
        <v>288</v>
      </c>
      <c r="C20" s="40">
        <f>'[2]7.0.6.5'!$D$21*[3]CCCS_Matrix_FY25!$E$29/([3]CCCS_Matrix_FY25!$E$29+[3]CCCS_Matrix_FY25!$F$29)</f>
        <v>0</v>
      </c>
      <c r="D20" s="40">
        <f>'City DAL Costs'!D19</f>
        <v>2466.7671949834066</v>
      </c>
      <c r="E20" s="413">
        <f>'[2]7.0.6.5'!$E21</f>
        <v>0</v>
      </c>
      <c r="F20" s="40">
        <f>'City DAL Costs'!D20</f>
        <v>0</v>
      </c>
      <c r="G20" s="40">
        <f>'[2]7.0.6.5'!I21</f>
        <v>0</v>
      </c>
      <c r="H20" s="40">
        <f t="shared" si="8"/>
        <v>2466.7671949834066</v>
      </c>
      <c r="I20" s="40">
        <f>'City DAL Costs'!D21</f>
        <v>11045.855831420393</v>
      </c>
      <c r="J20" s="40">
        <f>'[2]7.0.6.5'!$H21</f>
        <v>0</v>
      </c>
      <c r="K20" s="40">
        <f t="shared" si="7"/>
        <v>13512.623026403799</v>
      </c>
      <c r="L20" s="47"/>
    </row>
    <row r="21" spans="1:12" x14ac:dyDescent="0.2">
      <c r="A21" s="547">
        <f t="shared" si="4"/>
        <v>13</v>
      </c>
      <c r="B21" s="40" t="s">
        <v>193</v>
      </c>
      <c r="C21" s="40">
        <f>IF(SUM('7.0.8'!F21:G21),'[2]7.0.6.5'!D22*'7.0.8'!F21/SUM('7.0.8'!F21:G21),0)</f>
        <v>138.6730659364128</v>
      </c>
      <c r="D21" s="40">
        <f>IF(SUM('7.0.8'!F21:G21),'[2]7.0.6.5'!$D22*'7.0.8'!G21/SUM('7.0.8'!F21:G21),0)</f>
        <v>30471.671390876749</v>
      </c>
      <c r="E21" s="413">
        <f>'[2]7.0.6.5'!$E22</f>
        <v>198.05820433687143</v>
      </c>
      <c r="F21" s="40">
        <f>'[2]7.0.6.5'!$F22</f>
        <v>30.563231522479974</v>
      </c>
      <c r="G21" s="40">
        <f>'[2]7.0.6.5'!I22</f>
        <v>0</v>
      </c>
      <c r="H21" s="40">
        <f t="shared" si="8"/>
        <v>30838.96589267251</v>
      </c>
      <c r="I21" s="40">
        <f>'[2]7.0.6.5'!$G22</f>
        <v>0</v>
      </c>
      <c r="J21" s="40">
        <f>'[2]7.0.6.5'!$H22</f>
        <v>0</v>
      </c>
      <c r="K21" s="40">
        <f t="shared" si="7"/>
        <v>30838.96589267251</v>
      </c>
      <c r="L21" s="47"/>
    </row>
    <row r="22" spans="1:12" x14ac:dyDescent="0.2">
      <c r="A22" s="547">
        <f t="shared" si="4"/>
        <v>14</v>
      </c>
      <c r="B22" s="40" t="s">
        <v>194</v>
      </c>
      <c r="C22" s="40">
        <f>IF(SUM('7.0.8'!F22:G22),'[2]7.0.6.5'!D23*'7.0.8'!F22/SUM('7.0.8'!F22:G22),0)</f>
        <v>32151.681071877199</v>
      </c>
      <c r="D22" s="40">
        <f>IF(SUM('7.0.8'!F22:G22),'[2]7.0.6.5'!$D23*'7.0.8'!G22/SUM('7.0.8'!F22:G22),0)</f>
        <v>0</v>
      </c>
      <c r="E22" s="413">
        <f>'[2]7.0.6.5'!$E23</f>
        <v>515279.36592129379</v>
      </c>
      <c r="F22" s="551">
        <f>'[2]7.0.6.5'!$F23</f>
        <v>59.195431368906547</v>
      </c>
      <c r="G22" s="40">
        <f>'[2]7.0.6.5'!I23</f>
        <v>0</v>
      </c>
      <c r="H22" s="40">
        <f t="shared" si="8"/>
        <v>547490.24242453987</v>
      </c>
      <c r="I22" s="40">
        <f>'[2]7.0.6.5'!$G23</f>
        <v>0</v>
      </c>
      <c r="J22" s="40">
        <f>'[2]7.0.6.5'!$H23</f>
        <v>14322.334790243513</v>
      </c>
      <c r="K22" s="40">
        <f t="shared" si="7"/>
        <v>561812.57721478341</v>
      </c>
      <c r="L22" s="47"/>
    </row>
    <row r="23" spans="1:12" x14ac:dyDescent="0.2">
      <c r="A23" s="547">
        <f t="shared" si="4"/>
        <v>15</v>
      </c>
      <c r="B23" s="40" t="s">
        <v>195</v>
      </c>
      <c r="C23" s="40">
        <f>IF(SUM('7.0.8'!F23:G23),'[2]7.0.6.5'!D24*'7.0.8'!F23/SUM('7.0.8'!F23:G23),0)</f>
        <v>0</v>
      </c>
      <c r="D23" s="40">
        <f>IF(SUM('7.0.8'!F23:G23),'[2]7.0.6.5'!$D24*'7.0.8'!G23/SUM('7.0.8'!F23:G23),0)</f>
        <v>19544.170597161916</v>
      </c>
      <c r="E23" s="413">
        <f>'[2]7.0.6.5'!$E24</f>
        <v>0</v>
      </c>
      <c r="F23" s="551">
        <f>'[2]7.0.6.5'!$F24</f>
        <v>12.735503318419827</v>
      </c>
      <c r="G23" s="40">
        <f>'[2]7.0.6.5'!I24</f>
        <v>0</v>
      </c>
      <c r="H23" s="40">
        <f t="shared" si="8"/>
        <v>19556.906100480337</v>
      </c>
      <c r="I23" s="40">
        <f>'[2]7.0.6.5'!$G24</f>
        <v>0</v>
      </c>
      <c r="J23" s="40">
        <f>'[2]7.0.6.5'!$H24</f>
        <v>630.28635462642728</v>
      </c>
      <c r="K23" s="40">
        <f t="shared" si="7"/>
        <v>20187.192455106764</v>
      </c>
      <c r="L23" s="47"/>
    </row>
    <row r="24" spans="1:12" x14ac:dyDescent="0.2">
      <c r="A24" s="547">
        <f t="shared" si="4"/>
        <v>16</v>
      </c>
      <c r="B24" s="41" t="s">
        <v>260</v>
      </c>
      <c r="C24" s="40"/>
      <c r="D24" s="40"/>
      <c r="E24" s="413">
        <f>'[2]7.0.6.5'!$E25</f>
        <v>0</v>
      </c>
      <c r="F24" s="551">
        <f>'[2]7.0.6.5'!$F25</f>
        <v>915.25967415070238</v>
      </c>
      <c r="G24" s="40">
        <f>'[2]7.0.6.5'!I25</f>
        <v>587.03512217276057</v>
      </c>
      <c r="H24" s="40">
        <f t="shared" si="8"/>
        <v>1502.2947963234628</v>
      </c>
      <c r="I24" s="40">
        <f>'[2]7.0.6.5'!$G25</f>
        <v>0</v>
      </c>
      <c r="J24" s="40">
        <f>'[2]7.0.6.5'!$H25</f>
        <v>175.56010726103358</v>
      </c>
      <c r="K24" s="40">
        <f t="shared" si="7"/>
        <v>1677.8549035844965</v>
      </c>
      <c r="L24" s="47"/>
    </row>
    <row r="25" spans="1:12" x14ac:dyDescent="0.2">
      <c r="A25" s="552">
        <f t="shared" si="4"/>
        <v>17</v>
      </c>
      <c r="B25" s="553" t="s">
        <v>350</v>
      </c>
      <c r="C25" s="342">
        <f>SUM(C18:C24)</f>
        <v>45722.749992044912</v>
      </c>
      <c r="D25" s="342">
        <f>SUM(D18:D24)</f>
        <v>87720.577126134653</v>
      </c>
      <c r="E25" s="414">
        <f>'[2]7.0.6.5'!$E26</f>
        <v>588163.67304565141</v>
      </c>
      <c r="F25" s="554">
        <f>'[2]7.0.6.5'!$F26</f>
        <v>1017.7538403605088</v>
      </c>
      <c r="G25" s="342">
        <f>'[2]7.0.6.5'!I26</f>
        <v>587.03512217276057</v>
      </c>
      <c r="H25" s="342">
        <f>SUM(C25:G25)</f>
        <v>723211.78912636428</v>
      </c>
      <c r="I25" s="342">
        <f>SUM(I18:I24)</f>
        <v>177432.40936155838</v>
      </c>
      <c r="J25" s="342">
        <f>'[2]7.0.6.5'!$H26</f>
        <v>15128.181252130973</v>
      </c>
      <c r="K25" s="342">
        <f t="shared" si="7"/>
        <v>915772.37974005367</v>
      </c>
      <c r="L25" s="47"/>
    </row>
    <row r="26" spans="1:12" x14ac:dyDescent="0.2">
      <c r="A26" s="547">
        <f t="shared" si="4"/>
        <v>18</v>
      </c>
      <c r="B26" s="549" t="s">
        <v>68</v>
      </c>
      <c r="C26" s="40"/>
      <c r="D26" s="40"/>
      <c r="E26" s="40"/>
      <c r="F26" s="40"/>
      <c r="G26" s="40"/>
      <c r="H26" s="40" t="s">
        <v>29</v>
      </c>
      <c r="I26" s="40"/>
      <c r="J26" s="40"/>
      <c r="K26" s="40"/>
    </row>
    <row r="27" spans="1:12" x14ac:dyDescent="0.2">
      <c r="A27" s="547">
        <f t="shared" si="4"/>
        <v>19</v>
      </c>
      <c r="B27" s="549" t="s">
        <v>69</v>
      </c>
      <c r="C27" s="40"/>
      <c r="D27" s="40"/>
      <c r="E27" s="40">
        <f>'[2]7.0.6.5'!$E27</f>
        <v>0</v>
      </c>
      <c r="F27" s="40">
        <v>0</v>
      </c>
      <c r="G27" s="40"/>
      <c r="H27" s="40">
        <f>SUM(C27:F27)</f>
        <v>0</v>
      </c>
      <c r="I27" s="40">
        <f>'[2]7.0.6.5'!$G28</f>
        <v>0</v>
      </c>
      <c r="J27" s="40"/>
      <c r="K27" s="40">
        <f>SUM(H27:J27)</f>
        <v>0</v>
      </c>
      <c r="L27" s="47"/>
    </row>
    <row r="28" spans="1:12" x14ac:dyDescent="0.2">
      <c r="A28" s="547">
        <f t="shared" si="4"/>
        <v>20</v>
      </c>
      <c r="B28" s="548" t="s">
        <v>205</v>
      </c>
      <c r="C28" s="40"/>
      <c r="D28" s="40"/>
      <c r="E28" s="40">
        <f>'[2]7.0.6.5'!$E29</f>
        <v>0</v>
      </c>
      <c r="F28" s="40">
        <v>0</v>
      </c>
      <c r="G28" s="40"/>
      <c r="H28" s="40">
        <f>SUM(C28:F28)</f>
        <v>0</v>
      </c>
      <c r="I28" s="40">
        <f>'[2]7.0.6.5'!$G29</f>
        <v>0</v>
      </c>
      <c r="J28" s="40"/>
      <c r="K28" s="40">
        <f>SUM(H28:J28)</f>
        <v>0</v>
      </c>
      <c r="L28" s="47"/>
    </row>
    <row r="29" spans="1:12" x14ac:dyDescent="0.2">
      <c r="A29" s="552">
        <f t="shared" si="4"/>
        <v>21</v>
      </c>
      <c r="B29" s="555" t="s">
        <v>70</v>
      </c>
      <c r="C29" s="342">
        <f>IF(SUM('7.0.8'!F25:G25),'[2]7.0.6.5'!D30*'7.0.8'!F25/SUM('7.0.8'!F25:G25),0)</f>
        <v>44.842187925765799</v>
      </c>
      <c r="D29" s="342">
        <f>IF(SUM('7.0.8'!F25:G25),'[2]7.0.6.5'!$D30*'7.0.8'!G25/SUM('7.0.8'!F25:G25),0)</f>
        <v>22418.97117169141</v>
      </c>
      <c r="E29" s="342">
        <f>'[2]7.0.6.5'!$E$30</f>
        <v>83.136062756888435</v>
      </c>
      <c r="F29" s="342">
        <f>'[2]7.0.6.5'!$F$30</f>
        <v>258.15602879122633</v>
      </c>
      <c r="G29" s="342">
        <f>'[2]7.0.6.5'!I30</f>
        <v>56.798702963401993</v>
      </c>
      <c r="H29" s="342">
        <f>SUM(C29:G29)</f>
        <v>22861.904154128693</v>
      </c>
      <c r="I29" s="342">
        <f>'[2]7.0.6.5'!$G30</f>
        <v>0</v>
      </c>
      <c r="J29" s="342">
        <f>'[2]7.0.6.5'!$H30</f>
        <v>405.94856577726534</v>
      </c>
      <c r="K29" s="342">
        <f>SUM(H29:J29)</f>
        <v>23267.852719905957</v>
      </c>
      <c r="L29" s="47"/>
    </row>
    <row r="30" spans="1:12" x14ac:dyDescent="0.2">
      <c r="A30" s="547">
        <f t="shared" si="4"/>
        <v>22</v>
      </c>
      <c r="B30" s="556" t="s">
        <v>71</v>
      </c>
      <c r="C30" s="40"/>
      <c r="D30" s="40"/>
      <c r="E30" s="40"/>
      <c r="F30" s="40"/>
      <c r="G30" s="40"/>
      <c r="H30" s="40"/>
      <c r="I30" s="40"/>
      <c r="J30" s="40"/>
      <c r="K30" s="40"/>
      <c r="L30" s="47"/>
    </row>
    <row r="31" spans="1:12" x14ac:dyDescent="0.2">
      <c r="A31" s="547">
        <f t="shared" si="4"/>
        <v>23</v>
      </c>
      <c r="B31" s="549" t="s">
        <v>196</v>
      </c>
      <c r="C31" s="40">
        <f>IF(SUM('7.0.8'!$F27:$G27),'[2]7.0.6.5'!$D32*'7.0.8'!F27/SUM('7.0.8'!$F27:$G27),0)</f>
        <v>0.30118058191061947</v>
      </c>
      <c r="D31" s="40">
        <f>IF(SUM('7.0.8'!$F27:$G27),'[2]7.0.6.5'!$D32*'7.0.8'!G27/SUM('7.0.8'!$F27:$G27),0)</f>
        <v>1133.3477995495589</v>
      </c>
      <c r="E31" s="40">
        <f>'[2]7.0.6.5'!$E32</f>
        <v>0</v>
      </c>
      <c r="F31" s="40">
        <f>'[2]7.0.6.5'!$F32</f>
        <v>118.55331051590309</v>
      </c>
      <c r="G31" s="40">
        <f>'[2]7.0.6.5'!I32</f>
        <v>24.75381225086586</v>
      </c>
      <c r="H31" s="40">
        <f>SUM(C31:G31)</f>
        <v>1276.9561028982384</v>
      </c>
      <c r="I31" s="40">
        <f>'[2]7.0.6.5'!$G32</f>
        <v>0</v>
      </c>
      <c r="J31" s="40">
        <f>'[2]7.0.6.5'!$H32</f>
        <v>189.5064709219568</v>
      </c>
      <c r="K31" s="40">
        <f t="shared" ref="K31:K49" si="9">SUM(H31:J31)</f>
        <v>1466.4625738201953</v>
      </c>
      <c r="L31" s="47"/>
    </row>
    <row r="32" spans="1:12" x14ac:dyDescent="0.2">
      <c r="A32" s="547">
        <f t="shared" si="4"/>
        <v>24</v>
      </c>
      <c r="B32" s="549" t="s">
        <v>197</v>
      </c>
      <c r="C32" s="40"/>
      <c r="D32" s="40"/>
      <c r="E32" s="40">
        <f>'[2]7.0.6.5'!$E33</f>
        <v>0</v>
      </c>
      <c r="F32" s="40">
        <f>'[2]7.0.6.5'!$F33</f>
        <v>19120.348803345783</v>
      </c>
      <c r="G32" s="40">
        <f>'[2]7.0.6.5'!I33</f>
        <v>27611.409991304692</v>
      </c>
      <c r="H32" s="40">
        <f t="shared" ref="H32:H52" si="10">SUM(C32:G32)</f>
        <v>46731.758794650479</v>
      </c>
      <c r="I32" s="40">
        <f>'[2]7.0.6.5'!$G33</f>
        <v>0</v>
      </c>
      <c r="J32" s="40">
        <f>'[2]7.0.6.5'!$H33</f>
        <v>106.17011159516557</v>
      </c>
      <c r="K32" s="40">
        <f t="shared" si="9"/>
        <v>46837.928906245645</v>
      </c>
      <c r="L32" s="47"/>
    </row>
    <row r="33" spans="1:13" x14ac:dyDescent="0.2">
      <c r="A33" s="547">
        <f t="shared" si="4"/>
        <v>25</v>
      </c>
      <c r="B33" s="549" t="s">
        <v>203</v>
      </c>
      <c r="C33" s="40">
        <f>IF(SUM('7.0.8'!F29:G29),'[2]7.0.6.5'!D34*'7.0.8'!F29/SUM('7.0.8'!F29:G29),0)</f>
        <v>1.1337637338518285</v>
      </c>
      <c r="D33" s="40">
        <f>IF(SUM('7.0.8'!$F29:$G29),'[2]7.0.6.5'!$D34*'7.0.8'!G29/SUM('7.0.8'!$F29:$G29),0)</f>
        <v>12.213239905907482</v>
      </c>
      <c r="E33" s="40">
        <f>'[2]7.0.6.5'!$E34</f>
        <v>0</v>
      </c>
      <c r="F33" s="40">
        <f>'[2]7.0.6.5'!$F34</f>
        <v>3883.052564189059</v>
      </c>
      <c r="G33" s="40">
        <f>'[2]7.0.6.5'!I34</f>
        <v>13349.884812545981</v>
      </c>
      <c r="H33" s="40">
        <f t="shared" si="10"/>
        <v>17246.2843803748</v>
      </c>
      <c r="I33" s="40">
        <f>'[2]7.0.6.5'!$G34</f>
        <v>0</v>
      </c>
      <c r="J33" s="40">
        <f>'[2]7.0.6.5'!$H34</f>
        <v>264.43399333554436</v>
      </c>
      <c r="K33" s="40">
        <f t="shared" si="9"/>
        <v>17510.718373710344</v>
      </c>
      <c r="L33" s="47"/>
    </row>
    <row r="34" spans="1:13" x14ac:dyDescent="0.2">
      <c r="A34" s="552">
        <f t="shared" si="4"/>
        <v>26</v>
      </c>
      <c r="B34" s="555" t="s">
        <v>72</v>
      </c>
      <c r="C34" s="342">
        <f>SUM(C31:C33)</f>
        <v>1.434944315762448</v>
      </c>
      <c r="D34" s="342">
        <f>SUM(D31:D33)</f>
        <v>1145.5610394554665</v>
      </c>
      <c r="E34" s="342">
        <f>'[2]7.0.6.5'!$E35</f>
        <v>0</v>
      </c>
      <c r="F34" s="342">
        <f>'[2]7.0.6.5'!$F35</f>
        <v>23121.954678050748</v>
      </c>
      <c r="G34" s="342">
        <f>'[2]7.0.6.5'!I35</f>
        <v>40986.048616101543</v>
      </c>
      <c r="H34" s="342">
        <f t="shared" si="10"/>
        <v>65254.999277923518</v>
      </c>
      <c r="I34" s="342">
        <f>'[2]7.0.6.5'!$G35</f>
        <v>0</v>
      </c>
      <c r="J34" s="342">
        <f>'[2]7.0.6.5'!$H35</f>
        <v>560.11057585266667</v>
      </c>
      <c r="K34" s="342">
        <f t="shared" si="9"/>
        <v>65815.109853776186</v>
      </c>
      <c r="L34" s="47"/>
    </row>
    <row r="35" spans="1:13" x14ac:dyDescent="0.2">
      <c r="A35" s="547">
        <f t="shared" si="4"/>
        <v>27</v>
      </c>
      <c r="B35" s="549" t="s">
        <v>73</v>
      </c>
      <c r="C35" s="40">
        <f>'[2]7.0.6.5'!$D36*[3]CCCS_Matrix_FY25!E49/([3]CCCS_Matrix_FY25!$E49+[3]CCCS_Matrix_FY25!$F49)</f>
        <v>728.12321546735404</v>
      </c>
      <c r="D35" s="40">
        <f>'[2]7.0.6.5'!$D$36*[3]CCCS_Matrix_FY25!F$49/([3]CCCS_Matrix_FY25!$E$49+[3]CCCS_Matrix_FY25!$F$49)</f>
        <v>76.910837536808117</v>
      </c>
      <c r="E35" s="40">
        <f>'[2]7.0.6.5'!$E36</f>
        <v>4447.5363015455951</v>
      </c>
      <c r="F35" s="40">
        <f>'[2]7.0.6.5'!$F36</f>
        <v>2202.2517192538135</v>
      </c>
      <c r="G35" s="40">
        <f>'[2]7.0.6.5'!I36</f>
        <v>1664.8745980216049</v>
      </c>
      <c r="H35" s="40">
        <f t="shared" si="10"/>
        <v>9119.6966718251751</v>
      </c>
      <c r="I35" s="40">
        <f>'[2]7.0.6.5'!$G36</f>
        <v>0</v>
      </c>
      <c r="J35" s="40">
        <f>'[2]7.0.6.5'!$H36</f>
        <v>0</v>
      </c>
      <c r="K35" s="40">
        <f t="shared" si="9"/>
        <v>9119.6966718251751</v>
      </c>
      <c r="L35" s="47"/>
    </row>
    <row r="36" spans="1:13" x14ac:dyDescent="0.2">
      <c r="A36" s="557">
        <f t="shared" si="4"/>
        <v>28</v>
      </c>
      <c r="B36" s="558" t="s">
        <v>74</v>
      </c>
      <c r="C36" s="40">
        <f>'[2]7.0.6.5'!$D37*[3]CCCS_Matrix_FY25!E50/([3]CCCS_Matrix_FY25!$E50+[3]CCCS_Matrix_FY25!$F50)</f>
        <v>4.1149460240595674</v>
      </c>
      <c r="D36" s="40">
        <f>'[2]7.0.6.5'!$D37*[3]CCCS_Matrix_FY25!F50/([3]CCCS_Matrix_FY25!$E50+[3]CCCS_Matrix_FY25!$F50)</f>
        <v>134.97792596465231</v>
      </c>
      <c r="E36" s="40">
        <f>'[2]7.0.6.5'!$E37</f>
        <v>40.508248246424884</v>
      </c>
      <c r="F36" s="40">
        <f>'[2]7.0.6.5'!$F37</f>
        <v>276.96967143641047</v>
      </c>
      <c r="G36" s="40">
        <f>'[2]7.0.6.5'!I37</f>
        <v>291.29543170004496</v>
      </c>
      <c r="H36" s="40">
        <f t="shared" si="10"/>
        <v>747.86622337159224</v>
      </c>
      <c r="I36" s="40">
        <f>'[2]7.0.6.5'!$G37</f>
        <v>0</v>
      </c>
      <c r="J36" s="40">
        <f>'[2]7.0.6.5'!$H37</f>
        <v>0</v>
      </c>
      <c r="K36" s="40">
        <f t="shared" si="9"/>
        <v>747.86622337159224</v>
      </c>
      <c r="L36" s="47"/>
    </row>
    <row r="37" spans="1:13" x14ac:dyDescent="0.2">
      <c r="A37" s="547">
        <f t="shared" si="4"/>
        <v>29</v>
      </c>
      <c r="B37" s="548" t="s">
        <v>77</v>
      </c>
      <c r="C37" s="40"/>
      <c r="D37" s="40"/>
      <c r="E37" s="40"/>
      <c r="F37" s="40"/>
      <c r="G37" s="40"/>
      <c r="H37" s="40">
        <f t="shared" si="10"/>
        <v>0</v>
      </c>
      <c r="I37" s="40"/>
      <c r="J37" s="40"/>
      <c r="K37" s="40">
        <f t="shared" si="9"/>
        <v>0</v>
      </c>
      <c r="L37" s="47"/>
    </row>
    <row r="38" spans="1:13" x14ac:dyDescent="0.2">
      <c r="A38" s="559">
        <f t="shared" si="4"/>
        <v>30</v>
      </c>
      <c r="B38" s="560" t="s">
        <v>79</v>
      </c>
      <c r="C38" s="40"/>
      <c r="D38" s="40"/>
      <c r="E38" s="40"/>
      <c r="F38" s="40"/>
      <c r="G38" s="40">
        <f>'[2]7.0.6.5'!I40</f>
        <v>72212.033477292905</v>
      </c>
      <c r="H38" s="40">
        <f t="shared" si="10"/>
        <v>72212.033477292905</v>
      </c>
      <c r="I38" s="40"/>
      <c r="J38" s="40"/>
      <c r="K38" s="40">
        <f t="shared" si="9"/>
        <v>72212.033477292905</v>
      </c>
      <c r="L38" s="47"/>
    </row>
    <row r="39" spans="1:13" x14ac:dyDescent="0.2">
      <c r="A39" s="559">
        <f t="shared" si="4"/>
        <v>31</v>
      </c>
      <c r="B39" s="560" t="s">
        <v>81</v>
      </c>
      <c r="C39" s="40"/>
      <c r="D39" s="40"/>
      <c r="E39" s="40"/>
      <c r="F39" s="40"/>
      <c r="G39" s="40">
        <f>'[2]7.0.6.5'!I41</f>
        <v>167.84825250601256</v>
      </c>
      <c r="H39" s="40">
        <f t="shared" si="10"/>
        <v>167.84825250601256</v>
      </c>
      <c r="I39" s="40"/>
      <c r="J39" s="40"/>
      <c r="K39" s="40">
        <f t="shared" si="9"/>
        <v>167.84825250601256</v>
      </c>
      <c r="L39" s="47"/>
    </row>
    <row r="40" spans="1:13" x14ac:dyDescent="0.2">
      <c r="A40" s="559">
        <f t="shared" si="4"/>
        <v>32</v>
      </c>
      <c r="B40" s="560" t="s">
        <v>80</v>
      </c>
      <c r="C40" s="40"/>
      <c r="D40" s="40"/>
      <c r="E40" s="40"/>
      <c r="F40" s="40"/>
      <c r="G40" s="40">
        <f>'[2]7.0.6.5'!I42</f>
        <v>816.36915273030684</v>
      </c>
      <c r="H40" s="40">
        <f t="shared" si="10"/>
        <v>816.36915273030684</v>
      </c>
      <c r="I40" s="40"/>
      <c r="J40" s="40"/>
      <c r="K40" s="40">
        <f t="shared" si="9"/>
        <v>816.36915273030684</v>
      </c>
      <c r="L40" s="47"/>
    </row>
    <row r="41" spans="1:13" x14ac:dyDescent="0.2">
      <c r="A41" s="559">
        <f t="shared" si="4"/>
        <v>33</v>
      </c>
      <c r="B41" s="560" t="s">
        <v>78</v>
      </c>
      <c r="C41" s="40"/>
      <c r="D41" s="40"/>
      <c r="E41" s="40"/>
      <c r="F41" s="40"/>
      <c r="G41" s="40">
        <f>'[2]7.0.6.5'!I43</f>
        <v>112.77531183355796</v>
      </c>
      <c r="H41" s="40">
        <f t="shared" si="10"/>
        <v>112.77531183355796</v>
      </c>
      <c r="I41" s="40"/>
      <c r="J41" s="40"/>
      <c r="K41" s="40">
        <f t="shared" si="9"/>
        <v>112.77531183355796</v>
      </c>
      <c r="L41" s="47"/>
    </row>
    <row r="42" spans="1:13" x14ac:dyDescent="0.2">
      <c r="A42" s="559">
        <f t="shared" si="4"/>
        <v>34</v>
      </c>
      <c r="B42" s="560" t="s">
        <v>84</v>
      </c>
      <c r="C42" s="40"/>
      <c r="D42" s="40"/>
      <c r="E42" s="40"/>
      <c r="F42" s="40"/>
      <c r="G42" s="40">
        <f>'[2]7.0.6.5'!I44</f>
        <v>0</v>
      </c>
      <c r="H42" s="40">
        <f t="shared" si="10"/>
        <v>0</v>
      </c>
      <c r="I42" s="40"/>
      <c r="J42" s="40"/>
      <c r="K42" s="40">
        <f t="shared" si="9"/>
        <v>0</v>
      </c>
      <c r="L42" s="47"/>
    </row>
    <row r="43" spans="1:13" x14ac:dyDescent="0.2">
      <c r="A43" s="559">
        <f t="shared" si="4"/>
        <v>35</v>
      </c>
      <c r="B43" s="560" t="s">
        <v>83</v>
      </c>
      <c r="C43" s="40"/>
      <c r="D43" s="40"/>
      <c r="E43" s="40"/>
      <c r="F43" s="40"/>
      <c r="G43" s="40">
        <f>'[2]7.0.6.5'!I45</f>
        <v>0</v>
      </c>
      <c r="H43" s="40">
        <f t="shared" si="10"/>
        <v>0</v>
      </c>
      <c r="I43" s="40"/>
      <c r="J43" s="40"/>
      <c r="K43" s="40">
        <f t="shared" si="9"/>
        <v>0</v>
      </c>
      <c r="L43" s="47"/>
    </row>
    <row r="44" spans="1:13" x14ac:dyDescent="0.2">
      <c r="A44" s="48">
        <f t="shared" si="4"/>
        <v>36</v>
      </c>
      <c r="B44" s="206" t="s">
        <v>204</v>
      </c>
      <c r="C44" s="40"/>
      <c r="D44" s="40"/>
      <c r="E44" s="40"/>
      <c r="F44" s="40"/>
      <c r="G44" s="40">
        <f>'[2]7.0.6.5'!I46</f>
        <v>7511.1469217867789</v>
      </c>
      <c r="H44" s="40">
        <f t="shared" si="10"/>
        <v>7511.1469217867789</v>
      </c>
      <c r="I44" s="40"/>
      <c r="J44" s="40"/>
      <c r="K44" s="40">
        <f t="shared" si="9"/>
        <v>7511.1469217867789</v>
      </c>
      <c r="L44" s="47"/>
    </row>
    <row r="45" spans="1:13" x14ac:dyDescent="0.2">
      <c r="A45" s="49">
        <f t="shared" si="4"/>
        <v>37</v>
      </c>
      <c r="B45" s="50" t="s">
        <v>206</v>
      </c>
      <c r="C45" s="40"/>
      <c r="D45" s="40"/>
      <c r="E45" s="40"/>
      <c r="F45" s="40"/>
      <c r="G45" s="40"/>
      <c r="H45" s="40">
        <f t="shared" si="10"/>
        <v>0</v>
      </c>
      <c r="I45" s="40"/>
      <c r="J45" s="40"/>
      <c r="K45" s="40">
        <f t="shared" si="9"/>
        <v>0</v>
      </c>
      <c r="L45" s="47"/>
      <c r="M45" s="47"/>
    </row>
    <row r="46" spans="1:13" x14ac:dyDescent="0.2">
      <c r="A46" s="559">
        <f t="shared" si="4"/>
        <v>38</v>
      </c>
      <c r="B46" s="560" t="s">
        <v>82</v>
      </c>
      <c r="C46" s="40"/>
      <c r="D46" s="40"/>
      <c r="E46" s="40"/>
      <c r="F46" s="40"/>
      <c r="G46" s="40">
        <f>'[2]7.0.6.5'!I48</f>
        <v>0</v>
      </c>
      <c r="H46" s="40">
        <f t="shared" si="10"/>
        <v>0</v>
      </c>
      <c r="I46" s="40"/>
      <c r="J46" s="40"/>
      <c r="K46" s="40">
        <f t="shared" si="9"/>
        <v>0</v>
      </c>
      <c r="L46" s="47"/>
    </row>
    <row r="47" spans="1:13" x14ac:dyDescent="0.2">
      <c r="A47" s="559">
        <f t="shared" si="4"/>
        <v>39</v>
      </c>
      <c r="B47" s="560" t="s">
        <v>85</v>
      </c>
      <c r="C47" s="40"/>
      <c r="D47" s="40"/>
      <c r="E47" s="40"/>
      <c r="F47" s="40"/>
      <c r="G47" s="40">
        <f>'[2]7.0.6.5'!I49</f>
        <v>0</v>
      </c>
      <c r="H47" s="40">
        <f t="shared" si="10"/>
        <v>0</v>
      </c>
      <c r="I47" s="40"/>
      <c r="J47" s="40"/>
      <c r="K47" s="40">
        <f t="shared" si="9"/>
        <v>0</v>
      </c>
      <c r="L47" s="47"/>
    </row>
    <row r="48" spans="1:13" x14ac:dyDescent="0.2">
      <c r="A48" s="559">
        <f t="shared" si="4"/>
        <v>40</v>
      </c>
      <c r="B48" s="555" t="s">
        <v>86</v>
      </c>
      <c r="C48" s="40"/>
      <c r="D48" s="40"/>
      <c r="E48" s="40"/>
      <c r="F48" s="40"/>
      <c r="G48" s="40">
        <f>'[2]7.0.6.5'!I50</f>
        <v>80820.173116149555</v>
      </c>
      <c r="H48" s="40">
        <f t="shared" si="10"/>
        <v>80820.173116149555</v>
      </c>
      <c r="I48" s="40"/>
      <c r="J48" s="40"/>
      <c r="K48" s="40">
        <f t="shared" si="9"/>
        <v>80820.173116149555</v>
      </c>
      <c r="L48" s="47"/>
    </row>
    <row r="49" spans="1:14" x14ac:dyDescent="0.2">
      <c r="A49" s="559"/>
      <c r="B49" s="556" t="s">
        <v>465</v>
      </c>
      <c r="C49" s="220">
        <f>'[2]7.0.6.5'!$D$59*SUM([3]CCCS_Matrix_FY25!$E$12:$E$14,[3]CCCS_Matrix_FY25!$E$41:$E$42,[3]CCCS_Matrix_FY25!$E$46,[3]CCCS_Matrix_FY25!$E$80)/SUM([3]CCCS_Matrix_FY25!$E$12:$E$14,[3]CCCS_Matrix_FY25!$E$41:$E$42,[3]CCCS_Matrix_FY25!$E$46,[3]CCCS_Matrix_FY25!$E$80,[3]CCCS_Matrix_FY25!$F$12:$F$14,[3]CCCS_Matrix_FY25!$F$41:$F$42,[3]CCCS_Matrix_FY25!$F$46,[3]CCCS_Matrix_FY25!$F$80)</f>
        <v>19.508183394238046</v>
      </c>
      <c r="D49" s="220">
        <f>'[2]7.0.6.5'!$D$59*SUM([3]CCCS_Matrix_FY25!$F$12:$F$14,[3]CCCS_Matrix_FY25!$F$41:$F$42,[3]CCCS_Matrix_FY25!$F$46,[3]CCCS_Matrix_FY25!$F$80)/SUM([3]CCCS_Matrix_FY25!$E$12:$E$14,[3]CCCS_Matrix_FY25!$E$41:$E$42,[3]CCCS_Matrix_FY25!$E$46,[3]CCCS_Matrix_FY25!$E$80,[3]CCCS_Matrix_FY25!$F$12:$F$14,[3]CCCS_Matrix_FY25!$F$41:$F$42,[3]CCCS_Matrix_FY25!$F$46,[3]CCCS_Matrix_FY25!$F$80)</f>
        <v>224.38141961155412</v>
      </c>
      <c r="E49" s="342">
        <f>'[2]7.0.6.5'!$E$59</f>
        <v>11.890827233930132</v>
      </c>
      <c r="F49" s="342">
        <f>'[2]7.0.6.5'!$F$59</f>
        <v>405569.32160290267</v>
      </c>
      <c r="G49" s="342">
        <f>'[2]7.0.6.5'!I59</f>
        <v>927333.49878259236</v>
      </c>
      <c r="H49" s="342">
        <f t="shared" si="10"/>
        <v>1333158.6008157348</v>
      </c>
      <c r="I49" s="342"/>
      <c r="J49" s="342">
        <f>'[2]7.0.6.5'!$H59</f>
        <v>28229.422621013353</v>
      </c>
      <c r="K49" s="342">
        <f t="shared" si="9"/>
        <v>1361388.0234367482</v>
      </c>
      <c r="L49" s="47"/>
    </row>
    <row r="50" spans="1:14" x14ac:dyDescent="0.2">
      <c r="A50" s="547">
        <f>A48+1</f>
        <v>41</v>
      </c>
      <c r="B50" s="549" t="s">
        <v>75</v>
      </c>
      <c r="C50" s="40">
        <f>'[2]7.0.6.5'!$D$60*SUM([3]CCCS_Matrix_FY25!$E$53:$E$61)/(SUM([3]CCCS_Matrix_FY25!$E$53:$E$61)+SUM([3]CCCS_Matrix_FY25!$F$53:$F$61))</f>
        <v>133.81850867249889</v>
      </c>
      <c r="D50" s="40">
        <f>'[2]7.0.6.5'!$D$60*SUM([3]CCCS_Matrix_FY25!$F$53:$F$61)/SUM([3]CCCS_Matrix_FY25!$E$53:$F$61)</f>
        <v>93.033819963172505</v>
      </c>
      <c r="E50" s="40">
        <f>'[2]7.0.6.5'!$E60</f>
        <v>679.17602605098796</v>
      </c>
      <c r="F50" s="40">
        <f>'[2]7.0.6.5'!$F60</f>
        <v>4470.4896456604001</v>
      </c>
      <c r="G50" s="40">
        <f>'[2]7.0.6.5'!I60</f>
        <v>13842.286837135898</v>
      </c>
      <c r="H50" s="40">
        <f t="shared" si="10"/>
        <v>19218.80483748296</v>
      </c>
      <c r="I50" s="40">
        <f>'[2]7.0.6.5'!$G60</f>
        <v>0</v>
      </c>
      <c r="J50" s="40">
        <f>'[2]7.0.6.5'!$H60</f>
        <v>111.43418023188659</v>
      </c>
      <c r="K50" s="40">
        <f t="shared" ref="K50:K52" si="11">SUM(H50:J50)</f>
        <v>19330.239017714845</v>
      </c>
      <c r="L50" s="47"/>
      <c r="M50" s="47"/>
    </row>
    <row r="51" spans="1:14" x14ac:dyDescent="0.2">
      <c r="A51" s="552">
        <f t="shared" si="4"/>
        <v>42</v>
      </c>
      <c r="B51" s="555" t="s">
        <v>76</v>
      </c>
      <c r="C51" s="619">
        <f>C50+C49+C36+C35+C34+C29+C25+C16</f>
        <v>79587.779891639802</v>
      </c>
      <c r="D51" s="619">
        <f>D50+D49+D36+D35+D34+D29+D25+D16</f>
        <v>121306.7662450007</v>
      </c>
      <c r="E51" s="41">
        <f>'[2]7.0.6.5'!$E61</f>
        <v>1134980.8664945965</v>
      </c>
      <c r="F51" s="41">
        <f>'[2]7.0.6.5'!$F61</f>
        <v>436982.29743590415</v>
      </c>
      <c r="G51" s="41">
        <f>'[2]7.0.6.5'!I61</f>
        <v>986707.05015008594</v>
      </c>
      <c r="H51" s="40">
        <f t="shared" si="10"/>
        <v>2759564.760217227</v>
      </c>
      <c r="I51" s="41">
        <f>'[2]7.0.6.5'!$G61</f>
        <v>177432.40936155838</v>
      </c>
      <c r="J51" s="41">
        <f>'[2]7.0.6.5'!$H61</f>
        <v>180365.17645844366</v>
      </c>
      <c r="K51" s="41">
        <f t="shared" si="11"/>
        <v>3117362.3460372291</v>
      </c>
      <c r="L51" s="47"/>
      <c r="M51" s="47"/>
    </row>
    <row r="52" spans="1:14" x14ac:dyDescent="0.2">
      <c r="A52" s="561">
        <f t="shared" si="4"/>
        <v>43</v>
      </c>
      <c r="B52" s="562" t="s">
        <v>61</v>
      </c>
      <c r="C52" s="620">
        <f>C51</f>
        <v>79587.779891639802</v>
      </c>
      <c r="D52" s="620">
        <f>D51</f>
        <v>121306.7662450007</v>
      </c>
      <c r="E52" s="342">
        <f>'[2]7.0.6.5'!$E62</f>
        <v>1134980.8664945965</v>
      </c>
      <c r="F52" s="342">
        <f>'[2]7.0.6.5'!$F62</f>
        <v>436982.2974359041</v>
      </c>
      <c r="G52" s="342">
        <f>'[2]7.0.6.5'!I62</f>
        <v>1067527.2232662356</v>
      </c>
      <c r="H52" s="342">
        <f t="shared" si="10"/>
        <v>2840384.9333333764</v>
      </c>
      <c r="I52" s="342">
        <f>'[2]7.0.6.5'!$G62</f>
        <v>177432.40936155838</v>
      </c>
      <c r="J52" s="342">
        <f>'[2]7.0.6.5'!$H62</f>
        <v>180365.17645844363</v>
      </c>
      <c r="K52" s="342">
        <f t="shared" si="11"/>
        <v>3198182.5191533784</v>
      </c>
      <c r="L52" s="47"/>
      <c r="M52" s="47"/>
    </row>
    <row r="53" spans="1:14" x14ac:dyDescent="0.2">
      <c r="B53" s="563"/>
      <c r="C53" s="463"/>
      <c r="D53" s="463"/>
      <c r="E53" s="463"/>
      <c r="F53" s="463"/>
      <c r="G53" s="463"/>
      <c r="H53" s="463"/>
      <c r="I53" s="463"/>
      <c r="J53" s="463"/>
    </row>
    <row r="54" spans="1:14" x14ac:dyDescent="0.2">
      <c r="A54" s="564"/>
      <c r="B54" s="45"/>
    </row>
    <row r="55" spans="1:14" x14ac:dyDescent="0.2">
      <c r="A55" s="344">
        <f>A52+1</f>
        <v>44</v>
      </c>
      <c r="B55" s="350" t="s">
        <v>349</v>
      </c>
      <c r="C55" s="565">
        <f>'[2]7.0.6.5'!D19</f>
        <v>13958.313884982421</v>
      </c>
      <c r="D55" s="565">
        <f>'[2]7.0.6.5'!$D$20-'City DAL Costs'!D12</f>
        <v>34712.049912361443</v>
      </c>
      <c r="E55" s="565">
        <f>'[2]7.0.6.5'!$E$19</f>
        <v>72686.248920020706</v>
      </c>
      <c r="F55" s="565"/>
      <c r="G55" s="565"/>
      <c r="H55" s="565"/>
      <c r="I55" s="565">
        <f>'[2]7.0.6.5'!$G$19</f>
        <v>10950.604923081632</v>
      </c>
      <c r="J55" s="565"/>
      <c r="K55" s="125"/>
    </row>
    <row r="56" spans="1:14" x14ac:dyDescent="0.2">
      <c r="A56" s="83">
        <f>A55+1</f>
        <v>45</v>
      </c>
      <c r="B56" s="150" t="s">
        <v>251</v>
      </c>
      <c r="C56" s="40">
        <f t="shared" ref="C56:J56" si="12">C18</f>
        <v>13432.395854231299</v>
      </c>
      <c r="D56" s="302"/>
      <c r="E56" s="40">
        <f t="shared" ref="E56" si="13">E18</f>
        <v>71929.886132348882</v>
      </c>
      <c r="F56" s="40">
        <f t="shared" si="12"/>
        <v>0</v>
      </c>
      <c r="G56" s="40"/>
      <c r="H56" s="40">
        <f t="shared" si="12"/>
        <v>85362.281986580187</v>
      </c>
      <c r="I56" s="40">
        <f t="shared" si="12"/>
        <v>9476.8981174239179</v>
      </c>
      <c r="J56" s="40">
        <f t="shared" si="12"/>
        <v>0</v>
      </c>
      <c r="K56" s="239">
        <f>K18</f>
        <v>94839.180104004103</v>
      </c>
      <c r="M56" s="47"/>
    </row>
    <row r="57" spans="1:14" x14ac:dyDescent="0.2">
      <c r="A57" s="83">
        <f>A56+1</f>
        <v>46</v>
      </c>
      <c r="B57" s="351" t="s">
        <v>242</v>
      </c>
      <c r="C57" s="40">
        <f>(C55*'7.0.8'!F35/'7.0.8'!F34)-'City DAL Costs'!L10</f>
        <v>6877.4550341339555</v>
      </c>
      <c r="D57" s="40"/>
      <c r="E57" s="358">
        <f>E55*'7.0.8'!H35/'7.0.8'!H34-'City DAL Costs'!L11</f>
        <v>42354.224588809455</v>
      </c>
      <c r="F57" s="40"/>
      <c r="G57" s="40"/>
      <c r="H57" s="40">
        <f>SUM(C57:F57)</f>
        <v>49231.679622943411</v>
      </c>
      <c r="I57" s="40">
        <f>I55*'7.0.8'!J35/'7.0.8'!J34-'City DAL Costs'!L15</f>
        <v>1893.2169202452474</v>
      </c>
      <c r="J57" s="40"/>
      <c r="K57" s="239">
        <f>SUM(H57:J57)</f>
        <v>51124.896543188661</v>
      </c>
    </row>
    <row r="58" spans="1:14" x14ac:dyDescent="0.2">
      <c r="A58" s="83">
        <f>A57+1</f>
        <v>47</v>
      </c>
      <c r="B58" s="351" t="s">
        <v>248</v>
      </c>
      <c r="C58" s="40">
        <f>(C55*'7.0.8'!E36/'7.0.8'!E34)-'City DAL Costs'!J10</f>
        <v>6554.9408200973439</v>
      </c>
      <c r="D58" s="40"/>
      <c r="E58" s="358">
        <f>(E55*'7.0.8'!H36/'7.0.8'!H34)-'City DAL Costs'!J11</f>
        <v>29575.661543539423</v>
      </c>
      <c r="F58" s="40"/>
      <c r="G58" s="40"/>
      <c r="H58" s="40">
        <f>SUM(C58:F58)</f>
        <v>36130.602363636768</v>
      </c>
      <c r="I58" s="40">
        <f>I55*'7.0.8'!J36/'7.0.8'!J34-'City DAL Costs'!J15</f>
        <v>7583.6811971786701</v>
      </c>
      <c r="J58" s="40"/>
      <c r="K58" s="239">
        <f>SUM(H58:J58)</f>
        <v>43714.283560815442</v>
      </c>
      <c r="M58" s="47"/>
    </row>
    <row r="59" spans="1:14" x14ac:dyDescent="0.2">
      <c r="A59" s="83">
        <f>A57+1</f>
        <v>47</v>
      </c>
      <c r="B59" s="150" t="s">
        <v>252</v>
      </c>
      <c r="C59" s="40">
        <f t="shared" ref="C59:J59" si="14">C19</f>
        <v>0</v>
      </c>
      <c r="D59" s="40">
        <f t="shared" si="14"/>
        <v>35237.96794311257</v>
      </c>
      <c r="E59" s="40">
        <f t="shared" si="14"/>
        <v>756.36278767182137</v>
      </c>
      <c r="F59" s="40">
        <f t="shared" si="14"/>
        <v>0</v>
      </c>
      <c r="G59" s="40"/>
      <c r="H59" s="40">
        <f t="shared" si="14"/>
        <v>35994.330730784393</v>
      </c>
      <c r="I59" s="40">
        <f>'[2]7.0.6.5'!$G$20-'City DAL Costs'!D21+'City DAL Costs'!M15</f>
        <v>156909.65541271406</v>
      </c>
      <c r="J59" s="40">
        <f t="shared" si="14"/>
        <v>0</v>
      </c>
      <c r="K59" s="239">
        <f>K19</f>
        <v>192903.98614349845</v>
      </c>
    </row>
    <row r="60" spans="1:14" x14ac:dyDescent="0.2">
      <c r="A60" s="83">
        <f>A59+1</f>
        <v>48</v>
      </c>
      <c r="B60" s="351" t="s">
        <v>243</v>
      </c>
      <c r="C60" s="40"/>
      <c r="D60" s="358">
        <f>D55*'7.0.8'!G38/'7.0.8'!G37+'City DAL Costs'!L10</f>
        <v>13890.790698488207</v>
      </c>
      <c r="E60" s="40">
        <f>'City DAL Costs'!L11</f>
        <v>31.934806056019241</v>
      </c>
      <c r="F60" s="40">
        <v>0</v>
      </c>
      <c r="G60" s="40"/>
      <c r="H60" s="40">
        <f>SUM(C60:F60)</f>
        <v>13922.725504544225</v>
      </c>
      <c r="I60" s="40">
        <f>(I59-'City DAL Costs'!M15)*'7.0.8'!J38/'7.0.8'!J37+'City DAL Costs'!L15</f>
        <v>4583.5530117261605</v>
      </c>
      <c r="J60" s="40"/>
      <c r="K60" s="239">
        <f>SUM(H60:J60)</f>
        <v>18506.278516270388</v>
      </c>
      <c r="M60" s="47"/>
      <c r="N60" s="47"/>
    </row>
    <row r="61" spans="1:14" x14ac:dyDescent="0.2">
      <c r="A61" s="83">
        <f>A60+1</f>
        <v>49</v>
      </c>
      <c r="B61" s="351" t="s">
        <v>249</v>
      </c>
      <c r="C61" s="40"/>
      <c r="D61" s="358">
        <f>D55*'7.0.8'!G39/'7.0.8'!G37+'City DAL Costs'!J10</f>
        <v>21347.177244624352</v>
      </c>
      <c r="E61" s="40">
        <f>'City DAL Costs'!J11</f>
        <v>724.42798161580208</v>
      </c>
      <c r="F61" s="40">
        <f>IF('7.0.8'!$I$37&lt;&gt;0,$F59*'7.0.8'!$I$41/'7.0.8'!$I$37,0)</f>
        <v>0</v>
      </c>
      <c r="G61" s="40"/>
      <c r="H61" s="40">
        <f>SUM(C61:F61)</f>
        <v>22071.605226240154</v>
      </c>
      <c r="I61" s="40">
        <f>(I59-'City DAL Costs'!M15)*'7.0.8'!J39/'7.0.8'!J37+'City DAL Costs'!J15</f>
        <v>152326.1024009879</v>
      </c>
      <c r="J61" s="40"/>
      <c r="K61" s="239">
        <f>SUM(H61:J61)</f>
        <v>174397.70762722805</v>
      </c>
      <c r="M61" s="47"/>
    </row>
    <row r="62" spans="1:14" x14ac:dyDescent="0.2">
      <c r="A62" s="83">
        <f>A61+1</f>
        <v>50</v>
      </c>
      <c r="B62" s="351" t="s">
        <v>244</v>
      </c>
      <c r="C62" s="40"/>
      <c r="D62" s="40"/>
      <c r="E62" s="40"/>
      <c r="F62" s="40">
        <f>IF('7.0.8'!I37&lt;&gt;0,F$59*'7.0.8'!I40/'7.0.8'!I$37,0)</f>
        <v>0</v>
      </c>
      <c r="G62" s="40"/>
      <c r="H62" s="40">
        <f>SUM(C62:F62)</f>
        <v>0</v>
      </c>
      <c r="I62" s="40"/>
      <c r="J62" s="40"/>
      <c r="K62" s="239">
        <f>SUM(H62:J62)</f>
        <v>0</v>
      </c>
    </row>
    <row r="63" spans="1:14" x14ac:dyDescent="0.2">
      <c r="A63" s="83">
        <f>A62+1</f>
        <v>51</v>
      </c>
      <c r="B63" s="352" t="s">
        <v>250</v>
      </c>
      <c r="C63" s="41"/>
      <c r="D63" s="41"/>
      <c r="E63" s="41"/>
      <c r="F63" s="41"/>
      <c r="G63" s="41"/>
      <c r="H63" s="41">
        <f>SUM(C63:F63)</f>
        <v>0</v>
      </c>
      <c r="I63" s="41"/>
      <c r="J63" s="41"/>
      <c r="K63" s="566">
        <f>SUM(H63:J63)</f>
        <v>0</v>
      </c>
    </row>
    <row r="64" spans="1:14" x14ac:dyDescent="0.2">
      <c r="B64" s="512" t="s">
        <v>581</v>
      </c>
      <c r="C64" s="40">
        <f>SUM(C60:C63)</f>
        <v>0</v>
      </c>
      <c r="D64" s="40">
        <f t="shared" ref="D64:K64" si="15">SUM(D60:D63)</f>
        <v>35237.967943112555</v>
      </c>
      <c r="E64" s="40">
        <f t="shared" si="15"/>
        <v>756.36278767182137</v>
      </c>
      <c r="F64" s="40">
        <f t="shared" si="15"/>
        <v>0</v>
      </c>
      <c r="G64" s="40">
        <f t="shared" si="15"/>
        <v>0</v>
      </c>
      <c r="H64" s="40">
        <f t="shared" si="15"/>
        <v>35994.330730784379</v>
      </c>
      <c r="I64" s="40">
        <f t="shared" si="15"/>
        <v>156909.65541271406</v>
      </c>
      <c r="J64" s="40">
        <f t="shared" si="15"/>
        <v>0</v>
      </c>
      <c r="K64" s="40">
        <f t="shared" si="15"/>
        <v>192903.98614349845</v>
      </c>
    </row>
    <row r="65" spans="2:12" x14ac:dyDescent="0.2">
      <c r="B65" s="511" t="s">
        <v>580</v>
      </c>
      <c r="C65" s="403">
        <f>SUM(C57:C58)</f>
        <v>13432.395854231299</v>
      </c>
      <c r="D65" s="403">
        <f t="shared" ref="D65:K65" si="16">SUM(D57:D58)</f>
        <v>0</v>
      </c>
      <c r="E65" s="403">
        <f t="shared" si="16"/>
        <v>71929.886132348882</v>
      </c>
      <c r="F65" s="403">
        <f t="shared" si="16"/>
        <v>0</v>
      </c>
      <c r="G65" s="403">
        <f t="shared" si="16"/>
        <v>0</v>
      </c>
      <c r="H65" s="403">
        <f t="shared" si="16"/>
        <v>85362.281986580172</v>
      </c>
      <c r="I65" s="403">
        <f t="shared" si="16"/>
        <v>9476.8981174239179</v>
      </c>
      <c r="J65" s="403">
        <f t="shared" si="16"/>
        <v>0</v>
      </c>
      <c r="K65" s="403">
        <f t="shared" si="16"/>
        <v>94839.180104004103</v>
      </c>
      <c r="L65" s="40"/>
    </row>
    <row r="66" spans="2:12" x14ac:dyDescent="0.2">
      <c r="B66" s="333" t="s">
        <v>578</v>
      </c>
      <c r="C66" s="47">
        <f>+C56-C65</f>
        <v>0</v>
      </c>
      <c r="D66" s="47">
        <f t="shared" ref="D66:K66" si="17">+D56-D65</f>
        <v>0</v>
      </c>
      <c r="E66" s="47">
        <f t="shared" si="17"/>
        <v>0</v>
      </c>
      <c r="F66" s="47">
        <f t="shared" si="17"/>
        <v>0</v>
      </c>
      <c r="G66" s="47">
        <f t="shared" si="17"/>
        <v>0</v>
      </c>
      <c r="H66" s="47">
        <f t="shared" si="17"/>
        <v>0</v>
      </c>
      <c r="I66" s="47">
        <f t="shared" si="17"/>
        <v>0</v>
      </c>
      <c r="J66" s="47">
        <f t="shared" si="17"/>
        <v>0</v>
      </c>
      <c r="K66" s="47">
        <f t="shared" si="17"/>
        <v>0</v>
      </c>
    </row>
    <row r="67" spans="2:12" x14ac:dyDescent="0.2">
      <c r="B67" s="333" t="s">
        <v>579</v>
      </c>
      <c r="C67" s="47">
        <f>C59-C64</f>
        <v>0</v>
      </c>
      <c r="D67" s="47">
        <f t="shared" ref="D67:K67" si="18">D59-D64</f>
        <v>0</v>
      </c>
      <c r="E67" s="47">
        <f t="shared" si="18"/>
        <v>0</v>
      </c>
      <c r="F67" s="47">
        <f t="shared" si="18"/>
        <v>0</v>
      </c>
      <c r="G67" s="47">
        <f t="shared" si="18"/>
        <v>0</v>
      </c>
      <c r="H67" s="47">
        <f t="shared" si="18"/>
        <v>0</v>
      </c>
      <c r="I67" s="47">
        <f t="shared" si="18"/>
        <v>0</v>
      </c>
      <c r="J67" s="47">
        <f t="shared" si="18"/>
        <v>0</v>
      </c>
      <c r="K67" s="47">
        <f t="shared" si="18"/>
        <v>0</v>
      </c>
    </row>
    <row r="68" spans="2:12" ht="12.75" x14ac:dyDescent="0.2">
      <c r="B68"/>
    </row>
  </sheetData>
  <phoneticPr fontId="11" type="noConversion"/>
  <pageMargins left="0.5" right="0.5" top="1" bottom="0.5" header="0.75" footer="0.25"/>
  <pageSetup scale="90" orientation="landscape" horizontalDpi="300" r:id="rId1"/>
  <headerFooter alignWithMargins="0">
    <oddHeader>&amp;RUSPS-FY09-19</oddHeader>
  </headerFooter>
  <ignoredErrors>
    <ignoredError sqref="C7:K7" numberStoredAsText="1"/>
    <ignoredError sqref="H59 J59:K59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2D050"/>
  </sheetPr>
  <dimension ref="A1:O24"/>
  <sheetViews>
    <sheetView zoomScaleNormal="100" workbookViewId="0">
      <selection activeCell="L10" sqref="L10"/>
    </sheetView>
  </sheetViews>
  <sheetFormatPr defaultColWidth="9.140625" defaultRowHeight="12.75" x14ac:dyDescent="0.2"/>
  <cols>
    <col min="2" max="2" width="38.5703125" customWidth="1"/>
    <col min="8" max="10" width="10.5703125" customWidth="1"/>
    <col min="11" max="11" width="10" customWidth="1"/>
    <col min="12" max="12" width="11" customWidth="1"/>
    <col min="13" max="13" width="10" customWidth="1"/>
    <col min="14" max="14" width="11.42578125" customWidth="1"/>
  </cols>
  <sheetData>
    <row r="1" spans="1:15" x14ac:dyDescent="0.2">
      <c r="A1" s="176" t="str">
        <f>'7.0.6'!A1</f>
        <v>Unit Delivery Cost Model -  12/16/2025</v>
      </c>
    </row>
    <row r="2" spans="1:15" x14ac:dyDescent="0.2">
      <c r="A2" s="567" t="s">
        <v>210</v>
      </c>
    </row>
    <row r="3" spans="1:15" x14ac:dyDescent="0.2">
      <c r="A3" s="568" t="s">
        <v>331</v>
      </c>
      <c r="K3" s="248"/>
    </row>
    <row r="5" spans="1:15" ht="56.25" x14ac:dyDescent="0.2">
      <c r="A5" s="53" t="s">
        <v>8</v>
      </c>
      <c r="B5" s="52" t="s">
        <v>214</v>
      </c>
      <c r="C5" s="53" t="s">
        <v>215</v>
      </c>
      <c r="D5" s="53" t="s">
        <v>296</v>
      </c>
      <c r="E5" s="53" t="s">
        <v>297</v>
      </c>
      <c r="F5" s="52" t="s">
        <v>216</v>
      </c>
      <c r="G5" s="53" t="s">
        <v>217</v>
      </c>
      <c r="H5" s="53" t="s">
        <v>298</v>
      </c>
      <c r="I5" s="53" t="s">
        <v>268</v>
      </c>
      <c r="J5" s="53" t="s">
        <v>272</v>
      </c>
      <c r="K5" s="53" t="s">
        <v>270</v>
      </c>
      <c r="L5" s="53" t="s">
        <v>271</v>
      </c>
      <c r="M5" s="52" t="s">
        <v>225</v>
      </c>
      <c r="N5" s="52" t="s">
        <v>330</v>
      </c>
    </row>
    <row r="6" spans="1:15" x14ac:dyDescent="0.2">
      <c r="A6" s="224"/>
      <c r="B6" s="569" t="s">
        <v>2</v>
      </c>
      <c r="C6" s="517">
        <v>-1</v>
      </c>
      <c r="D6" s="517">
        <f>+C6-1</f>
        <v>-2</v>
      </c>
      <c r="E6" s="517">
        <f t="shared" ref="E6:N6" si="0">+D6-1</f>
        <v>-3</v>
      </c>
      <c r="F6" s="517">
        <f t="shared" si="0"/>
        <v>-4</v>
      </c>
      <c r="G6" s="517">
        <f t="shared" si="0"/>
        <v>-5</v>
      </c>
      <c r="H6" s="517">
        <f t="shared" si="0"/>
        <v>-6</v>
      </c>
      <c r="I6" s="517">
        <f t="shared" si="0"/>
        <v>-7</v>
      </c>
      <c r="J6" s="517">
        <f t="shared" si="0"/>
        <v>-8</v>
      </c>
      <c r="K6" s="517">
        <f t="shared" si="0"/>
        <v>-9</v>
      </c>
      <c r="L6" s="517">
        <f t="shared" si="0"/>
        <v>-10</v>
      </c>
      <c r="M6" s="517">
        <f t="shared" si="0"/>
        <v>-11</v>
      </c>
      <c r="N6" s="517">
        <f t="shared" si="0"/>
        <v>-12</v>
      </c>
    </row>
    <row r="7" spans="1:15" x14ac:dyDescent="0.2">
      <c r="A7" s="225"/>
      <c r="B7" s="570" t="s">
        <v>3</v>
      </c>
      <c r="C7" s="571"/>
      <c r="D7" s="571"/>
      <c r="E7" s="571"/>
      <c r="F7" s="571"/>
      <c r="G7" s="572" t="str">
        <f>"C"&amp;-C6&amp;" / C"&amp;-F6</f>
        <v>C1 / C4</v>
      </c>
      <c r="H7" s="103"/>
      <c r="I7" s="571"/>
      <c r="J7" s="571"/>
      <c r="K7" s="571"/>
      <c r="L7" s="572" t="str">
        <f>"C"&amp;-K6&amp;" x C"&amp;-G6</f>
        <v>C9 x C5</v>
      </c>
      <c r="M7" s="572" t="str">
        <f>"C"&amp;-J6&amp;" + C"&amp;-L6</f>
        <v>C8 + C10</v>
      </c>
      <c r="N7" s="572"/>
    </row>
    <row r="8" spans="1:15" x14ac:dyDescent="0.2">
      <c r="A8" s="225"/>
      <c r="B8" s="573" t="s">
        <v>4</v>
      </c>
      <c r="C8" s="48"/>
      <c r="D8" s="48"/>
      <c r="E8" s="48"/>
      <c r="F8" s="523"/>
      <c r="G8" s="523"/>
      <c r="H8" s="523"/>
      <c r="I8" s="523"/>
      <c r="J8" s="523"/>
      <c r="K8" s="523"/>
      <c r="L8" s="523"/>
      <c r="M8" s="523"/>
      <c r="N8" s="523"/>
    </row>
    <row r="9" spans="1:15" x14ac:dyDescent="0.2">
      <c r="A9" s="226"/>
      <c r="B9" s="574" t="s">
        <v>6</v>
      </c>
      <c r="C9" s="38" t="s">
        <v>397</v>
      </c>
      <c r="D9" s="38" t="s">
        <v>132</v>
      </c>
      <c r="E9" s="38"/>
      <c r="F9" s="38" t="s">
        <v>132</v>
      </c>
      <c r="G9" s="38"/>
      <c r="H9" s="523" t="s">
        <v>174</v>
      </c>
      <c r="I9" s="49" t="s">
        <v>174</v>
      </c>
      <c r="J9" s="67"/>
      <c r="K9" s="49" t="s">
        <v>174</v>
      </c>
      <c r="L9" s="38"/>
      <c r="M9" s="38"/>
      <c r="N9" s="38"/>
    </row>
    <row r="10" spans="1:15" x14ac:dyDescent="0.2">
      <c r="A10" s="21">
        <v>1</v>
      </c>
      <c r="B10" s="87" t="s">
        <v>319</v>
      </c>
      <c r="C10" s="120">
        <f>'[2]7.0.6.5'!D19</f>
        <v>13958.313884982421</v>
      </c>
      <c r="D10" s="120"/>
      <c r="E10" s="120"/>
      <c r="F10" s="120">
        <f>'7.0.8'!E18</f>
        <v>768413.85204771836</v>
      </c>
      <c r="G10" s="227">
        <f>C10/F10</f>
        <v>1.8165099246695533E-2</v>
      </c>
      <c r="H10" s="120">
        <f>CCSDALs!E12</f>
        <v>28946.592016252343</v>
      </c>
      <c r="I10" s="120"/>
      <c r="J10" s="120">
        <f>H10*G10</f>
        <v>525.81771682882834</v>
      </c>
      <c r="K10" s="120">
        <f>CCSDALs!F12</f>
        <v>5.5223437499999992</v>
      </c>
      <c r="L10" s="120">
        <f>K10*G10</f>
        <v>0.10031392229311877</v>
      </c>
      <c r="M10" s="120">
        <f>J10+L10</f>
        <v>525.91803075112148</v>
      </c>
      <c r="N10" s="120">
        <f>C10-M10</f>
        <v>13432.395854231299</v>
      </c>
      <c r="O10" s="147"/>
    </row>
    <row r="11" spans="1:15" x14ac:dyDescent="0.2">
      <c r="A11" s="22">
        <f>A10+1</f>
        <v>2</v>
      </c>
      <c r="B11" s="114" t="s">
        <v>320</v>
      </c>
      <c r="C11" s="40">
        <f>'[2]7.0.6.5'!E19</f>
        <v>72686.248920020706</v>
      </c>
      <c r="D11" s="40"/>
      <c r="E11" s="40"/>
      <c r="F11" s="40">
        <f>'7.0.8'!H18</f>
        <v>2817704.9918065476</v>
      </c>
      <c r="G11" s="227">
        <f>C11/F11</f>
        <v>2.5796259413736047E-2</v>
      </c>
      <c r="H11" s="40">
        <f>CCSDALs!E7</f>
        <v>28082.675476199354</v>
      </c>
      <c r="I11" s="40"/>
      <c r="J11" s="40">
        <f>H11*G11</f>
        <v>724.42798161580208</v>
      </c>
      <c r="K11" s="40">
        <f>CCSDALs!F7</f>
        <v>1237.962665199999</v>
      </c>
      <c r="L11" s="40">
        <f>K11*G11</f>
        <v>31.934806056019241</v>
      </c>
      <c r="M11" s="40">
        <f>J11+L11</f>
        <v>756.36278767182137</v>
      </c>
      <c r="N11" s="40">
        <f>C11-M11</f>
        <v>71929.886132348882</v>
      </c>
    </row>
    <row r="12" spans="1:15" x14ac:dyDescent="0.2">
      <c r="A12" s="22">
        <f t="shared" ref="A12:A21" si="1">A11+1</f>
        <v>3</v>
      </c>
      <c r="B12" s="114" t="s">
        <v>321</v>
      </c>
      <c r="C12" s="40">
        <f>'[2]7.0.6.5'!D20</f>
        <v>37178.817107344847</v>
      </c>
      <c r="D12" s="40">
        <f>D19</f>
        <v>2466.7671949834066</v>
      </c>
      <c r="E12" s="40"/>
      <c r="F12" s="40"/>
      <c r="G12" s="229"/>
      <c r="H12" s="40"/>
      <c r="I12" s="40"/>
      <c r="J12" s="40"/>
      <c r="K12" s="40"/>
      <c r="L12" s="40"/>
      <c r="M12" s="40"/>
      <c r="N12" s="40">
        <f>C12-D12+M10</f>
        <v>35237.967943112562</v>
      </c>
    </row>
    <row r="13" spans="1:15" x14ac:dyDescent="0.2">
      <c r="A13" s="22">
        <f t="shared" si="1"/>
        <v>4</v>
      </c>
      <c r="B13" s="114" t="s">
        <v>294</v>
      </c>
      <c r="C13" s="40">
        <f>'[2]7.0.6.5'!F20</f>
        <v>0</v>
      </c>
      <c r="D13" s="40">
        <f>D20</f>
        <v>0</v>
      </c>
      <c r="E13" s="40"/>
      <c r="F13" s="40"/>
      <c r="G13" s="229"/>
      <c r="H13" s="40"/>
      <c r="I13" s="40"/>
      <c r="J13" s="40"/>
      <c r="K13" s="40"/>
      <c r="L13" s="40"/>
      <c r="M13" s="40"/>
      <c r="N13" s="40"/>
    </row>
    <row r="14" spans="1:15" x14ac:dyDescent="0.2">
      <c r="A14" s="22">
        <f t="shared" si="1"/>
        <v>5</v>
      </c>
      <c r="B14" s="84" t="s">
        <v>322</v>
      </c>
      <c r="C14" s="41">
        <f>C12+C13</f>
        <v>37178.817107344847</v>
      </c>
      <c r="D14" s="41"/>
      <c r="E14" s="41">
        <f>C14-D19-D20</f>
        <v>34712.049912361443</v>
      </c>
      <c r="F14" s="41"/>
      <c r="G14" s="228"/>
      <c r="H14" s="41"/>
      <c r="I14" s="41"/>
      <c r="J14" s="41"/>
      <c r="K14" s="41"/>
      <c r="L14" s="41"/>
      <c r="M14" s="41"/>
      <c r="N14" s="41">
        <f>E14+M10+M11</f>
        <v>35994.330730784386</v>
      </c>
    </row>
    <row r="15" spans="1:15" x14ac:dyDescent="0.2">
      <c r="A15" s="22">
        <f t="shared" si="1"/>
        <v>6</v>
      </c>
      <c r="B15" s="114" t="s">
        <v>323</v>
      </c>
      <c r="C15" s="40">
        <f>'[2]7.0.6.5'!G19</f>
        <v>10950.604923081632</v>
      </c>
      <c r="D15" s="40"/>
      <c r="E15" s="40"/>
      <c r="F15" s="40">
        <f>'7.0.8'!J18</f>
        <v>202943.25261544576</v>
      </c>
      <c r="G15" s="229">
        <f>C15/F15</f>
        <v>5.3958950504414037E-2</v>
      </c>
      <c r="H15" s="40"/>
      <c r="I15" s="40">
        <f>CCSDALs!E11</f>
        <v>27311.628411622991</v>
      </c>
      <c r="J15" s="40">
        <f>I15*G15</f>
        <v>1473.7068056577132</v>
      </c>
      <c r="K15" s="40">
        <f>CCSDALs!F11</f>
        <v>0</v>
      </c>
      <c r="L15" s="40">
        <f>K15*G15</f>
        <v>0</v>
      </c>
      <c r="M15" s="120">
        <f>J15+L15</f>
        <v>1473.7068056577132</v>
      </c>
      <c r="N15" s="120">
        <f>C15-M15</f>
        <v>9476.8981174239179</v>
      </c>
    </row>
    <row r="16" spans="1:15" x14ac:dyDescent="0.2">
      <c r="A16" s="22">
        <f t="shared" si="1"/>
        <v>7</v>
      </c>
      <c r="B16" s="84" t="s">
        <v>324</v>
      </c>
      <c r="C16" s="41">
        <f>'[2]7.0.6.5'!G20</f>
        <v>166481.80443847674</v>
      </c>
      <c r="D16" s="41"/>
      <c r="E16" s="41">
        <f>C16-D21</f>
        <v>155435.94860705634</v>
      </c>
      <c r="F16" s="41">
        <f>'7.0.8'!J19</f>
        <v>3085341.780783115</v>
      </c>
      <c r="G16" s="228">
        <f>C16/F16</f>
        <v>5.395895050441403E-2</v>
      </c>
      <c r="H16" s="41"/>
      <c r="I16" s="41"/>
      <c r="J16" s="41">
        <f>(H10+H11+I15)*G16</f>
        <v>4550.9462275859023</v>
      </c>
      <c r="K16" s="41"/>
      <c r="L16" s="41">
        <f>(K10+K11)*G16</f>
        <v>67.097146050913835</v>
      </c>
      <c r="M16" s="41"/>
      <c r="N16" s="41">
        <f>E16+M15</f>
        <v>156909.65541271406</v>
      </c>
    </row>
    <row r="17" spans="1:14" x14ac:dyDescent="0.2">
      <c r="A17" s="22">
        <f t="shared" si="1"/>
        <v>8</v>
      </c>
      <c r="B17" s="575" t="s">
        <v>325</v>
      </c>
      <c r="C17" s="40"/>
      <c r="D17" s="40"/>
      <c r="E17" s="40"/>
      <c r="F17" s="40"/>
      <c r="G17" s="229"/>
      <c r="H17" s="40"/>
      <c r="I17" s="40"/>
      <c r="J17" s="40"/>
      <c r="K17" s="40"/>
      <c r="L17" s="302"/>
      <c r="M17" s="40"/>
      <c r="N17" s="565">
        <f>N10+N15+N11</f>
        <v>94839.180104004103</v>
      </c>
    </row>
    <row r="18" spans="1:14" x14ac:dyDescent="0.2">
      <c r="A18" s="22">
        <f t="shared" si="1"/>
        <v>9</v>
      </c>
      <c r="B18" s="84" t="s">
        <v>326</v>
      </c>
      <c r="C18" s="41"/>
      <c r="D18" s="41"/>
      <c r="E18" s="41"/>
      <c r="F18" s="41"/>
      <c r="G18" s="228"/>
      <c r="H18" s="41"/>
      <c r="I18" s="41"/>
      <c r="J18" s="41"/>
      <c r="K18" s="41"/>
      <c r="L18" s="310"/>
      <c r="M18" s="41"/>
      <c r="N18" s="566">
        <f>N14+N16</f>
        <v>192903.98614349845</v>
      </c>
    </row>
    <row r="19" spans="1:14" x14ac:dyDescent="0.2">
      <c r="A19" s="22">
        <f t="shared" si="1"/>
        <v>10</v>
      </c>
      <c r="B19" s="575" t="s">
        <v>327</v>
      </c>
      <c r="C19" s="40"/>
      <c r="D19" s="40">
        <f>C12*'7.0.8'!C20/('7.0.8'!C19+'7.0.8'!C20)</f>
        <v>2466.7671949834066</v>
      </c>
      <c r="E19" s="40"/>
      <c r="F19" s="40"/>
      <c r="G19" s="229"/>
      <c r="H19" s="40"/>
      <c r="I19" s="40"/>
      <c r="J19" s="40"/>
      <c r="K19" s="40"/>
      <c r="L19" s="302"/>
      <c r="M19" s="40"/>
      <c r="N19" s="120">
        <f>D19</f>
        <v>2466.7671949834066</v>
      </c>
    </row>
    <row r="20" spans="1:14" x14ac:dyDescent="0.2">
      <c r="A20" s="22">
        <f t="shared" si="1"/>
        <v>11</v>
      </c>
      <c r="B20" s="86" t="s">
        <v>427</v>
      </c>
      <c r="C20" s="40"/>
      <c r="D20" s="40">
        <f>C13*'7.0.8'!C20/('7.0.8'!C20+'7.0.8'!C19)</f>
        <v>0</v>
      </c>
      <c r="E20" s="40"/>
      <c r="F20" s="40"/>
      <c r="G20" s="229"/>
      <c r="H20" s="40"/>
      <c r="I20" s="40"/>
      <c r="J20" s="40"/>
      <c r="K20" s="40"/>
      <c r="M20" s="40"/>
      <c r="N20" s="40">
        <f>D20</f>
        <v>0</v>
      </c>
    </row>
    <row r="21" spans="1:14" x14ac:dyDescent="0.2">
      <c r="A21" s="58">
        <f t="shared" si="1"/>
        <v>12</v>
      </c>
      <c r="B21" s="84" t="s">
        <v>295</v>
      </c>
      <c r="C21" s="41"/>
      <c r="D21" s="41">
        <f>C16*'7.0.8'!C20/('7.0.8'!C19+'7.0.8'!C20)</f>
        <v>11045.855831420393</v>
      </c>
      <c r="E21" s="41"/>
      <c r="F21" s="41"/>
      <c r="G21" s="228"/>
      <c r="H21" s="41"/>
      <c r="I21" s="41"/>
      <c r="J21" s="41"/>
      <c r="K21" s="41"/>
      <c r="L21" s="41"/>
      <c r="M21" s="41"/>
      <c r="N21" s="41">
        <f>D21</f>
        <v>11045.855831420393</v>
      </c>
    </row>
    <row r="22" spans="1:14" x14ac:dyDescent="0.2">
      <c r="B22" s="45" t="s">
        <v>328</v>
      </c>
    </row>
    <row r="23" spans="1:14" x14ac:dyDescent="0.2">
      <c r="B23" s="45" t="s">
        <v>329</v>
      </c>
      <c r="C23" s="248"/>
      <c r="I23" s="248"/>
    </row>
    <row r="24" spans="1:14" x14ac:dyDescent="0.2">
      <c r="D24" s="147"/>
    </row>
  </sheetData>
  <phoneticPr fontId="11" type="noConversion"/>
  <pageMargins left="0.75" right="0.75" top="1" bottom="1" header="0.5" footer="0.5"/>
  <pageSetup orientation="portrait" r:id="rId1"/>
  <headerFooter alignWithMargins="0">
    <oddHeader>&amp;RUSPS-FY09-19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2D050"/>
  </sheetPr>
  <dimension ref="A1:F30"/>
  <sheetViews>
    <sheetView tabSelected="1" zoomScaleNormal="100" workbookViewId="0">
      <selection activeCell="D9" sqref="D9"/>
    </sheetView>
  </sheetViews>
  <sheetFormatPr defaultRowHeight="12.75" x14ac:dyDescent="0.2"/>
  <cols>
    <col min="1" max="1" width="5.42578125" customWidth="1"/>
    <col min="2" max="2" width="39.42578125" bestFit="1" customWidth="1"/>
    <col min="3" max="3" width="7.42578125" style="13" customWidth="1"/>
    <col min="4" max="4" width="14.5703125" customWidth="1"/>
  </cols>
  <sheetData>
    <row r="1" spans="1:5" x14ac:dyDescent="0.2">
      <c r="A1" s="176" t="str">
        <f>'7.0.6'!A1</f>
        <v>Unit Delivery Cost Model -  12/16/2025</v>
      </c>
      <c r="C1" s="43"/>
      <c r="D1" s="2"/>
    </row>
    <row r="2" spans="1:5" x14ac:dyDescent="0.2">
      <c r="A2" s="179" t="s">
        <v>220</v>
      </c>
      <c r="C2" s="43"/>
      <c r="D2" s="2"/>
    </row>
    <row r="3" spans="1:5" x14ac:dyDescent="0.2">
      <c r="A3" s="179" t="s">
        <v>219</v>
      </c>
      <c r="C3" s="43"/>
      <c r="D3" s="43"/>
    </row>
    <row r="5" spans="1:5" s="2" customFormat="1" ht="22.5" x14ac:dyDescent="0.2">
      <c r="A5" s="52" t="s">
        <v>129</v>
      </c>
      <c r="B5" s="94" t="s">
        <v>1</v>
      </c>
      <c r="C5" s="52" t="s">
        <v>62</v>
      </c>
      <c r="D5" s="52" t="s">
        <v>436</v>
      </c>
    </row>
    <row r="6" spans="1:5" s="2" customFormat="1" ht="11.25" customHeight="1" x14ac:dyDescent="0.2">
      <c r="A6" s="109"/>
      <c r="B6" s="110" t="s">
        <v>2</v>
      </c>
      <c r="C6" s="76"/>
      <c r="D6" s="122">
        <v>-1</v>
      </c>
    </row>
    <row r="7" spans="1:5" s="2" customFormat="1" ht="11.25" customHeight="1" x14ac:dyDescent="0.2">
      <c r="A7" s="109"/>
      <c r="B7" s="110" t="s">
        <v>4</v>
      </c>
      <c r="C7" s="100"/>
      <c r="D7" s="100" t="s">
        <v>60</v>
      </c>
    </row>
    <row r="8" spans="1:5" s="2" customFormat="1" ht="11.25" customHeight="1" x14ac:dyDescent="0.2">
      <c r="A8" s="109"/>
      <c r="B8" s="110" t="s">
        <v>6</v>
      </c>
      <c r="C8" s="102"/>
      <c r="D8" s="621" t="s">
        <v>594</v>
      </c>
    </row>
    <row r="9" spans="1:5" s="2" customFormat="1" ht="11.25" customHeight="1" x14ac:dyDescent="0.2">
      <c r="A9" s="111"/>
      <c r="B9" s="112" t="s">
        <v>122</v>
      </c>
      <c r="C9" s="102"/>
      <c r="D9" s="464">
        <v>69</v>
      </c>
    </row>
    <row r="10" spans="1:5" s="14" customFormat="1" ht="11.25" x14ac:dyDescent="0.2">
      <c r="A10" s="213">
        <v>1</v>
      </c>
      <c r="B10" s="105" t="s">
        <v>7</v>
      </c>
      <c r="C10" s="217"/>
      <c r="D10" s="95"/>
    </row>
    <row r="11" spans="1:5" s="14" customFormat="1" ht="11.25" x14ac:dyDescent="0.2">
      <c r="A11" s="212">
        <f>A10+1</f>
        <v>2</v>
      </c>
      <c r="B11" s="96" t="s">
        <v>63</v>
      </c>
      <c r="C11" s="210">
        <v>3</v>
      </c>
      <c r="D11" s="96">
        <f>'[5]Outputs to CRA'!$D12</f>
        <v>140775.70358139972</v>
      </c>
      <c r="E11" s="198"/>
    </row>
    <row r="12" spans="1:5" s="14" customFormat="1" ht="11.25" x14ac:dyDescent="0.2">
      <c r="A12" s="212">
        <f t="shared" ref="A12:A29" si="0">A11+1</f>
        <v>3</v>
      </c>
      <c r="B12" s="96" t="s">
        <v>65</v>
      </c>
      <c r="C12" s="210">
        <v>4</v>
      </c>
      <c r="D12" s="96">
        <f>'[5]Outputs to CRA'!$D13</f>
        <v>6824.8070204386358</v>
      </c>
      <c r="E12" s="198"/>
    </row>
    <row r="13" spans="1:5" s="14" customFormat="1" ht="11.25" x14ac:dyDescent="0.2">
      <c r="A13" s="212">
        <f t="shared" si="0"/>
        <v>4</v>
      </c>
      <c r="B13" s="96" t="s">
        <v>64</v>
      </c>
      <c r="C13" s="210">
        <v>8</v>
      </c>
      <c r="D13" s="96">
        <f>'[5]Outputs to CRA'!$D14</f>
        <v>406771.85586971894</v>
      </c>
      <c r="E13" s="198"/>
    </row>
    <row r="14" spans="1:5" s="14" customFormat="1" ht="11.25" x14ac:dyDescent="0.2">
      <c r="A14" s="212">
        <f t="shared" si="0"/>
        <v>5</v>
      </c>
      <c r="B14" s="96" t="s">
        <v>66</v>
      </c>
      <c r="C14" s="210">
        <v>9</v>
      </c>
      <c r="D14" s="96">
        <f>'[5]Outputs to CRA'!$D15</f>
        <v>31516.877897468436</v>
      </c>
      <c r="E14" s="198"/>
    </row>
    <row r="15" spans="1:5" s="14" customFormat="1" ht="11.25" x14ac:dyDescent="0.2">
      <c r="A15" s="212">
        <f t="shared" si="0"/>
        <v>6</v>
      </c>
      <c r="B15" s="96" t="s">
        <v>189</v>
      </c>
      <c r="C15" s="210">
        <v>16</v>
      </c>
      <c r="D15" s="96">
        <f>'[5]Outputs to CRA'!$D16</f>
        <v>18222.698321924396</v>
      </c>
      <c r="E15" s="198"/>
    </row>
    <row r="16" spans="1:5" s="14" customFormat="1" ht="11.25" x14ac:dyDescent="0.2">
      <c r="A16" s="214">
        <f t="shared" si="0"/>
        <v>7</v>
      </c>
      <c r="B16" s="97" t="s">
        <v>190</v>
      </c>
      <c r="C16" s="211">
        <v>17</v>
      </c>
      <c r="D16" s="194">
        <f>'[5]Outputs to CRA'!$D17</f>
        <v>22621.901719052439</v>
      </c>
      <c r="E16" s="198"/>
    </row>
    <row r="17" spans="1:6" s="14" customFormat="1" ht="11.25" x14ac:dyDescent="0.2">
      <c r="A17" s="212">
        <f>A16+1</f>
        <v>8</v>
      </c>
      <c r="B17" s="98" t="s">
        <v>349</v>
      </c>
      <c r="C17" s="210"/>
      <c r="D17" s="96"/>
    </row>
    <row r="18" spans="1:6" s="14" customFormat="1" ht="11.25" x14ac:dyDescent="0.2">
      <c r="A18" s="212">
        <f t="shared" si="0"/>
        <v>9</v>
      </c>
      <c r="B18" s="149" t="s">
        <v>191</v>
      </c>
      <c r="C18" s="210">
        <v>21</v>
      </c>
      <c r="D18" s="96">
        <f>'[5]Outputs to CRA'!$D20</f>
        <v>142793.22993141727</v>
      </c>
      <c r="E18" s="198"/>
    </row>
    <row r="19" spans="1:6" s="14" customFormat="1" ht="11.25" x14ac:dyDescent="0.2">
      <c r="A19" s="212">
        <f t="shared" si="0"/>
        <v>10</v>
      </c>
      <c r="B19" s="149" t="s">
        <v>192</v>
      </c>
      <c r="C19" s="210">
        <v>22</v>
      </c>
      <c r="D19" s="96">
        <f>'[5]Outputs to CRA'!$D21</f>
        <v>311173.67266291118</v>
      </c>
      <c r="E19" s="198"/>
    </row>
    <row r="20" spans="1:6" s="14" customFormat="1" ht="11.25" x14ac:dyDescent="0.2">
      <c r="A20" s="212">
        <f t="shared" si="0"/>
        <v>11</v>
      </c>
      <c r="B20" s="149" t="s">
        <v>288</v>
      </c>
      <c r="C20" s="210">
        <v>24</v>
      </c>
      <c r="D20" s="266">
        <f>'[5]Outputs to CRA'!$F$22</f>
        <v>6265.564633027645</v>
      </c>
      <c r="E20" s="198"/>
      <c r="F20" s="2"/>
    </row>
    <row r="21" spans="1:6" s="14" customFormat="1" ht="11.25" x14ac:dyDescent="0.2">
      <c r="A21" s="212">
        <f t="shared" si="0"/>
        <v>12</v>
      </c>
      <c r="B21" s="149" t="s">
        <v>193</v>
      </c>
      <c r="C21" s="210">
        <v>23</v>
      </c>
      <c r="D21" s="96">
        <f>'[5]Outputs to CRA'!$D23</f>
        <v>160206.58636004452</v>
      </c>
      <c r="E21" s="198"/>
    </row>
    <row r="22" spans="1:6" s="14" customFormat="1" ht="11.25" x14ac:dyDescent="0.2">
      <c r="A22" s="212">
        <f t="shared" si="0"/>
        <v>13</v>
      </c>
      <c r="B22" s="149" t="s">
        <v>194</v>
      </c>
      <c r="C22" s="210">
        <v>25</v>
      </c>
      <c r="D22" s="96">
        <f>'[5]Outputs to CRA'!$D24</f>
        <v>606006.3094440907</v>
      </c>
      <c r="E22" s="198"/>
    </row>
    <row r="23" spans="1:6" s="14" customFormat="1" ht="11.25" x14ac:dyDescent="0.2">
      <c r="A23" s="212">
        <f t="shared" si="0"/>
        <v>14</v>
      </c>
      <c r="B23" s="149" t="s">
        <v>195</v>
      </c>
      <c r="C23" s="210">
        <v>26</v>
      </c>
      <c r="D23" s="96">
        <f>'[5]Outputs to CRA'!$D25</f>
        <v>101205.37081772015</v>
      </c>
      <c r="E23" s="198"/>
    </row>
    <row r="24" spans="1:6" s="14" customFormat="1" ht="11.25" x14ac:dyDescent="0.2">
      <c r="A24" s="212">
        <f t="shared" si="0"/>
        <v>15</v>
      </c>
      <c r="B24" s="156" t="s">
        <v>260</v>
      </c>
      <c r="C24" s="210">
        <v>27</v>
      </c>
      <c r="D24" s="96">
        <f>'[5]Outputs to CRA'!$D26</f>
        <v>2671.3112471024583</v>
      </c>
      <c r="E24" s="198"/>
    </row>
    <row r="25" spans="1:6" s="14" customFormat="1" ht="11.25" x14ac:dyDescent="0.2">
      <c r="A25" s="212">
        <f t="shared" si="0"/>
        <v>16</v>
      </c>
      <c r="B25" s="208" t="s">
        <v>70</v>
      </c>
      <c r="C25" s="218"/>
      <c r="D25" s="154">
        <f>'[5]Outputs to CRA'!$D$31</f>
        <v>165184.75066965577</v>
      </c>
      <c r="E25" s="198"/>
    </row>
    <row r="26" spans="1:6" s="14" customFormat="1" ht="11.25" x14ac:dyDescent="0.2">
      <c r="A26" s="212">
        <f t="shared" si="0"/>
        <v>17</v>
      </c>
      <c r="B26" s="106" t="s">
        <v>71</v>
      </c>
      <c r="C26" s="210"/>
      <c r="D26" s="96"/>
    </row>
    <row r="27" spans="1:6" s="14" customFormat="1" ht="11.25" x14ac:dyDescent="0.2">
      <c r="A27" s="212">
        <f t="shared" si="0"/>
        <v>18</v>
      </c>
      <c r="B27" s="205" t="s">
        <v>196</v>
      </c>
      <c r="C27" s="210">
        <v>42</v>
      </c>
      <c r="D27" s="96">
        <f>'[5]Outputs to CRA'!$D33</f>
        <v>6221.2777511099348</v>
      </c>
      <c r="E27" s="198"/>
    </row>
    <row r="28" spans="1:6" s="14" customFormat="1" ht="11.25" x14ac:dyDescent="0.2">
      <c r="A28" s="212">
        <f t="shared" si="0"/>
        <v>19</v>
      </c>
      <c r="B28" s="205" t="s">
        <v>197</v>
      </c>
      <c r="C28" s="210">
        <v>43</v>
      </c>
      <c r="D28" s="96">
        <f>'[5]Outputs to CRA'!$D34</f>
        <v>72646.686622330308</v>
      </c>
      <c r="E28" s="198"/>
    </row>
    <row r="29" spans="1:6" s="14" customFormat="1" ht="11.25" x14ac:dyDescent="0.2">
      <c r="A29" s="212">
        <f t="shared" si="0"/>
        <v>20</v>
      </c>
      <c r="B29" s="200" t="s">
        <v>139</v>
      </c>
      <c r="C29" s="210">
        <v>44</v>
      </c>
      <c r="D29" s="96">
        <f>'[5]Outputs to CRA'!$D35</f>
        <v>22216.98891684039</v>
      </c>
      <c r="E29" s="198"/>
    </row>
    <row r="30" spans="1:6" x14ac:dyDescent="0.2">
      <c r="A30" s="215">
        <f>A29+1</f>
        <v>21</v>
      </c>
      <c r="B30" s="208" t="s">
        <v>61</v>
      </c>
      <c r="C30" s="465">
        <v>198</v>
      </c>
      <c r="D30" s="261">
        <f>'[5]Outputs to CRA'!$D$62</f>
        <v>4758957.9511243748</v>
      </c>
      <c r="E30" s="198"/>
    </row>
  </sheetData>
  <phoneticPr fontId="11" type="noConversion"/>
  <pageMargins left="0.75" right="0.75" top="1" bottom="1" header="0.5" footer="0.5"/>
  <pageSetup orientation="portrait" horizontalDpi="300" verticalDpi="300" r:id="rId1"/>
  <headerFooter alignWithMargins="0">
    <oddHeader>&amp;RUSPS-FY09-19</oddHeader>
  </headerFooter>
  <ignoredErrors>
    <ignoredError sqref="D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>
    <tabColor rgb="FF92D050"/>
  </sheetPr>
  <dimension ref="A1:Q35"/>
  <sheetViews>
    <sheetView zoomScaleNormal="100" workbookViewId="0">
      <pane xSplit="2" topLeftCell="C1" activePane="topRight" state="frozen"/>
      <selection activeCell="D46" sqref="D46"/>
      <selection pane="topRight" activeCell="I38" sqref="I38"/>
    </sheetView>
  </sheetViews>
  <sheetFormatPr defaultRowHeight="12.75" x14ac:dyDescent="0.2"/>
  <cols>
    <col min="1" max="1" width="5.5703125" customWidth="1"/>
    <col min="2" max="2" width="38.5703125" customWidth="1"/>
    <col min="3" max="16" width="10.85546875" customWidth="1"/>
  </cols>
  <sheetData>
    <row r="1" spans="1:16" x14ac:dyDescent="0.2">
      <c r="A1" s="1" t="str">
        <f>Inputs!$C$4</f>
        <v>Unit Delivery Cost Model -  12/16/2025</v>
      </c>
    </row>
    <row r="2" spans="1:16" x14ac:dyDescent="0.2">
      <c r="A2" s="1" t="s">
        <v>112</v>
      </c>
    </row>
    <row r="3" spans="1:16" x14ac:dyDescent="0.2">
      <c r="A3" s="11" t="s">
        <v>550</v>
      </c>
    </row>
    <row r="4" spans="1:16" x14ac:dyDescent="0.2">
      <c r="C4" s="175" t="s">
        <v>273</v>
      </c>
    </row>
    <row r="5" spans="1:16" s="2" customFormat="1" ht="33.75" x14ac:dyDescent="0.2">
      <c r="A5" s="52" t="s">
        <v>8</v>
      </c>
      <c r="B5" s="145"/>
      <c r="C5" s="432" t="s">
        <v>15</v>
      </c>
      <c r="D5" s="432" t="s">
        <v>16</v>
      </c>
      <c r="E5" s="432" t="s">
        <v>429</v>
      </c>
      <c r="F5" s="432" t="s">
        <v>430</v>
      </c>
      <c r="G5" s="432" t="s">
        <v>431</v>
      </c>
      <c r="H5" s="432" t="s">
        <v>111</v>
      </c>
      <c r="I5" s="432" t="s">
        <v>28</v>
      </c>
      <c r="J5" s="433" t="s">
        <v>51</v>
      </c>
      <c r="K5" s="433" t="s">
        <v>432</v>
      </c>
      <c r="L5" s="433" t="s">
        <v>269</v>
      </c>
      <c r="M5" s="433" t="s">
        <v>433</v>
      </c>
      <c r="N5" s="433" t="s">
        <v>434</v>
      </c>
      <c r="O5" s="433" t="s">
        <v>110</v>
      </c>
      <c r="P5" s="433" t="s">
        <v>19</v>
      </c>
    </row>
    <row r="6" spans="1:16" s="2" customFormat="1" ht="11.25" x14ac:dyDescent="0.2">
      <c r="A6" s="21"/>
      <c r="B6" s="87" t="s">
        <v>109</v>
      </c>
      <c r="C6" s="21">
        <v>-1</v>
      </c>
      <c r="D6" s="21">
        <f t="shared" ref="D6:I6" si="0">C6-1</f>
        <v>-2</v>
      </c>
      <c r="E6" s="21">
        <f t="shared" si="0"/>
        <v>-3</v>
      </c>
      <c r="F6" s="21">
        <f t="shared" ref="F6" si="1">E6-1</f>
        <v>-4</v>
      </c>
      <c r="G6" s="21">
        <f t="shared" ref="G6" si="2">F6-1</f>
        <v>-5</v>
      </c>
      <c r="H6" s="21">
        <f>G6-1</f>
        <v>-6</v>
      </c>
      <c r="I6" s="21">
        <f t="shared" si="0"/>
        <v>-7</v>
      </c>
      <c r="J6" s="21">
        <f t="shared" ref="J6" si="3">I6-1</f>
        <v>-8</v>
      </c>
      <c r="K6" s="21">
        <f t="shared" ref="K6" si="4">J6-1</f>
        <v>-9</v>
      </c>
      <c r="L6" s="21">
        <f t="shared" ref="L6" si="5">K6-1</f>
        <v>-10</v>
      </c>
      <c r="M6" s="21">
        <f t="shared" ref="M6" si="6">L6-1</f>
        <v>-11</v>
      </c>
      <c r="N6" s="21">
        <f t="shared" ref="N6" si="7">M6-1</f>
        <v>-12</v>
      </c>
      <c r="O6" s="21">
        <f t="shared" ref="O6" si="8">N6-1</f>
        <v>-13</v>
      </c>
      <c r="P6" s="21">
        <f t="shared" ref="P6" si="9">O6-1</f>
        <v>-14</v>
      </c>
    </row>
    <row r="7" spans="1:16" s="2" customFormat="1" ht="11.25" x14ac:dyDescent="0.2">
      <c r="A7" s="85"/>
      <c r="B7" s="86" t="s">
        <v>44</v>
      </c>
      <c r="C7" s="85" t="s">
        <v>60</v>
      </c>
      <c r="D7" s="85" t="s">
        <v>60</v>
      </c>
      <c r="E7" s="85" t="s">
        <v>60</v>
      </c>
      <c r="F7" s="85" t="s">
        <v>60</v>
      </c>
      <c r="G7" s="85" t="s">
        <v>60</v>
      </c>
      <c r="H7" s="85" t="s">
        <v>60</v>
      </c>
      <c r="I7" s="85" t="s">
        <v>60</v>
      </c>
      <c r="J7" s="85" t="s">
        <v>60</v>
      </c>
      <c r="K7" s="85" t="s">
        <v>60</v>
      </c>
      <c r="L7" s="85" t="s">
        <v>60</v>
      </c>
      <c r="M7" s="85" t="s">
        <v>60</v>
      </c>
      <c r="N7" s="85" t="s">
        <v>60</v>
      </c>
      <c r="O7" s="85" t="s">
        <v>60</v>
      </c>
      <c r="P7" s="85" t="s">
        <v>60</v>
      </c>
    </row>
    <row r="8" spans="1:16" s="2" customFormat="1" ht="11.25" x14ac:dyDescent="0.2">
      <c r="A8" s="58"/>
      <c r="B8" s="84" t="s">
        <v>100</v>
      </c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</row>
    <row r="9" spans="1:16" s="2" customFormat="1" ht="11.25" x14ac:dyDescent="0.2">
      <c r="A9" s="21">
        <v>1</v>
      </c>
      <c r="B9" s="137" t="s">
        <v>495</v>
      </c>
      <c r="C9" s="19"/>
      <c r="D9" s="19"/>
      <c r="E9" s="138"/>
      <c r="F9" s="138"/>
      <c r="G9" s="138"/>
      <c r="H9" s="139"/>
      <c r="I9" s="139"/>
      <c r="J9" s="117"/>
      <c r="K9" s="117"/>
      <c r="L9" s="117"/>
      <c r="M9" s="117"/>
      <c r="N9" s="117"/>
      <c r="O9" s="135"/>
      <c r="P9" s="135"/>
    </row>
    <row r="10" spans="1:16" s="2" customFormat="1" ht="11.25" x14ac:dyDescent="0.2">
      <c r="A10" s="22">
        <f t="shared" ref="A10:A29" si="10">A9+1</f>
        <v>2</v>
      </c>
      <c r="B10" s="20" t="s">
        <v>108</v>
      </c>
      <c r="C10" s="133"/>
      <c r="D10" s="133"/>
      <c r="E10" s="133"/>
      <c r="F10" s="133"/>
      <c r="G10" s="133"/>
      <c r="H10" s="133"/>
      <c r="I10" s="133"/>
      <c r="J10" s="140"/>
      <c r="K10" s="140"/>
      <c r="L10" s="140"/>
      <c r="M10" s="140"/>
      <c r="N10" s="140"/>
      <c r="O10" s="141"/>
      <c r="P10" s="141"/>
    </row>
    <row r="11" spans="1:16" s="2" customFormat="1" ht="11.25" x14ac:dyDescent="0.2">
      <c r="A11" s="83">
        <f t="shared" si="10"/>
        <v>3</v>
      </c>
      <c r="B11" s="30" t="s">
        <v>63</v>
      </c>
      <c r="C11" s="134">
        <f>'[5]10.1.2'!D11</f>
        <v>49940.213987024639</v>
      </c>
      <c r="D11" s="134">
        <f>'[5]10.1.2'!E11</f>
        <v>775.65753383815036</v>
      </c>
      <c r="E11" s="134">
        <f>'[5]10.1.2'!F11</f>
        <v>0</v>
      </c>
      <c r="F11" s="134">
        <f>'[5]10.1.2'!G11</f>
        <v>0</v>
      </c>
      <c r="G11" s="134">
        <f>'[5]10.1.2'!H11</f>
        <v>0</v>
      </c>
      <c r="H11" s="134">
        <f>'[5]10.1.2'!I11</f>
        <v>0</v>
      </c>
      <c r="I11" s="134">
        <f>'[5]10.1.2'!K11</f>
        <v>78847.975794027792</v>
      </c>
      <c r="J11" s="134">
        <f>'[5]10.1.2'!L11</f>
        <v>309.18189122897275</v>
      </c>
      <c r="K11" s="134">
        <f>'[5]10.1.2'!M11</f>
        <v>7699.2631248031466</v>
      </c>
      <c r="L11" s="134">
        <f>'[5]10.1.2'!N11</f>
        <v>0</v>
      </c>
      <c r="M11" s="134">
        <f>'[5]10.1.2'!S11</f>
        <v>2911.9356767236422</v>
      </c>
      <c r="N11" s="134">
        <f>'[5]10.1.2'!T11</f>
        <v>291.47557375337948</v>
      </c>
      <c r="O11" s="134">
        <f>SUM(C11:J11)+SUM(M11:N11)</f>
        <v>133076.44045659658</v>
      </c>
      <c r="P11" s="134">
        <f t="shared" ref="P11:P16" si="11">SUM(C11:N11)</f>
        <v>140775.70358139972</v>
      </c>
    </row>
    <row r="12" spans="1:16" s="2" customFormat="1" ht="11.25" x14ac:dyDescent="0.2">
      <c r="A12" s="83">
        <f t="shared" si="10"/>
        <v>4</v>
      </c>
      <c r="B12" s="30" t="s">
        <v>65</v>
      </c>
      <c r="C12" s="134">
        <f>'[5]10.1.2'!D12</f>
        <v>3870.8244680916378</v>
      </c>
      <c r="D12" s="134">
        <f>'[5]10.1.2'!E12</f>
        <v>6.4058559670830295</v>
      </c>
      <c r="E12" s="134">
        <f>'[5]10.1.2'!F12</f>
        <v>0</v>
      </c>
      <c r="F12" s="134">
        <f>'[5]10.1.2'!G12</f>
        <v>0</v>
      </c>
      <c r="G12" s="134">
        <f>'[5]10.1.2'!H12</f>
        <v>0</v>
      </c>
      <c r="H12" s="134">
        <f>'[5]10.1.2'!I12</f>
        <v>0</v>
      </c>
      <c r="I12" s="134">
        <f>'[5]10.1.2'!K12</f>
        <v>2829.7251422127197</v>
      </c>
      <c r="J12" s="134">
        <f>'[5]10.1.2'!L12</f>
        <v>2.257649415712863</v>
      </c>
      <c r="K12" s="134">
        <f>'[5]10.1.2'!M12</f>
        <v>0</v>
      </c>
      <c r="L12" s="134">
        <f>'[5]10.1.2'!N12</f>
        <v>0</v>
      </c>
      <c r="M12" s="134">
        <f>'[5]10.1.2'!S12</f>
        <v>101.47271454803231</v>
      </c>
      <c r="N12" s="134">
        <f>'[5]10.1.2'!T12</f>
        <v>14.121190203450665</v>
      </c>
      <c r="O12" s="134">
        <f t="shared" ref="O12:O16" si="12">SUM(C12:J12)+SUM(M12:N12)</f>
        <v>6824.8070204386358</v>
      </c>
      <c r="P12" s="134">
        <f t="shared" si="11"/>
        <v>6824.8070204386358</v>
      </c>
    </row>
    <row r="13" spans="1:16" s="2" customFormat="1" ht="11.25" x14ac:dyDescent="0.2">
      <c r="A13" s="83">
        <f t="shared" si="10"/>
        <v>5</v>
      </c>
      <c r="B13" s="30" t="s">
        <v>64</v>
      </c>
      <c r="C13" s="134">
        <f>'[5]10.1.2'!D13</f>
        <v>95004.735252112383</v>
      </c>
      <c r="D13" s="134">
        <f>'[5]10.1.2'!E13</f>
        <v>1185.6420367034193</v>
      </c>
      <c r="E13" s="134">
        <f>'[5]10.1.2'!F13</f>
        <v>0</v>
      </c>
      <c r="F13" s="134">
        <f>'[5]10.1.2'!G13</f>
        <v>0</v>
      </c>
      <c r="G13" s="134">
        <f>'[5]10.1.2'!H13</f>
        <v>0</v>
      </c>
      <c r="H13" s="134">
        <f>'[5]10.1.2'!I13</f>
        <v>0</v>
      </c>
      <c r="I13" s="134">
        <f>'[5]10.1.2'!K13</f>
        <v>300688.73279021442</v>
      </c>
      <c r="J13" s="134">
        <f>'[5]10.1.2'!L13</f>
        <v>0</v>
      </c>
      <c r="K13" s="134">
        <f>'[5]10.1.2'!M13</f>
        <v>0</v>
      </c>
      <c r="L13" s="134">
        <f>'[5]10.1.2'!N13</f>
        <v>0</v>
      </c>
      <c r="M13" s="134">
        <f>'[5]10.1.2'!S13</f>
        <v>9050.2165546810284</v>
      </c>
      <c r="N13" s="134">
        <f>'[5]10.1.2'!T13</f>
        <v>842.52923600769032</v>
      </c>
      <c r="O13" s="134">
        <f t="shared" si="12"/>
        <v>406771.85586971894</v>
      </c>
      <c r="P13" s="134">
        <f t="shared" si="11"/>
        <v>406771.85586971894</v>
      </c>
    </row>
    <row r="14" spans="1:16" s="2" customFormat="1" ht="11.25" x14ac:dyDescent="0.2">
      <c r="A14" s="83">
        <f t="shared" si="10"/>
        <v>6</v>
      </c>
      <c r="B14" s="30" t="s">
        <v>66</v>
      </c>
      <c r="C14" s="134">
        <f>'[5]10.1.2'!D14</f>
        <v>7603.1914441078206</v>
      </c>
      <c r="D14" s="134">
        <f>'[5]10.1.2'!E14</f>
        <v>18.777653297345395</v>
      </c>
      <c r="E14" s="134">
        <f>'[5]10.1.2'!F14</f>
        <v>0</v>
      </c>
      <c r="F14" s="134">
        <f>'[5]10.1.2'!G14</f>
        <v>7.4115110369293795</v>
      </c>
      <c r="G14" s="134">
        <f>'[5]10.1.2'!H14</f>
        <v>0</v>
      </c>
      <c r="H14" s="134">
        <f>'[5]10.1.2'!I14</f>
        <v>0</v>
      </c>
      <c r="I14" s="134">
        <f>'[5]10.1.2'!K14</f>
        <v>23095.113194347876</v>
      </c>
      <c r="J14" s="134">
        <f>'[5]10.1.2'!L14</f>
        <v>0</v>
      </c>
      <c r="K14" s="134">
        <f>'[5]10.1.2'!M14</f>
        <v>0</v>
      </c>
      <c r="L14" s="134">
        <f>'[5]10.1.2'!N14</f>
        <v>0</v>
      </c>
      <c r="M14" s="134">
        <f>'[5]10.1.2'!S14</f>
        <v>727.10638708379656</v>
      </c>
      <c r="N14" s="134">
        <f>'[5]10.1.2'!T14</f>
        <v>65.277707594668826</v>
      </c>
      <c r="O14" s="134">
        <f t="shared" si="12"/>
        <v>31516.877897468436</v>
      </c>
      <c r="P14" s="134">
        <f t="shared" si="11"/>
        <v>31516.877897468436</v>
      </c>
    </row>
    <row r="15" spans="1:16" s="2" customFormat="1" ht="11.25" x14ac:dyDescent="0.2">
      <c r="A15" s="83">
        <f t="shared" si="10"/>
        <v>7</v>
      </c>
      <c r="B15" s="206" t="s">
        <v>189</v>
      </c>
      <c r="C15" s="134">
        <f>'[5]10.1.2'!D15</f>
        <v>1.8691303672239608</v>
      </c>
      <c r="D15" s="134">
        <f>'[5]10.1.2'!E15</f>
        <v>17855.054321510848</v>
      </c>
      <c r="E15" s="134">
        <f>'[5]10.1.2'!F15</f>
        <v>0</v>
      </c>
      <c r="F15" s="134">
        <f>'[5]10.1.2'!G15</f>
        <v>0</v>
      </c>
      <c r="G15" s="134">
        <f>'[5]10.1.2'!H15</f>
        <v>0</v>
      </c>
      <c r="H15" s="134">
        <f>'[5]10.1.2'!I15</f>
        <v>0</v>
      </c>
      <c r="I15" s="134">
        <f>'[5]10.1.2'!K15</f>
        <v>0</v>
      </c>
      <c r="J15" s="134">
        <f>'[5]10.1.2'!L15</f>
        <v>201.41222956908598</v>
      </c>
      <c r="K15" s="134">
        <f>'[5]10.1.2'!M15</f>
        <v>0</v>
      </c>
      <c r="L15" s="134">
        <f>'[5]10.1.2'!N15</f>
        <v>0</v>
      </c>
      <c r="M15" s="134">
        <f>'[5]10.1.2'!S15</f>
        <v>126.53203545561146</v>
      </c>
      <c r="N15" s="134">
        <f>'[5]10.1.2'!T15</f>
        <v>37.830605021626909</v>
      </c>
      <c r="O15" s="134">
        <f t="shared" si="12"/>
        <v>18222.698321924396</v>
      </c>
      <c r="P15" s="134">
        <f t="shared" si="11"/>
        <v>18222.698321924396</v>
      </c>
    </row>
    <row r="16" spans="1:16" s="2" customFormat="1" ht="11.25" x14ac:dyDescent="0.2">
      <c r="A16" s="83">
        <f t="shared" si="10"/>
        <v>8</v>
      </c>
      <c r="B16" s="206" t="s">
        <v>190</v>
      </c>
      <c r="C16" s="134">
        <f>'[5]10.1.2'!D16</f>
        <v>1.2545102336111011</v>
      </c>
      <c r="D16" s="134">
        <f>'[5]10.1.2'!E16</f>
        <v>22439.218751696157</v>
      </c>
      <c r="E16" s="134">
        <f>'[5]10.1.2'!F16</f>
        <v>0</v>
      </c>
      <c r="F16" s="134">
        <f>'[5]10.1.2'!G16</f>
        <v>0</v>
      </c>
      <c r="G16" s="134">
        <f>'[5]10.1.2'!H16</f>
        <v>0</v>
      </c>
      <c r="H16" s="134">
        <f>'[5]10.1.2'!I16</f>
        <v>0</v>
      </c>
      <c r="I16" s="134">
        <f>'[5]10.1.2'!K16</f>
        <v>0</v>
      </c>
      <c r="J16" s="134">
        <f>'[5]10.1.2'!L16</f>
        <v>0</v>
      </c>
      <c r="K16" s="134">
        <f>'[5]10.1.2'!M16</f>
        <v>0</v>
      </c>
      <c r="L16" s="134">
        <f>'[5]10.1.2'!N16</f>
        <v>0</v>
      </c>
      <c r="M16" s="134">
        <f>'[5]10.1.2'!S16</f>
        <v>134.46573296498349</v>
      </c>
      <c r="N16" s="134">
        <f>'[5]10.1.2'!T16</f>
        <v>46.962724157689763</v>
      </c>
      <c r="O16" s="134">
        <f t="shared" si="12"/>
        <v>22621.901719052443</v>
      </c>
      <c r="P16" s="134">
        <f t="shared" si="11"/>
        <v>22621.901719052439</v>
      </c>
    </row>
    <row r="17" spans="1:17" s="2" customFormat="1" ht="11.25" x14ac:dyDescent="0.2">
      <c r="A17" s="223">
        <f>A16+1</f>
        <v>9</v>
      </c>
      <c r="B17" s="201" t="s">
        <v>351</v>
      </c>
      <c r="C17" s="427"/>
      <c r="D17" s="427"/>
      <c r="E17" s="427"/>
      <c r="F17" s="427"/>
      <c r="G17" s="427"/>
      <c r="H17" s="427"/>
      <c r="I17" s="427"/>
      <c r="J17" s="427"/>
      <c r="K17" s="427"/>
      <c r="L17" s="427"/>
      <c r="M17" s="427"/>
      <c r="N17" s="427"/>
      <c r="O17" s="220"/>
      <c r="P17" s="427"/>
    </row>
    <row r="18" spans="1:17" s="2" customFormat="1" ht="11.25" x14ac:dyDescent="0.2">
      <c r="A18" s="83">
        <f t="shared" si="10"/>
        <v>10</v>
      </c>
      <c r="B18" s="30" t="s">
        <v>198</v>
      </c>
      <c r="C18" s="134">
        <f>'[5]10.1.2'!D19</f>
        <v>70440.997368391123</v>
      </c>
      <c r="D18" s="134">
        <f>'[5]10.1.2'!E19</f>
        <v>1915.5950660793253</v>
      </c>
      <c r="E18" s="134">
        <f>'[5]10.1.2'!F19</f>
        <v>0</v>
      </c>
      <c r="F18" s="134">
        <f>'[5]10.1.2'!G19</f>
        <v>0</v>
      </c>
      <c r="G18" s="134">
        <f>'[5]10.1.2'!H19</f>
        <v>0</v>
      </c>
      <c r="H18" s="134">
        <f>'[5]10.1.2'!I19</f>
        <v>12847.591502135423</v>
      </c>
      <c r="I18" s="134">
        <f>'[5]10.1.2'!K19</f>
        <v>55415.843359600934</v>
      </c>
      <c r="J18" s="134">
        <f>'[5]10.1.2'!L19</f>
        <v>0</v>
      </c>
      <c r="K18" s="134">
        <f>'[5]10.1.2'!M19</f>
        <v>0</v>
      </c>
      <c r="L18" s="134">
        <f>'[5]10.1.2'!N19</f>
        <v>0</v>
      </c>
      <c r="M18" s="134">
        <f>'[5]10.1.2'!S19</f>
        <v>1869.5470688366654</v>
      </c>
      <c r="N18" s="134">
        <f>'[5]10.1.2'!T19</f>
        <v>303.65556637381951</v>
      </c>
      <c r="O18" s="134">
        <f t="shared" ref="O18:O24" si="13">SUM(C18:J18)+SUM(M18:N18)</f>
        <v>142793.22993141727</v>
      </c>
      <c r="P18" s="134">
        <f t="shared" ref="P18:P25" si="14">SUM(C18:N18)</f>
        <v>142793.22993141727</v>
      </c>
    </row>
    <row r="19" spans="1:17" s="2" customFormat="1" ht="11.25" x14ac:dyDescent="0.2">
      <c r="A19" s="83">
        <f t="shared" si="10"/>
        <v>11</v>
      </c>
      <c r="B19" s="30" t="s">
        <v>199</v>
      </c>
      <c r="C19" s="134">
        <f>'[5]10.1.2'!D20</f>
        <v>2892.0863114469921</v>
      </c>
      <c r="D19" s="134">
        <f>'[5]10.1.2'!E20</f>
        <v>218533.40915900102</v>
      </c>
      <c r="E19" s="134">
        <f>'[5]10.1.2'!F20</f>
        <v>0</v>
      </c>
      <c r="F19" s="134">
        <f>'[5]10.1.2'!G20</f>
        <v>0</v>
      </c>
      <c r="G19" s="134">
        <f>'[5]10.1.2'!H20</f>
        <v>0</v>
      </c>
      <c r="H19" s="134">
        <f>'[5]10.1.2'!I20</f>
        <v>86461.101582688076</v>
      </c>
      <c r="I19" s="134">
        <f>'[5]10.1.2'!K20</f>
        <v>204.70491709952327</v>
      </c>
      <c r="J19" s="134">
        <f>'[5]10.1.2'!L20</f>
        <v>0</v>
      </c>
      <c r="K19" s="134">
        <f>'[5]10.1.2'!M20</f>
        <v>0</v>
      </c>
      <c r="L19" s="134">
        <f>'[5]10.1.2'!N20</f>
        <v>0</v>
      </c>
      <c r="M19" s="134">
        <f>'[5]10.1.2'!S20</f>
        <v>2444.7772249583059</v>
      </c>
      <c r="N19" s="134">
        <f>'[5]10.1.2'!T20</f>
        <v>637.59346771731111</v>
      </c>
      <c r="O19" s="134">
        <f t="shared" si="13"/>
        <v>311173.67266291124</v>
      </c>
      <c r="P19" s="134">
        <f t="shared" si="14"/>
        <v>311173.67266291118</v>
      </c>
    </row>
    <row r="20" spans="1:17" s="2" customFormat="1" ht="11.25" x14ac:dyDescent="0.2">
      <c r="A20" s="83">
        <f t="shared" si="10"/>
        <v>12</v>
      </c>
      <c r="B20" s="126" t="s">
        <v>291</v>
      </c>
      <c r="C20" s="134">
        <f>'[5]10.1.2'!D21</f>
        <v>0</v>
      </c>
      <c r="D20" s="134">
        <f>'[5]10.1.2'!E21</f>
        <v>0</v>
      </c>
      <c r="E20" s="134">
        <f>'[5]10.1.2'!F21</f>
        <v>0</v>
      </c>
      <c r="F20" s="134">
        <f>'[5]10.1.2'!G21</f>
        <v>0</v>
      </c>
      <c r="G20" s="134">
        <f>'[5]10.1.2'!H21</f>
        <v>0</v>
      </c>
      <c r="H20" s="134">
        <f>'[5]10.1.2'!I21</f>
        <v>6078.8403169028643</v>
      </c>
      <c r="I20" s="134">
        <f>'[5]10.1.2'!K21</f>
        <v>0</v>
      </c>
      <c r="J20" s="134">
        <f>'[5]10.1.2'!L21</f>
        <v>0</v>
      </c>
      <c r="K20" s="134">
        <f>'[5]10.1.2'!M21</f>
        <v>0</v>
      </c>
      <c r="L20" s="134">
        <f>'[5]10.1.2'!N21</f>
        <v>0</v>
      </c>
      <c r="M20" s="134">
        <f>'[5]10.1.2'!S21</f>
        <v>173.73495004747917</v>
      </c>
      <c r="N20" s="134">
        <f>'[5]10.1.2'!T21</f>
        <v>12.989366077301581</v>
      </c>
      <c r="O20" s="134">
        <f t="shared" si="13"/>
        <v>6265.564633027645</v>
      </c>
      <c r="P20" s="134">
        <f t="shared" si="14"/>
        <v>6265.564633027645</v>
      </c>
    </row>
    <row r="21" spans="1:17" s="2" customFormat="1" ht="11.25" x14ac:dyDescent="0.2">
      <c r="A21" s="83">
        <f t="shared" si="10"/>
        <v>13</v>
      </c>
      <c r="B21" s="30" t="s">
        <v>200</v>
      </c>
      <c r="C21" s="134">
        <f>'[5]10.1.2'!D22</f>
        <v>184.01704008081833</v>
      </c>
      <c r="D21" s="134">
        <f>'[5]10.1.2'!E22</f>
        <v>157048.94301969162</v>
      </c>
      <c r="E21" s="134">
        <f>'[5]10.1.2'!F22</f>
        <v>0</v>
      </c>
      <c r="F21" s="134">
        <f>'[5]10.1.2'!G22</f>
        <v>0</v>
      </c>
      <c r="G21" s="134">
        <f>'[5]10.1.2'!H22</f>
        <v>0</v>
      </c>
      <c r="H21" s="134">
        <f>'[5]10.1.2'!I22</f>
        <v>1680.8906565096131</v>
      </c>
      <c r="I21" s="134">
        <f>'[5]10.1.2'!K22</f>
        <v>107.20299098197356</v>
      </c>
      <c r="J21" s="134">
        <f>'[5]10.1.2'!L22</f>
        <v>0</v>
      </c>
      <c r="K21" s="134">
        <f>'[5]10.1.2'!M22</f>
        <v>0</v>
      </c>
      <c r="L21" s="134">
        <f>'[5]10.1.2'!N22</f>
        <v>0</v>
      </c>
      <c r="M21" s="134">
        <f>'[5]10.1.2'!S22</f>
        <v>852.95247858400705</v>
      </c>
      <c r="N21" s="134">
        <f>'[5]10.1.2'!T22</f>
        <v>332.58017419646706</v>
      </c>
      <c r="O21" s="134">
        <f t="shared" si="13"/>
        <v>160206.58636004452</v>
      </c>
      <c r="P21" s="134">
        <f t="shared" si="14"/>
        <v>160206.58636004452</v>
      </c>
    </row>
    <row r="22" spans="1:17" s="2" customFormat="1" ht="11.25" x14ac:dyDescent="0.2">
      <c r="A22" s="83">
        <f t="shared" si="10"/>
        <v>14</v>
      </c>
      <c r="B22" s="30" t="s">
        <v>201</v>
      </c>
      <c r="C22" s="134">
        <f>'[5]10.1.2'!D23</f>
        <v>172873.06592365124</v>
      </c>
      <c r="D22" s="134">
        <f>'[5]10.1.2'!E23</f>
        <v>2512.2065542902865</v>
      </c>
      <c r="E22" s="134">
        <f>'[5]10.1.2'!F23</f>
        <v>0</v>
      </c>
      <c r="F22" s="134">
        <f>'[5]10.1.2'!G23</f>
        <v>173.68427150550579</v>
      </c>
      <c r="G22" s="134">
        <f>'[5]10.1.2'!H23</f>
        <v>0</v>
      </c>
      <c r="H22" s="134">
        <f>'[5]10.1.2'!I23</f>
        <v>398.74104570664866</v>
      </c>
      <c r="I22" s="134">
        <f>'[5]10.1.2'!K23</f>
        <v>417010.15008957026</v>
      </c>
      <c r="J22" s="134">
        <f>'[5]10.1.2'!L23</f>
        <v>4.6170293460880725</v>
      </c>
      <c r="K22" s="134">
        <f>'[5]10.1.2'!M23</f>
        <v>0</v>
      </c>
      <c r="L22" s="134">
        <f>'[5]10.1.2'!N23</f>
        <v>0</v>
      </c>
      <c r="M22" s="134">
        <f>'[5]10.1.2'!S23</f>
        <v>11778.84724917116</v>
      </c>
      <c r="N22" s="134">
        <f>'[5]10.1.2'!T23</f>
        <v>1254.9972808496013</v>
      </c>
      <c r="O22" s="134">
        <f t="shared" si="13"/>
        <v>606006.3094440907</v>
      </c>
      <c r="P22" s="134">
        <f t="shared" si="14"/>
        <v>606006.3094440907</v>
      </c>
    </row>
    <row r="23" spans="1:17" s="2" customFormat="1" ht="11.25" x14ac:dyDescent="0.2">
      <c r="A23" s="83">
        <f t="shared" si="10"/>
        <v>15</v>
      </c>
      <c r="B23" s="30" t="s">
        <v>202</v>
      </c>
      <c r="C23" s="134">
        <f>'[5]10.1.2'!D24</f>
        <v>7.3754416033543215</v>
      </c>
      <c r="D23" s="134">
        <f>'[5]10.1.2'!E24</f>
        <v>100382.67169564683</v>
      </c>
      <c r="E23" s="134">
        <f>'[5]10.1.2'!F24</f>
        <v>0</v>
      </c>
      <c r="F23" s="134">
        <f>'[5]10.1.2'!G24</f>
        <v>67.413357169164215</v>
      </c>
      <c r="G23" s="134">
        <f>'[5]10.1.2'!H24</f>
        <v>0</v>
      </c>
      <c r="H23" s="134">
        <f>'[5]10.1.2'!I24</f>
        <v>14.939512372242923</v>
      </c>
      <c r="I23" s="134">
        <f>'[5]10.1.2'!K24</f>
        <v>0</v>
      </c>
      <c r="J23" s="134">
        <f>'[5]10.1.2'!L24</f>
        <v>4.5152988314257261</v>
      </c>
      <c r="K23" s="134">
        <f>'[5]10.1.2'!M24</f>
        <v>0</v>
      </c>
      <c r="L23" s="134">
        <f>'[5]10.1.2'!N24</f>
        <v>0</v>
      </c>
      <c r="M23" s="134">
        <f>'[5]10.1.2'!S24</f>
        <v>518.35450037370504</v>
      </c>
      <c r="N23" s="134">
        <f>'[5]10.1.2'!T24</f>
        <v>210.10101172342473</v>
      </c>
      <c r="O23" s="134">
        <f t="shared" si="13"/>
        <v>101205.37081772015</v>
      </c>
      <c r="P23" s="134">
        <f t="shared" si="14"/>
        <v>101205.37081772015</v>
      </c>
    </row>
    <row r="24" spans="1:17" s="2" customFormat="1" ht="11.25" x14ac:dyDescent="0.2">
      <c r="A24" s="83">
        <f t="shared" si="10"/>
        <v>16</v>
      </c>
      <c r="B24" s="30" t="s">
        <v>281</v>
      </c>
      <c r="C24" s="134">
        <f>'[5]10.1.2'!D25</f>
        <v>0</v>
      </c>
      <c r="D24" s="134">
        <f>'[5]10.1.2'!E25</f>
        <v>0</v>
      </c>
      <c r="E24" s="134">
        <f>'[5]10.1.2'!F25</f>
        <v>1613.4994578008432</v>
      </c>
      <c r="F24" s="134">
        <f>'[5]10.1.2'!G25</f>
        <v>974.49580039739692</v>
      </c>
      <c r="G24" s="134">
        <f>'[5]10.1.2'!H25</f>
        <v>71.876358896631075</v>
      </c>
      <c r="H24" s="134">
        <f>'[5]10.1.2'!I25</f>
        <v>0</v>
      </c>
      <c r="I24" s="134">
        <f>'[5]10.1.2'!K25</f>
        <v>0</v>
      </c>
      <c r="J24" s="134">
        <f>'[5]10.1.2'!L25</f>
        <v>2.2662054125461513</v>
      </c>
      <c r="K24" s="134">
        <f>'[5]10.1.2'!M25</f>
        <v>0</v>
      </c>
      <c r="L24" s="134">
        <f>'[5]10.1.2'!N25</f>
        <v>0</v>
      </c>
      <c r="M24" s="134">
        <f>'[5]10.1.2'!S25</f>
        <v>3.6369425122475865</v>
      </c>
      <c r="N24" s="134">
        <f>'[5]10.1.2'!T25</f>
        <v>5.5364820827928867</v>
      </c>
      <c r="O24" s="134">
        <f t="shared" si="13"/>
        <v>2671.3112471024583</v>
      </c>
      <c r="P24" s="134">
        <f t="shared" si="14"/>
        <v>2671.3112471024583</v>
      </c>
    </row>
    <row r="25" spans="1:17" s="2" customFormat="1" ht="11.25" x14ac:dyDescent="0.2">
      <c r="A25" s="223">
        <f t="shared" si="10"/>
        <v>17</v>
      </c>
      <c r="B25" s="201" t="s">
        <v>107</v>
      </c>
      <c r="C25" s="220">
        <f>'[5]10.1.2'!D30</f>
        <v>298.56030606629031</v>
      </c>
      <c r="D25" s="220">
        <f>'[5]10.1.2'!E30</f>
        <v>156173.81093202587</v>
      </c>
      <c r="E25" s="220">
        <f>'[5]10.1.2'!F30</f>
        <v>5338.711622870338</v>
      </c>
      <c r="F25" s="220">
        <f>'[5]10.1.2'!G30</f>
        <v>1329.1200648232168</v>
      </c>
      <c r="G25" s="220">
        <f>'[5]10.1.2'!H30</f>
        <v>0</v>
      </c>
      <c r="H25" s="220">
        <f>'[5]10.1.2'!I30</f>
        <v>848.14859933836328</v>
      </c>
      <c r="I25" s="220">
        <f>'[5]10.1.2'!K30</f>
        <v>94.584005076610978</v>
      </c>
      <c r="J25" s="220">
        <f>'[5]10.1.2'!L30</f>
        <v>0</v>
      </c>
      <c r="K25" s="220">
        <f>'[5]10.1.2'!M30</f>
        <v>0</v>
      </c>
      <c r="L25" s="220">
        <f>'[5]10.1.2'!N30</f>
        <v>0</v>
      </c>
      <c r="M25" s="220">
        <f>'[5]10.1.2'!S30</f>
        <v>758.92180445812767</v>
      </c>
      <c r="N25" s="220">
        <f>'[5]10.1.2'!T30</f>
        <v>342.89333499695908</v>
      </c>
      <c r="O25" s="220">
        <f>SUM(C25:J25)+SUM(M25:N25)</f>
        <v>165184.75066965577</v>
      </c>
      <c r="P25" s="220">
        <f t="shared" si="14"/>
        <v>165184.75066965577</v>
      </c>
      <c r="Q25" s="47"/>
    </row>
    <row r="26" spans="1:17" s="2" customFormat="1" ht="11.25" x14ac:dyDescent="0.2">
      <c r="A26" s="83">
        <f t="shared" si="10"/>
        <v>18</v>
      </c>
      <c r="B26" s="50" t="s">
        <v>136</v>
      </c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</row>
    <row r="27" spans="1:17" s="2" customFormat="1" ht="11.25" x14ac:dyDescent="0.2">
      <c r="A27" s="83">
        <f t="shared" si="10"/>
        <v>19</v>
      </c>
      <c r="B27" s="206" t="s">
        <v>196</v>
      </c>
      <c r="C27" s="134">
        <f>'[5]10.1.2'!D32</f>
        <v>1.2292402672257201</v>
      </c>
      <c r="D27" s="134">
        <f>'[5]10.1.2'!E32</f>
        <v>5103.7584592142357</v>
      </c>
      <c r="E27" s="134">
        <f>'[5]10.1.2'!F32</f>
        <v>282.74940692426031</v>
      </c>
      <c r="F27" s="134">
        <f>'[5]10.1.2'!G32</f>
        <v>761.49220514563228</v>
      </c>
      <c r="G27" s="134">
        <f>'[5]10.1.2'!H32</f>
        <v>1.5028953673864085</v>
      </c>
      <c r="H27" s="134">
        <f>'[5]10.1.2'!I32</f>
        <v>15.546448500732623</v>
      </c>
      <c r="I27" s="134">
        <f>'[5]10.1.2'!K32</f>
        <v>0</v>
      </c>
      <c r="J27" s="134">
        <f>'[5]10.1.2'!L32</f>
        <v>2.2662054125461513</v>
      </c>
      <c r="K27" s="134">
        <f>'[5]10.1.2'!M32</f>
        <v>7.4203257386232568</v>
      </c>
      <c r="L27" s="134">
        <f>'[5]10.1.2'!N32</f>
        <v>0</v>
      </c>
      <c r="M27" s="134">
        <f>'[5]10.1.2'!S32</f>
        <v>32.400546012058228</v>
      </c>
      <c r="N27" s="134">
        <f>'[5]10.1.2'!T32</f>
        <v>12.912018527235345</v>
      </c>
      <c r="O27" s="134">
        <f t="shared" ref="O27:O29" si="15">SUM(C27:J27)+SUM(M27:N27)</f>
        <v>6213.8574253713123</v>
      </c>
      <c r="P27" s="134">
        <f t="shared" ref="P27:P30" si="16">SUM(C27:N27)</f>
        <v>6221.2777511099348</v>
      </c>
    </row>
    <row r="28" spans="1:17" s="2" customFormat="1" ht="11.25" x14ac:dyDescent="0.2">
      <c r="A28" s="83">
        <f t="shared" si="10"/>
        <v>20</v>
      </c>
      <c r="B28" s="206" t="s">
        <v>197</v>
      </c>
      <c r="C28" s="134">
        <f>'[5]10.1.2'!D33</f>
        <v>0</v>
      </c>
      <c r="D28" s="134">
        <f>'[5]10.1.2'!E33</f>
        <v>0</v>
      </c>
      <c r="E28" s="134">
        <f>'[5]10.1.2'!F33</f>
        <v>20201.550653223152</v>
      </c>
      <c r="F28" s="134">
        <f>'[5]10.1.2'!G33</f>
        <v>50075.726112833625</v>
      </c>
      <c r="G28" s="134">
        <f>'[5]10.1.2'!H33</f>
        <v>2071.9959198145962</v>
      </c>
      <c r="H28" s="134">
        <f>'[5]10.1.2'!I33</f>
        <v>0</v>
      </c>
      <c r="I28" s="134">
        <f>'[5]10.1.2'!K33</f>
        <v>0</v>
      </c>
      <c r="J28" s="134">
        <f>'[5]10.1.2'!L33</f>
        <v>6.8269987760241451</v>
      </c>
      <c r="K28" s="134">
        <f>'[5]10.1.2'!M33</f>
        <v>0.64895074922588547</v>
      </c>
      <c r="L28" s="134">
        <f>'[5]10.1.2'!N33</f>
        <v>69.173682095437968</v>
      </c>
      <c r="M28" s="134">
        <f>'[5]10.1.2'!S33</f>
        <v>70.18025591502979</v>
      </c>
      <c r="N28" s="134">
        <f>'[5]10.1.2'!T33</f>
        <v>150.58404892322591</v>
      </c>
      <c r="O28" s="134">
        <f t="shared" si="15"/>
        <v>72576.863989485661</v>
      </c>
      <c r="P28" s="134">
        <f t="shared" si="16"/>
        <v>72646.686622330308</v>
      </c>
    </row>
    <row r="29" spans="1:17" s="2" customFormat="1" ht="11.25" x14ac:dyDescent="0.2">
      <c r="A29" s="82">
        <f t="shared" si="10"/>
        <v>21</v>
      </c>
      <c r="B29" s="219" t="s">
        <v>203</v>
      </c>
      <c r="C29" s="134">
        <f>'[5]10.1.2'!D34</f>
        <v>0</v>
      </c>
      <c r="D29" s="134">
        <f>'[5]10.1.2'!E34</f>
        <v>0</v>
      </c>
      <c r="E29" s="134">
        <f>'[5]10.1.2'!F34</f>
        <v>5023.6908884272525</v>
      </c>
      <c r="F29" s="134">
        <f>'[5]10.1.2'!G34</f>
        <v>15842.355837410661</v>
      </c>
      <c r="G29" s="134">
        <f>'[5]10.1.2'!H34</f>
        <v>1011.6845689178235</v>
      </c>
      <c r="H29" s="134">
        <f>'[5]10.1.2'!I34</f>
        <v>0</v>
      </c>
      <c r="I29" s="134">
        <f>'[5]10.1.2'!K34</f>
        <v>0</v>
      </c>
      <c r="J29" s="134">
        <f>'[5]10.1.2'!L34</f>
        <v>16.152046532304816</v>
      </c>
      <c r="K29" s="134">
        <f>'[5]10.1.2'!M34</f>
        <v>18.236171559054682</v>
      </c>
      <c r="L29" s="134">
        <f>'[5]10.1.2'!N34</f>
        <v>237.35058949475555</v>
      </c>
      <c r="M29" s="134">
        <f>'[5]10.1.2'!S34</f>
        <v>21.467440797062945</v>
      </c>
      <c r="N29" s="134">
        <f>'[5]10.1.2'!T34</f>
        <v>46.051373701473317</v>
      </c>
      <c r="O29" s="134">
        <f t="shared" si="15"/>
        <v>21961.402155786578</v>
      </c>
      <c r="P29" s="134">
        <f t="shared" si="16"/>
        <v>22216.98891684039</v>
      </c>
    </row>
    <row r="30" spans="1:17" s="2" customFormat="1" ht="11.25" x14ac:dyDescent="0.2">
      <c r="A30" s="223">
        <f>A29+1</f>
        <v>22</v>
      </c>
      <c r="B30" s="353" t="s">
        <v>61</v>
      </c>
      <c r="C30" s="220">
        <f>'[5]10.1.2'!D62</f>
        <v>405945.70696018171</v>
      </c>
      <c r="D30" s="220">
        <f>'[5]10.1.2'!E62</f>
        <v>685180.1750922089</v>
      </c>
      <c r="E30" s="220">
        <f>'[5]10.1.2'!F62</f>
        <v>665898.40024489083</v>
      </c>
      <c r="F30" s="220">
        <f>'[5]10.1.2'!G62</f>
        <v>1688416.5088233629</v>
      </c>
      <c r="G30" s="220">
        <f>'[5]10.1.2'!H62</f>
        <v>82224.463609206912</v>
      </c>
      <c r="H30" s="220">
        <f>'[5]10.1.2'!I62</f>
        <v>108345.79966415398</v>
      </c>
      <c r="I30" s="220">
        <f>'[5]10.1.2'!K62</f>
        <v>881428.26049767761</v>
      </c>
      <c r="J30" s="220">
        <f>'[5]10.1.2'!L62</f>
        <v>1330.0370813901454</v>
      </c>
      <c r="K30" s="220">
        <f>'[5]10.1.2'!M62</f>
        <v>8548.1628104294068</v>
      </c>
      <c r="L30" s="220">
        <f>'[5]10.1.2'!N62</f>
        <v>36897.344890200431</v>
      </c>
      <c r="M30" s="220">
        <f>'[5]10.1.2'!S62</f>
        <v>33862.56354760228</v>
      </c>
      <c r="N30" s="220">
        <f>'[5]10.1.2'!T62</f>
        <v>9863.6056319989038</v>
      </c>
      <c r="O30" s="220">
        <f>SUM(C30:J30)+SUM(M30:N30)</f>
        <v>4562495.5211526742</v>
      </c>
      <c r="P30" s="220">
        <f t="shared" si="16"/>
        <v>4607941.0288533028</v>
      </c>
      <c r="Q30" s="47"/>
    </row>
    <row r="31" spans="1:17" x14ac:dyDescent="0.2">
      <c r="H31" s="147"/>
    </row>
    <row r="35" spans="2:2" x14ac:dyDescent="0.2">
      <c r="B35" s="248"/>
    </row>
  </sheetData>
  <phoneticPr fontId="11" type="noConversion"/>
  <pageMargins left="0.75" right="0.75" top="1" bottom="1" header="0.5" footer="0.5"/>
  <pageSetup orientation="portrait" r:id="rId1"/>
  <headerFooter alignWithMargins="0">
    <oddHeader>&amp;RUSPS-FY09-19</oddHeader>
  </headerFooter>
  <ignoredErrors>
    <ignoredError sqref="G7:P7 C7:F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tabColor rgb="FF92D050"/>
  </sheetPr>
  <dimension ref="A1:O47"/>
  <sheetViews>
    <sheetView topLeftCell="B1" zoomScaleNormal="100" workbookViewId="0">
      <pane ySplit="5" topLeftCell="A6" activePane="bottomLeft" state="frozen"/>
      <selection pane="bottomLeft" activeCell="J28" sqref="J28"/>
    </sheetView>
  </sheetViews>
  <sheetFormatPr defaultColWidth="14.7109375" defaultRowHeight="12.75" x14ac:dyDescent="0.2"/>
  <sheetData>
    <row r="1" spans="1:13" x14ac:dyDescent="0.2">
      <c r="A1" s="92" t="str">
        <f>Inputs!$C$4</f>
        <v>Unit Delivery Cost Model -  12/16/2025</v>
      </c>
    </row>
    <row r="2" spans="1:13" x14ac:dyDescent="0.2">
      <c r="A2" s="1" t="s">
        <v>116</v>
      </c>
    </row>
    <row r="3" spans="1:13" x14ac:dyDescent="0.2">
      <c r="A3" s="11" t="s">
        <v>548</v>
      </c>
    </row>
    <row r="4" spans="1:13" x14ac:dyDescent="0.2">
      <c r="C4" s="13"/>
      <c r="D4" s="175"/>
    </row>
    <row r="5" spans="1:13" s="2" customFormat="1" ht="22.5" x14ac:dyDescent="0.2">
      <c r="A5" s="52" t="s">
        <v>8</v>
      </c>
      <c r="B5" s="144" t="s">
        <v>115</v>
      </c>
      <c r="C5" s="53" t="s">
        <v>48</v>
      </c>
      <c r="D5" s="53" t="s">
        <v>277</v>
      </c>
      <c r="E5" s="52" t="s">
        <v>16</v>
      </c>
      <c r="F5" s="52" t="s">
        <v>429</v>
      </c>
      <c r="G5" s="52" t="s">
        <v>430</v>
      </c>
      <c r="H5" s="52" t="s">
        <v>431</v>
      </c>
      <c r="I5" s="52" t="s">
        <v>111</v>
      </c>
      <c r="J5" s="52" t="s">
        <v>114</v>
      </c>
      <c r="K5" s="53" t="s">
        <v>51</v>
      </c>
      <c r="L5" s="53" t="s">
        <v>435</v>
      </c>
      <c r="M5" s="53" t="s">
        <v>269</v>
      </c>
    </row>
    <row r="6" spans="1:13" s="2" customFormat="1" ht="11.25" x14ac:dyDescent="0.2">
      <c r="A6" s="91"/>
      <c r="B6" s="87" t="s">
        <v>109</v>
      </c>
      <c r="C6" s="21">
        <v>-1</v>
      </c>
      <c r="D6" s="21">
        <f t="shared" ref="D6" si="0">C6-1</f>
        <v>-2</v>
      </c>
      <c r="E6" s="21">
        <f t="shared" ref="E6" si="1">D6-1</f>
        <v>-3</v>
      </c>
      <c r="F6" s="21">
        <f t="shared" ref="F6" si="2">E6-1</f>
        <v>-4</v>
      </c>
      <c r="G6" s="21">
        <f t="shared" ref="G6" si="3">F6-1</f>
        <v>-5</v>
      </c>
      <c r="H6" s="21">
        <f t="shared" ref="H6" si="4">G6-1</f>
        <v>-6</v>
      </c>
      <c r="I6" s="21">
        <f t="shared" ref="I6" si="5">H6-1</f>
        <v>-7</v>
      </c>
      <c r="J6" s="21">
        <f t="shared" ref="J6" si="6">I6-1</f>
        <v>-8</v>
      </c>
      <c r="K6" s="21">
        <f t="shared" ref="K6" si="7">J6-1</f>
        <v>-9</v>
      </c>
      <c r="L6" s="21">
        <f t="shared" ref="L6:M6" si="8">K6-1</f>
        <v>-10</v>
      </c>
      <c r="M6" s="21">
        <f t="shared" si="8"/>
        <v>-11</v>
      </c>
    </row>
    <row r="7" spans="1:13" s="2" customFormat="1" ht="11.25" x14ac:dyDescent="0.2">
      <c r="A7" s="89"/>
      <c r="B7" s="86" t="s">
        <v>44</v>
      </c>
      <c r="C7" s="89" t="s">
        <v>5</v>
      </c>
      <c r="D7" s="89" t="s">
        <v>5</v>
      </c>
      <c r="E7" s="89" t="s">
        <v>5</v>
      </c>
      <c r="F7" s="89" t="s">
        <v>5</v>
      </c>
      <c r="G7" s="89" t="s">
        <v>5</v>
      </c>
      <c r="H7" s="89" t="s">
        <v>5</v>
      </c>
      <c r="I7" s="89" t="s">
        <v>5</v>
      </c>
      <c r="J7" s="89" t="s">
        <v>5</v>
      </c>
      <c r="K7" s="89" t="s">
        <v>5</v>
      </c>
      <c r="L7" s="89" t="s">
        <v>5</v>
      </c>
      <c r="M7" s="89" t="s">
        <v>5</v>
      </c>
    </row>
    <row r="8" spans="1:13" s="2" customFormat="1" ht="22.5" x14ac:dyDescent="0.2">
      <c r="A8" s="90"/>
      <c r="B8" s="84" t="s">
        <v>100</v>
      </c>
      <c r="C8" s="58"/>
      <c r="D8" s="58"/>
      <c r="E8" s="58"/>
      <c r="F8" s="58"/>
      <c r="G8" s="58"/>
      <c r="H8" s="58"/>
      <c r="I8" s="58"/>
      <c r="J8" s="311" t="s">
        <v>113</v>
      </c>
      <c r="K8" s="58"/>
      <c r="L8" s="58"/>
      <c r="M8" s="58"/>
    </row>
    <row r="9" spans="1:13" s="2" customFormat="1" ht="11.25" x14ac:dyDescent="0.2">
      <c r="A9" s="37">
        <v>1</v>
      </c>
      <c r="B9" s="19" t="s">
        <v>108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s="2" customFormat="1" ht="11.25" x14ac:dyDescent="0.2">
      <c r="A10" s="49">
        <f t="shared" ref="A10:A31" si="9">A9+1</f>
        <v>2</v>
      </c>
      <c r="B10" s="30" t="s">
        <v>63</v>
      </c>
      <c r="C10" s="134">
        <f>'[5]Inputs DK'!$F11</f>
        <v>319780.68089636124</v>
      </c>
      <c r="D10" s="134">
        <f>'[5]Inputs DK'!$E11</f>
        <v>2453387.3380321576</v>
      </c>
      <c r="E10" s="134">
        <f>'[5]Inputs DK'!G11</f>
        <v>5279.5744485247687</v>
      </c>
      <c r="F10" s="134">
        <f>'[5]Inputs DK'!H11</f>
        <v>0</v>
      </c>
      <c r="G10" s="134">
        <f>'[5]Inputs DK'!I11</f>
        <v>0</v>
      </c>
      <c r="H10" s="134">
        <f>'[5]Inputs DK'!J11</f>
        <v>0</v>
      </c>
      <c r="I10" s="134">
        <f>'[5]Inputs DK'!K11</f>
        <v>0</v>
      </c>
      <c r="J10" s="134">
        <f>SUM(C10:H10)</f>
        <v>2778447.593377044</v>
      </c>
      <c r="K10" s="134">
        <f>'[5]Inputs DK'!M11</f>
        <v>536.93706384059851</v>
      </c>
      <c r="L10" s="134">
        <f>'[5]Inputs DK'!N11</f>
        <v>1174553</v>
      </c>
      <c r="M10" s="134">
        <f>'[5]Inputs DK'!P11</f>
        <v>0</v>
      </c>
    </row>
    <row r="11" spans="1:13" s="2" customFormat="1" ht="11.25" x14ac:dyDescent="0.2">
      <c r="A11" s="49">
        <f t="shared" si="9"/>
        <v>3</v>
      </c>
      <c r="B11" s="30" t="s">
        <v>65</v>
      </c>
      <c r="C11" s="134">
        <f>'[5]Inputs DK'!$F12</f>
        <v>24785.934725034331</v>
      </c>
      <c r="D11" s="134">
        <f>'[5]Inputs DK'!$E12</f>
        <v>88048.066727183832</v>
      </c>
      <c r="E11" s="134">
        <f>'[5]Inputs DK'!G12</f>
        <v>43.601966085974283</v>
      </c>
      <c r="F11" s="134">
        <f>'[5]Inputs DK'!H12</f>
        <v>0</v>
      </c>
      <c r="G11" s="134">
        <f>'[5]Inputs DK'!I12</f>
        <v>0</v>
      </c>
      <c r="H11" s="134">
        <f>'[5]Inputs DK'!J12</f>
        <v>0</v>
      </c>
      <c r="I11" s="134">
        <f>'[5]Inputs DK'!K12</f>
        <v>0</v>
      </c>
      <c r="J11" s="134">
        <f t="shared" ref="J11:J15" si="10">SUM(C11:H11)</f>
        <v>112877.60341830413</v>
      </c>
      <c r="K11" s="134">
        <f>'[5]Inputs DK'!M12</f>
        <v>3.9207200772200768</v>
      </c>
      <c r="L11" s="134">
        <f>'[5]Inputs DK'!N12</f>
        <v>0</v>
      </c>
      <c r="M11" s="134">
        <f>'[5]Inputs DK'!P12</f>
        <v>0</v>
      </c>
    </row>
    <row r="12" spans="1:13" s="2" customFormat="1" ht="11.25" x14ac:dyDescent="0.2">
      <c r="A12" s="49">
        <f t="shared" si="9"/>
        <v>4</v>
      </c>
      <c r="B12" s="30" t="s">
        <v>64</v>
      </c>
      <c r="C12" s="134">
        <f>'[5]Inputs DK'!$F13</f>
        <v>608340.98418545979</v>
      </c>
      <c r="D12" s="134">
        <f>'[5]Inputs DK'!$E13</f>
        <v>9356054.1318591889</v>
      </c>
      <c r="E12" s="134">
        <f>'[5]Inputs DK'!G13</f>
        <v>8070.1664445927918</v>
      </c>
      <c r="F12" s="134">
        <f>'[5]Inputs DK'!H13</f>
        <v>0</v>
      </c>
      <c r="G12" s="134">
        <f>'[5]Inputs DK'!I13</f>
        <v>0</v>
      </c>
      <c r="H12" s="134">
        <f>'[5]Inputs DK'!J13</f>
        <v>0</v>
      </c>
      <c r="I12" s="134">
        <f>'[5]Inputs DK'!K13</f>
        <v>0</v>
      </c>
      <c r="J12" s="134">
        <f t="shared" si="10"/>
        <v>9972465.2824892402</v>
      </c>
      <c r="K12" s="134">
        <f>'[5]Inputs DK'!M13</f>
        <v>0</v>
      </c>
      <c r="L12" s="134">
        <f>'[5]Inputs DK'!N13</f>
        <v>0</v>
      </c>
      <c r="M12" s="134">
        <f>'[5]Inputs DK'!P13</f>
        <v>0</v>
      </c>
    </row>
    <row r="13" spans="1:13" s="2" customFormat="1" ht="11.25" x14ac:dyDescent="0.2">
      <c r="A13" s="49">
        <f t="shared" si="9"/>
        <v>5</v>
      </c>
      <c r="B13" s="30" t="s">
        <v>66</v>
      </c>
      <c r="C13" s="134">
        <f>'[5]Inputs DK'!$F14</f>
        <v>48685.288725713035</v>
      </c>
      <c r="D13" s="134">
        <f>'[5]Inputs DK'!$E14</f>
        <v>718613.98737041792</v>
      </c>
      <c r="E13" s="134">
        <f>'[5]Inputs DK'!G14</f>
        <v>127.81158465819512</v>
      </c>
      <c r="F13" s="134">
        <f>'[5]Inputs DK'!H14</f>
        <v>0</v>
      </c>
      <c r="G13" s="134">
        <f>'[5]Inputs DK'!I14</f>
        <v>3.9207200772200768</v>
      </c>
      <c r="H13" s="134">
        <f>'[5]Inputs DK'!J14</f>
        <v>0</v>
      </c>
      <c r="I13" s="134">
        <f>'[5]Inputs DK'!K14</f>
        <v>0</v>
      </c>
      <c r="J13" s="134">
        <f t="shared" si="10"/>
        <v>767431.00840086641</v>
      </c>
      <c r="K13" s="134">
        <f>'[5]Inputs DK'!M14</f>
        <v>0</v>
      </c>
      <c r="L13" s="134">
        <f>'[5]Inputs DK'!N14</f>
        <v>0</v>
      </c>
      <c r="M13" s="134">
        <f>'[5]Inputs DK'!P14</f>
        <v>0</v>
      </c>
    </row>
    <row r="14" spans="1:13" s="2" customFormat="1" ht="11.25" x14ac:dyDescent="0.2">
      <c r="A14" s="49">
        <f t="shared" si="9"/>
        <v>6</v>
      </c>
      <c r="B14" s="206" t="s">
        <v>189</v>
      </c>
      <c r="C14" s="134">
        <f>'[5]Inputs DK'!$F15</f>
        <v>11.968546664021908</v>
      </c>
      <c r="D14" s="134">
        <f>'[5]Inputs DK'!$E15</f>
        <v>0</v>
      </c>
      <c r="E14" s="134">
        <f>'[5]Inputs DK'!G15</f>
        <v>121531.84164461466</v>
      </c>
      <c r="F14" s="134">
        <f>'[5]Inputs DK'!H15</f>
        <v>0</v>
      </c>
      <c r="G14" s="134">
        <f>'[5]Inputs DK'!I15</f>
        <v>0</v>
      </c>
      <c r="H14" s="134">
        <f>'[5]Inputs DK'!J15</f>
        <v>0</v>
      </c>
      <c r="I14" s="134">
        <f>'[5]Inputs DK'!K15</f>
        <v>0</v>
      </c>
      <c r="J14" s="134">
        <f t="shared" si="10"/>
        <v>121543.81019127868</v>
      </c>
      <c r="K14" s="134">
        <f>'[5]Inputs DK'!M15</f>
        <v>349.78015929892695</v>
      </c>
      <c r="L14" s="134">
        <f>'[5]Inputs DK'!N15</f>
        <v>0</v>
      </c>
      <c r="M14" s="134">
        <f>'[5]Inputs DK'!P15</f>
        <v>0</v>
      </c>
    </row>
    <row r="15" spans="1:13" s="2" customFormat="1" ht="11.25" x14ac:dyDescent="0.2">
      <c r="A15" s="88">
        <f t="shared" si="9"/>
        <v>7</v>
      </c>
      <c r="B15" s="219" t="s">
        <v>190</v>
      </c>
      <c r="C15" s="134">
        <f>'[5]Inputs DK'!$F16</f>
        <v>8.0329679163938259</v>
      </c>
      <c r="D15" s="134">
        <f>'[5]Inputs DK'!$E16</f>
        <v>0</v>
      </c>
      <c r="E15" s="134">
        <f>'[5]Inputs DK'!G16</f>
        <v>152734.31997765251</v>
      </c>
      <c r="F15" s="134">
        <f>'[5]Inputs DK'!H16</f>
        <v>0</v>
      </c>
      <c r="G15" s="134">
        <f>'[5]Inputs DK'!I16</f>
        <v>0</v>
      </c>
      <c r="H15" s="134">
        <f>'[5]Inputs DK'!J16</f>
        <v>0</v>
      </c>
      <c r="I15" s="134">
        <f>'[5]Inputs DK'!K16</f>
        <v>0</v>
      </c>
      <c r="J15" s="134">
        <f t="shared" si="10"/>
        <v>152742.35294556891</v>
      </c>
      <c r="K15" s="134">
        <f>'[5]Inputs DK'!M16</f>
        <v>0</v>
      </c>
      <c r="L15" s="134">
        <f>'[5]Inputs DK'!N16</f>
        <v>0</v>
      </c>
      <c r="M15" s="134">
        <f>'[5]Inputs DK'!P16</f>
        <v>0</v>
      </c>
    </row>
    <row r="16" spans="1:13" s="2" customFormat="1" ht="11.25" x14ac:dyDescent="0.2">
      <c r="A16" s="49">
        <f>A15+1</f>
        <v>8</v>
      </c>
      <c r="B16" s="20" t="s">
        <v>351</v>
      </c>
      <c r="C16" s="180"/>
      <c r="D16" s="180"/>
      <c r="E16" s="180"/>
      <c r="F16" s="180"/>
      <c r="G16" s="180"/>
      <c r="H16" s="180"/>
      <c r="I16" s="180"/>
      <c r="J16" s="134">
        <f t="shared" ref="J16:J23" si="11">SUM(C16:I16)</f>
        <v>0</v>
      </c>
      <c r="K16" s="180"/>
      <c r="L16" s="180"/>
      <c r="M16" s="180"/>
    </row>
    <row r="17" spans="1:15" s="2" customFormat="1" ht="11.25" x14ac:dyDescent="0.2">
      <c r="A17" s="49">
        <f t="shared" si="9"/>
        <v>9</v>
      </c>
      <c r="B17" s="126" t="s">
        <v>106</v>
      </c>
      <c r="C17" s="134">
        <f t="shared" ref="C17:K17" si="12">SUM(C18:C21)</f>
        <v>470749.85565440706</v>
      </c>
      <c r="D17" s="134">
        <f t="shared" si="12"/>
        <v>1733992.0011934331</v>
      </c>
      <c r="E17" s="134">
        <f t="shared" si="12"/>
        <v>2569469.6817834517</v>
      </c>
      <c r="F17" s="134">
        <f t="shared" si="12"/>
        <v>0</v>
      </c>
      <c r="G17" s="134">
        <f t="shared" si="12"/>
        <v>0</v>
      </c>
      <c r="H17" s="134">
        <f t="shared" si="12"/>
        <v>0</v>
      </c>
      <c r="I17" s="134">
        <f t="shared" si="12"/>
        <v>1605978.8045811423</v>
      </c>
      <c r="J17" s="134">
        <f t="shared" si="11"/>
        <v>6380190.3432124341</v>
      </c>
      <c r="K17" s="134">
        <f t="shared" si="12"/>
        <v>0</v>
      </c>
      <c r="L17" s="134">
        <f t="shared" ref="L17:M17" si="13">SUM(L18:L21)</f>
        <v>0</v>
      </c>
      <c r="M17" s="134">
        <f t="shared" si="13"/>
        <v>0</v>
      </c>
      <c r="O17" s="47"/>
    </row>
    <row r="18" spans="1:15" s="2" customFormat="1" ht="11.25" x14ac:dyDescent="0.2">
      <c r="A18" s="49">
        <f t="shared" si="9"/>
        <v>10</v>
      </c>
      <c r="B18" s="153" t="s">
        <v>198</v>
      </c>
      <c r="C18" s="134">
        <f>'[5]Inputs DK'!$F19</f>
        <v>468996.62671882298</v>
      </c>
      <c r="D18" s="134">
        <f>'[5]Inputs DK'!$E19</f>
        <v>1730656.3358446942</v>
      </c>
      <c r="E18" s="134">
        <f>'[5]Inputs DK'!$G19</f>
        <v>13038.649562969142</v>
      </c>
      <c r="F18" s="134">
        <f>'[5]Inputs DK'!H19</f>
        <v>0</v>
      </c>
      <c r="G18" s="134">
        <f>'[5]Inputs DK'!I19</f>
        <v>0</v>
      </c>
      <c r="H18" s="134">
        <f>'[5]Inputs DK'!J19</f>
        <v>0</v>
      </c>
      <c r="I18" s="134">
        <f>'[5]Inputs DK'!K19</f>
        <v>206513.68433607538</v>
      </c>
      <c r="J18" s="134">
        <f t="shared" si="11"/>
        <v>2419205.2964625619</v>
      </c>
      <c r="K18" s="134">
        <f>'[5]Inputs DK'!M19</f>
        <v>0</v>
      </c>
      <c r="L18" s="134">
        <f>'[5]Inputs DK'!N19</f>
        <v>0</v>
      </c>
      <c r="M18" s="134">
        <f>'[5]Inputs DK'!P19</f>
        <v>0</v>
      </c>
    </row>
    <row r="19" spans="1:15" s="2" customFormat="1" ht="11.25" x14ac:dyDescent="0.2">
      <c r="A19" s="49">
        <f t="shared" si="9"/>
        <v>11</v>
      </c>
      <c r="B19" s="153" t="s">
        <v>199</v>
      </c>
      <c r="C19" s="134">
        <f>'[5]Inputs DK'!$F20</f>
        <v>574.91811799597554</v>
      </c>
      <c r="D19" s="134">
        <f>'[5]Inputs DK'!$E20</f>
        <v>0</v>
      </c>
      <c r="E19" s="134">
        <f>'[5]Inputs DK'!$G20</f>
        <v>1487464.9607743204</v>
      </c>
      <c r="F19" s="134">
        <f>'[5]Inputs DK'!H20</f>
        <v>0</v>
      </c>
      <c r="G19" s="134">
        <f>'[5]Inputs DK'!I20</f>
        <v>0</v>
      </c>
      <c r="H19" s="134">
        <f>'[5]Inputs DK'!J20</f>
        <v>0</v>
      </c>
      <c r="I19" s="134">
        <f>'[5]Inputs DK'!K20</f>
        <v>1129595.6704067294</v>
      </c>
      <c r="J19" s="134">
        <f t="shared" ref="J19:J21" si="14">SUM(C19:I19)</f>
        <v>2617635.5492990459</v>
      </c>
      <c r="K19" s="134">
        <f>'[5]Inputs DK'!M20</f>
        <v>0</v>
      </c>
      <c r="L19" s="134">
        <f>'[5]Inputs DK'!N20</f>
        <v>0</v>
      </c>
      <c r="M19" s="134">
        <f>'[5]Inputs DK'!P20</f>
        <v>0</v>
      </c>
    </row>
    <row r="20" spans="1:15" s="2" customFormat="1" ht="11.25" x14ac:dyDescent="0.2">
      <c r="A20" s="49">
        <f t="shared" si="9"/>
        <v>12</v>
      </c>
      <c r="B20" s="149" t="s">
        <v>289</v>
      </c>
      <c r="C20" s="134">
        <f>'[5]Inputs DK'!$F21</f>
        <v>0</v>
      </c>
      <c r="D20" s="134">
        <f>'[5]Inputs DK'!$E21</f>
        <v>0</v>
      </c>
      <c r="E20" s="134">
        <f>'[5]Inputs DK'!$G21</f>
        <v>0</v>
      </c>
      <c r="F20" s="134">
        <f>'[5]Inputs DK'!H21</f>
        <v>0</v>
      </c>
      <c r="G20" s="134">
        <f>'[5]Inputs DK'!I21</f>
        <v>0</v>
      </c>
      <c r="H20" s="134">
        <f>'[5]Inputs DK'!J21</f>
        <v>0</v>
      </c>
      <c r="I20" s="134">
        <f>'[5]Inputs DK'!K21</f>
        <v>244656.83658735105</v>
      </c>
      <c r="J20" s="134">
        <f t="shared" si="14"/>
        <v>244656.83658735105</v>
      </c>
      <c r="K20" s="134">
        <f>'[5]Inputs DK'!M21</f>
        <v>0</v>
      </c>
      <c r="L20" s="134">
        <f>'[5]Inputs DK'!N21</f>
        <v>0</v>
      </c>
      <c r="M20" s="134">
        <f>'[5]Inputs DK'!P21</f>
        <v>0</v>
      </c>
    </row>
    <row r="21" spans="1:15" s="2" customFormat="1" ht="11.25" x14ac:dyDescent="0.2">
      <c r="A21" s="49">
        <f t="shared" si="9"/>
        <v>13</v>
      </c>
      <c r="B21" s="153" t="s">
        <v>193</v>
      </c>
      <c r="C21" s="134">
        <f>'[5]Inputs DK'!$F22</f>
        <v>1178.3108175881282</v>
      </c>
      <c r="D21" s="134">
        <f>'[5]Inputs DK'!$E22</f>
        <v>3335.6653487389949</v>
      </c>
      <c r="E21" s="134">
        <f>'[5]Inputs DK'!$G22</f>
        <v>1068966.0714461622</v>
      </c>
      <c r="F21" s="134">
        <f>'[5]Inputs DK'!H22</f>
        <v>0</v>
      </c>
      <c r="G21" s="134">
        <f>'[5]Inputs DK'!I22</f>
        <v>0</v>
      </c>
      <c r="H21" s="134">
        <f>'[5]Inputs DK'!J22</f>
        <v>0</v>
      </c>
      <c r="I21" s="134">
        <f>'[5]Inputs DK'!K22</f>
        <v>25212.613250986476</v>
      </c>
      <c r="J21" s="134">
        <f t="shared" si="14"/>
        <v>1098692.6608634756</v>
      </c>
      <c r="K21" s="134">
        <f>'[5]Inputs DK'!M22</f>
        <v>0</v>
      </c>
      <c r="L21" s="134">
        <f>'[5]Inputs DK'!N22</f>
        <v>0</v>
      </c>
      <c r="M21" s="134">
        <f>'[5]Inputs DK'!P22</f>
        <v>0</v>
      </c>
    </row>
    <row r="22" spans="1:15" s="2" customFormat="1" ht="11.25" x14ac:dyDescent="0.2">
      <c r="A22" s="49">
        <f>A21+1</f>
        <v>14</v>
      </c>
      <c r="B22" s="126" t="s">
        <v>105</v>
      </c>
      <c r="C22" s="134">
        <f t="shared" ref="C22:D22" si="15">SUM(C23:C25)</f>
        <v>1107000.1675965646</v>
      </c>
      <c r="D22" s="134">
        <f t="shared" si="15"/>
        <v>12975443.082181618</v>
      </c>
      <c r="E22" s="134">
        <f t="shared" ref="E22" si="16">SUM(E23:E25)</f>
        <v>700362.13972465356</v>
      </c>
      <c r="F22" s="134">
        <f t="shared" ref="F22:I22" si="17">SUM(F23:F25)</f>
        <v>4088.0896426324325</v>
      </c>
      <c r="G22" s="134">
        <f t="shared" si="17"/>
        <v>643.05396556141761</v>
      </c>
      <c r="H22" s="134">
        <f t="shared" si="17"/>
        <v>131.27934385628893</v>
      </c>
      <c r="I22" s="134">
        <f t="shared" si="17"/>
        <v>6205.0246278084969</v>
      </c>
      <c r="J22" s="134">
        <f t="shared" si="11"/>
        <v>14793872.837082693</v>
      </c>
      <c r="K22" s="134">
        <f>SUM(K23:K25)</f>
        <v>19.795128148054054</v>
      </c>
      <c r="L22" s="134">
        <f t="shared" ref="L22:M22" si="18">SUM(L23:L25)</f>
        <v>0</v>
      </c>
      <c r="M22" s="134">
        <f t="shared" si="18"/>
        <v>0</v>
      </c>
    </row>
    <row r="23" spans="1:15" s="2" customFormat="1" ht="11.25" x14ac:dyDescent="0.2">
      <c r="A23" s="49">
        <f t="shared" si="9"/>
        <v>15</v>
      </c>
      <c r="B23" s="153" t="s">
        <v>201</v>
      </c>
      <c r="C23" s="134">
        <f>'[5]Inputs DK'!$F23</f>
        <v>1106952.940651593</v>
      </c>
      <c r="D23" s="134">
        <f>'[5]Inputs DK'!$E23</f>
        <v>12975443.082181618</v>
      </c>
      <c r="E23" s="134">
        <f>'[5]Inputs DK'!$G23</f>
        <v>17099.53291862824</v>
      </c>
      <c r="F23" s="134">
        <f>'[5]Inputs DK'!H23</f>
        <v>0</v>
      </c>
      <c r="G23" s="134">
        <f>'[5]Inputs DK'!I23</f>
        <v>91.879699968861829</v>
      </c>
      <c r="H23" s="134">
        <f>'[5]Inputs DK'!J23</f>
        <v>0</v>
      </c>
      <c r="I23" s="134">
        <f>'[5]Inputs DK'!K23</f>
        <v>5980.9385778676669</v>
      </c>
      <c r="J23" s="134">
        <f t="shared" si="11"/>
        <v>14105568.374029677</v>
      </c>
      <c r="K23" s="134">
        <f>'[5]Inputs DK'!M23</f>
        <v>8.0181092459858192</v>
      </c>
      <c r="L23" s="134">
        <f>'[5]Inputs DK'!N23</f>
        <v>0</v>
      </c>
      <c r="M23" s="134">
        <f>'[5]Inputs DK'!P23</f>
        <v>0</v>
      </c>
    </row>
    <row r="24" spans="1:15" s="2" customFormat="1" ht="11.25" x14ac:dyDescent="0.2">
      <c r="A24" s="49">
        <f t="shared" si="9"/>
        <v>16</v>
      </c>
      <c r="B24" s="153" t="s">
        <v>202</v>
      </c>
      <c r="C24" s="134">
        <f>'[5]Inputs DK'!$F24</f>
        <v>47.226944971537009</v>
      </c>
      <c r="D24" s="134">
        <f>'[5]Inputs DK'!$E24</f>
        <v>0</v>
      </c>
      <c r="E24" s="134">
        <f>'[5]Inputs DK'!$G24</f>
        <v>683262.60680602537</v>
      </c>
      <c r="F24" s="134">
        <f>'[5]Inputs DK'!H24</f>
        <v>0</v>
      </c>
      <c r="G24" s="134">
        <f>'[5]Inputs DK'!I24</f>
        <v>35.661945534315009</v>
      </c>
      <c r="H24" s="134">
        <f>'[5]Inputs DK'!J24</f>
        <v>0</v>
      </c>
      <c r="I24" s="134">
        <f>'[5]Inputs DK'!K24</f>
        <v>224.08604994083041</v>
      </c>
      <c r="J24" s="134">
        <f t="shared" ref="J24:J25" si="19">SUM(C24:I24)</f>
        <v>683569.58174647193</v>
      </c>
      <c r="K24" s="134">
        <f>'[5]Inputs DK'!M24</f>
        <v>7.8414401544401535</v>
      </c>
      <c r="L24" s="134">
        <f>'[5]Inputs DK'!N24</f>
        <v>0</v>
      </c>
      <c r="M24" s="134">
        <f>'[5]Inputs DK'!P24</f>
        <v>0</v>
      </c>
    </row>
    <row r="25" spans="1:15" s="2" customFormat="1" ht="11.25" x14ac:dyDescent="0.2">
      <c r="A25" s="49">
        <f t="shared" si="9"/>
        <v>17</v>
      </c>
      <c r="B25" s="156" t="s">
        <v>290</v>
      </c>
      <c r="C25" s="134">
        <f>'[5]Inputs DK'!$F25</f>
        <v>0</v>
      </c>
      <c r="D25" s="134">
        <f>'[5]Inputs DK'!$E25</f>
        <v>0</v>
      </c>
      <c r="E25" s="134">
        <f>'[5]Inputs DK'!$G25</f>
        <v>0</v>
      </c>
      <c r="F25" s="134">
        <f>'[5]Inputs DK'!H25</f>
        <v>4088.0896426324325</v>
      </c>
      <c r="G25" s="134">
        <f>'[5]Inputs DK'!I25</f>
        <v>515.51232005824079</v>
      </c>
      <c r="H25" s="134">
        <f>'[5]Inputs DK'!J25</f>
        <v>131.27934385628893</v>
      </c>
      <c r="I25" s="134">
        <f>'[5]Inputs DK'!K25</f>
        <v>0</v>
      </c>
      <c r="J25" s="134">
        <f t="shared" si="19"/>
        <v>4734.8813065469622</v>
      </c>
      <c r="K25" s="134">
        <f>'[5]Inputs DK'!M25</f>
        <v>3.9355787476280835</v>
      </c>
      <c r="L25" s="134">
        <f>'[5]Inputs DK'!N25</f>
        <v>0</v>
      </c>
      <c r="M25" s="134">
        <f>'[5]Inputs DK'!P25</f>
        <v>0</v>
      </c>
    </row>
    <row r="26" spans="1:15" s="2" customFormat="1" ht="11.25" x14ac:dyDescent="0.2">
      <c r="A26" s="216">
        <f t="shared" si="9"/>
        <v>18</v>
      </c>
      <c r="B26" s="94" t="s">
        <v>70</v>
      </c>
      <c r="C26" s="220">
        <f>'[5]Inputs DK'!$F$30</f>
        <v>1911.7622921541772</v>
      </c>
      <c r="D26" s="220">
        <f>'[5]Inputs DK'!$E$30</f>
        <v>2943.0203895342493</v>
      </c>
      <c r="E26" s="220">
        <f>'[5]Inputs DK'!$G30</f>
        <v>1063009.4155670376</v>
      </c>
      <c r="F26" s="220">
        <f>'[5]Inputs DK'!H30</f>
        <v>13526.581360123102</v>
      </c>
      <c r="G26" s="220">
        <f>'[5]Inputs DK'!I30</f>
        <v>703.11002671695678</v>
      </c>
      <c r="H26" s="220">
        <f>'[5]Inputs DK'!J30</f>
        <v>0</v>
      </c>
      <c r="I26" s="220">
        <f>'[5]Inputs DK'!K30</f>
        <v>12721.852270205503</v>
      </c>
      <c r="J26" s="220">
        <f t="shared" ref="J26" si="20">SUM(C26:I26)</f>
        <v>1094815.7419057717</v>
      </c>
      <c r="K26" s="220">
        <f>'[5]Inputs DK'!M30</f>
        <v>0</v>
      </c>
      <c r="L26" s="220">
        <f>'[5]Inputs DK'!N30</f>
        <v>0</v>
      </c>
      <c r="M26" s="220">
        <f>'[5]Inputs DK'!P30</f>
        <v>0</v>
      </c>
    </row>
    <row r="27" spans="1:15" s="14" customFormat="1" ht="11.25" x14ac:dyDescent="0.2">
      <c r="A27" s="49">
        <f t="shared" si="9"/>
        <v>19</v>
      </c>
      <c r="B27" s="51" t="s">
        <v>71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</row>
    <row r="28" spans="1:15" s="14" customFormat="1" ht="11.25" x14ac:dyDescent="0.2">
      <c r="A28" s="49">
        <f>A27+1</f>
        <v>20</v>
      </c>
      <c r="B28" s="206" t="s">
        <v>196</v>
      </c>
      <c r="C28" s="134">
        <f>'[5]Inputs DK'!$F32</f>
        <v>7.8711574952561669</v>
      </c>
      <c r="D28" s="134">
        <f>'[5]Inputs DK'!$E32</f>
        <v>0</v>
      </c>
      <c r="E28" s="134">
        <f>'[5]Inputs DK'!$G32</f>
        <v>34739.136251762546</v>
      </c>
      <c r="F28" s="134">
        <f>'[5]Inputs DK'!H32</f>
        <v>716.39622580536798</v>
      </c>
      <c r="G28" s="134">
        <f>'[5]Inputs DK'!I32</f>
        <v>402.83253475367093</v>
      </c>
      <c r="H28" s="134">
        <f>'[5]Inputs DK'!J32</f>
        <v>2.7449793053497547</v>
      </c>
      <c r="I28" s="134">
        <f>'[5]Inputs DK'!K32</f>
        <v>233.18982228699687</v>
      </c>
      <c r="J28" s="134">
        <f>SUM(C28:I28)</f>
        <v>36102.170971409192</v>
      </c>
      <c r="K28" s="134">
        <f>'[5]Inputs DK'!M32</f>
        <v>3.9355787476280835</v>
      </c>
      <c r="L28" s="134">
        <f>'[5]Inputs DK'!N32</f>
        <v>1132</v>
      </c>
      <c r="M28" s="134">
        <f>'[5]Inputs DK'!P32</f>
        <v>0</v>
      </c>
    </row>
    <row r="29" spans="1:15" s="14" customFormat="1" ht="11.25" x14ac:dyDescent="0.2">
      <c r="A29" s="49">
        <f t="shared" si="9"/>
        <v>21</v>
      </c>
      <c r="B29" s="206" t="s">
        <v>197</v>
      </c>
      <c r="C29" s="134">
        <f>'[5]Inputs DK'!$F33</f>
        <v>0</v>
      </c>
      <c r="D29" s="134">
        <f>'[5]Inputs DK'!$E33</f>
        <v>0</v>
      </c>
      <c r="E29" s="134">
        <f>'[5]Inputs DK'!$G33</f>
        <v>0</v>
      </c>
      <c r="F29" s="134">
        <f>'[5]Inputs DK'!H33</f>
        <v>51184.24403012704</v>
      </c>
      <c r="G29" s="134">
        <f>'[5]Inputs DK'!I33</f>
        <v>26490.26679899569</v>
      </c>
      <c r="H29" s="134">
        <f>'[5]Inputs DK'!J33</f>
        <v>3784.419091364372</v>
      </c>
      <c r="I29" s="134">
        <f>'[5]Inputs DK'!K33</f>
        <v>0</v>
      </c>
      <c r="J29" s="134">
        <f t="shared" ref="J29:J30" si="21">SUM(C29:I29)</f>
        <v>81458.929920487106</v>
      </c>
      <c r="K29" s="134">
        <f>'[5]Inputs DK'!M33</f>
        <v>11.85602644149381</v>
      </c>
      <c r="L29" s="134">
        <f>'[5]Inputs DK'!N33</f>
        <v>99</v>
      </c>
      <c r="M29" s="134">
        <f>'[5]Inputs DK'!P33</f>
        <v>269</v>
      </c>
    </row>
    <row r="30" spans="1:15" s="14" customFormat="1" ht="11.25" x14ac:dyDescent="0.2">
      <c r="A30" s="49">
        <f t="shared" si="9"/>
        <v>22</v>
      </c>
      <c r="B30" s="206" t="s">
        <v>203</v>
      </c>
      <c r="C30" s="134">
        <f>'[5]Inputs DK'!$F34</f>
        <v>0</v>
      </c>
      <c r="D30" s="134">
        <f>'[5]Inputs DK'!$E34</f>
        <v>0</v>
      </c>
      <c r="E30" s="134">
        <f>'[5]Inputs DK'!$G34</f>
        <v>0</v>
      </c>
      <c r="F30" s="134">
        <f>'[5]Inputs DK'!H34</f>
        <v>12728.419950483385</v>
      </c>
      <c r="G30" s="134">
        <f>'[5]Inputs DK'!I34</f>
        <v>8380.6719429692057</v>
      </c>
      <c r="H30" s="134">
        <f>'[5]Inputs DK'!J34</f>
        <v>1847.8020928699202</v>
      </c>
      <c r="I30" s="134">
        <f>'[5]Inputs DK'!K34</f>
        <v>0</v>
      </c>
      <c r="J30" s="134">
        <f t="shared" si="21"/>
        <v>22956.89398632251</v>
      </c>
      <c r="K30" s="134">
        <f>'[5]Inputs DK'!M34</f>
        <v>28.050260012316585</v>
      </c>
      <c r="L30" s="134">
        <f>'[5]Inputs DK'!N34</f>
        <v>2782</v>
      </c>
      <c r="M30" s="134">
        <f>'[5]Inputs DK'!P34</f>
        <v>923</v>
      </c>
      <c r="N30" s="2"/>
    </row>
    <row r="31" spans="1:15" s="2" customFormat="1" ht="11.25" x14ac:dyDescent="0.2">
      <c r="A31" s="216">
        <f t="shared" si="9"/>
        <v>23</v>
      </c>
      <c r="B31" s="201" t="s">
        <v>143</v>
      </c>
      <c r="C31" s="220">
        <f>'[5]Inputs DK'!$F36+'[5]Inputs DK'!$F37</f>
        <v>15500.795708154634</v>
      </c>
      <c r="D31" s="220">
        <f>'[5]Inputs DK'!$E$36+'[5]Inputs DK'!$E$37</f>
        <v>87608.04404002009</v>
      </c>
      <c r="E31" s="220">
        <f>'[5]Inputs DK'!G36+'[5]Inputs DK'!G37</f>
        <v>6743.5539485850923</v>
      </c>
      <c r="F31" s="220">
        <f>'[5]Inputs DK'!H36+'[5]Inputs DK'!H37</f>
        <v>3387.4475081598312</v>
      </c>
      <c r="G31" s="220">
        <f>'[5]Inputs DK'!I36+'[5]Inputs DK'!I37</f>
        <v>1717.6093870689667</v>
      </c>
      <c r="H31" s="220">
        <f>'[5]Inputs DK'!J36+'[5]Inputs DK'!J37</f>
        <v>83.426018805211157</v>
      </c>
      <c r="I31" s="220">
        <f>'[5]Inputs DK'!K36+'[5]Inputs DK'!K37</f>
        <v>0</v>
      </c>
      <c r="J31" s="220">
        <f>SUM(C31:I31)</f>
        <v>115040.87661079383</v>
      </c>
      <c r="K31" s="220">
        <f>'[5]Inputs DK'!M36+'[5]Inputs DK'!M37</f>
        <v>39.681246008754208</v>
      </c>
      <c r="L31" s="220">
        <f>'[5]Inputs DK'!N36+'[5]Inputs DK'!N37</f>
        <v>12696</v>
      </c>
      <c r="M31" s="220">
        <f>'[5]Inputs DK'!P36+'[5]Inputs DK'!P37</f>
        <v>1636</v>
      </c>
    </row>
    <row r="32" spans="1:15" s="2" customFormat="1" ht="11.25" x14ac:dyDescent="0.2">
      <c r="A32" s="216">
        <f>A31+1</f>
        <v>24</v>
      </c>
      <c r="B32" s="234" t="s">
        <v>184</v>
      </c>
      <c r="C32" s="220">
        <f>'[5]Inputs DK'!$F63</f>
        <v>2599380.0229292074</v>
      </c>
      <c r="D32" s="220">
        <f>'[5]Inputs DK'!$E$63</f>
        <v>27426004.433363102</v>
      </c>
      <c r="E32" s="220">
        <f>'[5]Inputs DK'!G63</f>
        <v>4663733.1389697772</v>
      </c>
      <c r="F32" s="220">
        <f>'[5]Inputs DK'!H63</f>
        <v>1687172.7721538884</v>
      </c>
      <c r="G32" s="220">
        <f>'[5]Inputs DK'!I63</f>
        <v>893179.33574800449</v>
      </c>
      <c r="H32" s="220">
        <f>'[5]Inputs DK'!J63</f>
        <v>150179.75029976005</v>
      </c>
      <c r="I32" s="220">
        <f>'[5]Inputs DK'!K63</f>
        <v>1625138.8713014433</v>
      </c>
      <c r="J32" s="220">
        <f>SUM(C32:I32)</f>
        <v>39044788.324765183</v>
      </c>
      <c r="K32" s="220">
        <f>'[5]Inputs DK'!M63</f>
        <v>2309.7931202958594</v>
      </c>
      <c r="L32" s="220">
        <f>'[5]Inputs DK'!N63</f>
        <v>1304056</v>
      </c>
      <c r="M32" s="220">
        <f>'[5]Inputs DK'!P63</f>
        <v>143485</v>
      </c>
    </row>
    <row r="33" spans="1:13" x14ac:dyDescent="0.2">
      <c r="C33" s="204"/>
      <c r="E33" s="204"/>
      <c r="F33" s="204"/>
      <c r="G33" s="204"/>
      <c r="H33" s="204"/>
      <c r="J33" s="147"/>
    </row>
    <row r="34" spans="1:13" x14ac:dyDescent="0.2">
      <c r="B34" s="350" t="s">
        <v>349</v>
      </c>
      <c r="C34" s="204"/>
      <c r="E34" s="204"/>
      <c r="F34" s="434"/>
      <c r="G34" s="434"/>
      <c r="H34" s="434"/>
      <c r="J34" s="412"/>
    </row>
    <row r="35" spans="1:13" x14ac:dyDescent="0.2">
      <c r="B35" s="98" t="s">
        <v>251</v>
      </c>
      <c r="C35" s="204"/>
      <c r="E35" s="204"/>
      <c r="F35" s="440"/>
      <c r="G35" s="448"/>
      <c r="H35" s="441"/>
    </row>
    <row r="36" spans="1:13" s="276" customFormat="1" ht="11.25" x14ac:dyDescent="0.2">
      <c r="B36" s="277" t="s">
        <v>242</v>
      </c>
      <c r="C36" s="278"/>
      <c r="E36" s="278"/>
      <c r="F36" s="442">
        <f>[6]RCCS_Matrix_FY25_Final!U26</f>
        <v>0</v>
      </c>
      <c r="G36" s="134">
        <f>[6]RCCS_Matrix_FY25_Final!T26</f>
        <v>0</v>
      </c>
      <c r="H36" s="443">
        <f>[6]RCCS_Matrix_FY25_Final!V26</f>
        <v>0</v>
      </c>
    </row>
    <row r="37" spans="1:13" s="276" customFormat="1" ht="11.25" x14ac:dyDescent="0.2">
      <c r="B37" s="277" t="s">
        <v>248</v>
      </c>
      <c r="C37" s="278"/>
      <c r="E37" s="278"/>
      <c r="F37" s="442">
        <f>[6]RCCS_Matrix_FY25_Final!U30</f>
        <v>0</v>
      </c>
      <c r="G37" s="134">
        <f>[6]RCCS_Matrix_FY25_Final!T30</f>
        <v>0</v>
      </c>
      <c r="H37" s="443">
        <f>[6]RCCS_Matrix_FY25_Final!V30</f>
        <v>0</v>
      </c>
    </row>
    <row r="38" spans="1:13" s="276" customFormat="1" ht="11.25" x14ac:dyDescent="0.2">
      <c r="B38" s="279" t="s">
        <v>252</v>
      </c>
      <c r="C38" s="278"/>
      <c r="E38" s="278"/>
      <c r="F38" s="444"/>
      <c r="G38" s="320"/>
      <c r="H38" s="445"/>
    </row>
    <row r="39" spans="1:13" s="276" customFormat="1" ht="11.25" x14ac:dyDescent="0.2">
      <c r="B39" s="277" t="s">
        <v>243</v>
      </c>
      <c r="C39" s="278"/>
      <c r="E39" s="278"/>
      <c r="F39" s="442">
        <f>[6]RCCS_Matrix_FY25_Final!U27</f>
        <v>0</v>
      </c>
      <c r="G39" s="134">
        <f>[6]RCCS_Matrix_FY25_Final!T27</f>
        <v>0</v>
      </c>
      <c r="H39" s="443">
        <f>[6]RCCS_Matrix_FY25_Final!V27</f>
        <v>0</v>
      </c>
    </row>
    <row r="40" spans="1:13" s="276" customFormat="1" ht="11.25" x14ac:dyDescent="0.2">
      <c r="B40" s="277" t="s">
        <v>249</v>
      </c>
      <c r="C40" s="278"/>
      <c r="E40" s="278"/>
      <c r="F40" s="442">
        <f>[6]RCCS_Matrix_FY25_Final!U31</f>
        <v>0</v>
      </c>
      <c r="G40" s="134">
        <f>[6]RCCS_Matrix_FY25_Final!T31</f>
        <v>0</v>
      </c>
      <c r="H40" s="443">
        <f>[6]RCCS_Matrix_FY25_Final!V31</f>
        <v>0</v>
      </c>
      <c r="I40" s="2"/>
      <c r="J40" s="2"/>
    </row>
    <row r="41" spans="1:13" s="276" customFormat="1" ht="11.25" x14ac:dyDescent="0.2">
      <c r="B41" s="277" t="s">
        <v>244</v>
      </c>
      <c r="C41" s="278"/>
      <c r="E41" s="278"/>
      <c r="F41" s="442">
        <f>[6]RCCS_Matrix_FY25_Final!U24</f>
        <v>0</v>
      </c>
      <c r="G41" s="134">
        <f>[6]RCCS_Matrix_FY25_Final!T24</f>
        <v>0</v>
      </c>
      <c r="H41" s="443">
        <f>[6]RCCS_Matrix_FY25_Final!V24</f>
        <v>0</v>
      </c>
    </row>
    <row r="42" spans="1:13" s="276" customFormat="1" ht="11.25" x14ac:dyDescent="0.2">
      <c r="B42" s="280" t="s">
        <v>250</v>
      </c>
      <c r="C42" s="278"/>
      <c r="E42" s="278"/>
      <c r="F42" s="446">
        <f>[6]RCCS_Matrix_FY25_Final!U32</f>
        <v>0</v>
      </c>
      <c r="G42" s="449">
        <f>[6]RCCS_Matrix_FY25_Final!T32</f>
        <v>0</v>
      </c>
      <c r="H42" s="447">
        <f>[6]RCCS_Matrix_FY25_Final!V32</f>
        <v>0</v>
      </c>
    </row>
    <row r="43" spans="1:13" x14ac:dyDescent="0.2">
      <c r="C43" s="204"/>
      <c r="E43" s="204"/>
      <c r="F43" s="434"/>
      <c r="G43" s="434"/>
      <c r="H43" s="434"/>
    </row>
    <row r="44" spans="1:13" s="2" customFormat="1" x14ac:dyDescent="0.2">
      <c r="A44"/>
      <c r="B44"/>
      <c r="C44" s="204"/>
      <c r="D44"/>
      <c r="E44" s="204"/>
      <c r="F44" s="439"/>
      <c r="G44" s="439"/>
      <c r="H44" s="439"/>
      <c r="I44"/>
      <c r="J44"/>
      <c r="K44"/>
      <c r="L44"/>
      <c r="M44"/>
    </row>
    <row r="45" spans="1:13" s="14" customFormat="1" x14ac:dyDescent="0.2">
      <c r="A45"/>
      <c r="B45"/>
      <c r="C45" s="204"/>
      <c r="D45"/>
      <c r="E45" s="204"/>
      <c r="F45" s="204"/>
      <c r="G45" s="204"/>
      <c r="H45" s="204"/>
      <c r="I45"/>
      <c r="J45"/>
      <c r="K45"/>
      <c r="L45"/>
      <c r="M45"/>
    </row>
    <row r="46" spans="1:13" s="14" customFormat="1" x14ac:dyDescent="0.2">
      <c r="A46"/>
      <c r="B46"/>
      <c r="C46" s="204"/>
      <c r="D46"/>
      <c r="E46" s="204"/>
      <c r="F46" s="204"/>
      <c r="G46" s="204"/>
      <c r="H46" s="204"/>
      <c r="I46"/>
      <c r="J46"/>
      <c r="K46"/>
      <c r="L46"/>
      <c r="M46"/>
    </row>
    <row r="47" spans="1:13" s="14" customFormat="1" x14ac:dyDescent="0.2">
      <c r="A47"/>
      <c r="B47"/>
      <c r="C47" s="204"/>
      <c r="D47"/>
      <c r="E47" s="204"/>
      <c r="F47" s="204"/>
      <c r="G47" s="204"/>
      <c r="H47" s="204"/>
      <c r="I47"/>
      <c r="J47"/>
      <c r="K47"/>
      <c r="L47"/>
      <c r="M47"/>
    </row>
  </sheetData>
  <phoneticPr fontId="11" type="noConversion"/>
  <pageMargins left="0.75" right="0.75" top="1" bottom="1" header="0.5" footer="0.5"/>
  <pageSetup orientation="portrait" r:id="rId1"/>
  <headerFooter alignWithMargins="0">
    <oddHeader>&amp;RUSPS-FY09-19</oddHeader>
  </headerFooter>
  <ignoredErrors>
    <ignoredError sqref="J26:J28 J17 J22 J31:J32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92D050"/>
  </sheetPr>
  <dimension ref="A1:H18"/>
  <sheetViews>
    <sheetView zoomScaleNormal="100" workbookViewId="0">
      <selection activeCell="D12" sqref="D12"/>
    </sheetView>
  </sheetViews>
  <sheetFormatPr defaultRowHeight="12.75" x14ac:dyDescent="0.2"/>
  <cols>
    <col min="2" max="2" width="23.5703125" customWidth="1"/>
    <col min="3" max="8" width="11.42578125" customWidth="1"/>
  </cols>
  <sheetData>
    <row r="1" spans="1:8" x14ac:dyDescent="0.2">
      <c r="A1" s="176" t="str">
        <f>'7.0.6'!A1</f>
        <v>Unit Delivery Cost Model -  12/16/2025</v>
      </c>
    </row>
    <row r="2" spans="1:8" x14ac:dyDescent="0.2">
      <c r="A2" s="1" t="s">
        <v>220</v>
      </c>
    </row>
    <row r="3" spans="1:8" x14ac:dyDescent="0.2">
      <c r="A3" s="1" t="s">
        <v>221</v>
      </c>
    </row>
    <row r="5" spans="1:8" ht="33.75" x14ac:dyDescent="0.2">
      <c r="A5" s="53" t="s">
        <v>8</v>
      </c>
      <c r="B5" s="52" t="s">
        <v>214</v>
      </c>
      <c r="C5" s="52" t="s">
        <v>226</v>
      </c>
      <c r="D5" s="52" t="s">
        <v>227</v>
      </c>
      <c r="E5" s="53" t="s">
        <v>229</v>
      </c>
      <c r="F5" s="52" t="s">
        <v>96</v>
      </c>
      <c r="G5" s="52" t="s">
        <v>222</v>
      </c>
      <c r="H5" s="53" t="s">
        <v>228</v>
      </c>
    </row>
    <row r="6" spans="1:8" s="2" customFormat="1" ht="11.25" x14ac:dyDescent="0.2">
      <c r="A6" s="224"/>
      <c r="B6" s="87" t="s">
        <v>109</v>
      </c>
      <c r="C6" s="230">
        <v>-1</v>
      </c>
      <c r="D6" s="230">
        <f t="shared" ref="D6:H6" si="0">C6-1</f>
        <v>-2</v>
      </c>
      <c r="E6" s="230">
        <f t="shared" si="0"/>
        <v>-3</v>
      </c>
      <c r="F6" s="230">
        <f t="shared" si="0"/>
        <v>-4</v>
      </c>
      <c r="G6" s="230">
        <f t="shared" si="0"/>
        <v>-5</v>
      </c>
      <c r="H6" s="230">
        <f t="shared" si="0"/>
        <v>-6</v>
      </c>
    </row>
    <row r="7" spans="1:8" s="2" customFormat="1" ht="11.25" x14ac:dyDescent="0.2">
      <c r="A7" s="225"/>
      <c r="B7" s="86" t="s">
        <v>44</v>
      </c>
      <c r="C7" s="231"/>
      <c r="D7" s="231"/>
      <c r="E7" s="233" t="s">
        <v>224</v>
      </c>
      <c r="F7" s="233" t="s">
        <v>5</v>
      </c>
      <c r="G7" s="231" t="s">
        <v>60</v>
      </c>
      <c r="H7" s="231" t="s">
        <v>60</v>
      </c>
    </row>
    <row r="8" spans="1:8" s="2" customFormat="1" ht="11.25" x14ac:dyDescent="0.2">
      <c r="A8" s="226"/>
      <c r="B8" s="31" t="s">
        <v>223</v>
      </c>
      <c r="C8" s="232" t="s">
        <v>120</v>
      </c>
      <c r="D8" s="232" t="s">
        <v>119</v>
      </c>
      <c r="E8" s="232" t="s">
        <v>519</v>
      </c>
      <c r="F8" s="232" t="s">
        <v>175</v>
      </c>
      <c r="G8" s="232" t="str">
        <f>"C"&amp;-F6&amp;" x C"&amp;-E6</f>
        <v>C4 x C3</v>
      </c>
      <c r="H8" s="232" t="str">
        <f>"C"&amp;-F6&amp;" x C"&amp;-E6&amp;"L"&amp;A12</f>
        <v>C4 x C3L4</v>
      </c>
    </row>
    <row r="9" spans="1:8" s="2" customFormat="1" ht="11.25" x14ac:dyDescent="0.2">
      <c r="A9" s="22">
        <v>1</v>
      </c>
      <c r="B9" s="258" t="s">
        <v>276</v>
      </c>
      <c r="C9" s="257"/>
      <c r="D9" s="257"/>
      <c r="E9" s="257"/>
      <c r="F9" s="257"/>
      <c r="G9" s="257"/>
      <c r="H9" s="257"/>
    </row>
    <row r="10" spans="1:8" s="2" customFormat="1" ht="11.25" x14ac:dyDescent="0.2">
      <c r="A10" s="22">
        <f t="shared" ref="A10:A18" si="1">A9+1</f>
        <v>2</v>
      </c>
      <c r="B10" s="114" t="s">
        <v>46</v>
      </c>
      <c r="C10" s="40">
        <f>RuralCosts!I30</f>
        <v>881428.26049767761</v>
      </c>
      <c r="D10" s="40">
        <f>RuralVols!D32</f>
        <v>27426004.433363102</v>
      </c>
      <c r="E10" s="229">
        <f>C10/D10</f>
        <v>3.2138413112244683E-2</v>
      </c>
      <c r="F10" s="40">
        <f>RCSDALs!E7</f>
        <v>4823.7023951570109</v>
      </c>
      <c r="G10" s="40">
        <f>F10*E10</f>
        <v>155.02614030608015</v>
      </c>
      <c r="H10" s="40"/>
    </row>
    <row r="11" spans="1:8" s="2" customFormat="1" ht="11.25" x14ac:dyDescent="0.2">
      <c r="A11" s="22">
        <f t="shared" si="1"/>
        <v>3</v>
      </c>
      <c r="B11" s="114" t="s">
        <v>48</v>
      </c>
      <c r="C11" s="40">
        <f>RuralCosts!C30</f>
        <v>405945.70696018171</v>
      </c>
      <c r="D11" s="40">
        <f>RuralVols!C32</f>
        <v>2599380.0229292074</v>
      </c>
      <c r="E11" s="229">
        <f>C11/D11</f>
        <v>0.15617020342517166</v>
      </c>
      <c r="F11" s="40">
        <f>RCSDALs!E11</f>
        <v>16133.120113960555</v>
      </c>
      <c r="G11" s="40">
        <f>F11*E11</f>
        <v>2519.5126500799483</v>
      </c>
      <c r="H11" s="40"/>
    </row>
    <row r="12" spans="1:8" s="2" customFormat="1" ht="11.25" x14ac:dyDescent="0.2">
      <c r="A12" s="22">
        <f t="shared" si="1"/>
        <v>4</v>
      </c>
      <c r="B12" s="114" t="s">
        <v>49</v>
      </c>
      <c r="C12" s="40">
        <f>RuralCosts!H30</f>
        <v>108345.79966415398</v>
      </c>
      <c r="D12" s="40">
        <f>RuralVols!I32</f>
        <v>1625138.8713014433</v>
      </c>
      <c r="E12" s="229">
        <f>C12/D12</f>
        <v>6.6668640801994056E-2</v>
      </c>
      <c r="F12" s="40">
        <f>RCSDALs!E14</f>
        <v>13805.518284021222</v>
      </c>
      <c r="G12" s="40">
        <f>F12*E12</f>
        <v>920.39513956277221</v>
      </c>
      <c r="H12" s="3"/>
    </row>
    <row r="13" spans="1:8" s="2" customFormat="1" ht="11.25" x14ac:dyDescent="0.2">
      <c r="A13" s="58">
        <f t="shared" si="1"/>
        <v>5</v>
      </c>
      <c r="B13" s="84" t="s">
        <v>18</v>
      </c>
      <c r="C13" s="41"/>
      <c r="D13" s="41"/>
      <c r="E13" s="41"/>
      <c r="F13" s="41">
        <f>SUM(F10:F12)</f>
        <v>34762.340793138792</v>
      </c>
      <c r="G13" s="41">
        <f>SUM(G10:G12)</f>
        <v>3594.9339299488006</v>
      </c>
      <c r="H13" s="41">
        <f>SUM(F10:F12)*E12</f>
        <v>2317.5580117742752</v>
      </c>
    </row>
    <row r="14" spans="1:8" s="2" customFormat="1" ht="11.25" x14ac:dyDescent="0.2">
      <c r="A14" s="21">
        <f t="shared" si="1"/>
        <v>6</v>
      </c>
      <c r="B14" s="71" t="s">
        <v>270</v>
      </c>
      <c r="C14" s="125"/>
      <c r="D14" s="125"/>
      <c r="E14" s="125"/>
      <c r="F14" s="125"/>
      <c r="G14" s="125"/>
      <c r="H14" s="125"/>
    </row>
    <row r="15" spans="1:8" s="2" customFormat="1" ht="11.25" x14ac:dyDescent="0.2">
      <c r="A15" s="22">
        <f t="shared" si="1"/>
        <v>7</v>
      </c>
      <c r="B15" s="114" t="s">
        <v>46</v>
      </c>
      <c r="C15" s="3"/>
      <c r="D15" s="3"/>
      <c r="E15" s="3"/>
      <c r="F15" s="40">
        <f>RCSDALs!F7</f>
        <v>1545.7756616649997</v>
      </c>
      <c r="G15" s="40">
        <f>F15*E10</f>
        <v>49.678776793443127</v>
      </c>
      <c r="H15" s="3"/>
    </row>
    <row r="16" spans="1:8" s="2" customFormat="1" ht="11.25" x14ac:dyDescent="0.2">
      <c r="A16" s="22">
        <f t="shared" si="1"/>
        <v>8</v>
      </c>
      <c r="B16" s="114" t="s">
        <v>47</v>
      </c>
      <c r="C16" s="3"/>
      <c r="D16" s="3"/>
      <c r="E16" s="3"/>
      <c r="F16" s="40"/>
      <c r="G16" s="40"/>
      <c r="H16" s="3"/>
    </row>
    <row r="17" spans="1:8" s="2" customFormat="1" ht="11.25" x14ac:dyDescent="0.2">
      <c r="A17" s="22">
        <f t="shared" si="1"/>
        <v>9</v>
      </c>
      <c r="B17" s="114" t="s">
        <v>48</v>
      </c>
      <c r="C17" s="3"/>
      <c r="D17" s="3"/>
      <c r="E17" s="3"/>
      <c r="F17" s="40">
        <f>RCSDALs!F11</f>
        <v>1810.7716819507921</v>
      </c>
      <c r="G17" s="40">
        <f>F17*E11</f>
        <v>282.78858192679542</v>
      </c>
      <c r="H17" s="3"/>
    </row>
    <row r="18" spans="1:8" s="2" customFormat="1" ht="11.25" x14ac:dyDescent="0.2">
      <c r="A18" s="58">
        <f t="shared" si="1"/>
        <v>10</v>
      </c>
      <c r="B18" s="84" t="s">
        <v>49</v>
      </c>
      <c r="C18" s="4"/>
      <c r="D18" s="4"/>
      <c r="E18" s="4"/>
      <c r="F18" s="41">
        <f>RCSDALs!F14</f>
        <v>0</v>
      </c>
      <c r="G18" s="41">
        <f>F18*E12</f>
        <v>0</v>
      </c>
      <c r="H18" s="41">
        <f>SUM(F15:F18)*E12</f>
        <v>223.77644918640854</v>
      </c>
    </row>
  </sheetData>
  <phoneticPr fontId="11" type="noConversion"/>
  <pageMargins left="0.75" right="0.75" top="1" bottom="1" header="0.5" footer="0.5"/>
  <pageSetup orientation="portrait" r:id="rId1"/>
  <headerFooter alignWithMargins="0">
    <oddHeader>&amp;RUSPS-FY09-19</oddHeader>
  </headerFooter>
  <ignoredErrors>
    <ignoredError sqref="G7:H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>
    <tabColor rgb="FF92D050"/>
  </sheetPr>
  <dimension ref="A1:W27"/>
  <sheetViews>
    <sheetView zoomScaleNormal="100" workbookViewId="0">
      <selection activeCell="E28" sqref="E28"/>
    </sheetView>
  </sheetViews>
  <sheetFormatPr defaultRowHeight="12.75" x14ac:dyDescent="0.2"/>
  <cols>
    <col min="2" max="2" width="19.42578125" bestFit="1" customWidth="1"/>
    <col min="3" max="4" width="10.140625" customWidth="1"/>
    <col min="5" max="5" width="14.42578125" bestFit="1" customWidth="1"/>
    <col min="7" max="7" width="11.140625" bestFit="1" customWidth="1"/>
    <col min="14" max="14" width="29.5703125" customWidth="1"/>
  </cols>
  <sheetData>
    <row r="1" spans="1:23" x14ac:dyDescent="0.2">
      <c r="A1" s="92" t="str">
        <f>Inputs!$C$4</f>
        <v>Unit Delivery Cost Model -  12/16/2025</v>
      </c>
    </row>
    <row r="2" spans="1:23" x14ac:dyDescent="0.2">
      <c r="A2" s="11" t="s">
        <v>531</v>
      </c>
    </row>
    <row r="3" spans="1:23" x14ac:dyDescent="0.2">
      <c r="A3" s="77" t="s">
        <v>176</v>
      </c>
    </row>
    <row r="4" spans="1:23" ht="22.5" x14ac:dyDescent="0.2">
      <c r="A4" s="313" t="s">
        <v>532</v>
      </c>
      <c r="E4" s="250" t="s">
        <v>266</v>
      </c>
      <c r="F4" s="250" t="s">
        <v>267</v>
      </c>
    </row>
    <row r="5" spans="1:23" s="14" customFormat="1" x14ac:dyDescent="0.2">
      <c r="A5" s="510" t="s">
        <v>8</v>
      </c>
      <c r="B5" s="187" t="s">
        <v>163</v>
      </c>
      <c r="C5" s="187" t="s">
        <v>164</v>
      </c>
      <c r="D5" s="187" t="s">
        <v>165</v>
      </c>
      <c r="E5" s="459"/>
      <c r="F5" s="264"/>
      <c r="M5"/>
      <c r="N5"/>
      <c r="O5"/>
      <c r="P5"/>
      <c r="Q5"/>
      <c r="R5"/>
      <c r="S5"/>
      <c r="T5"/>
      <c r="U5"/>
      <c r="V5"/>
      <c r="W5"/>
    </row>
    <row r="6" spans="1:23" s="14" customFormat="1" x14ac:dyDescent="0.2">
      <c r="A6" s="67">
        <v>1</v>
      </c>
      <c r="B6" s="3" t="s">
        <v>28</v>
      </c>
      <c r="C6" s="3" t="s">
        <v>166</v>
      </c>
      <c r="D6" s="3" t="s">
        <v>166</v>
      </c>
      <c r="E6" s="151">
        <f>[7]TEMP5!D2</f>
        <v>1146509.6962000406</v>
      </c>
      <c r="F6" s="326">
        <f>[7]TEMP5!E2</f>
        <v>1641874.6574650772</v>
      </c>
      <c r="G6" s="2"/>
      <c r="M6"/>
      <c r="N6"/>
      <c r="O6"/>
      <c r="P6"/>
      <c r="Q6"/>
      <c r="R6"/>
      <c r="S6"/>
      <c r="T6"/>
      <c r="U6"/>
      <c r="V6"/>
      <c r="W6"/>
    </row>
    <row r="7" spans="1:23" s="14" customFormat="1" x14ac:dyDescent="0.2">
      <c r="A7" s="68">
        <v>2</v>
      </c>
      <c r="B7" s="4" t="s">
        <v>28</v>
      </c>
      <c r="C7" s="4" t="s">
        <v>167</v>
      </c>
      <c r="D7" s="4" t="s">
        <v>166</v>
      </c>
      <c r="E7" s="151">
        <f>[7]TEMP5!D3</f>
        <v>28082.675476199354</v>
      </c>
      <c r="F7" s="256">
        <f>[7]TEMP5!E3</f>
        <v>1237.962665199999</v>
      </c>
      <c r="G7" s="192"/>
      <c r="H7" s="152"/>
      <c r="I7" s="152"/>
      <c r="J7" s="152"/>
      <c r="M7"/>
      <c r="N7"/>
      <c r="O7"/>
      <c r="P7"/>
      <c r="Q7"/>
      <c r="R7"/>
      <c r="S7"/>
      <c r="T7"/>
      <c r="U7"/>
      <c r="V7"/>
      <c r="W7"/>
    </row>
    <row r="8" spans="1:23" s="14" customFormat="1" x14ac:dyDescent="0.2">
      <c r="A8" s="67">
        <v>3</v>
      </c>
      <c r="B8" s="3"/>
      <c r="C8" s="3"/>
      <c r="D8" s="3"/>
      <c r="E8" s="420"/>
      <c r="F8" s="420"/>
      <c r="H8" s="152"/>
      <c r="I8" s="152"/>
      <c r="J8" s="152"/>
      <c r="M8"/>
      <c r="N8"/>
      <c r="O8"/>
      <c r="P8"/>
      <c r="Q8"/>
      <c r="R8"/>
      <c r="S8"/>
      <c r="T8"/>
      <c r="U8"/>
      <c r="V8"/>
      <c r="W8"/>
    </row>
    <row r="9" spans="1:23" s="14" customFormat="1" x14ac:dyDescent="0.2">
      <c r="A9" s="67">
        <v>4</v>
      </c>
      <c r="B9" s="103" t="s">
        <v>315</v>
      </c>
      <c r="C9" s="103" t="s">
        <v>166</v>
      </c>
      <c r="D9" s="103" t="s">
        <v>166</v>
      </c>
      <c r="E9" s="327">
        <f>[7]TEMP5!D4</f>
        <v>140545.3798913002</v>
      </c>
      <c r="F9" s="272">
        <f>[7]TEMP5!E4</f>
        <v>35086.244312523704</v>
      </c>
      <c r="K9" s="152"/>
      <c r="M9"/>
      <c r="N9"/>
      <c r="O9"/>
      <c r="P9"/>
      <c r="Q9"/>
      <c r="R9"/>
      <c r="S9"/>
      <c r="T9"/>
      <c r="U9"/>
      <c r="V9"/>
      <c r="W9"/>
    </row>
    <row r="10" spans="1:23" s="14" customFormat="1" ht="13.5" customHeight="1" x14ac:dyDescent="0.2">
      <c r="A10" s="67">
        <v>5</v>
      </c>
      <c r="B10" s="103" t="s">
        <v>315</v>
      </c>
      <c r="C10" s="103" t="s">
        <v>166</v>
      </c>
      <c r="D10" s="103" t="s">
        <v>167</v>
      </c>
      <c r="E10" s="327">
        <f>[7]TEMP5!D5</f>
        <v>360853.56490908359</v>
      </c>
      <c r="F10" s="272">
        <f>[7]TEMP5!E5</f>
        <v>378608.17277863465</v>
      </c>
      <c r="M10"/>
      <c r="N10"/>
      <c r="O10"/>
      <c r="P10"/>
      <c r="Q10"/>
      <c r="R10"/>
      <c r="S10"/>
      <c r="T10"/>
      <c r="U10"/>
      <c r="V10"/>
      <c r="W10"/>
    </row>
    <row r="11" spans="1:23" s="14" customFormat="1" x14ac:dyDescent="0.2">
      <c r="A11" s="67">
        <v>6</v>
      </c>
      <c r="B11" s="103" t="s">
        <v>315</v>
      </c>
      <c r="C11" s="103" t="s">
        <v>167</v>
      </c>
      <c r="D11" s="103" t="s">
        <v>166</v>
      </c>
      <c r="E11" s="419">
        <f>[7]TEMP5!D6</f>
        <v>27311.628411622991</v>
      </c>
      <c r="F11" s="327">
        <f>[7]TEMP5!E6</f>
        <v>0</v>
      </c>
      <c r="M11"/>
      <c r="N11"/>
      <c r="O11"/>
      <c r="P11"/>
      <c r="Q11"/>
      <c r="R11"/>
      <c r="S11"/>
      <c r="T11"/>
      <c r="U11"/>
      <c r="V11"/>
      <c r="W11"/>
    </row>
    <row r="12" spans="1:23" s="14" customFormat="1" x14ac:dyDescent="0.2">
      <c r="A12" s="68">
        <v>7</v>
      </c>
      <c r="B12" s="104" t="s">
        <v>315</v>
      </c>
      <c r="C12" s="104" t="s">
        <v>167</v>
      </c>
      <c r="D12" s="104" t="s">
        <v>167</v>
      </c>
      <c r="E12" s="419">
        <f>[7]TEMP5!D7</f>
        <v>28946.592016252343</v>
      </c>
      <c r="F12" s="327">
        <f>[7]TEMP5!E7</f>
        <v>5.5223437499999992</v>
      </c>
      <c r="M12"/>
      <c r="N12"/>
      <c r="O12"/>
      <c r="P12"/>
      <c r="Q12"/>
      <c r="R12"/>
      <c r="S12"/>
      <c r="T12"/>
      <c r="U12"/>
      <c r="V12"/>
      <c r="W12"/>
    </row>
    <row r="13" spans="1:23" s="14" customFormat="1" x14ac:dyDescent="0.2">
      <c r="A13" s="67">
        <v>8</v>
      </c>
      <c r="B13" s="103" t="s">
        <v>33</v>
      </c>
      <c r="C13" s="103" t="s">
        <v>166</v>
      </c>
      <c r="D13" s="415" t="s">
        <v>166</v>
      </c>
      <c r="E13" s="417">
        <f>[7]TEMP5!D8</f>
        <v>2823345.7842470575</v>
      </c>
      <c r="F13" s="457">
        <f>[7]TEMP5!E8</f>
        <v>90981.704928913809</v>
      </c>
      <c r="M13"/>
      <c r="N13"/>
      <c r="O13"/>
      <c r="P13"/>
      <c r="Q13"/>
      <c r="R13"/>
      <c r="S13"/>
      <c r="T13"/>
      <c r="U13"/>
      <c r="V13"/>
      <c r="W13"/>
    </row>
    <row r="14" spans="1:23" s="14" customFormat="1" x14ac:dyDescent="0.2">
      <c r="A14" s="68">
        <v>9</v>
      </c>
      <c r="B14" s="104" t="s">
        <v>33</v>
      </c>
      <c r="C14" s="104" t="s">
        <v>166</v>
      </c>
      <c r="D14" s="416" t="s">
        <v>167</v>
      </c>
      <c r="E14" s="418">
        <f>[7]TEMP5!D9</f>
        <v>1157568.398034482</v>
      </c>
      <c r="F14" s="256">
        <f>[7]TEMP5!E9</f>
        <v>819032.92871290469</v>
      </c>
      <c r="G14" s="192"/>
      <c r="M14"/>
      <c r="N14"/>
      <c r="O14"/>
      <c r="P14"/>
      <c r="Q14"/>
      <c r="R14"/>
      <c r="S14"/>
      <c r="T14"/>
      <c r="U14"/>
      <c r="V14"/>
      <c r="W14"/>
    </row>
    <row r="15" spans="1:23" s="14" customFormat="1" x14ac:dyDescent="0.2">
      <c r="A15" s="66">
        <f>A14+1</f>
        <v>10</v>
      </c>
      <c r="B15" s="303" t="s">
        <v>316</v>
      </c>
      <c r="C15" s="304"/>
      <c r="D15" s="305"/>
      <c r="E15" s="421">
        <f>SUM(E7,E11:E12)</f>
        <v>84340.895904074685</v>
      </c>
      <c r="F15" s="422">
        <f>SUM(F7,F11:F12)</f>
        <v>1243.4850089499989</v>
      </c>
      <c r="M15"/>
      <c r="N15"/>
      <c r="O15"/>
      <c r="P15"/>
      <c r="Q15"/>
      <c r="R15"/>
      <c r="S15"/>
      <c r="T15"/>
      <c r="U15"/>
      <c r="V15"/>
      <c r="W15"/>
    </row>
    <row r="16" spans="1:23" s="14" customFormat="1" x14ac:dyDescent="0.2">
      <c r="A16" s="66">
        <f t="shared" ref="A16:A17" si="0">A15+1</f>
        <v>11</v>
      </c>
      <c r="B16" s="309" t="s">
        <v>318</v>
      </c>
      <c r="C16" s="307"/>
      <c r="D16" s="308"/>
      <c r="E16" s="359">
        <f>E15/SUM(E6:E12)</f>
        <v>4.8688652591468123E-2</v>
      </c>
      <c r="F16" s="359">
        <f>F15/SUM(F6:F12)</f>
        <v>6.0456894974079414E-4</v>
      </c>
      <c r="M16"/>
      <c r="N16"/>
      <c r="O16"/>
      <c r="P16"/>
      <c r="Q16"/>
      <c r="R16"/>
      <c r="S16"/>
      <c r="T16"/>
      <c r="U16"/>
      <c r="V16"/>
      <c r="W16"/>
    </row>
    <row r="17" spans="1:23" s="14" customFormat="1" x14ac:dyDescent="0.2">
      <c r="A17" s="66">
        <f t="shared" si="0"/>
        <v>12</v>
      </c>
      <c r="B17" s="306" t="s">
        <v>317</v>
      </c>
      <c r="C17" s="307"/>
      <c r="D17" s="308"/>
      <c r="E17" s="359">
        <f>(E10+E12)/SUM(E9:E12)</f>
        <v>0.69899605210987248</v>
      </c>
      <c r="F17" s="359">
        <f>(F10+F12)/SUM(F9:F12)</f>
        <v>0.91518914805631923</v>
      </c>
      <c r="G17" s="192"/>
      <c r="M17"/>
      <c r="N17"/>
      <c r="O17"/>
      <c r="P17"/>
      <c r="Q17"/>
      <c r="R17"/>
      <c r="S17"/>
      <c r="T17"/>
      <c r="U17"/>
      <c r="V17"/>
      <c r="W17"/>
    </row>
    <row r="18" spans="1:23" s="14" customFormat="1" x14ac:dyDescent="0.2">
      <c r="A18" s="68">
        <f>A17+1</f>
        <v>13</v>
      </c>
      <c r="B18" s="4" t="s">
        <v>529</v>
      </c>
      <c r="C18" s="466"/>
      <c r="D18" s="467"/>
      <c r="E18" s="360">
        <f>SUM(E10,E12,E14)/SUM(E9:E14)</f>
        <v>0.34093736475219688</v>
      </c>
      <c r="F18" s="360">
        <f>(F10+F12)/SUM(F9:F14)</f>
        <v>0.2860236661460695</v>
      </c>
      <c r="M18"/>
      <c r="N18"/>
      <c r="O18"/>
      <c r="P18"/>
      <c r="Q18"/>
      <c r="R18"/>
      <c r="S18"/>
      <c r="T18"/>
      <c r="U18"/>
      <c r="V18"/>
      <c r="W18"/>
    </row>
    <row r="19" spans="1:23" s="14" customFormat="1" x14ac:dyDescent="0.2">
      <c r="A19" s="93"/>
      <c r="B19" s="189"/>
      <c r="E19" s="468"/>
      <c r="M19"/>
      <c r="N19"/>
      <c r="O19"/>
      <c r="P19"/>
      <c r="Q19"/>
      <c r="R19"/>
      <c r="S19"/>
      <c r="T19"/>
      <c r="U19"/>
      <c r="V19"/>
      <c r="W19"/>
    </row>
    <row r="20" spans="1:23" s="14" customFormat="1" x14ac:dyDescent="0.2">
      <c r="A20" s="93"/>
      <c r="B20" s="164"/>
      <c r="E20" s="468"/>
      <c r="M20"/>
      <c r="N20"/>
      <c r="O20"/>
      <c r="P20"/>
      <c r="Q20"/>
      <c r="R20"/>
      <c r="S20"/>
      <c r="T20"/>
      <c r="U20"/>
      <c r="V20"/>
      <c r="W20"/>
    </row>
    <row r="21" spans="1:23" x14ac:dyDescent="0.2">
      <c r="B21" s="248"/>
    </row>
    <row r="22" spans="1:23" x14ac:dyDescent="0.2">
      <c r="A22" s="248"/>
    </row>
    <row r="24" spans="1:23" x14ac:dyDescent="0.2">
      <c r="B24" s="14"/>
      <c r="E24" s="147"/>
    </row>
    <row r="25" spans="1:23" x14ac:dyDescent="0.2">
      <c r="B25" s="14"/>
    </row>
    <row r="26" spans="1:23" x14ac:dyDescent="0.2">
      <c r="B26" s="14"/>
    </row>
    <row r="27" spans="1:23" x14ac:dyDescent="0.2">
      <c r="B27" s="14"/>
    </row>
  </sheetData>
  <phoneticPr fontId="11" type="noConversion"/>
  <pageMargins left="0.75" right="0.75" top="1" bottom="1" header="0.5" footer="0.5"/>
  <pageSetup orientation="portrait" r:id="rId1"/>
  <headerFooter alignWithMargins="0">
    <oddHeader>&amp;RUSPS-FY09-19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92D050"/>
  </sheetPr>
  <dimension ref="A1:K20"/>
  <sheetViews>
    <sheetView zoomScaleNormal="100" workbookViewId="0">
      <selection activeCell="A5" sqref="A5"/>
    </sheetView>
  </sheetViews>
  <sheetFormatPr defaultColWidth="9.140625" defaultRowHeight="12.75" x14ac:dyDescent="0.2"/>
  <cols>
    <col min="1" max="1" width="12.42578125" customWidth="1"/>
    <col min="4" max="4" width="12.85546875" style="361" bestFit="1" customWidth="1"/>
    <col min="5" max="5" width="10.42578125" bestFit="1" customWidth="1"/>
    <col min="6" max="6" width="10.5703125" bestFit="1" customWidth="1"/>
  </cols>
  <sheetData>
    <row r="1" spans="1:11" x14ac:dyDescent="0.2">
      <c r="A1" s="92" t="str">
        <f>Inputs!$C$4</f>
        <v>Unit Delivery Cost Model -  12/16/2025</v>
      </c>
    </row>
    <row r="2" spans="1:11" x14ac:dyDescent="0.2">
      <c r="A2" s="77" t="s">
        <v>547</v>
      </c>
    </row>
    <row r="3" spans="1:11" x14ac:dyDescent="0.2">
      <c r="A3" s="77" t="s">
        <v>171</v>
      </c>
    </row>
    <row r="4" spans="1:11" x14ac:dyDescent="0.2">
      <c r="A4" s="45" t="s">
        <v>551</v>
      </c>
    </row>
    <row r="5" spans="1:11" s="14" customFormat="1" ht="11.25" x14ac:dyDescent="0.2">
      <c r="A5" s="188" t="s">
        <v>8</v>
      </c>
      <c r="B5" s="187" t="s">
        <v>163</v>
      </c>
      <c r="C5" s="187"/>
      <c r="D5" s="187" t="s">
        <v>164</v>
      </c>
      <c r="E5" s="261" t="s">
        <v>274</v>
      </c>
      <c r="F5" s="261" t="s">
        <v>275</v>
      </c>
    </row>
    <row r="6" spans="1:11" s="14" customFormat="1" ht="11.25" x14ac:dyDescent="0.2">
      <c r="A6" s="67">
        <v>1</v>
      </c>
      <c r="B6" s="103" t="s">
        <v>28</v>
      </c>
      <c r="C6" s="103"/>
      <c r="D6" s="103" t="s">
        <v>166</v>
      </c>
      <c r="E6" s="120">
        <f>RCSECRVols!C12-E7</f>
        <v>746770.41659047268</v>
      </c>
      <c r="F6" s="362">
        <f>RCSECRVols!C11-F7</f>
        <v>977516.44119739952</v>
      </c>
    </row>
    <row r="7" spans="1:11" s="14" customFormat="1" ht="11.25" x14ac:dyDescent="0.2">
      <c r="A7" s="68">
        <v>2</v>
      </c>
      <c r="B7" s="104" t="s">
        <v>28</v>
      </c>
      <c r="C7" s="104"/>
      <c r="D7" s="104" t="s">
        <v>167</v>
      </c>
      <c r="E7" s="256">
        <f>[8]RCCS_DAL_FY25!C2</f>
        <v>4823.7023951570109</v>
      </c>
      <c r="F7" s="256">
        <f>[8]RCCS_DAL_FY25!D2</f>
        <v>1545.7756616649997</v>
      </c>
      <c r="G7" s="192"/>
      <c r="H7" s="152"/>
      <c r="I7" s="152"/>
      <c r="J7" s="152"/>
    </row>
    <row r="8" spans="1:11" s="14" customFormat="1" ht="11.25" x14ac:dyDescent="0.2">
      <c r="A8" s="67">
        <v>3</v>
      </c>
      <c r="B8" s="103" t="s">
        <v>168</v>
      </c>
      <c r="C8" s="103"/>
      <c r="D8" s="103" t="s">
        <v>166</v>
      </c>
      <c r="E8" s="263"/>
      <c r="F8" s="263"/>
      <c r="H8" s="152"/>
      <c r="I8" s="152"/>
      <c r="J8" s="152"/>
    </row>
    <row r="9" spans="1:11" s="14" customFormat="1" ht="11.25" x14ac:dyDescent="0.2">
      <c r="A9" s="67">
        <v>4</v>
      </c>
      <c r="B9" s="103" t="s">
        <v>168</v>
      </c>
      <c r="C9" s="103"/>
      <c r="D9" s="103" t="s">
        <v>167</v>
      </c>
      <c r="E9" s="263"/>
      <c r="F9" s="263"/>
      <c r="K9" s="152"/>
    </row>
    <row r="10" spans="1:11" s="14" customFormat="1" ht="11.25" x14ac:dyDescent="0.2">
      <c r="A10" s="66">
        <v>5</v>
      </c>
      <c r="B10" s="363" t="s">
        <v>169</v>
      </c>
      <c r="C10" s="363"/>
      <c r="D10" s="363" t="s">
        <v>166</v>
      </c>
      <c r="E10" s="120">
        <f>RCSECRVols!C17-E11</f>
        <v>197251.02693115012</v>
      </c>
      <c r="F10" s="362">
        <f>RCSECRVols!C16-F11</f>
        <v>254376.62610975746</v>
      </c>
    </row>
    <row r="11" spans="1:11" s="14" customFormat="1" ht="11.25" x14ac:dyDescent="0.2">
      <c r="A11" s="68">
        <v>6</v>
      </c>
      <c r="B11" s="104" t="s">
        <v>170</v>
      </c>
      <c r="C11" s="104"/>
      <c r="D11" s="104" t="s">
        <v>167</v>
      </c>
      <c r="E11" s="256">
        <f>[8]RCCS_DAL_FY25!C3</f>
        <v>16133.120113960555</v>
      </c>
      <c r="F11" s="256">
        <f>[8]RCCS_DAL_FY25!D3</f>
        <v>1810.7716819507921</v>
      </c>
    </row>
    <row r="12" spans="1:11" s="14" customFormat="1" ht="11.25" x14ac:dyDescent="0.2">
      <c r="A12" s="68">
        <v>7</v>
      </c>
      <c r="B12" s="104" t="s">
        <v>16</v>
      </c>
      <c r="C12" s="104"/>
      <c r="D12" s="104" t="s">
        <v>166</v>
      </c>
      <c r="E12" s="340"/>
      <c r="F12" s="340"/>
    </row>
    <row r="13" spans="1:11" s="14" customFormat="1" ht="11.25" x14ac:dyDescent="0.2">
      <c r="A13" s="67">
        <v>8</v>
      </c>
      <c r="B13" s="103" t="s">
        <v>111</v>
      </c>
      <c r="C13" s="103"/>
      <c r="D13" s="103" t="s">
        <v>166</v>
      </c>
      <c r="E13" s="120">
        <f>RCSECRVols!C42-E14</f>
        <v>1523565.6258706569</v>
      </c>
      <c r="F13" s="362">
        <f>RCSECRVols!C41-F14</f>
        <v>43395.047175477695</v>
      </c>
    </row>
    <row r="14" spans="1:11" s="14" customFormat="1" ht="11.25" x14ac:dyDescent="0.2">
      <c r="A14" s="68">
        <v>9</v>
      </c>
      <c r="B14" s="104" t="s">
        <v>111</v>
      </c>
      <c r="C14" s="104"/>
      <c r="D14" s="104" t="s">
        <v>167</v>
      </c>
      <c r="E14" s="256">
        <f>[8]RCCS_DAL_FY25!C4</f>
        <v>13805.518284021222</v>
      </c>
      <c r="F14" s="256">
        <f>[8]RCCS_DAL_FY25!D4</f>
        <v>0</v>
      </c>
    </row>
    <row r="15" spans="1:11" s="14" customFormat="1" ht="11.25" x14ac:dyDescent="0.2">
      <c r="A15" s="364">
        <v>10</v>
      </c>
      <c r="B15" s="365" t="s">
        <v>207</v>
      </c>
      <c r="C15" s="104"/>
      <c r="D15" s="104"/>
      <c r="E15" s="194">
        <f>E7+E9+E11+E14</f>
        <v>34762.340793138792</v>
      </c>
      <c r="F15" s="194">
        <f>F7+F9+F11+F14</f>
        <v>3356.5473436157918</v>
      </c>
    </row>
    <row r="16" spans="1:11" s="14" customFormat="1" ht="11.25" x14ac:dyDescent="0.2">
      <c r="A16" s="67">
        <v>11</v>
      </c>
      <c r="B16" s="309" t="s">
        <v>359</v>
      </c>
      <c r="C16" s="366"/>
      <c r="D16" s="366"/>
      <c r="E16" s="367">
        <f>(E7+E9+E11)/SUM(E6:E11)</f>
        <v>2.1717403641969658E-2</v>
      </c>
      <c r="F16" s="367">
        <f>(F7+F9+F11)/SUM(F6:F11)</f>
        <v>2.7173028866434804E-3</v>
      </c>
    </row>
    <row r="17" spans="1:6" s="14" customFormat="1" ht="11.25" x14ac:dyDescent="0.2">
      <c r="A17" s="68">
        <v>12</v>
      </c>
      <c r="B17" s="111" t="s">
        <v>172</v>
      </c>
      <c r="C17" s="191"/>
      <c r="D17" s="191"/>
      <c r="E17" s="190">
        <f>E14/(E13+E14)</f>
        <v>8.9799514817953553E-3</v>
      </c>
      <c r="F17" s="190">
        <f>F14/(F13+F14)</f>
        <v>0</v>
      </c>
    </row>
    <row r="19" spans="1:6" x14ac:dyDescent="0.2">
      <c r="A19" s="248"/>
    </row>
    <row r="20" spans="1:6" x14ac:dyDescent="0.2">
      <c r="E20" s="248"/>
    </row>
  </sheetData>
  <phoneticPr fontId="11" type="noConversion"/>
  <pageMargins left="0.75" right="0.75" top="1" bottom="1" header="0.5" footer="0.5"/>
  <pageSetup orientation="portrait" r:id="rId1"/>
  <headerFooter alignWithMargins="0">
    <oddHeader>&amp;RUSPS-FY09-19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rgb="FF92D050"/>
  </sheetPr>
  <dimension ref="A1:G25"/>
  <sheetViews>
    <sheetView zoomScaleNormal="100" workbookViewId="0">
      <selection activeCell="D17" sqref="D17"/>
    </sheetView>
  </sheetViews>
  <sheetFormatPr defaultRowHeight="12.75" x14ac:dyDescent="0.2"/>
  <cols>
    <col min="1" max="1" width="6.42578125" customWidth="1"/>
    <col min="2" max="2" width="33.42578125" bestFit="1" customWidth="1"/>
    <col min="3" max="3" width="11.42578125" bestFit="1" customWidth="1"/>
    <col min="4" max="4" width="12.85546875" bestFit="1" customWidth="1"/>
    <col min="5" max="5" width="10.42578125" bestFit="1" customWidth="1"/>
    <col min="6" max="6" width="12.85546875" bestFit="1" customWidth="1"/>
  </cols>
  <sheetData>
    <row r="1" spans="1:7" x14ac:dyDescent="0.2">
      <c r="A1" s="1" t="str">
        <f>Inputs!$C$4</f>
        <v>Unit Delivery Cost Model -  12/16/2025</v>
      </c>
    </row>
    <row r="2" spans="1:7" x14ac:dyDescent="0.2">
      <c r="A2" s="1" t="s">
        <v>356</v>
      </c>
    </row>
    <row r="3" spans="1:7" x14ac:dyDescent="0.2">
      <c r="A3" s="11" t="s">
        <v>545</v>
      </c>
    </row>
    <row r="5" spans="1:7" x14ac:dyDescent="0.2">
      <c r="A5" s="42"/>
      <c r="B5" s="42" t="s">
        <v>49</v>
      </c>
      <c r="C5" s="201" t="s">
        <v>15</v>
      </c>
      <c r="D5" s="201" t="s">
        <v>16</v>
      </c>
      <c r="E5" s="201" t="s">
        <v>17</v>
      </c>
      <c r="F5" s="201" t="s">
        <v>19</v>
      </c>
    </row>
    <row r="6" spans="1:7" x14ac:dyDescent="0.2">
      <c r="A6" s="69"/>
      <c r="B6" s="69"/>
      <c r="C6" s="122">
        <v>-1</v>
      </c>
      <c r="D6" s="122">
        <f>C6-1</f>
        <v>-2</v>
      </c>
      <c r="E6" s="122">
        <f>D6-1</f>
        <v>-3</v>
      </c>
      <c r="F6" s="122">
        <f>E6-1</f>
        <v>-4</v>
      </c>
    </row>
    <row r="7" spans="1:7" s="14" customFormat="1" ht="11.25" x14ac:dyDescent="0.2">
      <c r="A7" s="576">
        <v>1</v>
      </c>
      <c r="B7" s="576" t="s">
        <v>24</v>
      </c>
      <c r="C7" s="40">
        <f>[6]RCCS_Matrix_FY25_Final!$W$3+[6]RCCS_Matrix_FY25_Final!$W$9</f>
        <v>0</v>
      </c>
      <c r="D7" s="40" t="s">
        <v>29</v>
      </c>
      <c r="E7" s="266"/>
      <c r="F7" s="266">
        <f>SUM(C7:E7)</f>
        <v>0</v>
      </c>
    </row>
    <row r="8" spans="1:7" s="14" customFormat="1" ht="11.25" x14ac:dyDescent="0.2">
      <c r="A8" s="576">
        <f t="shared" ref="A8:A17" si="0">A7+1</f>
        <v>2</v>
      </c>
      <c r="B8" s="577" t="s">
        <v>186</v>
      </c>
      <c r="C8" s="40">
        <f>[6]RCCS_Matrix_FY25_Final!W6+[6]RCCS_Matrix_FY25_Final!$W$10</f>
        <v>0</v>
      </c>
      <c r="D8" s="266">
        <f>[6]RCCS_Matrix_FY25_Final!$X$6+[6]RCCS_Matrix_FY25_Final!$X$10</f>
        <v>0</v>
      </c>
      <c r="E8" s="266"/>
      <c r="F8" s="266">
        <f>SUM(C8:E8)</f>
        <v>0</v>
      </c>
    </row>
    <row r="9" spans="1:7" s="14" customFormat="1" ht="11.25" x14ac:dyDescent="0.2">
      <c r="A9" s="576">
        <f t="shared" si="0"/>
        <v>3</v>
      </c>
      <c r="B9" s="576" t="s">
        <v>107</v>
      </c>
      <c r="C9" s="272">
        <f>[6]RCCS_Matrix_FY25_Final!$W$15</f>
        <v>0</v>
      </c>
      <c r="D9" s="272">
        <f>[6]RCCS_Matrix_FY25_Final!X15</f>
        <v>12721.852270205503</v>
      </c>
      <c r="E9" s="263"/>
      <c r="F9" s="266">
        <f t="shared" ref="F9:F17" si="1">SUM(C9:E9)</f>
        <v>12721.852270205503</v>
      </c>
      <c r="G9" s="189"/>
    </row>
    <row r="10" spans="1:7" s="14" customFormat="1" ht="11.25" x14ac:dyDescent="0.2">
      <c r="A10" s="576">
        <f t="shared" si="0"/>
        <v>4</v>
      </c>
      <c r="B10" s="153" t="s">
        <v>371</v>
      </c>
      <c r="C10" s="263"/>
      <c r="D10" s="272"/>
      <c r="E10" s="272"/>
      <c r="F10" s="266"/>
    </row>
    <row r="11" spans="1:7" s="14" customFormat="1" ht="11.25" x14ac:dyDescent="0.2">
      <c r="A11" s="576"/>
      <c r="B11" s="153" t="s">
        <v>405</v>
      </c>
      <c r="C11" s="263">
        <f>[6]RCCS_Matrix_FY25_Final!$W$17</f>
        <v>5945.5183691390157</v>
      </c>
      <c r="D11" s="272">
        <f>[6]RCCS_Matrix_FY25_Final!X18+[6]RCCS_Matrix_FY25_Final!$X$17</f>
        <v>259.5062586694832</v>
      </c>
      <c r="E11" s="272"/>
      <c r="F11" s="266">
        <f t="shared" si="1"/>
        <v>6205.0246278084987</v>
      </c>
    </row>
    <row r="12" spans="1:7" s="14" customFormat="1" ht="11.25" x14ac:dyDescent="0.2">
      <c r="A12" s="576">
        <f>A10+1</f>
        <v>5</v>
      </c>
      <c r="B12" s="578" t="s">
        <v>372</v>
      </c>
      <c r="C12" s="272">
        <f>[6]RCCS_Matrix_FY25_Final!W22</f>
        <v>2284.8122533290812</v>
      </c>
      <c r="D12" s="272">
        <f>[6]RCCS_Matrix_FY25_Final!X23</f>
        <v>22927.800997657392</v>
      </c>
      <c r="E12" s="263"/>
      <c r="F12" s="266">
        <f t="shared" si="1"/>
        <v>25212.613250986473</v>
      </c>
    </row>
    <row r="13" spans="1:7" s="14" customFormat="1" ht="11.25" x14ac:dyDescent="0.2">
      <c r="A13" s="576">
        <f t="shared" si="0"/>
        <v>6</v>
      </c>
      <c r="B13" s="579" t="s">
        <v>373</v>
      </c>
      <c r="C13" s="272">
        <f>[6]RCCS_Matrix_FY25_Final!W26</f>
        <v>8703.364390910152</v>
      </c>
      <c r="D13" s="272">
        <f>[6]RCCS_Matrix_FY25_Final!X27+[6]RCCS_Matrix_FY25_Final!$X$26</f>
        <v>34691.682784567551</v>
      </c>
      <c r="E13" s="263"/>
      <c r="F13" s="266">
        <f t="shared" si="1"/>
        <v>43395.047175477703</v>
      </c>
    </row>
    <row r="14" spans="1:7" s="14" customFormat="1" ht="11.25" x14ac:dyDescent="0.2">
      <c r="A14" s="576">
        <f t="shared" si="0"/>
        <v>7</v>
      </c>
      <c r="B14" s="578" t="s">
        <v>374</v>
      </c>
      <c r="C14" s="272">
        <f>[6]RCCS_Matrix_FY25_Final!W30</f>
        <v>197539.47822775837</v>
      </c>
      <c r="D14" s="272">
        <f>[6]RCCS_Matrix_FY25_Final!X29+[6]RCCS_Matrix_FY25_Final!X31+[6]RCCS_Matrix_FY25_Final!$X$30</f>
        <v>1339831.6659269209</v>
      </c>
      <c r="E14" s="263"/>
      <c r="F14" s="266">
        <f t="shared" si="1"/>
        <v>1537371.1441546793</v>
      </c>
    </row>
    <row r="15" spans="1:7" s="14" customFormat="1" ht="11.25" x14ac:dyDescent="0.2">
      <c r="A15" s="576">
        <f t="shared" si="0"/>
        <v>8</v>
      </c>
      <c r="B15" s="578" t="s">
        <v>375</v>
      </c>
      <c r="C15" s="40">
        <f>SUM(C12:C14)</f>
        <v>208527.6548719976</v>
      </c>
      <c r="D15" s="40">
        <f>SUM(D12:D14)</f>
        <v>1397451.149709146</v>
      </c>
      <c r="E15" s="40"/>
      <c r="F15" s="266">
        <f t="shared" si="1"/>
        <v>1605978.8045811437</v>
      </c>
    </row>
    <row r="16" spans="1:7" s="14" customFormat="1" ht="11.25" x14ac:dyDescent="0.2">
      <c r="A16" s="576">
        <f t="shared" si="0"/>
        <v>9</v>
      </c>
      <c r="B16" s="126" t="s">
        <v>291</v>
      </c>
      <c r="C16" s="40"/>
      <c r="D16" s="40"/>
      <c r="E16" s="40" t="s">
        <v>29</v>
      </c>
      <c r="F16" s="266">
        <f t="shared" si="1"/>
        <v>0</v>
      </c>
    </row>
    <row r="17" spans="1:6" s="14" customFormat="1" ht="11.25" x14ac:dyDescent="0.2">
      <c r="A17" s="580">
        <f t="shared" si="0"/>
        <v>10</v>
      </c>
      <c r="B17" s="581" t="s">
        <v>137</v>
      </c>
      <c r="C17" s="582"/>
      <c r="D17" s="582">
        <f>[6]RCCS_Matrix_FY25_Final!X43+[6]RCCS_Matrix_FY25_Final!$X$44</f>
        <v>641.89812592038686</v>
      </c>
      <c r="E17" s="582"/>
      <c r="F17" s="194">
        <f t="shared" si="1"/>
        <v>641.89812592038686</v>
      </c>
    </row>
    <row r="19" spans="1:6" x14ac:dyDescent="0.2">
      <c r="C19" s="583"/>
      <c r="D19" s="248"/>
    </row>
    <row r="20" spans="1:6" x14ac:dyDescent="0.2">
      <c r="C20" s="583"/>
      <c r="D20" s="248"/>
    </row>
    <row r="21" spans="1:6" x14ac:dyDescent="0.2">
      <c r="C21" s="583"/>
    </row>
    <row r="22" spans="1:6" x14ac:dyDescent="0.2">
      <c r="C22" s="584"/>
    </row>
    <row r="23" spans="1:6" x14ac:dyDescent="0.2">
      <c r="B23" t="s">
        <v>29</v>
      </c>
    </row>
    <row r="24" spans="1:6" x14ac:dyDescent="0.2">
      <c r="B24" t="s">
        <v>29</v>
      </c>
    </row>
    <row r="25" spans="1:6" x14ac:dyDescent="0.2">
      <c r="B25" t="s">
        <v>29</v>
      </c>
    </row>
  </sheetData>
  <phoneticPr fontId="11" type="noConversion"/>
  <pageMargins left="0.75" right="0.75" top="1" bottom="1" header="0.5" footer="0.5"/>
  <pageSetup orientation="portrait" r:id="rId1"/>
  <headerFooter alignWithMargins="0">
    <oddHeader>&amp;RUSPS-FY09-19</oddHead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92D050"/>
  </sheetPr>
  <dimension ref="A1:G31"/>
  <sheetViews>
    <sheetView topLeftCell="A4" zoomScaleNormal="100" workbookViewId="0">
      <selection activeCell="D11" sqref="D11"/>
    </sheetView>
  </sheetViews>
  <sheetFormatPr defaultColWidth="9.5703125" defaultRowHeight="15.75" x14ac:dyDescent="0.25"/>
  <cols>
    <col min="1" max="1" width="5.42578125" style="9" customWidth="1"/>
    <col min="2" max="2" width="39.42578125" style="9" bestFit="1" customWidth="1"/>
    <col min="3" max="3" width="2.28515625" style="9" customWidth="1"/>
    <col min="4" max="16384" width="9.5703125" style="9"/>
  </cols>
  <sheetData>
    <row r="1" spans="1:6" x14ac:dyDescent="0.25">
      <c r="A1" s="409" t="str">
        <f>Inputs!$C$4</f>
        <v>Unit Delivery Cost Model -  12/16/2025</v>
      </c>
    </row>
    <row r="2" spans="1:6" s="7" customFormat="1" ht="12.75" x14ac:dyDescent="0.2">
      <c r="A2" s="5" t="s">
        <v>104</v>
      </c>
      <c r="B2" s="6"/>
      <c r="C2" s="6"/>
    </row>
    <row r="3" spans="1:6" s="7" customFormat="1" ht="12.75" x14ac:dyDescent="0.2">
      <c r="A3" s="388" t="s">
        <v>537</v>
      </c>
      <c r="B3" s="322"/>
      <c r="C3" s="322"/>
    </row>
    <row r="4" spans="1:6" s="7" customFormat="1" ht="12.75" x14ac:dyDescent="0.2">
      <c r="A4" s="322"/>
      <c r="B4" s="323"/>
      <c r="C4" s="323"/>
    </row>
    <row r="5" spans="1:6" s="8" customFormat="1" ht="22.5" x14ac:dyDescent="0.2">
      <c r="A5" s="59" t="s">
        <v>8</v>
      </c>
      <c r="B5" s="59" t="s">
        <v>9</v>
      </c>
      <c r="C5" s="59"/>
      <c r="D5" s="59" t="s">
        <v>10</v>
      </c>
      <c r="E5" s="59" t="s">
        <v>11</v>
      </c>
    </row>
    <row r="6" spans="1:6" s="8" customFormat="1" ht="11.25" x14ac:dyDescent="0.2">
      <c r="A6" s="60"/>
      <c r="B6" s="56" t="s">
        <v>12</v>
      </c>
      <c r="C6" s="56"/>
      <c r="D6" s="57" t="s">
        <v>13</v>
      </c>
      <c r="E6" s="57">
        <v>10</v>
      </c>
    </row>
    <row r="7" spans="1:6" s="8" customFormat="1" ht="11.25" x14ac:dyDescent="0.2">
      <c r="A7" s="61"/>
      <c r="B7" s="54" t="s">
        <v>14</v>
      </c>
      <c r="C7" s="54"/>
      <c r="D7" s="55">
        <v>-1</v>
      </c>
      <c r="E7" s="55">
        <f>D7-1</f>
        <v>-2</v>
      </c>
    </row>
    <row r="8" spans="1:6" s="8" customFormat="1" ht="11.25" x14ac:dyDescent="0.2">
      <c r="A8" s="61"/>
      <c r="B8" s="410" t="s">
        <v>44</v>
      </c>
      <c r="C8" s="410"/>
      <c r="D8" s="55"/>
      <c r="E8" s="55"/>
    </row>
    <row r="9" spans="1:6" s="8" customFormat="1" ht="11.25" x14ac:dyDescent="0.2">
      <c r="A9" s="62"/>
      <c r="B9" s="31" t="s">
        <v>25</v>
      </c>
      <c r="C9" s="31"/>
      <c r="D9" s="29"/>
      <c r="E9" s="29"/>
    </row>
    <row r="10" spans="1:6" s="8" customFormat="1" ht="11.25" x14ac:dyDescent="0.2">
      <c r="A10" s="63">
        <v>1</v>
      </c>
      <c r="B10" s="119" t="s">
        <v>7</v>
      </c>
      <c r="C10" s="119"/>
      <c r="D10" s="334"/>
      <c r="E10" s="334"/>
    </row>
    <row r="11" spans="1:6" s="8" customFormat="1" ht="11.25" x14ac:dyDescent="0.2">
      <c r="A11" s="64">
        <f>A10+1</f>
        <v>2</v>
      </c>
      <c r="B11" s="118" t="s">
        <v>256</v>
      </c>
      <c r="C11" s="118"/>
      <c r="D11" s="335">
        <f>[9]PBRatios!M8</f>
        <v>1.2754927507123646</v>
      </c>
      <c r="E11" s="335">
        <f>[9]PBRatios!$O$8</f>
        <v>1.2077066130157168</v>
      </c>
      <c r="F11" s="292"/>
    </row>
    <row r="12" spans="1:6" s="8" customFormat="1" ht="11.25" x14ac:dyDescent="0.2">
      <c r="A12" s="64">
        <f t="shared" ref="A12:A28" si="0">A11+1</f>
        <v>3</v>
      </c>
      <c r="B12" s="118" t="s">
        <v>257</v>
      </c>
      <c r="C12" s="118"/>
      <c r="D12" s="335">
        <f>[9]PBRatios!M9</f>
        <v>1.2630276845681907</v>
      </c>
      <c r="E12" s="335">
        <f>$E$11</f>
        <v>1.2077066130157168</v>
      </c>
      <c r="F12" s="292"/>
    </row>
    <row r="13" spans="1:6" s="8" customFormat="1" ht="11.25" x14ac:dyDescent="0.2">
      <c r="A13" s="64">
        <f t="shared" si="0"/>
        <v>4</v>
      </c>
      <c r="B13" s="118" t="s">
        <v>258</v>
      </c>
      <c r="C13" s="118"/>
      <c r="D13" s="335">
        <f>[9]PBRatios!M11</f>
        <v>1.2653303072868729</v>
      </c>
      <c r="E13" s="335">
        <f t="shared" ref="E13:E28" si="1">$E$11</f>
        <v>1.2077066130157168</v>
      </c>
      <c r="F13" s="292"/>
    </row>
    <row r="14" spans="1:6" s="8" customFormat="1" ht="11.25" x14ac:dyDescent="0.2">
      <c r="A14" s="64">
        <f t="shared" si="0"/>
        <v>5</v>
      </c>
      <c r="B14" s="118" t="s">
        <v>259</v>
      </c>
      <c r="C14" s="118"/>
      <c r="D14" s="335">
        <f>[9]PBRatios!M12</f>
        <v>1.2673642915008811</v>
      </c>
      <c r="E14" s="335">
        <f t="shared" si="1"/>
        <v>1.2077066130157168</v>
      </c>
      <c r="F14" s="292"/>
    </row>
    <row r="15" spans="1:6" s="8" customFormat="1" ht="11.25" x14ac:dyDescent="0.2">
      <c r="A15" s="64">
        <f t="shared" si="0"/>
        <v>6</v>
      </c>
      <c r="B15" s="324" t="s">
        <v>195</v>
      </c>
      <c r="C15" s="324"/>
      <c r="D15" s="335">
        <f>[9]PBRatios!M14</f>
        <v>1.2217358201742257</v>
      </c>
      <c r="E15" s="335">
        <f t="shared" si="1"/>
        <v>1.2077066130157168</v>
      </c>
      <c r="F15" s="292"/>
    </row>
    <row r="16" spans="1:6" s="8" customFormat="1" ht="11.25" x14ac:dyDescent="0.2">
      <c r="A16" s="63">
        <f>A15+1</f>
        <v>7</v>
      </c>
      <c r="B16" s="243" t="s">
        <v>370</v>
      </c>
      <c r="C16" s="243"/>
      <c r="D16" s="336"/>
      <c r="E16" s="336"/>
    </row>
    <row r="17" spans="1:7" s="8" customFormat="1" ht="11.25" x14ac:dyDescent="0.2">
      <c r="A17" s="64">
        <f t="shared" si="0"/>
        <v>8</v>
      </c>
      <c r="B17" s="149" t="s">
        <v>191</v>
      </c>
      <c r="C17" s="149"/>
      <c r="D17" s="335">
        <f>[9]PBRatios!M17</f>
        <v>1.2755174867004588</v>
      </c>
      <c r="E17" s="335">
        <f t="shared" si="1"/>
        <v>1.2077066130157168</v>
      </c>
      <c r="F17" s="292"/>
    </row>
    <row r="18" spans="1:7" s="8" customFormat="1" ht="11.25" x14ac:dyDescent="0.2">
      <c r="A18" s="64">
        <f t="shared" si="0"/>
        <v>9</v>
      </c>
      <c r="B18" s="149" t="s">
        <v>192</v>
      </c>
      <c r="C18" s="149"/>
      <c r="D18" s="335">
        <f>[9]PBRatios!M18</f>
        <v>1.2868129111356181</v>
      </c>
      <c r="E18" s="335">
        <f t="shared" si="1"/>
        <v>1.2077066130157168</v>
      </c>
      <c r="F18" s="292"/>
    </row>
    <row r="19" spans="1:7" s="8" customFormat="1" ht="11.25" x14ac:dyDescent="0.2">
      <c r="A19" s="64">
        <f t="shared" si="0"/>
        <v>10</v>
      </c>
      <c r="B19" s="149" t="s">
        <v>288</v>
      </c>
      <c r="C19" s="149"/>
      <c r="D19" s="335">
        <f>[9]PBRatios!M19</f>
        <v>1.2864901090081715</v>
      </c>
      <c r="E19" s="335">
        <f t="shared" si="1"/>
        <v>1.2077066130157168</v>
      </c>
      <c r="F19" s="292"/>
    </row>
    <row r="20" spans="1:7" s="8" customFormat="1" ht="11.25" x14ac:dyDescent="0.2">
      <c r="A20" s="64">
        <f t="shared" si="0"/>
        <v>11</v>
      </c>
      <c r="B20" s="149" t="s">
        <v>193</v>
      </c>
      <c r="C20" s="149"/>
      <c r="D20" s="335">
        <f>[9]PBRatios!M20</f>
        <v>1.2238623902089627</v>
      </c>
      <c r="E20" s="335">
        <f t="shared" si="1"/>
        <v>1.2077066130157168</v>
      </c>
      <c r="F20" s="292"/>
    </row>
    <row r="21" spans="1:7" s="8" customFormat="1" ht="11.25" x14ac:dyDescent="0.2">
      <c r="A21" s="64">
        <f t="shared" si="0"/>
        <v>12</v>
      </c>
      <c r="B21" s="149" t="s">
        <v>194</v>
      </c>
      <c r="C21" s="149"/>
      <c r="D21" s="335">
        <f>[9]PBRatios!M21</f>
        <v>1.2655293838393302</v>
      </c>
      <c r="E21" s="335">
        <f t="shared" si="1"/>
        <v>1.2077066130157168</v>
      </c>
      <c r="F21" s="292"/>
    </row>
    <row r="22" spans="1:7" s="8" customFormat="1" ht="11.25" x14ac:dyDescent="0.2">
      <c r="A22" s="64">
        <f t="shared" si="0"/>
        <v>13</v>
      </c>
      <c r="B22" s="149" t="s">
        <v>195</v>
      </c>
      <c r="C22" s="149"/>
      <c r="D22" s="335">
        <f>[9]PBRatios!M22</f>
        <v>1.2184706136890548</v>
      </c>
      <c r="E22" s="335">
        <f t="shared" si="1"/>
        <v>1.2077066130157168</v>
      </c>
      <c r="F22" s="292"/>
    </row>
    <row r="23" spans="1:7" s="8" customFormat="1" ht="11.25" x14ac:dyDescent="0.2">
      <c r="A23" s="242">
        <f t="shared" si="0"/>
        <v>14</v>
      </c>
      <c r="B23" s="156" t="s">
        <v>260</v>
      </c>
      <c r="C23" s="149"/>
      <c r="D23" s="335">
        <f>[9]PBRatios!M23</f>
        <v>1.2711721661744866</v>
      </c>
      <c r="E23" s="335">
        <f t="shared" si="1"/>
        <v>1.2077066130157168</v>
      </c>
      <c r="F23" s="292"/>
    </row>
    <row r="24" spans="1:7" s="8" customFormat="1" ht="11.25" x14ac:dyDescent="0.2">
      <c r="A24" s="244">
        <f t="shared" si="0"/>
        <v>15</v>
      </c>
      <c r="B24" s="245" t="s">
        <v>68</v>
      </c>
      <c r="C24" s="245"/>
      <c r="D24" s="451">
        <f>[9]PBRatios!M28</f>
        <v>1.2208235070108524</v>
      </c>
      <c r="E24" s="451">
        <f t="shared" si="1"/>
        <v>1.2077066130157168</v>
      </c>
      <c r="F24" s="292"/>
    </row>
    <row r="25" spans="1:7" s="8" customFormat="1" ht="11.25" x14ac:dyDescent="0.2">
      <c r="A25" s="63">
        <f t="shared" si="0"/>
        <v>16</v>
      </c>
      <c r="B25" s="20" t="s">
        <v>134</v>
      </c>
      <c r="C25" s="20"/>
      <c r="D25" s="337"/>
      <c r="E25" s="337"/>
    </row>
    <row r="26" spans="1:7" s="8" customFormat="1" ht="11.25" x14ac:dyDescent="0.2">
      <c r="A26" s="64">
        <f t="shared" si="0"/>
        <v>17</v>
      </c>
      <c r="B26" s="325" t="s">
        <v>254</v>
      </c>
      <c r="C26" s="325"/>
      <c r="D26" s="335">
        <f>[9]PBRatios!M31</f>
        <v>1.2254767674605556</v>
      </c>
      <c r="E26" s="335">
        <f t="shared" si="1"/>
        <v>1.2077066130157168</v>
      </c>
    </row>
    <row r="27" spans="1:7" s="8" customFormat="1" ht="11.25" x14ac:dyDescent="0.2">
      <c r="A27" s="64">
        <f t="shared" si="0"/>
        <v>18</v>
      </c>
      <c r="B27" s="325" t="s">
        <v>255</v>
      </c>
      <c r="C27" s="325"/>
      <c r="D27" s="335">
        <f>[9]PBRatios!M32</f>
        <v>1.2847367023954521</v>
      </c>
      <c r="E27" s="335">
        <f t="shared" si="1"/>
        <v>1.2077066130157168</v>
      </c>
    </row>
    <row r="28" spans="1:7" s="8" customFormat="1" ht="11.25" x14ac:dyDescent="0.2">
      <c r="A28" s="242">
        <f t="shared" si="0"/>
        <v>19</v>
      </c>
      <c r="B28" s="155" t="s">
        <v>139</v>
      </c>
      <c r="C28" s="155"/>
      <c r="D28" s="450">
        <f>[9]PBRatios!M33</f>
        <v>1.2907177071660745</v>
      </c>
      <c r="E28" s="450">
        <f t="shared" si="1"/>
        <v>1.2077066130157168</v>
      </c>
    </row>
    <row r="29" spans="1:7" x14ac:dyDescent="0.25">
      <c r="F29" s="8"/>
      <c r="G29" s="8"/>
    </row>
    <row r="30" spans="1:7" x14ac:dyDescent="0.25">
      <c r="F30" s="8"/>
      <c r="G30" s="8"/>
    </row>
    <row r="31" spans="1:7" x14ac:dyDescent="0.25">
      <c r="B31"/>
      <c r="C31"/>
    </row>
  </sheetData>
  <phoneticPr fontId="9" type="noConversion"/>
  <printOptions horizontalCentered="1"/>
  <pageMargins left="0.5" right="0.5" top="1" bottom="0.5" header="0.5" footer="0.25"/>
  <pageSetup scale="80" orientation="landscape" horizontalDpi="300" verticalDpi="300" r:id="rId1"/>
  <headerFooter alignWithMargins="0">
    <oddHeader xml:space="preserve">&amp;R&amp;8USPS-FY09-19
</oddHeader>
    <oddFooter>&amp;C&amp;"Arial,Regular"&amp;8Page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rgb="FF92D050"/>
    <pageSetUpPr fitToPage="1"/>
  </sheetPr>
  <dimension ref="A1:L49"/>
  <sheetViews>
    <sheetView topLeftCell="A15" zoomScaleNormal="100" workbookViewId="0">
      <selection activeCell="G44" sqref="G44"/>
    </sheetView>
  </sheetViews>
  <sheetFormatPr defaultColWidth="8.85546875" defaultRowHeight="12.75" x14ac:dyDescent="0.2"/>
  <cols>
    <col min="1" max="1" width="8.42578125" style="28" customWidth="1"/>
    <col min="2" max="2" width="56" style="10" customWidth="1"/>
    <col min="3" max="4" width="12" style="10" customWidth="1"/>
    <col min="5" max="5" width="13.5703125" style="10" customWidth="1"/>
    <col min="6" max="6" width="13.140625" style="10" customWidth="1"/>
    <col min="7" max="8" width="12" style="10" customWidth="1"/>
    <col min="9" max="9" width="11.5703125" style="10" customWidth="1"/>
    <col min="10" max="10" width="14.5703125" style="131" customWidth="1"/>
    <col min="11" max="11" width="16.42578125" style="132" customWidth="1"/>
    <col min="12" max="12" width="10.140625" style="10" bestFit="1" customWidth="1"/>
    <col min="13" max="16384" width="8.85546875" style="10"/>
  </cols>
  <sheetData>
    <row r="1" spans="1:12" s="25" customFormat="1" ht="15" x14ac:dyDescent="0.2">
      <c r="A1" s="1" t="str">
        <f>Inputs!$C$4</f>
        <v>Unit Delivery Cost Model -  12/16/2025</v>
      </c>
      <c r="J1" s="129"/>
      <c r="K1" s="130"/>
    </row>
    <row r="2" spans="1:12" x14ac:dyDescent="0.2">
      <c r="A2" s="81" t="s">
        <v>403</v>
      </c>
      <c r="B2" s="11"/>
      <c r="C2" s="11"/>
      <c r="D2" s="11"/>
      <c r="E2" s="11"/>
      <c r="F2" s="11"/>
      <c r="G2" s="11"/>
      <c r="H2" s="11"/>
      <c r="I2" s="11"/>
    </row>
    <row r="3" spans="1:12" x14ac:dyDescent="0.2">
      <c r="A3" s="27" t="s">
        <v>546</v>
      </c>
      <c r="B3" s="11"/>
      <c r="C3" s="11"/>
      <c r="D3" s="11"/>
      <c r="E3" s="11"/>
      <c r="F3" s="11"/>
      <c r="G3" s="11"/>
      <c r="H3" s="11"/>
      <c r="I3" s="11"/>
    </row>
    <row r="4" spans="1:12" x14ac:dyDescent="0.2">
      <c r="E4" s="197"/>
    </row>
    <row r="5" spans="1:12" x14ac:dyDescent="0.2">
      <c r="L5" s="132"/>
    </row>
    <row r="6" spans="1:12" x14ac:dyDescent="0.2">
      <c r="B6" s="471"/>
      <c r="C6" s="471"/>
      <c r="D6" s="471"/>
      <c r="E6" s="471"/>
      <c r="F6" s="471"/>
      <c r="G6" s="471"/>
    </row>
    <row r="7" spans="1:12" x14ac:dyDescent="0.2">
      <c r="B7" s="485" t="s">
        <v>154</v>
      </c>
      <c r="C7" s="486" t="s">
        <v>94</v>
      </c>
      <c r="D7" s="487" t="s">
        <v>182</v>
      </c>
      <c r="E7" s="488" t="s">
        <v>155</v>
      </c>
      <c r="F7" s="489" t="s">
        <v>262</v>
      </c>
    </row>
    <row r="8" spans="1:12" x14ac:dyDescent="0.2">
      <c r="B8" s="109" t="s">
        <v>496</v>
      </c>
      <c r="C8" s="203">
        <f>'[10]DPS FCM letters'!C8</f>
        <v>0</v>
      </c>
      <c r="D8" s="469">
        <f t="shared" ref="D8:D21" si="0">E8/E$22*D$22</f>
        <v>1280.6255924917684</v>
      </c>
      <c r="E8" s="472">
        <f>'[10]DPS FCM letters'!D8/1000</f>
        <v>2226.1520000000005</v>
      </c>
      <c r="F8" s="474">
        <f t="shared" ref="F8:F21" si="1">E8/E$22*F$22</f>
        <v>2226.1520000000028</v>
      </c>
      <c r="G8" s="177"/>
    </row>
    <row r="9" spans="1:12" x14ac:dyDescent="0.2">
      <c r="B9" s="109" t="s">
        <v>497</v>
      </c>
      <c r="C9" s="203">
        <f>'[10]DPS FCM letters'!C9</f>
        <v>0</v>
      </c>
      <c r="D9" s="469">
        <f t="shared" si="0"/>
        <v>0</v>
      </c>
      <c r="E9" s="472">
        <f>'[10]DPS FCM letters'!D9/1000</f>
        <v>0</v>
      </c>
      <c r="F9" s="474">
        <f t="shared" si="1"/>
        <v>0</v>
      </c>
      <c r="G9" s="177"/>
    </row>
    <row r="10" spans="1:12" x14ac:dyDescent="0.2">
      <c r="B10" s="109" t="s">
        <v>498</v>
      </c>
      <c r="C10" s="203">
        <f>'[10]DPS FCM letters'!C10</f>
        <v>0.85382551272888774</v>
      </c>
      <c r="D10" s="469">
        <f t="shared" si="0"/>
        <v>95018.56733883475</v>
      </c>
      <c r="E10" s="472">
        <f>'[10]DPS FCM letters'!D10/1000</f>
        <v>165173.78299999994</v>
      </c>
      <c r="F10" s="474">
        <f t="shared" si="1"/>
        <v>165173.78300000008</v>
      </c>
      <c r="G10" s="177"/>
    </row>
    <row r="11" spans="1:12" x14ac:dyDescent="0.2">
      <c r="B11" s="109" t="s">
        <v>499</v>
      </c>
      <c r="C11" s="203">
        <f>'[10]DPS FCM letters'!C11</f>
        <v>0.90229116412190491</v>
      </c>
      <c r="D11" s="469">
        <f t="shared" si="0"/>
        <v>190240.71838385021</v>
      </c>
      <c r="E11" s="472">
        <f>'[10]DPS FCM letters'!D11/1000</f>
        <v>330701.46200000076</v>
      </c>
      <c r="F11" s="474">
        <f t="shared" si="1"/>
        <v>330701.46200000105</v>
      </c>
      <c r="G11" s="177"/>
    </row>
    <row r="12" spans="1:12" x14ac:dyDescent="0.2">
      <c r="B12" s="109" t="s">
        <v>500</v>
      </c>
      <c r="C12" s="203">
        <f>'[10]DPS FCM letters'!C12</f>
        <v>0</v>
      </c>
      <c r="D12" s="469">
        <f t="shared" si="0"/>
        <v>978.41801327756923</v>
      </c>
      <c r="E12" s="472">
        <f>'[10]DPS FCM letters'!D12/1000</f>
        <v>1700.8150000000005</v>
      </c>
      <c r="F12" s="474">
        <f t="shared" si="1"/>
        <v>1700.8150000000021</v>
      </c>
      <c r="G12" s="177"/>
    </row>
    <row r="13" spans="1:12" x14ac:dyDescent="0.2">
      <c r="B13" s="109" t="s">
        <v>501</v>
      </c>
      <c r="C13" s="203">
        <f>'[10]DPS FCM letters'!C13</f>
        <v>0</v>
      </c>
      <c r="D13" s="469">
        <f t="shared" si="0"/>
        <v>745.02756683463224</v>
      </c>
      <c r="E13" s="472">
        <f>'[10]DPS FCM letters'!D13/1000</f>
        <v>1295.1049999999993</v>
      </c>
      <c r="F13" s="474">
        <f t="shared" si="1"/>
        <v>1295.1050000000005</v>
      </c>
      <c r="G13" s="177"/>
    </row>
    <row r="14" spans="1:12" x14ac:dyDescent="0.2">
      <c r="B14" s="109" t="s">
        <v>502</v>
      </c>
      <c r="C14" s="203">
        <f>'[10]DPS FCM letters'!C14</f>
        <v>0.90229116412190491</v>
      </c>
      <c r="D14" s="469">
        <f t="shared" si="0"/>
        <v>0</v>
      </c>
      <c r="E14" s="472">
        <f>'[10]DPS FCM letters'!D14/1000</f>
        <v>0</v>
      </c>
      <c r="F14" s="474">
        <f t="shared" si="1"/>
        <v>0</v>
      </c>
      <c r="G14" s="177"/>
    </row>
    <row r="15" spans="1:12" x14ac:dyDescent="0.2">
      <c r="B15" s="109" t="s">
        <v>503</v>
      </c>
      <c r="C15" s="203">
        <f>'[10]DPS FCM letters'!C15</f>
        <v>0.90229116412190491</v>
      </c>
      <c r="D15" s="469">
        <f t="shared" si="0"/>
        <v>0</v>
      </c>
      <c r="E15" s="472">
        <f>'[10]DPS FCM letters'!D15/1000</f>
        <v>0</v>
      </c>
      <c r="F15" s="474">
        <f t="shared" si="1"/>
        <v>0</v>
      </c>
      <c r="G15" s="177"/>
    </row>
    <row r="16" spans="1:12" x14ac:dyDescent="0.2">
      <c r="B16" s="109" t="s">
        <v>156</v>
      </c>
      <c r="C16" s="203">
        <f>'[10]DPS FCM letters'!C18</f>
        <v>0.86458014797418015</v>
      </c>
      <c r="D16" s="469">
        <f t="shared" si="0"/>
        <v>731633.4340223301</v>
      </c>
      <c r="E16" s="472">
        <f>'[10]DPS FCM letters'!D18/1000</f>
        <v>1271821.5550000011</v>
      </c>
      <c r="F16" s="474">
        <f t="shared" si="1"/>
        <v>1271821.5550000023</v>
      </c>
      <c r="G16" s="177"/>
    </row>
    <row r="17" spans="2:8" x14ac:dyDescent="0.2">
      <c r="B17" s="109" t="s">
        <v>157</v>
      </c>
      <c r="C17" s="203">
        <f>'[10]DPS FCM letters'!C19</f>
        <v>0.89522960503121563</v>
      </c>
      <c r="D17" s="469">
        <f t="shared" si="0"/>
        <v>3462074.7927555311</v>
      </c>
      <c r="E17" s="472">
        <f>'[10]DPS FCM letters'!D19/1000</f>
        <v>6018234.1889999779</v>
      </c>
      <c r="F17" s="474">
        <f t="shared" si="1"/>
        <v>6018234.1889999835</v>
      </c>
      <c r="G17" s="177"/>
    </row>
    <row r="18" spans="2:8" x14ac:dyDescent="0.2">
      <c r="B18" s="109" t="s">
        <v>504</v>
      </c>
      <c r="C18" s="203">
        <f>'[10]DPS FCM letters'!C21</f>
        <v>0.88352277798782219</v>
      </c>
      <c r="D18" s="469">
        <f t="shared" si="0"/>
        <v>0</v>
      </c>
      <c r="E18" s="472">
        <f>'[10]DPS FCM letters'!D21/1000</f>
        <v>0</v>
      </c>
      <c r="F18" s="474">
        <f t="shared" si="1"/>
        <v>0</v>
      </c>
      <c r="G18" s="177"/>
    </row>
    <row r="19" spans="2:8" x14ac:dyDescent="0.2">
      <c r="B19" s="475" t="s">
        <v>505</v>
      </c>
      <c r="C19" s="203">
        <f>'[10]DPS FCM letters'!C25</f>
        <v>0</v>
      </c>
      <c r="D19" s="469">
        <f t="shared" si="0"/>
        <v>431670.08162938233</v>
      </c>
      <c r="E19" s="472">
        <f>'[10]DPS FCM letters'!D25/1000</f>
        <v>750385.76551451348</v>
      </c>
      <c r="F19" s="474">
        <f t="shared" si="1"/>
        <v>750385.76551451406</v>
      </c>
      <c r="G19" s="177"/>
    </row>
    <row r="20" spans="2:8" x14ac:dyDescent="0.2">
      <c r="B20" s="109" t="s">
        <v>506</v>
      </c>
      <c r="C20" s="203">
        <f>'[10]DPS FCM letters'!C23</f>
        <v>0.97585900911016799</v>
      </c>
      <c r="D20" s="469">
        <f t="shared" si="0"/>
        <v>11843494.151619431</v>
      </c>
      <c r="E20" s="472">
        <f>'[10]DPS FCM letters'!D23/1000</f>
        <v>20587920.73748548</v>
      </c>
      <c r="F20" s="474">
        <f t="shared" si="1"/>
        <v>20587920.737485498</v>
      </c>
      <c r="G20" s="177"/>
      <c r="H20" s="248"/>
    </row>
    <row r="21" spans="2:8" x14ac:dyDescent="0.2">
      <c r="B21" s="109" t="s">
        <v>507</v>
      </c>
      <c r="C21" s="203">
        <f>'[10]DPS FCM letters'!C27</f>
        <v>0.94154181952989746</v>
      </c>
      <c r="D21" s="469">
        <f t="shared" si="0"/>
        <v>12275164.233248813</v>
      </c>
      <c r="E21" s="472">
        <f>'[10]DPS FCM letters'!D27/1000</f>
        <v>21338306.502999995</v>
      </c>
      <c r="F21" s="474">
        <f t="shared" si="1"/>
        <v>21338306.503000014</v>
      </c>
      <c r="G21" s="177"/>
    </row>
    <row r="22" spans="2:8" x14ac:dyDescent="0.2">
      <c r="B22" s="475" t="s">
        <v>158</v>
      </c>
      <c r="C22" s="203">
        <f>(SUMPRODUCT(C8:C20,E8:E20))/E22</f>
        <v>0.92750157456466986</v>
      </c>
      <c r="D22" s="469">
        <f>'7.0.8'!E13+'7.0.8'!H13</f>
        <v>16757135.816921964</v>
      </c>
      <c r="E22" s="470">
        <f>SUM(E8:E20)</f>
        <v>29129459.563999973</v>
      </c>
      <c r="F22" s="476">
        <f>RPWShape!C12</f>
        <v>29129459.563999999</v>
      </c>
      <c r="G22" s="259"/>
    </row>
    <row r="23" spans="2:8" x14ac:dyDescent="0.2">
      <c r="B23" s="490" t="s">
        <v>369</v>
      </c>
      <c r="C23" s="486" t="s">
        <v>94</v>
      </c>
      <c r="D23" s="487" t="s">
        <v>182</v>
      </c>
      <c r="E23" s="491" t="s">
        <v>155</v>
      </c>
      <c r="F23" s="492"/>
    </row>
    <row r="24" spans="2:8" x14ac:dyDescent="0.2">
      <c r="B24" s="475" t="s">
        <v>508</v>
      </c>
      <c r="C24" s="202">
        <f>'[10]DPS MM letters'!C6</f>
        <v>0</v>
      </c>
      <c r="D24" s="469">
        <f t="shared" ref="D24:D33" si="2">E24/E$34*D$34</f>
        <v>429.59251534221096</v>
      </c>
      <c r="E24" s="472">
        <f>'[10]DPS MM letters'!D6/1000</f>
        <v>749.09199999999998</v>
      </c>
      <c r="F24" s="474">
        <f t="shared" ref="F24:F33" si="3">E24/E$34*F$34</f>
        <v>748.98797977218669</v>
      </c>
      <c r="G24" s="107"/>
    </row>
    <row r="25" spans="2:8" x14ac:dyDescent="0.2">
      <c r="B25" s="109" t="s">
        <v>497</v>
      </c>
      <c r="C25" s="202">
        <f>'[10]DPS MM letters'!C7</f>
        <v>0</v>
      </c>
      <c r="D25" s="469">
        <f t="shared" si="2"/>
        <v>323.72731009082378</v>
      </c>
      <c r="E25" s="472">
        <f>'[10]DPS MM letters'!D7/1000</f>
        <v>564.49199999999996</v>
      </c>
      <c r="F25" s="474">
        <f t="shared" si="3"/>
        <v>564.41361365167586</v>
      </c>
      <c r="G25" s="107"/>
    </row>
    <row r="26" spans="2:8" x14ac:dyDescent="0.2">
      <c r="B26" s="109" t="s">
        <v>509</v>
      </c>
      <c r="C26" s="202">
        <f>'[10]DPS MM letters'!C10</f>
        <v>0.85384008270572487</v>
      </c>
      <c r="D26" s="469">
        <f t="shared" si="2"/>
        <v>92311.128755770347</v>
      </c>
      <c r="E26" s="472">
        <f>'[10]DPS MM letters'!D10/1000</f>
        <v>160965.39300000001</v>
      </c>
      <c r="F26" s="474">
        <f t="shared" si="3"/>
        <v>160943.0410634556</v>
      </c>
      <c r="G26" s="107"/>
    </row>
    <row r="27" spans="2:8" x14ac:dyDescent="0.2">
      <c r="B27" s="109" t="s">
        <v>499</v>
      </c>
      <c r="C27" s="202">
        <f>'[10]DPS MM letters'!C11</f>
        <v>0.90228888681847952</v>
      </c>
      <c r="D27" s="469">
        <f t="shared" si="2"/>
        <v>185729.80770449748</v>
      </c>
      <c r="E27" s="472">
        <f>'[10]DPS MM letters'!D11/1000</f>
        <v>323862.05099999998</v>
      </c>
      <c r="F27" s="474">
        <f t="shared" si="3"/>
        <v>323817.07894806901</v>
      </c>
      <c r="G27" s="107"/>
    </row>
    <row r="28" spans="2:8" x14ac:dyDescent="0.2">
      <c r="B28" s="475" t="s">
        <v>500</v>
      </c>
      <c r="C28" s="202">
        <f>'[10]DPS MM letters'!C8</f>
        <v>0</v>
      </c>
      <c r="D28" s="469">
        <f t="shared" si="2"/>
        <v>971.49390574190102</v>
      </c>
      <c r="E28" s="472">
        <f>'[10]DPS MM letters'!D8/1000</f>
        <v>1694.0199999999998</v>
      </c>
      <c r="F28" s="474">
        <f t="shared" si="3"/>
        <v>1693.7847654142342</v>
      </c>
      <c r="G28" s="107"/>
    </row>
    <row r="29" spans="2:8" x14ac:dyDescent="0.2">
      <c r="B29" s="109" t="s">
        <v>501</v>
      </c>
      <c r="C29" s="202">
        <f>'[10]DPS MM letters'!C9</f>
        <v>0</v>
      </c>
      <c r="D29" s="469">
        <f t="shared" si="2"/>
        <v>747.16060384906996</v>
      </c>
      <c r="E29" s="472">
        <f>'[10]DPS MM letters'!D9/1000</f>
        <v>1302.8440000000001</v>
      </c>
      <c r="F29" s="474">
        <f t="shared" si="3"/>
        <v>1302.6630847990832</v>
      </c>
      <c r="G29" s="107"/>
    </row>
    <row r="30" spans="2:8" x14ac:dyDescent="0.2">
      <c r="B30" s="109" t="s">
        <v>156</v>
      </c>
      <c r="C30" s="202">
        <f>'[10]DPS MM letters'!C18</f>
        <v>0.86541423474782009</v>
      </c>
      <c r="D30" s="469">
        <f t="shared" si="2"/>
        <v>557889.05957101285</v>
      </c>
      <c r="E30" s="472">
        <f>'[10]DPS MM letters'!D18/1000</f>
        <v>972806.12787041732</v>
      </c>
      <c r="F30" s="474">
        <f t="shared" si="3"/>
        <v>972671.04230677593</v>
      </c>
    </row>
    <row r="31" spans="2:8" x14ac:dyDescent="0.2">
      <c r="B31" s="109" t="s">
        <v>157</v>
      </c>
      <c r="C31" s="202">
        <f>'[10]DPS MM letters'!C19</f>
        <v>0.89507754917882254</v>
      </c>
      <c r="D31" s="469">
        <f t="shared" si="2"/>
        <v>3178122.6931046229</v>
      </c>
      <c r="E31" s="472">
        <f>'[10]DPS MM letters'!D19/1000</f>
        <v>5541777.846214734</v>
      </c>
      <c r="F31" s="474">
        <f t="shared" si="3"/>
        <v>5541008.3052317118</v>
      </c>
    </row>
    <row r="32" spans="2:8" x14ac:dyDescent="0.2">
      <c r="B32" s="109" t="s">
        <v>510</v>
      </c>
      <c r="C32" s="202">
        <f>'[10]DPS MM letters'!C21</f>
        <v>0.88352277798782219</v>
      </c>
      <c r="D32" s="469">
        <f t="shared" si="2"/>
        <v>33.191105259725724</v>
      </c>
      <c r="E32" s="472">
        <f>'[10]DPS MM letters'!D21/1000</f>
        <v>57.87622114741125</v>
      </c>
      <c r="F32" s="474">
        <f t="shared" si="3"/>
        <v>57.868184353921627</v>
      </c>
    </row>
    <row r="33" spans="2:7" x14ac:dyDescent="0.2">
      <c r="B33" s="109" t="s">
        <v>511</v>
      </c>
      <c r="C33" s="202">
        <f>'[10]DPS MM letters'!C23</f>
        <v>0.94154181952989746</v>
      </c>
      <c r="D33" s="469">
        <f t="shared" si="2"/>
        <v>17728376.661232706</v>
      </c>
      <c r="E33" s="472">
        <f>'[10]DPS MM letters'!D23/1000</f>
        <v>30913446.244139537</v>
      </c>
      <c r="F33" s="474">
        <f t="shared" si="3"/>
        <v>30909153.548821993</v>
      </c>
    </row>
    <row r="34" spans="2:7" x14ac:dyDescent="0.2">
      <c r="B34" s="475" t="s">
        <v>369</v>
      </c>
      <c r="C34" s="202">
        <f>SUMPRODUCT(C24:C33,E24:E33)/E34</f>
        <v>0.9319830150439411</v>
      </c>
      <c r="D34" s="469">
        <f>'7.0.8'!E22+'7.0.8'!H22</f>
        <v>21744934.515808892</v>
      </c>
      <c r="E34" s="470">
        <f>SUM(E24:E33)</f>
        <v>37917225.986445837</v>
      </c>
      <c r="F34" s="476">
        <f>RPWShape!C25</f>
        <v>37911960.733999997</v>
      </c>
      <c r="G34" s="259"/>
    </row>
    <row r="35" spans="2:7" x14ac:dyDescent="0.2">
      <c r="B35" s="485" t="s">
        <v>159</v>
      </c>
      <c r="C35" s="486" t="s">
        <v>94</v>
      </c>
      <c r="D35" s="493" t="s">
        <v>182</v>
      </c>
      <c r="E35" s="491" t="s">
        <v>155</v>
      </c>
      <c r="F35" s="492"/>
    </row>
    <row r="36" spans="2:7" x14ac:dyDescent="0.2">
      <c r="B36" s="475" t="s">
        <v>512</v>
      </c>
      <c r="C36" s="202">
        <f>'[10]DPS FCM cards'!C5</f>
        <v>0.85382551272888774</v>
      </c>
      <c r="D36" s="469">
        <f t="shared" ref="D36:D42" si="4">E36/E$43*D$43</f>
        <v>46595.509075607319</v>
      </c>
      <c r="E36" s="339">
        <f>'[10]DPS FCM cards'!D5/1000</f>
        <v>80860.525999999998</v>
      </c>
      <c r="F36" s="477"/>
      <c r="G36" s="177"/>
    </row>
    <row r="37" spans="2:7" x14ac:dyDescent="0.2">
      <c r="B37" s="475" t="s">
        <v>156</v>
      </c>
      <c r="C37" s="202">
        <f>'[10]DPS FCM cards'!C8</f>
        <v>0.86458014797418015</v>
      </c>
      <c r="D37" s="469">
        <f t="shared" si="4"/>
        <v>110336.38571782364</v>
      </c>
      <c r="E37" s="339">
        <f>'[10]DPS FCM cards'!D8/1000</f>
        <v>191474.63699999978</v>
      </c>
      <c r="F37" s="477"/>
      <c r="G37" s="177"/>
    </row>
    <row r="38" spans="2:7" x14ac:dyDescent="0.2">
      <c r="B38" s="478" t="s">
        <v>157</v>
      </c>
      <c r="C38" s="202">
        <f>'[10]DPS FCM cards'!C9</f>
        <v>0.89522960503121563</v>
      </c>
      <c r="D38" s="469">
        <f t="shared" si="4"/>
        <v>457897.86226103728</v>
      </c>
      <c r="E38" s="339">
        <f>'[10]DPS FCM cards'!D9/1000</f>
        <v>794622.97399999877</v>
      </c>
      <c r="F38" s="477"/>
      <c r="G38" s="177"/>
    </row>
    <row r="39" spans="2:7" x14ac:dyDescent="0.2">
      <c r="B39" s="475" t="s">
        <v>513</v>
      </c>
      <c r="C39" s="202">
        <f>'[10]DPS FCM cards'!C11</f>
        <v>0.88352277798782219</v>
      </c>
      <c r="D39" s="469">
        <f t="shared" si="4"/>
        <v>0</v>
      </c>
      <c r="E39" s="473">
        <f>'[10]DPS FCM cards'!D11/1000</f>
        <v>0</v>
      </c>
      <c r="F39" s="477"/>
      <c r="G39" s="177"/>
    </row>
    <row r="40" spans="2:7" x14ac:dyDescent="0.2">
      <c r="B40" s="475" t="s">
        <v>507</v>
      </c>
      <c r="C40" s="202">
        <f>'[10]DPS FCM cards'!C17</f>
        <v>0.94154181952989746</v>
      </c>
      <c r="D40" s="469">
        <f t="shared" si="4"/>
        <v>733757.07423170167</v>
      </c>
      <c r="E40" s="339">
        <f>'[10]DPS FCM cards'!D17/1000</f>
        <v>1273341.2329999986</v>
      </c>
      <c r="F40" s="477"/>
      <c r="G40" s="202"/>
    </row>
    <row r="41" spans="2:7" x14ac:dyDescent="0.2">
      <c r="B41" s="479" t="s">
        <v>505</v>
      </c>
      <c r="C41" s="202">
        <f>'[10]DPS FCM cards'!C15</f>
        <v>0</v>
      </c>
      <c r="D41" s="469">
        <f t="shared" si="4"/>
        <v>25803.400273195763</v>
      </c>
      <c r="E41" s="339">
        <f>'[10]DPS FCM cards'!D15/1000</f>
        <v>44778.48960279781</v>
      </c>
      <c r="F41" s="477"/>
      <c r="G41" s="177"/>
    </row>
    <row r="42" spans="2:7" x14ac:dyDescent="0.2">
      <c r="B42" s="478" t="s">
        <v>514</v>
      </c>
      <c r="C42" s="202">
        <f>'[10]DPS FCM cards'!C13</f>
        <v>0.97585900911016799</v>
      </c>
      <c r="D42" s="469">
        <f t="shared" si="4"/>
        <v>707953.67395850585</v>
      </c>
      <c r="E42" s="339">
        <f>'[10]DPS FCM cards'!D13/1000</f>
        <v>1228562.7433972007</v>
      </c>
      <c r="F42" s="477"/>
      <c r="G42" s="177"/>
    </row>
    <row r="43" spans="2:7" x14ac:dyDescent="0.2">
      <c r="B43" s="480" t="s">
        <v>130</v>
      </c>
      <c r="C43" s="481">
        <f>SUMPRODUCT(C36:C40,E36:E40)/E43</f>
        <v>0.91648957826547328</v>
      </c>
      <c r="D43" s="482">
        <f>'7.0.8'!E14+'7.0.8'!H14</f>
        <v>1348586.8312861701</v>
      </c>
      <c r="E43" s="483">
        <f>SUM(E36:E40)</f>
        <v>2340299.3699999973</v>
      </c>
      <c r="F43" s="484">
        <f>RPWShape!F13</f>
        <v>2340299.37</v>
      </c>
      <c r="G43" s="177"/>
    </row>
    <row r="44" spans="2:7" x14ac:dyDescent="0.2">
      <c r="D44" s="107"/>
      <c r="E44" s="338"/>
      <c r="F44" s="338"/>
    </row>
    <row r="45" spans="2:7" x14ac:dyDescent="0.2">
      <c r="C45" s="281"/>
      <c r="E45" s="339"/>
    </row>
    <row r="46" spans="2:7" x14ac:dyDescent="0.2">
      <c r="B46"/>
    </row>
    <row r="47" spans="2:7" x14ac:dyDescent="0.2">
      <c r="B47"/>
    </row>
    <row r="48" spans="2:7" x14ac:dyDescent="0.2">
      <c r="B48"/>
    </row>
    <row r="49" spans="2:2" x14ac:dyDescent="0.2">
      <c r="B49"/>
    </row>
  </sheetData>
  <phoneticPr fontId="11" type="noConversion"/>
  <printOptions horizontalCentered="1"/>
  <pageMargins left="0.75" right="0.75" top="1" bottom="1" header="0.5" footer="0.5"/>
  <pageSetup scale="89" orientation="portrait" horizontalDpi="4294967292" r:id="rId1"/>
  <headerFooter alignWithMargins="0">
    <oddHeader>&amp;RUSPS-FY09-19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tabColor rgb="FF92D050"/>
  </sheetPr>
  <dimension ref="A1:E27"/>
  <sheetViews>
    <sheetView zoomScaleNormal="100" workbookViewId="0">
      <selection activeCell="A4" sqref="A4"/>
    </sheetView>
  </sheetViews>
  <sheetFormatPr defaultRowHeight="12.75" x14ac:dyDescent="0.2"/>
  <cols>
    <col min="1" max="1" width="8.5703125" customWidth="1"/>
    <col min="2" max="2" width="38.5703125" customWidth="1"/>
    <col min="3" max="3" width="12.140625" customWidth="1"/>
    <col min="4" max="4" width="14.42578125" customWidth="1"/>
    <col min="5" max="5" width="11.42578125" bestFit="1" customWidth="1"/>
  </cols>
  <sheetData>
    <row r="1" spans="1:3" x14ac:dyDescent="0.2">
      <c r="A1" s="1" t="str">
        <f>Inputs!$C$4</f>
        <v>Unit Delivery Cost Model -  12/16/2025</v>
      </c>
    </row>
    <row r="2" spans="1:3" x14ac:dyDescent="0.2">
      <c r="A2" s="1" t="s">
        <v>354</v>
      </c>
    </row>
    <row r="3" spans="1:3" x14ac:dyDescent="0.2">
      <c r="A3" s="11" t="s">
        <v>592</v>
      </c>
    </row>
    <row r="5" spans="1:3" s="2" customFormat="1" ht="11.25" x14ac:dyDescent="0.2">
      <c r="A5" s="19" t="s">
        <v>8</v>
      </c>
      <c r="B5" s="19" t="s">
        <v>32</v>
      </c>
      <c r="C5" s="19" t="s">
        <v>5</v>
      </c>
    </row>
    <row r="6" spans="1:3" s="2" customFormat="1" ht="11.25" x14ac:dyDescent="0.2">
      <c r="A6" s="19"/>
      <c r="B6" s="19" t="s">
        <v>43</v>
      </c>
      <c r="C6" s="21">
        <v>-1</v>
      </c>
    </row>
    <row r="7" spans="1:3" s="2" customFormat="1" ht="11.25" x14ac:dyDescent="0.2">
      <c r="A7" s="20"/>
      <c r="B7" s="20" t="s">
        <v>44</v>
      </c>
      <c r="C7" s="20"/>
    </row>
    <row r="8" spans="1:3" s="2" customFormat="1" ht="11.25" x14ac:dyDescent="0.2">
      <c r="A8" s="23"/>
      <c r="B8" s="23" t="s">
        <v>31</v>
      </c>
      <c r="C8" s="23"/>
    </row>
    <row r="9" spans="1:3" s="2" customFormat="1" ht="11.25" x14ac:dyDescent="0.2">
      <c r="A9" s="21">
        <v>1</v>
      </c>
      <c r="B9" s="128" t="s">
        <v>352</v>
      </c>
      <c r="C9" s="265"/>
    </row>
    <row r="10" spans="1:3" s="2" customFormat="1" ht="11.25" x14ac:dyDescent="0.2">
      <c r="A10" s="22">
        <f t="shared" ref="A10:A20" si="0">A9+1</f>
        <v>2</v>
      </c>
      <c r="B10" s="126" t="s">
        <v>28</v>
      </c>
      <c r="C10" s="295">
        <f>[3]CCCS_Matrix_FY25!D26</f>
        <v>1643112.6201303282</v>
      </c>
    </row>
    <row r="11" spans="1:3" s="2" customFormat="1" ht="11.25" x14ac:dyDescent="0.2">
      <c r="A11" s="22">
        <f t="shared" si="0"/>
        <v>3</v>
      </c>
      <c r="B11" s="126" t="s">
        <v>336</v>
      </c>
      <c r="C11" s="295">
        <f>[3]CCCS_Matrix_FY25!E26</f>
        <v>413699.9394349088</v>
      </c>
    </row>
    <row r="12" spans="1:3" s="2" customFormat="1" ht="11.25" x14ac:dyDescent="0.2">
      <c r="A12" s="22">
        <f t="shared" si="0"/>
        <v>4</v>
      </c>
      <c r="B12" s="126" t="s">
        <v>335</v>
      </c>
      <c r="C12" s="295">
        <f>[3]CCCS_Matrix_FY25!F27</f>
        <v>910014.63364181761</v>
      </c>
    </row>
    <row r="13" spans="1:3" s="2" customFormat="1" ht="11.25" x14ac:dyDescent="0.2">
      <c r="A13" s="22">
        <f t="shared" si="0"/>
        <v>5</v>
      </c>
      <c r="B13" s="126" t="s">
        <v>34</v>
      </c>
      <c r="C13" s="263">
        <f>[3]CCCS_Matrix_FY25!I27</f>
        <v>0</v>
      </c>
    </row>
    <row r="14" spans="1:3" s="2" customFormat="1" ht="11.25" x14ac:dyDescent="0.2">
      <c r="A14" s="22">
        <f t="shared" si="0"/>
        <v>6</v>
      </c>
      <c r="B14" s="127" t="s">
        <v>35</v>
      </c>
      <c r="C14" s="263">
        <f>[3]CCCS_Matrix_FY25!J28</f>
        <v>0</v>
      </c>
    </row>
    <row r="15" spans="1:3" s="2" customFormat="1" ht="11.25" x14ac:dyDescent="0.2">
      <c r="A15" s="22">
        <f t="shared" si="0"/>
        <v>7</v>
      </c>
      <c r="B15" s="30" t="s">
        <v>353</v>
      </c>
      <c r="C15" s="120"/>
    </row>
    <row r="16" spans="1:3" s="2" customFormat="1" ht="11.25" x14ac:dyDescent="0.2">
      <c r="A16" s="22">
        <f t="shared" si="0"/>
        <v>8</v>
      </c>
      <c r="B16" s="126" t="s">
        <v>28</v>
      </c>
      <c r="C16" s="295">
        <f>[3]CCCS_Matrix_FY25!D30</f>
        <v>1174592.3716762194</v>
      </c>
    </row>
    <row r="17" spans="1:5" s="2" customFormat="1" ht="11.25" x14ac:dyDescent="0.2">
      <c r="A17" s="22">
        <f t="shared" si="0"/>
        <v>9</v>
      </c>
      <c r="B17" s="126" t="s">
        <v>336</v>
      </c>
      <c r="C17" s="295">
        <f>[3]CCCS_Matrix_FY25!E30+[3]CCCS_Matrix_FY25!$E$29</f>
        <v>557657.16522825533</v>
      </c>
      <c r="D17" s="47"/>
    </row>
    <row r="18" spans="1:5" s="2" customFormat="1" ht="11.25" x14ac:dyDescent="0.2">
      <c r="A18" s="22">
        <f t="shared" si="0"/>
        <v>10</v>
      </c>
      <c r="B18" s="153" t="s">
        <v>337</v>
      </c>
      <c r="C18" s="295">
        <f>[3]CCCS_Matrix_FY25!F31+[3]CCCS_Matrix_FY25!$F$30+[3]CCCS_Matrix_FY25!$F$29</f>
        <v>4222044.129109242</v>
      </c>
      <c r="E18" s="47"/>
    </row>
    <row r="19" spans="1:5" s="2" customFormat="1" ht="11.25" x14ac:dyDescent="0.2">
      <c r="A19" s="22">
        <f t="shared" si="0"/>
        <v>11</v>
      </c>
      <c r="B19" s="126" t="s">
        <v>34</v>
      </c>
      <c r="C19" s="263">
        <f>SUM([3]CCCS_Matrix_FY25!H32:I32)</f>
        <v>0</v>
      </c>
      <c r="D19" s="47"/>
    </row>
    <row r="20" spans="1:5" s="14" customFormat="1" ht="11.25" x14ac:dyDescent="0.2">
      <c r="A20" s="58">
        <f t="shared" si="0"/>
        <v>12</v>
      </c>
      <c r="B20" s="314" t="s">
        <v>35</v>
      </c>
      <c r="C20" s="423">
        <f>[3]CCCS_Matrix_FY25!J32</f>
        <v>0</v>
      </c>
      <c r="D20" s="152"/>
    </row>
    <row r="22" spans="1:5" x14ac:dyDescent="0.2">
      <c r="B22" s="195"/>
      <c r="C22" s="147"/>
    </row>
    <row r="23" spans="1:5" x14ac:dyDescent="0.2">
      <c r="C23" s="147"/>
    </row>
    <row r="24" spans="1:5" x14ac:dyDescent="0.2">
      <c r="C24" s="147"/>
    </row>
    <row r="25" spans="1:5" x14ac:dyDescent="0.2">
      <c r="C25" s="178"/>
    </row>
    <row r="27" spans="1:5" x14ac:dyDescent="0.2">
      <c r="C27" s="147"/>
      <c r="D27" s="147"/>
      <c r="E27" s="147"/>
    </row>
  </sheetData>
  <phoneticPr fontId="11" type="noConversion"/>
  <pageMargins left="0.75" right="0.75" top="1" bottom="1" header="0.5" footer="0.5"/>
  <pageSetup orientation="portrait" horizontalDpi="300" verticalDpi="300" r:id="rId1"/>
  <headerFooter alignWithMargins="0">
    <oddHeader>&amp;RUSPS-FY09-19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tabColor rgb="FF92D050"/>
  </sheetPr>
  <dimension ref="A1:I50"/>
  <sheetViews>
    <sheetView zoomScaleNormal="100" workbookViewId="0">
      <pane xSplit="2" topLeftCell="C1" activePane="topRight" state="frozen"/>
      <selection activeCell="D46" sqref="D46"/>
      <selection pane="topRight" activeCell="K36" sqref="K36"/>
    </sheetView>
  </sheetViews>
  <sheetFormatPr defaultColWidth="9.140625" defaultRowHeight="12.75" x14ac:dyDescent="0.2"/>
  <cols>
    <col min="1" max="1" width="8.85546875" style="14" customWidth="1"/>
    <col min="2" max="2" width="27" customWidth="1"/>
    <col min="3" max="3" width="11" style="16" customWidth="1"/>
    <col min="4" max="4" width="11.140625" style="204" customWidth="1"/>
    <col min="5" max="6" width="10.42578125" bestFit="1" customWidth="1"/>
  </cols>
  <sheetData>
    <row r="1" spans="1:7" x14ac:dyDescent="0.2">
      <c r="A1" s="1" t="str">
        <f>Inputs!$C$4</f>
        <v>Unit Delivery Cost Model -  12/16/2025</v>
      </c>
      <c r="C1" s="17"/>
    </row>
    <row r="2" spans="1:7" x14ac:dyDescent="0.2">
      <c r="A2" s="1" t="s">
        <v>355</v>
      </c>
      <c r="C2" s="17"/>
    </row>
    <row r="3" spans="1:7" x14ac:dyDescent="0.2">
      <c r="A3" s="11" t="s">
        <v>545</v>
      </c>
      <c r="B3" s="17"/>
      <c r="C3" s="17"/>
    </row>
    <row r="4" spans="1:7" x14ac:dyDescent="0.2">
      <c r="C4"/>
    </row>
    <row r="5" spans="1:7" s="14" customFormat="1" ht="11.25" x14ac:dyDescent="0.2">
      <c r="A5" s="42" t="s">
        <v>8</v>
      </c>
      <c r="B5" s="42" t="s">
        <v>45</v>
      </c>
      <c r="C5" s="42" t="s">
        <v>5</v>
      </c>
      <c r="D5" s="435" t="s">
        <v>36</v>
      </c>
      <c r="E5" s="121"/>
      <c r="F5" s="121"/>
    </row>
    <row r="6" spans="1:7" s="14" customFormat="1" ht="11.25" x14ac:dyDescent="0.2">
      <c r="A6" s="65"/>
      <c r="B6" s="65" t="s">
        <v>43</v>
      </c>
      <c r="C6" s="122">
        <v>-1</v>
      </c>
      <c r="D6" s="460">
        <f>C6-1</f>
        <v>-2</v>
      </c>
      <c r="E6" s="121"/>
      <c r="F6" s="121"/>
    </row>
    <row r="7" spans="1:7" s="14" customFormat="1" ht="11.25" x14ac:dyDescent="0.2">
      <c r="A7" s="69"/>
      <c r="B7" s="69" t="s">
        <v>44</v>
      </c>
      <c r="C7" s="69"/>
      <c r="D7" s="436"/>
      <c r="E7" s="121"/>
      <c r="F7" s="121"/>
    </row>
    <row r="8" spans="1:7" s="14" customFormat="1" ht="11.25" x14ac:dyDescent="0.2">
      <c r="A8" s="70"/>
      <c r="B8" s="124" t="s">
        <v>100</v>
      </c>
      <c r="C8" s="70"/>
      <c r="D8" s="437"/>
      <c r="E8" s="290"/>
      <c r="F8" s="121"/>
    </row>
    <row r="9" spans="1:7" s="14" customFormat="1" ht="11.25" x14ac:dyDescent="0.2">
      <c r="A9" s="66">
        <v>1</v>
      </c>
      <c r="B9" s="51" t="s">
        <v>278</v>
      </c>
      <c r="C9" s="20"/>
      <c r="D9" s="495"/>
      <c r="E9" s="350" t="s">
        <v>15</v>
      </c>
      <c r="F9" s="350" t="s">
        <v>16</v>
      </c>
      <c r="G9" s="19" t="s">
        <v>17</v>
      </c>
    </row>
    <row r="10" spans="1:7" s="14" customFormat="1" ht="11.25" x14ac:dyDescent="0.2">
      <c r="A10" s="67">
        <f>A9+1</f>
        <v>2</v>
      </c>
      <c r="B10" s="153" t="s">
        <v>161</v>
      </c>
      <c r="C10" s="282">
        <f>SUM(E10:G10)</f>
        <v>3335.6653487389949</v>
      </c>
      <c r="D10" s="431">
        <f>IF(C$13,(C10)/C$13,0)</f>
        <v>1.9236913125569195E-3</v>
      </c>
      <c r="E10" s="496">
        <f>[6]RCCS_Matrix_FY25_Final!I22</f>
        <v>3335.6653487389949</v>
      </c>
      <c r="F10" s="320"/>
      <c r="G10" s="40"/>
    </row>
    <row r="11" spans="1:7" s="14" customFormat="1" ht="11.25" x14ac:dyDescent="0.2">
      <c r="A11" s="67">
        <f t="shared" ref="A11:A50" si="0">A10+1</f>
        <v>3</v>
      </c>
      <c r="B11" s="126" t="s">
        <v>160</v>
      </c>
      <c r="C11" s="282">
        <f>SUM(E11:G11)</f>
        <v>979062.21685906453</v>
      </c>
      <c r="D11" s="431">
        <f t="shared" ref="D11:D12" si="1">IF(C$13,(C11)/C$13,0)</f>
        <v>0.56462902723035491</v>
      </c>
      <c r="E11" s="496">
        <f>[6]RCCS_Matrix_FY25_Final!I26</f>
        <v>979062.21685906453</v>
      </c>
      <c r="F11" s="40"/>
      <c r="G11" s="3"/>
    </row>
    <row r="12" spans="1:7" s="14" customFormat="1" ht="11.25" x14ac:dyDescent="0.2">
      <c r="A12" s="67">
        <f t="shared" si="0"/>
        <v>4</v>
      </c>
      <c r="B12" s="153" t="s">
        <v>162</v>
      </c>
      <c r="C12" s="282">
        <f>SUM(E12:G12)</f>
        <v>751594.11898562964</v>
      </c>
      <c r="D12" s="431">
        <f t="shared" si="1"/>
        <v>0.43344728145708822</v>
      </c>
      <c r="E12" s="496">
        <f>[6]RCCS_Matrix_FY25_Final!I30</f>
        <v>751594.11898562964</v>
      </c>
      <c r="F12" s="40"/>
      <c r="G12" s="40"/>
    </row>
    <row r="13" spans="1:7" s="14" customFormat="1" ht="11.25" x14ac:dyDescent="0.2">
      <c r="A13" s="67">
        <f t="shared" si="0"/>
        <v>5</v>
      </c>
      <c r="B13" s="314" t="s">
        <v>52</v>
      </c>
      <c r="C13" s="321">
        <f>SUM(C10:C12)</f>
        <v>1733992.0011934331</v>
      </c>
      <c r="D13" s="438"/>
      <c r="E13" s="497"/>
      <c r="F13" s="41"/>
      <c r="G13" s="4"/>
    </row>
    <row r="14" spans="1:7" s="14" customFormat="1" ht="11.25" x14ac:dyDescent="0.2">
      <c r="A14" s="67">
        <f>A13+1</f>
        <v>6</v>
      </c>
      <c r="B14" s="20" t="s">
        <v>48</v>
      </c>
      <c r="C14" s="20"/>
      <c r="D14" s="498"/>
      <c r="E14" s="350" t="s">
        <v>15</v>
      </c>
      <c r="F14" s="350" t="s">
        <v>16</v>
      </c>
      <c r="G14" s="19" t="s">
        <v>17</v>
      </c>
    </row>
    <row r="15" spans="1:7" s="14" customFormat="1" ht="11.25" x14ac:dyDescent="0.2">
      <c r="A15" s="67">
        <f t="shared" si="0"/>
        <v>7</v>
      </c>
      <c r="B15" s="153" t="s">
        <v>161</v>
      </c>
      <c r="C15" s="282">
        <f>SUM(E15:G15)</f>
        <v>1178.3108175881282</v>
      </c>
      <c r="D15" s="431">
        <f>IF(C$18,C15/C$18,0)</f>
        <v>2.5030508314232282E-3</v>
      </c>
      <c r="E15" s="496">
        <f>[6]RCCS_Matrix_FY25_Final!J22</f>
        <v>1178.3108175881282</v>
      </c>
      <c r="F15" s="496">
        <f>[6]RCCS_Matrix_FY25_Final!J23</f>
        <v>0</v>
      </c>
      <c r="G15" s="115">
        <f>[6]RCCS_Matrix_FY25_Final!J24</f>
        <v>0</v>
      </c>
    </row>
    <row r="16" spans="1:7" s="14" customFormat="1" ht="11.25" x14ac:dyDescent="0.2">
      <c r="A16" s="67">
        <f t="shared" si="0"/>
        <v>8</v>
      </c>
      <c r="B16" s="126" t="s">
        <v>160</v>
      </c>
      <c r="C16" s="282">
        <f>SUM(E16:G16)</f>
        <v>256187.39779170827</v>
      </c>
      <c r="D16" s="431">
        <f t="shared" ref="D16:D17" si="2">IF(C$18,C16/C$18,0)</f>
        <v>0.54421131459631045</v>
      </c>
      <c r="E16" s="496">
        <f>[6]RCCS_Matrix_FY25_Final!J26</f>
        <v>255612.47967371228</v>
      </c>
      <c r="F16" s="496">
        <f>[6]RCCS_Matrix_FY25_Final!J27</f>
        <v>574.91811799597554</v>
      </c>
      <c r="G16" s="499">
        <f>[6]RCCS_Matrix_FY25_Final!J28</f>
        <v>0</v>
      </c>
    </row>
    <row r="17" spans="1:9" s="14" customFormat="1" ht="11.25" x14ac:dyDescent="0.2">
      <c r="A17" s="67">
        <f t="shared" si="0"/>
        <v>9</v>
      </c>
      <c r="B17" s="153" t="s">
        <v>162</v>
      </c>
      <c r="C17" s="282">
        <f>SUM(E17:G17)</f>
        <v>213384.14704511067</v>
      </c>
      <c r="D17" s="431">
        <f t="shared" si="2"/>
        <v>0.45328563457226634</v>
      </c>
      <c r="E17" s="496">
        <f>[6]RCCS_Matrix_FY25_Final!J30</f>
        <v>213384.14704511067</v>
      </c>
      <c r="F17" s="496">
        <f>[6]RCCS_Matrix_FY25_Final!J31</f>
        <v>0</v>
      </c>
      <c r="G17" s="499">
        <f>[6]RCCS_Matrix_FY25_Final!J32</f>
        <v>0</v>
      </c>
      <c r="H17" s="312"/>
    </row>
    <row r="18" spans="1:9" s="14" customFormat="1" ht="11.25" x14ac:dyDescent="0.2">
      <c r="A18" s="67">
        <f t="shared" si="0"/>
        <v>10</v>
      </c>
      <c r="B18" s="314" t="s">
        <v>52</v>
      </c>
      <c r="C18" s="321">
        <f>SUM(C15:C17)</f>
        <v>470749.85565440706</v>
      </c>
      <c r="D18" s="500"/>
      <c r="E18" s="321"/>
      <c r="F18" s="321"/>
      <c r="G18" s="321"/>
    </row>
    <row r="19" spans="1:9" s="14" customFormat="1" ht="11.25" x14ac:dyDescent="0.2">
      <c r="A19" s="67">
        <f t="shared" si="0"/>
        <v>11</v>
      </c>
      <c r="B19" s="20" t="s">
        <v>16</v>
      </c>
      <c r="C19" s="20"/>
      <c r="D19" s="498"/>
      <c r="E19" s="350" t="s">
        <v>15</v>
      </c>
      <c r="F19" s="350" t="s">
        <v>16</v>
      </c>
      <c r="G19" s="19" t="s">
        <v>17</v>
      </c>
    </row>
    <row r="20" spans="1:9" s="14" customFormat="1" ht="11.25" x14ac:dyDescent="0.2">
      <c r="A20" s="67">
        <f t="shared" si="0"/>
        <v>12</v>
      </c>
      <c r="B20" s="153" t="s">
        <v>161</v>
      </c>
      <c r="C20" s="282">
        <f>SUM(E20:G20)</f>
        <v>1068966.0714461622</v>
      </c>
      <c r="D20" s="431">
        <f>IF(C$23,C20/C$23,0)</f>
        <v>0.4160259523685837</v>
      </c>
      <c r="E20" s="496">
        <f>[6]RCCS_Matrix_FY25_Final!K22</f>
        <v>0</v>
      </c>
      <c r="F20" s="496">
        <f>[6]RCCS_Matrix_FY25_Final!K23+[6]RCCS_Matrix_FY25_Final!Y23</f>
        <v>1068966.0714461622</v>
      </c>
      <c r="G20" s="115">
        <f>[6]RCCS_Matrix_FY25_Final!K24</f>
        <v>0</v>
      </c>
    </row>
    <row r="21" spans="1:9" s="14" customFormat="1" ht="11.25" x14ac:dyDescent="0.2">
      <c r="A21" s="67">
        <f t="shared" si="0"/>
        <v>13</v>
      </c>
      <c r="B21" s="126" t="s">
        <v>160</v>
      </c>
      <c r="C21" s="282">
        <f>SUM(E21:G21)</f>
        <v>486767.62710226368</v>
      </c>
      <c r="D21" s="431">
        <f t="shared" ref="D21:D22" si="3">IF(C$23,C21/C$23,0)</f>
        <v>0.18944283738907616</v>
      </c>
      <c r="E21" s="496">
        <f>[6]RCCS_Matrix_FY25_Final!K26</f>
        <v>6684.430049239656</v>
      </c>
      <c r="F21" s="496">
        <f>[6]RCCS_Matrix_FY25_Final!Y27+[6]RCCS_Matrix_FY25_Final!K27</f>
        <v>480083.19705302402</v>
      </c>
      <c r="G21" s="499">
        <f>[6]RCCS_Matrix_FY25_Final!K28</f>
        <v>0</v>
      </c>
    </row>
    <row r="22" spans="1:9" s="14" customFormat="1" ht="11.25" x14ac:dyDescent="0.2">
      <c r="A22" s="67">
        <f t="shared" si="0"/>
        <v>14</v>
      </c>
      <c r="B22" s="153" t="s">
        <v>162</v>
      </c>
      <c r="C22" s="282">
        <f>SUM(E22:G22)</f>
        <v>1013735.9832350259</v>
      </c>
      <c r="D22" s="431">
        <f t="shared" si="3"/>
        <v>0.39453121024234017</v>
      </c>
      <c r="E22" s="496">
        <f>[6]RCCS_Matrix_FY25_Final!K30</f>
        <v>6354.2195137294857</v>
      </c>
      <c r="F22" s="496">
        <f>[6]RCCS_Matrix_FY25_Final!K31</f>
        <v>1007381.7637212964</v>
      </c>
      <c r="G22" s="499">
        <f>[6]RCCS_Matrix_FY25_Final!K32</f>
        <v>0</v>
      </c>
    </row>
    <row r="23" spans="1:9" s="14" customFormat="1" ht="11.25" x14ac:dyDescent="0.2">
      <c r="A23" s="67">
        <f t="shared" si="0"/>
        <v>15</v>
      </c>
      <c r="B23" s="314" t="s">
        <v>52</v>
      </c>
      <c r="C23" s="321">
        <f>SUM(C20:C22)</f>
        <v>2569469.6817834517</v>
      </c>
      <c r="D23" s="500"/>
      <c r="E23" s="321"/>
      <c r="F23" s="321"/>
      <c r="G23" s="321"/>
    </row>
    <row r="24" spans="1:9" s="14" customFormat="1" ht="11.25" x14ac:dyDescent="0.2">
      <c r="A24" s="67">
        <f t="shared" si="0"/>
        <v>16</v>
      </c>
      <c r="B24" s="20" t="s">
        <v>437</v>
      </c>
      <c r="C24" s="501"/>
      <c r="D24" s="431"/>
      <c r="E24" s="350" t="s">
        <v>15</v>
      </c>
      <c r="F24" s="350" t="s">
        <v>16</v>
      </c>
      <c r="G24" s="19" t="s">
        <v>17</v>
      </c>
      <c r="I24" s="2"/>
    </row>
    <row r="25" spans="1:9" s="14" customFormat="1" ht="11.25" x14ac:dyDescent="0.2">
      <c r="A25" s="67">
        <f t="shared" si="0"/>
        <v>17</v>
      </c>
      <c r="B25" s="153" t="s">
        <v>161</v>
      </c>
      <c r="C25" s="282">
        <f>SUM(E25:G25)</f>
        <v>0</v>
      </c>
      <c r="D25" s="431">
        <f>IF(C$28,C25/C$28,0)</f>
        <v>0</v>
      </c>
      <c r="E25" s="115">
        <f>[6]RCCS_Matrix_FY25_Final!$T$22</f>
        <v>0</v>
      </c>
      <c r="F25" s="115">
        <f>[6]RCCS_Matrix_FY25_Final!$T$23</f>
        <v>0</v>
      </c>
      <c r="G25" s="115">
        <f>[6]RCCS_Matrix_FY25_Final!$T$24</f>
        <v>0</v>
      </c>
    </row>
    <row r="26" spans="1:9" s="14" customFormat="1" ht="11.25" x14ac:dyDescent="0.2">
      <c r="A26" s="67">
        <f t="shared" si="0"/>
        <v>18</v>
      </c>
      <c r="B26" s="126" t="s">
        <v>160</v>
      </c>
      <c r="C26" s="282">
        <f>SUM(E26:G26)</f>
        <v>0</v>
      </c>
      <c r="D26" s="431">
        <f t="shared" ref="D26:D27" si="4">IF(C$28,C26/C$28,0)</f>
        <v>0</v>
      </c>
      <c r="E26" s="115">
        <f>-[6]RCCS_Matrix_FY25_Final!$T$26</f>
        <v>0</v>
      </c>
      <c r="F26" s="115">
        <f>[6]RCCS_Matrix_FY25_Final!$T$27</f>
        <v>0</v>
      </c>
      <c r="G26" s="115">
        <f>[6]RCCS_Matrix_FY25_Final!$T$28</f>
        <v>0</v>
      </c>
    </row>
    <row r="27" spans="1:9" s="14" customFormat="1" ht="11.25" x14ac:dyDescent="0.2">
      <c r="A27" s="67">
        <f t="shared" si="0"/>
        <v>19</v>
      </c>
      <c r="B27" s="153" t="s">
        <v>162</v>
      </c>
      <c r="C27" s="282">
        <f>SUM(E27:G27)</f>
        <v>0</v>
      </c>
      <c r="D27" s="431">
        <f t="shared" si="4"/>
        <v>0</v>
      </c>
      <c r="E27" s="115">
        <f>[6]RCCS_Matrix_FY25_Final!$T$30</f>
        <v>0</v>
      </c>
      <c r="F27" s="115">
        <f>[6]RCCS_Matrix_FY25_Final!$T$31</f>
        <v>0</v>
      </c>
      <c r="G27" s="115">
        <f>[6]RCCS_Matrix_FY25_Final!$T$32</f>
        <v>0</v>
      </c>
    </row>
    <row r="28" spans="1:9" s="14" customFormat="1" ht="11.25" x14ac:dyDescent="0.2">
      <c r="A28" s="67">
        <f t="shared" si="0"/>
        <v>20</v>
      </c>
      <c r="B28" s="314" t="s">
        <v>52</v>
      </c>
      <c r="C28" s="321">
        <f>SUM(C25:C27)</f>
        <v>0</v>
      </c>
      <c r="D28" s="438"/>
      <c r="E28" s="321"/>
      <c r="F28" s="321"/>
      <c r="G28" s="321"/>
    </row>
    <row r="29" spans="1:9" s="14" customFormat="1" ht="11.25" x14ac:dyDescent="0.2">
      <c r="A29" s="67">
        <f t="shared" si="0"/>
        <v>21</v>
      </c>
      <c r="B29" s="20" t="s">
        <v>438</v>
      </c>
      <c r="C29" s="501"/>
      <c r="D29" s="431"/>
      <c r="E29" s="350" t="s">
        <v>15</v>
      </c>
      <c r="F29" s="350" t="s">
        <v>16</v>
      </c>
      <c r="G29" s="19" t="s">
        <v>17</v>
      </c>
      <c r="I29" s="2"/>
    </row>
    <row r="30" spans="1:9" s="14" customFormat="1" ht="11.25" x14ac:dyDescent="0.2">
      <c r="A30" s="67">
        <f t="shared" si="0"/>
        <v>22</v>
      </c>
      <c r="B30" s="153" t="s">
        <v>161</v>
      </c>
      <c r="C30" s="282">
        <f>SUM(E30:G30)</f>
        <v>0</v>
      </c>
      <c r="D30" s="431">
        <f>IF(C$33,C30/C$33,0)</f>
        <v>0</v>
      </c>
      <c r="E30" s="115">
        <f>[6]RCCS_Matrix_FY25_Final!$U$22</f>
        <v>0</v>
      </c>
      <c r="F30" s="502">
        <f>[6]RCCS_Matrix_FY25_Final!$U$23</f>
        <v>0</v>
      </c>
      <c r="G30" s="502">
        <f>[6]RCCS_Matrix_FY25_Final!$U$24</f>
        <v>0</v>
      </c>
    </row>
    <row r="31" spans="1:9" s="14" customFormat="1" ht="11.25" x14ac:dyDescent="0.2">
      <c r="A31" s="67">
        <f t="shared" si="0"/>
        <v>23</v>
      </c>
      <c r="B31" s="126" t="s">
        <v>160</v>
      </c>
      <c r="C31" s="282">
        <f>SUM(E31:G31)</f>
        <v>0</v>
      </c>
      <c r="D31" s="431">
        <f t="shared" ref="D31:D32" si="5">IF(C$33,C31/C$33,0)</f>
        <v>0</v>
      </c>
      <c r="E31" s="115">
        <f>[6]RCCS_Matrix_FY25_Final!$U$26</f>
        <v>0</v>
      </c>
      <c r="F31" s="502">
        <f>[6]RCCS_Matrix_FY25_Final!$U$27</f>
        <v>0</v>
      </c>
      <c r="G31" s="502">
        <f>[6]RCCS_Matrix_FY25_Final!$U$28</f>
        <v>0</v>
      </c>
    </row>
    <row r="32" spans="1:9" s="14" customFormat="1" ht="11.25" x14ac:dyDescent="0.2">
      <c r="A32" s="67">
        <f t="shared" si="0"/>
        <v>24</v>
      </c>
      <c r="B32" s="153" t="s">
        <v>162</v>
      </c>
      <c r="C32" s="282">
        <f>SUM(E32:G32)</f>
        <v>0</v>
      </c>
      <c r="D32" s="431">
        <f t="shared" si="5"/>
        <v>0</v>
      </c>
      <c r="E32" s="115">
        <f>[6]RCCS_Matrix_FY25_Final!$U$30</f>
        <v>0</v>
      </c>
      <c r="F32" s="502">
        <f>[6]RCCS_Matrix_FY25_Final!$U$31</f>
        <v>0</v>
      </c>
      <c r="G32" s="502">
        <f>[6]RCCS_Matrix_FY25_Final!$U$32</f>
        <v>0</v>
      </c>
    </row>
    <row r="33" spans="1:9" s="14" customFormat="1" ht="11.25" x14ac:dyDescent="0.2">
      <c r="A33" s="67">
        <f t="shared" si="0"/>
        <v>25</v>
      </c>
      <c r="B33" s="314" t="s">
        <v>52</v>
      </c>
      <c r="C33" s="321">
        <f>SUM(C30:C32)</f>
        <v>0</v>
      </c>
      <c r="D33" s="438"/>
      <c r="E33" s="321"/>
      <c r="F33" s="494"/>
      <c r="G33" s="494"/>
    </row>
    <row r="34" spans="1:9" s="14" customFormat="1" ht="11.25" x14ac:dyDescent="0.2">
      <c r="A34" s="67">
        <f t="shared" si="0"/>
        <v>26</v>
      </c>
      <c r="B34" s="20" t="s">
        <v>439</v>
      </c>
      <c r="C34" s="501"/>
      <c r="D34" s="431"/>
      <c r="E34" s="350" t="s">
        <v>15</v>
      </c>
      <c r="F34" s="350" t="s">
        <v>16</v>
      </c>
      <c r="G34" s="19" t="s">
        <v>17</v>
      </c>
      <c r="I34" s="2"/>
    </row>
    <row r="35" spans="1:9" s="14" customFormat="1" ht="11.25" x14ac:dyDescent="0.2">
      <c r="A35" s="67">
        <f t="shared" si="0"/>
        <v>27</v>
      </c>
      <c r="B35" s="153" t="s">
        <v>161</v>
      </c>
      <c r="C35" s="282">
        <f>SUM(E35:G35)</f>
        <v>0</v>
      </c>
      <c r="D35" s="431">
        <f>IF(C$38,C35/C$38,0)</f>
        <v>0</v>
      </c>
      <c r="E35" s="115">
        <f>[6]RCCS_Matrix_FY25_Final!$V$22</f>
        <v>0</v>
      </c>
      <c r="F35" s="115">
        <f>[6]RCCS_Matrix_FY25_Final!$V$23</f>
        <v>0</v>
      </c>
      <c r="G35" s="115">
        <f>[6]RCCS_Matrix_FY25_Final!$V$24</f>
        <v>0</v>
      </c>
    </row>
    <row r="36" spans="1:9" s="14" customFormat="1" ht="11.25" x14ac:dyDescent="0.2">
      <c r="A36" s="67">
        <f t="shared" si="0"/>
        <v>28</v>
      </c>
      <c r="B36" s="126" t="s">
        <v>160</v>
      </c>
      <c r="C36" s="282">
        <f>SUM(E36:G36)</f>
        <v>0</v>
      </c>
      <c r="D36" s="431">
        <f t="shared" ref="D36:D37" si="6">IF(C$38,C36/C$38,0)</f>
        <v>0</v>
      </c>
      <c r="E36" s="115">
        <f>[6]RCCS_Matrix_FY25_Final!$V$26</f>
        <v>0</v>
      </c>
      <c r="F36" s="115">
        <f>[6]RCCS_Matrix_FY25_Final!$V$27</f>
        <v>0</v>
      </c>
      <c r="G36" s="115">
        <f>[6]RCCS_Matrix_FY25_Final!$V$28</f>
        <v>0</v>
      </c>
    </row>
    <row r="37" spans="1:9" s="14" customFormat="1" ht="11.25" x14ac:dyDescent="0.2">
      <c r="A37" s="67">
        <f t="shared" si="0"/>
        <v>29</v>
      </c>
      <c r="B37" s="153" t="s">
        <v>162</v>
      </c>
      <c r="C37" s="282">
        <f>SUM(E37:G37)</f>
        <v>0</v>
      </c>
      <c r="D37" s="431">
        <f t="shared" si="6"/>
        <v>0</v>
      </c>
      <c r="E37" s="115">
        <f>[6]RCCS_Matrix_FY25_Final!$V$30</f>
        <v>0</v>
      </c>
      <c r="F37" s="115">
        <f>[6]RCCS_Matrix_FY25_Final!$V$31</f>
        <v>0</v>
      </c>
      <c r="G37" s="115">
        <f>[6]RCCS_Matrix_FY25_Final!$V$32</f>
        <v>0</v>
      </c>
    </row>
    <row r="38" spans="1:9" s="14" customFormat="1" ht="11.25" x14ac:dyDescent="0.2">
      <c r="A38" s="67">
        <f t="shared" si="0"/>
        <v>30</v>
      </c>
      <c r="B38" s="314" t="s">
        <v>52</v>
      </c>
      <c r="C38" s="321">
        <f>SUM(C35:C37)</f>
        <v>0</v>
      </c>
      <c r="D38" s="438"/>
      <c r="E38" s="321"/>
      <c r="F38" s="321"/>
      <c r="G38" s="321"/>
    </row>
    <row r="39" spans="1:9" s="14" customFormat="1" ht="11.25" x14ac:dyDescent="0.2">
      <c r="A39" s="67">
        <f>A38+1</f>
        <v>31</v>
      </c>
      <c r="B39" s="20" t="s">
        <v>49</v>
      </c>
      <c r="C39" s="501"/>
      <c r="D39" s="498"/>
      <c r="E39" s="350" t="s">
        <v>15</v>
      </c>
      <c r="F39" s="350" t="s">
        <v>16</v>
      </c>
      <c r="G39" s="19" t="s">
        <v>17</v>
      </c>
    </row>
    <row r="40" spans="1:9" s="14" customFormat="1" ht="11.25" x14ac:dyDescent="0.2">
      <c r="A40" s="67">
        <f t="shared" si="0"/>
        <v>32</v>
      </c>
      <c r="B40" s="153" t="s">
        <v>161</v>
      </c>
      <c r="C40" s="282">
        <f>SUM(E40:G40)</f>
        <v>25212.613250986476</v>
      </c>
      <c r="D40" s="431">
        <f>IF(C$43,C40/C$43,0)</f>
        <v>1.569921917964678E-2</v>
      </c>
      <c r="E40" s="40">
        <f>[6]RCCS_Matrix_FY25_Final!M22</f>
        <v>2284.8122533290812</v>
      </c>
      <c r="F40" s="496">
        <f>[6]RCCS_Matrix_FY25_Final!M23</f>
        <v>22927.800997657396</v>
      </c>
      <c r="G40" s="496">
        <f>[6]RCCS_Matrix_FY25_Final!M24</f>
        <v>0</v>
      </c>
    </row>
    <row r="41" spans="1:9" s="14" customFormat="1" ht="11.25" x14ac:dyDescent="0.2">
      <c r="A41" s="67">
        <f t="shared" si="0"/>
        <v>33</v>
      </c>
      <c r="B41" s="126" t="s">
        <v>160</v>
      </c>
      <c r="C41" s="282">
        <f>SUM(E41:G41)</f>
        <v>43395.047175477695</v>
      </c>
      <c r="D41" s="431">
        <f t="shared" ref="D41:D43" si="7">IF(C$43,C41/C$43,0)</f>
        <v>2.7020933932434821E-2</v>
      </c>
      <c r="E41" s="40">
        <f>[6]RCCS_Matrix_FY25_Final!M26</f>
        <v>8891.5589546167139</v>
      </c>
      <c r="F41" s="496">
        <f>[6]RCCS_Matrix_FY25_Final!M27</f>
        <v>34503.488220860985</v>
      </c>
      <c r="G41" s="496">
        <f>[6]RCCS_Matrix_FY25_Final!M28</f>
        <v>0</v>
      </c>
    </row>
    <row r="42" spans="1:9" s="14" customFormat="1" ht="11.25" x14ac:dyDescent="0.2">
      <c r="A42" s="67">
        <f t="shared" si="0"/>
        <v>34</v>
      </c>
      <c r="B42" s="153" t="s">
        <v>162</v>
      </c>
      <c r="C42" s="282">
        <f>SUM(E42:G42)</f>
        <v>1537371.1441546781</v>
      </c>
      <c r="D42" s="431">
        <f t="shared" si="7"/>
        <v>0.95727984688791845</v>
      </c>
      <c r="E42" s="40">
        <f>[6]RCCS_Matrix_FY25_Final!M30</f>
        <v>197622.12538145867</v>
      </c>
      <c r="F42" s="496">
        <f>[6]RCCS_Matrix_FY25_Final!M31+[6]RCCS_Matrix_FY25_Final!$M$29</f>
        <v>1339749.0187732195</v>
      </c>
      <c r="G42" s="496">
        <f>[6]RCCS_Matrix_FY25_Final!M32</f>
        <v>0</v>
      </c>
      <c r="H42" s="2"/>
    </row>
    <row r="43" spans="1:9" s="14" customFormat="1" ht="11.25" x14ac:dyDescent="0.2">
      <c r="A43" s="67">
        <f t="shared" si="0"/>
        <v>35</v>
      </c>
      <c r="B43" s="314" t="s">
        <v>52</v>
      </c>
      <c r="C43" s="321">
        <f>SUM(C40:C42)</f>
        <v>1605978.8045811423</v>
      </c>
      <c r="D43" s="438">
        <f t="shared" si="7"/>
        <v>1</v>
      </c>
      <c r="E43" s="41">
        <f>SUM(E40:E42)</f>
        <v>208798.49658940447</v>
      </c>
      <c r="F43" s="41">
        <f t="shared" ref="F43:G43" si="8">SUM(F40:F42)</f>
        <v>1397180.307991738</v>
      </c>
      <c r="G43" s="41">
        <f t="shared" si="8"/>
        <v>0</v>
      </c>
    </row>
    <row r="44" spans="1:9" s="14" customFormat="1" ht="11.25" x14ac:dyDescent="0.2">
      <c r="A44" s="67">
        <f t="shared" si="0"/>
        <v>36</v>
      </c>
      <c r="B44" s="20" t="s">
        <v>50</v>
      </c>
      <c r="C44" s="501"/>
      <c r="D44" s="498"/>
      <c r="E44" s="350" t="s">
        <v>15</v>
      </c>
      <c r="F44" s="350" t="s">
        <v>16</v>
      </c>
      <c r="G44" s="19" t="s">
        <v>17</v>
      </c>
    </row>
    <row r="45" spans="1:9" s="14" customFormat="1" ht="11.25" x14ac:dyDescent="0.2">
      <c r="A45" s="67">
        <f t="shared" si="0"/>
        <v>37</v>
      </c>
      <c r="B45" s="153" t="s">
        <v>161</v>
      </c>
      <c r="C45" s="282">
        <f>SUM(E45:G45)</f>
        <v>0</v>
      </c>
      <c r="D45" s="431">
        <f>IF(C$48&lt;&gt;0,C45/C$48,0)</f>
        <v>0</v>
      </c>
      <c r="E45" s="40" t="s">
        <v>29</v>
      </c>
      <c r="F45" s="40"/>
      <c r="G45" s="40">
        <v>0</v>
      </c>
    </row>
    <row r="46" spans="1:9" s="14" customFormat="1" ht="11.25" x14ac:dyDescent="0.2">
      <c r="A46" s="67">
        <f t="shared" si="0"/>
        <v>38</v>
      </c>
      <c r="B46" s="126" t="s">
        <v>160</v>
      </c>
      <c r="C46" s="282">
        <f>SUM(E46:G46)</f>
        <v>0</v>
      </c>
      <c r="D46" s="431">
        <f>IF(C$48&lt;&gt;0,C46/C$48,0)</f>
        <v>0</v>
      </c>
      <c r="E46" s="40"/>
      <c r="F46" s="40"/>
      <c r="G46" s="40"/>
    </row>
    <row r="47" spans="1:9" s="14" customFormat="1" ht="11.25" x14ac:dyDescent="0.2">
      <c r="A47" s="67">
        <f t="shared" si="0"/>
        <v>39</v>
      </c>
      <c r="B47" s="153" t="s">
        <v>162</v>
      </c>
      <c r="C47" s="282">
        <f>SUM(E47:G47)</f>
        <v>0</v>
      </c>
      <c r="D47" s="431">
        <f>IF(C$48&lt;&gt;0,C47/C$48,0)</f>
        <v>0</v>
      </c>
      <c r="E47" s="40"/>
      <c r="F47" s="40"/>
      <c r="G47" s="40"/>
    </row>
    <row r="48" spans="1:9" s="14" customFormat="1" ht="11.25" x14ac:dyDescent="0.2">
      <c r="A48" s="67">
        <f t="shared" si="0"/>
        <v>40</v>
      </c>
      <c r="B48" s="314" t="s">
        <v>52</v>
      </c>
      <c r="C48" s="321">
        <f>SUM(E48:G48)</f>
        <v>0</v>
      </c>
      <c r="D48" s="438">
        <f>SUM(D45:D47)</f>
        <v>0</v>
      </c>
      <c r="E48" s="321"/>
      <c r="F48" s="321"/>
      <c r="G48" s="321"/>
    </row>
    <row r="49" spans="1:7" s="14" customFormat="1" ht="11.25" x14ac:dyDescent="0.2">
      <c r="A49" s="67">
        <f t="shared" si="0"/>
        <v>41</v>
      </c>
      <c r="B49" s="20" t="s">
        <v>51</v>
      </c>
      <c r="C49" s="501"/>
      <c r="D49" s="498"/>
      <c r="E49" s="40"/>
      <c r="F49" s="40"/>
      <c r="G49" s="40"/>
    </row>
    <row r="50" spans="1:7" s="14" customFormat="1" ht="11.25" x14ac:dyDescent="0.2">
      <c r="A50" s="68">
        <f t="shared" si="0"/>
        <v>42</v>
      </c>
      <c r="B50" s="314" t="s">
        <v>53</v>
      </c>
      <c r="C50" s="41">
        <f>SUM(E50:G50)</f>
        <v>0</v>
      </c>
      <c r="D50" s="500"/>
      <c r="E50" s="321"/>
      <c r="F50" s="321">
        <v>0</v>
      </c>
      <c r="G50" s="321">
        <v>0</v>
      </c>
    </row>
  </sheetData>
  <phoneticPr fontId="3" type="noConversion"/>
  <pageMargins left="0.75" right="0.75" top="1" bottom="1" header="0.5" footer="0.5"/>
  <pageSetup orientation="portrait" r:id="rId1"/>
  <headerFooter alignWithMargins="0">
    <oddHeader>&amp;RUSPS-FY09-19</oddHeader>
  </headerFooter>
  <ignoredErrors>
    <ignoredError sqref="D43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rgb="FF92D050"/>
  </sheetPr>
  <dimension ref="A1:M39"/>
  <sheetViews>
    <sheetView zoomScaleNormal="100" workbookViewId="0">
      <pane xSplit="2" ySplit="8" topLeftCell="C15" activePane="bottomRight" state="frozen"/>
      <selection activeCell="D46" sqref="D46"/>
      <selection pane="topRight" activeCell="D46" sqref="D46"/>
      <selection pane="bottomLeft" activeCell="D46" sqref="D46"/>
      <selection pane="bottomRight" activeCell="F28" sqref="F28"/>
    </sheetView>
  </sheetViews>
  <sheetFormatPr defaultRowHeight="12.75" x14ac:dyDescent="0.2"/>
  <cols>
    <col min="1" max="1" width="5.42578125" customWidth="1"/>
    <col min="2" max="2" width="39.42578125" bestFit="1" customWidth="1"/>
    <col min="3" max="3" width="14.140625" bestFit="1" customWidth="1"/>
    <col min="4" max="4" width="15.140625" bestFit="1" customWidth="1"/>
    <col min="5" max="7" width="12.42578125" customWidth="1"/>
    <col min="8" max="8" width="11.140625" bestFit="1" customWidth="1"/>
    <col min="9" max="9" width="11.5703125" bestFit="1" customWidth="1"/>
    <col min="10" max="10" width="9" bestFit="1" customWidth="1"/>
    <col min="11" max="11" width="10" bestFit="1" customWidth="1"/>
    <col min="12" max="12" width="9" bestFit="1" customWidth="1"/>
  </cols>
  <sheetData>
    <row r="1" spans="1:9" x14ac:dyDescent="0.2">
      <c r="A1" s="1" t="str">
        <f>Inputs!$C$4</f>
        <v>Unit Delivery Cost Model -  12/16/2025</v>
      </c>
    </row>
    <row r="2" spans="1:9" x14ac:dyDescent="0.2">
      <c r="A2" s="11" t="s">
        <v>539</v>
      </c>
      <c r="D2" s="296"/>
    </row>
    <row r="3" spans="1:9" x14ac:dyDescent="0.2">
      <c r="A3" s="11" t="s">
        <v>538</v>
      </c>
    </row>
    <row r="4" spans="1:9" x14ac:dyDescent="0.2">
      <c r="A4" s="11"/>
    </row>
    <row r="5" spans="1:9" s="2" customFormat="1" ht="22.5" x14ac:dyDescent="0.2">
      <c r="A5" s="71" t="s">
        <v>8</v>
      </c>
      <c r="B5" s="71" t="s">
        <v>9</v>
      </c>
      <c r="C5" s="117" t="s">
        <v>38</v>
      </c>
      <c r="D5" s="117" t="s">
        <v>39</v>
      </c>
      <c r="E5" s="117" t="s">
        <v>40</v>
      </c>
      <c r="F5" s="108" t="s">
        <v>284</v>
      </c>
      <c r="G5" s="117" t="s">
        <v>283</v>
      </c>
    </row>
    <row r="6" spans="1:9" s="2" customFormat="1" ht="11.25" x14ac:dyDescent="0.2">
      <c r="A6" s="71"/>
      <c r="B6" s="19" t="s">
        <v>43</v>
      </c>
      <c r="C6" s="21">
        <v>-1</v>
      </c>
      <c r="D6" s="21">
        <f>C6-1</f>
        <v>-2</v>
      </c>
      <c r="E6" s="21">
        <f>D6-1</f>
        <v>-3</v>
      </c>
      <c r="F6" s="21">
        <f t="shared" ref="F6:G6" si="0">E6-1</f>
        <v>-4</v>
      </c>
      <c r="G6" s="21">
        <f t="shared" si="0"/>
        <v>-5</v>
      </c>
    </row>
    <row r="7" spans="1:9" s="2" customFormat="1" ht="11.25" x14ac:dyDescent="0.2">
      <c r="A7" s="72"/>
      <c r="B7" s="20" t="s">
        <v>44</v>
      </c>
      <c r="C7" s="140"/>
      <c r="D7" s="140"/>
      <c r="E7" s="140"/>
      <c r="F7" s="140"/>
      <c r="G7" s="140"/>
    </row>
    <row r="8" spans="1:9" s="2" customFormat="1" ht="11.25" x14ac:dyDescent="0.2">
      <c r="A8" s="73"/>
      <c r="B8" s="23" t="s">
        <v>31</v>
      </c>
      <c r="C8" s="142"/>
      <c r="D8" s="142"/>
      <c r="E8" s="142"/>
      <c r="F8" s="142"/>
      <c r="G8" s="142"/>
    </row>
    <row r="9" spans="1:9" s="2" customFormat="1" ht="11.25" x14ac:dyDescent="0.2">
      <c r="A9" s="18">
        <v>1</v>
      </c>
      <c r="B9" s="19" t="s">
        <v>138</v>
      </c>
      <c r="C9" s="117"/>
      <c r="D9" s="117"/>
      <c r="E9" s="117"/>
      <c r="F9" s="117"/>
      <c r="G9" s="117"/>
    </row>
    <row r="10" spans="1:9" s="2" customFormat="1" ht="11.25" x14ac:dyDescent="0.2">
      <c r="A10" s="49">
        <f t="shared" ref="A10:A34" si="1">A9+1</f>
        <v>2</v>
      </c>
      <c r="B10" s="30" t="s">
        <v>63</v>
      </c>
      <c r="C10" s="315">
        <f>'[11]Adjusted RPW Rpt'!G13</f>
        <v>9372495.3469999991</v>
      </c>
      <c r="D10" s="267"/>
      <c r="E10" s="267"/>
      <c r="F10" s="236">
        <f>SUM(C10:E10)</f>
        <v>9372495.3469999991</v>
      </c>
      <c r="G10" s="251">
        <f>'[11]Adjusted RPW Rpt'!$G13</f>
        <v>9372495.3469999991</v>
      </c>
      <c r="H10" s="237"/>
    </row>
    <row r="11" spans="1:9" s="2" customFormat="1" ht="11.25" x14ac:dyDescent="0.2">
      <c r="A11" s="49">
        <f t="shared" si="1"/>
        <v>3</v>
      </c>
      <c r="B11" s="30" t="s">
        <v>65</v>
      </c>
      <c r="C11" s="315">
        <f>'[11]Adjusted RPW Rpt'!G14</f>
        <v>326604.929</v>
      </c>
      <c r="D11" s="267"/>
      <c r="E11" s="267"/>
      <c r="F11" s="236">
        <f t="shared" ref="F11:F27" si="2">SUM(C11:E11)</f>
        <v>326604.929</v>
      </c>
      <c r="G11" s="251">
        <f>'[11]Adjusted RPW Rpt'!$G14</f>
        <v>326604.929</v>
      </c>
      <c r="H11" s="237"/>
    </row>
    <row r="12" spans="1:9" s="2" customFormat="1" ht="11.25" x14ac:dyDescent="0.2">
      <c r="A12" s="49">
        <f t="shared" si="1"/>
        <v>4</v>
      </c>
      <c r="B12" s="30" t="s">
        <v>64</v>
      </c>
      <c r="C12" s="315">
        <f>'[11]Adjusted RPW Rpt'!G16</f>
        <v>29129459.563999999</v>
      </c>
      <c r="D12" s="267"/>
      <c r="E12" s="267"/>
      <c r="F12" s="236">
        <f t="shared" si="2"/>
        <v>29129459.563999999</v>
      </c>
      <c r="G12" s="251">
        <f>'[11]Adjusted RPW Rpt'!$G16</f>
        <v>29129459.563999999</v>
      </c>
      <c r="H12" s="237"/>
    </row>
    <row r="13" spans="1:9" s="2" customFormat="1" ht="11.25" x14ac:dyDescent="0.2">
      <c r="A13" s="49">
        <f t="shared" si="1"/>
        <v>5</v>
      </c>
      <c r="B13" s="30" t="s">
        <v>66</v>
      </c>
      <c r="C13" s="315">
        <f>'[11]Adjusted RPW Rpt'!G17</f>
        <v>2340299.37</v>
      </c>
      <c r="D13" s="267"/>
      <c r="E13" s="267"/>
      <c r="F13" s="236">
        <f t="shared" si="2"/>
        <v>2340299.37</v>
      </c>
      <c r="G13" s="251">
        <f>'[11]Adjusted RPW Rpt'!$G17</f>
        <v>2340299.37</v>
      </c>
      <c r="H13" s="237"/>
    </row>
    <row r="14" spans="1:9" s="2" customFormat="1" ht="11.25" x14ac:dyDescent="0.2">
      <c r="A14" s="49">
        <f t="shared" si="1"/>
        <v>6</v>
      </c>
      <c r="B14" s="206" t="s">
        <v>189</v>
      </c>
      <c r="C14" s="316"/>
      <c r="D14" s="315">
        <f>'[11]Adjusted RPW Rpt'!G19</f>
        <v>407262.05699999997</v>
      </c>
      <c r="E14" s="267"/>
      <c r="F14" s="236">
        <f t="shared" si="2"/>
        <v>407262.05699999997</v>
      </c>
      <c r="G14" s="251">
        <f>'[11]Adjusted RPW Rpt'!$G19</f>
        <v>407262.05699999997</v>
      </c>
      <c r="H14" s="237"/>
      <c r="I14" s="44"/>
    </row>
    <row r="15" spans="1:9" s="2" customFormat="1" ht="11.25" x14ac:dyDescent="0.2">
      <c r="A15" s="88">
        <f t="shared" si="1"/>
        <v>7</v>
      </c>
      <c r="B15" s="219" t="s">
        <v>190</v>
      </c>
      <c r="C15" s="316"/>
      <c r="D15" s="315">
        <f>'[11]Adjusted RPW Rpt'!G20</f>
        <v>432797.83499999996</v>
      </c>
      <c r="E15" s="267"/>
      <c r="F15" s="236">
        <f t="shared" si="2"/>
        <v>432797.83499999996</v>
      </c>
      <c r="G15" s="251">
        <f>'[11]Adjusted RPW Rpt'!$G20</f>
        <v>432797.83499999996</v>
      </c>
      <c r="H15" s="237"/>
      <c r="I15" s="44"/>
    </row>
    <row r="16" spans="1:9" s="2" customFormat="1" ht="11.25" x14ac:dyDescent="0.2">
      <c r="A16" s="49">
        <f>A15+1</f>
        <v>8</v>
      </c>
      <c r="B16" s="268" t="s">
        <v>348</v>
      </c>
      <c r="C16" s="253"/>
      <c r="D16" s="253"/>
      <c r="E16" s="253"/>
      <c r="F16" s="253"/>
      <c r="G16" s="253"/>
      <c r="H16" s="193"/>
    </row>
    <row r="17" spans="1:12" s="2" customFormat="1" ht="11.25" x14ac:dyDescent="0.2">
      <c r="A17" s="49">
        <f t="shared" si="1"/>
        <v>9</v>
      </c>
      <c r="B17" s="269" t="s">
        <v>239</v>
      </c>
      <c r="C17" s="315">
        <f>'[11]Adjusted RPW Rpt'!G26</f>
        <v>6017413.5520000001</v>
      </c>
      <c r="D17" s="221"/>
      <c r="E17" s="221"/>
      <c r="F17" s="236">
        <f t="shared" si="2"/>
        <v>6017413.5520000001</v>
      </c>
      <c r="G17" s="251">
        <f>'[11]Adjusted RPW Rpt'!$G26</f>
        <v>6017413.5520000001</v>
      </c>
      <c r="H17" s="237"/>
    </row>
    <row r="18" spans="1:12" s="2" customFormat="1" ht="11.25" x14ac:dyDescent="0.2">
      <c r="A18" s="49">
        <f t="shared" si="1"/>
        <v>10</v>
      </c>
      <c r="B18" s="270" t="s">
        <v>420</v>
      </c>
      <c r="C18" s="391">
        <f>'[12]RPW Report'!M30</f>
        <v>3430799.22</v>
      </c>
      <c r="D18" s="221"/>
      <c r="E18" s="221"/>
      <c r="F18" s="236">
        <f t="shared" si="2"/>
        <v>3430799.22</v>
      </c>
      <c r="G18" s="251"/>
      <c r="H18" s="394" t="s">
        <v>407</v>
      </c>
      <c r="I18" s="395"/>
      <c r="J18" s="395"/>
      <c r="L18" s="399"/>
    </row>
    <row r="19" spans="1:12" s="2" customFormat="1" ht="11.25" x14ac:dyDescent="0.2">
      <c r="A19" s="49">
        <f t="shared" si="1"/>
        <v>11</v>
      </c>
      <c r="B19" s="270" t="s">
        <v>238</v>
      </c>
      <c r="C19" s="391">
        <f>'[12]RPW Report'!M31</f>
        <v>2586614.3319999999</v>
      </c>
      <c r="D19" s="221"/>
      <c r="E19" s="221"/>
      <c r="F19" s="236">
        <f t="shared" si="2"/>
        <v>2586614.3319999999</v>
      </c>
      <c r="G19" s="251"/>
      <c r="H19" s="193"/>
      <c r="L19" s="399"/>
    </row>
    <row r="20" spans="1:12" s="2" customFormat="1" ht="11.25" x14ac:dyDescent="0.2">
      <c r="A20" s="49">
        <f t="shared" si="1"/>
        <v>12</v>
      </c>
      <c r="B20" s="269" t="s">
        <v>240</v>
      </c>
      <c r="C20" s="221"/>
      <c r="D20" s="40">
        <f>D22+D21</f>
        <v>7868876.8259999994</v>
      </c>
      <c r="E20" s="150">
        <f>E21+E22</f>
        <v>0</v>
      </c>
      <c r="F20" s="236">
        <f t="shared" si="2"/>
        <v>7868876.8259999994</v>
      </c>
      <c r="G20" s="251">
        <f>'[11]Adjusted RPW Rpt'!$G$27</f>
        <v>7868876.8259999994</v>
      </c>
    </row>
    <row r="21" spans="1:12" s="2" customFormat="1" ht="11.25" x14ac:dyDescent="0.2">
      <c r="A21" s="49">
        <f t="shared" si="1"/>
        <v>13</v>
      </c>
      <c r="B21" s="270" t="s">
        <v>420</v>
      </c>
      <c r="C21" s="221"/>
      <c r="D21" s="391">
        <f>SUM('[12]Summary Category RPW Data'!D45:D47)/1000</f>
        <v>1307868.6629999999</v>
      </c>
      <c r="E21" s="391"/>
      <c r="F21" s="236">
        <f t="shared" si="2"/>
        <v>1307868.6629999999</v>
      </c>
      <c r="G21" s="235"/>
    </row>
    <row r="22" spans="1:12" s="2" customFormat="1" ht="11.25" x14ac:dyDescent="0.2">
      <c r="A22" s="49">
        <f t="shared" si="1"/>
        <v>14</v>
      </c>
      <c r="B22" s="270" t="s">
        <v>238</v>
      </c>
      <c r="C22" s="221"/>
      <c r="D22" s="391">
        <f>SUM('[12]Summary Category RPW Data'!D50:D51)/1000</f>
        <v>6561008.1629999997</v>
      </c>
      <c r="E22" s="391">
        <f>('[12]Summary Category RPW Data'!$D$52+'[12]Summary Category RPW Data'!$D$53)/1000</f>
        <v>0</v>
      </c>
      <c r="F22" s="236">
        <f t="shared" si="2"/>
        <v>6561008.1629999997</v>
      </c>
      <c r="G22" s="235"/>
    </row>
    <row r="23" spans="1:12" s="2" customFormat="1" ht="11.25" x14ac:dyDescent="0.2">
      <c r="A23" s="49">
        <f t="shared" si="1"/>
        <v>15</v>
      </c>
      <c r="B23" s="293" t="s">
        <v>291</v>
      </c>
      <c r="C23" s="221"/>
      <c r="D23" s="391">
        <f>'[12]Summary Category RPW Data'!D73/1000</f>
        <v>559191.61399999994</v>
      </c>
      <c r="E23" s="221"/>
      <c r="F23" s="236">
        <f t="shared" si="2"/>
        <v>559191.61399999994</v>
      </c>
      <c r="G23" s="235">
        <f>'[11]Adjusted RPW Rpt'!$G28</f>
        <v>559191.61399999994</v>
      </c>
    </row>
    <row r="24" spans="1:12" s="2" customFormat="1" ht="11.25" x14ac:dyDescent="0.2">
      <c r="A24" s="49">
        <f t="shared" si="1"/>
        <v>16</v>
      </c>
      <c r="B24" s="269" t="s">
        <v>241</v>
      </c>
      <c r="C24" s="391">
        <f>SUM('[12]Summary Category RPW Data'!D56:D57)/1000</f>
        <v>7623.6549999999997</v>
      </c>
      <c r="D24" s="391">
        <f>SUM('[12]Summary Category RPW Data'!D58:D59)/1000</f>
        <v>2737729.96</v>
      </c>
      <c r="E24" s="391">
        <f>'[12]Summary Category RPW Data'!D60/1000</f>
        <v>0</v>
      </c>
      <c r="F24" s="236">
        <f t="shared" si="2"/>
        <v>2745353.6149999998</v>
      </c>
      <c r="G24" s="235">
        <f>'[11]Adjusted RPW Rpt'!$G29</f>
        <v>2745353.6150000002</v>
      </c>
      <c r="H24" s="389"/>
    </row>
    <row r="25" spans="1:12" s="2" customFormat="1" ht="11.25" x14ac:dyDescent="0.2">
      <c r="A25" s="49">
        <f t="shared" si="1"/>
        <v>17</v>
      </c>
      <c r="B25" s="269" t="s">
        <v>292</v>
      </c>
      <c r="C25" s="391">
        <f>SUM('[12]Summary Category RPW Data'!D65:D66)/1000</f>
        <v>37911960.733999997</v>
      </c>
      <c r="D25" s="221"/>
      <c r="E25" s="221"/>
      <c r="F25" s="236">
        <f t="shared" si="2"/>
        <v>37911960.733999997</v>
      </c>
      <c r="G25" s="235">
        <f>'[11]Adjusted RPW Rpt'!$G30</f>
        <v>37911960.733999997</v>
      </c>
    </row>
    <row r="26" spans="1:12" s="2" customFormat="1" ht="11.25" x14ac:dyDescent="0.2">
      <c r="A26" s="49">
        <f t="shared" si="1"/>
        <v>18</v>
      </c>
      <c r="B26" s="45" t="s">
        <v>195</v>
      </c>
      <c r="C26" s="221"/>
      <c r="D26" s="391">
        <f>SUM('[12]Summary Category RPW Data'!D69:D70)/1000</f>
        <v>1668400.57</v>
      </c>
      <c r="E26" s="221"/>
      <c r="F26" s="236">
        <f t="shared" si="2"/>
        <v>1668400.57</v>
      </c>
      <c r="G26" s="235">
        <f>'[11]Adjusted RPW Rpt'!$G31</f>
        <v>1668400.57</v>
      </c>
    </row>
    <row r="27" spans="1:12" s="2" customFormat="1" ht="11.25" x14ac:dyDescent="0.2">
      <c r="A27" s="49">
        <f t="shared" si="1"/>
        <v>19</v>
      </c>
      <c r="B27" s="219" t="s">
        <v>260</v>
      </c>
      <c r="C27" s="221"/>
      <c r="D27" s="221"/>
      <c r="E27" s="392">
        <f>SUM('[12]Summary Category RPW Data'!D74:D77)/1000</f>
        <v>11706.037</v>
      </c>
      <c r="F27" s="236">
        <f t="shared" si="2"/>
        <v>11706.037</v>
      </c>
      <c r="G27" s="235">
        <f>'[11]Adjusted RPW Rpt'!$G32</f>
        <v>11706.037</v>
      </c>
    </row>
    <row r="28" spans="1:12" s="2" customFormat="1" ht="11.25" x14ac:dyDescent="0.2">
      <c r="A28" s="216">
        <f t="shared" si="1"/>
        <v>20</v>
      </c>
      <c r="B28" s="271" t="s">
        <v>107</v>
      </c>
      <c r="C28" s="317">
        <f>'[13]5-Page Letters'!M50</f>
        <v>11646.645758875111</v>
      </c>
      <c r="D28" s="317">
        <f>'[13]5-Page Flats'!M50</f>
        <v>2429662.3454087558</v>
      </c>
      <c r="E28" s="317">
        <f>'[13]5-Page Parcels'!M50</f>
        <v>1393.0018323693043</v>
      </c>
      <c r="F28" s="254">
        <f>SUM(C28:E28)</f>
        <v>2442701.9930000002</v>
      </c>
      <c r="G28" s="393">
        <f>'[12]RPW Report'!$M47</f>
        <v>2442701.9930000002</v>
      </c>
      <c r="H28" s="319" t="s">
        <v>530</v>
      </c>
      <c r="J28" s="44"/>
      <c r="K28" s="44"/>
      <c r="L28" s="44"/>
    </row>
    <row r="29" spans="1:12" s="2" customFormat="1" ht="11.25" x14ac:dyDescent="0.2">
      <c r="A29" s="49">
        <f t="shared" si="1"/>
        <v>21</v>
      </c>
      <c r="B29" s="50" t="s">
        <v>136</v>
      </c>
      <c r="C29" s="125"/>
      <c r="D29" s="125"/>
      <c r="E29" s="125"/>
      <c r="F29" s="125"/>
      <c r="G29" s="125"/>
      <c r="J29" s="44"/>
      <c r="K29" s="44"/>
      <c r="L29" s="44"/>
    </row>
    <row r="30" spans="1:12" s="2" customFormat="1" ht="11.25" x14ac:dyDescent="0.2">
      <c r="A30" s="49">
        <f t="shared" si="1"/>
        <v>22</v>
      </c>
      <c r="B30" s="153" t="s">
        <v>208</v>
      </c>
      <c r="C30" s="149"/>
      <c r="D30" s="221">
        <f>'[11]Adjusted RPW Rpt'!G44</f>
        <v>104285.946</v>
      </c>
      <c r="E30" s="273"/>
      <c r="F30" s="251">
        <f>SUM(C30:E30)</f>
        <v>104285.946</v>
      </c>
      <c r="G30" s="221">
        <f>'[11]Adjusted RPW Rpt'!$G44</f>
        <v>104285.946</v>
      </c>
      <c r="H30" s="319"/>
      <c r="J30" s="44"/>
      <c r="K30" s="44"/>
      <c r="L30" s="44"/>
    </row>
    <row r="31" spans="1:12" s="2" customFormat="1" ht="11.25" x14ac:dyDescent="0.2">
      <c r="A31" s="49">
        <f t="shared" si="1"/>
        <v>23</v>
      </c>
      <c r="B31" s="153" t="s">
        <v>209</v>
      </c>
      <c r="C31" s="149"/>
      <c r="D31" s="149"/>
      <c r="E31" s="221">
        <f>'[11]Adjusted RPW Rpt'!G45</f>
        <v>225885.52600000001</v>
      </c>
      <c r="F31" s="251">
        <f>SUM(C31:E31)</f>
        <v>225885.52600000001</v>
      </c>
      <c r="G31" s="221">
        <f>'[11]Adjusted RPW Rpt'!$G45</f>
        <v>225885.52600000001</v>
      </c>
      <c r="H31" s="237"/>
      <c r="J31" s="44"/>
      <c r="K31" s="44"/>
      <c r="L31" s="44"/>
    </row>
    <row r="32" spans="1:12" s="2" customFormat="1" ht="11.25" x14ac:dyDescent="0.2">
      <c r="A32" s="49">
        <f t="shared" si="1"/>
        <v>24</v>
      </c>
      <c r="B32" s="127" t="s">
        <v>285</v>
      </c>
      <c r="C32" s="156"/>
      <c r="D32" s="318">
        <f>'[13]5-Page Flats'!M56</f>
        <v>5928.9068332888264</v>
      </c>
      <c r="E32" s="318">
        <f>'[13]5-Page Parcels'!M56</f>
        <v>63167.22516671117</v>
      </c>
      <c r="F32" s="252">
        <f>SUM(C32:E32)</f>
        <v>69096.131999999998</v>
      </c>
      <c r="G32" s="221">
        <f>'[11]Adjusted RPW Rpt'!G46</f>
        <v>69096.130999999994</v>
      </c>
      <c r="H32" s="319" t="s">
        <v>530</v>
      </c>
      <c r="J32" s="44"/>
      <c r="K32" s="44"/>
      <c r="L32" s="44"/>
    </row>
    <row r="33" spans="1:13" s="2" customFormat="1" ht="11.25" x14ac:dyDescent="0.2">
      <c r="A33" s="216">
        <f t="shared" si="1"/>
        <v>25</v>
      </c>
      <c r="B33" s="94" t="s">
        <v>145</v>
      </c>
      <c r="C33" s="424">
        <f>'[13]5-Page Letters'!M73+'[13]5-Page Letters'!M75</f>
        <v>297397.44968572783</v>
      </c>
      <c r="D33" s="424">
        <f>'[13]5-Page Flats'!$M$73+'[13]5-Page Flats'!$M$75</f>
        <v>67213.50791911126</v>
      </c>
      <c r="E33" s="424">
        <f>'[13]5-Page Parcels'!$M$73+'[13]5-Page Parcels'!$M$75</f>
        <v>11757.78239516087</v>
      </c>
      <c r="F33" s="425">
        <f>SUM(C33:E33)</f>
        <v>376368.74</v>
      </c>
      <c r="G33" s="426">
        <f>'[11]Adjusted RPW Rpt'!G50+'[11]Adjusted RPW Rpt'!G52</f>
        <v>376368.17</v>
      </c>
      <c r="H33" s="319" t="s">
        <v>530</v>
      </c>
      <c r="J33" s="44"/>
      <c r="K33" s="44"/>
      <c r="L33" s="44"/>
      <c r="M33" s="44"/>
    </row>
    <row r="34" spans="1:13" s="2" customFormat="1" ht="22.5" x14ac:dyDescent="0.2">
      <c r="A34" s="216">
        <f t="shared" si="1"/>
        <v>26</v>
      </c>
      <c r="B34" s="161" t="s">
        <v>518</v>
      </c>
      <c r="C34" s="255">
        <f>SUM(C10,C18:C19,C24:C25,C33)</f>
        <v>53606890.737685725</v>
      </c>
      <c r="D34" s="255"/>
      <c r="E34" s="255"/>
      <c r="F34" s="255"/>
      <c r="G34" s="255"/>
    </row>
    <row r="35" spans="1:13" x14ac:dyDescent="0.2">
      <c r="E35" s="147"/>
      <c r="F35" s="147"/>
      <c r="G35" s="147"/>
    </row>
    <row r="36" spans="1:13" x14ac:dyDescent="0.2">
      <c r="C36" s="178"/>
      <c r="D36" s="178"/>
      <c r="E36" s="178"/>
      <c r="F36" s="178"/>
      <c r="G36" s="178"/>
    </row>
    <row r="37" spans="1:13" x14ac:dyDescent="0.2">
      <c r="C37" s="178"/>
      <c r="D37" s="178"/>
      <c r="E37" s="178"/>
      <c r="F37" s="178"/>
      <c r="G37" s="178"/>
    </row>
    <row r="39" spans="1:13" x14ac:dyDescent="0.2">
      <c r="C39" s="178"/>
    </row>
  </sheetData>
  <phoneticPr fontId="11" type="noConversion"/>
  <pageMargins left="0.75" right="0.75" top="1" bottom="1" header="0.5" footer="0.5"/>
  <pageSetup orientation="portrait" r:id="rId1"/>
  <headerFooter alignWithMargins="0">
    <oddHeader>&amp;RUSPS-FY09-19</oddHeader>
  </headerFooter>
  <ignoredErrors>
    <ignoredError sqref="D21:D26 C24:C25 E27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rgb="FF92D050"/>
  </sheetPr>
  <dimension ref="A1:J31"/>
  <sheetViews>
    <sheetView zoomScaleNormal="100" workbookViewId="0">
      <selection activeCell="E7" sqref="E7"/>
    </sheetView>
  </sheetViews>
  <sheetFormatPr defaultColWidth="9.140625" defaultRowHeight="12.75" x14ac:dyDescent="0.2"/>
  <cols>
    <col min="1" max="1" width="6.5703125" style="12" customWidth="1"/>
    <col min="2" max="2" width="37" style="12" bestFit="1" customWidth="1"/>
    <col min="3" max="3" width="21.5703125" style="12" bestFit="1" customWidth="1"/>
    <col min="4" max="5" width="13.85546875" style="12" customWidth="1"/>
    <col min="6" max="7" width="12.42578125" style="12" customWidth="1"/>
    <col min="8" max="9" width="9.140625" style="12"/>
    <col min="10" max="10" width="10.85546875" style="12" customWidth="1"/>
    <col min="11" max="16384" width="9.140625" style="12"/>
  </cols>
  <sheetData>
    <row r="1" spans="1:10" x14ac:dyDescent="0.2">
      <c r="A1" s="1" t="str">
        <f>Inputs!$C$4</f>
        <v>Unit Delivery Cost Model -  12/16/2025</v>
      </c>
      <c r="B1" s="1"/>
      <c r="C1" s="1"/>
    </row>
    <row r="2" spans="1:10" x14ac:dyDescent="0.2">
      <c r="A2" s="77" t="s">
        <v>181</v>
      </c>
      <c r="B2" s="77"/>
      <c r="C2" s="77"/>
    </row>
    <row r="3" spans="1:10" x14ac:dyDescent="0.2">
      <c r="A3" s="77"/>
      <c r="B3" s="77"/>
      <c r="C3" s="77"/>
    </row>
    <row r="4" spans="1:10" x14ac:dyDescent="0.2">
      <c r="D4" s="343" t="s">
        <v>238</v>
      </c>
      <c r="E4" s="343" t="s">
        <v>237</v>
      </c>
      <c r="F4" s="13"/>
      <c r="G4" s="13"/>
      <c r="H4" s="13"/>
      <c r="I4" s="13"/>
      <c r="J4" s="13"/>
    </row>
    <row r="5" spans="1:10" s="162" customFormat="1" ht="22.5" x14ac:dyDescent="0.2">
      <c r="A5" s="146" t="s">
        <v>8</v>
      </c>
      <c r="B5" s="171"/>
      <c r="C5" s="171" t="s">
        <v>147</v>
      </c>
      <c r="D5" s="165" t="s">
        <v>5</v>
      </c>
      <c r="E5" s="165" t="s">
        <v>5</v>
      </c>
      <c r="F5" s="163"/>
      <c r="G5" s="163"/>
      <c r="H5" s="163"/>
      <c r="I5" s="163"/>
      <c r="J5" s="163"/>
    </row>
    <row r="6" spans="1:10" s="162" customFormat="1" ht="11.25" x14ac:dyDescent="0.2">
      <c r="A6" s="167"/>
      <c r="B6" s="20" t="s">
        <v>43</v>
      </c>
      <c r="C6" s="167"/>
      <c r="D6" s="21">
        <v>-1</v>
      </c>
      <c r="E6" s="21">
        <f>D6-1</f>
        <v>-2</v>
      </c>
      <c r="F6" s="163"/>
      <c r="G6" s="163"/>
      <c r="H6" s="163"/>
      <c r="I6" s="163"/>
      <c r="J6" s="163"/>
    </row>
    <row r="7" spans="1:10" s="162" customFormat="1" ht="11.25" x14ac:dyDescent="0.2">
      <c r="A7" s="166">
        <v>1</v>
      </c>
      <c r="B7" s="71" t="s">
        <v>146</v>
      </c>
      <c r="C7" s="71"/>
      <c r="D7" s="166"/>
      <c r="E7" s="166"/>
      <c r="F7" s="163"/>
      <c r="G7" s="163"/>
      <c r="H7" s="163"/>
      <c r="I7" s="163"/>
      <c r="J7" s="163"/>
    </row>
    <row r="8" spans="1:10" s="164" customFormat="1" ht="11.25" x14ac:dyDescent="0.2">
      <c r="A8" s="67">
        <f>A7+1</f>
        <v>2</v>
      </c>
      <c r="B8" s="167" t="s">
        <v>177</v>
      </c>
      <c r="C8" s="167" t="str">
        <f>"=L"&amp;A15&amp;" + L"&amp;A21</f>
        <v>=L9 + L15</v>
      </c>
      <c r="D8" s="501">
        <f>D15+D21</f>
        <v>119103.2366972123</v>
      </c>
      <c r="E8" s="501">
        <f>E15+E21</f>
        <v>4600.0323525658214</v>
      </c>
      <c r="H8" s="93"/>
      <c r="I8" s="93"/>
      <c r="J8" s="93"/>
    </row>
    <row r="9" spans="1:10" s="164" customFormat="1" ht="11.25" x14ac:dyDescent="0.2">
      <c r="A9" s="67">
        <f t="shared" ref="A9:A23" si="0">A8+1</f>
        <v>3</v>
      </c>
      <c r="B9" s="182" t="s">
        <v>179</v>
      </c>
      <c r="C9" s="167" t="s">
        <v>152</v>
      </c>
      <c r="D9" s="431">
        <v>6.5407999999999994E-2</v>
      </c>
      <c r="E9" s="431">
        <f>D9</f>
        <v>6.5407999999999994E-2</v>
      </c>
      <c r="F9" s="186"/>
      <c r="G9" s="93"/>
      <c r="H9" s="93"/>
      <c r="I9" s="93"/>
      <c r="J9" s="93"/>
    </row>
    <row r="10" spans="1:10" s="164" customFormat="1" ht="11.25" x14ac:dyDescent="0.2">
      <c r="A10" s="67">
        <f t="shared" si="0"/>
        <v>4</v>
      </c>
      <c r="B10" s="182" t="s">
        <v>178</v>
      </c>
      <c r="C10" s="167" t="str">
        <f>"=L"&amp;A8&amp;" x L"&amp;A9</f>
        <v>=L2 x L3</v>
      </c>
      <c r="D10" s="501">
        <f>D8*D9</f>
        <v>7790.3045058912612</v>
      </c>
      <c r="E10" s="501">
        <f>E8*E9</f>
        <v>300.87891611662519</v>
      </c>
      <c r="F10" s="93"/>
      <c r="G10" s="93"/>
      <c r="H10" s="93"/>
      <c r="I10" s="93"/>
      <c r="J10" s="93"/>
    </row>
    <row r="11" spans="1:10" s="164" customFormat="1" ht="11.25" x14ac:dyDescent="0.2">
      <c r="A11" s="68">
        <f t="shared" si="0"/>
        <v>5</v>
      </c>
      <c r="B11" s="183" t="s">
        <v>235</v>
      </c>
      <c r="C11" s="170" t="str">
        <f>"=L"&amp;A10&amp;" / L"&amp;A9&amp;" x L"&amp;A8</f>
        <v>=L4 / L3 x L2</v>
      </c>
      <c r="D11" s="321">
        <f>D8+D10</f>
        <v>126893.54120310355</v>
      </c>
      <c r="E11" s="321">
        <f>E8+E10</f>
        <v>4900.9112686824465</v>
      </c>
      <c r="F11" s="186"/>
      <c r="G11" s="93"/>
      <c r="H11" s="93"/>
      <c r="I11" s="93"/>
      <c r="J11" s="93"/>
    </row>
    <row r="12" spans="1:10" s="164" customFormat="1" ht="11.25" x14ac:dyDescent="0.2">
      <c r="A12" s="66">
        <f t="shared" si="0"/>
        <v>6</v>
      </c>
      <c r="B12" s="173" t="s">
        <v>148</v>
      </c>
      <c r="C12" s="172"/>
      <c r="D12" s="37"/>
      <c r="E12" s="37"/>
      <c r="F12" s="93"/>
      <c r="G12" s="93"/>
      <c r="H12" s="93"/>
      <c r="I12" s="93"/>
      <c r="J12" s="93"/>
    </row>
    <row r="13" spans="1:10" s="164" customFormat="1" ht="11.25" x14ac:dyDescent="0.2">
      <c r="A13" s="67">
        <f t="shared" si="0"/>
        <v>7</v>
      </c>
      <c r="B13" s="86" t="s">
        <v>367</v>
      </c>
      <c r="C13" s="86" t="s">
        <v>174</v>
      </c>
      <c r="D13" s="503">
        <f>CCSDALs!E16</f>
        <v>4.8688652591468123E-2</v>
      </c>
      <c r="E13" s="503">
        <f>CCSDALs!F16</f>
        <v>6.0456894974079414E-4</v>
      </c>
      <c r="F13" s="93"/>
      <c r="G13" s="93"/>
      <c r="H13" s="93"/>
      <c r="I13" s="93"/>
      <c r="J13" s="93"/>
    </row>
    <row r="14" spans="1:10" s="164" customFormat="1" ht="11.25" x14ac:dyDescent="0.2">
      <c r="A14" s="67">
        <f t="shared" si="0"/>
        <v>8</v>
      </c>
      <c r="B14" s="30" t="s">
        <v>368</v>
      </c>
      <c r="C14" s="168" t="s">
        <v>524</v>
      </c>
      <c r="D14" s="134">
        <f>CCSECRVols!C16+CCSECRVols!C17</f>
        <v>1732249.5369044747</v>
      </c>
      <c r="E14" s="134">
        <f>CCSECRVols!C10+CCSECRVols!C11</f>
        <v>2056812.559565237</v>
      </c>
      <c r="F14" s="186"/>
      <c r="G14" s="93"/>
      <c r="H14" s="93"/>
      <c r="I14" s="93"/>
      <c r="J14" s="93"/>
    </row>
    <row r="15" spans="1:10" s="164" customFormat="1" ht="11.25" x14ac:dyDescent="0.2">
      <c r="A15" s="68">
        <f t="shared" si="0"/>
        <v>9</v>
      </c>
      <c r="B15" s="169" t="s">
        <v>236</v>
      </c>
      <c r="C15" s="169" t="str">
        <f>"=L"&amp;A14&amp;" x L"&amp;A13</f>
        <v>=L8 x L7</v>
      </c>
      <c r="D15" s="449">
        <f>D14*D13</f>
        <v>84340.895904073506</v>
      </c>
      <c r="E15" s="449">
        <f>E14*E13</f>
        <v>1243.4850089500299</v>
      </c>
      <c r="F15" s="93"/>
      <c r="G15" s="93"/>
      <c r="H15" s="93"/>
      <c r="I15" s="93"/>
      <c r="J15" s="93"/>
    </row>
    <row r="16" spans="1:10" s="164" customFormat="1" ht="11.25" x14ac:dyDescent="0.2">
      <c r="A16" s="67">
        <f t="shared" si="0"/>
        <v>10</v>
      </c>
      <c r="B16" s="50" t="s">
        <v>149</v>
      </c>
      <c r="C16" s="168"/>
      <c r="D16" s="49"/>
      <c r="E16" s="49"/>
      <c r="F16" s="93"/>
      <c r="G16" s="93"/>
      <c r="H16" s="93"/>
      <c r="I16" s="93"/>
      <c r="J16" s="93"/>
    </row>
    <row r="17" spans="1:10" s="164" customFormat="1" ht="11.25" x14ac:dyDescent="0.2">
      <c r="A17" s="67">
        <f t="shared" si="0"/>
        <v>11</v>
      </c>
      <c r="B17" s="30" t="s">
        <v>360</v>
      </c>
      <c r="C17" s="167" t="s">
        <v>520</v>
      </c>
      <c r="D17" s="503">
        <f>RCSDALs!E16</f>
        <v>2.1717403641969658E-2</v>
      </c>
      <c r="E17" s="503">
        <f>RCSDALs!F16</f>
        <v>2.7173028866434804E-3</v>
      </c>
      <c r="F17" s="93"/>
      <c r="G17" s="93"/>
      <c r="H17" s="93"/>
      <c r="I17" s="93"/>
      <c r="J17" s="93"/>
    </row>
    <row r="18" spans="1:10" s="164" customFormat="1" ht="11.25" x14ac:dyDescent="0.2">
      <c r="A18" s="67">
        <f t="shared" si="0"/>
        <v>12</v>
      </c>
      <c r="B18" s="181" t="s">
        <v>173</v>
      </c>
      <c r="C18" s="167" t="s">
        <v>521</v>
      </c>
      <c r="D18" s="503">
        <f>RCSDALs!E17</f>
        <v>8.9799514817953553E-3</v>
      </c>
      <c r="E18" s="503">
        <f>RCSDALs!F17</f>
        <v>0</v>
      </c>
      <c r="F18" s="93"/>
      <c r="G18" s="93"/>
      <c r="H18" s="93"/>
      <c r="I18" s="93"/>
      <c r="J18" s="93"/>
    </row>
    <row r="19" spans="1:10" s="164" customFormat="1" ht="11.25" x14ac:dyDescent="0.2">
      <c r="A19" s="67">
        <f t="shared" si="0"/>
        <v>13</v>
      </c>
      <c r="B19" s="30" t="s">
        <v>361</v>
      </c>
      <c r="C19" s="168" t="s">
        <v>522</v>
      </c>
      <c r="D19" s="134">
        <f>RCSECRVols!C42</f>
        <v>1537371.1441546781</v>
      </c>
      <c r="E19" s="134">
        <f>RCSECRVols!C41</f>
        <v>43395.047175477695</v>
      </c>
      <c r="F19" s="93"/>
      <c r="G19" s="93"/>
      <c r="H19" s="93"/>
      <c r="I19" s="93"/>
      <c r="J19" s="93"/>
    </row>
    <row r="20" spans="1:10" s="164" customFormat="1" ht="11.25" x14ac:dyDescent="0.2">
      <c r="A20" s="67">
        <f t="shared" si="0"/>
        <v>14</v>
      </c>
      <c r="B20" s="206" t="s">
        <v>362</v>
      </c>
      <c r="C20" s="168" t="s">
        <v>523</v>
      </c>
      <c r="D20" s="134">
        <f>RCSECRVols!C12+RCSECRVols!C17</f>
        <v>964978.26603074034</v>
      </c>
      <c r="E20" s="134">
        <f>RCSECRVols!C11+RCSECRVols!C16</f>
        <v>1235249.6146507729</v>
      </c>
      <c r="F20" s="93"/>
      <c r="G20" s="93"/>
      <c r="H20" s="93"/>
      <c r="I20" s="93"/>
      <c r="J20" s="93"/>
    </row>
    <row r="21" spans="1:10" s="164" customFormat="1" ht="11.25" x14ac:dyDescent="0.2">
      <c r="A21" s="68">
        <f t="shared" si="0"/>
        <v>15</v>
      </c>
      <c r="B21" s="370" t="s">
        <v>207</v>
      </c>
      <c r="C21" s="169" t="str">
        <f>"=(L"&amp;A17&amp;" x L"&amp;A20&amp;") + (L"&amp;A18&amp;" x L"&amp;A19&amp;")"</f>
        <v>=(L11 x L14) + (L12 x L13)</v>
      </c>
      <c r="D21" s="504">
        <f>(D19*D18)+(D20*D17)</f>
        <v>34762.340793138792</v>
      </c>
      <c r="E21" s="504">
        <f>(E19*E18)+(E20*E17)</f>
        <v>3356.5473436157918</v>
      </c>
      <c r="F21" s="185"/>
      <c r="G21" s="93"/>
      <c r="H21" s="186"/>
      <c r="I21" s="186"/>
      <c r="J21" s="93"/>
    </row>
    <row r="22" spans="1:10" s="164" customFormat="1" ht="11.25" x14ac:dyDescent="0.2">
      <c r="A22" s="66">
        <f t="shared" si="0"/>
        <v>16</v>
      </c>
      <c r="B22" s="173" t="s">
        <v>153</v>
      </c>
      <c r="C22" s="172"/>
      <c r="D22" s="505"/>
      <c r="E22" s="505"/>
      <c r="F22" s="93"/>
      <c r="G22" s="93"/>
      <c r="H22" s="93"/>
      <c r="I22" s="93"/>
      <c r="J22" s="93"/>
    </row>
    <row r="23" spans="1:10" s="164" customFormat="1" ht="11.25" x14ac:dyDescent="0.2">
      <c r="A23" s="67">
        <f t="shared" si="0"/>
        <v>17</v>
      </c>
      <c r="B23" s="168" t="s">
        <v>150</v>
      </c>
      <c r="C23" s="168" t="str">
        <f>"=L"&amp;A21</f>
        <v>=L15</v>
      </c>
      <c r="D23" s="506">
        <f>D21</f>
        <v>34762.340793138792</v>
      </c>
      <c r="E23" s="506">
        <f>E21</f>
        <v>3356.5473436157918</v>
      </c>
    </row>
    <row r="24" spans="1:10" s="164" customFormat="1" ht="11.25" x14ac:dyDescent="0.2">
      <c r="A24" s="67">
        <f>A23+1</f>
        <v>18</v>
      </c>
      <c r="B24" s="30" t="s">
        <v>363</v>
      </c>
      <c r="C24" s="167" t="str">
        <f>"=L"&amp;A19&amp;" x L"&amp;A18</f>
        <v>=L13 x L12</v>
      </c>
      <c r="D24" s="506">
        <f>D19*D18</f>
        <v>13805.518284021222</v>
      </c>
      <c r="E24" s="506">
        <f>E19*E18</f>
        <v>0</v>
      </c>
    </row>
    <row r="25" spans="1:10" s="164" customFormat="1" ht="11.25" x14ac:dyDescent="0.2">
      <c r="A25" s="67">
        <f>A24+1</f>
        <v>19</v>
      </c>
      <c r="B25" s="30" t="s">
        <v>364</v>
      </c>
      <c r="C25" s="167" t="str">
        <f>"=L"&amp;A20&amp;" x L"&amp;A17</f>
        <v>=L14 x L11</v>
      </c>
      <c r="D25" s="506">
        <f>D20*D17</f>
        <v>20956.822509117566</v>
      </c>
      <c r="E25" s="506">
        <f>E20*E17</f>
        <v>3356.5473436157918</v>
      </c>
    </row>
    <row r="26" spans="1:10" s="164" customFormat="1" ht="22.5" x14ac:dyDescent="0.2">
      <c r="A26" s="67">
        <f>A25+1</f>
        <v>20</v>
      </c>
      <c r="B26" s="206" t="s">
        <v>365</v>
      </c>
      <c r="C26" s="167" t="str">
        <f>"BoxholderbyShape C"&amp;-BoxholderbyShape!C6&amp;"L"&amp;BoxholderbyShape!A14&amp;"-L"&amp;A24</f>
        <v>BoxholderbyShape C1L7-L18</v>
      </c>
      <c r="D26" s="506">
        <f>BoxholderbyShape!C14-D24</f>
        <v>183733.95994373714</v>
      </c>
      <c r="E26" s="507">
        <f>BoxholderbyShape!C13-E24</f>
        <v>8703.364390910152</v>
      </c>
    </row>
    <row r="27" spans="1:10" s="164" customFormat="1" ht="11.25" x14ac:dyDescent="0.2">
      <c r="A27" s="67">
        <f>A26+1</f>
        <v>21</v>
      </c>
      <c r="B27" s="30" t="s">
        <v>366</v>
      </c>
      <c r="C27" s="168" t="str">
        <f>"L"&amp;A20&amp;" - L"&amp;A25</f>
        <v>L14 - L19</v>
      </c>
      <c r="D27" s="508">
        <f>D20-D25</f>
        <v>944021.4435216228</v>
      </c>
      <c r="E27" s="508">
        <f>E20-E25</f>
        <v>1231893.067307157</v>
      </c>
    </row>
    <row r="28" spans="1:10" s="164" customFormat="1" ht="11.25" x14ac:dyDescent="0.2">
      <c r="A28" s="68">
        <f>A27+1</f>
        <v>22</v>
      </c>
      <c r="B28" s="169" t="s">
        <v>151</v>
      </c>
      <c r="C28" s="169" t="str">
        <f>"L"&amp;A24&amp;"..L"&amp;A25</f>
        <v>L18..L19</v>
      </c>
      <c r="D28" s="509">
        <f>SUM(D24:D27)</f>
        <v>1162517.7442584988</v>
      </c>
      <c r="E28" s="509">
        <f>SUM(E24:E27)</f>
        <v>1243952.979041683</v>
      </c>
    </row>
    <row r="30" spans="1:10" x14ac:dyDescent="0.2">
      <c r="B30"/>
      <c r="D30" s="196"/>
      <c r="E30" s="196"/>
    </row>
    <row r="31" spans="1:10" x14ac:dyDescent="0.2">
      <c r="D31" s="184"/>
      <c r="E31" s="184"/>
    </row>
  </sheetData>
  <phoneticPr fontId="0" type="noConversion"/>
  <pageMargins left="0.52" right="0" top="1.17" bottom="1" header="0.5" footer="2"/>
  <pageSetup orientation="landscape" r:id="rId1"/>
  <headerFooter alignWithMargins="0">
    <oddHeader>&amp;RUSPS-FY09-19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DBCA-E379-443C-9D9A-38803DEBAE46}">
  <sheetPr>
    <tabColor rgb="FF92D050"/>
  </sheetPr>
  <dimension ref="A1:G55"/>
  <sheetViews>
    <sheetView workbookViewId="0">
      <selection activeCell="B52" sqref="B52"/>
    </sheetView>
  </sheetViews>
  <sheetFormatPr defaultColWidth="9.140625" defaultRowHeight="12.75" x14ac:dyDescent="0.2"/>
  <cols>
    <col min="1" max="1" width="6.5703125" style="599" customWidth="1"/>
    <col min="2" max="2" width="30.140625" customWidth="1"/>
    <col min="3" max="3" width="13.42578125" customWidth="1"/>
    <col min="4" max="4" width="13.42578125" style="283" customWidth="1"/>
    <col min="6" max="6" width="48.7109375" customWidth="1"/>
    <col min="7" max="7" width="20" bestFit="1" customWidth="1"/>
  </cols>
  <sheetData>
    <row r="1" spans="1:4" x14ac:dyDescent="0.2">
      <c r="A1" s="585" t="str">
        <f>Inputs!$C$4</f>
        <v>Unit Delivery Cost Model -  12/16/2025</v>
      </c>
    </row>
    <row r="2" spans="1:4" x14ac:dyDescent="0.2">
      <c r="A2" s="27" t="s">
        <v>102</v>
      </c>
    </row>
    <row r="3" spans="1:4" x14ac:dyDescent="0.2">
      <c r="A3" s="11" t="s">
        <v>575</v>
      </c>
    </row>
    <row r="5" spans="1:4" s="587" customFormat="1" ht="22.5" x14ac:dyDescent="0.2">
      <c r="A5" s="586" t="s">
        <v>8</v>
      </c>
      <c r="B5" s="146" t="s">
        <v>26</v>
      </c>
      <c r="C5" s="53" t="s">
        <v>27</v>
      </c>
      <c r="D5" s="36" t="s">
        <v>18</v>
      </c>
    </row>
    <row r="6" spans="1:4" s="587" customFormat="1" ht="11.25" x14ac:dyDescent="0.2">
      <c r="A6" s="588"/>
      <c r="B6" s="19" t="s">
        <v>43</v>
      </c>
      <c r="C6" s="21">
        <v>-1</v>
      </c>
      <c r="D6" s="21">
        <f>C6-1</f>
        <v>-2</v>
      </c>
    </row>
    <row r="7" spans="1:4" s="587" customFormat="1" ht="11.25" x14ac:dyDescent="0.2">
      <c r="A7" s="589"/>
      <c r="B7" s="20" t="s">
        <v>44</v>
      </c>
      <c r="C7" s="140"/>
      <c r="D7" s="284"/>
    </row>
    <row r="8" spans="1:4" s="587" customFormat="1" ht="11.25" x14ac:dyDescent="0.2">
      <c r="A8" s="590"/>
      <c r="B8" s="23" t="s">
        <v>31</v>
      </c>
      <c r="C8" s="142"/>
      <c r="D8" s="285"/>
    </row>
    <row r="9" spans="1:4" s="587" customFormat="1" ht="11.25" x14ac:dyDescent="0.2">
      <c r="A9" s="21">
        <v>1</v>
      </c>
      <c r="B9" s="350" t="s">
        <v>7</v>
      </c>
      <c r="C9" s="108"/>
      <c r="D9" s="286"/>
    </row>
    <row r="10" spans="1:4" s="2" customFormat="1" ht="11.25" x14ac:dyDescent="0.2">
      <c r="A10" s="22">
        <f>A9+1</f>
        <v>2</v>
      </c>
      <c r="B10" s="40" t="s">
        <v>63</v>
      </c>
      <c r="C10" s="591">
        <f>[14]Sheet1!$C5</f>
        <v>166784763.10762477</v>
      </c>
      <c r="D10" s="369">
        <f t="shared" ref="D10:D15" si="0">(C10)/1000</f>
        <v>166784.76310762478</v>
      </c>
    </row>
    <row r="11" spans="1:4" s="2" customFormat="1" ht="11.25" x14ac:dyDescent="0.2">
      <c r="A11" s="22">
        <f t="shared" ref="A11:A44" si="1">A10+1</f>
        <v>3</v>
      </c>
      <c r="B11" s="40" t="s">
        <v>65</v>
      </c>
      <c r="C11" s="591">
        <f>[14]Sheet1!$C6</f>
        <v>9364535.4877856951</v>
      </c>
      <c r="D11" s="369">
        <f t="shared" si="0"/>
        <v>9364.5354877856953</v>
      </c>
    </row>
    <row r="12" spans="1:4" s="2" customFormat="1" ht="11.25" x14ac:dyDescent="0.2">
      <c r="A12" s="22">
        <f t="shared" si="1"/>
        <v>4</v>
      </c>
      <c r="B12" s="40" t="s">
        <v>64</v>
      </c>
      <c r="C12" s="591">
        <f>[14]Sheet1!$C7</f>
        <v>361929815.21195871</v>
      </c>
      <c r="D12" s="369">
        <f t="shared" si="0"/>
        <v>361929.81521195872</v>
      </c>
    </row>
    <row r="13" spans="1:4" s="2" customFormat="1" ht="11.25" x14ac:dyDescent="0.2">
      <c r="A13" s="22">
        <f t="shared" si="1"/>
        <v>5</v>
      </c>
      <c r="B13" s="40" t="s">
        <v>66</v>
      </c>
      <c r="C13" s="591">
        <f>[14]Sheet1!$C8</f>
        <v>26930441.570345324</v>
      </c>
      <c r="D13" s="369">
        <f t="shared" si="0"/>
        <v>26930.441570345323</v>
      </c>
    </row>
    <row r="14" spans="1:4" s="2" customFormat="1" ht="11.25" x14ac:dyDescent="0.2">
      <c r="A14" s="22">
        <f t="shared" si="1"/>
        <v>6</v>
      </c>
      <c r="B14" s="40" t="s">
        <v>189</v>
      </c>
      <c r="C14" s="591">
        <f>[14]Sheet1!$B9</f>
        <v>63768655.967442133</v>
      </c>
      <c r="D14" s="369">
        <f t="shared" si="0"/>
        <v>63768.65596744213</v>
      </c>
    </row>
    <row r="15" spans="1:4" s="2" customFormat="1" ht="11.25" x14ac:dyDescent="0.2">
      <c r="A15" s="58">
        <f t="shared" si="1"/>
        <v>7</v>
      </c>
      <c r="B15" s="592" t="s">
        <v>190</v>
      </c>
      <c r="C15" s="591">
        <f>[14]Sheet1!$B10</f>
        <v>66617309.290252648</v>
      </c>
      <c r="D15" s="369">
        <f t="shared" si="0"/>
        <v>66617.309290252655</v>
      </c>
    </row>
    <row r="16" spans="1:4" s="2" customFormat="1" ht="11.25" x14ac:dyDescent="0.2">
      <c r="A16" s="21">
        <f>A15+1</f>
        <v>8</v>
      </c>
      <c r="B16" s="150" t="s">
        <v>357</v>
      </c>
      <c r="C16" s="274"/>
      <c r="D16" s="120"/>
    </row>
    <row r="17" spans="1:7" s="2" customFormat="1" ht="11.25" x14ac:dyDescent="0.2">
      <c r="A17" s="22">
        <f t="shared" si="1"/>
        <v>9</v>
      </c>
      <c r="B17" s="40" t="s">
        <v>191</v>
      </c>
      <c r="C17" s="275">
        <f>C18+C19</f>
        <v>55199363.141611636</v>
      </c>
      <c r="D17" s="369">
        <f>(C17)/1000</f>
        <v>55199.363141611633</v>
      </c>
      <c r="E17" s="151"/>
      <c r="F17" s="47"/>
      <c r="G17" s="593"/>
    </row>
    <row r="18" spans="1:7" s="2" customFormat="1" ht="11.25" x14ac:dyDescent="0.2">
      <c r="A18" s="22">
        <f t="shared" si="1"/>
        <v>10</v>
      </c>
      <c r="B18" s="403" t="s">
        <v>242</v>
      </c>
      <c r="C18" s="275">
        <f>[14]Sheet1!$C$11</f>
        <v>33827055.964182079</v>
      </c>
      <c r="D18" s="369">
        <f t="shared" ref="D18:D30" si="2">(C18)/1000</f>
        <v>33827.05596418208</v>
      </c>
      <c r="E18" s="151"/>
    </row>
    <row r="19" spans="1:7" s="2" customFormat="1" ht="11.25" x14ac:dyDescent="0.2">
      <c r="A19" s="22">
        <f t="shared" si="1"/>
        <v>11</v>
      </c>
      <c r="B19" s="403" t="s">
        <v>441</v>
      </c>
      <c r="C19" s="275">
        <f>[14]Sheet1!$C$12</f>
        <v>21372307.177429557</v>
      </c>
      <c r="D19" s="369">
        <f t="shared" si="2"/>
        <v>21372.307177429557</v>
      </c>
      <c r="E19" s="151"/>
    </row>
    <row r="20" spans="1:7" s="2" customFormat="1" ht="11.25" x14ac:dyDescent="0.2">
      <c r="A20" s="22">
        <f>A19+1</f>
        <v>12</v>
      </c>
      <c r="B20" s="40" t="s">
        <v>192</v>
      </c>
      <c r="C20" s="275">
        <f>C21+C24+C25+C29</f>
        <v>70476327.967141598</v>
      </c>
      <c r="D20" s="369">
        <f t="shared" si="2"/>
        <v>70476.327967141595</v>
      </c>
      <c r="E20" s="151"/>
    </row>
    <row r="21" spans="1:7" s="2" customFormat="1" ht="11.25" x14ac:dyDescent="0.2">
      <c r="A21" s="22">
        <f t="shared" si="1"/>
        <v>13</v>
      </c>
      <c r="B21" s="579" t="s">
        <v>243</v>
      </c>
      <c r="C21" s="239">
        <f>C22+C23</f>
        <v>45414553.534857363</v>
      </c>
      <c r="D21" s="369">
        <f t="shared" si="2"/>
        <v>45414.553534857361</v>
      </c>
      <c r="E21" s="594"/>
      <c r="F21" s="47"/>
    </row>
    <row r="22" spans="1:7" s="2" customFormat="1" ht="11.25" x14ac:dyDescent="0.2">
      <c r="A22" s="22">
        <f t="shared" si="1"/>
        <v>14</v>
      </c>
      <c r="B22" s="595" t="s">
        <v>442</v>
      </c>
      <c r="C22" s="275"/>
      <c r="D22" s="369">
        <f t="shared" si="2"/>
        <v>0</v>
      </c>
      <c r="E22" s="151" t="s">
        <v>29</v>
      </c>
    </row>
    <row r="23" spans="1:7" s="2" customFormat="1" ht="11.25" x14ac:dyDescent="0.2">
      <c r="A23" s="22">
        <f t="shared" si="1"/>
        <v>15</v>
      </c>
      <c r="B23" s="595" t="s">
        <v>443</v>
      </c>
      <c r="C23" s="239">
        <f>[14]Sheet1!$B$13</f>
        <v>45414553.534857363</v>
      </c>
      <c r="D23" s="369">
        <f t="shared" si="2"/>
        <v>45414.553534857361</v>
      </c>
      <c r="E23" s="151" t="s">
        <v>444</v>
      </c>
    </row>
    <row r="24" spans="1:7" s="2" customFormat="1" ht="11.25" x14ac:dyDescent="0.2">
      <c r="A24" s="22">
        <f t="shared" si="1"/>
        <v>16</v>
      </c>
      <c r="B24" s="579" t="s">
        <v>244</v>
      </c>
      <c r="C24" s="275">
        <f>[14]Sheet1!$E$13</f>
        <v>0</v>
      </c>
      <c r="D24" s="369">
        <f t="shared" si="2"/>
        <v>0</v>
      </c>
      <c r="E24" s="594"/>
    </row>
    <row r="25" spans="1:7" s="2" customFormat="1" ht="11.25" x14ac:dyDescent="0.2">
      <c r="A25" s="22">
        <f t="shared" si="1"/>
        <v>17</v>
      </c>
      <c r="B25" s="579" t="s">
        <v>445</v>
      </c>
      <c r="C25" s="239">
        <f>C26+C27</f>
        <v>25061774.432284243</v>
      </c>
      <c r="D25" s="369">
        <f t="shared" si="2"/>
        <v>25061.774432284245</v>
      </c>
      <c r="E25" s="594" t="s">
        <v>29</v>
      </c>
    </row>
    <row r="26" spans="1:7" s="2" customFormat="1" ht="11.25" x14ac:dyDescent="0.2">
      <c r="A26" s="22">
        <f t="shared" si="1"/>
        <v>18</v>
      </c>
      <c r="B26" s="595" t="s">
        <v>446</v>
      </c>
      <c r="C26" s="591">
        <f>[14]Sheet1!$B$14</f>
        <v>182798.11481287598</v>
      </c>
      <c r="D26" s="369">
        <f t="shared" si="2"/>
        <v>182.79811481287598</v>
      </c>
      <c r="E26" s="151"/>
    </row>
    <row r="27" spans="1:7" s="2" customFormat="1" ht="11.25" x14ac:dyDescent="0.2">
      <c r="A27" s="22">
        <f t="shared" si="1"/>
        <v>19</v>
      </c>
      <c r="B27" s="595" t="s">
        <v>451</v>
      </c>
      <c r="C27" s="239">
        <f>[14]Sheet1!$B$15+[14]Sheet1!$B$17+[14]Sheet1!$C$17-C30</f>
        <v>24878976.317471366</v>
      </c>
      <c r="D27" s="369">
        <f t="shared" si="2"/>
        <v>24878.976317471366</v>
      </c>
      <c r="E27" s="47" t="s">
        <v>452</v>
      </c>
      <c r="G27" s="593" t="s">
        <v>29</v>
      </c>
    </row>
    <row r="28" spans="1:7" s="2" customFormat="1" ht="11.25" x14ac:dyDescent="0.2">
      <c r="A28" s="22">
        <f t="shared" si="1"/>
        <v>20</v>
      </c>
      <c r="B28" s="579" t="s">
        <v>453</v>
      </c>
      <c r="C28" s="591"/>
      <c r="D28" s="369">
        <f t="shared" si="2"/>
        <v>0</v>
      </c>
      <c r="E28" s="47"/>
    </row>
    <row r="29" spans="1:7" s="2" customFormat="1" ht="11.25" x14ac:dyDescent="0.2">
      <c r="A29" s="22">
        <f t="shared" si="1"/>
        <v>21</v>
      </c>
      <c r="B29" s="596" t="s">
        <v>450</v>
      </c>
      <c r="C29" s="591">
        <f>[14]Sheet1!$E$17</f>
        <v>0</v>
      </c>
      <c r="D29" s="369">
        <f t="shared" si="2"/>
        <v>0</v>
      </c>
      <c r="E29" s="594"/>
    </row>
    <row r="30" spans="1:7" s="2" customFormat="1" ht="12" thickBot="1" x14ac:dyDescent="0.25">
      <c r="A30" s="22">
        <f t="shared" si="1"/>
        <v>22</v>
      </c>
      <c r="B30" s="597" t="s">
        <v>293</v>
      </c>
      <c r="C30" s="591">
        <f>'[2]6.0.2.1'!$F$21*1000</f>
        <v>5007531.6457843585</v>
      </c>
      <c r="D30" s="369">
        <f t="shared" si="2"/>
        <v>5007.5316457843583</v>
      </c>
      <c r="E30" s="47" t="s">
        <v>299</v>
      </c>
    </row>
    <row r="31" spans="1:7" s="2" customFormat="1" ht="12" thickTop="1" x14ac:dyDescent="0.2">
      <c r="A31" s="22">
        <f t="shared" si="1"/>
        <v>23</v>
      </c>
      <c r="B31" s="150" t="s">
        <v>358</v>
      </c>
      <c r="C31" s="274"/>
      <c r="D31" s="120"/>
    </row>
    <row r="32" spans="1:7" s="2" customFormat="1" ht="11.25" x14ac:dyDescent="0.2">
      <c r="A32" s="22">
        <f t="shared" si="1"/>
        <v>24</v>
      </c>
      <c r="B32" s="40" t="s">
        <v>194</v>
      </c>
      <c r="C32" s="591">
        <f>[14]Sheet1!$C$18</f>
        <v>476703925.68861645</v>
      </c>
      <c r="D32" s="369">
        <f>(C32)/1000</f>
        <v>476703.92568861647</v>
      </c>
    </row>
    <row r="33" spans="1:5" s="2" customFormat="1" ht="11.25" x14ac:dyDescent="0.2">
      <c r="A33" s="22">
        <f t="shared" si="1"/>
        <v>25</v>
      </c>
      <c r="B33" s="40" t="s">
        <v>195</v>
      </c>
      <c r="C33" s="591">
        <f>[14]Sheet1!$B$19</f>
        <v>225263731.94230121</v>
      </c>
      <c r="D33" s="369">
        <f>(C33)/1000</f>
        <v>225263.73194230121</v>
      </c>
    </row>
    <row r="34" spans="1:5" s="2" customFormat="1" ht="11.25" x14ac:dyDescent="0.2">
      <c r="A34" s="22">
        <f t="shared" si="1"/>
        <v>26</v>
      </c>
      <c r="B34" s="40" t="s">
        <v>260</v>
      </c>
      <c r="C34" s="591">
        <f>[14]Sheet1!$E$20</f>
        <v>1482913.8393377406</v>
      </c>
      <c r="D34" s="369">
        <f>(C34)/1000</f>
        <v>1482.9138393377405</v>
      </c>
    </row>
    <row r="35" spans="1:5" s="2" customFormat="1" ht="11.25" x14ac:dyDescent="0.2">
      <c r="A35" s="22">
        <f t="shared" si="1"/>
        <v>27</v>
      </c>
      <c r="B35" s="350" t="s">
        <v>68</v>
      </c>
      <c r="C35" s="274"/>
      <c r="D35" s="120"/>
    </row>
    <row r="36" spans="1:5" s="2" customFormat="1" ht="11.25" x14ac:dyDescent="0.2">
      <c r="A36" s="22">
        <f t="shared" si="1"/>
        <v>28</v>
      </c>
      <c r="B36" s="126" t="s">
        <v>15</v>
      </c>
      <c r="C36" s="239">
        <f>[14]Sheet1!$C$21+[14]Sheet1!$C$22</f>
        <v>85464.204403230236</v>
      </c>
      <c r="D36" s="369">
        <f>(C36)/1000</f>
        <v>85.464204403230241</v>
      </c>
    </row>
    <row r="37" spans="1:5" s="2" customFormat="1" ht="11.25" x14ac:dyDescent="0.2">
      <c r="A37" s="22">
        <f t="shared" si="1"/>
        <v>29</v>
      </c>
      <c r="B37" s="126" t="s">
        <v>16</v>
      </c>
      <c r="C37" s="115">
        <f>[14]Sheet1!$B$21+[14]Sheet1!$B$22</f>
        <v>195493962.71163911</v>
      </c>
      <c r="D37" s="369">
        <f>(C37)/1000</f>
        <v>195493.96271163912</v>
      </c>
    </row>
    <row r="38" spans="1:5" s="2" customFormat="1" ht="11.25" x14ac:dyDescent="0.2">
      <c r="A38" s="22">
        <f t="shared" si="1"/>
        <v>30</v>
      </c>
      <c r="B38" s="127" t="s">
        <v>17</v>
      </c>
      <c r="C38" s="116">
        <f>[14]Sheet1!$E$21+[14]Sheet1!$E$22</f>
        <v>103211.61722937418</v>
      </c>
      <c r="D38" s="369">
        <f>(C38)/1000</f>
        <v>103.21161722937418</v>
      </c>
      <c r="E38" s="151" t="s">
        <v>29</v>
      </c>
    </row>
    <row r="39" spans="1:5" s="2" customFormat="1" ht="11.25" x14ac:dyDescent="0.2">
      <c r="A39" s="22">
        <f t="shared" si="1"/>
        <v>31</v>
      </c>
      <c r="B39" s="71" t="s">
        <v>135</v>
      </c>
      <c r="C39" s="274"/>
      <c r="D39" s="120"/>
    </row>
    <row r="40" spans="1:5" s="2" customFormat="1" ht="11.25" x14ac:dyDescent="0.2">
      <c r="A40" s="22">
        <f t="shared" si="1"/>
        <v>32</v>
      </c>
      <c r="B40" s="506" t="s">
        <v>196</v>
      </c>
      <c r="C40" s="239">
        <f>[14]Sheet1!$B$23</f>
        <v>8054840.1999760112</v>
      </c>
      <c r="D40" s="369">
        <f>(C40)/1000</f>
        <v>8054.8401999760108</v>
      </c>
      <c r="E40" s="151"/>
    </row>
    <row r="41" spans="1:5" s="2" customFormat="1" ht="11.25" x14ac:dyDescent="0.2">
      <c r="A41" s="22">
        <f t="shared" si="1"/>
        <v>33</v>
      </c>
      <c r="B41" s="598" t="s">
        <v>197</v>
      </c>
      <c r="C41" s="566">
        <f>[14]Sheet1!$E$24</f>
        <v>24419783.221290603</v>
      </c>
      <c r="D41" s="369">
        <f>(C41)/1000</f>
        <v>24419.783221290603</v>
      </c>
      <c r="E41" s="151"/>
    </row>
    <row r="42" spans="1:5" s="2" customFormat="1" ht="11.25" x14ac:dyDescent="0.2">
      <c r="A42" s="22">
        <f t="shared" si="1"/>
        <v>34</v>
      </c>
      <c r="B42" s="71" t="s">
        <v>139</v>
      </c>
      <c r="C42" s="274"/>
      <c r="D42" s="120"/>
    </row>
    <row r="43" spans="1:5" s="2" customFormat="1" ht="11.25" x14ac:dyDescent="0.2">
      <c r="A43" s="22">
        <f t="shared" si="1"/>
        <v>35</v>
      </c>
      <c r="B43" s="126" t="s">
        <v>16</v>
      </c>
      <c r="C43" s="239">
        <f>[14]Sheet1!$B$25</f>
        <v>705981.03154192457</v>
      </c>
      <c r="D43" s="369">
        <f>(C43)/1000</f>
        <v>705.98103154192461</v>
      </c>
    </row>
    <row r="44" spans="1:5" s="2" customFormat="1" ht="11.25" x14ac:dyDescent="0.2">
      <c r="A44" s="58">
        <f t="shared" si="1"/>
        <v>36</v>
      </c>
      <c r="B44" s="127" t="s">
        <v>17</v>
      </c>
      <c r="C44" s="566">
        <f>[14]Sheet1!$E$25</f>
        <v>7593345.556636435</v>
      </c>
      <c r="D44" s="592">
        <f>(C44)/1000</f>
        <v>7593.3455566364346</v>
      </c>
      <c r="E44" s="151"/>
    </row>
    <row r="45" spans="1:5" x14ac:dyDescent="0.2">
      <c r="C45" s="248"/>
    </row>
    <row r="46" spans="1:5" x14ac:dyDescent="0.2">
      <c r="B46" t="s">
        <v>247</v>
      </c>
      <c r="C46" s="248"/>
    </row>
    <row r="47" spans="1:5" x14ac:dyDescent="0.2">
      <c r="B47" t="s">
        <v>246</v>
      </c>
    </row>
    <row r="48" spans="1:5" x14ac:dyDescent="0.2">
      <c r="B48" t="s">
        <v>245</v>
      </c>
    </row>
    <row r="50" spans="1:6" x14ac:dyDescent="0.2">
      <c r="B50" s="1"/>
    </row>
    <row r="51" spans="1:6" ht="15.75" x14ac:dyDescent="0.25">
      <c r="B51" s="600" t="s">
        <v>583</v>
      </c>
      <c r="C51" s="601"/>
      <c r="D51" s="361"/>
    </row>
    <row r="52" spans="1:6" ht="15" x14ac:dyDescent="0.25">
      <c r="B52" s="602"/>
      <c r="C52" s="601"/>
      <c r="D52" s="361"/>
    </row>
    <row r="53" spans="1:6" s="2" customFormat="1" ht="11.25" x14ac:dyDescent="0.2">
      <c r="A53" s="599"/>
      <c r="B53" s="603"/>
      <c r="C53" s="604" t="s">
        <v>338</v>
      </c>
      <c r="D53" s="605"/>
    </row>
    <row r="54" spans="1:6" s="2" customFormat="1" ht="11.25" x14ac:dyDescent="0.2">
      <c r="A54" s="599"/>
      <c r="B54" s="606" t="s">
        <v>339</v>
      </c>
      <c r="C54" s="607" t="s">
        <v>33</v>
      </c>
      <c r="D54" s="608" t="s">
        <v>463</v>
      </c>
      <c r="E54" s="608" t="s">
        <v>464</v>
      </c>
      <c r="F54" s="609" t="s">
        <v>340</v>
      </c>
    </row>
    <row r="55" spans="1:6" s="2" customFormat="1" ht="11.25" x14ac:dyDescent="0.2">
      <c r="A55" s="599"/>
      <c r="B55" s="608" t="s">
        <v>376</v>
      </c>
      <c r="C55" s="341">
        <f>[14]Sheet1!$B$16</f>
        <v>192848440.13919327</v>
      </c>
      <c r="D55" s="342">
        <f>[14]Sheet1!$C$16</f>
        <v>389170.1925585256</v>
      </c>
      <c r="E55" s="342">
        <f>[14]Sheet1!$E$16</f>
        <v>0</v>
      </c>
      <c r="F55" s="342">
        <f>[14]Sheet1!$F$16</f>
        <v>193237610.33175179</v>
      </c>
    </row>
  </sheetData>
  <printOptions horizontalCentered="1"/>
  <pageMargins left="0.25" right="0.25" top="1" bottom="1" header="0.5" footer="0.5"/>
  <pageSetup scale="80" orientation="portrait" r:id="rId1"/>
  <headerFooter alignWithMargins="0">
    <oddHeader>&amp;RUSPS-FY09-19</oddHeader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EBBB-549A-4D68-A27B-A070D2DA2817}">
  <sheetPr>
    <tabColor rgb="FF92D050"/>
  </sheetPr>
  <dimension ref="A1:H55"/>
  <sheetViews>
    <sheetView workbookViewId="0">
      <selection activeCell="C18" sqref="C18"/>
    </sheetView>
  </sheetViews>
  <sheetFormatPr defaultColWidth="9.140625" defaultRowHeight="12.75" x14ac:dyDescent="0.2"/>
  <cols>
    <col min="1" max="1" width="6.5703125" style="599" customWidth="1"/>
    <col min="2" max="2" width="39.42578125" bestFit="1" customWidth="1"/>
    <col min="3" max="3" width="13.42578125" customWidth="1"/>
    <col min="4" max="4" width="16.140625" style="328" bestFit="1" customWidth="1"/>
    <col min="5" max="5" width="16.140625" style="328" customWidth="1"/>
    <col min="6" max="6" width="14.7109375" customWidth="1"/>
  </cols>
  <sheetData>
    <row r="1" spans="1:8" x14ac:dyDescent="0.2">
      <c r="A1" s="585" t="str">
        <f>Inputs!$C$4</f>
        <v>Unit Delivery Cost Model -  12/16/2025</v>
      </c>
    </row>
    <row r="2" spans="1:8" x14ac:dyDescent="0.2">
      <c r="A2" s="27" t="s">
        <v>103</v>
      </c>
    </row>
    <row r="3" spans="1:8" x14ac:dyDescent="0.2">
      <c r="A3" s="11" t="s">
        <v>576</v>
      </c>
    </row>
    <row r="4" spans="1:8" x14ac:dyDescent="0.2">
      <c r="B4" t="s">
        <v>29</v>
      </c>
      <c r="C4" t="s">
        <v>30</v>
      </c>
    </row>
    <row r="5" spans="1:8" s="587" customFormat="1" ht="22.5" x14ac:dyDescent="0.2">
      <c r="A5" s="586" t="s">
        <v>8</v>
      </c>
      <c r="B5" s="146"/>
      <c r="C5" s="53" t="s">
        <v>27</v>
      </c>
      <c r="D5" s="329" t="s">
        <v>41</v>
      </c>
      <c r="E5" s="36" t="s">
        <v>395</v>
      </c>
    </row>
    <row r="6" spans="1:8" s="587" customFormat="1" ht="11.25" x14ac:dyDescent="0.2">
      <c r="A6" s="588"/>
      <c r="B6" s="610" t="s">
        <v>29</v>
      </c>
      <c r="C6" s="21">
        <v>-1</v>
      </c>
      <c r="D6" s="21">
        <f>+C6-1</f>
        <v>-2</v>
      </c>
      <c r="E6" s="21">
        <f>+D6-1</f>
        <v>-3</v>
      </c>
    </row>
    <row r="7" spans="1:8" s="587" customFormat="1" ht="11.25" x14ac:dyDescent="0.2">
      <c r="A7" s="589"/>
      <c r="B7" s="20"/>
      <c r="C7" s="140"/>
      <c r="D7" s="330"/>
      <c r="E7" s="284"/>
    </row>
    <row r="8" spans="1:8" s="587" customFormat="1" ht="11.25" x14ac:dyDescent="0.2">
      <c r="A8" s="590"/>
      <c r="B8" s="23"/>
      <c r="C8" s="142"/>
      <c r="D8" s="331" t="s">
        <v>419</v>
      </c>
      <c r="E8" s="285"/>
    </row>
    <row r="9" spans="1:8" s="587" customFormat="1" ht="11.25" x14ac:dyDescent="0.2">
      <c r="A9" s="21">
        <v>1</v>
      </c>
      <c r="B9" s="350" t="s">
        <v>7</v>
      </c>
      <c r="C9" s="108"/>
      <c r="D9" s="332"/>
      <c r="E9" s="332"/>
    </row>
    <row r="10" spans="1:8" s="2" customFormat="1" ht="11.25" x14ac:dyDescent="0.2">
      <c r="A10" s="22">
        <f>A9+1</f>
        <v>2</v>
      </c>
      <c r="B10" s="40" t="s">
        <v>63</v>
      </c>
      <c r="C10" s="591">
        <f>[15]Sheet1!$C5</f>
        <v>128202821.39651167</v>
      </c>
      <c r="D10" s="369">
        <f t="shared" ref="D10:D15" si="0">(C10)/1000</f>
        <v>128202.82139651167</v>
      </c>
      <c r="E10" s="369">
        <f>CARMM!D10-CARMMCasing!D10</f>
        <v>38581.941711113104</v>
      </c>
      <c r="H10" s="47"/>
    </row>
    <row r="11" spans="1:8" s="2" customFormat="1" ht="11.25" x14ac:dyDescent="0.2">
      <c r="A11" s="22">
        <f t="shared" ref="A11:A44" si="1">A10+1</f>
        <v>3</v>
      </c>
      <c r="B11" s="40" t="s">
        <v>65</v>
      </c>
      <c r="C11" s="591">
        <f>[15]Sheet1!$C6</f>
        <v>6627622.4540897105</v>
      </c>
      <c r="D11" s="369">
        <f t="shared" si="0"/>
        <v>6627.6224540897101</v>
      </c>
      <c r="E11" s="369">
        <f>CARMM!D11-CARMMCasing!D11</f>
        <v>2736.9130336959852</v>
      </c>
      <c r="H11" s="47"/>
    </row>
    <row r="12" spans="1:8" s="2" customFormat="1" ht="11.25" x14ac:dyDescent="0.2">
      <c r="A12" s="22">
        <f t="shared" si="1"/>
        <v>4</v>
      </c>
      <c r="B12" s="40" t="s">
        <v>64</v>
      </c>
      <c r="C12" s="591">
        <f>[15]Sheet1!$C7</f>
        <v>285096631.88555133</v>
      </c>
      <c r="D12" s="369">
        <f t="shared" si="0"/>
        <v>285096.63188555132</v>
      </c>
      <c r="E12" s="369">
        <f>CARMM!D12-CARMMCasing!D12</f>
        <v>76833.183326407394</v>
      </c>
      <c r="H12" s="47"/>
    </row>
    <row r="13" spans="1:8" s="2" customFormat="1" ht="11.25" x14ac:dyDescent="0.2">
      <c r="A13" s="22">
        <f t="shared" si="1"/>
        <v>5</v>
      </c>
      <c r="B13" s="40" t="s">
        <v>66</v>
      </c>
      <c r="C13" s="591">
        <f>[15]Sheet1!$C8</f>
        <v>20746004.309347477</v>
      </c>
      <c r="D13" s="369">
        <f t="shared" si="0"/>
        <v>20746.004309347478</v>
      </c>
      <c r="E13" s="369">
        <f>CARMM!D13-CARMMCasing!D13</f>
        <v>6184.4372609978454</v>
      </c>
      <c r="H13" s="47"/>
    </row>
    <row r="14" spans="1:8" s="2" customFormat="1" ht="11.25" x14ac:dyDescent="0.2">
      <c r="A14" s="22">
        <f t="shared" si="1"/>
        <v>6</v>
      </c>
      <c r="B14" s="40" t="s">
        <v>189</v>
      </c>
      <c r="C14" s="591">
        <f>[15]Sheet1!$B9</f>
        <v>50210997.987894066</v>
      </c>
      <c r="D14" s="369">
        <f t="shared" si="0"/>
        <v>50210.997987894065</v>
      </c>
      <c r="E14" s="369">
        <f>CARMM!D14-CARMMCasing!D14</f>
        <v>13557.657979548065</v>
      </c>
      <c r="H14" s="47"/>
    </row>
    <row r="15" spans="1:8" s="2" customFormat="1" ht="11.25" x14ac:dyDescent="0.2">
      <c r="A15" s="58">
        <f t="shared" si="1"/>
        <v>7</v>
      </c>
      <c r="B15" s="592" t="s">
        <v>190</v>
      </c>
      <c r="C15" s="591">
        <f>[15]Sheet1!$B10</f>
        <v>57186656.586226776</v>
      </c>
      <c r="D15" s="369">
        <f t="shared" si="0"/>
        <v>57186.656586226774</v>
      </c>
      <c r="E15" s="369">
        <f>CARMM!D15-CARMMCasing!D15</f>
        <v>9430.6527040258807</v>
      </c>
    </row>
    <row r="16" spans="1:8" s="2" customFormat="1" ht="11.25" x14ac:dyDescent="0.2">
      <c r="A16" s="22">
        <f>A15+1</f>
        <v>8</v>
      </c>
      <c r="B16" s="150" t="s">
        <v>357</v>
      </c>
      <c r="C16" s="274"/>
      <c r="D16" s="120"/>
      <c r="E16" s="120"/>
    </row>
    <row r="17" spans="1:8" s="2" customFormat="1" ht="11.25" x14ac:dyDescent="0.2">
      <c r="A17" s="22">
        <f t="shared" si="1"/>
        <v>9</v>
      </c>
      <c r="B17" s="40" t="s">
        <v>191</v>
      </c>
      <c r="C17" s="369">
        <f>C18+C19</f>
        <v>42319162.2050879</v>
      </c>
      <c r="D17" s="369">
        <f>(C17)/1000</f>
        <v>42319.162205087901</v>
      </c>
      <c r="E17" s="369">
        <f>CARMM!D17-CARMMCasing!D17</f>
        <v>12880.200936523732</v>
      </c>
      <c r="F17" s="2" t="s">
        <v>29</v>
      </c>
    </row>
    <row r="18" spans="1:8" s="2" customFormat="1" ht="11.25" x14ac:dyDescent="0.2">
      <c r="A18" s="22">
        <f t="shared" si="1"/>
        <v>10</v>
      </c>
      <c r="B18" s="403" t="s">
        <v>242</v>
      </c>
      <c r="C18" s="369">
        <f>[15]Sheet1!$C$11</f>
        <v>25524362.82345501</v>
      </c>
      <c r="D18" s="369">
        <f t="shared" ref="D18:D30" si="2">(C18)/1000</f>
        <v>25524.362823455009</v>
      </c>
      <c r="E18" s="369">
        <f>CARMM!D18-CARMMCasing!D18</f>
        <v>8302.6931407270713</v>
      </c>
    </row>
    <row r="19" spans="1:8" s="2" customFormat="1" ht="11.25" x14ac:dyDescent="0.2">
      <c r="A19" s="22">
        <f t="shared" si="1"/>
        <v>11</v>
      </c>
      <c r="B19" s="403" t="s">
        <v>441</v>
      </c>
      <c r="C19" s="369">
        <f>[15]Sheet1!$C$12</f>
        <v>16794799.381632887</v>
      </c>
      <c r="D19" s="369">
        <f t="shared" si="2"/>
        <v>16794.799381632885</v>
      </c>
      <c r="E19" s="369">
        <f>CARMM!D19-CARMMCasing!D19</f>
        <v>4577.5077957966714</v>
      </c>
      <c r="F19" s="47"/>
      <c r="G19" s="47"/>
    </row>
    <row r="20" spans="1:8" s="2" customFormat="1" ht="11.25" x14ac:dyDescent="0.2">
      <c r="A20" s="22">
        <f t="shared" si="1"/>
        <v>12</v>
      </c>
      <c r="B20" s="40" t="s">
        <v>192</v>
      </c>
      <c r="C20" s="275">
        <f>C21+C24+C25+C29+C28+C29</f>
        <v>61326898.827979401</v>
      </c>
      <c r="D20" s="369">
        <f t="shared" si="2"/>
        <v>61326.898827979399</v>
      </c>
      <c r="E20" s="369">
        <f>CARMM!D20-CARMMCasing!D20</f>
        <v>9149.4291391621955</v>
      </c>
      <c r="F20" s="47"/>
      <c r="G20" s="47"/>
    </row>
    <row r="21" spans="1:8" s="2" customFormat="1" ht="11.25" x14ac:dyDescent="0.2">
      <c r="A21" s="22">
        <f t="shared" si="1"/>
        <v>13</v>
      </c>
      <c r="B21" s="579" t="s">
        <v>243</v>
      </c>
      <c r="C21" s="275">
        <f>(C23+C22)</f>
        <v>39792276.082923844</v>
      </c>
      <c r="D21" s="369">
        <f t="shared" si="2"/>
        <v>39792.276082923847</v>
      </c>
      <c r="E21" s="369">
        <f>CARMM!D21-CARMMCasing!D21</f>
        <v>5622.2774519335144</v>
      </c>
      <c r="F21" s="47"/>
      <c r="G21" s="47"/>
      <c r="H21" s="47"/>
    </row>
    <row r="22" spans="1:8" s="2" customFormat="1" ht="11.25" x14ac:dyDescent="0.2">
      <c r="A22" s="22">
        <f t="shared" si="1"/>
        <v>14</v>
      </c>
      <c r="B22" s="595" t="s">
        <v>442</v>
      </c>
      <c r="C22" s="275"/>
      <c r="D22" s="369">
        <f t="shared" si="2"/>
        <v>0</v>
      </c>
      <c r="E22" s="369">
        <f>CARMM!D22-CARMMCasing!D22</f>
        <v>0</v>
      </c>
      <c r="F22" s="47" t="s">
        <v>29</v>
      </c>
      <c r="G22" s="47" t="s">
        <v>29</v>
      </c>
      <c r="H22" s="47"/>
    </row>
    <row r="23" spans="1:8" s="2" customFormat="1" ht="11.25" x14ac:dyDescent="0.2">
      <c r="A23" s="22">
        <f t="shared" si="1"/>
        <v>15</v>
      </c>
      <c r="B23" s="595" t="s">
        <v>443</v>
      </c>
      <c r="C23" s="369">
        <f>[15]Sheet1!$B$13</f>
        <v>39792276.082923844</v>
      </c>
      <c r="D23" s="369">
        <f t="shared" si="2"/>
        <v>39792.276082923847</v>
      </c>
      <c r="E23" s="369">
        <f>CARMM!D23-CARMMCasing!D23</f>
        <v>5622.2774519335144</v>
      </c>
      <c r="F23" s="47" t="s">
        <v>444</v>
      </c>
      <c r="G23" s="47" t="s">
        <v>29</v>
      </c>
      <c r="H23" s="47"/>
    </row>
    <row r="24" spans="1:8" s="2" customFormat="1" ht="11.25" x14ac:dyDescent="0.2">
      <c r="A24" s="22">
        <f t="shared" si="1"/>
        <v>16</v>
      </c>
      <c r="B24" s="579" t="s">
        <v>244</v>
      </c>
      <c r="C24" s="275">
        <f>[15]Sheet1!$E$13</f>
        <v>0</v>
      </c>
      <c r="D24" s="369">
        <f t="shared" si="2"/>
        <v>0</v>
      </c>
      <c r="E24" s="369">
        <f>CARMM!D24-CARMMCasing!D24</f>
        <v>0</v>
      </c>
      <c r="F24" s="47"/>
      <c r="G24" s="47"/>
      <c r="H24" s="47"/>
    </row>
    <row r="25" spans="1:8" s="2" customFormat="1" ht="11.25" x14ac:dyDescent="0.2">
      <c r="A25" s="22">
        <f t="shared" si="1"/>
        <v>17</v>
      </c>
      <c r="B25" s="579" t="s">
        <v>445</v>
      </c>
      <c r="C25" s="275">
        <f>(C26+C27)</f>
        <v>21534622.74505556</v>
      </c>
      <c r="D25" s="369">
        <f t="shared" si="2"/>
        <v>21534.62274505556</v>
      </c>
      <c r="E25" s="369">
        <f>CARMM!D25-CARMMCasing!D25</f>
        <v>3527.1516872286848</v>
      </c>
      <c r="F25" s="47" t="s">
        <v>29</v>
      </c>
      <c r="G25" s="47"/>
      <c r="H25" s="47"/>
    </row>
    <row r="26" spans="1:8" s="2" customFormat="1" ht="11.25" x14ac:dyDescent="0.2">
      <c r="A26" s="22">
        <f t="shared" si="1"/>
        <v>18</v>
      </c>
      <c r="B26" s="595" t="s">
        <v>446</v>
      </c>
      <c r="C26" s="369">
        <f>[15]Sheet1!$B$14</f>
        <v>164451.8436703778</v>
      </c>
      <c r="D26" s="369">
        <f t="shared" si="2"/>
        <v>164.4518436703778</v>
      </c>
      <c r="E26" s="369">
        <f>CARMM!D26-CARMMCasing!D26</f>
        <v>18.346271142498182</v>
      </c>
      <c r="F26" s="47"/>
      <c r="G26" s="47"/>
      <c r="H26" s="47"/>
    </row>
    <row r="27" spans="1:8" s="2" customFormat="1" ht="11.25" x14ac:dyDescent="0.2">
      <c r="A27" s="22">
        <f t="shared" si="1"/>
        <v>19</v>
      </c>
      <c r="B27" s="595" t="s">
        <v>447</v>
      </c>
      <c r="C27" s="456">
        <f>[15]Sheet1!$F15+[15]Sheet1!$F$17+C28-C30</f>
        <v>21370170.901385181</v>
      </c>
      <c r="D27" s="369">
        <f t="shared" si="2"/>
        <v>21370.17090138518</v>
      </c>
      <c r="E27" s="369">
        <f>CARMM!D27-CARMMCasing!D27</f>
        <v>3508.8054160861866</v>
      </c>
      <c r="F27" s="47" t="s">
        <v>448</v>
      </c>
      <c r="G27" s="47"/>
      <c r="H27" s="47"/>
    </row>
    <row r="28" spans="1:8" s="2" customFormat="1" ht="11.25" x14ac:dyDescent="0.2">
      <c r="A28" s="22">
        <f t="shared" si="1"/>
        <v>20</v>
      </c>
      <c r="B28" s="579" t="s">
        <v>449</v>
      </c>
      <c r="C28" s="275"/>
      <c r="D28" s="369">
        <f t="shared" si="2"/>
        <v>0</v>
      </c>
      <c r="E28" s="369">
        <f>CARMM!D28-CARMMCasing!D28</f>
        <v>0</v>
      </c>
      <c r="F28" s="47"/>
      <c r="G28" s="47"/>
      <c r="H28" s="47"/>
    </row>
    <row r="29" spans="1:8" s="2" customFormat="1" ht="11.25" x14ac:dyDescent="0.2">
      <c r="A29" s="22">
        <f>A30+1</f>
        <v>22</v>
      </c>
      <c r="B29" s="596" t="s">
        <v>450</v>
      </c>
      <c r="C29" s="275">
        <f>[15]Sheet1!$E$17</f>
        <v>0</v>
      </c>
      <c r="D29" s="369">
        <f t="shared" si="2"/>
        <v>0</v>
      </c>
      <c r="E29" s="369">
        <f>CARMM!D29-CARMMCasing!D29</f>
        <v>0</v>
      </c>
      <c r="F29" s="47"/>
      <c r="G29" s="47"/>
      <c r="H29" s="47"/>
    </row>
    <row r="30" spans="1:8" s="2" customFormat="1" ht="11.25" x14ac:dyDescent="0.2">
      <c r="A30" s="22">
        <f>A28+1</f>
        <v>21</v>
      </c>
      <c r="B30" s="611" t="s">
        <v>293</v>
      </c>
      <c r="C30" s="591">
        <f>'[2]6.0.2.1'!$F$21*1000*[15]Sheet1!F17/[14]Sheet1!$F17</f>
        <v>3687793.4468462458</v>
      </c>
      <c r="D30" s="369">
        <f t="shared" si="2"/>
        <v>3687.7934468462458</v>
      </c>
      <c r="E30" s="369">
        <f>CARMM!D30-CARMMCasing!D30</f>
        <v>1319.7381989381124</v>
      </c>
      <c r="F30" s="47" t="s">
        <v>309</v>
      </c>
      <c r="G30" s="47"/>
      <c r="H30" s="47"/>
    </row>
    <row r="31" spans="1:8" s="2" customFormat="1" ht="11.25" x14ac:dyDescent="0.2">
      <c r="A31" s="22">
        <f>A29+1</f>
        <v>23</v>
      </c>
      <c r="B31" s="150" t="s">
        <v>416</v>
      </c>
      <c r="C31" s="274"/>
      <c r="D31" s="120"/>
      <c r="E31" s="452"/>
      <c r="H31" s="47"/>
    </row>
    <row r="32" spans="1:8" s="2" customFormat="1" ht="11.25" x14ac:dyDescent="0.2">
      <c r="A32" s="22">
        <f t="shared" si="1"/>
        <v>24</v>
      </c>
      <c r="B32" s="40" t="s">
        <v>194</v>
      </c>
      <c r="C32" s="591">
        <f>[15]Sheet1!$C$18</f>
        <v>381568133.39349383</v>
      </c>
      <c r="D32" s="369">
        <f>(C32)/1000</f>
        <v>381568.13339349383</v>
      </c>
      <c r="E32" s="369">
        <f>CARMM!D32-CARMMCasing!D32</f>
        <v>95135.792295122636</v>
      </c>
      <c r="H32" s="47"/>
    </row>
    <row r="33" spans="1:8" s="2" customFormat="1" ht="11.25" x14ac:dyDescent="0.2">
      <c r="A33" s="22">
        <f t="shared" si="1"/>
        <v>25</v>
      </c>
      <c r="B33" s="40" t="s">
        <v>195</v>
      </c>
      <c r="C33" s="591">
        <f>[15]Sheet1!$B$19</f>
        <v>189274666.59465635</v>
      </c>
      <c r="D33" s="369">
        <f>(C33)/1000</f>
        <v>189274.66659465636</v>
      </c>
      <c r="E33" s="369">
        <f>CARMM!D33-CARMMCasing!D33</f>
        <v>35989.06534764485</v>
      </c>
      <c r="H33" s="47"/>
    </row>
    <row r="34" spans="1:8" s="2" customFormat="1" ht="11.25" x14ac:dyDescent="0.2">
      <c r="A34" s="22">
        <f t="shared" si="1"/>
        <v>26</v>
      </c>
      <c r="B34" s="40" t="s">
        <v>260</v>
      </c>
      <c r="C34" s="591">
        <f>[15]Sheet1!$E$20</f>
        <v>949659.28904047923</v>
      </c>
      <c r="D34" s="369">
        <f>(C34)/1000</f>
        <v>949.65928904047928</v>
      </c>
      <c r="E34" s="369">
        <f>CARMM!D34-CARMMCasing!D34</f>
        <v>533.25455029726118</v>
      </c>
      <c r="H34" s="47"/>
    </row>
    <row r="35" spans="1:8" s="2" customFormat="1" ht="11.25" x14ac:dyDescent="0.2">
      <c r="A35" s="22">
        <f t="shared" si="1"/>
        <v>27</v>
      </c>
      <c r="B35" s="350" t="s">
        <v>68</v>
      </c>
      <c r="C35" s="274"/>
      <c r="D35" s="120"/>
      <c r="E35" s="452"/>
      <c r="G35" s="193"/>
      <c r="H35" s="47"/>
    </row>
    <row r="36" spans="1:8" s="2" customFormat="1" ht="11.25" x14ac:dyDescent="0.2">
      <c r="A36" s="22">
        <f t="shared" si="1"/>
        <v>28</v>
      </c>
      <c r="B36" s="126" t="s">
        <v>15</v>
      </c>
      <c r="C36" s="239">
        <f>[15]Sheet1!$C$21+[15]Sheet1!$C$22</f>
        <v>76480.84947995127</v>
      </c>
      <c r="D36" s="40">
        <f>(C36)/1000</f>
        <v>76.480849479951274</v>
      </c>
      <c r="E36" s="40">
        <f>CARMM!D36-CARMMCasing!D36</f>
        <v>8.9833549232789665</v>
      </c>
      <c r="F36" s="2" t="s">
        <v>29</v>
      </c>
      <c r="G36" s="47"/>
      <c r="H36" s="47"/>
    </row>
    <row r="37" spans="1:8" s="2" customFormat="1" ht="11.25" x14ac:dyDescent="0.2">
      <c r="A37" s="22">
        <f t="shared" si="1"/>
        <v>29</v>
      </c>
      <c r="B37" s="126" t="s">
        <v>16</v>
      </c>
      <c r="C37" s="239">
        <f>[15]Sheet1!$B$21+[15]Sheet1!$B$22</f>
        <v>168217030.74177122</v>
      </c>
      <c r="D37" s="40">
        <f>(C37)/1000</f>
        <v>168217.03074177122</v>
      </c>
      <c r="E37" s="40">
        <f>CARMM!D37-CARMMCasing!D37</f>
        <v>27276.931969867903</v>
      </c>
      <c r="F37" s="151" t="s">
        <v>29</v>
      </c>
      <c r="H37" s="47"/>
    </row>
    <row r="38" spans="1:8" s="2" customFormat="1" ht="11.25" x14ac:dyDescent="0.2">
      <c r="A38" s="22">
        <f t="shared" si="1"/>
        <v>30</v>
      </c>
      <c r="B38" s="127" t="s">
        <v>17</v>
      </c>
      <c r="C38" s="116">
        <f>[15]Sheet1!$E$21+[15]Sheet1!$E$22</f>
        <v>0</v>
      </c>
      <c r="D38" s="40">
        <f>(C38)/1000</f>
        <v>0</v>
      </c>
      <c r="E38" s="40">
        <f>CARMM!D38-CARMMCasing!D38</f>
        <v>103.21161722937418</v>
      </c>
      <c r="F38" s="151"/>
      <c r="H38" s="47"/>
    </row>
    <row r="39" spans="1:8" s="2" customFormat="1" ht="11.25" x14ac:dyDescent="0.2">
      <c r="A39" s="22">
        <f t="shared" si="1"/>
        <v>31</v>
      </c>
      <c r="B39" s="71" t="s">
        <v>135</v>
      </c>
      <c r="C39" s="274" t="s">
        <v>29</v>
      </c>
      <c r="D39" s="120"/>
      <c r="E39" s="120"/>
      <c r="H39" s="47"/>
    </row>
    <row r="40" spans="1:8" s="2" customFormat="1" ht="11.25" x14ac:dyDescent="0.2">
      <c r="A40" s="22">
        <f t="shared" si="1"/>
        <v>32</v>
      </c>
      <c r="B40" s="506" t="s">
        <v>196</v>
      </c>
      <c r="C40" s="239">
        <f>[15]Sheet1!$B$23</f>
        <v>7135061.0954011641</v>
      </c>
      <c r="D40" s="40">
        <f>(C40)/1000</f>
        <v>7135.0610954011645</v>
      </c>
      <c r="E40" s="40">
        <f>CARMM!D40-CARMMCasing!D40</f>
        <v>919.77910457484631</v>
      </c>
      <c r="F40" s="151"/>
      <c r="H40" s="47"/>
    </row>
    <row r="41" spans="1:8" s="2" customFormat="1" ht="11.25" x14ac:dyDescent="0.2">
      <c r="A41" s="22">
        <f t="shared" si="1"/>
        <v>33</v>
      </c>
      <c r="B41" s="598" t="s">
        <v>197</v>
      </c>
      <c r="C41" s="566">
        <f>[15]Sheet1!$E$24</f>
        <v>14198229.008894233</v>
      </c>
      <c r="D41" s="40">
        <f>(C41)/1000</f>
        <v>14198.229008894234</v>
      </c>
      <c r="E41" s="40">
        <f>CARMM!D41-CARMMCasing!D41</f>
        <v>10221.55421239637</v>
      </c>
      <c r="F41" s="151"/>
      <c r="H41" s="47"/>
    </row>
    <row r="42" spans="1:8" s="2" customFormat="1" ht="11.25" x14ac:dyDescent="0.2">
      <c r="A42" s="22">
        <f t="shared" si="1"/>
        <v>34</v>
      </c>
      <c r="B42" s="71" t="s">
        <v>139</v>
      </c>
      <c r="C42" s="274" t="s">
        <v>29</v>
      </c>
      <c r="D42" s="120"/>
      <c r="E42" s="120"/>
      <c r="H42" s="47"/>
    </row>
    <row r="43" spans="1:8" s="2" customFormat="1" ht="11.25" x14ac:dyDescent="0.2">
      <c r="A43" s="22">
        <f t="shared" si="1"/>
        <v>35</v>
      </c>
      <c r="B43" s="126" t="s">
        <v>16</v>
      </c>
      <c r="C43" s="239">
        <f>[15]Sheet1!$B$25</f>
        <v>487017.63999265671</v>
      </c>
      <c r="D43" s="40">
        <f>(C43)/1000</f>
        <v>487.01763999265671</v>
      </c>
      <c r="E43" s="40">
        <f>CARMM!D43-CARMMCasing!D43</f>
        <v>218.9633915492679</v>
      </c>
      <c r="H43" s="47"/>
    </row>
    <row r="44" spans="1:8" s="2" customFormat="1" ht="11.25" x14ac:dyDescent="0.2">
      <c r="A44" s="22">
        <f t="shared" si="1"/>
        <v>36</v>
      </c>
      <c r="B44" s="127" t="s">
        <v>17</v>
      </c>
      <c r="C44" s="566">
        <f>[15]Sheet1!$E$25</f>
        <v>3749296.7717901003</v>
      </c>
      <c r="D44" s="41">
        <f>(C44)/1000</f>
        <v>3749.2967717901001</v>
      </c>
      <c r="E44" s="41">
        <f>CARMM!D44-CARMMCasing!D44</f>
        <v>3844.0487848463345</v>
      </c>
      <c r="F44" s="151"/>
      <c r="H44" s="47"/>
    </row>
    <row r="46" spans="1:8" x14ac:dyDescent="0.2">
      <c r="B46" t="s">
        <v>247</v>
      </c>
      <c r="C46" s="248"/>
    </row>
    <row r="47" spans="1:8" x14ac:dyDescent="0.2">
      <c r="B47" t="s">
        <v>246</v>
      </c>
    </row>
    <row r="48" spans="1:8" x14ac:dyDescent="0.2">
      <c r="B48" t="s">
        <v>282</v>
      </c>
      <c r="C48" t="s">
        <v>29</v>
      </c>
    </row>
    <row r="49" spans="1:8" x14ac:dyDescent="0.2">
      <c r="C49" t="s">
        <v>29</v>
      </c>
    </row>
    <row r="50" spans="1:8" x14ac:dyDescent="0.2">
      <c r="B50" s="1"/>
    </row>
    <row r="51" spans="1:8" ht="15.75" x14ac:dyDescent="0.25">
      <c r="B51" s="600" t="s">
        <v>577</v>
      </c>
      <c r="C51" s="601"/>
      <c r="D51" s="612"/>
      <c r="E51" s="612"/>
    </row>
    <row r="52" spans="1:8" ht="15" x14ac:dyDescent="0.25">
      <c r="B52" s="602"/>
      <c r="C52" s="601"/>
      <c r="D52" s="612"/>
      <c r="E52" s="612"/>
    </row>
    <row r="53" spans="1:8" s="2" customFormat="1" ht="11.25" x14ac:dyDescent="0.2">
      <c r="A53" s="599"/>
      <c r="B53" s="603"/>
      <c r="C53" s="604" t="s">
        <v>338</v>
      </c>
      <c r="D53" s="613"/>
      <c r="E53" s="614"/>
    </row>
    <row r="54" spans="1:8" s="2" customFormat="1" ht="11.25" x14ac:dyDescent="0.2">
      <c r="A54" s="599"/>
      <c r="B54" s="606" t="s">
        <v>339</v>
      </c>
      <c r="C54" s="607" t="s">
        <v>33</v>
      </c>
      <c r="D54" s="608" t="s">
        <v>463</v>
      </c>
      <c r="E54" s="615" t="s">
        <v>464</v>
      </c>
      <c r="F54" s="615" t="s">
        <v>340</v>
      </c>
    </row>
    <row r="55" spans="1:8" s="2" customFormat="1" ht="11.25" x14ac:dyDescent="0.2">
      <c r="A55" s="616"/>
      <c r="B55" s="617" t="s">
        <v>376</v>
      </c>
      <c r="C55" s="618">
        <f>[15]Sheet1!$B$16</f>
        <v>168248261.49185854</v>
      </c>
      <c r="D55" s="342">
        <f>[15]Sheet1!$C$16</f>
        <v>304584.71944428456</v>
      </c>
      <c r="E55" s="342">
        <f>[15]Sheet1!$E$16</f>
        <v>0</v>
      </c>
      <c r="F55" s="618">
        <f>[15]Sheet1!$F$16</f>
        <v>168552846.21130282</v>
      </c>
      <c r="H55" s="47"/>
    </row>
  </sheetData>
  <printOptions horizontalCentered="1" verticalCentered="1"/>
  <pageMargins left="0.5" right="0.5" top="0.5" bottom="0.25" header="0" footer="0"/>
  <pageSetup scale="75" orientation="portrait" r:id="rId1"/>
  <headerFooter alignWithMargins="0">
    <oddHeader>&amp;RUSPS-FY09-19</oddHeader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7">
    <tabColor rgb="FF92D050"/>
  </sheetPr>
  <dimension ref="A1:K23"/>
  <sheetViews>
    <sheetView topLeftCell="B1" zoomScaleNormal="100" workbookViewId="0">
      <selection activeCell="C11" sqref="C11"/>
    </sheetView>
  </sheetViews>
  <sheetFormatPr defaultRowHeight="12.75" x14ac:dyDescent="0.2"/>
  <cols>
    <col min="1" max="1" width="3.140625" customWidth="1"/>
    <col min="2" max="2" width="24.42578125" bestFit="1" customWidth="1"/>
    <col min="3" max="3" width="14.42578125" customWidth="1"/>
    <col min="4" max="5" width="11.42578125" customWidth="1"/>
    <col min="6" max="7" width="11.140625" customWidth="1"/>
    <col min="8" max="9" width="9.85546875" bestFit="1" customWidth="1"/>
    <col min="11" max="11" width="9.85546875" bestFit="1" customWidth="1"/>
  </cols>
  <sheetData>
    <row r="1" spans="1:11" x14ac:dyDescent="0.2">
      <c r="A1" s="1" t="str">
        <f>Inputs!$C$4</f>
        <v>Unit Delivery Cost Model -  12/16/2025</v>
      </c>
    </row>
    <row r="2" spans="1:11" x14ac:dyDescent="0.2">
      <c r="A2" s="11" t="s">
        <v>286</v>
      </c>
    </row>
    <row r="3" spans="1:11" x14ac:dyDescent="0.2">
      <c r="A3" s="11"/>
    </row>
    <row r="6" spans="1:11" ht="56.25" x14ac:dyDescent="0.2">
      <c r="A6" s="52" t="s">
        <v>8</v>
      </c>
      <c r="B6" s="34"/>
      <c r="C6" s="52" t="s">
        <v>287</v>
      </c>
      <c r="D6" s="52" t="s">
        <v>302</v>
      </c>
      <c r="E6" s="52" t="s">
        <v>303</v>
      </c>
      <c r="F6" s="52" t="s">
        <v>155</v>
      </c>
      <c r="G6" s="52" t="s">
        <v>394</v>
      </c>
      <c r="H6" s="52" t="s">
        <v>304</v>
      </c>
      <c r="I6" s="52" t="s">
        <v>310</v>
      </c>
      <c r="J6" s="52" t="s">
        <v>305</v>
      </c>
      <c r="K6" s="52" t="s">
        <v>311</v>
      </c>
    </row>
    <row r="7" spans="1:11" x14ac:dyDescent="0.2">
      <c r="A7" s="14"/>
      <c r="B7" s="69" t="s">
        <v>43</v>
      </c>
      <c r="C7" s="76">
        <v>-1</v>
      </c>
      <c r="D7" s="76">
        <f>C7-1</f>
        <v>-2</v>
      </c>
      <c r="E7" s="76">
        <f>D7-1</f>
        <v>-3</v>
      </c>
      <c r="F7" s="76">
        <f>E7-1</f>
        <v>-4</v>
      </c>
      <c r="G7" s="76">
        <f>F7-1</f>
        <v>-5</v>
      </c>
      <c r="H7" s="76">
        <f>G7-1</f>
        <v>-6</v>
      </c>
      <c r="I7" s="76">
        <f t="shared" ref="I7:K7" si="0">H7-1</f>
        <v>-7</v>
      </c>
      <c r="J7" s="76">
        <f t="shared" si="0"/>
        <v>-8</v>
      </c>
      <c r="K7" s="76">
        <f t="shared" si="0"/>
        <v>-9</v>
      </c>
    </row>
    <row r="8" spans="1:11" x14ac:dyDescent="0.2">
      <c r="A8" s="14"/>
      <c r="B8" s="69" t="s">
        <v>44</v>
      </c>
      <c r="C8" s="76"/>
      <c r="D8" s="76"/>
      <c r="E8" s="76"/>
      <c r="F8" s="76"/>
      <c r="G8" s="76"/>
      <c r="H8" s="76"/>
      <c r="I8" s="76"/>
      <c r="J8" s="76"/>
      <c r="K8" s="76"/>
    </row>
    <row r="9" spans="1:11" x14ac:dyDescent="0.2">
      <c r="A9" s="14"/>
      <c r="B9" s="124" t="s">
        <v>88</v>
      </c>
      <c r="C9" s="68"/>
      <c r="D9" s="68"/>
      <c r="E9" s="68"/>
      <c r="F9" s="68"/>
      <c r="G9" s="68"/>
      <c r="H9" s="68"/>
      <c r="I9" s="68"/>
      <c r="J9" s="68"/>
      <c r="K9" s="68"/>
    </row>
    <row r="10" spans="1:11" x14ac:dyDescent="0.2">
      <c r="A10" s="148">
        <v>1</v>
      </c>
      <c r="B10" s="125" t="s">
        <v>306</v>
      </c>
      <c r="C10" s="120">
        <v>0</v>
      </c>
      <c r="D10" s="120">
        <f>[16]Sheet1!D4</f>
        <v>73385422.094188452</v>
      </c>
      <c r="E10" s="120">
        <f>[17]Sheet1!D4</f>
        <v>57740256.682918727</v>
      </c>
      <c r="F10" s="120">
        <f>'[13]5-Page Stamped'!M18+'[13]5-Page POS_RSS'!M18</f>
        <v>5472313.7748334734</v>
      </c>
      <c r="G10" s="384">
        <f>F10/F$13</f>
        <v>0.58386935601884948</v>
      </c>
      <c r="H10" s="120">
        <f>[18]All!C14</f>
        <v>2095609.822080923</v>
      </c>
      <c r="I10" s="384">
        <f>H10/H$13</f>
        <v>0.46266546471947928</v>
      </c>
      <c r="J10" s="120">
        <f>[19]All!C13</f>
        <v>1460139.648117838</v>
      </c>
      <c r="K10" s="298">
        <f>J10/J$13</f>
        <v>0.52006887110057531</v>
      </c>
    </row>
    <row r="11" spans="1:11" x14ac:dyDescent="0.2">
      <c r="A11" s="67">
        <v>2</v>
      </c>
      <c r="B11" s="3" t="s">
        <v>307</v>
      </c>
      <c r="C11" s="40">
        <f>[20]Sheet1!$E$5</f>
        <v>1230921</v>
      </c>
      <c r="D11" s="40">
        <f>[16]Sheet1!D5</f>
        <v>93079135.175785348</v>
      </c>
      <c r="E11" s="40">
        <f>[17]Sheet1!D5</f>
        <v>70175814.826454729</v>
      </c>
      <c r="F11" s="40">
        <f>'[13]5-Page Metered_Online'!M18+'[13]5-Page PERMIT'!M18</f>
        <v>3891319.5774857318</v>
      </c>
      <c r="G11" s="320">
        <f>F11/F$13</f>
        <v>0.41518493808211415</v>
      </c>
      <c r="H11" s="40">
        <f>[18]All!C15</f>
        <v>2424524.2219972336</v>
      </c>
      <c r="I11" s="320">
        <f>H11/H$13</f>
        <v>0.535282672410889</v>
      </c>
      <c r="J11" s="40">
        <f>[19]All!C14</f>
        <v>1342023.8760732161</v>
      </c>
      <c r="K11" s="299">
        <f>J11/J$13</f>
        <v>0.47799869219296032</v>
      </c>
    </row>
    <row r="12" spans="1:11" x14ac:dyDescent="0.2">
      <c r="A12" s="68">
        <v>3</v>
      </c>
      <c r="B12" s="4" t="s">
        <v>308</v>
      </c>
      <c r="C12" s="41">
        <v>0</v>
      </c>
      <c r="D12" s="41">
        <f>[16]Sheet1!D6</f>
        <v>320205.83765098627</v>
      </c>
      <c r="E12" s="41">
        <f>[17]Sheet1!D6</f>
        <v>286749.88713821757</v>
      </c>
      <c r="F12" s="41">
        <f>'[13]5-Page Other'!M18</f>
        <v>8863.6256807955469</v>
      </c>
      <c r="G12" s="360">
        <f>F12/F$13</f>
        <v>9.4570589903641229E-4</v>
      </c>
      <c r="H12" s="41">
        <f>[18]All!C16</f>
        <v>9293.7647415947977</v>
      </c>
      <c r="I12" s="360">
        <f>H12/H$13</f>
        <v>2.0518628696317618E-3</v>
      </c>
      <c r="J12" s="41">
        <f>[19]All!C15</f>
        <v>5425.4880639476714</v>
      </c>
      <c r="K12" s="300">
        <f>J12/J$13</f>
        <v>1.932436706464392E-3</v>
      </c>
    </row>
    <row r="13" spans="1:11" x14ac:dyDescent="0.2">
      <c r="B13" s="3" t="s">
        <v>18</v>
      </c>
      <c r="C13" s="41">
        <f>SUM(C10:C12)</f>
        <v>1230921</v>
      </c>
      <c r="D13" s="41">
        <f>SUM(D10:D12)</f>
        <v>166784763.1076248</v>
      </c>
      <c r="E13" s="41">
        <f>SUM(E10:E12)</f>
        <v>128202821.39651167</v>
      </c>
      <c r="F13" s="41">
        <f>SUM(F10:F12)</f>
        <v>9372496.9780000001</v>
      </c>
      <c r="G13" s="360">
        <f>F13/F$13</f>
        <v>1</v>
      </c>
      <c r="H13" s="41">
        <f>SUM(H10:H12)</f>
        <v>4529427.8088197513</v>
      </c>
      <c r="I13" s="368">
        <f>H13/H$13</f>
        <v>1</v>
      </c>
      <c r="J13" s="156">
        <f>SUM(J10:J12)</f>
        <v>2807589.0122550018</v>
      </c>
      <c r="K13" s="300">
        <f>J13/J$13</f>
        <v>1</v>
      </c>
    </row>
    <row r="14" spans="1:11" ht="11.1" customHeight="1" x14ac:dyDescent="0.2">
      <c r="B14" s="2"/>
      <c r="C14" s="302"/>
      <c r="D14" s="302"/>
      <c r="E14" s="302"/>
      <c r="F14" s="302"/>
      <c r="G14" s="302"/>
      <c r="H14" s="302"/>
      <c r="I14" s="302"/>
      <c r="J14" s="287"/>
      <c r="K14" s="287"/>
    </row>
    <row r="15" spans="1:11" x14ac:dyDescent="0.2">
      <c r="C15" t="s">
        <v>346</v>
      </c>
      <c r="D15" t="s">
        <v>345</v>
      </c>
      <c r="E15" t="s">
        <v>344</v>
      </c>
      <c r="F15" t="s">
        <v>341</v>
      </c>
      <c r="H15" t="s">
        <v>342</v>
      </c>
      <c r="J15" t="s">
        <v>343</v>
      </c>
    </row>
    <row r="17" spans="1:2" x14ac:dyDescent="0.2">
      <c r="B17" s="46" t="s">
        <v>301</v>
      </c>
    </row>
    <row r="18" spans="1:2" x14ac:dyDescent="0.2">
      <c r="A18" s="2">
        <v>1</v>
      </c>
      <c r="B18" s="2" t="s">
        <v>542</v>
      </c>
    </row>
    <row r="19" spans="1:2" x14ac:dyDescent="0.2">
      <c r="A19" s="2">
        <v>2</v>
      </c>
      <c r="B19" s="2" t="s">
        <v>541</v>
      </c>
    </row>
    <row r="20" spans="1:2" x14ac:dyDescent="0.2">
      <c r="A20" s="2">
        <v>3</v>
      </c>
      <c r="B20" s="2" t="s">
        <v>540</v>
      </c>
    </row>
    <row r="21" spans="1:2" x14ac:dyDescent="0.2">
      <c r="A21" s="2">
        <v>4</v>
      </c>
      <c r="B21" s="2" t="s">
        <v>543</v>
      </c>
    </row>
    <row r="22" spans="1:2" x14ac:dyDescent="0.2">
      <c r="A22" s="2">
        <v>5</v>
      </c>
      <c r="B22" s="2" t="s">
        <v>533</v>
      </c>
    </row>
    <row r="23" spans="1:2" x14ac:dyDescent="0.2">
      <c r="A23" s="2">
        <v>6</v>
      </c>
      <c r="B23" s="2" t="s">
        <v>544</v>
      </c>
    </row>
  </sheetData>
  <pageMargins left="0.7" right="0.7" top="0.75" bottom="0.75" header="0.3" footer="0.3"/>
  <pageSetup orientation="portrait" r:id="rId1"/>
  <ignoredErrors>
    <ignoredError sqref="G13 H13:I13 H11:J12 J13 H10:J10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K24"/>
  <sheetViews>
    <sheetView zoomScaleNormal="100" workbookViewId="0">
      <selection activeCell="G11" sqref="G11"/>
    </sheetView>
  </sheetViews>
  <sheetFormatPr defaultRowHeight="12.75" x14ac:dyDescent="0.2"/>
  <cols>
    <col min="1" max="1" width="5.42578125" customWidth="1"/>
    <col min="2" max="2" width="14" customWidth="1"/>
    <col min="3" max="3" width="11.85546875" customWidth="1"/>
    <col min="4" max="4" width="13.5703125" customWidth="1"/>
    <col min="5" max="5" width="14.42578125" customWidth="1"/>
    <col min="6" max="6" width="11.85546875" customWidth="1"/>
    <col min="7" max="7" width="13.5703125" customWidth="1"/>
    <col min="8" max="9" width="11.85546875" customWidth="1"/>
  </cols>
  <sheetData>
    <row r="1" spans="1:11" x14ac:dyDescent="0.2">
      <c r="A1" s="371" t="str">
        <f>Inputs!$C$4</f>
        <v>Unit Delivery Cost Model -  12/16/2025</v>
      </c>
    </row>
    <row r="2" spans="1:11" x14ac:dyDescent="0.2">
      <c r="A2" s="11" t="s">
        <v>377</v>
      </c>
    </row>
    <row r="5" spans="1:11" ht="67.5" x14ac:dyDescent="0.2">
      <c r="A5" s="52" t="s">
        <v>8</v>
      </c>
      <c r="B5" s="144" t="s">
        <v>163</v>
      </c>
      <c r="C5" s="53" t="s">
        <v>378</v>
      </c>
      <c r="D5" s="53" t="s">
        <v>379</v>
      </c>
      <c r="E5" s="53" t="s">
        <v>380</v>
      </c>
      <c r="F5" s="53" t="s">
        <v>381</v>
      </c>
      <c r="G5" s="53" t="s">
        <v>382</v>
      </c>
      <c r="H5" s="53" t="s">
        <v>383</v>
      </c>
      <c r="I5" s="53" t="s">
        <v>384</v>
      </c>
      <c r="J5" s="372"/>
      <c r="K5" s="373"/>
    </row>
    <row r="6" spans="1:11" s="2" customFormat="1" ht="11.25" x14ac:dyDescent="0.2">
      <c r="A6" s="125"/>
      <c r="B6" s="87" t="s">
        <v>109</v>
      </c>
      <c r="C6" s="113">
        <v>-1</v>
      </c>
      <c r="D6" s="113">
        <f t="shared" ref="D6:I6" si="0">C6-1</f>
        <v>-2</v>
      </c>
      <c r="E6" s="113">
        <f t="shared" si="0"/>
        <v>-3</v>
      </c>
      <c r="F6" s="113">
        <f t="shared" si="0"/>
        <v>-4</v>
      </c>
      <c r="G6" s="113">
        <f t="shared" si="0"/>
        <v>-5</v>
      </c>
      <c r="H6" s="113">
        <f t="shared" si="0"/>
        <v>-6</v>
      </c>
      <c r="I6" s="113">
        <f t="shared" si="0"/>
        <v>-7</v>
      </c>
    </row>
    <row r="7" spans="1:11" s="2" customFormat="1" ht="11.25" x14ac:dyDescent="0.2">
      <c r="A7" s="3"/>
      <c r="B7" s="86" t="s">
        <v>44</v>
      </c>
      <c r="C7" s="49" t="s">
        <v>5</v>
      </c>
      <c r="D7" s="49" t="s">
        <v>5</v>
      </c>
      <c r="E7" s="49" t="s">
        <v>5</v>
      </c>
      <c r="F7" s="49" t="s">
        <v>5</v>
      </c>
      <c r="G7" s="49" t="s">
        <v>5</v>
      </c>
      <c r="H7" s="49" t="s">
        <v>5</v>
      </c>
      <c r="I7" s="49" t="s">
        <v>5</v>
      </c>
    </row>
    <row r="8" spans="1:11" s="2" customFormat="1" ht="22.5" x14ac:dyDescent="0.2">
      <c r="A8" s="4"/>
      <c r="B8" s="374" t="s">
        <v>100</v>
      </c>
      <c r="C8" s="232" t="s">
        <v>525</v>
      </c>
      <c r="D8" s="232" t="s">
        <v>526</v>
      </c>
      <c r="E8" s="38" t="s">
        <v>385</v>
      </c>
      <c r="F8" s="232" t="s">
        <v>527</v>
      </c>
      <c r="G8" s="232" t="s">
        <v>528</v>
      </c>
      <c r="H8" s="232" t="s">
        <v>386</v>
      </c>
      <c r="I8" s="232" t="str">
        <f>"C"&amp;-G6&amp;" - C"&amp;-H6</f>
        <v>C5 - C6</v>
      </c>
    </row>
    <row r="9" spans="1:11" s="2" customFormat="1" ht="11.25" x14ac:dyDescent="0.2">
      <c r="A9" s="37">
        <v>1</v>
      </c>
      <c r="B9" s="125" t="s">
        <v>15</v>
      </c>
      <c r="C9" s="253">
        <f>RPWShape!$C$28</f>
        <v>11646.645758875111</v>
      </c>
      <c r="D9" s="120">
        <f>'7.0.8'!$F$25</f>
        <v>2468.5903069823953</v>
      </c>
      <c r="E9" s="375">
        <f>C9*LetterVols!F9</f>
        <v>6537.3288072670684</v>
      </c>
      <c r="F9" s="120">
        <f>D9-E9</f>
        <v>-4068.7385002846731</v>
      </c>
      <c r="G9" s="120">
        <f>RuralVols!$C$26</f>
        <v>1911.7622921541772</v>
      </c>
      <c r="H9" s="120">
        <f>C9*LetterVols!G9</f>
        <v>4163.4582784458044</v>
      </c>
      <c r="I9" s="120">
        <f>G9-H9</f>
        <v>-2251.6959862916274</v>
      </c>
      <c r="J9" s="44"/>
      <c r="K9" s="44"/>
    </row>
    <row r="10" spans="1:11" s="2" customFormat="1" ht="11.25" x14ac:dyDescent="0.2">
      <c r="A10" s="49">
        <f>A9+1</f>
        <v>2</v>
      </c>
      <c r="B10" s="3" t="s">
        <v>16</v>
      </c>
      <c r="C10" s="235">
        <f>RPWShape!$D$28</f>
        <v>2429662.3454087558</v>
      </c>
      <c r="D10" s="40">
        <f>'7.0.8'!$G$25</f>
        <v>1234178.2925171582</v>
      </c>
      <c r="E10" s="40">
        <f>D10+F9+F11</f>
        <v>1230535.7578238398</v>
      </c>
      <c r="F10" s="40">
        <f>D10-E10</f>
        <v>3642.5346933184192</v>
      </c>
      <c r="G10" s="40">
        <f>RuralVols!$E$26</f>
        <v>1063009.4155670376</v>
      </c>
      <c r="H10" s="40">
        <f>G10+I9+I11</f>
        <v>1074482.339859765</v>
      </c>
      <c r="I10" s="40">
        <f>G10-H10</f>
        <v>-11472.924292727374</v>
      </c>
      <c r="J10" s="44"/>
      <c r="K10" s="44"/>
    </row>
    <row r="11" spans="1:11" s="2" customFormat="1" ht="11.25" x14ac:dyDescent="0.2">
      <c r="A11" s="49">
        <f>A10+1</f>
        <v>3</v>
      </c>
      <c r="B11" s="3" t="s">
        <v>17</v>
      </c>
      <c r="C11" s="235">
        <f>RPWShape!$E$28</f>
        <v>1393.0018323693043</v>
      </c>
      <c r="D11" s="40">
        <f>'7.0.8'!$I$25+'7.0.8'!$L$25</f>
        <v>1205.6720228542347</v>
      </c>
      <c r="E11" s="149">
        <f>C11*ParcelVols!F24</f>
        <v>779.46821588788885</v>
      </c>
      <c r="F11" s="40">
        <f>D11-E11</f>
        <v>426.20380696634584</v>
      </c>
      <c r="G11" s="40">
        <f>RuralVols!$F$26+RuralVols!G26+RuralVols!H26</f>
        <v>14229.691386840059</v>
      </c>
      <c r="H11" s="40">
        <f>C11*ParcelVols!G24</f>
        <v>505.07110782104365</v>
      </c>
      <c r="I11" s="40">
        <f>G11-H11</f>
        <v>13724.620279019015</v>
      </c>
      <c r="J11" s="44"/>
      <c r="K11" s="44"/>
    </row>
    <row r="12" spans="1:11" s="2" customFormat="1" ht="11.25" x14ac:dyDescent="0.2">
      <c r="A12" s="88">
        <f>A11+1</f>
        <v>4</v>
      </c>
      <c r="B12" s="4" t="s">
        <v>18</v>
      </c>
      <c r="C12" s="376">
        <f>SUM(C9:C11)</f>
        <v>2442701.9930000002</v>
      </c>
      <c r="D12" s="376">
        <f>SUM(D9:D11)</f>
        <v>1237852.5548469948</v>
      </c>
      <c r="E12" s="376">
        <f>SUM(E9:E11)</f>
        <v>1237852.5548469948</v>
      </c>
      <c r="F12" s="376"/>
      <c r="G12" s="376">
        <f>SUM(G9:G11)</f>
        <v>1079150.8692460319</v>
      </c>
      <c r="H12" s="376">
        <f>SUM(H9:H11)</f>
        <v>1079150.8692460319</v>
      </c>
      <c r="I12" s="376"/>
    </row>
    <row r="13" spans="1:11" x14ac:dyDescent="0.2">
      <c r="I13" s="147"/>
    </row>
    <row r="14" spans="1:11" s="2" customFormat="1" ht="11.25" x14ac:dyDescent="0.2">
      <c r="A14" s="406" t="s">
        <v>385</v>
      </c>
      <c r="B14" s="407" t="s">
        <v>421</v>
      </c>
      <c r="E14" s="47"/>
    </row>
    <row r="15" spans="1:11" s="2" customFormat="1" ht="11.25" x14ac:dyDescent="0.2">
      <c r="A15" s="406"/>
      <c r="B15" s="407" t="s">
        <v>422</v>
      </c>
      <c r="D15" s="312"/>
      <c r="E15" s="45"/>
    </row>
    <row r="16" spans="1:11" s="2" customFormat="1" ht="11.25" x14ac:dyDescent="0.2">
      <c r="A16" s="406"/>
      <c r="B16" s="407" t="s">
        <v>423</v>
      </c>
      <c r="D16" s="312"/>
      <c r="E16" s="45"/>
    </row>
    <row r="17" spans="1:4" s="2" customFormat="1" ht="11.25" x14ac:dyDescent="0.2">
      <c r="A17" s="406" t="s">
        <v>386</v>
      </c>
      <c r="B17" s="407" t="s">
        <v>424</v>
      </c>
      <c r="D17" s="312"/>
    </row>
    <row r="18" spans="1:4" s="2" customFormat="1" ht="11.25" x14ac:dyDescent="0.2">
      <c r="A18" s="406"/>
      <c r="B18" s="407" t="s">
        <v>425</v>
      </c>
      <c r="D18" s="312"/>
    </row>
    <row r="19" spans="1:4" s="2" customFormat="1" ht="11.25" x14ac:dyDescent="0.2">
      <c r="A19" s="406"/>
      <c r="B19" s="407" t="s">
        <v>426</v>
      </c>
      <c r="D19" s="312"/>
    </row>
    <row r="20" spans="1:4" s="2" customFormat="1" ht="11.25" x14ac:dyDescent="0.2">
      <c r="D20" s="312"/>
    </row>
    <row r="21" spans="1:4" s="2" customFormat="1" ht="11.25" x14ac:dyDescent="0.2">
      <c r="D21" s="312"/>
    </row>
    <row r="22" spans="1:4" s="2" customFormat="1" ht="11.25" x14ac:dyDescent="0.2">
      <c r="D22" s="312"/>
    </row>
    <row r="23" spans="1:4" s="2" customFormat="1" ht="11.25" x14ac:dyDescent="0.2">
      <c r="D23" s="312"/>
    </row>
    <row r="24" spans="1:4" s="2" customFormat="1" ht="11.25" x14ac:dyDescent="0.2"/>
  </sheetData>
  <pageMargins left="0.75" right="0.75" top="1" bottom="1" header="0.5" footer="0.5"/>
  <pageSetup orientation="landscape" horizontalDpi="300" verticalDpi="300" r:id="rId1"/>
  <headerFooter alignWithMargins="0">
    <oddHeader>&amp;RUSPS-FY09-19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5">
    <tabColor rgb="FF92D050"/>
  </sheetPr>
  <dimension ref="A1:G24"/>
  <sheetViews>
    <sheetView zoomScaleNormal="100" workbookViewId="0">
      <selection activeCell="E14" sqref="E14"/>
    </sheetView>
  </sheetViews>
  <sheetFormatPr defaultColWidth="9.140625" defaultRowHeight="12.75" x14ac:dyDescent="0.2"/>
  <cols>
    <col min="1" max="1" width="5" customWidth="1"/>
    <col min="2" max="2" width="39.85546875" bestFit="1" customWidth="1"/>
    <col min="3" max="7" width="12.5703125" customWidth="1"/>
  </cols>
  <sheetData>
    <row r="1" spans="1:7" x14ac:dyDescent="0.2">
      <c r="A1" s="1" t="str">
        <f>Inputs!$C$4</f>
        <v>Unit Delivery Cost Model -  12/16/2025</v>
      </c>
    </row>
    <row r="2" spans="1:7" x14ac:dyDescent="0.2">
      <c r="A2" s="11" t="s">
        <v>54</v>
      </c>
    </row>
    <row r="5" spans="1:7" s="2" customFormat="1" ht="22.5" x14ac:dyDescent="0.2">
      <c r="A5" s="75" t="s">
        <v>8</v>
      </c>
      <c r="B5" s="75" t="s">
        <v>20</v>
      </c>
      <c r="C5" s="108" t="s">
        <v>21</v>
      </c>
      <c r="D5" s="108" t="s">
        <v>22</v>
      </c>
      <c r="E5" s="108" t="s">
        <v>23</v>
      </c>
      <c r="F5" s="108" t="s">
        <v>400</v>
      </c>
      <c r="G5" s="108" t="s">
        <v>401</v>
      </c>
    </row>
    <row r="6" spans="1:7" s="2" customFormat="1" ht="11.25" x14ac:dyDescent="0.2">
      <c r="A6" s="75"/>
      <c r="B6" s="19" t="s">
        <v>43</v>
      </c>
      <c r="C6" s="113">
        <v>-1</v>
      </c>
      <c r="D6" s="113">
        <f>C6-1</f>
        <v>-2</v>
      </c>
      <c r="E6" s="113">
        <f>D6-1</f>
        <v>-3</v>
      </c>
      <c r="F6" s="113">
        <f t="shared" ref="F6:G6" si="0">E6-1</f>
        <v>-4</v>
      </c>
      <c r="G6" s="113">
        <f t="shared" si="0"/>
        <v>-5</v>
      </c>
    </row>
    <row r="7" spans="1:7" s="2" customFormat="1" ht="11.25" x14ac:dyDescent="0.2">
      <c r="A7" s="24"/>
      <c r="B7" s="20" t="s">
        <v>44</v>
      </c>
      <c r="C7" s="143"/>
      <c r="D7" s="143"/>
      <c r="E7" s="143"/>
      <c r="F7" s="143"/>
      <c r="G7" s="143"/>
    </row>
    <row r="8" spans="1:7" s="2" customFormat="1" ht="11.25" x14ac:dyDescent="0.2">
      <c r="A8" s="74"/>
      <c r="B8" s="23" t="s">
        <v>31</v>
      </c>
      <c r="C8" s="199" t="s">
        <v>132</v>
      </c>
      <c r="D8" s="199" t="s">
        <v>119</v>
      </c>
      <c r="E8" s="199" t="s">
        <v>95</v>
      </c>
      <c r="F8" s="199"/>
      <c r="G8" s="199"/>
    </row>
    <row r="9" spans="1:7" s="2" customFormat="1" ht="11.25" x14ac:dyDescent="0.2">
      <c r="A9" s="22">
        <v>1</v>
      </c>
      <c r="B9" s="50" t="s">
        <v>348</v>
      </c>
      <c r="C9" s="115"/>
      <c r="D9" s="115"/>
      <c r="E9" s="115"/>
      <c r="F9" s="115"/>
      <c r="G9" s="115"/>
    </row>
    <row r="10" spans="1:7" s="2" customFormat="1" ht="11.25" x14ac:dyDescent="0.2">
      <c r="A10" s="22">
        <f t="shared" ref="A10:A21" si="1">A9+1</f>
        <v>2</v>
      </c>
      <c r="B10" s="96" t="s">
        <v>199</v>
      </c>
      <c r="C10" s="115">
        <f>'7.0.8'!I19+'7.0.8'!L19</f>
        <v>0</v>
      </c>
      <c r="D10" s="115">
        <f>D11+D12</f>
        <v>0</v>
      </c>
      <c r="E10" s="115">
        <f>E11+E12</f>
        <v>0</v>
      </c>
      <c r="F10" s="115"/>
      <c r="G10" s="115"/>
    </row>
    <row r="11" spans="1:7" s="2" customFormat="1" ht="11.25" x14ac:dyDescent="0.2">
      <c r="A11" s="22">
        <f t="shared" si="1"/>
        <v>3</v>
      </c>
      <c r="B11" s="207" t="s">
        <v>237</v>
      </c>
      <c r="C11" s="115">
        <f>CCSECRVols!C13</f>
        <v>0</v>
      </c>
      <c r="D11" s="115">
        <f>RCSECRVols!G26+RCSECRVols!G31+RCSECRVols!G36</f>
        <v>0</v>
      </c>
      <c r="E11" s="115">
        <f>RPWShape!E21</f>
        <v>0</v>
      </c>
      <c r="F11" s="115"/>
      <c r="G11" s="115"/>
    </row>
    <row r="12" spans="1:7" s="2" customFormat="1" ht="11.25" x14ac:dyDescent="0.2">
      <c r="A12" s="22">
        <f t="shared" si="1"/>
        <v>4</v>
      </c>
      <c r="B12" s="207" t="s">
        <v>238</v>
      </c>
      <c r="C12" s="115">
        <f>CCSECRVols!C19</f>
        <v>0</v>
      </c>
      <c r="D12" s="115">
        <f>RCSECRVols!G27+RCSECRVols!G32+RCSECRVols!G37</f>
        <v>0</v>
      </c>
      <c r="E12" s="115">
        <f>RPWShape!E22</f>
        <v>0</v>
      </c>
      <c r="F12" s="115"/>
      <c r="G12" s="115"/>
    </row>
    <row r="13" spans="1:7" s="2" customFormat="1" ht="11.25" x14ac:dyDescent="0.2">
      <c r="A13" s="22">
        <f t="shared" si="1"/>
        <v>5</v>
      </c>
      <c r="B13" s="238" t="s">
        <v>280</v>
      </c>
      <c r="C13" s="115">
        <f>'7.0.8'!I21+'7.0.8'!L21</f>
        <v>133.03004511825708</v>
      </c>
      <c r="D13" s="115">
        <f>RuralVols!F21+RuralVols!G17+RuralVols!H21</f>
        <v>0</v>
      </c>
      <c r="E13" s="115">
        <f>RPWShape!E24</f>
        <v>0</v>
      </c>
      <c r="F13" s="115"/>
      <c r="G13" s="115"/>
    </row>
    <row r="14" spans="1:7" s="2" customFormat="1" ht="11.25" x14ac:dyDescent="0.2">
      <c r="A14" s="22">
        <f t="shared" si="1"/>
        <v>6</v>
      </c>
      <c r="B14" s="294" t="s">
        <v>231</v>
      </c>
      <c r="C14" s="115">
        <f>'7.0.8'!I24+'7.0.8'!L24</f>
        <v>4831.4571912891115</v>
      </c>
      <c r="D14" s="115">
        <f>RuralVols!F25+RuralVols!G25+RuralVols!H25</f>
        <v>4734.8813065469622</v>
      </c>
      <c r="E14" s="115">
        <f>RPWShape!E27</f>
        <v>11706.037</v>
      </c>
      <c r="F14" s="115"/>
      <c r="G14" s="115"/>
    </row>
    <row r="15" spans="1:7" s="2" customFormat="1" ht="11.25" x14ac:dyDescent="0.2">
      <c r="A15" s="22">
        <f t="shared" si="1"/>
        <v>7</v>
      </c>
      <c r="B15" s="50" t="s">
        <v>107</v>
      </c>
      <c r="C15" s="115">
        <f>'7.0.8'!I25+'7.0.8'!L25</f>
        <v>1205.6720228542347</v>
      </c>
      <c r="D15" s="115">
        <f>RuralVols!F26+RuralVols!G26+RuralVols!H26</f>
        <v>14229.691386840059</v>
      </c>
      <c r="E15" s="115">
        <f>RPWShape!E28</f>
        <v>1393.0018323693043</v>
      </c>
      <c r="F15" s="115"/>
      <c r="G15" s="115"/>
    </row>
    <row r="16" spans="1:7" s="2" customFormat="1" ht="11.25" x14ac:dyDescent="0.2">
      <c r="A16" s="22">
        <f t="shared" si="1"/>
        <v>8</v>
      </c>
      <c r="B16" s="72" t="s">
        <v>136</v>
      </c>
      <c r="C16" s="115"/>
      <c r="D16" s="115"/>
      <c r="E16" s="115"/>
      <c r="F16" s="115"/>
      <c r="G16" s="115"/>
    </row>
    <row r="17" spans="1:7" s="2" customFormat="1" ht="11.25" x14ac:dyDescent="0.2">
      <c r="A17" s="22">
        <f>A16+1</f>
        <v>9</v>
      </c>
      <c r="B17" s="153" t="s">
        <v>208</v>
      </c>
      <c r="C17" s="115">
        <f>'7.0.8'!I27+'7.0.8'!L27</f>
        <v>516.01717034565797</v>
      </c>
      <c r="D17" s="115">
        <f>RuralVols!F28+RuralVols!G28+RuralVols!H28</f>
        <v>1121.9737398643886</v>
      </c>
      <c r="E17" s="115">
        <f>RPWShape!E30</f>
        <v>0</v>
      </c>
      <c r="F17" s="115"/>
      <c r="G17" s="115"/>
    </row>
    <row r="18" spans="1:7" s="2" customFormat="1" ht="11.25" x14ac:dyDescent="0.2">
      <c r="A18" s="22">
        <f t="shared" si="1"/>
        <v>10</v>
      </c>
      <c r="B18" s="126" t="s">
        <v>209</v>
      </c>
      <c r="C18" s="115">
        <f>'7.0.8'!I28+'7.0.8'!L28</f>
        <v>123047.32420972684</v>
      </c>
      <c r="D18" s="115">
        <f>RuralVols!F29+RuralVols!G29+RuralVols!H29</f>
        <v>81458.929920487106</v>
      </c>
      <c r="E18" s="115">
        <f>RPWShape!E31</f>
        <v>225885.52600000001</v>
      </c>
      <c r="F18" s="115"/>
      <c r="G18" s="115"/>
    </row>
    <row r="19" spans="1:7" s="2" customFormat="1" ht="11.25" x14ac:dyDescent="0.2">
      <c r="A19" s="22">
        <f t="shared" si="1"/>
        <v>11</v>
      </c>
      <c r="B19" s="126" t="s">
        <v>140</v>
      </c>
      <c r="C19" s="115">
        <f>'7.0.8'!I29+'7.0.8'!L29</f>
        <v>36178.755227545655</v>
      </c>
      <c r="D19" s="115">
        <f>RuralVols!F30+RuralVols!G30+RuralVols!H30</f>
        <v>22956.89398632251</v>
      </c>
      <c r="E19" s="115">
        <f>RPWShape!F32</f>
        <v>69096.131999999998</v>
      </c>
      <c r="F19" s="115"/>
      <c r="G19" s="115"/>
    </row>
    <row r="20" spans="1:7" s="2" customFormat="1" ht="11.25" x14ac:dyDescent="0.2">
      <c r="A20" s="22">
        <f t="shared" si="1"/>
        <v>12</v>
      </c>
      <c r="B20" s="50"/>
      <c r="C20" s="115"/>
      <c r="D20" s="115"/>
      <c r="E20" s="115"/>
      <c r="F20" s="115"/>
      <c r="G20" s="115"/>
    </row>
    <row r="21" spans="1:7" s="2" customFormat="1" ht="11.25" x14ac:dyDescent="0.2">
      <c r="A21" s="22">
        <f t="shared" si="1"/>
        <v>13</v>
      </c>
      <c r="B21" s="160" t="s">
        <v>144</v>
      </c>
      <c r="C21" s="116">
        <f>'7.0.8'!I30+'7.0.8'!L30</f>
        <v>13615.8228084359</v>
      </c>
      <c r="D21" s="116">
        <f>RuralVols!F31+RuralVols!G31+RuralVols!H31</f>
        <v>5188.4829140340089</v>
      </c>
      <c r="E21" s="116">
        <f>RPWShape!E33</f>
        <v>11757.78239516087</v>
      </c>
      <c r="F21" s="116"/>
      <c r="G21" s="116"/>
    </row>
    <row r="22" spans="1:7" s="2" customFormat="1" ht="11.25" x14ac:dyDescent="0.2">
      <c r="A22" s="22">
        <f>A21+1</f>
        <v>14</v>
      </c>
      <c r="B22" s="249" t="s">
        <v>265</v>
      </c>
      <c r="C22" s="116">
        <f>SUM(C11:C12,C14:C21)</f>
        <v>179395.04863019742</v>
      </c>
      <c r="D22" s="116">
        <f>SUM(D11:D12,D14:D21)</f>
        <v>129690.85325409504</v>
      </c>
      <c r="E22" s="116">
        <f>SUM(E11:E12,E14:E21)</f>
        <v>319838.47922753019</v>
      </c>
      <c r="F22" s="116"/>
      <c r="G22" s="116"/>
    </row>
    <row r="23" spans="1:7" s="2" customFormat="1" ht="11.25" x14ac:dyDescent="0.2">
      <c r="A23" s="22">
        <f t="shared" ref="A23:A24" si="2">A22+1</f>
        <v>15</v>
      </c>
      <c r="B23" s="50" t="s">
        <v>399</v>
      </c>
      <c r="C23" s="274"/>
      <c r="D23" s="125"/>
      <c r="E23" s="125"/>
      <c r="F23" s="125"/>
      <c r="G23" s="125"/>
    </row>
    <row r="24" spans="1:7" s="2" customFormat="1" ht="11.25" x14ac:dyDescent="0.2">
      <c r="A24" s="22">
        <f t="shared" si="2"/>
        <v>16</v>
      </c>
      <c r="B24" s="386" t="s">
        <v>393</v>
      </c>
      <c r="C24" s="383">
        <f>ParcelVols!$C$22-ParcelVols!$C$15</f>
        <v>178189.37660734318</v>
      </c>
      <c r="D24" s="383">
        <f>ParcelVols!$D$22-ParcelVols!$D$15</f>
        <v>115461.16186725498</v>
      </c>
      <c r="E24" s="383">
        <f>ParcelVols!$E$22-ParcelVols!$E$15</f>
        <v>318445.47739516088</v>
      </c>
      <c r="F24" s="387">
        <f>C24/E24</f>
        <v>0.559560079373421</v>
      </c>
      <c r="G24" s="387">
        <f>D24/E24</f>
        <v>0.36257748991039535</v>
      </c>
    </row>
  </sheetData>
  <phoneticPr fontId="11" type="noConversion"/>
  <printOptions horizontalCentered="1"/>
  <pageMargins left="0.2" right="0.23" top="0.95" bottom="0.51" header="0.51" footer="0.2"/>
  <pageSetup scale="95" fitToWidth="0" orientation="landscape" r:id="rId1"/>
  <headerFooter alignWithMargins="0">
    <oddHeader>&amp;RUSPS-FY09-19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</sheetPr>
  <dimension ref="A1:G13"/>
  <sheetViews>
    <sheetView zoomScaleNormal="100" workbookViewId="0">
      <selection activeCell="K17" sqref="K17"/>
    </sheetView>
  </sheetViews>
  <sheetFormatPr defaultRowHeight="12.75" x14ac:dyDescent="0.2"/>
  <cols>
    <col min="2" max="2" width="31.5703125" customWidth="1"/>
    <col min="3" max="7" width="11.5703125" customWidth="1"/>
    <col min="8" max="8" width="8.5703125" customWidth="1"/>
  </cols>
  <sheetData>
    <row r="1" spans="1:7" x14ac:dyDescent="0.2">
      <c r="A1" s="371" t="str">
        <f>Inputs!$C$4</f>
        <v>Unit Delivery Cost Model -  12/16/2025</v>
      </c>
    </row>
    <row r="2" spans="1:7" x14ac:dyDescent="0.2">
      <c r="A2" s="1" t="s">
        <v>402</v>
      </c>
    </row>
    <row r="3" spans="1:7" x14ac:dyDescent="0.2">
      <c r="A3" s="1"/>
    </row>
    <row r="5" spans="1:7" ht="33.75" x14ac:dyDescent="0.2">
      <c r="A5" s="52" t="s">
        <v>8</v>
      </c>
      <c r="B5" s="377"/>
      <c r="C5" s="52" t="s">
        <v>387</v>
      </c>
      <c r="D5" s="52" t="s">
        <v>388</v>
      </c>
      <c r="E5" s="52" t="s">
        <v>389</v>
      </c>
      <c r="F5" s="53" t="s">
        <v>390</v>
      </c>
      <c r="G5" s="53" t="s">
        <v>391</v>
      </c>
    </row>
    <row r="6" spans="1:7" s="2" customFormat="1" ht="11.25" x14ac:dyDescent="0.2">
      <c r="A6" s="108"/>
      <c r="B6" s="87" t="s">
        <v>109</v>
      </c>
      <c r="C6" s="113">
        <v>-1</v>
      </c>
      <c r="D6" s="113">
        <f>C6-1</f>
        <v>-2</v>
      </c>
      <c r="E6" s="113">
        <f>D6-1</f>
        <v>-3</v>
      </c>
      <c r="F6" s="113">
        <f>E6-1</f>
        <v>-4</v>
      </c>
      <c r="G6" s="113">
        <f>F6-1</f>
        <v>-5</v>
      </c>
    </row>
    <row r="7" spans="1:7" s="2" customFormat="1" ht="11.25" x14ac:dyDescent="0.2">
      <c r="A7" s="143"/>
      <c r="B7" s="86" t="s">
        <v>44</v>
      </c>
      <c r="C7" s="49" t="s">
        <v>5</v>
      </c>
      <c r="D7" s="49" t="s">
        <v>5</v>
      </c>
      <c r="E7" s="49" t="s">
        <v>5</v>
      </c>
      <c r="F7" s="140"/>
      <c r="G7" s="140"/>
    </row>
    <row r="8" spans="1:7" s="2" customFormat="1" ht="33.75" x14ac:dyDescent="0.2">
      <c r="A8" s="378"/>
      <c r="B8" s="374" t="s">
        <v>100</v>
      </c>
      <c r="C8" s="232" t="s">
        <v>515</v>
      </c>
      <c r="D8" s="232" t="s">
        <v>516</v>
      </c>
      <c r="E8" s="232" t="s">
        <v>517</v>
      </c>
      <c r="F8" s="38" t="str">
        <f>"=C"&amp;-D6&amp;" / C"&amp;-C6</f>
        <v>=C2 / C1</v>
      </c>
      <c r="G8" s="38" t="str">
        <f>"=C"&amp;-E6&amp;" / C"&amp;-C6</f>
        <v>=C3 / C1</v>
      </c>
    </row>
    <row r="9" spans="1:7" ht="22.5" x14ac:dyDescent="0.2">
      <c r="A9" s="379">
        <v>1</v>
      </c>
      <c r="B9" s="374" t="s">
        <v>392</v>
      </c>
      <c r="C9" s="380">
        <f>RPWShape!$C$34</f>
        <v>53606890.737685725</v>
      </c>
      <c r="D9" s="380">
        <f>SUM('7.0.8'!$F$11,'7.0.8'!$H$11,'7.0.8'!$F$18:$F$24,'7.0.8'!$H$18:$H$24,'7.0.8'!$F$30,'7.0.8'!$H$30)</f>
        <v>30089854.05265205</v>
      </c>
      <c r="E9" s="380">
        <f>SUM(RuralVols!$C$10:$D$10,RuralVols!$C$17:$D$17,RuralVols!$C$22:$D$22,RuralVols!$C$31:$D$31)</f>
        <v>19163461.965302713</v>
      </c>
      <c r="F9" s="381">
        <f>D9/C9</f>
        <v>0.56130571347423508</v>
      </c>
      <c r="G9" s="381">
        <f>E9/C9</f>
        <v>0.35748131819610962</v>
      </c>
    </row>
    <row r="10" spans="1:7" x14ac:dyDescent="0.2">
      <c r="D10" s="248"/>
    </row>
    <row r="12" spans="1:7" x14ac:dyDescent="0.2">
      <c r="E12" s="382"/>
    </row>
    <row r="13" spans="1:7" x14ac:dyDescent="0.2">
      <c r="D13" s="248"/>
      <c r="E13" s="382"/>
    </row>
  </sheetData>
  <pageMargins left="0.75" right="0.75" top="1" bottom="1" header="0.5" footer="0.5"/>
  <pageSetup orientation="portrait" r:id="rId1"/>
  <headerFooter alignWithMargins="0">
    <oddHeader>&amp;RUSPS-FY09-19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11EFA852EC9341B963982B199F96AB" ma:contentTypeVersion="9" ma:contentTypeDescription="Create a new document." ma:contentTypeScope="" ma:versionID="4130e7a499937c878a79ba6d1f540845">
  <xsd:schema xmlns:xsd="http://www.w3.org/2001/XMLSchema" xmlns:xs="http://www.w3.org/2001/XMLSchema" xmlns:p="http://schemas.microsoft.com/office/2006/metadata/properties" xmlns:ns3="d28d4164-6e30-4fe9-a884-509511fbeec1" targetNamespace="http://schemas.microsoft.com/office/2006/metadata/properties" ma:root="true" ma:fieldsID="393a0b46e688e2e975270cea921f61b6" ns3:_="">
    <xsd:import namespace="d28d4164-6e30-4fe9-a884-509511fbee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d4164-6e30-4fe9-a884-509511fbe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EE1D84-015A-474F-A726-082671FDC3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DD47DB-32E5-4179-8257-9E2CAAB2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8d4164-6e30-4fe9-a884-509511fbe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DE30E-9CC2-4FE8-9D80-0B244962753F}">
  <ds:schemaRefs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d28d4164-6e30-4fe9-a884-509511fbeec1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</vt:i4>
      </vt:variant>
    </vt:vector>
  </HeadingPairs>
  <TitlesOfParts>
    <vt:vector size="32" baseType="lpstr">
      <vt:lpstr>NOTES</vt:lpstr>
      <vt:lpstr>Changes</vt:lpstr>
      <vt:lpstr>Inputs</vt:lpstr>
      <vt:lpstr>CS6&amp;7 CRA</vt:lpstr>
      <vt:lpstr>7.0.8</vt:lpstr>
      <vt:lpstr>7.0.6</vt:lpstr>
      <vt:lpstr>CS7Shape</vt:lpstr>
      <vt:lpstr>City DAL Costs</vt:lpstr>
      <vt:lpstr>CS10 CRA</vt:lpstr>
      <vt:lpstr>RuralCosts</vt:lpstr>
      <vt:lpstr>RuralVols</vt:lpstr>
      <vt:lpstr>Rural DAL Costs</vt:lpstr>
      <vt:lpstr>CCSDALs</vt:lpstr>
      <vt:lpstr>RCSDALs</vt:lpstr>
      <vt:lpstr>BoxholderbyShape</vt:lpstr>
      <vt:lpstr>BYPBack</vt:lpstr>
      <vt:lpstr>DPS%</vt:lpstr>
      <vt:lpstr>CCSECRVols</vt:lpstr>
      <vt:lpstr>RCSECRVols</vt:lpstr>
      <vt:lpstr>RPWShape</vt:lpstr>
      <vt:lpstr>DALs</vt:lpstr>
      <vt:lpstr>CARMM</vt:lpstr>
      <vt:lpstr>CARMMCasing</vt:lpstr>
      <vt:lpstr>FCByIndicia</vt:lpstr>
      <vt:lpstr>PeriodicalsVolAdj</vt:lpstr>
      <vt:lpstr>ParcelVols</vt:lpstr>
      <vt:lpstr>LetterVols</vt:lpstr>
      <vt:lpstr>CARMMCasing!Print_Area</vt:lpstr>
      <vt:lpstr>ParcelVols!Print_Area</vt:lpstr>
      <vt:lpstr>CARMMCasing!Print_Titles</vt:lpstr>
      <vt:lpstr>CS7Shape!Print_Titles</vt:lpstr>
      <vt:lpstr>ParcelVols!Print_Titles</vt:lpstr>
    </vt:vector>
  </TitlesOfParts>
  <Company>U.S. Postal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Behrmann</dc:creator>
  <cp:lastModifiedBy>Behrmann, Henry M - Raleigh, NC</cp:lastModifiedBy>
  <cp:lastPrinted>2007-07-25T14:58:20Z</cp:lastPrinted>
  <dcterms:created xsi:type="dcterms:W3CDTF">2005-02-26T21:44:03Z</dcterms:created>
  <dcterms:modified xsi:type="dcterms:W3CDTF">2025-12-16T22:46:56Z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0x0101001511EFA852EC9341B963982B199F96AB</vt:lpwstr>
  </property>
</Properties>
</file>